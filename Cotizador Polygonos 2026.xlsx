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 Cotización" sheetId="1" r:id="rId5"/>
    <sheet state="visible" name="Base de datos" sheetId="2" r:id="rId6"/>
    <sheet state="visible" name="R_CLIENTES" sheetId="3" r:id="rId7"/>
    <sheet state="visible" name="R_COTIZACIONES" sheetId="4" r:id="rId8"/>
    <sheet state="visible" name="Detalle Cotización" sheetId="5" r:id="rId9"/>
    <sheet state="visible" name="Consolidado de Venta" sheetId="6" r:id="rId10"/>
    <sheet state="visible" name="Hoja 5" sheetId="7" r:id="rId11"/>
    <sheet state="visible" name="csv" sheetId="8" r:id="rId12"/>
  </sheets>
  <definedNames>
    <definedName name="DataIVA">#REF!</definedName>
    <definedName name="RangoNombre2">R_CLIENTES!$A:$A</definedName>
    <definedName name="RegiPeri">#REF!</definedName>
    <definedName name="RangoNombre1">R_CLIENTES!$1:$1000</definedName>
    <definedName name="ListPeri">#REF!</definedName>
    <definedName name="R_CLIENTES">R_CLIENTES!$1:$1000</definedName>
    <definedName name="DataBanc">#REF!</definedName>
    <definedName name="DataVend">#REF!</definedName>
    <definedName hidden="1" localSheetId="3" name="_xlnm._FilterDatabase">R_COTIZACIONES!$A$3:$AA$1003</definedName>
  </definedNames>
  <calcPr/>
</workbook>
</file>

<file path=xl/sharedStrings.xml><?xml version="1.0" encoding="utf-8"?>
<sst xmlns="http://schemas.openxmlformats.org/spreadsheetml/2006/main" count="2827" uniqueCount="723">
  <si>
    <t>Nro de Cotización:</t>
  </si>
  <si>
    <r>
      <rPr>
        <rFont val="Arial"/>
        <b/>
        <color theme="1"/>
        <sz val="9.0"/>
      </rPr>
      <t xml:space="preserve">Sucursales: </t>
    </r>
    <r>
      <rPr>
        <rFont val="Arial"/>
        <color theme="1"/>
        <sz val="9.0"/>
      </rPr>
      <t>Marco Gallo Vergara 536 B, Dpto 411 Torre D</t>
    </r>
  </si>
  <si>
    <r>
      <rPr>
        <rFont val="Arial"/>
        <b/>
        <color theme="1"/>
        <sz val="9.0"/>
      </rPr>
      <t>Casa Matriz:</t>
    </r>
    <r>
      <rPr>
        <rFont val="Arial"/>
        <color theme="1"/>
        <sz val="9.0"/>
      </rPr>
      <t xml:space="preserve"> Huerfanos, 1055 Oficina 503</t>
    </r>
  </si>
  <si>
    <r>
      <rPr>
        <rFont val="Arial"/>
        <b/>
        <color theme="1"/>
        <sz val="9.0"/>
      </rPr>
      <t xml:space="preserve">Giro: </t>
    </r>
    <r>
      <rPr>
        <rFont val="Arial"/>
        <color theme="1"/>
        <sz val="9.0"/>
      </rPr>
      <t>Servicios de Seguridad y Cerrajería</t>
    </r>
  </si>
  <si>
    <r>
      <rPr>
        <rFont val="Arial"/>
        <b/>
        <color theme="1"/>
        <sz val="9.0"/>
      </rPr>
      <t xml:space="preserve">eMail: </t>
    </r>
    <r>
      <rPr>
        <rFont val="Arial"/>
        <b val="0"/>
        <color theme="1"/>
        <sz val="9.0"/>
      </rPr>
      <t>ventas@polygonos.cl</t>
    </r>
  </si>
  <si>
    <r>
      <rPr>
        <rFont val="Arial"/>
        <b/>
        <color theme="1"/>
        <sz val="9.0"/>
      </rPr>
      <t xml:space="preserve">Fono: </t>
    </r>
    <r>
      <rPr>
        <rFont val="Arial"/>
        <b val="0"/>
        <color theme="1"/>
        <sz val="9.0"/>
      </rPr>
      <t>9-81334980</t>
    </r>
  </si>
  <si>
    <r>
      <rPr>
        <rFont val="Arial"/>
        <b/>
        <color theme="1"/>
        <sz val="9.0"/>
      </rPr>
      <t>Vendedor:</t>
    </r>
    <r>
      <rPr>
        <rFont val="Arial"/>
        <color theme="1"/>
        <sz val="9.0"/>
      </rPr>
      <t xml:space="preserve"> Maximo Hudson / maximo.hudson.blanco@gmail.com</t>
    </r>
  </si>
  <si>
    <t>Nombre Cliente:</t>
  </si>
  <si>
    <t>R.U.T.:</t>
  </si>
  <si>
    <t>Razon Social:</t>
  </si>
  <si>
    <t>Dirección:</t>
  </si>
  <si>
    <t>Comuna:</t>
  </si>
  <si>
    <t>Telefono:</t>
  </si>
  <si>
    <t>Correo:</t>
  </si>
  <si>
    <t>Código</t>
  </si>
  <si>
    <t>Descripción</t>
  </si>
  <si>
    <t>Cantidad</t>
  </si>
  <si>
    <t>Valor Uni</t>
  </si>
  <si>
    <t>% Desc.</t>
  </si>
  <si>
    <t>Sub Total</t>
  </si>
  <si>
    <t>Comentarios:</t>
  </si>
  <si>
    <t>Total Neto</t>
  </si>
  <si>
    <t>Total</t>
  </si>
  <si>
    <t>Forma de Pago:</t>
  </si>
  <si>
    <t>Terminos y Condiciones:</t>
  </si>
  <si>
    <t>1-. El trabajo de ejecuta posterior a la aceptación de la cotización y coordinación de fecha de instalación y entrega.</t>
  </si>
  <si>
    <t>2-. No refiere stock ni fecha de instalación.</t>
  </si>
  <si>
    <t>3-. Cotización válida por 15 días.</t>
  </si>
  <si>
    <t>Pagos en transferencia, efectivo o cheque a nombre de:</t>
  </si>
  <si>
    <t>Aceptación del cliente (Nombre, Rut y firma del cliente):</t>
  </si>
  <si>
    <t>x</t>
  </si>
  <si>
    <t>Aplicar IVA</t>
  </si>
  <si>
    <t>Vendedor</t>
  </si>
  <si>
    <t>Datos Bancarios</t>
  </si>
  <si>
    <t>Si</t>
  </si>
  <si>
    <t>Maximo Hudson</t>
  </si>
  <si>
    <t>Polygonos SPA
RUT: 77.180.437-3
Banco Santander
Cta. Cte. 99128755
Correo: maximo.hudson.blanco@gmail.com</t>
  </si>
  <si>
    <t>Costos CCTV  (Proveedores)</t>
  </si>
  <si>
    <t>no</t>
  </si>
  <si>
    <t>Maximo Hudson
26074100-4
Banco Santander
Cta. Cte.: 75 36164 5
Correo: maximo.hudson.blanco@gmail.com</t>
  </si>
  <si>
    <t>Cod</t>
  </si>
  <si>
    <t>Producto</t>
  </si>
  <si>
    <t>Modelo</t>
  </si>
  <si>
    <t>Proveedor</t>
  </si>
  <si>
    <t>Link publicado</t>
  </si>
  <si>
    <t>Valor publicado</t>
  </si>
  <si>
    <t>Neto</t>
  </si>
  <si>
    <t>IVA</t>
  </si>
  <si>
    <t xml:space="preserve">Margen </t>
  </si>
  <si>
    <t>Precio Venta</t>
  </si>
  <si>
    <t xml:space="preserve">Cant </t>
  </si>
  <si>
    <t>Utilidad</t>
  </si>
  <si>
    <t>N32</t>
  </si>
  <si>
    <t>NVR</t>
  </si>
  <si>
    <t>NVR4232-4KS3</t>
  </si>
  <si>
    <t>Smart Secure</t>
  </si>
  <si>
    <t>Link</t>
  </si>
  <si>
    <t>Periodo</t>
  </si>
  <si>
    <t>N32-E</t>
  </si>
  <si>
    <t>IAI Tech</t>
  </si>
  <si>
    <t>Hoy</t>
  </si>
  <si>
    <t>H4TB</t>
  </si>
  <si>
    <t>HDD 4 TB</t>
  </si>
  <si>
    <t xml:space="preserve"> ST4000VX015</t>
  </si>
  <si>
    <t>Enero</t>
  </si>
  <si>
    <t>H6TB</t>
  </si>
  <si>
    <t>HDD 6 TB</t>
  </si>
  <si>
    <t>WD60EFFX</t>
  </si>
  <si>
    <t>Febrero</t>
  </si>
  <si>
    <t>UPS15</t>
  </si>
  <si>
    <t>UPS 1500 VA</t>
  </si>
  <si>
    <t>DH-PFM350-900-A</t>
  </si>
  <si>
    <t>Marzo</t>
  </si>
  <si>
    <t>MR-UF1500</t>
  </si>
  <si>
    <t>Abril</t>
  </si>
  <si>
    <t>SW24</t>
  </si>
  <si>
    <t>Switch 24</t>
  </si>
  <si>
    <t>DH-CS4228-24GT-240</t>
  </si>
  <si>
    <t>Mayo</t>
  </si>
  <si>
    <t>Junio</t>
  </si>
  <si>
    <t>SW8</t>
  </si>
  <si>
    <t>Switch 8</t>
  </si>
  <si>
    <t xml:space="preserve"> DH-PFS3010-8ET-65</t>
  </si>
  <si>
    <t>Julio</t>
  </si>
  <si>
    <t>POE208-100MB</t>
  </si>
  <si>
    <t>Agosto</t>
  </si>
  <si>
    <t>SW4</t>
  </si>
  <si>
    <t>Switch 4</t>
  </si>
  <si>
    <t>DH-PFS3006-4ET-36</t>
  </si>
  <si>
    <t>Septiembre</t>
  </si>
  <si>
    <t>POE204-100MB</t>
  </si>
  <si>
    <t>Octubre</t>
  </si>
  <si>
    <t>RC20</t>
  </si>
  <si>
    <t>Router Inalambrico</t>
  </si>
  <si>
    <t>Archer C20</t>
  </si>
  <si>
    <t>Noviembre</t>
  </si>
  <si>
    <t>RC21</t>
  </si>
  <si>
    <t xml:space="preserve">RG-EW1200G PRO </t>
  </si>
  <si>
    <t>Diciembre</t>
  </si>
  <si>
    <t>UBIM5</t>
  </si>
  <si>
    <t>Antenas</t>
  </si>
  <si>
    <t>Loco M5 (par)</t>
  </si>
  <si>
    <t>Clickbox</t>
  </si>
  <si>
    <t xml:space="preserve">Link </t>
  </si>
  <si>
    <t>CPE51</t>
  </si>
  <si>
    <t>WI-CPE511H-KIT</t>
  </si>
  <si>
    <t>ANTENASCHILE</t>
  </si>
  <si>
    <t>1230T1</t>
  </si>
  <si>
    <t>Camara Domo</t>
  </si>
  <si>
    <t xml:space="preserve"> DH-IPC-HDW1230T1-0280B</t>
  </si>
  <si>
    <t>1430T1</t>
  </si>
  <si>
    <t xml:space="preserve">
DH-IPC-HDW1431T1P-A-0280B-S6</t>
  </si>
  <si>
    <t>1239S1</t>
  </si>
  <si>
    <t>Cámara Bullet</t>
  </si>
  <si>
    <t>DH-IPC-HFW1239S1-LED-0280B</t>
  </si>
  <si>
    <t>2249S</t>
  </si>
  <si>
    <t>DH-IPC-HFW2249S-S-IL</t>
  </si>
  <si>
    <t>Gabinete exteriores</t>
  </si>
  <si>
    <t>Gabinete Mural-304020</t>
  </si>
  <si>
    <t>Rack Gabinete interior</t>
  </si>
  <si>
    <t>Gabinete Rack 6U Dahua 600x450x501</t>
  </si>
  <si>
    <t>Gabinete Rack 4U Dahua 530X400X200</t>
  </si>
  <si>
    <t>Gabinete Rack 12U Dahua 530x400x600</t>
  </si>
  <si>
    <t>PATCH24</t>
  </si>
  <si>
    <t>Patch panel</t>
  </si>
  <si>
    <t>Patch panel 24 puertos Cat 6</t>
  </si>
  <si>
    <t>PATCH972</t>
  </si>
  <si>
    <t>Patch cord</t>
  </si>
  <si>
    <t>DH-PFM972-6U-2-S</t>
  </si>
  <si>
    <t>CAT6305</t>
  </si>
  <si>
    <t>Caja de cable Cat 6 305</t>
  </si>
  <si>
    <t xml:space="preserve"> DH-PFM923I-6UN-C</t>
  </si>
  <si>
    <t>CAT6100</t>
  </si>
  <si>
    <t>Caja de cable Cat 6 100</t>
  </si>
  <si>
    <t>DH-PFM920I-6UN-C-100</t>
  </si>
  <si>
    <t>CAN10050</t>
  </si>
  <si>
    <t>Canaletas troncal 100x50</t>
  </si>
  <si>
    <t>CANAL100X50</t>
  </si>
  <si>
    <t>Moreto clima</t>
  </si>
  <si>
    <t>Forma de pago</t>
  </si>
  <si>
    <t>Estado</t>
  </si>
  <si>
    <t>CAE100100</t>
  </si>
  <si>
    <t>Caja estanca 100x100</t>
  </si>
  <si>
    <t>Cono 10010070</t>
  </si>
  <si>
    <t>Contado</t>
  </si>
  <si>
    <t>Aprobado</t>
  </si>
  <si>
    <t>50 anticipo y 50 al finalizar</t>
  </si>
  <si>
    <t>Pendiente</t>
  </si>
  <si>
    <t>Costos Motores y Accesorios  (Proveedores)</t>
  </si>
  <si>
    <t>0 a 30 días</t>
  </si>
  <si>
    <t>Rechazado</t>
  </si>
  <si>
    <t>Categoría</t>
  </si>
  <si>
    <t>Al finalizar</t>
  </si>
  <si>
    <t>D10S</t>
  </si>
  <si>
    <t>Motor Corredera</t>
  </si>
  <si>
    <t>D10 Standard</t>
  </si>
  <si>
    <t>RW</t>
  </si>
  <si>
    <t>N/A</t>
  </si>
  <si>
    <t>33% inicial 33% a 30 días y 33% a 60 días</t>
  </si>
  <si>
    <t>APACOM</t>
  </si>
  <si>
    <t>Nombre de proveedor</t>
  </si>
  <si>
    <t>D10SKIT</t>
  </si>
  <si>
    <t>D10 Standard Kit 1(6 crem y 2 controles)</t>
  </si>
  <si>
    <t>Smartsecure</t>
  </si>
  <si>
    <t>D10T</t>
  </si>
  <si>
    <t xml:space="preserve">D10 Turbo </t>
  </si>
  <si>
    <t>D10TKIT</t>
  </si>
  <si>
    <t>D10 Turbo (6 crem y 2 controles)</t>
  </si>
  <si>
    <t>Moreto Clima</t>
  </si>
  <si>
    <t>D10TKIT 2</t>
  </si>
  <si>
    <t>D10  (6 crem, 2 controles 1 par de Photosmart Fotoceldas Inalámbricas)</t>
  </si>
  <si>
    <t>D6KIT</t>
  </si>
  <si>
    <t>D6  (6 crem y 2 controles)</t>
  </si>
  <si>
    <t>D6KIT 2</t>
  </si>
  <si>
    <t>PRODALAM</t>
  </si>
  <si>
    <t>D6KIT 3</t>
  </si>
  <si>
    <t>D6  (6 crem, 2 controles 1 par de Photosmart Fotoceldas Inalámbricas)</t>
  </si>
  <si>
    <t>ACENOR</t>
  </si>
  <si>
    <t>CRM1MT</t>
  </si>
  <si>
    <t>Cremalleras</t>
  </si>
  <si>
    <t>Cremallera Mt 1 mt</t>
  </si>
  <si>
    <t>Particular</t>
  </si>
  <si>
    <t>PowerInverter</t>
  </si>
  <si>
    <t>CREM1N</t>
  </si>
  <si>
    <t>Cremallera Nylon 1 mt</t>
  </si>
  <si>
    <t>Otro</t>
  </si>
  <si>
    <t>SODIMAC</t>
  </si>
  <si>
    <t>PHSMRT</t>
  </si>
  <si>
    <t>Fotocelda</t>
  </si>
  <si>
    <t>Photon Smart (par)</t>
  </si>
  <si>
    <t>NOVA2</t>
  </si>
  <si>
    <t>Controles</t>
  </si>
  <si>
    <t>Control NOVA 2CH</t>
  </si>
  <si>
    <t>WP17</t>
  </si>
  <si>
    <t>Sistema Apertura</t>
  </si>
  <si>
    <t>Controlador Wifi WP17</t>
  </si>
  <si>
    <t>BALNC1224</t>
  </si>
  <si>
    <t>Baliza</t>
  </si>
  <si>
    <t>Baliza NICE  12-38V</t>
  </si>
  <si>
    <t>BALNC1225</t>
  </si>
  <si>
    <t>KITG4060</t>
  </si>
  <si>
    <t>Juego de guías</t>
  </si>
  <si>
    <t>Set de Guias 40x60</t>
  </si>
  <si>
    <t>GN4060</t>
  </si>
  <si>
    <t>Guias</t>
  </si>
  <si>
    <t>Guias Nylon 40x60</t>
  </si>
  <si>
    <t>GN40120</t>
  </si>
  <si>
    <t>Guias Nylon 40x120</t>
  </si>
  <si>
    <t>FERRV</t>
  </si>
  <si>
    <t>Ferretería</t>
  </si>
  <si>
    <t>Ferreterías varias</t>
  </si>
  <si>
    <t>R100</t>
  </si>
  <si>
    <t>Ruedas</t>
  </si>
  <si>
    <t>Ruedas c/ Pasador 100 mm</t>
  </si>
  <si>
    <t>Costos Chapas, retenedores y accesorios  (Proveedores)</t>
  </si>
  <si>
    <t>28OA</t>
  </si>
  <si>
    <t>Retenedor 280 KGs</t>
  </si>
  <si>
    <t>Dahua DHI-ASF280A-V1</t>
  </si>
  <si>
    <t>280HS</t>
  </si>
  <si>
    <t>ZK Teco CM-280HS</t>
  </si>
  <si>
    <t>CM180H</t>
  </si>
  <si>
    <t>Retenedor 180 KGs</t>
  </si>
  <si>
    <t>ZK Teco CM-180H Retenedor electromagnético para puertas batientes</t>
  </si>
  <si>
    <t>TRGPLAS</t>
  </si>
  <si>
    <t>Pulsador Garita</t>
  </si>
  <si>
    <t>Pulsador de Salida Mecánico Plástico</t>
  </si>
  <si>
    <t xml:space="preserve">Otro </t>
  </si>
  <si>
    <t>SOPRET01</t>
  </si>
  <si>
    <t>Soporte retenedor</t>
  </si>
  <si>
    <t>Soporte retenedor tipo L</t>
  </si>
  <si>
    <t>ASI1201E</t>
  </si>
  <si>
    <t>Control de acceso</t>
  </si>
  <si>
    <t>Control Acceso DHI-ASI1201E</t>
  </si>
  <si>
    <t>ASI1201E-D</t>
  </si>
  <si>
    <t>Control Acceso ASI1201E-D</t>
  </si>
  <si>
    <t>PLC12V</t>
  </si>
  <si>
    <t>Controladora 2 puertas</t>
  </si>
  <si>
    <t xml:space="preserve">Placa controladora 12V </t>
  </si>
  <si>
    <t>S802MAX</t>
  </si>
  <si>
    <t xml:space="preserve">Cerradura Digital </t>
  </si>
  <si>
    <t>Cerradura digital  App TUYA, teclado, huella y tarjeta c Cámara</t>
  </si>
  <si>
    <t>Claudio Quezada</t>
  </si>
  <si>
    <t>958MAX</t>
  </si>
  <si>
    <t>Cerradura digital,  App TUYA, teclado, huella y tarjeta c Reconocimiento facial</t>
  </si>
  <si>
    <t>S811</t>
  </si>
  <si>
    <t>Cerradura digital básica, App TUYA, teclado, huella y tarjeta</t>
  </si>
  <si>
    <t>ASSABLOY</t>
  </si>
  <si>
    <t>Chapa exteriores</t>
  </si>
  <si>
    <t>Cerradura Eléctrica Poli Estándar 3010 Color Gris</t>
  </si>
  <si>
    <t>Servicio (Instaladores)</t>
  </si>
  <si>
    <t>S01</t>
  </si>
  <si>
    <t xml:space="preserve">Servicio </t>
  </si>
  <si>
    <t>Instalación de motor (Solo)</t>
  </si>
  <si>
    <t>S01CIP</t>
  </si>
  <si>
    <t>Servicio de recuperación IP de cámara asociada a NVR</t>
  </si>
  <si>
    <t>S02GATOR</t>
  </si>
  <si>
    <t>Servicio de recuperación de dispositivo Protegus 2</t>
  </si>
  <si>
    <t>S02</t>
  </si>
  <si>
    <t>Instalación de motor (Kit)</t>
  </si>
  <si>
    <t>S03</t>
  </si>
  <si>
    <t>Instalación de ruedas (Unidad)</t>
  </si>
  <si>
    <t>S04</t>
  </si>
  <si>
    <t>Instalación de guias</t>
  </si>
  <si>
    <t>S05</t>
  </si>
  <si>
    <t>Instalación Retenedor</t>
  </si>
  <si>
    <t>S06</t>
  </si>
  <si>
    <t>Instalación Protegus y config</t>
  </si>
  <si>
    <t>S07</t>
  </si>
  <si>
    <t>Mantención programada</t>
  </si>
  <si>
    <t>S08</t>
  </si>
  <si>
    <t>Instalación de chapa Exteriores</t>
  </si>
  <si>
    <t>S08I</t>
  </si>
  <si>
    <t>Servicio</t>
  </si>
  <si>
    <t>Servicio de instalación y configuración de chapas digitales</t>
  </si>
  <si>
    <t>S09</t>
  </si>
  <si>
    <t>Servicio de recuperación post colisión Motor Centurion</t>
  </si>
  <si>
    <t>S09F</t>
  </si>
  <si>
    <t xml:space="preserve">Servicio de recuperación estructural </t>
  </si>
  <si>
    <t>S10</t>
  </si>
  <si>
    <t>Servicio de instalación digitador de acceso</t>
  </si>
  <si>
    <t>S11</t>
  </si>
  <si>
    <t>Fabricación de perfil 100x100 c/ pintura y polines</t>
  </si>
  <si>
    <t>S13</t>
  </si>
  <si>
    <t>Proyecto</t>
  </si>
  <si>
    <t>Servicio de mantenimiento CCTV central.</t>
  </si>
  <si>
    <t>S14</t>
  </si>
  <si>
    <t>Servicio de mantenimiento y renovacion/acondicionamiento de central CCTV Fase I</t>
  </si>
  <si>
    <t>S15</t>
  </si>
  <si>
    <t>Servicio de implementación de infraestructura base y plataforma CCTV IP Fase II</t>
  </si>
  <si>
    <t>S16</t>
  </si>
  <si>
    <t>Servicio de instalación CCTV IP en acccesos peatonales a las torres y piscina Fase III</t>
  </si>
  <si>
    <t>S17</t>
  </si>
  <si>
    <t>Servicio de instalación CCTV en áreas a acceso a la playa, piscina, quincho Fase IV</t>
  </si>
  <si>
    <t>S18</t>
  </si>
  <si>
    <t>Servicio CCTV e Infraestrcutura para exteriores y 2 cámaras en poste.</t>
  </si>
  <si>
    <t>S19</t>
  </si>
  <si>
    <t>Servicio CCTV de instalación Piso 18 (6 cámaras) con bajada de cables por troncal de edificio a NVR piso 1.</t>
  </si>
  <si>
    <t>S20</t>
  </si>
  <si>
    <t>Servicio de instalación nodo de 8 cámaras N1 y N2.</t>
  </si>
  <si>
    <t>S21</t>
  </si>
  <si>
    <t>Servicio de instalación nodo de 8 cámaras N3 y N4.</t>
  </si>
  <si>
    <t>S12NVR</t>
  </si>
  <si>
    <t xml:space="preserve">Servicio de configuración de CCTV con aplicativo </t>
  </si>
  <si>
    <t>SEMT</t>
  </si>
  <si>
    <t>Servicio de instalación de punto eléctrico x mt</t>
  </si>
  <si>
    <t>PROYECTO</t>
  </si>
  <si>
    <t>Proyecto asociado a propuesta (revisar adjuntos)</t>
  </si>
  <si>
    <t xml:space="preserve">PROYECTO </t>
  </si>
  <si>
    <t>RUT</t>
  </si>
  <si>
    <t>RAZÓN SOCIAL</t>
  </si>
  <si>
    <t>DIRECCION</t>
  </si>
  <si>
    <t>COMUNA</t>
  </si>
  <si>
    <t>CIUDAD</t>
  </si>
  <si>
    <t>REGIÓN</t>
  </si>
  <si>
    <t>CONTACTO</t>
  </si>
  <si>
    <t>TELÉFONO</t>
  </si>
  <si>
    <t>MAIL</t>
  </si>
  <si>
    <t>Columna 1</t>
  </si>
  <si>
    <t>Columna 2</t>
  </si>
  <si>
    <t>Columna 3</t>
  </si>
  <si>
    <t>Columna 4</t>
  </si>
  <si>
    <t>Columna 5</t>
  </si>
  <si>
    <t>Columna 6</t>
  </si>
  <si>
    <t>Columna 7</t>
  </si>
  <si>
    <t>Columna 8</t>
  </si>
  <si>
    <t>Columna 9</t>
  </si>
  <si>
    <t>Columna 10</t>
  </si>
  <si>
    <t>Columna 11</t>
  </si>
  <si>
    <t>Columna 12</t>
  </si>
  <si>
    <t>Columna 13</t>
  </si>
  <si>
    <t>Columna 14</t>
  </si>
  <si>
    <t>Columna 15</t>
  </si>
  <si>
    <t>Columna 16</t>
  </si>
  <si>
    <t>Columna 17</t>
  </si>
  <si>
    <t>53320939-4</t>
  </si>
  <si>
    <t>Condominio Paseo Peñuelas</t>
  </si>
  <si>
    <t>AV. PACIFICO 5208</t>
  </si>
  <si>
    <t>La Serena</t>
  </si>
  <si>
    <t>Coquimbo</t>
  </si>
  <si>
    <t>Adm Victor Figueroa</t>
  </si>
  <si>
    <t>9-59823214</t>
  </si>
  <si>
    <t>Pendiente correo</t>
  </si>
  <si>
    <t>53334332-5</t>
  </si>
  <si>
    <t>Condominio Mirador Los Clarines</t>
  </si>
  <si>
    <t>Av Los Clarines 1575</t>
  </si>
  <si>
    <t>Emerson Castillo</t>
  </si>
  <si>
    <t>9-5982-3214</t>
  </si>
  <si>
    <t>condominiomiradordelosclarines@gmail.com</t>
  </si>
  <si>
    <t>65198585-4</t>
  </si>
  <si>
    <t>Condominio Vicenza II</t>
  </si>
  <si>
    <t>Av. Marco Gallo Vergara 536</t>
  </si>
  <si>
    <t>Mauricio Araya</t>
  </si>
  <si>
    <t>9-97269955</t>
  </si>
  <si>
    <t>mauricio@mypspa.cl</t>
  </si>
  <si>
    <t>53333086-k</t>
  </si>
  <si>
    <t>Condominio Colinas del Milagro</t>
  </si>
  <si>
    <t>Enrique Lynch 4332</t>
  </si>
  <si>
    <t>76733113-4</t>
  </si>
  <si>
    <t>RW SPA</t>
  </si>
  <si>
    <t>Arzobispo Larrain Gandarillas 87</t>
  </si>
  <si>
    <t>Providencia</t>
  </si>
  <si>
    <t>Santiago</t>
  </si>
  <si>
    <t>Leonardo Arriaga</t>
  </si>
  <si>
    <t>SIN TELEFONO</t>
  </si>
  <si>
    <t>-</t>
  </si>
  <si>
    <t>65216508-7</t>
  </si>
  <si>
    <t>Condominio Mirador El Milagro</t>
  </si>
  <si>
    <t>Av. Las Palmeras 7000</t>
  </si>
  <si>
    <t>Camila Godoy</t>
  </si>
  <si>
    <t>9-44637185</t>
  </si>
  <si>
    <t>condominiomiradorelmilagro@gmail.com</t>
  </si>
  <si>
    <t>76470822-9</t>
  </si>
  <si>
    <t>Sociedad Educacional Shalom SpA</t>
  </si>
  <si>
    <t>Avda. El Rosario 3870</t>
  </si>
  <si>
    <t>Jorge Adm</t>
  </si>
  <si>
    <t>contacto@amazinggraceco.cl</t>
  </si>
  <si>
    <t>65203446-2</t>
  </si>
  <si>
    <t>Condominio Altos del Parque</t>
  </si>
  <si>
    <t>G. Mistral 3605 E-1 Altos del Pque</t>
  </si>
  <si>
    <t>Maria Antoniera del Pino</t>
  </si>
  <si>
    <t>9-84398698</t>
  </si>
  <si>
    <t>50.000.001-0</t>
  </si>
  <si>
    <t>Condominio Lomas de San Joaquin</t>
  </si>
  <si>
    <t>Av Gabriela Mistral 3670</t>
  </si>
  <si>
    <t>Paola Robles</t>
  </si>
  <si>
    <t>9-95802922</t>
  </si>
  <si>
    <t>56047780-5</t>
  </si>
  <si>
    <t>Comunidad Edificio Florencia</t>
  </si>
  <si>
    <t>Av Puertas del mar 347</t>
  </si>
  <si>
    <t>Guillermo Negrete</t>
  </si>
  <si>
    <t>9-93590543</t>
  </si>
  <si>
    <t xml:space="preserve">53322672-8 </t>
  </si>
  <si>
    <t>CONDOMINIO V.I.V.E LA FLORIDA ORIENTE</t>
  </si>
  <si>
    <t>Av El Litre 2162, La Florida</t>
  </si>
  <si>
    <t xml:space="preserve">53.332.075-9 </t>
  </si>
  <si>
    <t>Condominio Jardin Central</t>
  </si>
  <si>
    <t xml:space="preserve">Blanco garces 154 </t>
  </si>
  <si>
    <t>Estacion Central</t>
  </si>
  <si>
    <t>Metropolitana</t>
  </si>
  <si>
    <t>Vanessa Guerra</t>
  </si>
  <si>
    <t>9 49856345</t>
  </si>
  <si>
    <t>administracion@jardincentro.cl</t>
  </si>
  <si>
    <t>50.000.000-0</t>
  </si>
  <si>
    <t>Edificio Puerta Centro</t>
  </si>
  <si>
    <t>Morande 857</t>
  </si>
  <si>
    <t>Santiago Centro</t>
  </si>
  <si>
    <t>César</t>
  </si>
  <si>
    <t>9 98402129</t>
  </si>
  <si>
    <t>Epuertacentro@gmail.com</t>
  </si>
  <si>
    <t>53.322.860-7</t>
  </si>
  <si>
    <t>Condominio Los Tamarindos I</t>
  </si>
  <si>
    <t>Av Islón 1301</t>
  </si>
  <si>
    <t>Norman Rojas</t>
  </si>
  <si>
    <t>65.095.336-2</t>
  </si>
  <si>
    <t>Condominio Neo Spazio</t>
  </si>
  <si>
    <t>Av Central 5000</t>
  </si>
  <si>
    <t>condominioneospazio@gmail.com</t>
  </si>
  <si>
    <t>76.324.502-0</t>
  </si>
  <si>
    <t>CitoApp SpA</t>
  </si>
  <si>
    <t>Providencia 1650 oficina 1603</t>
  </si>
  <si>
    <t>Rodrigo Mansilla</t>
  </si>
  <si>
    <t>9 6699 9835</t>
  </si>
  <si>
    <t>contacto@citoapp.cl</t>
  </si>
  <si>
    <t>76.324.502- 0</t>
  </si>
  <si>
    <t>Cond Artes 1</t>
  </si>
  <si>
    <t>Av Alberto Carvajal 4235</t>
  </si>
  <si>
    <t>Carlos Hinojosa</t>
  </si>
  <si>
    <t xml:space="preserve"> 9 7806 9280</t>
  </si>
  <si>
    <t>76.179.872-3</t>
  </si>
  <si>
    <t>Sociedad Educacional Basaldiaz S.A</t>
  </si>
  <si>
    <t xml:space="preserve">Cruz del Molino #386 Puertas del Mar La Serena
</t>
  </si>
  <si>
    <t>Jonatan Mena</t>
  </si>
  <si>
    <t>adquisiciones@amazinggracels.cl</t>
  </si>
  <si>
    <t>53332414-2</t>
  </si>
  <si>
    <t xml:space="preserve">Portal del Valle II </t>
  </si>
  <si>
    <t>Calle Raul Bitran 3501</t>
  </si>
  <si>
    <t xml:space="preserve">mauricio@mypspa.cl </t>
  </si>
  <si>
    <t>76256791-1</t>
  </si>
  <si>
    <t>Condominio Verona</t>
  </si>
  <si>
    <t>Monaco 493</t>
  </si>
  <si>
    <t>76866075-1</t>
  </si>
  <si>
    <t>Paseo San Carlos VII</t>
  </si>
  <si>
    <t>Waldo alcalde 1180</t>
  </si>
  <si>
    <t>Claudio García</t>
  </si>
  <si>
    <t>65.229.898-2</t>
  </si>
  <si>
    <t>Distrito Verde I</t>
  </si>
  <si>
    <t>Emilio Apey 405</t>
  </si>
  <si>
    <t>Maria Antonieta del Pino</t>
  </si>
  <si>
    <t>madelpinoarcos@gmail.com</t>
  </si>
  <si>
    <t>65.244.656- 6</t>
  </si>
  <si>
    <t>Distrito Verde  II</t>
  </si>
  <si>
    <t>Emilio Apey 409</t>
  </si>
  <si>
    <t>79866075-1</t>
  </si>
  <si>
    <t>Cond Doña Anita</t>
  </si>
  <si>
    <t>Av del mar 3320</t>
  </si>
  <si>
    <t>Noema Reyes</t>
  </si>
  <si>
    <t>9 7731 14628</t>
  </si>
  <si>
    <t>53332351-0</t>
  </si>
  <si>
    <t>Cond Aires de La Florida 4</t>
  </si>
  <si>
    <t>Los Arándonos 5506</t>
  </si>
  <si>
    <t>9-7684 0230</t>
  </si>
  <si>
    <t>90000000-1</t>
  </si>
  <si>
    <t>Condominio Gabriela Mistral</t>
  </si>
  <si>
    <t xml:space="preserve">Av Libertadores </t>
  </si>
  <si>
    <t>90000002-1</t>
  </si>
  <si>
    <t>Condominio Golf III</t>
  </si>
  <si>
    <t>Enrique Abbott 380</t>
  </si>
  <si>
    <t>Oscar Castro</t>
  </si>
  <si>
    <t>9 9450 8233</t>
  </si>
  <si>
    <t>90000003-1</t>
  </si>
  <si>
    <t>Juan Fernando Mancilla</t>
  </si>
  <si>
    <t>Enrique Abbott 390</t>
  </si>
  <si>
    <t>jperez@gmail.com</t>
  </si>
  <si>
    <t>65242132-6</t>
  </si>
  <si>
    <t>Condominio Alto Bellavista</t>
  </si>
  <si>
    <t>Av Las Palmeras 740</t>
  </si>
  <si>
    <t>65106948-3</t>
  </si>
  <si>
    <t>Condominio Capri</t>
  </si>
  <si>
    <t>Av Puertas del mar 425</t>
  </si>
  <si>
    <t>Bernardita Orellana</t>
  </si>
  <si>
    <t>9-93193675</t>
  </si>
  <si>
    <t>adm.condominiocapri@gmail.com</t>
  </si>
  <si>
    <t>76785900-7</t>
  </si>
  <si>
    <t>Espacio Norte La Serena</t>
  </si>
  <si>
    <t>El Rodillo Parcela 125 Vegas Norte La Serena</t>
  </si>
  <si>
    <t>Juan Retamal</t>
  </si>
  <si>
    <t>9-985690424</t>
  </si>
  <si>
    <t>contacto@espacioserenanorte.cl</t>
  </si>
  <si>
    <t>53318313-1</t>
  </si>
  <si>
    <t>Condominio Parque Libertad</t>
  </si>
  <si>
    <t xml:space="preserve"> Juan Lorenzo Solis Castro 520</t>
  </si>
  <si>
    <t>Wilson Vargas</t>
  </si>
  <si>
    <t>9-61183960</t>
  </si>
  <si>
    <t>admparquelibertad@gmail.com</t>
  </si>
  <si>
    <t>65094027-K</t>
  </si>
  <si>
    <t xml:space="preserve">Cond Marina Horizonte </t>
  </si>
  <si>
    <t>Av Los Pescadores 5301</t>
  </si>
  <si>
    <t>Rodrigo Mancilla</t>
  </si>
  <si>
    <t>9-6699 9835</t>
  </si>
  <si>
    <t>rodrigomancilla@gmail.com</t>
  </si>
  <si>
    <t>76866075-2</t>
  </si>
  <si>
    <t>Condominio Pacífico</t>
  </si>
  <si>
    <t>Av Pacífico 3100</t>
  </si>
  <si>
    <t>Gabriel Mollano</t>
  </si>
  <si>
    <t>9-95906289</t>
  </si>
  <si>
    <t>53.312.705-3</t>
  </si>
  <si>
    <t>Condominio Palermo</t>
  </si>
  <si>
    <t>Av Roberto Flores 0175</t>
  </si>
  <si>
    <t>Elvis Díaz</t>
  </si>
  <si>
    <t>9-39074968</t>
  </si>
  <si>
    <t>elvisdiazdiaz.adm@gmail.com</t>
  </si>
  <si>
    <t>65.049.582-9</t>
  </si>
  <si>
    <t>Espacio Urbano</t>
  </si>
  <si>
    <t>Av Francisco de Aguirre 075</t>
  </si>
  <si>
    <t>Gypsy Adm</t>
  </si>
  <si>
    <t>9 6287 8932</t>
  </si>
  <si>
    <t xml:space="preserve">65.066.845-6 </t>
  </si>
  <si>
    <t>Condominio Ossandon</t>
  </si>
  <si>
    <t>Av  Ossandón 60</t>
  </si>
  <si>
    <t>Diego Palma</t>
  </si>
  <si>
    <t>9 9969 8228</t>
  </si>
  <si>
    <t>admossandon@gmail.com</t>
  </si>
  <si>
    <t>65.110.744-K</t>
  </si>
  <si>
    <t>Condominio Bahia Horizonte</t>
  </si>
  <si>
    <t>Darío Salas 1111</t>
  </si>
  <si>
    <t>Cbh.adm.2025@gmail.com</t>
  </si>
  <si>
    <t>53.330.222-K</t>
  </si>
  <si>
    <t>Condominio Jardines del Pacífico</t>
  </si>
  <si>
    <t>Av Pacifico 510</t>
  </si>
  <si>
    <t>Sergio Cortez</t>
  </si>
  <si>
    <t>9 5148 2432</t>
  </si>
  <si>
    <t>condominiojardinesdelpacifico@gmail.com</t>
  </si>
  <si>
    <t>ID_COT</t>
  </si>
  <si>
    <t>FECHA</t>
  </si>
  <si>
    <t>RUT_CLIENTE</t>
  </si>
  <si>
    <t>APLICA IVA</t>
  </si>
  <si>
    <t>TELEFÓNO</t>
  </si>
  <si>
    <t>VENDEDOR</t>
  </si>
  <si>
    <t>FORMA DE PAGO</t>
  </si>
  <si>
    <t>VALOR NETO</t>
  </si>
  <si>
    <t>TOTAL</t>
  </si>
  <si>
    <t>DESCRIPCIÓN</t>
  </si>
  <si>
    <t>COMENTARIOS</t>
  </si>
  <si>
    <t>ESTADO</t>
  </si>
  <si>
    <t>DOCUMENTO</t>
  </si>
  <si>
    <t>NRO DOCUMENTO</t>
  </si>
  <si>
    <t>Servicio de mantención Programada 2024</t>
  </si>
  <si>
    <t>Dispositivo GATOR para activación de portón remoto para apertura con aplicativo Protegus</t>
  </si>
  <si>
    <t>Dispositivo GATOR para activación de portón remoto para apertura con aplicativo Protegus (hasta 500 usuarios).</t>
  </si>
  <si>
    <t>Cambio Ruedas 24mm (par)</t>
  </si>
  <si>
    <t>Instalación de Rueda 100x100 doble rodamiento, cambio de las 2 ruedas pre existentes y una rueda entremedia 100x100 para redistribución de la carga total del portón.</t>
  </si>
  <si>
    <t>Kit D10 Smart con 6mts Cremallera M, CR y Baliza</t>
  </si>
  <si>
    <t xml:space="preserve">Kit incluye: Placa metálica de montaje, 6 cremalleras metálicas, 2 baterías de 12V/7amp (24V) de respaldo, 1 Control Transmisor NOVA, 1 Baliza 24V y 1 par de Fotocelda Centurion Smart </t>
  </si>
  <si>
    <t>Servicio Mantención</t>
  </si>
  <si>
    <t>Cambio de Guías + reparación riel + reparación topes</t>
  </si>
  <si>
    <t>Kit D10 Smart con 6mts Cremallera M, CR, Baliza y fotocelda Smart</t>
  </si>
  <si>
    <t>Sistema para apertura remota mediante aplicativo protegus 2</t>
  </si>
  <si>
    <t>Servicio incluye suministro, aceite de motor FAAC, Bisagras y accesorios.</t>
  </si>
  <si>
    <t>Servicio incluye suministro, aceite de motor FAAC, Bisagras y accesorios. Modificación de portón incluye Quicios y perfil 100x50, incluye servicio de aplicación de pintura.</t>
  </si>
  <si>
    <t xml:space="preserve">Central Citofonía Bticino </t>
  </si>
  <si>
    <t xml:space="preserve">Kit de citofono Btcino con expansor y fuente de alimentación con Instalacíon. </t>
  </si>
  <si>
    <t>D10 STD Smart + 6mts cremallera + 1 Control 2b + 2 Bateria 12v + Baliza 24V + Fotocelda Smart Ina + con Inst Motor + Servicios Tecnico post venta</t>
  </si>
  <si>
    <t>Servicio incluye motor, instalación, accesorios y 2 controles.</t>
  </si>
  <si>
    <t>Kit D10 T Smart + Fotocelda Smart + Inst Motor</t>
  </si>
  <si>
    <t>Instalación de chapa eléctrica Poli para exteriores.</t>
  </si>
  <si>
    <t>Servicio incluye chapa electromagnetica, cableado y garantía</t>
  </si>
  <si>
    <t>Instalación de motor Centurion D10 Turbo con 6 cremalleras, baliza, fotoceldas, mano de obra y configuración. Incluye ruedas 100x100 (2)</t>
  </si>
  <si>
    <t>Servicio de instalación motor D10T, accesorios, baliza y cambio de ruedas.</t>
  </si>
  <si>
    <t xml:space="preserve">Instalación de motor Centurion D10 Turbo con 6 cremalleras, baliza, fotoceldas, mano de obra y configuración. </t>
  </si>
  <si>
    <t xml:space="preserve">Instalación de motor Centurion D5 con 4 cremalleras, baliza, fotoceldas, sistema WIFI de apertura remota, mano de obra y configuración. </t>
  </si>
  <si>
    <t xml:space="preserve">Instalación de motor Centurion D10 con 6 cremalleras, baliza, fotoceldas, sistema WIFI de apertura remota, mano de obra y configuración. </t>
  </si>
  <si>
    <t xml:space="preserve">Instalación de motor Centurion D10Turbo con 6 cremalleras, baliza, fotoceldas, cambio de ruedas, Polines de Guías, mano de obra y configuración. </t>
  </si>
  <si>
    <t xml:space="preserve">Reparación sensores Centurion D10 </t>
  </si>
  <si>
    <t>Cambio de ruedas, Guías, cambio de cremalleras,
enderezamiento de portón, y preparación para instalar motor</t>
  </si>
  <si>
    <t>Servicio sin equipo, solo materiales y accesorios</t>
  </si>
  <si>
    <t>Centurion D10 Turbo Smart
incluye instalación de 6 mts de cremallera y 2
controles remoto</t>
  </si>
  <si>
    <t>Motor D10 Turbo incluye cremalleras, controles y mano de obra</t>
  </si>
  <si>
    <t>Reparación Portón por colisión</t>
  </si>
  <si>
    <t>Recuperación automatización portón Distrito verde 1 (incluye foto celdas internas inalambricas)</t>
  </si>
  <si>
    <t>Dtto Verde 1 Reparación por concepto defectos de instalacion de cremalleras, instalación perfil en medio de recorrido , puesta en marcha y configuración de equipo</t>
  </si>
  <si>
    <t>Dtto Verde 2 Reparación por concepto defectos de instalacion de cremalleras, instalación perfil en medio de recorrido , puesta en marcha y configuración de equipo</t>
  </si>
  <si>
    <t>Reconfiguración e instalación de moptor D10 Turbo</t>
  </si>
  <si>
    <t>Mano de obra de reconfiguracion motor batiente a corredizo, trabajos de obra civil e instalación de motor D10 Turbo con kit de instalacion.</t>
  </si>
  <si>
    <t>D10 STD Smart + 6mts cremallera + 2 Control 2b + 2 Bateria 12v + Fotocelda Smart Ina 
Serial: ZAXZ200031C2</t>
  </si>
  <si>
    <t>Serial Motor: ZAXZ200031C2</t>
  </si>
  <si>
    <t>Con Inst Motor + Servicios Tecnico post vent</t>
  </si>
  <si>
    <t>Solo servicio y mano de obra</t>
  </si>
  <si>
    <t>Manteción programada 2025</t>
  </si>
  <si>
    <t>Mantención programada 2025</t>
  </si>
  <si>
    <t>Controles Centurion</t>
  </si>
  <si>
    <t>9 controles NOVA 2CH</t>
  </si>
  <si>
    <t>Cambio de digitador y central de control de acceso a Torre B.</t>
  </si>
  <si>
    <t xml:space="preserve">Servicio de perfil de apoyo 100x100 con 3ra rueda de aguante para estabilizacion de paño </t>
  </si>
  <si>
    <t>Estabilizacion y separación de paño portón de pared vecinal.</t>
  </si>
  <si>
    <t xml:space="preserve">Chapa ODIS Model 783 Instalada 
</t>
  </si>
  <si>
    <t>Instalación de motor Centurion D10 Turbo, cambio de ruedas, cambio de guías y acondicionamiento de base de motor.</t>
  </si>
  <si>
    <t>Recuperación de 8 cámaras IP y recuperación señal Protegus 2</t>
  </si>
  <si>
    <t>Servicio de venta e instalación 17 cámaras IP en la perfiferia del Condominio con alcance de antenas inalámbricas.</t>
  </si>
  <si>
    <t>Servicio de instalación y puesta en marcha de circuito CCTV IP implementando antenas inalámbricas.</t>
  </si>
  <si>
    <t>Servicio de mantención Programada 2025</t>
  </si>
  <si>
    <t>Venta de 8 controles NOVA 2CH</t>
  </si>
  <si>
    <t>Recuperación cámaras Torre 3, y configuración TCP/IP para visualizar CCTV por dispisitivos remotos</t>
  </si>
  <si>
    <t>Instalación de chapa S821MAX</t>
  </si>
  <si>
    <t>Motor D10 Turbo c Instalación</t>
  </si>
  <si>
    <t>Motor D10 Turbo</t>
  </si>
  <si>
    <t>Servicio de recuperación , rectificación y mantención de motor D10 Turbo y estructura general.</t>
  </si>
  <si>
    <t>Valor CCTV
equipos
principales e
instalación de
cámaras en
periferia de garita;</t>
  </si>
  <si>
    <t>Presupuesto c/ Levantamiento donde se detallan las correcciones y materiales.</t>
  </si>
  <si>
    <t>Valor CCTV
Estacionamiento y
estaciones
inalámbricas.</t>
  </si>
  <si>
    <t>Valor CCTV Áreas
comunes, pasillos
y accesos
peatonales.</t>
  </si>
  <si>
    <t>Controles NOVA 2 canales</t>
  </si>
  <si>
    <t>$895000 inicial al finalizar $895000 , Valores NO incluyen IVA.</t>
  </si>
  <si>
    <t xml:space="preserve">Instalación de motor Centurion D6 Turbo con 6 cremalleras, baliza, fotoceldas, mano de obra y configuración. </t>
  </si>
  <si>
    <t>$645000 inicial al finalizar $645000  , Valores NO incluyen IVA.</t>
  </si>
  <si>
    <t>Dispositivo GATOR (Protegus 2)</t>
  </si>
  <si>
    <t>3 días Hábiles despues de pruebas efectivas y capacitación de usuario que enrola a residentes.</t>
  </si>
  <si>
    <t>Renovación de retenedor y cambio de posición de botón pulsador.</t>
  </si>
  <si>
    <t>Renovación de retenedor electromagnético Torre B (Incluye Mano de obra)</t>
  </si>
  <si>
    <t>Recuperación de portón chocado (incluye reparación, renovación de partes de dañadas y configuración)</t>
  </si>
  <si>
    <t>Servicio de mantención CCTV</t>
  </si>
  <si>
    <t xml:space="preserve">Servicio de mantención CCTV </t>
  </si>
  <si>
    <t xml:space="preserve">Servicio de cambio de retenedor magnético (Incluye cambio de suministro) y cambio de digitador Torre B) </t>
  </si>
  <si>
    <t>Manteción programada 2026 (Se adjunta check list de mantención a cotización)</t>
  </si>
  <si>
    <t xml:space="preserve">Instalación de motor Centurion D10 Standard (26 mts x min) con 6 cremalleras, baliza, fotoceldas, cambio de ruedas (100x100 ) mano de obra y configuración. </t>
  </si>
  <si>
    <t xml:space="preserve">Instalación de motor Centurion D10 Turbo (45 mts x min) con 6 cremalleras, baliza, fotoceldas, cambio de ruedas (100x100 ) mano de obra y configuración. </t>
  </si>
  <si>
    <t>Re instalación de cremalleras, desengrase de rodamiento, recorridos, piñón de motor (Incluye cremalleras) Configuración y puesta en marcha.</t>
  </si>
  <si>
    <t>Re instalación de cremalleras, desengrase de rodamiento, recorridos, piñón de motor (Incluye cremalleras) Configuración y puesta en marcha motor Nice Drive1000.</t>
  </si>
  <si>
    <t>10 Controles NOVA Centurion</t>
  </si>
  <si>
    <t>Kit Centurion D6 para portón de 200 Kgs , 200 mil ciclos de vida útiles, cremalleras, y baliza se incluyen en el servicio.</t>
  </si>
  <si>
    <t>Kit Centurion D6 para portón de 200 Kgs , 200 mil ciclos de vida útiles, cremalleras, Y fotoceldas  se incluyen en el servicio.</t>
  </si>
  <si>
    <t>Cambio de ruedas 100x100 (2)</t>
  </si>
  <si>
    <t>Instalación de sistema de apertura Wifi para motor Centurion. para cada motor (2), incluye capacitación de uso para administración y enrolamientos al sistema, NECESARIO contar con Wifi para enlazar dispositivo a la red del condominio.</t>
  </si>
  <si>
    <t>Manteción programada 2026 (Se adjunta check list de mantención a cotización) 2 portones del condominio.</t>
  </si>
  <si>
    <t>Manteción programada 2026 (Se adjunta check list de mantención a cotización)  2 portones del condominio.</t>
  </si>
  <si>
    <t>Kit Centurion D6 para portón de 600 Kgs , 150 ciclos día, cremalleras, y baliza se incluyen en el servicio.</t>
  </si>
  <si>
    <t>Kit Centurion D10 para portón de 1000 Kgs , 750 ciclos día, cremalleras, y baliza se incluyen en el servicio.</t>
  </si>
  <si>
    <t>Mantenimiento de CCTV llegada de cables a garita, verificación de cámaras nocturnas y funcionamiento correcto de las mismas para cotizar renovación over si son puntas.</t>
  </si>
  <si>
    <t>Instalación de Router repetidor en Estacionamiento para expansión de internet en dispositivos Protegus 2</t>
  </si>
  <si>
    <t>Mantención y recuperación, y acondicionamiento CCTV analógico actual.</t>
  </si>
  <si>
    <t>Adjunto propuesta técnica / económica</t>
  </si>
  <si>
    <t>Renovación y camnbio de infraestructura CCTV IP e instalación CCTV en techo de garita.</t>
  </si>
  <si>
    <t>Instalación CCTV de cámaras en exteriores (2), con Infraestructura base IP, Mano de obra y accesorios.</t>
  </si>
  <si>
    <t>Instalación CCTV de cámaras en exteriores, con Infraestructura base IP, Mano de obra y accesorios.</t>
  </si>
  <si>
    <t>Instalación CCTV interiores (piso 18) con cableado por troncal principal de edificio.</t>
  </si>
  <si>
    <t>Instalación CCTV interiores (piso 18) (6) con cableado por troncal principal de edificio.</t>
  </si>
  <si>
    <t>Valor CCTV cámaras exteriores (2) e infraestructura base CCTV IP.</t>
  </si>
  <si>
    <t>Valor CCTV (6) áreas comunes Piso 18 .</t>
  </si>
  <si>
    <t>Nodo 1 (8) Piso del 17 al 13</t>
  </si>
  <si>
    <t>Instalación CCTV de cámaras pisos 17 al 13 (8 cámaras)</t>
  </si>
  <si>
    <t>Nodo 2 (8) Piso del 13 al 9</t>
  </si>
  <si>
    <t>Instalación CCTV de cámaras pisos 13 al 9 (8 cámaras)</t>
  </si>
  <si>
    <t>Nodo 3 (8) Piso del 9 al 5</t>
  </si>
  <si>
    <t>Instalación CCTV de cámaras pisos 9 al 5 (8 cámaras)</t>
  </si>
  <si>
    <t>Nodo 4 (8) Piso del 5 al 2</t>
  </si>
  <si>
    <t>Instalación CCTV de cámaras pisos 5 al 2 (8 cámaras)</t>
  </si>
  <si>
    <t xml:space="preserve">                                                                                                                                    Detalle de cotizaciones</t>
  </si>
  <si>
    <t>Nro Cot</t>
  </si>
  <si>
    <t xml:space="preserve">Nro de fila </t>
  </si>
  <si>
    <t>Cliente</t>
  </si>
  <si>
    <t>Producto / Servicio</t>
  </si>
  <si>
    <t>Cant</t>
  </si>
  <si>
    <t>Valor unitario</t>
  </si>
  <si>
    <t>Descuento</t>
  </si>
  <si>
    <t>Sub- Total unitario</t>
  </si>
  <si>
    <t>VALOR IVA</t>
  </si>
  <si>
    <t>Total Uni</t>
  </si>
  <si>
    <t>Total acumulado</t>
  </si>
  <si>
    <t>Margen Unitario</t>
  </si>
  <si>
    <t>Margen acumulado</t>
  </si>
  <si>
    <t>Servicio de renovación CCTV fase I</t>
  </si>
  <si>
    <t>Servicio de renovación CCTV fase II</t>
  </si>
  <si>
    <t>Servicio de renovación CCTV fase III</t>
  </si>
  <si>
    <t>Periodo:</t>
  </si>
  <si>
    <t xml:space="preserve"> </t>
  </si>
  <si>
    <t>Ventas generales</t>
  </si>
  <si>
    <t>Cantidad Doc.</t>
  </si>
  <si>
    <t>Total Ventas</t>
  </si>
  <si>
    <t>Total Motores Vendidos</t>
  </si>
  <si>
    <t>Total Productos y servicios</t>
  </si>
  <si>
    <t>Total Facturas</t>
  </si>
  <si>
    <t>Total Sin Documento</t>
  </si>
  <si>
    <t>Característica</t>
  </si>
  <si>
    <t>D10 SMART</t>
  </si>
  <si>
    <t>D6 SMART</t>
  </si>
  <si>
    <t>Capacidad de Carga</t>
  </si>
  <si>
    <t>Hasta 1000 kg</t>
  </si>
  <si>
    <t>Hasta 600 kg</t>
  </si>
  <si>
    <t>Velocidad Máxima</t>
  </si>
  <si>
    <t>Hasta 26 m/min</t>
  </si>
  <si>
    <t>Hasta 36 m/min</t>
  </si>
  <si>
    <t>Ciclos Diarios</t>
  </si>
  <si>
    <t>750 operaciones</t>
  </si>
  <si>
    <t>150 operaciones</t>
  </si>
  <si>
    <t>Fuerza de Empuje (Nominal)</t>
  </si>
  <si>
    <t>30 kgf</t>
  </si>
  <si>
    <t>17 kgf</t>
  </si>
  <si>
    <t>Longitud Máxima de Puerta</t>
  </si>
  <si>
    <t>50 m</t>
  </si>
  <si>
    <t>100 m</t>
  </si>
  <si>
    <t>Cot 71</t>
  </si>
  <si>
    <t>Inicial</t>
  </si>
  <si>
    <t>Saldo (30 días)</t>
  </si>
  <si>
    <t>Cot 72</t>
  </si>
  <si>
    <t>Saldo (60 días)</t>
  </si>
  <si>
    <t>codigo</t>
  </si>
  <si>
    <t>nombre</t>
  </si>
  <si>
    <t xml:space="preserve">descripcion </t>
  </si>
  <si>
    <t>precio</t>
  </si>
  <si>
    <t>unidad</t>
  </si>
  <si>
    <t>categoria</t>
  </si>
  <si>
    <t>proveedor</t>
  </si>
  <si>
    <t>tipo</t>
  </si>
  <si>
    <t xml:space="preserve">un </t>
  </si>
  <si>
    <t>producto</t>
  </si>
  <si>
    <t>par</t>
  </si>
  <si>
    <t>un</t>
  </si>
  <si>
    <t>kit</t>
  </si>
  <si>
    <t>Prodalam</t>
  </si>
  <si>
    <t>gl</t>
  </si>
  <si>
    <t>Todochapas</t>
  </si>
  <si>
    <t>Los Pinos</t>
  </si>
  <si>
    <t>servicio</t>
  </si>
  <si>
    <t>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</si>
</sst>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m/yyyy"/>
    <numFmt numFmtId="165" formatCode="&quot;$&quot;#,##0.00"/>
    <numFmt numFmtId="166" formatCode="_ * #,##0_ ;_ * \-#,##0_ ;_ * &quot;-&quot;_ ;_ @_ "/>
    <numFmt numFmtId="167" formatCode="_ &quot;$&quot;* #,##0_ ;_ &quot;$&quot;* \-#,##0_ ;_ &quot;$&quot;* &quot;-&quot;_ ;_ @_ "/>
    <numFmt numFmtId="168" formatCode="dd/mm/yyyy"/>
    <numFmt numFmtId="169" formatCode="d/m/yyyy"/>
    <numFmt numFmtId="170" formatCode="_ * #,##0.00_ ;_ * \-#,##0.00_ ;_ * &quot;-&quot;??_ ;_ @_ "/>
    <numFmt numFmtId="171" formatCode="&quot;$&quot;#,##0"/>
    <numFmt numFmtId="172" formatCode="_-* #,##0_-;\-* #,##0_-;_-* &quot;-&quot;??_-;_-@"/>
  </numFmts>
  <fonts count="64">
    <font>
      <sz val="11.0"/>
      <color theme="1"/>
      <name val="Calibri"/>
      <scheme val="minor"/>
    </font>
    <font>
      <sz val="11.0"/>
      <color theme="1"/>
      <name val="Arial"/>
    </font>
    <font/>
    <font>
      <b/>
      <sz val="26.0"/>
      <color rgb="FFFF0000"/>
      <name val="Arial"/>
    </font>
    <font>
      <b/>
      <sz val="14.0"/>
      <color rgb="FFFF0000"/>
      <name val="Arial"/>
    </font>
    <font>
      <sz val="10.0"/>
      <color theme="1"/>
      <name val="Arial"/>
    </font>
    <font>
      <sz val="14.0"/>
      <color theme="1"/>
      <name val="Arial"/>
    </font>
    <font>
      <sz val="9.0"/>
      <color theme="1"/>
      <name val="Arial"/>
    </font>
    <font>
      <b/>
      <sz val="16.0"/>
      <color rgb="FFC00000"/>
      <name val="Arial"/>
    </font>
    <font>
      <sz val="12.0"/>
      <color theme="1"/>
      <name val="Arial"/>
    </font>
    <font>
      <b/>
      <sz val="9.0"/>
      <color theme="1"/>
      <name val="Arial"/>
    </font>
    <font>
      <sz val="14.0"/>
      <color rgb="FF7F7F7F"/>
      <name val="Arial"/>
    </font>
    <font>
      <b/>
      <sz val="11.0"/>
      <color rgb="FF7F7F7F"/>
      <name val="Arial"/>
    </font>
    <font>
      <sz val="8.0"/>
      <color theme="1"/>
      <name val="Arial"/>
    </font>
    <font>
      <sz val="10.0"/>
      <color theme="1"/>
      <name val="Calibri"/>
      <scheme val="minor"/>
    </font>
    <font>
      <b/>
      <sz val="9.0"/>
      <color rgb="FF7F7F7F"/>
      <name val="Arial"/>
    </font>
    <font>
      <b/>
      <sz val="10.0"/>
      <color theme="1"/>
      <name val="Arial"/>
    </font>
    <font>
      <sz val="11.0"/>
      <color theme="1"/>
      <name val="Calibri"/>
    </font>
    <font>
      <b/>
      <sz val="12.0"/>
      <color theme="1"/>
      <name val="Calibri"/>
    </font>
    <font>
      <sz val="18.0"/>
      <color rgb="FF000000"/>
      <name val="Calibri"/>
    </font>
    <font>
      <color theme="1"/>
      <name val="Arial"/>
    </font>
    <font>
      <b/>
      <sz val="11.0"/>
      <color theme="1"/>
      <name val="Calibri"/>
    </font>
    <font>
      <color theme="1"/>
      <name val="Roboto"/>
    </font>
    <font>
      <color theme="1"/>
      <name val="Calibri"/>
      <scheme val="minor"/>
    </font>
    <font>
      <sz val="11.0"/>
      <color rgb="FF2C481F"/>
      <name val="Calibri"/>
    </font>
    <font>
      <u/>
      <sz val="11.0"/>
      <color rgb="FF434343"/>
      <name val="Calibri"/>
    </font>
    <font>
      <color rgb="FF434343"/>
      <name val="Roboto"/>
    </font>
    <font>
      <b/>
      <color rgb="FF434343"/>
      <name val="Roboto"/>
    </font>
    <font>
      <b/>
      <sz val="12.0"/>
      <color rgb="FFFFFFFF"/>
      <name val="Calibri"/>
    </font>
    <font>
      <sz val="11.0"/>
      <color rgb="FF2A3243"/>
      <name val="Calibri"/>
    </font>
    <font>
      <u/>
      <sz val="11.0"/>
      <color rgb="FF434343"/>
      <name val="Calibri"/>
    </font>
    <font>
      <b/>
      <sz val="11.0"/>
      <color theme="1"/>
      <name val="Arial"/>
    </font>
    <font>
      <sz val="11.0"/>
      <color rgb="FF133819"/>
      <name val="Calibri"/>
    </font>
    <font>
      <sz val="11.0"/>
      <color rgb="FF3F4170"/>
      <name val="Calibri"/>
    </font>
    <font>
      <u/>
      <color rgb="FF434343"/>
      <name val="Roboto"/>
    </font>
    <font>
      <u/>
      <color rgb="FF0000FF"/>
      <name val="Roboto"/>
    </font>
    <font>
      <sz val="11.0"/>
      <color rgb="FF3F4528"/>
      <name val="Calibri"/>
    </font>
    <font>
      <b/>
      <sz val="12.0"/>
      <color rgb="FF000000"/>
      <name val="Calibri"/>
    </font>
    <font>
      <u/>
      <color rgb="FF434343"/>
      <name val="Roboto"/>
    </font>
    <font>
      <sz val="11.0"/>
      <color rgb="FF000000"/>
      <name val="Calibri"/>
    </font>
    <font>
      <sz val="11.0"/>
      <color rgb="FFD4EDBC"/>
      <name val="Calibri"/>
    </font>
    <font>
      <sz val="11.0"/>
      <color rgb="FF434343"/>
      <name val="Calibri"/>
    </font>
    <font>
      <sz val="11.0"/>
      <color rgb="FFBFE0F6"/>
      <name val="Calibri"/>
    </font>
    <font>
      <sz val="11.0"/>
      <color rgb="FFFFC8AA"/>
      <name val="Calibri"/>
    </font>
    <font>
      <sz val="11.0"/>
      <color rgb="FFE5E5E5"/>
      <name val="Calibri"/>
    </font>
    <font>
      <color rgb="FF2C481F"/>
      <name val="Roboto"/>
    </font>
    <font>
      <u/>
      <color rgb="FF434343"/>
      <name val="Roboto"/>
    </font>
    <font>
      <u/>
      <color rgb="FF434343"/>
      <name val="Roboto"/>
    </font>
    <font>
      <u/>
      <sz val="11.0"/>
      <color rgb="FF434343"/>
      <name val="Calibri"/>
    </font>
    <font>
      <sz val="11.0"/>
      <color rgb="FFE5CFF2"/>
      <name val="Calibri"/>
    </font>
    <font>
      <u/>
      <color rgb="FF434343"/>
      <name val="Roboto"/>
    </font>
    <font>
      <u/>
      <color rgb="FF434343"/>
      <name val="Calibri"/>
      <scheme val="minor"/>
    </font>
    <font>
      <u/>
      <color rgb="FF0000FF"/>
      <name val="Roboto"/>
    </font>
    <font>
      <u/>
      <color rgb="FF0000FF"/>
      <name val="Roboto"/>
    </font>
    <font>
      <b/>
      <sz val="15.0"/>
      <color theme="1"/>
      <name val="Raleway"/>
    </font>
    <font>
      <b/>
      <sz val="9.0"/>
      <color theme="1"/>
      <name val="Calibri"/>
      <scheme val="minor"/>
    </font>
    <font>
      <b/>
      <color theme="1"/>
      <name val="Calibri"/>
      <scheme val="minor"/>
    </font>
    <font>
      <sz val="11.0"/>
      <color rgb="FF434343"/>
      <name val="Roboto"/>
    </font>
    <font>
      <b/>
      <sz val="12.0"/>
      <color theme="1"/>
      <name val="Arial"/>
    </font>
    <font>
      <sz val="11.0"/>
      <color theme="0"/>
      <name val="Arial"/>
    </font>
    <font>
      <b/>
      <color rgb="FF1F1F1F"/>
      <name val="&quot;Google Sans Text&quot;"/>
    </font>
    <font>
      <color rgb="FF1F1F1F"/>
      <name val="&quot;Google Sans Text&quot;"/>
    </font>
    <font>
      <b/>
      <i/>
      <color theme="1"/>
      <name val="Calibri"/>
      <scheme val="minor"/>
    </font>
    <font>
      <sz val="13.0"/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3F4170"/>
        <bgColor rgb="FF3F4170"/>
      </patternFill>
    </fill>
    <fill>
      <patternFill patternType="solid">
        <fgColor rgb="FFF6F8F9"/>
        <bgColor rgb="FFF6F8F9"/>
      </patternFill>
    </fill>
    <fill>
      <patternFill patternType="solid">
        <fgColor rgb="FFBDD7EE"/>
        <bgColor rgb="FFBDD7EE"/>
      </patternFill>
    </fill>
    <fill>
      <patternFill patternType="solid">
        <fgColor rgb="FF9CC2E5"/>
        <bgColor rgb="FF9CC2E5"/>
      </patternFill>
    </fill>
    <fill>
      <patternFill patternType="solid">
        <fgColor rgb="FF2F5496"/>
        <bgColor rgb="FF2F5496"/>
      </patternFill>
    </fill>
  </fills>
  <borders count="77">
    <border/>
    <border>
      <left/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A5A5A5"/>
      </top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A5A5A5"/>
      </left>
      <top style="thin">
        <color rgb="FFA5A5A5"/>
      </top>
    </border>
    <border>
      <top style="thin">
        <color rgb="FFA5A5A5"/>
      </top>
    </border>
    <border>
      <right style="thin">
        <color rgb="FFA5A5A5"/>
      </right>
      <top style="thin">
        <color rgb="FFA5A5A5"/>
      </top>
    </border>
    <border>
      <left style="thin">
        <color rgb="FFA5A5A5"/>
      </left>
    </border>
    <border>
      <right style="thin">
        <color rgb="FFA5A5A5"/>
      </right>
    </border>
    <border>
      <left style="thin">
        <color rgb="FFA5A5A5"/>
      </left>
      <bottom style="thin">
        <color rgb="FFBFBFBF"/>
      </bottom>
    </border>
    <border>
      <bottom style="thin">
        <color rgb="FFBFBFBF"/>
      </bottom>
    </border>
    <border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right/>
      <top/>
      <bottom/>
    </border>
    <border>
      <right style="thin">
        <color rgb="FFA5A5A5"/>
      </right>
      <bottom style="thin">
        <color rgb="FFBFBFB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284E3F"/>
      </left>
    </border>
    <border>
      <right style="thin">
        <color rgb="FF284E3F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6F8F9"/>
      </left>
      <right style="thin">
        <color rgb="FFF6F8F9"/>
      </right>
      <bottom style="thin">
        <color rgb="FFF6F8F9"/>
      </bottom>
    </border>
  </borders>
  <cellStyleXfs count="1">
    <xf borderId="0" fillId="0" fontId="0" numFmtId="0" applyAlignment="1" applyFont="1"/>
  </cellStyleXfs>
  <cellXfs count="3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2" fillId="3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3" numFmtId="0" xfId="0" applyAlignment="1" applyBorder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0" fillId="0" fontId="4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shrinkToFit="0" wrapText="1"/>
    </xf>
    <xf borderId="1" fillId="2" fontId="6" numFmtId="164" xfId="0" applyBorder="1" applyFont="1" applyNumberFormat="1"/>
    <xf borderId="0" fillId="0" fontId="7" numFmtId="0" xfId="0" applyAlignment="1" applyFont="1">
      <alignment horizontal="left"/>
    </xf>
    <xf borderId="0" fillId="0" fontId="6" numFmtId="0" xfId="0" applyFont="1"/>
    <xf borderId="0" fillId="0" fontId="8" numFmtId="0" xfId="0" applyAlignment="1" applyFont="1">
      <alignment horizontal="center"/>
    </xf>
    <xf borderId="0" fillId="0" fontId="7" numFmtId="0" xfId="0" applyFont="1"/>
    <xf borderId="0" fillId="0" fontId="9" numFmtId="164" xfId="0" applyFont="1" applyNumberFormat="1"/>
    <xf borderId="0" fillId="0" fontId="1" numFmtId="164" xfId="0" applyFont="1" applyNumberFormat="1"/>
    <xf borderId="0" fillId="0" fontId="7" numFmtId="0" xfId="0" applyAlignment="1" applyFont="1">
      <alignment vertical="center"/>
    </xf>
    <xf borderId="0" fillId="0" fontId="10" numFmtId="0" xfId="0" applyFont="1"/>
    <xf borderId="0" fillId="0" fontId="11" numFmtId="0" xfId="0" applyAlignment="1" applyFont="1">
      <alignment horizontal="left" vertical="top"/>
    </xf>
    <xf borderId="0" fillId="0" fontId="7" numFmtId="0" xfId="0" applyAlignment="1" applyFont="1">
      <alignment readingOrder="0"/>
    </xf>
    <xf borderId="0" fillId="0" fontId="9" numFmtId="0" xfId="0" applyFont="1"/>
    <xf borderId="1" fillId="2" fontId="4" numFmtId="0" xfId="0" applyBorder="1" applyFont="1"/>
    <xf borderId="8" fillId="0" fontId="12" numFmtId="0" xfId="0" applyAlignment="1" applyBorder="1" applyFont="1">
      <alignment horizontal="left"/>
    </xf>
    <xf borderId="8" fillId="0" fontId="2" numFmtId="0" xfId="0" applyBorder="1" applyFont="1"/>
    <xf borderId="8" fillId="0" fontId="1" numFmtId="0" xfId="0" applyAlignment="1" applyBorder="1" applyFont="1">
      <alignment horizontal="left"/>
    </xf>
    <xf borderId="8" fillId="0" fontId="1" numFmtId="0" xfId="0" applyBorder="1" applyFont="1"/>
    <xf borderId="0" fillId="0" fontId="12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2" numFmtId="0" xfId="0" applyAlignment="1" applyFont="1">
      <alignment horizontal="center"/>
    </xf>
    <xf borderId="1" fillId="2" fontId="7" numFmtId="0" xfId="0" applyAlignment="1" applyBorder="1" applyFont="1">
      <alignment vertical="center"/>
    </xf>
    <xf borderId="9" fillId="3" fontId="1" numFmtId="0" xfId="0" applyAlignment="1" applyBorder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0" fillId="0" fontId="1" numFmtId="0" xfId="0" applyAlignment="1" applyFont="1">
      <alignment vertical="center"/>
    </xf>
    <xf borderId="12" fillId="0" fontId="5" numFmtId="0" xfId="0" applyAlignment="1" applyBorder="1" applyFont="1">
      <alignment horizontal="left" shrinkToFit="0" vertical="center" wrapText="1"/>
    </xf>
    <xf borderId="13" fillId="0" fontId="2" numFmtId="0" xfId="0" applyBorder="1" applyFont="1"/>
    <xf borderId="13" fillId="0" fontId="5" numFmtId="165" xfId="0" applyAlignment="1" applyBorder="1" applyFont="1" applyNumberFormat="1">
      <alignment horizontal="left" shrinkToFit="0" vertical="center" wrapText="1"/>
    </xf>
    <xf borderId="13" fillId="0" fontId="1" numFmtId="166" xfId="0" applyAlignment="1" applyBorder="1" applyFont="1" applyNumberFormat="1">
      <alignment horizontal="center" vertical="center"/>
    </xf>
    <xf borderId="13" fillId="0" fontId="5" numFmtId="166" xfId="0" applyAlignment="1" applyBorder="1" applyFont="1" applyNumberFormat="1">
      <alignment horizontal="center" vertical="center"/>
    </xf>
    <xf borderId="13" fillId="0" fontId="5" numFmtId="165" xfId="0" applyAlignment="1" applyBorder="1" applyFont="1" applyNumberFormat="1">
      <alignment horizontal="right" shrinkToFit="0" vertical="center" wrapText="1"/>
    </xf>
    <xf borderId="13" fillId="0" fontId="5" numFmtId="9" xfId="0" applyAlignment="1" applyBorder="1" applyFont="1" applyNumberFormat="1">
      <alignment vertical="center"/>
    </xf>
    <xf borderId="14" fillId="0" fontId="2" numFmtId="0" xfId="0" applyBorder="1" applyFont="1"/>
    <xf borderId="1" fillId="2" fontId="1" numFmtId="0" xfId="0" applyAlignment="1" applyBorder="1" applyFont="1">
      <alignment vertical="center"/>
    </xf>
    <xf borderId="15" fillId="0" fontId="5" numFmtId="0" xfId="0" applyAlignment="1" applyBorder="1" applyFont="1">
      <alignment horizontal="left" shrinkToFit="0" vertical="center" wrapText="1"/>
    </xf>
    <xf borderId="0" fillId="0" fontId="5" numFmtId="165" xfId="0" applyAlignment="1" applyFont="1" applyNumberFormat="1">
      <alignment horizontal="left" shrinkToFit="0" vertical="center" wrapText="1"/>
    </xf>
    <xf borderId="0" fillId="0" fontId="1" numFmtId="166" xfId="0" applyAlignment="1" applyFont="1" applyNumberFormat="1">
      <alignment horizontal="center"/>
    </xf>
    <xf borderId="0" fillId="0" fontId="5" numFmtId="166" xfId="0" applyAlignment="1" applyFont="1" applyNumberFormat="1">
      <alignment horizontal="center"/>
    </xf>
    <xf borderId="0" fillId="0" fontId="5" numFmtId="165" xfId="0" applyAlignment="1" applyFont="1" applyNumberFormat="1">
      <alignment horizontal="right" shrinkToFit="0" vertical="center" wrapText="1"/>
    </xf>
    <xf borderId="0" fillId="0" fontId="5" numFmtId="9" xfId="0" applyFont="1" applyNumberFormat="1"/>
    <xf borderId="16" fillId="0" fontId="2" numFmtId="0" xfId="0" applyBorder="1" applyFont="1"/>
    <xf borderId="0" fillId="0" fontId="5" numFmtId="167" xfId="0" applyAlignment="1" applyFont="1" applyNumberFormat="1">
      <alignment horizontal="center"/>
    </xf>
    <xf borderId="15" fillId="0" fontId="5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/>
    </xf>
    <xf borderId="0" fillId="0" fontId="13" numFmtId="165" xfId="0" applyAlignment="1" applyFont="1" applyNumberFormat="1">
      <alignment horizontal="right" shrinkToFit="0" vertical="center" wrapText="1"/>
    </xf>
    <xf borderId="0" fillId="0" fontId="14" numFmtId="9" xfId="0" applyFont="1" applyNumberFormat="1"/>
    <xf borderId="17" fillId="0" fontId="5" numFmtId="0" xfId="0" applyAlignment="1" applyBorder="1" applyFont="1">
      <alignment horizontal="center"/>
    </xf>
    <xf borderId="18" fillId="0" fontId="2" numFmtId="0" xfId="0" applyBorder="1" applyFont="1"/>
    <xf borderId="18" fillId="0" fontId="13" numFmtId="165" xfId="0" applyAlignment="1" applyBorder="1" applyFont="1" applyNumberFormat="1">
      <alignment horizontal="right" shrinkToFit="0" vertical="center" wrapText="1"/>
    </xf>
    <xf borderId="18" fillId="0" fontId="1" numFmtId="166" xfId="0" applyAlignment="1" applyBorder="1" applyFont="1" applyNumberFormat="1">
      <alignment horizontal="center"/>
    </xf>
    <xf borderId="18" fillId="0" fontId="1" numFmtId="167" xfId="0" applyAlignment="1" applyBorder="1" applyFont="1" applyNumberFormat="1">
      <alignment horizontal="center"/>
    </xf>
    <xf borderId="19" fillId="0" fontId="14" numFmtId="9" xfId="0" applyBorder="1" applyFont="1" applyNumberFormat="1"/>
    <xf borderId="19" fillId="0" fontId="2" numFmtId="0" xfId="0" applyBorder="1" applyFont="1"/>
    <xf borderId="19" fillId="0" fontId="5" numFmtId="165" xfId="0" applyAlignment="1" applyBorder="1" applyFont="1" applyNumberFormat="1">
      <alignment horizontal="right" shrinkToFit="0" vertical="center" wrapText="1"/>
    </xf>
    <xf borderId="20" fillId="0" fontId="2" numFmtId="0" xfId="0" applyBorder="1" applyFont="1"/>
    <xf borderId="9" fillId="0" fontId="12" numFmtId="0" xfId="0" applyBorder="1" applyFont="1"/>
    <xf borderId="10" fillId="0" fontId="1" numFmtId="0" xfId="0" applyBorder="1" applyFont="1"/>
    <xf borderId="11" fillId="0" fontId="1" numFmtId="0" xfId="0" applyBorder="1" applyFont="1"/>
    <xf borderId="21" fillId="0" fontId="15" numFmtId="0" xfId="0" applyAlignment="1" applyBorder="1" applyFont="1">
      <alignment horizontal="left"/>
    </xf>
    <xf borderId="22" fillId="0" fontId="16" numFmtId="167" xfId="0" applyAlignment="1" applyBorder="1" applyFont="1" applyNumberFormat="1">
      <alignment horizontal="center"/>
    </xf>
    <xf borderId="23" fillId="0" fontId="2" numFmtId="0" xfId="0" applyBorder="1" applyFont="1"/>
    <xf borderId="24" fillId="0" fontId="2" numFmtId="0" xfId="0" applyBorder="1" applyFont="1"/>
    <xf borderId="25" fillId="0" fontId="7" numFmtId="0" xfId="0" applyAlignment="1" applyBorder="1" applyFont="1">
      <alignment horizontal="left" shrinkToFit="0" vertical="top" wrapText="1"/>
    </xf>
    <xf borderId="26" fillId="0" fontId="2" numFmtId="0" xfId="0" applyBorder="1" applyFont="1"/>
    <xf borderId="21" fillId="0" fontId="15" numFmtId="0" xfId="0" applyAlignment="1" applyBorder="1" applyFont="1">
      <alignment horizontal="left" readingOrder="0"/>
    </xf>
    <xf borderId="22" fillId="0" fontId="5" numFmtId="167" xfId="0" applyAlignment="1" applyBorder="1" applyFont="1" applyNumberFormat="1">
      <alignment horizontal="center"/>
    </xf>
    <xf borderId="25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top" wrapText="1"/>
    </xf>
    <xf borderId="10" fillId="0" fontId="7" numFmtId="0" xfId="0" applyAlignment="1" applyBorder="1" applyFont="1">
      <alignment shrinkToFit="0" vertical="top" wrapText="1"/>
    </xf>
    <xf borderId="10" fillId="0" fontId="10" numFmtId="0" xfId="0" applyAlignment="1" applyBorder="1" applyFont="1">
      <alignment shrinkToFit="0" vertical="center" wrapText="1"/>
    </xf>
    <xf borderId="15" fillId="0" fontId="7" numFmtId="0" xfId="0" applyAlignment="1" applyBorder="1" applyFont="1">
      <alignment shrinkToFit="0" vertical="top" wrapText="1"/>
    </xf>
    <xf borderId="29" fillId="2" fontId="1" numFmtId="0" xfId="0" applyBorder="1" applyFont="1"/>
    <xf borderId="30" fillId="0" fontId="2" numFmtId="0" xfId="0" applyBorder="1" applyFont="1"/>
    <xf borderId="25" fillId="0" fontId="7" numFmtId="0" xfId="0" applyAlignment="1" applyBorder="1" applyFont="1">
      <alignment horizontal="left" vertical="center"/>
    </xf>
    <xf borderId="27" fillId="0" fontId="10" numFmtId="0" xfId="0" applyAlignment="1" applyBorder="1" applyFont="1">
      <alignment horizontal="left" vertical="center"/>
    </xf>
    <xf borderId="9" fillId="0" fontId="7" numFmtId="0" xfId="0" applyBorder="1" applyFont="1"/>
    <xf borderId="10" fillId="0" fontId="7" numFmtId="0" xfId="0" applyBorder="1" applyFont="1"/>
    <xf borderId="13" fillId="0" fontId="7" numFmtId="0" xfId="0" applyBorder="1" applyFont="1"/>
    <xf borderId="13" fillId="0" fontId="1" numFmtId="0" xfId="0" applyBorder="1" applyFont="1"/>
    <xf borderId="14" fillId="0" fontId="1" numFmtId="0" xfId="0" applyBorder="1" applyFont="1"/>
    <xf borderId="25" fillId="0" fontId="1" numFmtId="0" xfId="0" applyBorder="1" applyFont="1"/>
    <xf borderId="0" fillId="0" fontId="7" numFmtId="0" xfId="0" applyAlignment="1" applyFont="1">
      <alignment horizontal="center" shrinkToFit="0" wrapText="1"/>
    </xf>
    <xf borderId="16" fillId="0" fontId="1" numFmtId="0" xfId="0" applyBorder="1" applyFont="1"/>
    <xf borderId="25" fillId="0" fontId="13" numFmtId="0" xfId="0" applyAlignment="1" applyBorder="1" applyFont="1">
      <alignment horizontal="left" shrinkToFit="0" vertical="top" wrapText="0"/>
    </xf>
    <xf borderId="0" fillId="0" fontId="13" numFmtId="0" xfId="0" applyAlignment="1" applyFont="1">
      <alignment horizontal="left" shrinkToFit="0" vertical="top" wrapText="0"/>
    </xf>
    <xf borderId="16" fillId="0" fontId="13" numFmtId="0" xfId="0" applyAlignment="1" applyBorder="1" applyFont="1">
      <alignment horizontal="left" shrinkToFit="0" vertical="top" wrapText="0"/>
    </xf>
    <xf borderId="18" fillId="0" fontId="13" numFmtId="0" xfId="0" applyAlignment="1" applyBorder="1" applyFont="1">
      <alignment horizontal="left" shrinkToFit="0" vertical="top" wrapText="0"/>
    </xf>
    <xf borderId="28" fillId="0" fontId="13" numFmtId="0" xfId="0" applyAlignment="1" applyBorder="1" applyFont="1">
      <alignment horizontal="left" shrinkToFit="0" vertical="top" wrapText="0"/>
    </xf>
    <xf borderId="1" fillId="2" fontId="17" numFmtId="0" xfId="0" applyBorder="1" applyFont="1"/>
    <xf borderId="0" fillId="0" fontId="17" numFmtId="0" xfId="0" applyAlignment="1" applyFont="1">
      <alignment vertical="bottom"/>
    </xf>
    <xf borderId="31" fillId="4" fontId="18" numFmtId="0" xfId="0" applyAlignment="1" applyBorder="1" applyFill="1" applyFont="1">
      <alignment vertical="bottom"/>
    </xf>
    <xf borderId="32" fillId="0" fontId="17" numFmtId="0" xfId="0" applyAlignment="1" applyBorder="1" applyFont="1">
      <alignment vertical="bottom"/>
    </xf>
    <xf borderId="33" fillId="0" fontId="17" numFmtId="0" xfId="0" applyAlignment="1" applyBorder="1" applyFont="1">
      <alignment vertical="bottom"/>
    </xf>
    <xf borderId="34" fillId="0" fontId="17" numFmtId="0" xfId="0" applyAlignment="1" applyBorder="1" applyFont="1">
      <alignment vertical="bottom"/>
    </xf>
    <xf borderId="0" fillId="5" fontId="19" numFmtId="0" xfId="0" applyAlignment="1" applyFill="1" applyFont="1">
      <alignment shrinkToFit="0" vertical="center" wrapText="1"/>
    </xf>
    <xf borderId="0" fillId="0" fontId="20" numFmtId="0" xfId="0" applyAlignment="1" applyFont="1">
      <alignment vertical="bottom"/>
    </xf>
    <xf borderId="35" fillId="0" fontId="17" numFmtId="0" xfId="0" applyAlignment="1" applyBorder="1" applyFont="1">
      <alignment vertical="bottom"/>
    </xf>
    <xf borderId="34" fillId="0" fontId="17" numFmtId="0" xfId="0" applyAlignment="1" applyBorder="1" applyFont="1">
      <alignment readingOrder="0" vertical="bottom"/>
    </xf>
    <xf borderId="0" fillId="0" fontId="17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horizontal="center" readingOrder="0" shrinkToFit="0" vertical="bottom" wrapText="0"/>
    </xf>
    <xf borderId="0" fillId="0" fontId="22" numFmtId="0" xfId="0" applyAlignment="1" applyFont="1">
      <alignment horizontal="left" readingOrder="0" shrinkToFit="0" vertical="center" wrapText="0"/>
    </xf>
    <xf borderId="0" fillId="0" fontId="23" numFmtId="0" xfId="0" applyAlignment="1" applyFont="1">
      <alignment readingOrder="0" shrinkToFit="0" vertical="center" wrapText="0"/>
    </xf>
    <xf borderId="36" fillId="6" fontId="17" numFmtId="0" xfId="0" applyAlignment="1" applyBorder="1" applyFill="1" applyFont="1">
      <alignment shrinkToFit="0" vertical="bottom" wrapText="0"/>
    </xf>
    <xf borderId="37" fillId="6" fontId="17" numFmtId="0" xfId="0" applyAlignment="1" applyBorder="1" applyFont="1">
      <alignment shrinkToFit="0" vertical="bottom" wrapText="0"/>
    </xf>
    <xf borderId="37" fillId="6" fontId="24" numFmtId="0" xfId="0" applyAlignment="1" applyBorder="1" applyFont="1">
      <alignment shrinkToFit="0" vertical="bottom" wrapText="0"/>
    </xf>
    <xf borderId="37" fillId="6" fontId="25" numFmtId="0" xfId="0" applyAlignment="1" applyBorder="1" applyFont="1">
      <alignment shrinkToFit="0" vertical="bottom" wrapText="0"/>
    </xf>
    <xf borderId="37" fillId="6" fontId="26" numFmtId="165" xfId="0" applyAlignment="1" applyBorder="1" applyFont="1" applyNumberFormat="1">
      <alignment horizontal="right" shrinkToFit="0" vertical="center" wrapText="0"/>
    </xf>
    <xf borderId="37" fillId="6" fontId="26" numFmtId="0" xfId="0" applyAlignment="1" applyBorder="1" applyFont="1">
      <alignment horizontal="right" shrinkToFit="0" vertical="center" wrapText="0"/>
    </xf>
    <xf borderId="37" fillId="6" fontId="27" numFmtId="165" xfId="0" applyAlignment="1" applyBorder="1" applyFont="1" applyNumberFormat="1">
      <alignment horizontal="right" shrinkToFit="0" vertical="center" wrapText="0"/>
    </xf>
    <xf borderId="38" fillId="6" fontId="26" numFmtId="165" xfId="0" applyAlignment="1" applyBorder="1" applyFont="1" applyNumberFormat="1">
      <alignment horizontal="right" shrinkToFit="0" vertical="center" wrapText="0"/>
    </xf>
    <xf borderId="39" fillId="7" fontId="28" numFmtId="0" xfId="0" applyAlignment="1" applyBorder="1" applyFill="1" applyFont="1">
      <alignment horizontal="center"/>
    </xf>
    <xf borderId="40" fillId="0" fontId="2" numFmtId="0" xfId="0" applyBorder="1" applyFont="1"/>
    <xf borderId="41" fillId="0" fontId="2" numFmtId="0" xfId="0" applyBorder="1" applyFont="1"/>
    <xf borderId="42" fillId="8" fontId="17" numFmtId="0" xfId="0" applyAlignment="1" applyBorder="1" applyFill="1" applyFont="1">
      <alignment shrinkToFit="0" vertical="bottom" wrapText="0"/>
    </xf>
    <xf borderId="43" fillId="8" fontId="17" numFmtId="0" xfId="0" applyAlignment="1" applyBorder="1" applyFont="1">
      <alignment shrinkToFit="0" vertical="bottom" wrapText="0"/>
    </xf>
    <xf borderId="43" fillId="8" fontId="29" numFmtId="0" xfId="0" applyAlignment="1" applyBorder="1" applyFont="1">
      <alignment shrinkToFit="0" vertical="bottom" wrapText="0"/>
    </xf>
    <xf borderId="43" fillId="8" fontId="30" numFmtId="0" xfId="0" applyAlignment="1" applyBorder="1" applyFont="1">
      <alignment shrinkToFit="0" vertical="bottom" wrapText="0"/>
    </xf>
    <xf borderId="43" fillId="8" fontId="26" numFmtId="165" xfId="0" applyAlignment="1" applyBorder="1" applyFont="1" applyNumberFormat="1">
      <alignment horizontal="right" shrinkToFit="0" vertical="center" wrapText="0"/>
    </xf>
    <xf borderId="43" fillId="8" fontId="26" numFmtId="0" xfId="0" applyAlignment="1" applyBorder="1" applyFont="1">
      <alignment horizontal="right" shrinkToFit="0" vertical="center" wrapText="0"/>
    </xf>
    <xf borderId="43" fillId="8" fontId="27" numFmtId="165" xfId="0" applyAlignment="1" applyBorder="1" applyFont="1" applyNumberFormat="1">
      <alignment horizontal="right" shrinkToFit="0" vertical="center" wrapText="0"/>
    </xf>
    <xf borderId="44" fillId="8" fontId="26" numFmtId="165" xfId="0" applyAlignment="1" applyBorder="1" applyFont="1" applyNumberFormat="1">
      <alignment horizontal="right" shrinkToFit="0" vertical="center" wrapText="0"/>
    </xf>
    <xf borderId="45" fillId="0" fontId="31" numFmtId="0" xfId="0" applyBorder="1" applyFont="1"/>
    <xf borderId="46" fillId="0" fontId="1" numFmtId="168" xfId="0" applyBorder="1" applyFont="1" applyNumberFormat="1"/>
    <xf borderId="47" fillId="0" fontId="1" numFmtId="168" xfId="0" applyBorder="1" applyFont="1" applyNumberFormat="1"/>
    <xf borderId="0" fillId="0" fontId="1" numFmtId="168" xfId="0" applyFont="1" applyNumberFormat="1"/>
    <xf borderId="45" fillId="0" fontId="1" numFmtId="0" xfId="0" applyBorder="1" applyFont="1"/>
    <xf borderId="46" fillId="0" fontId="1" numFmtId="168" xfId="0" applyAlignment="1" applyBorder="1" applyFont="1" applyNumberFormat="1">
      <alignment readingOrder="0"/>
    </xf>
    <xf borderId="47" fillId="0" fontId="1" numFmtId="168" xfId="0" applyAlignment="1" applyBorder="1" applyFont="1" applyNumberFormat="1">
      <alignment readingOrder="0"/>
    </xf>
    <xf borderId="0" fillId="0" fontId="1" numFmtId="168" xfId="0" applyAlignment="1" applyFont="1" applyNumberFormat="1">
      <alignment readingOrder="0"/>
    </xf>
    <xf borderId="37" fillId="6" fontId="29" numFmtId="0" xfId="0" applyAlignment="1" applyBorder="1" applyFont="1">
      <alignment shrinkToFit="0" vertical="bottom" wrapText="0"/>
    </xf>
    <xf borderId="43" fillId="8" fontId="24" numFmtId="0" xfId="0" applyAlignment="1" applyBorder="1" applyFont="1">
      <alignment shrinkToFit="0" vertical="bottom" wrapText="0"/>
    </xf>
    <xf borderId="37" fillId="6" fontId="32" numFmtId="0" xfId="0" applyAlignment="1" applyBorder="1" applyFont="1">
      <alignment shrinkToFit="0" vertical="bottom" wrapText="0"/>
    </xf>
    <xf borderId="43" fillId="8" fontId="33" numFmtId="0" xfId="0" applyAlignment="1" applyBorder="1" applyFont="1">
      <alignment shrinkToFit="0" vertical="bottom" wrapText="0"/>
    </xf>
    <xf borderId="45" fillId="0" fontId="31" numFmtId="0" xfId="0" applyAlignment="1" applyBorder="1" applyFont="1">
      <alignment horizontal="left"/>
    </xf>
    <xf borderId="0" fillId="0" fontId="23" numFmtId="0" xfId="0" applyAlignment="1" applyFont="1">
      <alignment horizontal="left" readingOrder="0" shrinkToFit="0" vertical="center" wrapText="0"/>
    </xf>
    <xf borderId="43" fillId="8" fontId="32" numFmtId="0" xfId="0" applyAlignment="1" applyBorder="1" applyFont="1">
      <alignment shrinkToFit="0" vertical="bottom" wrapText="0"/>
    </xf>
    <xf borderId="43" fillId="8" fontId="34" numFmtId="0" xfId="0" applyAlignment="1" applyBorder="1" applyFont="1">
      <alignment shrinkToFit="0" vertical="center" wrapText="0"/>
    </xf>
    <xf borderId="48" fillId="0" fontId="1" numFmtId="0" xfId="0" applyBorder="1" applyFont="1"/>
    <xf borderId="49" fillId="0" fontId="1" numFmtId="168" xfId="0" applyBorder="1" applyFont="1" applyNumberFormat="1"/>
    <xf borderId="50" fillId="0" fontId="1" numFmtId="168" xfId="0" applyBorder="1" applyFont="1" applyNumberFormat="1"/>
    <xf borderId="37" fillId="6" fontId="35" numFmtId="0" xfId="0" applyAlignment="1" applyBorder="1" applyFont="1">
      <alignment readingOrder="0" shrinkToFit="0" vertical="center" wrapText="0"/>
    </xf>
    <xf borderId="43" fillId="8" fontId="36" numFmtId="0" xfId="0" applyAlignment="1" applyBorder="1" applyFont="1">
      <alignment shrinkToFit="0" vertical="bottom" wrapText="0"/>
    </xf>
    <xf borderId="46" fillId="9" fontId="37" numFmtId="0" xfId="0" applyAlignment="1" applyBorder="1" applyFill="1" applyFont="1">
      <alignment readingOrder="0" shrinkToFit="0" vertical="bottom" wrapText="0"/>
    </xf>
    <xf borderId="51" fillId="6" fontId="17" numFmtId="0" xfId="0" applyAlignment="1" applyBorder="1" applyFont="1">
      <alignment shrinkToFit="0" vertical="bottom" wrapText="0"/>
    </xf>
    <xf borderId="52" fillId="6" fontId="17" numFmtId="0" xfId="0" applyAlignment="1" applyBorder="1" applyFont="1">
      <alignment shrinkToFit="0" vertical="bottom" wrapText="0"/>
    </xf>
    <xf borderId="52" fillId="6" fontId="29" numFmtId="0" xfId="0" applyAlignment="1" applyBorder="1" applyFont="1">
      <alignment shrinkToFit="0" vertical="bottom" wrapText="0"/>
    </xf>
    <xf borderId="52" fillId="6" fontId="38" numFmtId="0" xfId="0" applyAlignment="1" applyBorder="1" applyFont="1">
      <alignment shrinkToFit="0" vertical="center" wrapText="0"/>
    </xf>
    <xf borderId="52" fillId="6" fontId="26" numFmtId="165" xfId="0" applyAlignment="1" applyBorder="1" applyFont="1" applyNumberFormat="1">
      <alignment horizontal="right" shrinkToFit="0" vertical="center" wrapText="0"/>
    </xf>
    <xf borderId="52" fillId="6" fontId="26" numFmtId="0" xfId="0" applyAlignment="1" applyBorder="1" applyFont="1">
      <alignment horizontal="right" shrinkToFit="0" vertical="center" wrapText="0"/>
    </xf>
    <xf borderId="52" fillId="6" fontId="27" numFmtId="165" xfId="0" applyAlignment="1" applyBorder="1" applyFont="1" applyNumberFormat="1">
      <alignment horizontal="right" shrinkToFit="0" vertical="center" wrapText="0"/>
    </xf>
    <xf borderId="53" fillId="6" fontId="26" numFmtId="165" xfId="0" applyAlignment="1" applyBorder="1" applyFont="1" applyNumberFormat="1">
      <alignment horizontal="right" shrinkToFit="0" vertical="center" wrapText="0"/>
    </xf>
    <xf borderId="54" fillId="0" fontId="39" numFmtId="0" xfId="0" applyAlignment="1" applyBorder="1" applyFont="1">
      <alignment readingOrder="0" shrinkToFit="0" vertical="bottom" wrapText="0"/>
    </xf>
    <xf borderId="0" fillId="0" fontId="20" numFmtId="165" xfId="0" applyAlignment="1" applyFont="1" applyNumberFormat="1">
      <alignment vertical="bottom"/>
    </xf>
    <xf borderId="54" fillId="0" fontId="39" numFmtId="0" xfId="0" applyAlignment="1" applyBorder="1" applyFont="1">
      <alignment readingOrder="0" shrinkToFit="0" vertical="bottom" wrapText="1"/>
    </xf>
    <xf borderId="0" fillId="0" fontId="23" numFmtId="0" xfId="0" applyAlignment="1" applyFont="1">
      <alignment horizontal="left" readingOrder="0" shrinkToFit="0" vertical="center" wrapText="0"/>
    </xf>
    <xf borderId="37" fillId="6" fontId="40" numFmtId="0" xfId="0" applyAlignment="1" applyBorder="1" applyFont="1">
      <alignment shrinkToFit="0" vertical="bottom" wrapText="0"/>
    </xf>
    <xf borderId="37" fillId="6" fontId="41" numFmtId="0" xfId="0" applyAlignment="1" applyBorder="1" applyFont="1">
      <alignment shrinkToFit="0" vertical="bottom" wrapText="0"/>
    </xf>
    <xf borderId="55" fillId="6" fontId="17" numFmtId="0" xfId="0" applyAlignment="1" applyBorder="1" applyFont="1">
      <alignment shrinkToFit="0" vertical="bottom" wrapText="0"/>
    </xf>
    <xf borderId="0" fillId="6" fontId="17" numFmtId="0" xfId="0" applyAlignment="1" applyFont="1">
      <alignment shrinkToFit="0" vertical="bottom" wrapText="0"/>
    </xf>
    <xf borderId="0" fillId="6" fontId="40" numFmtId="0" xfId="0" applyAlignment="1" applyFont="1">
      <alignment shrinkToFit="0" vertical="bottom" wrapText="0"/>
    </xf>
    <xf borderId="0" fillId="6" fontId="41" numFmtId="0" xfId="0" applyAlignment="1" applyFont="1">
      <alignment shrinkToFit="0" vertical="bottom" wrapText="0"/>
    </xf>
    <xf borderId="0" fillId="6" fontId="26" numFmtId="165" xfId="0" applyAlignment="1" applyFont="1" applyNumberFormat="1">
      <alignment horizontal="right" shrinkToFit="0" vertical="center" wrapText="0"/>
    </xf>
    <xf borderId="0" fillId="6" fontId="26" numFmtId="0" xfId="0" applyAlignment="1" applyFont="1">
      <alignment horizontal="right" shrinkToFit="0" vertical="center" wrapText="0"/>
    </xf>
    <xf borderId="0" fillId="6" fontId="27" numFmtId="165" xfId="0" applyAlignment="1" applyFont="1" applyNumberFormat="1">
      <alignment horizontal="right" shrinkToFit="0" vertical="center" wrapText="0"/>
    </xf>
    <xf borderId="56" fillId="6" fontId="26" numFmtId="165" xfId="0" applyAlignment="1" applyBorder="1" applyFont="1" applyNumberFormat="1">
      <alignment horizontal="right" shrinkToFit="0" vertical="center" wrapText="0"/>
    </xf>
    <xf borderId="43" fillId="8" fontId="42" numFmtId="0" xfId="0" applyAlignment="1" applyBorder="1" applyFont="1">
      <alignment shrinkToFit="0" vertical="bottom" wrapText="0"/>
    </xf>
    <xf borderId="43" fillId="8" fontId="41" numFmtId="0" xfId="0" applyAlignment="1" applyBorder="1" applyFont="1">
      <alignment shrinkToFit="0" vertical="bottom" wrapText="0"/>
    </xf>
    <xf borderId="57" fillId="7" fontId="28" numFmtId="0" xfId="0" applyAlignment="1" applyBorder="1" applyFont="1">
      <alignment readingOrder="0" shrinkToFit="0" vertical="bottom" wrapText="0"/>
    </xf>
    <xf borderId="58" fillId="0" fontId="2" numFmtId="0" xfId="0" applyBorder="1" applyFont="1"/>
    <xf borderId="37" fillId="6" fontId="17" numFmtId="0" xfId="0" applyAlignment="1" applyBorder="1" applyFont="1">
      <alignment readingOrder="0" shrinkToFit="0" vertical="bottom" wrapText="1"/>
    </xf>
    <xf borderId="37" fillId="6" fontId="26" numFmtId="165" xfId="0" applyAlignment="1" applyBorder="1" applyFont="1" applyNumberFormat="1">
      <alignment horizontal="right" readingOrder="0" shrinkToFit="0" vertical="center" wrapText="0"/>
    </xf>
    <xf borderId="0" fillId="0" fontId="23" numFmtId="0" xfId="0" applyAlignment="1" applyFont="1">
      <alignment readingOrder="0"/>
    </xf>
    <xf borderId="43" fillId="8" fontId="17" numFmtId="0" xfId="0" applyAlignment="1" applyBorder="1" applyFont="1">
      <alignment readingOrder="0" shrinkToFit="0" vertical="bottom" wrapText="1"/>
    </xf>
    <xf borderId="43" fillId="8" fontId="17" numFmtId="0" xfId="0" applyAlignment="1" applyBorder="1" applyFont="1">
      <alignment readingOrder="0" shrinkToFit="0" vertical="bottom" wrapText="0"/>
    </xf>
    <xf borderId="37" fillId="6" fontId="17" numFmtId="0" xfId="0" applyAlignment="1" applyBorder="1" applyFont="1">
      <alignment readingOrder="0" shrinkToFit="0" vertical="bottom" wrapText="0"/>
    </xf>
    <xf borderId="0" fillId="6" fontId="40" numFmtId="0" xfId="0" applyAlignment="1" applyFont="1">
      <alignment readingOrder="0" shrinkToFit="0" vertical="bottom" wrapText="0"/>
    </xf>
    <xf borderId="0" fillId="6" fontId="26" numFmtId="165" xfId="0" applyAlignment="1" applyFont="1" applyNumberFormat="1">
      <alignment horizontal="right" readingOrder="0" shrinkToFit="0" vertical="center" wrapText="0"/>
    </xf>
    <xf borderId="37" fillId="6" fontId="20" numFmtId="0" xfId="0" applyAlignment="1" applyBorder="1" applyFont="1">
      <alignment shrinkToFit="0" vertical="bottom" wrapText="0"/>
    </xf>
    <xf borderId="43" fillId="8" fontId="40" numFmtId="0" xfId="0" applyAlignment="1" applyBorder="1" applyFont="1">
      <alignment shrinkToFit="0" vertical="bottom" wrapText="0"/>
    </xf>
    <xf borderId="37" fillId="6" fontId="42" numFmtId="0" xfId="0" applyAlignment="1" applyBorder="1" applyFont="1">
      <alignment shrinkToFit="0" vertical="bottom" wrapText="0"/>
    </xf>
    <xf borderId="37" fillId="6" fontId="43" numFmtId="0" xfId="0" applyAlignment="1" applyBorder="1" applyFont="1">
      <alignment shrinkToFit="0" vertical="bottom" wrapText="0"/>
    </xf>
    <xf borderId="43" fillId="8" fontId="43" numFmtId="0" xfId="0" applyAlignment="1" applyBorder="1" applyFont="1">
      <alignment shrinkToFit="0" vertical="bottom" wrapText="0"/>
    </xf>
    <xf borderId="37" fillId="6" fontId="17" numFmtId="0" xfId="0" applyAlignment="1" applyBorder="1" applyFont="1">
      <alignment shrinkToFit="0" vertical="bottom" wrapText="0"/>
    </xf>
    <xf borderId="43" fillId="8" fontId="17" numFmtId="0" xfId="0" applyAlignment="1" applyBorder="1" applyFont="1">
      <alignment shrinkToFit="0" vertical="bottom" wrapText="0"/>
    </xf>
    <xf borderId="55" fillId="8" fontId="17" numFmtId="0" xfId="0" applyAlignment="1" applyBorder="1" applyFont="1">
      <alignment readingOrder="0" shrinkToFit="0" vertical="bottom" wrapText="0"/>
    </xf>
    <xf borderId="0" fillId="8" fontId="17" numFmtId="0" xfId="0" applyAlignment="1" applyFont="1">
      <alignment readingOrder="0" shrinkToFit="0" vertical="bottom" wrapText="0"/>
    </xf>
    <xf borderId="0" fillId="8" fontId="17" numFmtId="0" xfId="0" applyAlignment="1" applyFont="1">
      <alignment readingOrder="0" shrinkToFit="0" vertical="bottom" wrapText="0"/>
    </xf>
    <xf borderId="0" fillId="8" fontId="26" numFmtId="165" xfId="0" applyAlignment="1" applyFont="1" applyNumberFormat="1">
      <alignment horizontal="right" readingOrder="0" shrinkToFit="0" vertical="center" wrapText="0"/>
    </xf>
    <xf borderId="0" fillId="8" fontId="26" numFmtId="165" xfId="0" applyAlignment="1" applyFont="1" applyNumberFormat="1">
      <alignment horizontal="right" shrinkToFit="0" vertical="center" wrapText="0"/>
    </xf>
    <xf borderId="0" fillId="8" fontId="26" numFmtId="0" xfId="0" applyAlignment="1" applyFont="1">
      <alignment horizontal="right" readingOrder="0" shrinkToFit="0" vertical="center" wrapText="0"/>
    </xf>
    <xf borderId="0" fillId="8" fontId="27" numFmtId="165" xfId="0" applyAlignment="1" applyFont="1" applyNumberFormat="1">
      <alignment horizontal="right" shrinkToFit="0" vertical="center" wrapText="0"/>
    </xf>
    <xf borderId="56" fillId="8" fontId="26" numFmtId="165" xfId="0" applyAlignment="1" applyBorder="1" applyFont="1" applyNumberFormat="1">
      <alignment horizontal="right" shrinkToFit="0" vertical="center" wrapText="0"/>
    </xf>
    <xf borderId="59" fillId="8" fontId="17" numFmtId="0" xfId="0" applyAlignment="1" applyBorder="1" applyFont="1">
      <alignment shrinkToFit="0" vertical="bottom" wrapText="0"/>
    </xf>
    <xf borderId="60" fillId="8" fontId="17" numFmtId="0" xfId="0" applyAlignment="1" applyBorder="1" applyFont="1">
      <alignment shrinkToFit="0" vertical="bottom" wrapText="0"/>
    </xf>
    <xf borderId="60" fillId="8" fontId="17" numFmtId="0" xfId="0" applyAlignment="1" applyBorder="1" applyFont="1">
      <alignment shrinkToFit="0" vertical="bottom" wrapText="0"/>
    </xf>
    <xf borderId="60" fillId="8" fontId="41" numFmtId="0" xfId="0" applyAlignment="1" applyBorder="1" applyFont="1">
      <alignment shrinkToFit="0" vertical="bottom" wrapText="0"/>
    </xf>
    <xf borderId="60" fillId="8" fontId="26" numFmtId="165" xfId="0" applyAlignment="1" applyBorder="1" applyFont="1" applyNumberFormat="1">
      <alignment horizontal="right" shrinkToFit="0" vertical="center" wrapText="0"/>
    </xf>
    <xf borderId="60" fillId="8" fontId="26" numFmtId="0" xfId="0" applyAlignment="1" applyBorder="1" applyFont="1">
      <alignment horizontal="right" shrinkToFit="0" vertical="center" wrapText="0"/>
    </xf>
    <xf borderId="60" fillId="8" fontId="27" numFmtId="165" xfId="0" applyAlignment="1" applyBorder="1" applyFont="1" applyNumberFormat="1">
      <alignment horizontal="right" shrinkToFit="0" vertical="center" wrapText="0"/>
    </xf>
    <xf borderId="61" fillId="8" fontId="26" numFmtId="165" xfId="0" applyAlignment="1" applyBorder="1" applyFont="1" applyNumberFormat="1">
      <alignment horizontal="right" shrinkToFit="0" vertical="center" wrapText="0"/>
    </xf>
    <xf borderId="37" fillId="6" fontId="17" numFmtId="0" xfId="0" applyAlignment="1" applyBorder="1" applyFont="1">
      <alignment shrinkToFit="0" vertical="bottom" wrapText="1"/>
    </xf>
    <xf borderId="43" fillId="8" fontId="17" numFmtId="0" xfId="0" applyAlignment="1" applyBorder="1" applyFont="1">
      <alignment shrinkToFit="0" vertical="bottom" wrapText="1"/>
    </xf>
    <xf borderId="43" fillId="8" fontId="20" numFmtId="0" xfId="0" applyAlignment="1" applyBorder="1" applyFont="1">
      <alignment shrinkToFit="0" vertical="center" wrapText="0"/>
    </xf>
    <xf borderId="43" fillId="8" fontId="44" numFmtId="0" xfId="0" applyAlignment="1" applyBorder="1" applyFont="1">
      <alignment shrinkToFit="0" vertical="bottom" wrapText="0"/>
    </xf>
    <xf borderId="43" fillId="8" fontId="45" numFmtId="0" xfId="0" applyAlignment="1" applyBorder="1" applyFont="1">
      <alignment shrinkToFit="0" vertical="center" wrapText="0"/>
    </xf>
    <xf borderId="37" fillId="6" fontId="45" numFmtId="0" xfId="0" applyAlignment="1" applyBorder="1" applyFont="1">
      <alignment shrinkToFit="0" vertical="center" wrapText="0"/>
    </xf>
    <xf borderId="37" fillId="6" fontId="46" numFmtId="0" xfId="0" applyAlignment="1" applyBorder="1" applyFont="1">
      <alignment shrinkToFit="0" vertical="center" wrapText="0"/>
    </xf>
    <xf borderId="55" fillId="6" fontId="17" numFmtId="0" xfId="0" applyAlignment="1" applyBorder="1" applyFont="1">
      <alignment readingOrder="0" shrinkToFit="0" vertical="bottom" wrapText="0"/>
    </xf>
    <xf borderId="0" fillId="6" fontId="17" numFmtId="0" xfId="0" applyAlignment="1" applyFont="1">
      <alignment readingOrder="0" shrinkToFit="0" vertical="bottom" wrapText="1"/>
    </xf>
    <xf borderId="0" fillId="6" fontId="45" numFmtId="0" xfId="0" applyAlignment="1" applyFont="1">
      <alignment readingOrder="0" shrinkToFit="0" vertical="center" wrapText="0"/>
    </xf>
    <xf borderId="0" fillId="6" fontId="47" numFmtId="0" xfId="0" applyAlignment="1" applyFont="1">
      <alignment readingOrder="0" shrinkToFit="0" vertical="center" wrapText="0"/>
    </xf>
    <xf borderId="0" fillId="6" fontId="26" numFmtId="0" xfId="0" applyAlignment="1" applyFont="1">
      <alignment horizontal="right" readingOrder="0" shrinkToFit="0" vertical="center" wrapText="0"/>
    </xf>
    <xf borderId="62" fillId="8" fontId="26" numFmtId="165" xfId="0" applyAlignment="1" applyBorder="1" applyFont="1" applyNumberFormat="1">
      <alignment horizontal="right" shrinkToFit="0" vertical="center" wrapText="0"/>
    </xf>
    <xf borderId="60" fillId="8" fontId="17" numFmtId="0" xfId="0" applyAlignment="1" applyBorder="1" applyFont="1">
      <alignment shrinkToFit="0" vertical="bottom" wrapText="1"/>
    </xf>
    <xf borderId="60" fillId="8" fontId="48" numFmtId="0" xfId="0" applyAlignment="1" applyBorder="1" applyFont="1">
      <alignment shrinkToFit="0" vertical="bottom" wrapText="0"/>
    </xf>
    <xf borderId="37" fillId="6" fontId="49" numFmtId="0" xfId="0" applyAlignment="1" applyBorder="1" applyFont="1">
      <alignment shrinkToFit="0" vertical="bottom" wrapText="0"/>
    </xf>
    <xf borderId="37" fillId="6" fontId="26" numFmtId="165" xfId="0" applyAlignment="1" applyBorder="1" applyFont="1" applyNumberFormat="1">
      <alignment shrinkToFit="0" vertical="center" wrapText="0"/>
    </xf>
    <xf borderId="0" fillId="6" fontId="17" numFmtId="0" xfId="0" applyAlignment="1" applyFont="1">
      <alignment readingOrder="0" shrinkToFit="0" vertical="bottom" wrapText="0"/>
    </xf>
    <xf borderId="0" fillId="6" fontId="49" numFmtId="0" xfId="0" applyAlignment="1" applyFont="1">
      <alignment readingOrder="0" shrinkToFit="0" vertical="bottom" wrapText="0"/>
    </xf>
    <xf borderId="0" fillId="6" fontId="26" numFmtId="165" xfId="0" applyAlignment="1" applyFont="1" applyNumberFormat="1">
      <alignment readingOrder="0" shrinkToFit="0" vertical="center" wrapText="0"/>
    </xf>
    <xf borderId="43" fillId="8" fontId="49" numFmtId="0" xfId="0" applyAlignment="1" applyBorder="1" applyFont="1">
      <alignment shrinkToFit="0" vertical="bottom" wrapText="0"/>
    </xf>
    <xf borderId="43" fillId="8" fontId="26" numFmtId="165" xfId="0" applyAlignment="1" applyBorder="1" applyFont="1" applyNumberFormat="1">
      <alignment readingOrder="0" shrinkToFit="0" vertical="center" wrapText="0"/>
    </xf>
    <xf borderId="43" fillId="8" fontId="26" numFmtId="165" xfId="0" applyAlignment="1" applyBorder="1" applyFont="1" applyNumberFormat="1">
      <alignment shrinkToFit="0" vertical="center" wrapText="0"/>
    </xf>
    <xf borderId="42" fillId="8" fontId="17" numFmtId="0" xfId="0" applyAlignment="1" applyBorder="1" applyFont="1">
      <alignment readingOrder="0" shrinkToFit="0" vertical="bottom" wrapText="0"/>
    </xf>
    <xf borderId="43" fillId="8" fontId="49" numFmtId="0" xfId="0" applyAlignment="1" applyBorder="1" applyFont="1">
      <alignment readingOrder="0" shrinkToFit="0" vertical="bottom" wrapText="0"/>
    </xf>
    <xf borderId="43" fillId="8" fontId="26" numFmtId="0" xfId="0" applyAlignment="1" applyBorder="1" applyFont="1">
      <alignment horizontal="right" readingOrder="0" shrinkToFit="0" vertical="center" wrapText="0"/>
    </xf>
    <xf borderId="63" fillId="8" fontId="17" numFmtId="0" xfId="0" applyAlignment="1" applyBorder="1" applyFont="1">
      <alignment readingOrder="0" shrinkToFit="0" vertical="bottom" wrapText="0"/>
    </xf>
    <xf borderId="63" fillId="8" fontId="49" numFmtId="0" xfId="0" applyAlignment="1" applyBorder="1" applyFont="1">
      <alignment readingOrder="0" shrinkToFit="0" vertical="bottom" wrapText="0"/>
    </xf>
    <xf borderId="63" fillId="8" fontId="26" numFmtId="165" xfId="0" applyAlignment="1" applyBorder="1" applyFont="1" applyNumberFormat="1">
      <alignment readingOrder="0" shrinkToFit="0" vertical="center" wrapText="0"/>
    </xf>
    <xf borderId="63" fillId="8" fontId="26" numFmtId="165" xfId="0" applyAlignment="1" applyBorder="1" applyFont="1" applyNumberFormat="1">
      <alignment horizontal="right" shrinkToFit="0" vertical="center" wrapText="0"/>
    </xf>
    <xf borderId="63" fillId="8" fontId="26" numFmtId="0" xfId="0" applyAlignment="1" applyBorder="1" applyFont="1">
      <alignment horizontal="right" shrinkToFit="0" vertical="center" wrapText="0"/>
    </xf>
    <xf borderId="63" fillId="8" fontId="27" numFmtId="165" xfId="0" applyAlignment="1" applyBorder="1" applyFont="1" applyNumberFormat="1">
      <alignment horizontal="right" shrinkToFit="0" vertical="center" wrapText="0"/>
    </xf>
    <xf borderId="63" fillId="8" fontId="26" numFmtId="0" xfId="0" applyAlignment="1" applyBorder="1" applyFont="1">
      <alignment horizontal="right" readingOrder="0" shrinkToFit="0" vertical="center" wrapText="0"/>
    </xf>
    <xf borderId="59" fillId="8" fontId="17" numFmtId="0" xfId="0" applyAlignment="1" applyBorder="1" applyFont="1">
      <alignment readingOrder="0" shrinkToFit="0" vertical="bottom" wrapText="0"/>
    </xf>
    <xf borderId="60" fillId="8" fontId="17" numFmtId="0" xfId="0" applyAlignment="1" applyBorder="1" applyFont="1">
      <alignment readingOrder="0" shrinkToFit="0" vertical="bottom" wrapText="0"/>
    </xf>
    <xf borderId="60" fillId="8" fontId="17" numFmtId="0" xfId="0" applyAlignment="1" applyBorder="1" applyFont="1">
      <alignment readingOrder="0" shrinkToFit="0" vertical="bottom" wrapText="0"/>
    </xf>
    <xf borderId="60" fillId="8" fontId="26" numFmtId="165" xfId="0" applyAlignment="1" applyBorder="1" applyFont="1" applyNumberFormat="1">
      <alignment shrinkToFit="0" vertical="center" wrapText="0"/>
    </xf>
    <xf borderId="60" fillId="8" fontId="26" numFmtId="0" xfId="0" applyAlignment="1" applyBorder="1" applyFont="1">
      <alignment horizontal="right" readingOrder="0" shrinkToFit="0" vertical="center" wrapText="0"/>
    </xf>
    <xf borderId="0" fillId="0" fontId="23" numFmtId="49" xfId="0" applyAlignment="1" applyFont="1" applyNumberFormat="1">
      <alignment horizontal="left" readingOrder="0" shrinkToFit="0" vertical="center" wrapText="0"/>
    </xf>
    <xf borderId="0" fillId="0" fontId="23" numFmtId="49" xfId="0" applyAlignment="1" applyFont="1" applyNumberFormat="1">
      <alignment readingOrder="0" shrinkToFit="0" vertical="center" wrapText="0"/>
    </xf>
    <xf borderId="0" fillId="0" fontId="23" numFmtId="0" xfId="0" applyAlignment="1" applyFont="1">
      <alignment shrinkToFit="0" vertical="center" wrapText="0"/>
    </xf>
    <xf borderId="0" fillId="0" fontId="23" numFmtId="0" xfId="0" applyAlignment="1" applyFont="1">
      <alignment shrinkToFit="0" vertical="center" wrapText="0"/>
    </xf>
    <xf borderId="0" fillId="0" fontId="23" numFmtId="49" xfId="0" applyAlignment="1" applyFont="1" applyNumberFormat="1">
      <alignment shrinkToFit="0" vertical="center" wrapText="0"/>
    </xf>
    <xf borderId="0" fillId="0" fontId="50" numFmtId="0" xfId="0" applyAlignment="1" applyFont="1">
      <alignment readingOrder="0" shrinkToFit="0" vertical="center" wrapText="0"/>
    </xf>
    <xf borderId="0" fillId="0" fontId="51" numFmtId="0" xfId="0" applyAlignment="1" applyFont="1">
      <alignment readingOrder="0" shrinkToFit="0" vertical="center" wrapText="0"/>
    </xf>
    <xf borderId="0" fillId="0" fontId="52" numFmtId="0" xfId="0" applyAlignment="1" applyFont="1">
      <alignment shrinkToFit="0" vertical="center" wrapText="0"/>
    </xf>
    <xf borderId="0" fillId="0" fontId="23" numFmtId="0" xfId="0" applyAlignment="1" applyFont="1">
      <alignment horizontal="left" shrinkToFit="0" vertical="center" wrapText="0"/>
    </xf>
    <xf borderId="0" fillId="0" fontId="53" numFmtId="0" xfId="0" applyAlignment="1" applyFont="1">
      <alignment readingOrder="0" shrinkToFit="0" vertical="center" wrapText="0"/>
    </xf>
    <xf borderId="0" fillId="0" fontId="23" numFmtId="0" xfId="0" applyAlignment="1" applyFont="1">
      <alignment horizontal="center" readingOrder="0"/>
    </xf>
    <xf borderId="0" fillId="0" fontId="23" numFmtId="49" xfId="0" applyAlignment="1" applyFont="1" applyNumberFormat="1">
      <alignment readingOrder="0"/>
    </xf>
    <xf borderId="0" fillId="0" fontId="23" numFmtId="0" xfId="0" applyAlignment="1" applyFont="1">
      <alignment readingOrder="0"/>
    </xf>
    <xf borderId="0" fillId="0" fontId="23" numFmtId="0" xfId="0" applyAlignment="1" applyFont="1">
      <alignment readingOrder="0" shrinkToFit="0" wrapText="1"/>
    </xf>
    <xf borderId="0" fillId="0" fontId="23" numFmtId="0" xfId="0" applyAlignment="1" applyFont="1">
      <alignment horizontal="center" readingOrder="0" shrinkToFit="0" vertical="center" wrapText="0"/>
    </xf>
    <xf borderId="0" fillId="0" fontId="23" numFmtId="49" xfId="0" applyAlignment="1" applyFont="1" applyNumberFormat="1">
      <alignment horizontal="left" readingOrder="0" shrinkToFit="0" vertical="center" wrapText="0"/>
    </xf>
    <xf borderId="0" fillId="0" fontId="23" numFmtId="0" xfId="0" applyAlignment="1" applyFont="1">
      <alignment horizontal="left" readingOrder="0" shrinkToFit="0" vertical="center" wrapText="1"/>
    </xf>
    <xf borderId="0" fillId="0" fontId="23" numFmtId="169" xfId="0" applyAlignment="1" applyFont="1" applyNumberFormat="1">
      <alignment readingOrder="0" shrinkToFit="0" vertical="center" wrapText="0"/>
    </xf>
    <xf borderId="0" fillId="0" fontId="23" numFmtId="0" xfId="0" applyAlignment="1" applyFont="1">
      <alignment readingOrder="0" shrinkToFit="0" vertical="center" wrapText="0"/>
    </xf>
    <xf borderId="0" fillId="0" fontId="23" numFmtId="0" xfId="0" applyAlignment="1" applyFont="1">
      <alignment horizontal="center" shrinkToFit="0" vertical="center" wrapText="0"/>
    </xf>
    <xf borderId="0" fillId="0" fontId="23" numFmtId="165" xfId="0" applyAlignment="1" applyFont="1" applyNumberFormat="1">
      <alignment shrinkToFit="0" vertical="center" wrapText="0"/>
    </xf>
    <xf borderId="0" fillId="0" fontId="23" numFmtId="0" xfId="0" applyAlignment="1" applyFont="1">
      <alignment readingOrder="0" shrinkToFit="0" vertical="center" wrapText="0"/>
    </xf>
    <xf borderId="0" fillId="0" fontId="23" numFmtId="165" xfId="0" applyAlignment="1" applyFont="1" applyNumberFormat="1">
      <alignment readingOrder="0" shrinkToFit="0" vertical="center" wrapText="0"/>
    </xf>
    <xf borderId="0" fillId="0" fontId="23" numFmtId="0" xfId="0" applyAlignment="1" applyFont="1">
      <alignment readingOrder="0" shrinkToFit="0" vertical="center" wrapText="1"/>
    </xf>
    <xf borderId="0" fillId="0" fontId="23" numFmtId="169" xfId="0" applyAlignment="1" applyFont="1" applyNumberFormat="1">
      <alignment horizontal="left" readingOrder="0" shrinkToFit="0" vertical="center" wrapText="0"/>
    </xf>
    <xf borderId="0" fillId="0" fontId="23" numFmtId="168" xfId="0" applyAlignment="1" applyFont="1" applyNumberFormat="1">
      <alignment readingOrder="0" shrinkToFit="0" vertical="center" wrapText="0"/>
    </xf>
    <xf borderId="0" fillId="0" fontId="23" numFmtId="0" xfId="0" applyAlignment="1" applyFont="1">
      <alignment shrinkToFit="0" vertical="center" wrapText="0"/>
    </xf>
    <xf borderId="0" fillId="0" fontId="23" numFmtId="0" xfId="0" applyAlignment="1" applyFont="1">
      <alignment shrinkToFit="0" vertical="center" wrapText="1"/>
    </xf>
    <xf borderId="0" fillId="0" fontId="54" numFmtId="0" xfId="0" applyAlignment="1" applyFont="1">
      <alignment horizontal="left" readingOrder="0"/>
    </xf>
    <xf borderId="0" fillId="0" fontId="23" numFmtId="0" xfId="0" applyAlignment="1" applyFont="1">
      <alignment horizontal="center" readingOrder="0"/>
    </xf>
    <xf borderId="0" fillId="0" fontId="55" numFmtId="0" xfId="0" applyAlignment="1" applyFont="1">
      <alignment horizontal="center" readingOrder="0" shrinkToFit="0" vertical="center" wrapText="0"/>
    </xf>
    <xf borderId="0" fillId="0" fontId="56" numFmtId="0" xfId="0" applyAlignment="1" applyFont="1">
      <alignment horizontal="left" readingOrder="0" shrinkToFit="0" vertical="center" wrapText="0"/>
    </xf>
    <xf borderId="0" fillId="0" fontId="56" numFmtId="0" xfId="0" applyAlignment="1" applyFont="1">
      <alignment horizontal="center" readingOrder="0" shrinkToFit="0" vertical="center" wrapText="1"/>
    </xf>
    <xf borderId="0" fillId="0" fontId="56" numFmtId="0" xfId="0" applyAlignment="1" applyFont="1">
      <alignment horizontal="center" readingOrder="0" shrinkToFit="0" vertical="center" wrapText="0"/>
    </xf>
    <xf borderId="0" fillId="0" fontId="56" numFmtId="0" xfId="0" applyAlignment="1" applyFont="1">
      <alignment horizontal="left" readingOrder="0" shrinkToFit="0" vertical="center" wrapText="1"/>
    </xf>
    <xf borderId="0" fillId="0" fontId="56" numFmtId="0" xfId="0" applyAlignment="1" applyFont="1">
      <alignment horizontal="left" readingOrder="0" shrinkToFit="0" vertical="center" wrapText="1"/>
    </xf>
    <xf borderId="0" fillId="0" fontId="23" numFmtId="0" xfId="0" applyAlignment="1" applyFont="1">
      <alignment horizontal="center" shrinkToFit="0" vertical="center" wrapText="0"/>
    </xf>
    <xf borderId="0" fillId="0" fontId="23" numFmtId="0" xfId="0" applyAlignment="1" applyFont="1">
      <alignment horizontal="center" readingOrder="0" shrinkToFit="0" vertical="center" wrapText="1"/>
    </xf>
    <xf borderId="0" fillId="0" fontId="23" numFmtId="165" xfId="0" applyAlignment="1" applyFont="1" applyNumberFormat="1">
      <alignment shrinkToFit="0" vertical="center" wrapText="0"/>
    </xf>
    <xf borderId="0" fillId="0" fontId="23" numFmtId="0" xfId="0" applyAlignment="1" applyFont="1">
      <alignment shrinkToFit="0" vertical="center" wrapText="0"/>
    </xf>
    <xf borderId="0" fillId="0" fontId="23" numFmtId="9" xfId="0" applyAlignment="1" applyFont="1" applyNumberFormat="1">
      <alignment horizontal="center" readingOrder="0" shrinkToFit="0" vertical="center" wrapText="0"/>
    </xf>
    <xf borderId="36" fillId="6" fontId="57" numFmtId="0" xfId="0" applyAlignment="1" applyBorder="1" applyFont="1">
      <alignment shrinkToFit="0" vertical="center" wrapText="0"/>
    </xf>
    <xf borderId="37" fillId="6" fontId="57" numFmtId="0" xfId="0" applyAlignment="1" applyBorder="1" applyFont="1">
      <alignment horizontal="center" readingOrder="0" shrinkToFit="0" vertical="center" wrapText="0"/>
    </xf>
    <xf borderId="37" fillId="6" fontId="57" numFmtId="0" xfId="0" applyAlignment="1" applyBorder="1" applyFont="1">
      <alignment horizontal="center" shrinkToFit="0" vertical="center" wrapText="0"/>
    </xf>
    <xf borderId="37" fillId="6" fontId="57" numFmtId="0" xfId="0" applyAlignment="1" applyBorder="1" applyFont="1">
      <alignment shrinkToFit="0" vertical="center" wrapText="0"/>
    </xf>
    <xf borderId="37" fillId="6" fontId="57" numFmtId="0" xfId="0" applyAlignment="1" applyBorder="1" applyFont="1">
      <alignment shrinkToFit="0" vertical="center" wrapText="0"/>
    </xf>
    <xf borderId="37" fillId="6" fontId="57" numFmtId="0" xfId="0" applyAlignment="1" applyBorder="1" applyFont="1">
      <alignment readingOrder="0" shrinkToFit="0" vertical="center" wrapText="0"/>
    </xf>
    <xf borderId="37" fillId="6" fontId="57" numFmtId="0" xfId="0" applyAlignment="1" applyBorder="1" applyFont="1">
      <alignment horizontal="center" shrinkToFit="0" vertical="center" wrapText="1"/>
    </xf>
    <xf borderId="37" fillId="6" fontId="57" numFmtId="165" xfId="0" applyAlignment="1" applyBorder="1" applyFont="1" applyNumberFormat="1">
      <alignment horizontal="right" readingOrder="0" shrinkToFit="0" vertical="center" wrapText="0"/>
    </xf>
    <xf borderId="37" fillId="6" fontId="57" numFmtId="9" xfId="0" applyAlignment="1" applyBorder="1" applyFont="1" applyNumberFormat="1">
      <alignment horizontal="center" shrinkToFit="0" vertical="center" wrapText="0"/>
    </xf>
    <xf borderId="37" fillId="6" fontId="57" numFmtId="165" xfId="0" applyAlignment="1" applyBorder="1" applyFont="1" applyNumberFormat="1">
      <alignment horizontal="right" shrinkToFit="0" vertical="center" wrapText="0"/>
    </xf>
    <xf borderId="37" fillId="6" fontId="57" numFmtId="165" xfId="0" applyAlignment="1" applyBorder="1" applyFont="1" applyNumberFormat="1">
      <alignment horizontal="right" shrinkToFit="0" vertical="center" wrapText="0"/>
    </xf>
    <xf borderId="38" fillId="6" fontId="17" numFmtId="0" xfId="0" applyAlignment="1" applyBorder="1" applyFont="1">
      <alignment shrinkToFit="0" vertical="center" wrapText="0"/>
    </xf>
    <xf borderId="37" fillId="6" fontId="57" numFmtId="9" xfId="0" applyAlignment="1" applyBorder="1" applyFont="1" applyNumberFormat="1">
      <alignment horizontal="center" readingOrder="0" shrinkToFit="0" vertical="center" wrapText="0"/>
    </xf>
    <xf borderId="0" fillId="0" fontId="23" numFmtId="0" xfId="0" applyAlignment="1" applyFont="1">
      <alignment horizontal="center"/>
    </xf>
    <xf borderId="64" fillId="10" fontId="58" numFmtId="0" xfId="0" applyAlignment="1" applyBorder="1" applyFill="1" applyFont="1">
      <alignment horizontal="center" vertical="center"/>
    </xf>
    <xf borderId="65" fillId="4" fontId="58" numFmtId="0" xfId="0" applyAlignment="1" applyBorder="1" applyFont="1">
      <alignment horizontal="center" vertical="center"/>
    </xf>
    <xf borderId="0" fillId="0" fontId="59" numFmtId="170" xfId="0" applyFont="1" applyNumberFormat="1"/>
    <xf borderId="0" fillId="0" fontId="1" numFmtId="171" xfId="0" applyFont="1" applyNumberFormat="1"/>
    <xf borderId="1" fillId="11" fontId="59" numFmtId="164" xfId="0" applyBorder="1" applyFill="1" applyFont="1" applyNumberFormat="1"/>
    <xf borderId="0" fillId="0" fontId="1" numFmtId="170" xfId="0" applyFont="1" applyNumberFormat="1"/>
    <xf borderId="66" fillId="4" fontId="31" numFmtId="0" xfId="0" applyAlignment="1" applyBorder="1" applyFont="1">
      <alignment horizontal="center" vertical="center"/>
    </xf>
    <xf borderId="67" fillId="4" fontId="31" numFmtId="0" xfId="0" applyAlignment="1" applyBorder="1" applyFont="1">
      <alignment horizontal="center" vertical="center"/>
    </xf>
    <xf borderId="68" fillId="4" fontId="31" numFmtId="0" xfId="0" applyAlignment="1" applyBorder="1" applyFont="1">
      <alignment horizontal="center" vertical="center"/>
    </xf>
    <xf borderId="69" fillId="4" fontId="31" numFmtId="0" xfId="0" applyAlignment="1" applyBorder="1" applyFont="1">
      <alignment horizontal="center" vertical="center"/>
    </xf>
    <xf borderId="45" fillId="3" fontId="1" numFmtId="0" xfId="0" applyBorder="1" applyFont="1"/>
    <xf borderId="46" fillId="3" fontId="1" numFmtId="172" xfId="0" applyBorder="1" applyFont="1" applyNumberFormat="1"/>
    <xf borderId="46" fillId="3" fontId="1" numFmtId="171" xfId="0" applyBorder="1" applyFont="1" applyNumberFormat="1"/>
    <xf borderId="47" fillId="3" fontId="1" numFmtId="171" xfId="0" applyBorder="1" applyFont="1" applyNumberFormat="1"/>
    <xf borderId="49" fillId="3" fontId="1" numFmtId="171" xfId="0" applyBorder="1" applyFont="1" applyNumberFormat="1"/>
    <xf borderId="50" fillId="3" fontId="1" numFmtId="171" xfId="0" applyBorder="1" applyFont="1" applyNumberFormat="1"/>
    <xf borderId="70" fillId="3" fontId="1" numFmtId="0" xfId="0" applyBorder="1" applyFont="1"/>
    <xf borderId="71" fillId="3" fontId="1" numFmtId="172" xfId="0" applyBorder="1" applyFont="1" applyNumberFormat="1"/>
    <xf borderId="72" fillId="3" fontId="1" numFmtId="0" xfId="0" applyBorder="1" applyFont="1"/>
    <xf borderId="73" fillId="3" fontId="1" numFmtId="172" xfId="0" applyBorder="1" applyFont="1" applyNumberFormat="1"/>
    <xf borderId="73" fillId="3" fontId="1" numFmtId="171" xfId="0" applyBorder="1" applyFont="1" applyNumberFormat="1"/>
    <xf borderId="74" fillId="3" fontId="1" numFmtId="171" xfId="0" applyBorder="1" applyFont="1" applyNumberFormat="1"/>
    <xf borderId="48" fillId="3" fontId="1" numFmtId="0" xfId="0" applyBorder="1" applyFont="1"/>
    <xf borderId="49" fillId="3" fontId="1" numFmtId="172" xfId="0" applyBorder="1" applyFont="1" applyNumberFormat="1"/>
    <xf borderId="0" fillId="0" fontId="60" numFmtId="0" xfId="0" applyAlignment="1" applyFont="1">
      <alignment readingOrder="0"/>
    </xf>
    <xf borderId="0" fillId="0" fontId="61" numFmtId="0" xfId="0" applyAlignment="1" applyFont="1">
      <alignment readingOrder="0" shrinkToFit="0" wrapText="1"/>
    </xf>
    <xf borderId="0" fillId="0" fontId="61" numFmtId="0" xfId="0" applyAlignment="1" applyFont="1">
      <alignment readingOrder="0"/>
    </xf>
    <xf borderId="0" fillId="0" fontId="56" numFmtId="0" xfId="0" applyAlignment="1" applyFont="1">
      <alignment readingOrder="0"/>
    </xf>
    <xf borderId="0" fillId="0" fontId="62" numFmtId="0" xfId="0" applyAlignment="1" applyFont="1">
      <alignment readingOrder="0"/>
    </xf>
    <xf borderId="0" fillId="0" fontId="23" numFmtId="165" xfId="0" applyAlignment="1" applyFont="1" applyNumberFormat="1">
      <alignment readingOrder="0"/>
    </xf>
    <xf borderId="0" fillId="0" fontId="63" numFmtId="0" xfId="0" applyAlignment="1" applyFont="1">
      <alignment readingOrder="0"/>
    </xf>
    <xf borderId="0" fillId="0" fontId="63" numFmtId="2" xfId="0" applyAlignment="1" applyFont="1" applyNumberFormat="1">
      <alignment readingOrder="0"/>
    </xf>
    <xf borderId="0" fillId="6" fontId="17" numFmtId="0" xfId="0" applyAlignment="1" applyFont="1">
      <alignment vertical="bottom"/>
    </xf>
    <xf borderId="37" fillId="6" fontId="17" numFmtId="0" xfId="0" applyAlignment="1" applyBorder="1" applyFont="1">
      <alignment vertical="bottom"/>
    </xf>
    <xf borderId="0" fillId="6" fontId="17" numFmtId="2" xfId="0" applyAlignment="1" applyFont="1" applyNumberFormat="1">
      <alignment vertical="bottom"/>
    </xf>
    <xf borderId="0" fillId="6" fontId="17" numFmtId="0" xfId="0" applyAlignment="1" applyFont="1">
      <alignment readingOrder="0" vertical="bottom"/>
    </xf>
    <xf borderId="0" fillId="8" fontId="17" numFmtId="0" xfId="0" applyAlignment="1" applyFont="1">
      <alignment vertical="bottom"/>
    </xf>
    <xf borderId="43" fillId="8" fontId="17" numFmtId="0" xfId="0" applyAlignment="1" applyBorder="1" applyFont="1">
      <alignment vertical="bottom"/>
    </xf>
    <xf borderId="0" fillId="8" fontId="17" numFmtId="2" xfId="0" applyAlignment="1" applyFont="1" applyNumberFormat="1">
      <alignment vertical="bottom"/>
    </xf>
    <xf borderId="0" fillId="8" fontId="17" numFmtId="0" xfId="0" applyAlignment="1" applyFont="1">
      <alignment readingOrder="0" vertical="bottom"/>
    </xf>
    <xf borderId="0" fillId="0" fontId="23" numFmtId="0" xfId="0" applyAlignment="1" applyFont="1">
      <alignment horizontal="left" readingOrder="0"/>
    </xf>
    <xf borderId="63" fillId="8" fontId="17" numFmtId="0" xfId="0" applyAlignment="1" applyBorder="1" applyFont="1">
      <alignment vertical="bottom"/>
    </xf>
    <xf borderId="75" fillId="6" fontId="17" numFmtId="0" xfId="0" applyAlignment="1" applyBorder="1" applyFont="1">
      <alignment vertical="bottom"/>
    </xf>
    <xf borderId="37" fillId="6" fontId="17" numFmtId="0" xfId="0" applyAlignment="1" applyBorder="1" applyFont="1">
      <alignment readingOrder="0" shrinkToFit="0" vertical="bottom" wrapText="1"/>
    </xf>
    <xf borderId="0" fillId="6" fontId="17" numFmtId="2" xfId="0" applyAlignment="1" applyFont="1" applyNumberFormat="1">
      <alignment shrinkToFit="0" vertical="bottom" wrapText="1"/>
    </xf>
    <xf borderId="0" fillId="6" fontId="17" numFmtId="0" xfId="0" applyAlignment="1" applyFont="1">
      <alignment readingOrder="0" shrinkToFit="0" vertical="bottom" wrapText="1"/>
    </xf>
    <xf borderId="43" fillId="8" fontId="17" numFmtId="0" xfId="0" applyAlignment="1" applyBorder="1" applyFont="1">
      <alignment readingOrder="0" shrinkToFit="0" vertical="bottom" wrapText="1"/>
    </xf>
    <xf borderId="0" fillId="8" fontId="17" numFmtId="2" xfId="0" applyAlignment="1" applyFont="1" applyNumberFormat="1">
      <alignment shrinkToFit="0" vertical="bottom" wrapText="1"/>
    </xf>
    <xf borderId="43" fillId="8" fontId="17" numFmtId="0" xfId="0" applyAlignment="1" applyBorder="1" applyFont="1">
      <alignment readingOrder="0" vertical="bottom"/>
    </xf>
    <xf borderId="37" fillId="6" fontId="17" numFmtId="0" xfId="0" applyAlignment="1" applyBorder="1" applyFont="1">
      <alignment readingOrder="0" vertical="bottom"/>
    </xf>
    <xf borderId="0" fillId="6" fontId="17" numFmtId="0" xfId="0" applyAlignment="1" applyFont="1">
      <alignment shrinkToFit="0" vertical="bottom" wrapText="1"/>
    </xf>
    <xf borderId="76" fillId="8" fontId="17" numFmtId="0" xfId="0" applyAlignment="1" applyBorder="1" applyFont="1">
      <alignment shrinkToFit="0" vertical="bottom" wrapText="1"/>
    </xf>
    <xf borderId="0" fillId="8" fontId="17" numFmtId="0" xfId="0" applyAlignment="1" applyFont="1">
      <alignment readingOrder="0" shrinkToFit="0" vertical="bottom" wrapText="1"/>
    </xf>
    <xf borderId="43" fillId="8" fontId="17" numFmtId="0" xfId="0" applyAlignment="1" applyBorder="1" applyFont="1">
      <alignment shrinkToFit="0" vertical="bottom" wrapText="1"/>
    </xf>
    <xf borderId="37" fillId="6" fontId="17" numFmtId="0" xfId="0" applyAlignment="1" applyBorder="1" applyFont="1">
      <alignment shrinkToFit="0" vertical="bottom" wrapText="1"/>
    </xf>
    <xf borderId="0" fillId="6" fontId="17" numFmtId="2" xfId="0" applyAlignment="1" applyFont="1" applyNumberFormat="1">
      <alignment readingOrder="0" shrinkToFit="0" vertical="bottom" wrapText="1"/>
    </xf>
    <xf borderId="0" fillId="8" fontId="17" numFmtId="0" xfId="0" applyAlignment="1" applyFont="1">
      <alignment shrinkToFit="0" vertical="bottom" wrapText="1"/>
    </xf>
    <xf borderId="63" fillId="8" fontId="17" numFmtId="0" xfId="0" applyAlignment="1" applyBorder="1" applyFont="1">
      <alignment readingOrder="0" vertical="bottom"/>
    </xf>
    <xf borderId="0" fillId="0" fontId="23" numFmtId="2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Base de da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se de dato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se de dato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se de dato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_CLIE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_COTIZACIO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alle Cotizació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sv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30</xdr:col>
      <xdr:colOff>114300</xdr:colOff>
      <xdr:row>4</xdr:row>
      <xdr:rowOff>133350</xdr:rowOff>
    </xdr:from>
    <xdr:ext cx="2038350" cy="514350"/>
    <xdr:sp>
      <xdr:nvSpPr>
        <xdr:cNvPr id="3" name="Shape 3"/>
        <xdr:cNvSpPr txBox="1"/>
      </xdr:nvSpPr>
      <xdr:spPr>
        <a:xfrm>
          <a:off x="4331588" y="3527588"/>
          <a:ext cx="2028825" cy="5048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C00000"/>
              </a:solidFill>
              <a:latin typeface="Arial"/>
              <a:ea typeface="Arial"/>
              <a:cs typeface="Arial"/>
              <a:sym typeface="Arial"/>
            </a:rPr>
            <a:t>R.U.T: 77.180.437-3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500">
            <a:solidFill>
              <a:srgbClr val="C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C00000"/>
              </a:solidFill>
              <a:latin typeface="Arial"/>
              <a:ea typeface="Arial"/>
              <a:cs typeface="Arial"/>
              <a:sym typeface="Arial"/>
            </a:rPr>
            <a:t>N° Cotización:</a:t>
          </a:r>
          <a:endParaRPr sz="1400"/>
        </a:p>
      </xdr:txBody>
    </xdr:sp>
    <xdr:clientData fLocksWithSheet="0"/>
  </xdr:oneCellAnchor>
  <xdr:oneCellAnchor>
    <xdr:from>
      <xdr:col>31</xdr:col>
      <xdr:colOff>9525</xdr:colOff>
      <xdr:row>4</xdr:row>
      <xdr:rowOff>85725</xdr:rowOff>
    </xdr:from>
    <xdr:ext cx="2085975" cy="866775"/>
    <xdr:sp>
      <xdr:nvSpPr>
        <xdr:cNvPr id="4" name="Shape 4"/>
        <xdr:cNvSpPr/>
      </xdr:nvSpPr>
      <xdr:spPr>
        <a:xfrm>
          <a:off x="4183950" y="3356138"/>
          <a:ext cx="2324100" cy="847725"/>
        </a:xfrm>
        <a:prstGeom prst="rect">
          <a:avLst/>
        </a:prstGeom>
        <a:noFill/>
        <a:ln cap="flat" cmpd="sng" w="127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5</xdr:row>
      <xdr:rowOff>76200</xdr:rowOff>
    </xdr:from>
    <xdr:ext cx="1685925" cy="447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E4:Q35" displayName="Tabla_3" name="Tabla_3" id="1">
  <tableColumns count="13">
    <tableColumn name="Cod" id="1"/>
    <tableColumn name="Producto" id="2"/>
    <tableColumn name="Modelo" id="3"/>
    <tableColumn name="Proveedor" id="4"/>
    <tableColumn name="Link publicado" id="5"/>
    <tableColumn name="Valor publicado" id="6"/>
    <tableColumn name="Neto" id="7"/>
    <tableColumn name="IVA" id="8"/>
    <tableColumn name="Margen " id="9"/>
    <tableColumn name="Precio Venta" id="10"/>
    <tableColumn name="Cant " id="11"/>
    <tableColumn name="Total" id="12"/>
    <tableColumn name="Utilidad" id="13"/>
  </tableColumns>
  <tableStyleInfo name="Base de datos-style" showColumnStripes="0" showFirstColumn="1" showLastColumn="1" showRowStripes="1"/>
</table>
</file>

<file path=xl/tables/table2.xml><?xml version="1.0" encoding="utf-8"?>
<table xmlns="http://schemas.openxmlformats.org/spreadsheetml/2006/main" ref="E38:Q68" displayName="Tabla_4" name="Tabla_4" id="2">
  <tableColumns count="13">
    <tableColumn name="Cod" id="1"/>
    <tableColumn name="Categoría" id="2"/>
    <tableColumn name="Modelo" id="3"/>
    <tableColumn name="Proveedor" id="4"/>
    <tableColumn name="Link publicado" id="5"/>
    <tableColumn name="Valor publicado" id="6"/>
    <tableColumn name="Neto" id="7"/>
    <tableColumn name="IVA" id="8"/>
    <tableColumn name="Margen " id="9"/>
    <tableColumn name="Precio Venta" id="10"/>
    <tableColumn name="Cant " id="11"/>
    <tableColumn name="Total" id="12"/>
    <tableColumn name="Utilidad" id="13"/>
  </tableColumns>
  <tableStyleInfo name="Base de datos-style 2" showColumnStripes="0" showFirstColumn="1" showLastColumn="1" showRowStripes="1"/>
</table>
</file>

<file path=xl/tables/table3.xml><?xml version="1.0" encoding="utf-8"?>
<table xmlns="http://schemas.openxmlformats.org/spreadsheetml/2006/main" ref="E71:Q83" displayName="Tabla_1" name="Tabla_1" id="3">
  <tableColumns count="13">
    <tableColumn name="Cod" id="1"/>
    <tableColumn name="Categoría" id="2"/>
    <tableColumn name="Modelo" id="3"/>
    <tableColumn name="Proveedor" id="4"/>
    <tableColumn name="Link publicado" id="5"/>
    <tableColumn name="Valor publicado" id="6"/>
    <tableColumn name="Neto" id="7"/>
    <tableColumn name="IVA" id="8"/>
    <tableColumn name="Margen " id="9"/>
    <tableColumn name="Precio Venta" id="10"/>
    <tableColumn name="Cant " id="11"/>
    <tableColumn name="Total" id="12"/>
    <tableColumn name="Utilidad" id="13"/>
  </tableColumns>
  <tableStyleInfo name="Base de datos-style 3" showColumnStripes="0" showFirstColumn="1" showLastColumn="1" showRowStripes="1"/>
</table>
</file>

<file path=xl/tables/table4.xml><?xml version="1.0" encoding="utf-8"?>
<table xmlns="http://schemas.openxmlformats.org/spreadsheetml/2006/main" ref="E86:Q113" displayName="Tabla_2" name="Tabla_2" id="4">
  <tableColumns count="13">
    <tableColumn name="Cod" id="1"/>
    <tableColumn name="Categoría" id="2"/>
    <tableColumn name="Modelo" id="3"/>
    <tableColumn name="Proveedor" id="4"/>
    <tableColumn name="Link publicado" id="5"/>
    <tableColumn name="Valor publicado" id="6"/>
    <tableColumn name="Neto" id="7"/>
    <tableColumn name="IVA" id="8"/>
    <tableColumn name="Margen " id="9"/>
    <tableColumn name="Precio Venta" id="10"/>
    <tableColumn name="Cant " id="11"/>
    <tableColumn name="Total" id="12"/>
    <tableColumn name="Utilidad" id="13"/>
  </tableColumns>
  <tableStyleInfo name="Base de datos-style 4" showColumnStripes="0" showFirstColumn="1" showLastColumn="1" showRowStripes="1"/>
</table>
</file>

<file path=xl/tables/table5.xml><?xml version="1.0" encoding="utf-8"?>
<table xmlns="http://schemas.openxmlformats.org/spreadsheetml/2006/main" ref="A1:Z1000" displayName="Tabla_5" name="Tabla_5" id="5">
  <tableColumns count="26">
    <tableColumn name="RUT" id="1"/>
    <tableColumn name="RAZÓN SOCIAL" id="2"/>
    <tableColumn name="DIRECCION" id="3"/>
    <tableColumn name="COMUNA" id="4"/>
    <tableColumn name="CIUDAD" id="5"/>
    <tableColumn name="REGIÓN" id="6"/>
    <tableColumn name="CONTACTO" id="7"/>
    <tableColumn name="TELÉFONO" id="8"/>
    <tableColumn name="MAIL" id="9"/>
    <tableColumn name="Columna 1" id="10"/>
    <tableColumn name="Columna 2" id="11"/>
    <tableColumn name="Columna 3" id="12"/>
    <tableColumn name="Columna 4" id="13"/>
    <tableColumn name="Columna 5" id="14"/>
    <tableColumn name="Columna 6" id="15"/>
    <tableColumn name="Columna 7" id="16"/>
    <tableColumn name="Columna 8" id="17"/>
    <tableColumn name="Columna 9" id="18"/>
    <tableColumn name="Columna 10" id="19"/>
    <tableColumn name="Columna 11" id="20"/>
    <tableColumn name="Columna 12" id="21"/>
    <tableColumn name="Columna 13" id="22"/>
    <tableColumn name="Columna 14" id="23"/>
    <tableColumn name="Columna 15" id="24"/>
    <tableColumn name="Columna 16" id="25"/>
    <tableColumn name="Columna 17" id="26"/>
  </tableColumns>
  <tableStyleInfo name="R_CLIENTES-style" showColumnStripes="0" showFirstColumn="1" showLastColumn="1" showRowStripes="1"/>
</table>
</file>

<file path=xl/tables/table6.xml><?xml version="1.0" encoding="utf-8"?>
<table xmlns="http://schemas.openxmlformats.org/spreadsheetml/2006/main" ref="A3:AA1003" displayName="REGISTRO_COTIZACIONES" name="REGISTRO_COTIZACIONES" id="6">
  <autoFilter ref="$A$3:$AA$1003"/>
  <tableColumns count="27">
    <tableColumn name="ID_COT" id="1"/>
    <tableColumn name="FECHA" id="2"/>
    <tableColumn name="RUT_CLIENTE" id="3"/>
    <tableColumn name="RAZÓN SOCIAL" id="4"/>
    <tableColumn name="CONTACTO" id="5"/>
    <tableColumn name="APLICA IVA" id="6"/>
    <tableColumn name="TELEFÓNO" id="7"/>
    <tableColumn name="VENDEDOR" id="8"/>
    <tableColumn name="FORMA DE PAGO" id="9"/>
    <tableColumn name="VALOR NETO" id="10"/>
    <tableColumn name="IVA" id="11"/>
    <tableColumn name="TOTAL" id="12"/>
    <tableColumn name="DESCRIPCIÓN" id="13"/>
    <tableColumn name="COMENTARIOS" id="14"/>
    <tableColumn name="ESTADO" id="15"/>
    <tableColumn name="DOCUMENTO" id="16"/>
    <tableColumn name="NRO DOCUMENTO" id="17"/>
    <tableColumn name="Columna 7" id="18"/>
    <tableColumn name="Columna 8" id="19"/>
    <tableColumn name="Columna 9" id="20"/>
    <tableColumn name="Columna 10" id="21"/>
    <tableColumn name="Columna 11" id="22"/>
    <tableColumn name="Columna 12" id="23"/>
    <tableColumn name="Columna 13" id="24"/>
    <tableColumn name="Columna 14" id="25"/>
    <tableColumn name="Columna 15" id="26"/>
    <tableColumn name="Columna 16" id="27"/>
  </tableColumns>
  <tableStyleInfo name="R_COTIZACIONES-style" showColumnStripes="0" showFirstColumn="1" showLastColumn="1" showRowStripes="1"/>
</table>
</file>

<file path=xl/tables/table7.xml><?xml version="1.0" encoding="utf-8"?>
<table xmlns="http://schemas.openxmlformats.org/spreadsheetml/2006/main" ref="A3:S901" displayName="Listado_cotizaciones" name="Listado_cotizaciones" id="7">
  <tableColumns count="19">
    <tableColumn name="Columna 1" id="1"/>
    <tableColumn name="Nro Cot" id="2"/>
    <tableColumn name="Nro de fila " id="3"/>
    <tableColumn name="Cliente" id="4"/>
    <tableColumn name="RUT" id="5"/>
    <tableColumn name="IVA" id="6"/>
    <tableColumn name="Proveedor" id="7"/>
    <tableColumn name="Cod" id="8"/>
    <tableColumn name="Producto / Servicio" id="9"/>
    <tableColumn name="Cant" id="10"/>
    <tableColumn name="Valor unitario" id="11"/>
    <tableColumn name="Descuento" id="12"/>
    <tableColumn name="Sub- Total unitario" id="13"/>
    <tableColumn name="VALOR IVA" id="14"/>
    <tableColumn name="Total Uni" id="15"/>
    <tableColumn name="Total acumulado" id="16"/>
    <tableColumn name="Margen Unitario" id="17"/>
    <tableColumn name="Margen acumulado" id="18"/>
    <tableColumn name="Columna 2" id="19"/>
  </tableColumns>
  <tableStyleInfo name="Detalle Cotización-style" showColumnStripes="0" showFirstColumn="1" showLastColumn="1" showRowStripes="1"/>
</table>
</file>

<file path=xl/tables/table8.xml><?xml version="1.0" encoding="utf-8"?>
<table xmlns="http://schemas.openxmlformats.org/spreadsheetml/2006/main" headerRowCount="0" ref="A2:H100" displayName="Table_1" name="Table_1" id="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ercadolibre.cl/cerradura-electrica-poli-estandar-3010-color-gris/p/MLC26916598?pdp_filters=item_id%3AMLC1503197593&amp;from=gshop&amp;matt_tool=20183815&amp;matt_word=&amp;matt_source=google&amp;matt_campaign_id=22116391431&amp;matt_ad_group_id=173057318069&amp;matt_match_type=&amp;matt_network=g&amp;matt_device=c&amp;matt_creative=729566853985&amp;matt_keyword=&amp;matt_ad_position=&amp;matt_ad_type=pla&amp;matt_merchant_id=735119080&amp;matt_product_id=MLC26916598-product&amp;matt_product_partition_id=2389934066538&amp;matt_target_id=aud-1815719865347:pla-2389934066538&amp;cq_src=google_ads&amp;cq_cmp=22116391431&amp;cq_net=g&amp;cq_plt=gp&amp;cq_med=pla&amp;gad_source=1&amp;gad_campaignid=22116391431&amp;gclid=Cj0KCQiApL7KBhC7ARIsAD2Xq3CF-ggy8Pc_HfYukX6m5gWy6PtfVjtadu0Gcnx4ocZC1Oy6j91wzf4aAuI1EALw_wcB" TargetMode="External"/><Relationship Id="rId20" Type="http://schemas.openxmlformats.org/officeDocument/2006/relationships/hyperlink" Target="https://www.iaitechvdm.cl/product/dh-ipc-hfw2249s-s-il-camara-bala-ip-poe-2mp-2-8mm-30mt-mic-duales-inteligentes-max-256gb-metal" TargetMode="External"/><Relationship Id="rId41" Type="http://schemas.openxmlformats.org/officeDocument/2006/relationships/drawing" Target="../drawings/drawing2.xml"/><Relationship Id="rId22" Type="http://schemas.openxmlformats.org/officeDocument/2006/relationships/hyperlink" Target="https://smartsecure.cl/products/gabinete-rack-9u-600x450x368-swa-64509?_pos=7&amp;_sid=faca7c4a3&amp;_ss=r" TargetMode="External"/><Relationship Id="rId21" Type="http://schemas.openxmlformats.org/officeDocument/2006/relationships/hyperlink" Target="https://www.iaitechvdm.cl/product/gabinete-mural-rack-1-puerta-300-400-200mm-con-llave-para-electricidad-cctv-metalico-color-blanco" TargetMode="External"/><Relationship Id="rId24" Type="http://schemas.openxmlformats.org/officeDocument/2006/relationships/hyperlink" Target="https://www.iaitechvdm.cl/product/gabinete-rack-12u-fijo-a-pared-con-rueda-y-bandeja-metal-accesorio" TargetMode="External"/><Relationship Id="rId46" Type="http://schemas.openxmlformats.org/officeDocument/2006/relationships/table" Target="../tables/table1.xml"/><Relationship Id="rId23" Type="http://schemas.openxmlformats.org/officeDocument/2006/relationships/hyperlink" Target="https://smartsecure.cl/products/gabinete-rack-4u-530x200x400?_pos=8&amp;_sid=18d93e2a8&amp;_ss=r" TargetMode="External"/><Relationship Id="rId1" Type="http://schemas.openxmlformats.org/officeDocument/2006/relationships/hyperlink" Target="https://smartsecure.cl/products/grabador-nvr-dahua%C2%AE-32ch-2hdd-compatible-smd-plus-dhi-nvr4232-4ks3?_pos=1&amp;_sid=071faad4e&amp;_ss=r" TargetMode="External"/><Relationship Id="rId2" Type="http://schemas.openxmlformats.org/officeDocument/2006/relationships/hyperlink" Target="https://www.iaitechvdm.cl/product/dhi-nvr4232-4ks3-nvr-32ch-sin-poe-2hdd-1u-compatible-2ch-smd-plus-h-265-max-12mp-lite" TargetMode="External"/><Relationship Id="rId3" Type="http://schemas.openxmlformats.org/officeDocument/2006/relationships/hyperlink" Target="https://smartsecure.cl/products/disco-duro-hdd-4tb-seguridad-24-7-seagate?_pos=12&amp;_sid=6e3682f76&amp;_ss=r" TargetMode="External"/><Relationship Id="rId4" Type="http://schemas.openxmlformats.org/officeDocument/2006/relationships/hyperlink" Target="https://www.iaitechvdm.cl/product/6tb-wd-disco-duro-sata3-5400-rpm-256mb-video-vigilanciamarca-wd" TargetMode="External"/><Relationship Id="rId9" Type="http://schemas.openxmlformats.org/officeDocument/2006/relationships/hyperlink" Target="https://smartsecure.cl/products/switch-8-puertos-dahua%C2%AE-pfs3010-8et-65?_pos=1&amp;_sid=93852b4a8&amp;_ss=r" TargetMode="External"/><Relationship Id="rId26" Type="http://schemas.openxmlformats.org/officeDocument/2006/relationships/hyperlink" Target="https://clickbox.cl/products/clickbox_panel-conexion-linkmade-24-rj45-cat6-utp_marketplace_mayorista?pr_prod_strat=e5_desc&amp;pr_rec_id=827911926&amp;pr_rec_pid=8398360674525&amp;pr_ref_pid=8398395867357&amp;pr_seq=uniform" TargetMode="External"/><Relationship Id="rId48" Type="http://schemas.openxmlformats.org/officeDocument/2006/relationships/table" Target="../tables/table3.xml"/><Relationship Id="rId25" Type="http://schemas.openxmlformats.org/officeDocument/2006/relationships/hyperlink" Target="https://www.iaitechvdm.cl/product/patch-panel-24-puertos-1u-cat6-td-p7024-c6-largo-48-1-alto-4-5-espero-6-5" TargetMode="External"/><Relationship Id="rId47" Type="http://schemas.openxmlformats.org/officeDocument/2006/relationships/table" Target="../tables/table2.xml"/><Relationship Id="rId28" Type="http://schemas.openxmlformats.org/officeDocument/2006/relationships/hyperlink" Target="https://smartsecure.cl/products/cable-utp-cat6-dahua%C2%AE-libre-de-alogeno-lszh-clase-cpr-e-305metros-blanco-dh-pfm923i-6un-c?_pos=2&amp;_sid=d53213abf&amp;_ss=r" TargetMode="External"/><Relationship Id="rId27" Type="http://schemas.openxmlformats.org/officeDocument/2006/relationships/hyperlink" Target="https://smartsecure.cl/products/cable-patch-cord-dahua%C2%AE-cat6-2-metros-24awg-amarillo-dh-pfm972-6u-2-s?_pos=5&amp;_sid=c0e8f0816&amp;_ss=r" TargetMode="External"/><Relationship Id="rId49" Type="http://schemas.openxmlformats.org/officeDocument/2006/relationships/table" Target="../tables/table4.xml"/><Relationship Id="rId5" Type="http://schemas.openxmlformats.org/officeDocument/2006/relationships/hyperlink" Target="https://smartsecure.cl/products/ups-dahua%C2%AE-1500va-900w-dh-pfm350-900-a?_pos=16&amp;_sid=72e347310&amp;_ss=r" TargetMode="External"/><Relationship Id="rId6" Type="http://schemas.openxmlformats.org/officeDocument/2006/relationships/hyperlink" Target="https://smartsecure.cl/products/ups-dahua%C2%AE-1500va-900w-dh-pfm350-900-a?_pos=16&amp;_sid=72e347310&amp;_ss=r" TargetMode="External"/><Relationship Id="rId29" Type="http://schemas.openxmlformats.org/officeDocument/2006/relationships/hyperlink" Target="https://smartsecure.cl/products/copia-de-cable-utp-dahua%C2%AE-cat5e-rollo-100mt-100-cobre-blanco?_pos=6&amp;_sid=c0c934acd&amp;_ss=r" TargetMode="External"/><Relationship Id="rId7" Type="http://schemas.openxmlformats.org/officeDocument/2006/relationships/hyperlink" Target="https://www.iaitechvdm.cl/product/dh-cs4228-24gt-240-switch-poe-240w-24ch-ge-poe-y-2ch-ge-2ch-sfp-nube-10-1000mbps-250mt-uplink-dahua" TargetMode="External"/><Relationship Id="rId8" Type="http://schemas.openxmlformats.org/officeDocument/2006/relationships/hyperlink" Target="https://smartsecure.cl/products/switch-dahua%C2%AE-administrable-24-puertos-poe-dh-cs4226-24et-240?_pos=1&amp;_sid=fc53bc8ca&amp;_ss=r" TargetMode="External"/><Relationship Id="rId31" Type="http://schemas.openxmlformats.org/officeDocument/2006/relationships/hyperlink" Target="https://www.iaitechvdm.cl/product/100-100-70-caja-estanca-ip55-pvc-para-sistema-vigilancia" TargetMode="External"/><Relationship Id="rId30" Type="http://schemas.openxmlformats.org/officeDocument/2006/relationships/hyperlink" Target="https://www.moretoclima.cl/canaletas/canaleta-100x50-x-2-mts-nuevas" TargetMode="External"/><Relationship Id="rId11" Type="http://schemas.openxmlformats.org/officeDocument/2006/relationships/hyperlink" Target="https://smartsecure.cl/products/copia-de-switch-poe-4-puertos-dahua-pfs3006-4et-60w?_pos=9&amp;_sid=93852b4a8&amp;_ss=r" TargetMode="External"/><Relationship Id="rId33" Type="http://schemas.openxmlformats.org/officeDocument/2006/relationships/hyperlink" Target="https://smartsecure.cl/products/retenedor-electromagnetico-280kg-con-interruputor-para-12v-24v-zk-cm-280hs" TargetMode="External"/><Relationship Id="rId10" Type="http://schemas.openxmlformats.org/officeDocument/2006/relationships/hyperlink" Target="https://www.iaitechvdm.cl/product/poe208-100mb-switch-poe-2uplink-8poe-10-100mbps-dc52v-138w-ac100-240v-oferta-invierno" TargetMode="External"/><Relationship Id="rId32" Type="http://schemas.openxmlformats.org/officeDocument/2006/relationships/hyperlink" Target="https://smartsecure.cl/products/retenedor-electromagnetico-dahua%C2%AE-280kg-12v-24v-aluminio-dhi-asf280a?_pos=8&amp;_sid=a9a1596e6&amp;_ss=r" TargetMode="External"/><Relationship Id="rId13" Type="http://schemas.openxmlformats.org/officeDocument/2006/relationships/hyperlink" Target="https://smartsecure.cl/products/router-inalambrico-wifi-tp-link-ac750-1-puerto-10-100-wan-4-puertos-10-100-lan-archer-c20?_pos=2&amp;_sid=44761914d&amp;_ss=r" TargetMode="External"/><Relationship Id="rId35" Type="http://schemas.openxmlformats.org/officeDocument/2006/relationships/hyperlink" Target="https://heyselectric.cl/tienda/pulsador-metal-rasante-verde-lay5-ba31-1no/" TargetMode="External"/><Relationship Id="rId12" Type="http://schemas.openxmlformats.org/officeDocument/2006/relationships/hyperlink" Target="https://www.iaitechvdm.cl/product/poe204-100mb-switch-poe-4poe-2fe-10-100mbps-dc52v-85w-ac100-240v-oferta-invierno" TargetMode="External"/><Relationship Id="rId34" Type="http://schemas.openxmlformats.org/officeDocument/2006/relationships/hyperlink" Target="https://smartsecure.cl/products/retenedor-electromagnetico-180kg-zk-cm-180h?_pos=10&amp;_sid=a9a1596e6&amp;_ss=r" TargetMode="External"/><Relationship Id="rId15" Type="http://schemas.openxmlformats.org/officeDocument/2006/relationships/hyperlink" Target="https://www.mercadolibre.cl/enlace-internet-wifi-ubiquiti-lbe-m5-23-punto-a-punto-25km/p/MLC37817106" TargetMode="External"/><Relationship Id="rId37" Type="http://schemas.openxmlformats.org/officeDocument/2006/relationships/hyperlink" Target="https://smartsecure.cl/products/control-de-acceso-ip-standalone-dahua%C2%AE-dhi-asi1201e?_pos=55&amp;_sid=c24dccc33&amp;_ss=r" TargetMode="External"/><Relationship Id="rId14" Type="http://schemas.openxmlformats.org/officeDocument/2006/relationships/hyperlink" Target="https://www.iaitechvdm.cl/product/rg-ew1200g-pro-router-4ch-2-4ghz-5ghz-1300-mbps-wi-fi-5-gigabit-de-doble-banda-ruijie-reyee" TargetMode="External"/><Relationship Id="rId36" Type="http://schemas.openxmlformats.org/officeDocument/2006/relationships/hyperlink" Target="https://smartsecure.cl/products/accesorio-tipo-l-para-retenedor-280kg-al-280kg?_pos=3&amp;_sid=1fc78e001&amp;_ss=r" TargetMode="External"/><Relationship Id="rId17" Type="http://schemas.openxmlformats.org/officeDocument/2006/relationships/hyperlink" Target="https://smartsecure.cl/collections/camaras-domo-ip/products/copia-de-camara-domo-2mp-lente-2-8mm-ir20m-full-color-c-mic-hdw1239tln-a-led-0280b" TargetMode="External"/><Relationship Id="rId39" Type="http://schemas.openxmlformats.org/officeDocument/2006/relationships/hyperlink" Target="https://powerinverter.cl/index.php?route=product/product&amp;product_id=542" TargetMode="External"/><Relationship Id="rId16" Type="http://schemas.openxmlformats.org/officeDocument/2006/relationships/hyperlink" Target="https://antenaschile.cl/producto/antena-cctv-punto-a-punto-3-km/" TargetMode="External"/><Relationship Id="rId38" Type="http://schemas.openxmlformats.org/officeDocument/2006/relationships/hyperlink" Target="https://smartsecure.cl/products/control-de-acceso-ip-standalone-dahua%C2%AE-dhi-asi1201e-d?_pos=57&amp;_sid=c24dccc33&amp;_ss=r" TargetMode="External"/><Relationship Id="rId19" Type="http://schemas.openxmlformats.org/officeDocument/2006/relationships/hyperlink" Target="https://smartsecure.cl/collections/camaras-bullet-ip/products/camara-ip-bullet-2mp-lente-2-8mm-full-color-ipc-hfw1239s1-led" TargetMode="External"/><Relationship Id="rId18" Type="http://schemas.openxmlformats.org/officeDocument/2006/relationships/hyperlink" Target="https://www.iaitechvdm.cl/product/dh-ipc-hdw1431t1p-a-0280b-s6-camara-domo-ip-poe-4mp-2-8mm-ir30mt-mic-plastica-metal" TargetMode="External"/></Relationships>
</file>

<file path=xl/worksheets/_rels/sheet3.xml.rels><?xml version="1.0" encoding="UTF-8" standalone="yes"?><Relationships xmlns="http://schemas.openxmlformats.org/package/2006/relationships"><Relationship Id="rId21" Type="http://schemas.openxmlformats.org/officeDocument/2006/relationships/table" Target="../tables/table5.xml"/><Relationship Id="rId1" Type="http://schemas.openxmlformats.org/officeDocument/2006/relationships/hyperlink" Target="mailto:mauricio@mypspa.cl" TargetMode="External"/><Relationship Id="rId2" Type="http://schemas.openxmlformats.org/officeDocument/2006/relationships/hyperlink" Target="mailto:condominiomiradorelmilagro@gmail.com" TargetMode="External"/><Relationship Id="rId3" Type="http://schemas.openxmlformats.org/officeDocument/2006/relationships/hyperlink" Target="mailto:contacto@amazinggraceco.cl" TargetMode="External"/><Relationship Id="rId4" Type="http://schemas.openxmlformats.org/officeDocument/2006/relationships/hyperlink" Target="mailto:administracion@jardincentro.cl" TargetMode="External"/><Relationship Id="rId9" Type="http://schemas.openxmlformats.org/officeDocument/2006/relationships/hyperlink" Target="mailto:mauricio@mypspa.cl" TargetMode="External"/><Relationship Id="rId5" Type="http://schemas.openxmlformats.org/officeDocument/2006/relationships/hyperlink" Target="mailto:Epuertacentro@gmail.com" TargetMode="External"/><Relationship Id="rId6" Type="http://schemas.openxmlformats.org/officeDocument/2006/relationships/hyperlink" Target="mailto:condominioneospazio@gmail.com" TargetMode="External"/><Relationship Id="rId7" Type="http://schemas.openxmlformats.org/officeDocument/2006/relationships/hyperlink" Target="mailto:contacto@citoapp.cl" TargetMode="External"/><Relationship Id="rId8" Type="http://schemas.openxmlformats.org/officeDocument/2006/relationships/hyperlink" Target="mailto:adquisiciones@amazinggracels.cl" TargetMode="External"/><Relationship Id="rId11" Type="http://schemas.openxmlformats.org/officeDocument/2006/relationships/hyperlink" Target="mailto:madelpinoarcos@gmail.com" TargetMode="External"/><Relationship Id="rId10" Type="http://schemas.openxmlformats.org/officeDocument/2006/relationships/hyperlink" Target="mailto:madelpinoarcos@gmail.com" TargetMode="External"/><Relationship Id="rId13" Type="http://schemas.openxmlformats.org/officeDocument/2006/relationships/hyperlink" Target="mailto:jperez@gmail.com" TargetMode="External"/><Relationship Id="rId12" Type="http://schemas.openxmlformats.org/officeDocument/2006/relationships/hyperlink" Target="mailto:mauricio@mypspa.cl" TargetMode="External"/><Relationship Id="rId15" Type="http://schemas.openxmlformats.org/officeDocument/2006/relationships/hyperlink" Target="mailto:adm.condominiocapri@gmail.com" TargetMode="External"/><Relationship Id="rId14" Type="http://schemas.openxmlformats.org/officeDocument/2006/relationships/hyperlink" Target="mailto:madelpinoarcos@gmail.com" TargetMode="External"/><Relationship Id="rId17" Type="http://schemas.openxmlformats.org/officeDocument/2006/relationships/hyperlink" Target="mailto:admparquelibertad@gmail.com" TargetMode="External"/><Relationship Id="rId16" Type="http://schemas.openxmlformats.org/officeDocument/2006/relationships/hyperlink" Target="mailto:contacto@espacioserenanorte.cl" TargetMode="External"/><Relationship Id="rId19" Type="http://schemas.openxmlformats.org/officeDocument/2006/relationships/drawing" Target="../drawings/drawing3.xml"/><Relationship Id="rId18" Type="http://schemas.openxmlformats.org/officeDocument/2006/relationships/hyperlink" Target="mailto:rodrigomancilla@gmail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hidden="1" min="1" max="1" width="4.0"/>
    <col customWidth="1" hidden="1" min="2" max="2" width="7.0"/>
    <col customWidth="1" min="3" max="4" width="2.14"/>
    <col customWidth="1" min="5" max="5" width="3.29"/>
    <col customWidth="1" min="6" max="6" width="3.14"/>
    <col customWidth="1" min="7" max="7" width="3.0"/>
    <col customWidth="1" min="8" max="8" width="0.57"/>
    <col customWidth="1" min="9" max="9" width="1.57"/>
    <col customWidth="1" min="10" max="10" width="2.0"/>
    <col customWidth="1" min="11" max="11" width="2.43"/>
    <col customWidth="1" min="12" max="21" width="2.14"/>
    <col customWidth="1" min="22" max="22" width="3.0"/>
    <col customWidth="1" min="23" max="23" width="2.14"/>
    <col customWidth="1" min="24" max="24" width="1.57"/>
    <col customWidth="1" min="25" max="26" width="2.14"/>
    <col customWidth="1" min="27" max="28" width="0.43"/>
    <col customWidth="1" min="29" max="29" width="2.14"/>
    <col customWidth="1" min="30" max="30" width="4.29"/>
    <col customWidth="1" min="31" max="33" width="2.14"/>
    <col customWidth="1" min="34" max="34" width="3.29"/>
    <col customWidth="1" min="35" max="35" width="0.29"/>
    <col customWidth="1" min="36" max="36" width="0.86"/>
    <col customWidth="1" min="37" max="37" width="2.57"/>
    <col customWidth="1" min="38" max="38" width="9.29"/>
    <col customWidth="1" min="39" max="39" width="2.14"/>
    <col customWidth="1" min="40" max="40" width="4.29"/>
    <col customWidth="1" min="41" max="41" width="2.14"/>
    <col customWidth="1" min="42" max="42" width="2.29"/>
    <col customWidth="1" min="43" max="46" width="2.14"/>
    <col customWidth="1" min="47" max="48" width="2.71"/>
    <col customWidth="1" min="49" max="49" width="2.14"/>
    <col customWidth="1" hidden="1" min="50" max="60" width="11.14"/>
  </cols>
  <sheetData>
    <row r="1" ht="32.25" customHeight="1" outlineLevel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ht="32.25" customHeight="1" outlineLevel="1">
      <c r="A2" s="1"/>
      <c r="B2" s="1"/>
      <c r="C2" s="2"/>
      <c r="D2" s="2"/>
      <c r="E2" s="2"/>
      <c r="F2" s="2"/>
      <c r="G2" s="3" t="s">
        <v>0</v>
      </c>
      <c r="H2" s="4"/>
      <c r="I2" s="4"/>
      <c r="J2" s="4"/>
      <c r="K2" s="4"/>
      <c r="L2" s="4"/>
      <c r="M2" s="4"/>
      <c r="N2" s="4"/>
      <c r="O2" s="5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7.75" customHeight="1" outlineLevel="1">
      <c r="A3" s="1"/>
      <c r="B3" s="1"/>
      <c r="C3" s="2"/>
      <c r="D3" s="2"/>
      <c r="E3" s="2"/>
      <c r="F3" s="2"/>
      <c r="G3" s="6">
        <v>82.0</v>
      </c>
      <c r="H3" s="7"/>
      <c r="I3" s="7"/>
      <c r="J3" s="7"/>
      <c r="K3" s="7"/>
      <c r="L3" s="7"/>
      <c r="M3" s="7"/>
      <c r="N3" s="7"/>
      <c r="O3" s="8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4.25" customHeight="1" outlineLevel="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9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ht="14.25" customHeight="1">
      <c r="A6" s="1"/>
      <c r="B6" s="1"/>
      <c r="C6" s="1"/>
      <c r="D6" s="1"/>
      <c r="E6" s="1"/>
      <c r="F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"/>
      <c r="AT6" s="1"/>
      <c r="AU6" s="1"/>
      <c r="AV6" s="1"/>
      <c r="AW6" s="1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ht="13.5" customHeight="1">
      <c r="A7" s="1"/>
      <c r="B7" s="1"/>
      <c r="C7" s="1"/>
      <c r="D7" s="1"/>
      <c r="E7" s="1"/>
      <c r="F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9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2"/>
      <c r="AY8" s="2"/>
      <c r="AZ8" s="12"/>
      <c r="BA8" s="12"/>
      <c r="BB8" s="12"/>
      <c r="BC8" s="12"/>
      <c r="BD8" s="12"/>
      <c r="BE8" s="12"/>
      <c r="BF8" s="2"/>
      <c r="BG8" s="2"/>
      <c r="BH8" s="2"/>
    </row>
    <row r="9" ht="16.5" customHeight="1">
      <c r="A9" s="1"/>
      <c r="B9" s="1"/>
      <c r="C9" s="1"/>
      <c r="D9" s="13" t="s">
        <v>1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"/>
      <c r="Y9" s="1"/>
      <c r="Z9" s="1"/>
      <c r="AA9" s="1"/>
      <c r="AB9" s="1"/>
      <c r="AC9" s="14"/>
      <c r="AD9" s="1"/>
      <c r="AE9" s="15">
        <f>G3</f>
        <v>82</v>
      </c>
      <c r="AT9" s="1"/>
      <c r="AU9" s="1"/>
      <c r="AV9" s="1"/>
      <c r="AW9" s="1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ht="12.0" customHeight="1">
      <c r="A10" s="1"/>
      <c r="B10" s="1"/>
      <c r="C10" s="1"/>
      <c r="D10" s="16" t="s">
        <v>2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7"/>
      <c r="Y10" s="18"/>
      <c r="Z10" s="18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ht="12.0" customHeight="1">
      <c r="A11" s="1"/>
      <c r="B11" s="1"/>
      <c r="C11" s="1"/>
      <c r="D11" s="19" t="s">
        <v>3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ht="12.0" customHeight="1">
      <c r="A12" s="1"/>
      <c r="B12" s="1"/>
      <c r="C12" s="1"/>
      <c r="D12" s="20" t="s">
        <v>4</v>
      </c>
      <c r="E12" s="16"/>
      <c r="F12" s="16"/>
      <c r="G12" s="1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ht="12.75" customHeight="1">
      <c r="A13" s="1"/>
      <c r="B13" s="1"/>
      <c r="C13" s="1"/>
      <c r="D13" s="20" t="s">
        <v>5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"/>
      <c r="Y13" s="1"/>
      <c r="Z13" s="1"/>
      <c r="AA13" s="1"/>
      <c r="AB13" s="1"/>
      <c r="AC13" s="1"/>
      <c r="AD13" s="21" t="str">
        <f>"Fecha de Cotización: " &amp; TEXT(IFERROR(VLOOKUP($AE$9, R_COTIZACIONES!$A$6:$B1000, 2, FALSE), ""), "dd-mm-yyyy")</f>
        <v>Fecha de Cotización: 04-03-2026</v>
      </c>
      <c r="AW13" s="1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ht="12.75" customHeight="1">
      <c r="A14" s="1"/>
      <c r="B14" s="1"/>
      <c r="C14" s="1"/>
      <c r="D14" s="22" t="s">
        <v>6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"/>
      <c r="Y14" s="1"/>
      <c r="Z14" s="1"/>
      <c r="AA14" s="1"/>
      <c r="AB14" s="1"/>
      <c r="AC14" s="1"/>
      <c r="AW14" s="1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23"/>
      <c r="AD15" s="23"/>
      <c r="AE15" s="23"/>
      <c r="AF15" s="23"/>
      <c r="AG15" s="23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24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ht="15.0" customHeight="1">
      <c r="A16" s="1"/>
      <c r="B16" s="1"/>
      <c r="C16" s="1"/>
      <c r="D16" s="25" t="s">
        <v>7</v>
      </c>
      <c r="E16" s="26"/>
      <c r="F16" s="26"/>
      <c r="G16" s="26"/>
      <c r="H16" s="26"/>
      <c r="I16" s="26"/>
      <c r="J16" s="26"/>
      <c r="K16" s="26"/>
      <c r="L16" s="27" t="str">
        <f>IFERROR(VLOOKUP($AE$9, R_COTIZACIONES!$A$6:$G1000, 5, FALSE), "Sin contacto")</f>
        <v>Diego Palma</v>
      </c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1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ht="15.0" customHeight="1">
      <c r="A17" s="1"/>
      <c r="B17" s="1"/>
      <c r="C17" s="1"/>
      <c r="D17" s="29" t="s">
        <v>8</v>
      </c>
      <c r="G17" s="30" t="str">
        <f>IFERROR(VLOOKUP($AE$9, R_COTIZACIONES!$A:$C, 3, FALSE), "")</f>
        <v>65.066.845-6 </v>
      </c>
      <c r="AV17" s="1"/>
      <c r="AW17" s="1"/>
      <c r="AX17" s="24"/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ht="15.0" customHeight="1">
      <c r="A18" s="1"/>
      <c r="B18" s="1"/>
      <c r="C18" s="1"/>
      <c r="D18" s="29" t="s">
        <v>9</v>
      </c>
      <c r="K18" s="30" t="str">
        <f>IFERROR(VLOOKUP($AE$9, R_COTIZACIONES!$A:$E, 4, FALSE), "No encontrado")</f>
        <v>Condominio Ossandon</v>
      </c>
      <c r="AV18" s="1"/>
      <c r="AW18" s="1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</row>
    <row r="19" ht="15.0" customHeight="1">
      <c r="A19" s="1"/>
      <c r="B19" s="1"/>
      <c r="C19" s="1"/>
      <c r="D19" s="29" t="s">
        <v>10</v>
      </c>
      <c r="I19" s="30" t="str">
        <f>IFERROR(VLOOKUP(VLOOKUP($AE$9, R_COTIZACIONES!$A$6:$C1000, 3, FALSE), R_CLIENTES!$A$3:$C1000, 3, FALSE), "Dirección no encontrada")</f>
        <v>Av  Ossandón 60</v>
      </c>
      <c r="AV19" s="1"/>
      <c r="AW19" s="1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ht="15.0" customHeight="1">
      <c r="A20" s="1"/>
      <c r="B20" s="1"/>
      <c r="C20" s="1"/>
      <c r="D20" s="29" t="s">
        <v>11</v>
      </c>
      <c r="I20" s="30" t="str">
        <f>IFERROR(VLOOKUP(VLOOKUP($AE$9, R_COTIZACIONES!$A$6:$C1000, 3, FALSE), R_CLIENTES!$A$3:$D1000, 4, FALSE), "")</f>
        <v>Coquimbo</v>
      </c>
      <c r="R20" s="1"/>
      <c r="S20" s="31" t="s">
        <v>12</v>
      </c>
      <c r="W20" s="30" t="str">
        <f t="array" ref="W20">IFERROR(VLOOKUP(TRIM($AE$9), TRIM(R_COTIZACIONES!$A:$G), 7, FALSE), "No encontrado")</f>
        <v>9 9969 8228</v>
      </c>
      <c r="AT20" s="1"/>
      <c r="AU20" s="1"/>
      <c r="AV20" s="1"/>
      <c r="AW20" s="1"/>
      <c r="AX20" s="32"/>
      <c r="AY20" s="2"/>
      <c r="AZ20" s="2"/>
      <c r="BA20" s="2"/>
      <c r="BB20" s="2"/>
      <c r="BC20" s="2"/>
      <c r="BD20" s="2"/>
      <c r="BE20" s="2"/>
      <c r="BF20" s="2"/>
      <c r="BG20" s="2"/>
      <c r="BH20" s="2"/>
    </row>
    <row r="21" ht="13.5" customHeight="1">
      <c r="A21" s="1"/>
      <c r="B21" s="1"/>
      <c r="C21" s="1"/>
      <c r="D21" s="29" t="s">
        <v>13</v>
      </c>
      <c r="H21" s="30" t="str">
        <f>IFERROR(VLOOKUP(VLOOKUP($AE$9, R_COTIZACIONES!$A$6:$C1000, 3, FALSE), R_CLIENTES!$A$3:$I1000, 9, FALSE), "Correo no registrado")</f>
        <v>admossandon@gmail.com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</row>
    <row r="23" ht="15.75" customHeight="1">
      <c r="A23" s="1"/>
      <c r="B23" s="1"/>
      <c r="C23" s="1"/>
      <c r="D23" s="33" t="s">
        <v>14</v>
      </c>
      <c r="E23" s="34"/>
      <c r="F23" s="34"/>
      <c r="G23" s="34"/>
      <c r="H23" s="35"/>
      <c r="I23" s="33" t="s">
        <v>15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5"/>
      <c r="AB23" s="33" t="s">
        <v>16</v>
      </c>
      <c r="AC23" s="34"/>
      <c r="AD23" s="34"/>
      <c r="AE23" s="34"/>
      <c r="AF23" s="35"/>
      <c r="AG23" s="33" t="s">
        <v>17</v>
      </c>
      <c r="AH23" s="34"/>
      <c r="AI23" s="34"/>
      <c r="AJ23" s="34"/>
      <c r="AK23" s="34"/>
      <c r="AL23" s="35"/>
      <c r="AM23" s="33" t="s">
        <v>18</v>
      </c>
      <c r="AN23" s="34"/>
      <c r="AO23" s="34"/>
      <c r="AP23" s="35"/>
      <c r="AQ23" s="33" t="s">
        <v>19</v>
      </c>
      <c r="AR23" s="34"/>
      <c r="AS23" s="34"/>
      <c r="AT23" s="34"/>
      <c r="AU23" s="34"/>
      <c r="AV23" s="35"/>
      <c r="AW23" s="1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ht="39.0" customHeight="1">
      <c r="A24" s="36">
        <v>1.0</v>
      </c>
      <c r="B24" s="36" t="str">
        <f t="shared" ref="B24:B38" si="1">CONCATENATE($AE$9,"a",A24)</f>
        <v>82a1</v>
      </c>
      <c r="C24" s="36"/>
      <c r="D24" s="37" t="str">
        <f>IFERROR(__xludf.DUMMYFUNCTION("IFERROR(FILTER('Detalle Cotización'!H:H, 'Detalle Cotización'!B:B = $AE$9), """")"),"S18")</f>
        <v>S18</v>
      </c>
      <c r="E24" s="38"/>
      <c r="F24" s="38"/>
      <c r="G24" s="38"/>
      <c r="H24" s="38"/>
      <c r="I24" s="39" t="str">
        <f>IFERROR(__xludf.DUMMYFUNCTION("IFERROR(FILTER('Detalle Cotización'!I:I, 'Detalle Cotización'!B:B = $AE$9), """")"),"Servicio CCTV e Infraestrcutura para exteriores y 2 cámaras en poste.")</f>
        <v>Servicio CCTV e Infraestrcutura para exteriores y 2 cámaras en poste.</v>
      </c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40"/>
      <c r="AC24" s="40"/>
      <c r="AD24" s="40">
        <f>IFERROR(__xludf.DUMMYFUNCTION("IFERROR(FILTER('Detalle Cotización'!J4:J1000, 'Detalle Cotización'!B4:B1000 = $AE$9), """")"),1.0)</f>
        <v>1</v>
      </c>
      <c r="AE24" s="41"/>
      <c r="AF24" s="41"/>
      <c r="AG24" s="42">
        <f>IFERROR(__xludf.DUMMYFUNCTION("IFERROR(FILTER('Detalle Cotización'!K:K, 'Detalle Cotización'!B:B = $AE$9), """")"),3640000.0)</f>
        <v>3640000</v>
      </c>
      <c r="AH24" s="38"/>
      <c r="AI24" s="38"/>
      <c r="AJ24" s="38"/>
      <c r="AK24" s="38"/>
      <c r="AL24" s="38"/>
      <c r="AM24" s="43">
        <f>IFERROR(__xludf.DUMMYFUNCTION("IFERROR(FILTER('Detalle Cotización'!L4:L1000, 'Detalle Cotización'!B4:B1000 = $AE$9), """")"),0.0)</f>
        <v>0</v>
      </c>
      <c r="AN24" s="38"/>
      <c r="AO24" s="38"/>
      <c r="AP24" s="38"/>
      <c r="AQ24" s="42">
        <f>IFERROR(__xludf.DUMMYFUNCTION("IFERROR(FILTER('Detalle Cotización'!M4:M1000, 'Detalle Cotización'!B4:B1000 = $AE$9), """")"),3640000.0)</f>
        <v>3640000</v>
      </c>
      <c r="AR24" s="38"/>
      <c r="AS24" s="38"/>
      <c r="AT24" s="38"/>
      <c r="AU24" s="38"/>
      <c r="AV24" s="44"/>
      <c r="AW24" s="36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</row>
    <row r="25" ht="22.5" customHeight="1">
      <c r="A25" s="1">
        <v>2.0</v>
      </c>
      <c r="B25" s="1" t="str">
        <f t="shared" si="1"/>
        <v>82a2</v>
      </c>
      <c r="C25" s="1"/>
      <c r="D25" s="46"/>
      <c r="I25" s="47"/>
      <c r="AB25" s="48"/>
      <c r="AC25" s="48"/>
      <c r="AD25" s="48"/>
      <c r="AE25" s="49"/>
      <c r="AF25" s="49"/>
      <c r="AG25" s="50"/>
      <c r="AM25" s="51"/>
      <c r="AQ25" s="50"/>
      <c r="AV25" s="52"/>
      <c r="AW25" s="1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</row>
    <row r="26" ht="13.5" customHeight="1">
      <c r="A26" s="1">
        <v>3.0</v>
      </c>
      <c r="B26" s="1" t="str">
        <f t="shared" si="1"/>
        <v>82a3</v>
      </c>
      <c r="C26" s="1"/>
      <c r="D26" s="46"/>
      <c r="I26" s="47"/>
      <c r="AB26" s="48"/>
      <c r="AC26" s="48"/>
      <c r="AD26" s="48"/>
      <c r="AE26" s="49"/>
      <c r="AF26" s="49"/>
      <c r="AG26" s="50"/>
      <c r="AM26" s="51"/>
      <c r="AQ26" s="50"/>
      <c r="AV26" s="52"/>
      <c r="AW26" s="1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</row>
    <row r="27" ht="13.5" customHeight="1">
      <c r="A27" s="1">
        <v>4.0</v>
      </c>
      <c r="B27" s="1" t="str">
        <f t="shared" si="1"/>
        <v>82a4</v>
      </c>
      <c r="C27" s="1"/>
      <c r="D27" s="46"/>
      <c r="I27" s="47"/>
      <c r="AB27" s="48"/>
      <c r="AC27" s="48"/>
      <c r="AD27" s="48"/>
      <c r="AE27" s="49"/>
      <c r="AF27" s="49"/>
      <c r="AG27" s="50"/>
      <c r="AM27" s="51"/>
      <c r="AQ27" s="50"/>
      <c r="AV27" s="52"/>
      <c r="AW27" s="1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</row>
    <row r="28" ht="13.5" customHeight="1">
      <c r="A28" s="1">
        <v>5.0</v>
      </c>
      <c r="B28" s="1" t="str">
        <f t="shared" si="1"/>
        <v>82a5</v>
      </c>
      <c r="C28" s="1"/>
      <c r="D28" s="46"/>
      <c r="I28" s="47"/>
      <c r="AB28" s="48"/>
      <c r="AC28" s="48"/>
      <c r="AD28" s="48"/>
      <c r="AE28" s="49"/>
      <c r="AF28" s="49"/>
      <c r="AG28" s="53"/>
      <c r="AM28" s="51"/>
      <c r="AQ28" s="53"/>
      <c r="AV28" s="52"/>
      <c r="AW28" s="1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ht="13.5" customHeight="1">
      <c r="A29" s="1">
        <v>6.0</v>
      </c>
      <c r="B29" s="1" t="str">
        <f t="shared" si="1"/>
        <v>82a6</v>
      </c>
      <c r="C29" s="1"/>
      <c r="D29" s="54"/>
      <c r="I29" s="47"/>
      <c r="AB29" s="48"/>
      <c r="AC29" s="48"/>
      <c r="AD29" s="48"/>
      <c r="AE29" s="49"/>
      <c r="AF29" s="49"/>
      <c r="AG29" s="53"/>
      <c r="AM29" s="51"/>
      <c r="AQ29" s="53"/>
      <c r="AV29" s="52"/>
      <c r="AW29" s="1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ht="13.5" customHeight="1">
      <c r="A30" s="1">
        <v>7.0</v>
      </c>
      <c r="B30" s="1" t="str">
        <f t="shared" si="1"/>
        <v>82a7</v>
      </c>
      <c r="C30" s="1"/>
      <c r="D30" s="54"/>
      <c r="I30" s="47"/>
      <c r="AB30" s="48"/>
      <c r="AC30" s="48"/>
      <c r="AD30" s="48"/>
      <c r="AE30" s="49"/>
      <c r="AF30" s="49"/>
      <c r="AG30" s="53"/>
      <c r="AM30" s="51"/>
      <c r="AQ30" s="53"/>
      <c r="AV30" s="52"/>
      <c r="AW30" s="1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ht="13.5" customHeight="1">
      <c r="A31" s="1">
        <v>8.0</v>
      </c>
      <c r="B31" s="1" t="str">
        <f t="shared" si="1"/>
        <v>82a8</v>
      </c>
      <c r="C31" s="1"/>
      <c r="D31" s="54"/>
      <c r="I31" s="47"/>
      <c r="AB31" s="48"/>
      <c r="AC31" s="48"/>
      <c r="AD31" s="48"/>
      <c r="AE31" s="49"/>
      <c r="AF31" s="49"/>
      <c r="AG31" s="53"/>
      <c r="AM31" s="51"/>
      <c r="AQ31" s="50"/>
      <c r="AV31" s="52"/>
      <c r="AW31" s="1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ht="13.5" customHeight="1">
      <c r="A32" s="1">
        <v>9.0</v>
      </c>
      <c r="B32" s="1" t="str">
        <f t="shared" si="1"/>
        <v>82a9</v>
      </c>
      <c r="C32" s="1"/>
      <c r="D32" s="54"/>
      <c r="I32" s="47"/>
      <c r="AB32" s="48"/>
      <c r="AC32" s="48"/>
      <c r="AD32" s="48"/>
      <c r="AE32" s="48"/>
      <c r="AF32" s="48"/>
      <c r="AG32" s="55"/>
      <c r="AM32" s="51"/>
      <c r="AQ32" s="53"/>
      <c r="AV32" s="52"/>
      <c r="AW32" s="1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ht="13.5" customHeight="1">
      <c r="A33" s="1">
        <v>10.0</v>
      </c>
      <c r="B33" s="1" t="str">
        <f t="shared" si="1"/>
        <v>82a10</v>
      </c>
      <c r="C33" s="1"/>
      <c r="D33" s="54"/>
      <c r="I33" s="47"/>
      <c r="AB33" s="48"/>
      <c r="AC33" s="48"/>
      <c r="AD33" s="48"/>
      <c r="AE33" s="48"/>
      <c r="AF33" s="48"/>
      <c r="AG33" s="55"/>
      <c r="AM33" s="51"/>
      <c r="AQ33" s="53"/>
      <c r="AV33" s="52"/>
      <c r="AW33" s="1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ht="13.5" customHeight="1">
      <c r="A34" s="1">
        <v>11.0</v>
      </c>
      <c r="B34" s="1" t="str">
        <f t="shared" si="1"/>
        <v>82a11</v>
      </c>
      <c r="C34" s="1"/>
      <c r="D34" s="54"/>
      <c r="I34" s="47"/>
      <c r="AB34" s="48"/>
      <c r="AC34" s="48"/>
      <c r="AD34" s="48"/>
      <c r="AE34" s="48"/>
      <c r="AF34" s="48"/>
      <c r="AG34" s="55"/>
      <c r="AM34" s="51"/>
      <c r="AQ34" s="53"/>
      <c r="AV34" s="52"/>
      <c r="AW34" s="1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</row>
    <row r="35" ht="13.5" customHeight="1">
      <c r="A35" s="1">
        <v>12.0</v>
      </c>
      <c r="B35" s="1" t="str">
        <f t="shared" si="1"/>
        <v>82a12</v>
      </c>
      <c r="C35" s="1"/>
      <c r="D35" s="54"/>
      <c r="I35" s="50"/>
      <c r="AB35" s="48"/>
      <c r="AC35" s="48"/>
      <c r="AD35" s="48"/>
      <c r="AE35" s="48"/>
      <c r="AF35" s="48"/>
      <c r="AG35" s="55"/>
      <c r="AM35" s="51"/>
      <c r="AQ35" s="53"/>
      <c r="AV35" s="52"/>
      <c r="AW35" s="1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ht="13.5" customHeight="1">
      <c r="A36" s="1">
        <v>13.0</v>
      </c>
      <c r="B36" s="1" t="str">
        <f t="shared" si="1"/>
        <v>82a13</v>
      </c>
      <c r="C36" s="1"/>
      <c r="D36" s="54"/>
      <c r="I36" s="56"/>
      <c r="AB36" s="48"/>
      <c r="AC36" s="48"/>
      <c r="AD36" s="48"/>
      <c r="AE36" s="48"/>
      <c r="AF36" s="48"/>
      <c r="AG36" s="55"/>
      <c r="AM36" s="57"/>
      <c r="AQ36" s="53"/>
      <c r="AV36" s="52"/>
      <c r="AW36" s="1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</row>
    <row r="37" ht="13.5" customHeight="1">
      <c r="A37" s="1">
        <v>14.0</v>
      </c>
      <c r="B37" s="1" t="str">
        <f t="shared" si="1"/>
        <v>82a14</v>
      </c>
      <c r="C37" s="1"/>
      <c r="D37" s="54"/>
      <c r="I37" s="56"/>
      <c r="AB37" s="48"/>
      <c r="AC37" s="48"/>
      <c r="AD37" s="48"/>
      <c r="AE37" s="48"/>
      <c r="AF37" s="48"/>
      <c r="AG37" s="55"/>
      <c r="AM37" s="57"/>
      <c r="AQ37" s="53"/>
      <c r="AV37" s="52"/>
      <c r="AW37" s="1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</row>
    <row r="38" ht="13.5" customHeight="1">
      <c r="A38" s="1">
        <v>15.0</v>
      </c>
      <c r="B38" s="1" t="str">
        <f t="shared" si="1"/>
        <v>82a15</v>
      </c>
      <c r="C38" s="1"/>
      <c r="D38" s="58"/>
      <c r="E38" s="59"/>
      <c r="F38" s="59"/>
      <c r="G38" s="59"/>
      <c r="H38" s="59"/>
      <c r="I38" s="60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61"/>
      <c r="AC38" s="61"/>
      <c r="AD38" s="61"/>
      <c r="AE38" s="61"/>
      <c r="AF38" s="61"/>
      <c r="AG38" s="62"/>
      <c r="AH38" s="59"/>
      <c r="AI38" s="59"/>
      <c r="AJ38" s="59"/>
      <c r="AK38" s="59"/>
      <c r="AL38" s="59"/>
      <c r="AM38" s="63"/>
      <c r="AN38" s="64"/>
      <c r="AO38" s="64"/>
      <c r="AP38" s="64"/>
      <c r="AQ38" s="65"/>
      <c r="AR38" s="64"/>
      <c r="AS38" s="64"/>
      <c r="AT38" s="64"/>
      <c r="AU38" s="64"/>
      <c r="AV38" s="66"/>
      <c r="AW38" s="1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</row>
    <row r="39" ht="5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Q39" s="1"/>
      <c r="AR39" s="1"/>
      <c r="AS39" s="1"/>
      <c r="AT39" s="1"/>
      <c r="AU39" s="1"/>
      <c r="AV39" s="1"/>
      <c r="AW39" s="1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</row>
    <row r="40" ht="15.75" customHeight="1">
      <c r="A40" s="1"/>
      <c r="B40" s="1"/>
      <c r="C40" s="1"/>
      <c r="D40" s="67" t="s">
        <v>20</v>
      </c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9"/>
      <c r="AK40" s="1"/>
      <c r="AL40" s="70" t="s">
        <v>21</v>
      </c>
      <c r="AM40" s="71">
        <f>SUM(AQ24:AV38)</f>
        <v>3640000</v>
      </c>
      <c r="AN40" s="72"/>
      <c r="AO40" s="72"/>
      <c r="AP40" s="73"/>
      <c r="AV40" s="1"/>
      <c r="AW40" s="1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</row>
    <row r="41" ht="15.75" customHeight="1">
      <c r="A41" s="1"/>
      <c r="B41" s="1"/>
      <c r="C41" s="1"/>
      <c r="D41" s="74" t="str">
        <f>IFERROR(VLOOKUP($AE$9, R_COTIZACIONES!$A$4:$Q1000, 14, FALSE), "")</f>
        <v>Valor CCTV cámaras exteriores (2) e infraestructura base CCTV IP.</v>
      </c>
      <c r="AJ41" s="75"/>
      <c r="AK41" s="1"/>
      <c r="AL41" s="76"/>
      <c r="AM41" s="77"/>
      <c r="AN41" s="72"/>
      <c r="AO41" s="72"/>
      <c r="AP41" s="73"/>
      <c r="AV41" s="1"/>
      <c r="AW41" s="1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</row>
    <row r="42" ht="15.75" customHeight="1">
      <c r="A42" s="1"/>
      <c r="B42" s="1"/>
      <c r="C42" s="1"/>
      <c r="D42" s="78"/>
      <c r="AJ42" s="75"/>
      <c r="AK42" s="1"/>
      <c r="AL42" s="76" t="s">
        <v>22</v>
      </c>
      <c r="AM42" s="71">
        <f>SUM(AM40:AP41)</f>
        <v>3640000</v>
      </c>
      <c r="AN42" s="72"/>
      <c r="AO42" s="72"/>
      <c r="AP42" s="73"/>
      <c r="AV42" s="1"/>
      <c r="AW42" s="1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</row>
    <row r="43" ht="14.25" customHeight="1">
      <c r="A43" s="1"/>
      <c r="B43" s="1"/>
      <c r="C43" s="1"/>
      <c r="D43" s="7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80"/>
      <c r="AK43" s="81"/>
      <c r="AL43" s="81"/>
      <c r="AM43" s="82"/>
      <c r="AW43" s="1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</row>
    <row r="44" ht="4.5" customHeight="1">
      <c r="A44" s="1"/>
      <c r="B44" s="1"/>
      <c r="C44" s="1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1"/>
      <c r="AL44" s="81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1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</row>
    <row r="45" ht="13.5" customHeight="1">
      <c r="A45" s="1"/>
      <c r="B45" s="1"/>
      <c r="C45" s="1"/>
      <c r="D45" s="67" t="s">
        <v>23</v>
      </c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5"/>
      <c r="AL45" s="84"/>
      <c r="AM45" s="84"/>
      <c r="AN45" s="84"/>
      <c r="AO45" s="84"/>
      <c r="AP45" s="84"/>
      <c r="AQ45" s="85"/>
      <c r="AR45" s="84"/>
      <c r="AS45" s="84"/>
      <c r="AT45" s="84"/>
      <c r="AU45" s="84"/>
      <c r="AV45" s="86"/>
      <c r="AW45" s="81"/>
      <c r="AX45" s="87"/>
      <c r="AY45" s="2"/>
      <c r="AZ45" s="2"/>
      <c r="BA45" s="2"/>
      <c r="BB45" s="2"/>
      <c r="BC45" s="2"/>
      <c r="BD45" s="2"/>
      <c r="BE45" s="2"/>
      <c r="BF45" s="2"/>
      <c r="BG45" s="2"/>
      <c r="BH45" s="2"/>
    </row>
    <row r="46" ht="18.0" customHeight="1">
      <c r="A46" s="1"/>
      <c r="B46" s="1"/>
      <c r="C46" s="1"/>
      <c r="D46" s="74" t="str">
        <f>IFERROR(VLOOKUP($AE$9, R_COTIZACIONES!$A$4:$Q1000, 9, FALSE), "")</f>
        <v>50 anticipo y 50 al finalizar</v>
      </c>
      <c r="AU46" s="52"/>
      <c r="AV46" s="1"/>
      <c r="AW46" s="1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</row>
    <row r="47" ht="9.75" customHeight="1">
      <c r="A47" s="1"/>
      <c r="B47" s="1"/>
      <c r="C47" s="1"/>
      <c r="D47" s="7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88"/>
      <c r="AV47" s="1"/>
      <c r="AW47" s="1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</row>
    <row r="48" ht="3.75" customHeight="1">
      <c r="A48" s="1"/>
      <c r="B48" s="1"/>
      <c r="C48" s="1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1"/>
      <c r="AW48" s="1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</row>
    <row r="49" ht="12.75" customHeight="1">
      <c r="A49" s="1"/>
      <c r="B49" s="1"/>
      <c r="C49" s="1"/>
      <c r="D49" s="67" t="s">
        <v>24</v>
      </c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9"/>
      <c r="AV49" s="1"/>
      <c r="AW49" s="1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</row>
    <row r="50" ht="12.75" customHeight="1">
      <c r="A50" s="1"/>
      <c r="B50" s="1"/>
      <c r="C50" s="1"/>
      <c r="D50" s="89" t="s">
        <v>25</v>
      </c>
      <c r="AU50" s="75"/>
      <c r="AV50" s="1"/>
      <c r="AW50" s="1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</row>
    <row r="51" ht="12.75" customHeight="1">
      <c r="A51" s="1"/>
      <c r="B51" s="1"/>
      <c r="C51" s="1"/>
      <c r="D51" s="89" t="s">
        <v>26</v>
      </c>
      <c r="AU51" s="75"/>
      <c r="AV51" s="1"/>
      <c r="AW51" s="1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</row>
    <row r="52" ht="10.5" customHeight="1">
      <c r="A52" s="1"/>
      <c r="B52" s="1"/>
      <c r="C52" s="1"/>
      <c r="D52" s="90" t="s">
        <v>27</v>
      </c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80"/>
      <c r="AV52" s="1"/>
      <c r="AW52" s="1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</row>
    <row r="53" ht="5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</row>
    <row r="54" ht="10.5" customHeight="1">
      <c r="A54" s="1"/>
      <c r="B54" s="1"/>
      <c r="C54" s="1"/>
      <c r="D54" s="91" t="s">
        <v>28</v>
      </c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92"/>
      <c r="Z54" s="92"/>
      <c r="AA54" s="92"/>
      <c r="AB54" s="92"/>
      <c r="AC54" s="92"/>
      <c r="AD54" s="92"/>
      <c r="AE54" s="92"/>
      <c r="AF54" s="93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5"/>
      <c r="AV54" s="1"/>
      <c r="AW54" s="1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</row>
    <row r="55" ht="2.25" customHeight="1">
      <c r="A55" s="1"/>
      <c r="B55" s="1"/>
      <c r="C55" s="1"/>
      <c r="D55" s="96"/>
      <c r="E55" s="97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98"/>
      <c r="AV55" s="1"/>
      <c r="AW55" s="1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</row>
    <row r="56" ht="12.75" customHeight="1">
      <c r="A56" s="1"/>
      <c r="B56" s="1"/>
      <c r="C56" s="1"/>
      <c r="D56" s="99" t="str">
        <f>'Base de datos'!C3</f>
        <v>Polygonos SPA
RUT: 77.180.437-3
Banco Santander
Cta. Cte. 99128755
Correo: maximo.hudson.blanco@gmail.com</v>
      </c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1"/>
      <c r="AV56" s="1"/>
      <c r="AW56" s="1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</row>
    <row r="57" ht="43.5" customHeight="1">
      <c r="A57" s="1"/>
      <c r="B57" s="1"/>
      <c r="C57" s="1"/>
      <c r="D57" s="7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3"/>
      <c r="AV57" s="1"/>
      <c r="AW57" s="1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</row>
    <row r="58" ht="13.5" customHeight="1">
      <c r="A58" s="1"/>
      <c r="B58" s="1"/>
      <c r="C58" s="1"/>
      <c r="D58" s="16" t="s">
        <v>29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</row>
    <row r="59" ht="6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</row>
    <row r="60" ht="1.5" customHeight="1">
      <c r="A60" s="1"/>
      <c r="B60" s="1"/>
      <c r="C60" s="1"/>
      <c r="D60" s="1" t="s">
        <v>30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</row>
    <row r="61" ht="6.75" customHeight="1">
      <c r="AX61" s="104"/>
      <c r="AY61" s="104"/>
      <c r="AZ61" s="2"/>
      <c r="BA61" s="2"/>
      <c r="BB61" s="2"/>
      <c r="BC61" s="2"/>
      <c r="BD61" s="2"/>
      <c r="BE61" s="2"/>
      <c r="BF61" s="2"/>
      <c r="BG61" s="2"/>
      <c r="BH61" s="2"/>
    </row>
    <row r="62" ht="13.5" hidden="1" customHeight="1"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2"/>
      <c r="BA62" s="2"/>
      <c r="BB62" s="2"/>
      <c r="BC62" s="2"/>
      <c r="BD62" s="2"/>
      <c r="BE62" s="2"/>
      <c r="BF62" s="2"/>
      <c r="BG62" s="2"/>
      <c r="BH62" s="2"/>
    </row>
    <row r="63" ht="13.5" hidden="1" customHeight="1"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2"/>
      <c r="BA63" s="2"/>
      <c r="BB63" s="2"/>
      <c r="BC63" s="2"/>
      <c r="BD63" s="2"/>
      <c r="BE63" s="2"/>
      <c r="BF63" s="2"/>
      <c r="BG63" s="2"/>
      <c r="BH63" s="2"/>
    </row>
    <row r="64" ht="13.5" hidden="1" customHeight="1"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2"/>
      <c r="BA64" s="2"/>
      <c r="BB64" s="2"/>
      <c r="BC64" s="2"/>
      <c r="BD64" s="2"/>
      <c r="BE64" s="2"/>
      <c r="BF64" s="2"/>
      <c r="BG64" s="2"/>
      <c r="BH64" s="2"/>
    </row>
    <row r="65" ht="13.5" hidden="1" customHeight="1"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2"/>
      <c r="BA65" s="2"/>
      <c r="BB65" s="2"/>
      <c r="BC65" s="2"/>
      <c r="BD65" s="2"/>
      <c r="BE65" s="2"/>
      <c r="BF65" s="2"/>
      <c r="BG65" s="2"/>
      <c r="BH65" s="2"/>
    </row>
    <row r="66" ht="13.5" hidden="1" customHeight="1"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2"/>
      <c r="BA66" s="2"/>
      <c r="BB66" s="2"/>
      <c r="BC66" s="2"/>
      <c r="BD66" s="2"/>
      <c r="BE66" s="2"/>
      <c r="BF66" s="2"/>
      <c r="BG66" s="2"/>
      <c r="BH66" s="2"/>
    </row>
    <row r="67" ht="13.5" hidden="1" customHeight="1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</row>
    <row r="68" ht="13.5" hidden="1" customHeight="1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</row>
    <row r="69" ht="13.5" hidden="1" customHeight="1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</row>
    <row r="70" ht="13.5" hidden="1" customHeight="1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</row>
    <row r="71" ht="13.5" hidden="1" customHeight="1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</row>
    <row r="72" ht="13.5" hidden="1" customHeight="1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</row>
    <row r="73" ht="13.5" hidden="1" customHeight="1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</row>
    <row r="74" ht="13.5" hidden="1" customHeight="1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</row>
    <row r="75" ht="13.5" hidden="1" customHeight="1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</row>
    <row r="76" ht="13.5" hidden="1" customHeight="1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</row>
    <row r="77" ht="13.5" hidden="1" customHeight="1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</row>
    <row r="78" ht="13.5" hidden="1" customHeight="1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</row>
    <row r="79" ht="13.5" hidden="1" customHeight="1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</row>
    <row r="80" ht="13.5" hidden="1" customHeight="1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</row>
    <row r="81" ht="13.5" hidden="1" customHeight="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</row>
    <row r="82" ht="13.5" hidden="1" customHeight="1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</row>
    <row r="83" ht="13.5" hidden="1" customHeight="1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</row>
    <row r="84" ht="13.5" hidden="1" customHeight="1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</row>
    <row r="85" ht="13.5" hidden="1" customHeight="1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</row>
    <row r="86" ht="13.5" hidden="1" customHeight="1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</row>
    <row r="87" ht="13.5" hidden="1" customHeight="1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</row>
    <row r="88" ht="13.5" hidden="1" customHeight="1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</row>
    <row r="89" ht="13.5" hidden="1" customHeight="1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</row>
    <row r="90" ht="13.5" hidden="1" customHeight="1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</row>
    <row r="91" ht="13.5" hidden="1" customHeight="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</row>
    <row r="92" ht="13.5" hidden="1" customHeight="1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</row>
    <row r="93" ht="13.5" hidden="1" customHeight="1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</row>
    <row r="94" ht="13.5" hidden="1" customHeight="1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</row>
    <row r="95" ht="13.5" hidden="1" customHeight="1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</row>
    <row r="96" ht="13.5" hidden="1" customHeight="1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</row>
    <row r="97" ht="13.5" hidden="1" customHeight="1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</row>
    <row r="98" ht="13.5" hidden="1" customHeight="1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</row>
    <row r="99" ht="13.5" hidden="1" customHeight="1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</row>
    <row r="100" ht="13.5" hidden="1" customHeight="1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</row>
    <row r="101" ht="13.5" hidden="1" customHeight="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</row>
    <row r="102" ht="13.5" hidden="1" customHeight="1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</row>
    <row r="103" ht="13.5" hidden="1" customHeight="1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</row>
    <row r="104" ht="13.5" hidden="1" customHeight="1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</row>
    <row r="105" ht="13.5" hidden="1" customHeight="1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</row>
    <row r="106" ht="13.5" hidden="1" customHeight="1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</row>
    <row r="107" ht="13.5" hidden="1" customHeight="1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</row>
    <row r="108" ht="13.5" hidden="1" customHeight="1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</row>
    <row r="109" ht="13.5" hidden="1" customHeight="1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</row>
    <row r="110" ht="13.5" hidden="1" customHeight="1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</row>
    <row r="111" ht="13.5" hidden="1" customHeight="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</row>
    <row r="112" ht="13.5" hidden="1" customHeight="1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</row>
    <row r="113" ht="13.5" hidden="1" customHeight="1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</row>
    <row r="114" ht="13.5" hidden="1" customHeight="1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</row>
    <row r="115" ht="13.5" hidden="1" customHeight="1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</row>
    <row r="116" ht="13.5" hidden="1" customHeight="1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</row>
    <row r="117" ht="13.5" hidden="1" customHeight="1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</row>
    <row r="118" ht="13.5" hidden="1" customHeight="1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</row>
    <row r="119" ht="13.5" hidden="1" customHeight="1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</row>
    <row r="120" ht="13.5" hidden="1" customHeight="1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</row>
    <row r="121" ht="13.5" hidden="1" customHeight="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</row>
    <row r="122" ht="13.5" hidden="1" customHeight="1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</row>
    <row r="123" ht="13.5" hidden="1" customHeight="1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</row>
    <row r="124" ht="13.5" hidden="1" customHeight="1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</row>
    <row r="125" ht="13.5" hidden="1" customHeight="1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</row>
    <row r="126" ht="13.5" hidden="1" customHeight="1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</row>
    <row r="127" ht="13.5" hidden="1" customHeight="1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</row>
    <row r="128" ht="13.5" hidden="1" customHeight="1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</row>
    <row r="129" ht="13.5" hidden="1" customHeight="1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</row>
    <row r="130" ht="13.5" hidden="1" customHeight="1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</row>
    <row r="131" ht="13.5" hidden="1" customHeight="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</row>
    <row r="132" ht="13.5" hidden="1" customHeight="1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</row>
    <row r="133" ht="13.5" hidden="1" customHeight="1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</row>
    <row r="134" ht="13.5" hidden="1" customHeight="1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</row>
    <row r="135" ht="13.5" hidden="1" customHeight="1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</row>
    <row r="136" ht="13.5" hidden="1" customHeight="1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</row>
    <row r="137" ht="13.5" hidden="1" customHeight="1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</row>
    <row r="138" ht="13.5" hidden="1" customHeight="1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</row>
    <row r="139" ht="13.5" hidden="1" customHeight="1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</row>
    <row r="140" ht="13.5" hidden="1" customHeight="1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</row>
    <row r="141" ht="13.5" hidden="1" customHeight="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</row>
    <row r="142" ht="13.5" hidden="1" customHeight="1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</row>
    <row r="143" ht="13.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</row>
    <row r="144" ht="13.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</row>
    <row r="145" ht="13.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</row>
    <row r="146" ht="13.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</row>
    <row r="147" ht="13.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</row>
    <row r="148" ht="13.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</row>
    <row r="149" ht="13.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</row>
    <row r="150" ht="13.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</row>
    <row r="151" ht="13.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</row>
    <row r="152" ht="13.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</row>
    <row r="153" ht="13.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</row>
    <row r="154" ht="13.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</row>
    <row r="155" ht="13.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</row>
    <row r="156" ht="13.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</row>
    <row r="157" ht="13.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</row>
    <row r="158" ht="13.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</row>
    <row r="159" ht="13.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</row>
    <row r="160" ht="13.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</row>
    <row r="161" ht="13.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</row>
    <row r="162" ht="13.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</row>
    <row r="163" ht="13.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</row>
    <row r="164" ht="13.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</row>
    <row r="165" ht="13.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</row>
    <row r="166" ht="13.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</row>
    <row r="167" ht="13.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</row>
    <row r="168" ht="13.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</row>
    <row r="169" ht="13.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</row>
    <row r="170" ht="13.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</row>
    <row r="171" ht="13.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</row>
    <row r="172" ht="13.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</row>
    <row r="173" ht="13.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</row>
    <row r="174" ht="13.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</row>
    <row r="175" ht="13.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</row>
    <row r="176" ht="13.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</row>
    <row r="177" ht="13.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</row>
    <row r="178" ht="13.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</row>
    <row r="179" ht="13.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</row>
    <row r="180" ht="13.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</row>
    <row r="181" ht="13.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</row>
    <row r="182" ht="13.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</row>
    <row r="183" ht="13.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</row>
    <row r="184" ht="13.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</row>
    <row r="185" ht="13.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</row>
    <row r="186" ht="13.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</row>
    <row r="187" ht="13.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</row>
    <row r="188" ht="13.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</row>
    <row r="189" ht="13.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</row>
    <row r="190" ht="13.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</row>
    <row r="191" ht="13.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</row>
    <row r="192" ht="13.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</row>
    <row r="193" ht="13.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</row>
    <row r="194" ht="13.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</row>
    <row r="195" ht="13.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</row>
    <row r="196" ht="13.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</row>
    <row r="197" ht="13.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</row>
    <row r="198" ht="13.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</row>
    <row r="199" ht="13.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</row>
    <row r="200" ht="13.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</row>
    <row r="201" ht="13.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</row>
    <row r="202" ht="13.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</row>
    <row r="203" ht="13.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</row>
    <row r="204" ht="13.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</row>
    <row r="205" ht="13.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</row>
    <row r="206" ht="13.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</row>
    <row r="207" ht="13.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</row>
    <row r="208" ht="13.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</row>
    <row r="209" ht="13.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</row>
    <row r="210" ht="13.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</row>
    <row r="211" ht="13.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</row>
    <row r="212" ht="13.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</row>
    <row r="213" ht="13.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</row>
    <row r="214" ht="13.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</row>
    <row r="215" ht="13.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</row>
    <row r="216" ht="13.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</row>
    <row r="217" ht="13.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</row>
    <row r="218" ht="13.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</row>
    <row r="219" ht="13.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</row>
    <row r="220" ht="13.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</row>
    <row r="221" ht="13.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</row>
    <row r="222" ht="13.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</row>
    <row r="223" ht="13.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</row>
    <row r="224" ht="13.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</row>
    <row r="225" ht="13.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</row>
    <row r="226" ht="13.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</row>
    <row r="227" ht="13.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</row>
    <row r="228" ht="13.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</row>
    <row r="229" ht="13.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</row>
    <row r="230" ht="13.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</row>
    <row r="231" ht="13.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</row>
    <row r="232" ht="13.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</row>
    <row r="233" ht="13.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</row>
    <row r="234" ht="13.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</row>
    <row r="235" ht="13.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</row>
    <row r="236" ht="13.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</row>
    <row r="237" ht="13.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</row>
    <row r="238" ht="13.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</row>
    <row r="239" ht="13.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</row>
    <row r="240" ht="13.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</row>
    <row r="241" ht="13.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</row>
    <row r="242" ht="13.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</row>
    <row r="243" ht="13.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</row>
    <row r="244" ht="13.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</row>
    <row r="245" ht="13.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</row>
    <row r="246" ht="13.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</row>
    <row r="247" ht="13.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</row>
    <row r="248" ht="13.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</row>
    <row r="249" ht="13.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</row>
    <row r="250" ht="13.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</row>
    <row r="251" ht="13.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</row>
    <row r="252" ht="13.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</row>
    <row r="253" ht="13.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</row>
    <row r="254" ht="13.5" hidden="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</row>
    <row r="255" ht="13.5" hidden="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</row>
    <row r="256" ht="13.5" hidden="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</row>
    <row r="257" ht="13.5" hidden="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</row>
    <row r="258" ht="13.5" hidden="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</row>
    <row r="259" ht="13.5" hidden="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</row>
    <row r="260" ht="13.5" hidden="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</row>
    <row r="261" ht="13.5" hidden="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</row>
    <row r="262" ht="13.5" hidden="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</row>
    <row r="263" ht="13.5" hidden="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</row>
    <row r="264" ht="13.5" hidden="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</row>
    <row r="265" ht="13.5" hidden="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</row>
    <row r="266" ht="13.5" hidden="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</row>
    <row r="267" ht="13.5" hidden="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</row>
    <row r="268" ht="13.5" hidden="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</row>
    <row r="269" ht="13.5" hidden="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</row>
    <row r="270" ht="13.5" hidden="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</row>
    <row r="271" ht="13.5" hidden="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</row>
    <row r="272" ht="13.5" hidden="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</row>
    <row r="273" ht="13.5" hidden="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</row>
    <row r="274" ht="13.5" hidden="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</row>
    <row r="275" ht="13.5" hidden="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</row>
    <row r="276" ht="13.5" hidden="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</row>
    <row r="277" ht="13.5" hidden="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</row>
    <row r="278" ht="13.5" hidden="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</row>
    <row r="279" ht="13.5" hidden="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</row>
    <row r="280" ht="13.5" hidden="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</row>
    <row r="281" ht="13.5" hidden="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</row>
    <row r="282" ht="13.5" hidden="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</row>
    <row r="283" ht="13.5" hidden="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</row>
    <row r="284" ht="13.5" hidden="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</row>
    <row r="285" ht="13.5" hidden="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</row>
    <row r="286" ht="13.5" hidden="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</row>
    <row r="287" ht="13.5" hidden="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</row>
    <row r="288" ht="13.5" hidden="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</row>
    <row r="289" ht="13.5" hidden="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</row>
    <row r="290" ht="13.5" hidden="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</row>
    <row r="291" ht="13.5" hidden="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</row>
    <row r="292" ht="13.5" hidden="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</row>
    <row r="293" ht="13.5" hidden="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</row>
    <row r="294" ht="13.5" hidden="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</row>
    <row r="295" ht="13.5" hidden="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</row>
    <row r="296" ht="13.5" hidden="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</row>
    <row r="297" ht="13.5" hidden="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</row>
    <row r="298" ht="13.5" hidden="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</row>
    <row r="299" ht="13.5" hidden="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</row>
    <row r="300" ht="13.5" hidden="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</row>
    <row r="301" ht="13.5" hidden="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</row>
    <row r="302" ht="13.5" hidden="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</row>
    <row r="303" ht="13.5" hidden="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</row>
    <row r="304" ht="13.5" hidden="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</row>
    <row r="305" ht="13.5" hidden="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</row>
    <row r="306" ht="13.5" hidden="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</row>
    <row r="307" ht="13.5" hidden="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</row>
    <row r="308" ht="13.5" hidden="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</row>
    <row r="309" ht="13.5" hidden="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</row>
    <row r="310" ht="13.5" hidden="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</row>
    <row r="311" ht="13.5" hidden="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</row>
    <row r="312" ht="13.5" hidden="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</row>
    <row r="313" ht="13.5" hidden="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</row>
    <row r="314" ht="13.5" hidden="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</row>
    <row r="315" ht="13.5" hidden="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</row>
    <row r="316" ht="13.5" hidden="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</row>
    <row r="317" ht="13.5" hidden="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</row>
    <row r="318" ht="13.5" hidden="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</row>
    <row r="319" ht="13.5" hidden="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</row>
    <row r="320" ht="13.5" hidden="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</row>
    <row r="321" ht="13.5" hidden="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</row>
    <row r="322" ht="13.5" hidden="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</row>
    <row r="323" ht="13.5" hidden="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</row>
    <row r="324" ht="13.5" hidden="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</row>
    <row r="325" ht="13.5" hidden="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</row>
    <row r="326" ht="13.5" hidden="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</row>
    <row r="327" ht="13.5" hidden="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</row>
    <row r="328" ht="13.5" hidden="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</row>
    <row r="329" ht="13.5" hidden="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</row>
    <row r="330" ht="13.5" hidden="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</row>
    <row r="331" ht="13.5" hidden="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</row>
    <row r="332" ht="13.5" hidden="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</row>
    <row r="333" ht="13.5" hidden="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</row>
    <row r="334" ht="13.5" hidden="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</row>
    <row r="335" ht="13.5" hidden="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</row>
    <row r="336" ht="13.5" hidden="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</row>
    <row r="337" ht="13.5" hidden="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</row>
    <row r="338" ht="13.5" hidden="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</row>
    <row r="339" ht="13.5" hidden="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</row>
    <row r="340" ht="13.5" hidden="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</row>
    <row r="341" ht="13.5" hidden="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</row>
    <row r="342" ht="13.5" hidden="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</row>
    <row r="343" ht="13.5" hidden="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</row>
    <row r="344" ht="13.5" hidden="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</row>
    <row r="345" ht="13.5" hidden="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</row>
    <row r="346" ht="13.5" hidden="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</row>
    <row r="347" ht="13.5" hidden="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</row>
    <row r="348" ht="13.5" hidden="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</row>
    <row r="349" ht="13.5" hidden="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</row>
    <row r="350" ht="13.5" hidden="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</row>
    <row r="351" ht="13.5" hidden="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</row>
    <row r="352" ht="13.5" hidden="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</row>
    <row r="353" ht="13.5" hidden="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</row>
    <row r="354" ht="13.5" hidden="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</row>
    <row r="355" ht="13.5" hidden="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</row>
    <row r="356" ht="13.5" hidden="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</row>
    <row r="357" ht="13.5" hidden="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</row>
    <row r="358" ht="13.5" hidden="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</row>
    <row r="359" ht="13.5" hidden="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</row>
    <row r="360" ht="13.5" hidden="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</row>
    <row r="361" ht="13.5" hidden="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</row>
    <row r="362" ht="13.5" hidden="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</row>
    <row r="363" ht="13.5" hidden="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</row>
    <row r="364" ht="13.5" hidden="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</row>
    <row r="365" ht="13.5" hidden="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</row>
    <row r="366" ht="13.5" hidden="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</row>
    <row r="367" ht="13.5" hidden="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</row>
    <row r="368" ht="13.5" hidden="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</row>
    <row r="369" ht="13.5" hidden="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</row>
    <row r="370" ht="13.5" hidden="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</row>
    <row r="371" ht="13.5" hidden="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</row>
    <row r="372" ht="13.5" hidden="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</row>
    <row r="373" ht="13.5" hidden="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</row>
    <row r="374" ht="13.5" hidden="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</row>
    <row r="375" ht="13.5" hidden="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</row>
    <row r="376" ht="13.5" hidden="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</row>
    <row r="377" ht="13.5" hidden="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</row>
    <row r="378" ht="13.5" hidden="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</row>
    <row r="379" ht="13.5" hidden="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</row>
    <row r="380" ht="13.5" hidden="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</row>
    <row r="381" ht="13.5" hidden="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</row>
    <row r="382" ht="13.5" hidden="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</row>
    <row r="383" ht="13.5" hidden="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</row>
    <row r="384" ht="13.5" hidden="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</row>
    <row r="385" ht="13.5" hidden="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</row>
    <row r="386" ht="13.5" hidden="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</row>
    <row r="387" ht="13.5" hidden="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</row>
    <row r="388" ht="13.5" hidden="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</row>
    <row r="389" ht="13.5" hidden="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</row>
    <row r="390" ht="13.5" hidden="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</row>
    <row r="391" ht="13.5" hidden="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</row>
    <row r="392" ht="13.5" hidden="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</row>
    <row r="393" ht="13.5" hidden="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</row>
    <row r="394" ht="13.5" hidden="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</row>
    <row r="395" ht="13.5" hidden="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</row>
    <row r="396" ht="13.5" hidden="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</row>
    <row r="397" ht="13.5" hidden="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</row>
    <row r="398" ht="13.5" hidden="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</row>
    <row r="399" ht="13.5" hidden="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</row>
    <row r="400" ht="13.5" hidden="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</row>
    <row r="401" ht="13.5" hidden="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</row>
    <row r="402" ht="13.5" hidden="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</row>
    <row r="403" ht="13.5" hidden="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</row>
    <row r="404" ht="13.5" hidden="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</row>
    <row r="405" ht="13.5" hidden="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</row>
    <row r="406" ht="13.5" hidden="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</row>
    <row r="407" ht="13.5" hidden="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</row>
    <row r="408" ht="13.5" hidden="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</row>
    <row r="409" ht="13.5" hidden="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</row>
    <row r="410" ht="13.5" hidden="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</row>
    <row r="411" ht="13.5" hidden="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</row>
    <row r="412" ht="13.5" hidden="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</row>
    <row r="413" ht="13.5" hidden="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</row>
    <row r="414" ht="13.5" hidden="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</row>
    <row r="415" ht="13.5" hidden="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</row>
    <row r="416" ht="13.5" hidden="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</row>
    <row r="417" ht="13.5" hidden="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</row>
    <row r="418" ht="13.5" hidden="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</row>
    <row r="419" ht="13.5" hidden="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</row>
    <row r="420" ht="13.5" hidden="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</row>
    <row r="421" ht="13.5" hidden="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</row>
    <row r="422" ht="13.5" hidden="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</row>
    <row r="423" ht="13.5" hidden="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</row>
    <row r="424" ht="13.5" hidden="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</row>
    <row r="425" ht="13.5" hidden="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</row>
    <row r="426" ht="13.5" hidden="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</row>
    <row r="427" ht="13.5" hidden="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</row>
    <row r="428" ht="13.5" hidden="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</row>
    <row r="429" ht="13.5" hidden="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</row>
    <row r="430" ht="13.5" hidden="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</row>
    <row r="431" ht="13.5" hidden="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</row>
    <row r="432" ht="13.5" hidden="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</row>
    <row r="433" ht="13.5" hidden="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</row>
    <row r="434" ht="13.5" hidden="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</row>
    <row r="435" ht="13.5" hidden="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</row>
    <row r="436" ht="13.5" hidden="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</row>
    <row r="437" ht="13.5" hidden="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</row>
    <row r="438" ht="13.5" hidden="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</row>
    <row r="439" ht="13.5" hidden="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</row>
    <row r="440" ht="13.5" hidden="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</row>
    <row r="441" ht="13.5" hidden="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</row>
    <row r="442" ht="13.5" hidden="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</row>
    <row r="443" ht="13.5" hidden="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</row>
    <row r="444" ht="13.5" hidden="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</row>
    <row r="445" ht="13.5" hidden="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</row>
    <row r="446" ht="13.5" hidden="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</row>
    <row r="447" ht="13.5" hidden="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</row>
    <row r="448" ht="13.5" hidden="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</row>
    <row r="449" ht="13.5" hidden="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</row>
    <row r="450" ht="13.5" hidden="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</row>
    <row r="451" ht="13.5" hidden="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</row>
    <row r="452" ht="13.5" hidden="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</row>
    <row r="453" ht="13.5" hidden="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</row>
    <row r="454" ht="13.5" hidden="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</row>
    <row r="455" ht="13.5" hidden="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</row>
    <row r="456" ht="13.5" hidden="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</row>
    <row r="457" ht="13.5" hidden="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</row>
    <row r="458" ht="13.5" hidden="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</row>
    <row r="459" ht="13.5" hidden="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</row>
    <row r="460" ht="13.5" hidden="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</row>
    <row r="461" ht="13.5" hidden="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</row>
    <row r="462" ht="13.5" hidden="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</row>
    <row r="463" ht="13.5" hidden="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</row>
    <row r="464" ht="13.5" hidden="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</row>
    <row r="465" ht="13.5" hidden="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</row>
    <row r="466" ht="13.5" hidden="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</row>
    <row r="467" ht="13.5" hidden="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</row>
    <row r="468" ht="13.5" hidden="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</row>
    <row r="469" ht="13.5" hidden="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</row>
    <row r="470" ht="13.5" hidden="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</row>
    <row r="471" ht="13.5" hidden="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</row>
    <row r="472" ht="13.5" hidden="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</row>
    <row r="473" ht="13.5" hidden="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</row>
    <row r="474" ht="13.5" hidden="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</row>
    <row r="475" ht="13.5" hidden="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</row>
    <row r="476" ht="13.5" hidden="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</row>
    <row r="477" ht="13.5" hidden="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</row>
    <row r="478" ht="13.5" hidden="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</row>
    <row r="479" ht="13.5" hidden="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</row>
    <row r="480" ht="13.5" hidden="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</row>
    <row r="481" ht="13.5" hidden="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</row>
    <row r="482" ht="13.5" hidden="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</row>
    <row r="483" ht="13.5" hidden="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</row>
    <row r="484" ht="13.5" hidden="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</row>
    <row r="485" ht="13.5" hidden="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</row>
    <row r="486" ht="13.5" hidden="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</row>
    <row r="487" ht="13.5" hidden="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</row>
    <row r="488" ht="13.5" hidden="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</row>
    <row r="489" ht="13.5" hidden="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</row>
    <row r="490" ht="13.5" hidden="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</row>
    <row r="491" ht="13.5" hidden="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</row>
    <row r="492" ht="13.5" hidden="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</row>
    <row r="493" ht="13.5" hidden="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</row>
    <row r="494" ht="13.5" hidden="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</row>
    <row r="495" ht="13.5" hidden="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</row>
    <row r="496" ht="13.5" hidden="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</row>
    <row r="497" ht="13.5" hidden="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</row>
    <row r="498" ht="13.5" hidden="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</row>
    <row r="499" ht="13.5" hidden="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</row>
    <row r="500" ht="13.5" hidden="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</row>
    <row r="501" ht="13.5" hidden="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</row>
    <row r="502" ht="13.5" hidden="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</row>
    <row r="503" ht="13.5" hidden="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</row>
    <row r="504" ht="13.5" hidden="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</row>
    <row r="505" ht="13.5" hidden="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</row>
    <row r="506" ht="13.5" hidden="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</row>
    <row r="507" ht="13.5" hidden="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</row>
    <row r="508" ht="13.5" hidden="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</row>
    <row r="509" ht="13.5" hidden="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</row>
    <row r="510" ht="13.5" hidden="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</row>
    <row r="511" ht="13.5" hidden="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</row>
    <row r="512" ht="13.5" hidden="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</row>
    <row r="513" ht="13.5" hidden="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</row>
    <row r="514" ht="13.5" hidden="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</row>
    <row r="515" ht="13.5" hidden="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</row>
    <row r="516" ht="13.5" hidden="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</row>
    <row r="517" ht="13.5" hidden="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</row>
    <row r="518" ht="13.5" hidden="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</row>
    <row r="519" ht="13.5" hidden="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</row>
    <row r="520" ht="13.5" hidden="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</row>
    <row r="521" ht="13.5" hidden="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</row>
    <row r="522" ht="13.5" hidden="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</row>
    <row r="523" ht="13.5" hidden="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</row>
    <row r="524" ht="13.5" hidden="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</row>
    <row r="525" ht="13.5" hidden="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</row>
    <row r="526" ht="13.5" hidden="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</row>
    <row r="527" ht="13.5" hidden="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</row>
    <row r="528" ht="13.5" hidden="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</row>
    <row r="529" ht="13.5" hidden="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</row>
    <row r="530" ht="13.5" hidden="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</row>
    <row r="531" ht="13.5" hidden="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</row>
    <row r="532" ht="13.5" hidden="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</row>
    <row r="533" ht="13.5" hidden="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</row>
    <row r="534" ht="13.5" hidden="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</row>
    <row r="535" ht="13.5" hidden="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</row>
    <row r="536" ht="13.5" hidden="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</row>
    <row r="537" ht="13.5" hidden="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</row>
    <row r="538" ht="13.5" hidden="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</row>
    <row r="539" ht="13.5" hidden="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</row>
    <row r="540" ht="13.5" hidden="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</row>
    <row r="541" ht="13.5" hidden="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</row>
    <row r="542" ht="13.5" hidden="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</row>
    <row r="543" ht="13.5" hidden="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</row>
    <row r="544" ht="13.5" hidden="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</row>
    <row r="545" ht="13.5" hidden="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</row>
    <row r="546" ht="13.5" hidden="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</row>
    <row r="547" ht="13.5" hidden="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</row>
    <row r="548" ht="13.5" hidden="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</row>
    <row r="549" ht="13.5" hidden="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</row>
    <row r="550" ht="13.5" hidden="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</row>
    <row r="551" ht="13.5" hidden="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</row>
    <row r="552" ht="13.5" hidden="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</row>
    <row r="553" ht="13.5" hidden="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</row>
    <row r="554" ht="13.5" hidden="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</row>
    <row r="555" ht="13.5" hidden="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</row>
    <row r="556" ht="13.5" hidden="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</row>
    <row r="557" ht="13.5" hidden="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</row>
    <row r="558" ht="13.5" hidden="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</row>
    <row r="559" ht="13.5" hidden="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</row>
    <row r="560" ht="13.5" hidden="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</row>
    <row r="561" ht="13.5" hidden="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</row>
    <row r="562" ht="13.5" hidden="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</row>
    <row r="563" ht="13.5" hidden="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</row>
    <row r="564" ht="13.5" hidden="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</row>
    <row r="565" ht="13.5" hidden="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</row>
    <row r="566" ht="13.5" hidden="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</row>
    <row r="567" ht="13.5" hidden="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</row>
    <row r="568" ht="13.5" hidden="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</row>
    <row r="569" ht="13.5" hidden="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</row>
    <row r="570" ht="13.5" hidden="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</row>
    <row r="571" ht="13.5" hidden="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</row>
    <row r="572" ht="13.5" hidden="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</row>
    <row r="573" ht="13.5" hidden="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</row>
    <row r="574" ht="13.5" hidden="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</row>
    <row r="575" ht="13.5" hidden="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</row>
    <row r="576" ht="13.5" hidden="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</row>
    <row r="577" ht="13.5" hidden="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</row>
    <row r="578" ht="13.5" hidden="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</row>
    <row r="579" ht="13.5" hidden="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</row>
    <row r="580" ht="13.5" hidden="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</row>
    <row r="581" ht="13.5" hidden="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</row>
    <row r="582" ht="13.5" hidden="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</row>
    <row r="583" ht="13.5" hidden="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</row>
    <row r="584" ht="13.5" hidden="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</row>
    <row r="585" ht="13.5" hidden="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</row>
    <row r="586" ht="13.5" hidden="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</row>
    <row r="587" ht="13.5" hidden="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</row>
    <row r="588" ht="13.5" hidden="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</row>
    <row r="589" ht="13.5" hidden="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</row>
    <row r="590" ht="13.5" hidden="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</row>
    <row r="591" ht="13.5" hidden="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</row>
    <row r="592" ht="13.5" hidden="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</row>
    <row r="593" ht="13.5" hidden="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</row>
    <row r="594" ht="13.5" hidden="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</row>
    <row r="595" ht="13.5" hidden="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</row>
    <row r="596" ht="13.5" hidden="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</row>
    <row r="597" ht="13.5" hidden="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</row>
    <row r="598" ht="13.5" hidden="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</row>
    <row r="599" ht="13.5" hidden="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</row>
    <row r="600" ht="13.5" hidden="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</row>
    <row r="601" ht="13.5" hidden="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</row>
    <row r="602" ht="13.5" hidden="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</row>
    <row r="603" ht="13.5" hidden="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</row>
    <row r="604" ht="13.5" hidden="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</row>
    <row r="605" ht="13.5" hidden="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</row>
    <row r="606" ht="13.5" hidden="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</row>
    <row r="607" ht="13.5" hidden="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</row>
    <row r="608" ht="13.5" hidden="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</row>
    <row r="609" ht="13.5" hidden="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</row>
    <row r="610" ht="13.5" hidden="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</row>
    <row r="611" ht="13.5" hidden="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</row>
    <row r="612" ht="13.5" hidden="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</row>
    <row r="613" ht="13.5" hidden="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</row>
    <row r="614" ht="13.5" hidden="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</row>
    <row r="615" ht="13.5" hidden="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</row>
    <row r="616" ht="13.5" hidden="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</row>
    <row r="617" ht="13.5" hidden="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</row>
    <row r="618" ht="13.5" hidden="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</row>
    <row r="619" ht="13.5" hidden="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</row>
    <row r="620" ht="13.5" hidden="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</row>
    <row r="621" ht="13.5" hidden="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</row>
    <row r="622" ht="13.5" hidden="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</row>
    <row r="623" ht="13.5" hidden="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</row>
    <row r="624" ht="13.5" hidden="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</row>
    <row r="625" ht="13.5" hidden="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</row>
    <row r="626" ht="13.5" hidden="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</row>
    <row r="627" ht="13.5" hidden="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</row>
    <row r="628" ht="13.5" hidden="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</row>
    <row r="629" ht="13.5" hidden="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</row>
    <row r="630" ht="13.5" hidden="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</row>
    <row r="631" ht="13.5" hidden="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</row>
    <row r="632" ht="13.5" hidden="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</row>
    <row r="633" ht="13.5" hidden="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</row>
    <row r="634" ht="13.5" hidden="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</row>
    <row r="635" ht="13.5" hidden="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</row>
    <row r="636" ht="13.5" hidden="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</row>
    <row r="637" ht="13.5" hidden="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</row>
    <row r="638" ht="13.5" hidden="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</row>
    <row r="639" ht="13.5" hidden="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</row>
    <row r="640" ht="13.5" hidden="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</row>
    <row r="641" ht="13.5" hidden="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</row>
    <row r="642" ht="13.5" hidden="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</row>
    <row r="643" ht="13.5" hidden="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</row>
    <row r="644" ht="13.5" hidden="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</row>
    <row r="645" ht="13.5" hidden="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</row>
    <row r="646" ht="13.5" hidden="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</row>
    <row r="647" ht="13.5" hidden="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</row>
    <row r="648" ht="13.5" hidden="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</row>
    <row r="649" ht="13.5" hidden="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</row>
    <row r="650" ht="13.5" hidden="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</row>
    <row r="651" ht="13.5" hidden="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</row>
    <row r="652" ht="13.5" hidden="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</row>
    <row r="653" ht="13.5" hidden="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</row>
    <row r="654" ht="13.5" hidden="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</row>
    <row r="655" ht="13.5" hidden="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</row>
    <row r="656" ht="13.5" hidden="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</row>
    <row r="657" ht="13.5" hidden="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</row>
    <row r="658" ht="13.5" hidden="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</row>
    <row r="659" ht="13.5" hidden="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</row>
    <row r="660" ht="13.5" hidden="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</row>
    <row r="661" ht="13.5" hidden="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</row>
    <row r="662" ht="13.5" hidden="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</row>
    <row r="663" ht="13.5" hidden="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</row>
    <row r="664" ht="13.5" hidden="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</row>
    <row r="665" ht="13.5" hidden="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</row>
    <row r="666" ht="13.5" hidden="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</row>
    <row r="667" ht="13.5" hidden="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</row>
    <row r="668" ht="13.5" hidden="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</row>
    <row r="669" ht="13.5" hidden="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</row>
    <row r="670" ht="13.5" hidden="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</row>
    <row r="671" ht="13.5" hidden="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</row>
    <row r="672" ht="13.5" hidden="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</row>
    <row r="673" ht="13.5" hidden="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</row>
    <row r="674" ht="13.5" hidden="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</row>
    <row r="675" ht="13.5" hidden="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</row>
    <row r="676" ht="13.5" hidden="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</row>
    <row r="677" ht="13.5" hidden="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</row>
    <row r="678" ht="13.5" hidden="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</row>
    <row r="679" ht="13.5" hidden="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</row>
    <row r="680" ht="13.5" hidden="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</row>
    <row r="681" ht="13.5" hidden="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</row>
    <row r="682" ht="13.5" hidden="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</row>
    <row r="683" ht="13.5" hidden="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</row>
    <row r="684" ht="13.5" hidden="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</row>
    <row r="685" ht="13.5" hidden="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</row>
    <row r="686" ht="13.5" hidden="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</row>
    <row r="687" ht="13.5" hidden="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</row>
    <row r="688" ht="13.5" hidden="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</row>
    <row r="689" ht="13.5" hidden="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</row>
    <row r="690" ht="13.5" hidden="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</row>
    <row r="691" ht="13.5" hidden="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</row>
    <row r="692" ht="13.5" hidden="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</row>
    <row r="693" ht="13.5" hidden="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</row>
    <row r="694" ht="13.5" hidden="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</row>
    <row r="695" ht="13.5" hidden="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</row>
    <row r="696" ht="13.5" hidden="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</row>
    <row r="697" ht="13.5" hidden="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</row>
    <row r="698" ht="13.5" hidden="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</row>
    <row r="699" ht="13.5" hidden="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</row>
    <row r="700" ht="13.5" hidden="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</row>
    <row r="701" ht="13.5" hidden="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</row>
    <row r="702" ht="13.5" hidden="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</row>
    <row r="703" ht="13.5" hidden="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</row>
    <row r="704" ht="13.5" hidden="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</row>
    <row r="705" ht="13.5" hidden="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</row>
    <row r="706" ht="13.5" hidden="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</row>
    <row r="707" ht="13.5" hidden="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</row>
    <row r="708" ht="13.5" hidden="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</row>
    <row r="709" ht="13.5" hidden="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</row>
    <row r="710" ht="13.5" hidden="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</row>
    <row r="711" ht="13.5" hidden="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</row>
    <row r="712" ht="13.5" hidden="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</row>
    <row r="713" ht="13.5" hidden="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</row>
    <row r="714" ht="13.5" hidden="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</row>
    <row r="715" ht="13.5" hidden="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</row>
    <row r="716" ht="13.5" hidden="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</row>
    <row r="717" ht="13.5" hidden="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</row>
    <row r="718" ht="13.5" hidden="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</row>
    <row r="719" ht="13.5" hidden="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</row>
    <row r="720" ht="13.5" hidden="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</row>
    <row r="721" ht="13.5" hidden="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</row>
    <row r="722" ht="13.5" hidden="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</row>
    <row r="723" ht="13.5" hidden="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</row>
    <row r="724" ht="13.5" hidden="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</row>
    <row r="725" ht="13.5" hidden="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</row>
    <row r="726" ht="13.5" hidden="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</row>
    <row r="727" ht="13.5" hidden="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</row>
    <row r="728" ht="13.5" hidden="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</row>
    <row r="729" ht="13.5" hidden="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</row>
    <row r="730" ht="13.5" hidden="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</row>
    <row r="731" ht="13.5" hidden="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</row>
    <row r="732" ht="13.5" hidden="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</row>
    <row r="733" ht="13.5" hidden="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</row>
    <row r="734" ht="13.5" hidden="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</row>
    <row r="735" ht="13.5" hidden="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</row>
    <row r="736" ht="13.5" hidden="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</row>
    <row r="737" ht="13.5" hidden="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</row>
    <row r="738" ht="13.5" hidden="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</row>
    <row r="739" ht="13.5" hidden="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</row>
    <row r="740" ht="13.5" hidden="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</row>
    <row r="741" ht="13.5" hidden="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</row>
    <row r="742" ht="13.5" hidden="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</row>
    <row r="743" ht="13.5" hidden="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</row>
    <row r="744" ht="13.5" hidden="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</row>
    <row r="745" ht="13.5" hidden="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</row>
    <row r="746" ht="13.5" hidden="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</row>
    <row r="747" ht="13.5" hidden="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</row>
    <row r="748" ht="13.5" hidden="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</row>
    <row r="749" ht="13.5" hidden="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</row>
    <row r="750" ht="13.5" hidden="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</row>
    <row r="751" ht="13.5" hidden="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</row>
    <row r="752" ht="13.5" hidden="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</row>
    <row r="753" ht="13.5" hidden="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</row>
    <row r="754" ht="13.5" hidden="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</row>
    <row r="755" ht="13.5" hidden="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</row>
    <row r="756" ht="13.5" hidden="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</row>
    <row r="757" ht="13.5" hidden="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</row>
    <row r="758" ht="13.5" hidden="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</row>
    <row r="759" ht="13.5" hidden="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</row>
    <row r="760" ht="13.5" hidden="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</row>
    <row r="761" ht="13.5" hidden="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</row>
    <row r="762" ht="13.5" hidden="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</row>
    <row r="763" ht="13.5" hidden="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</row>
    <row r="764" ht="13.5" hidden="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</row>
    <row r="765" ht="13.5" hidden="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</row>
    <row r="766" ht="13.5" hidden="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</row>
    <row r="767" ht="13.5" hidden="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</row>
    <row r="768" ht="13.5" hidden="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</row>
    <row r="769" ht="13.5" hidden="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</row>
    <row r="770" ht="13.5" hidden="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</row>
    <row r="771" ht="13.5" hidden="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</row>
    <row r="772" ht="13.5" hidden="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</row>
    <row r="773" ht="13.5" hidden="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</row>
    <row r="774" ht="13.5" hidden="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</row>
    <row r="775" ht="13.5" hidden="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</row>
    <row r="776" ht="13.5" hidden="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</row>
    <row r="777" ht="13.5" hidden="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</row>
    <row r="778" ht="13.5" hidden="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</row>
    <row r="779" ht="13.5" hidden="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</row>
    <row r="780" ht="13.5" hidden="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</row>
    <row r="781" ht="13.5" hidden="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</row>
    <row r="782" ht="13.5" hidden="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</row>
    <row r="783" ht="13.5" hidden="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</row>
    <row r="784" ht="13.5" hidden="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</row>
    <row r="785" ht="13.5" hidden="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</row>
    <row r="786" ht="13.5" hidden="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</row>
    <row r="787" ht="13.5" hidden="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</row>
    <row r="788" ht="13.5" hidden="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</row>
    <row r="789" ht="13.5" hidden="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</row>
    <row r="790" ht="13.5" hidden="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</row>
    <row r="791" ht="13.5" hidden="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</row>
    <row r="792" ht="13.5" hidden="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</row>
    <row r="793" ht="13.5" hidden="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</row>
    <row r="794" ht="13.5" hidden="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</row>
    <row r="795" ht="13.5" hidden="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</row>
    <row r="796" ht="13.5" hidden="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</row>
    <row r="797" ht="13.5" hidden="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</row>
    <row r="798" ht="13.5" hidden="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</row>
    <row r="799" ht="13.5" hidden="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</row>
    <row r="800" ht="13.5" hidden="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</row>
    <row r="801" ht="13.5" hidden="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</row>
    <row r="802" ht="13.5" hidden="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</row>
    <row r="803" ht="13.5" hidden="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</row>
    <row r="804" ht="13.5" hidden="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</row>
    <row r="805" ht="13.5" hidden="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</row>
    <row r="806" ht="13.5" hidden="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</row>
    <row r="807" ht="13.5" hidden="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</row>
    <row r="808" ht="13.5" hidden="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</row>
    <row r="809" ht="13.5" hidden="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</row>
    <row r="810" ht="13.5" hidden="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</row>
    <row r="811" ht="13.5" hidden="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</row>
    <row r="812" ht="13.5" hidden="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</row>
    <row r="813" ht="13.5" hidden="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</row>
    <row r="814" ht="13.5" hidden="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</row>
    <row r="815" ht="13.5" hidden="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</row>
    <row r="816" ht="13.5" hidden="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</row>
    <row r="817" ht="13.5" hidden="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</row>
    <row r="818" ht="13.5" hidden="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</row>
    <row r="819" ht="13.5" hidden="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</row>
    <row r="820" ht="13.5" hidden="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</row>
    <row r="821" ht="13.5" hidden="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</row>
    <row r="822" ht="13.5" hidden="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</row>
    <row r="823" ht="13.5" hidden="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</row>
    <row r="824" ht="13.5" hidden="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</row>
    <row r="825" ht="13.5" hidden="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</row>
    <row r="826" ht="13.5" hidden="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</row>
    <row r="827" ht="13.5" hidden="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</row>
    <row r="828" ht="13.5" hidden="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</row>
    <row r="829" ht="13.5" hidden="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</row>
    <row r="830" ht="13.5" hidden="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</row>
    <row r="831" ht="13.5" hidden="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</row>
    <row r="832" ht="13.5" hidden="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</row>
    <row r="833" ht="13.5" hidden="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</row>
    <row r="834" ht="13.5" hidden="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</row>
    <row r="835" ht="13.5" hidden="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</row>
    <row r="836" ht="13.5" hidden="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</row>
    <row r="837" ht="13.5" hidden="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</row>
    <row r="838" ht="13.5" hidden="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</row>
    <row r="839" ht="13.5" hidden="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</row>
    <row r="840" ht="13.5" hidden="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</row>
    <row r="841" ht="13.5" hidden="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</row>
    <row r="842" ht="13.5" hidden="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</row>
    <row r="843" ht="13.5" hidden="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</row>
    <row r="844" ht="13.5" hidden="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</row>
    <row r="845" ht="13.5" hidden="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</row>
    <row r="846" ht="13.5" hidden="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</row>
    <row r="847" ht="13.5" hidden="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</row>
    <row r="848" ht="13.5" hidden="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</row>
    <row r="849" ht="13.5" hidden="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</row>
    <row r="850" ht="13.5" hidden="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</row>
    <row r="851" ht="13.5" hidden="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</row>
    <row r="852" ht="13.5" hidden="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</row>
    <row r="853" ht="13.5" hidden="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</row>
    <row r="854" ht="13.5" hidden="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</row>
    <row r="855" ht="13.5" hidden="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</row>
    <row r="856" ht="13.5" hidden="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</row>
    <row r="857" ht="13.5" hidden="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</row>
    <row r="858" ht="13.5" hidden="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</row>
    <row r="859" ht="13.5" hidden="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</row>
    <row r="860" ht="13.5" hidden="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</row>
    <row r="861" ht="13.5" hidden="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</row>
    <row r="862" ht="13.5" hidden="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</row>
    <row r="863" ht="13.5" hidden="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</row>
    <row r="864" ht="13.5" hidden="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</row>
    <row r="865" ht="13.5" hidden="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</row>
    <row r="866" ht="13.5" hidden="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</row>
    <row r="867" ht="13.5" hidden="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</row>
    <row r="868" ht="13.5" hidden="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</row>
    <row r="869" ht="13.5" hidden="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</row>
    <row r="870" ht="13.5" hidden="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</row>
    <row r="871" ht="13.5" hidden="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</row>
    <row r="872" ht="13.5" hidden="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</row>
    <row r="873" ht="13.5" hidden="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</row>
    <row r="874" ht="13.5" hidden="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</row>
    <row r="875" ht="13.5" hidden="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</row>
    <row r="876" ht="13.5" hidden="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</row>
    <row r="877" ht="13.5" hidden="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</row>
    <row r="878" ht="13.5" hidden="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</row>
    <row r="879" ht="13.5" hidden="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</row>
    <row r="880" ht="13.5" hidden="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</row>
    <row r="881" ht="13.5" hidden="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</row>
    <row r="882" ht="13.5" hidden="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</row>
    <row r="883" ht="13.5" hidden="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</row>
    <row r="884" ht="13.5" hidden="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</row>
    <row r="885" ht="13.5" hidden="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</row>
    <row r="886" ht="13.5" hidden="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</row>
    <row r="887" ht="13.5" hidden="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</row>
    <row r="888" ht="13.5" hidden="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</row>
    <row r="889" ht="13.5" hidden="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</row>
    <row r="890" ht="13.5" hidden="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</row>
    <row r="891" ht="13.5" hidden="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</row>
    <row r="892" ht="13.5" hidden="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</row>
    <row r="893" ht="13.5" hidden="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</row>
    <row r="894" ht="13.5" hidden="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</row>
    <row r="895" ht="13.5" hidden="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</row>
    <row r="896" ht="13.5" hidden="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</row>
    <row r="897" ht="13.5" hidden="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</row>
    <row r="898" ht="13.5" hidden="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</row>
    <row r="899" ht="13.5" hidden="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</row>
    <row r="900" ht="13.5" hidden="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</row>
    <row r="901" ht="13.5" hidden="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</row>
    <row r="902" ht="13.5" hidden="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</row>
    <row r="903" ht="13.5" hidden="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</row>
    <row r="904" ht="13.5" hidden="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</row>
    <row r="905" ht="13.5" hidden="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</row>
    <row r="906" ht="13.5" hidden="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</row>
    <row r="907" ht="13.5" hidden="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</row>
    <row r="908" ht="13.5" hidden="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</row>
    <row r="909" ht="13.5" hidden="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</row>
    <row r="910" ht="13.5" hidden="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</row>
    <row r="911" ht="13.5" hidden="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</row>
    <row r="912" ht="13.5" hidden="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</row>
    <row r="913" ht="13.5" hidden="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</row>
    <row r="914" ht="13.5" hidden="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</row>
    <row r="915" ht="13.5" hidden="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</row>
    <row r="916" ht="13.5" hidden="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</row>
    <row r="917" ht="13.5" hidden="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</row>
    <row r="918" ht="13.5" hidden="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</row>
    <row r="919" ht="13.5" hidden="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</row>
    <row r="920" ht="13.5" hidden="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</row>
    <row r="921" ht="13.5" hidden="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</row>
    <row r="922" ht="13.5" hidden="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</row>
    <row r="923" ht="13.5" hidden="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</row>
    <row r="924" ht="13.5" hidden="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</row>
    <row r="925" ht="13.5" hidden="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</row>
    <row r="926" ht="13.5" hidden="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</row>
    <row r="927" ht="13.5" hidden="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</row>
    <row r="928" ht="13.5" hidden="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</row>
    <row r="929" ht="13.5" hidden="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</row>
    <row r="930" ht="13.5" hidden="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</row>
    <row r="931" ht="13.5" hidden="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</row>
    <row r="932" ht="13.5" hidden="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</row>
    <row r="933" ht="13.5" hidden="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</row>
    <row r="934" ht="13.5" hidden="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</row>
    <row r="935" ht="13.5" hidden="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</row>
    <row r="936" ht="13.5" hidden="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</row>
    <row r="937" ht="13.5" hidden="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</row>
    <row r="938" ht="13.5" hidden="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</row>
    <row r="939" ht="13.5" hidden="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</row>
    <row r="940" ht="13.5" hidden="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</row>
    <row r="941" ht="13.5" hidden="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</row>
    <row r="942" ht="13.5" hidden="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</row>
    <row r="943" ht="13.5" hidden="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</row>
    <row r="944" ht="13.5" hidden="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</row>
    <row r="945" ht="13.5" hidden="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</row>
    <row r="946" ht="13.5" hidden="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</row>
    <row r="947" ht="13.5" hidden="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</row>
    <row r="948" ht="13.5" hidden="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</row>
    <row r="949" ht="13.5" hidden="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</row>
    <row r="950" ht="13.5" hidden="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</row>
    <row r="951" ht="13.5" hidden="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</row>
    <row r="952" ht="13.5" hidden="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</row>
    <row r="953" ht="13.5" hidden="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</row>
    <row r="954" ht="13.5" hidden="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</row>
    <row r="955" ht="13.5" hidden="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</row>
    <row r="956" ht="13.5" hidden="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</row>
    <row r="957" ht="13.5" hidden="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</row>
    <row r="958" ht="13.5" hidden="1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</row>
    <row r="959" ht="13.5" hidden="1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</row>
    <row r="960" ht="13.5" hidden="1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</row>
    <row r="961" ht="13.5" hidden="1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</row>
    <row r="962" ht="13.5" hidden="1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</row>
    <row r="963" ht="13.5" hidden="1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</row>
    <row r="964" ht="13.5" hidden="1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</row>
    <row r="965" ht="13.5" hidden="1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</row>
    <row r="966" ht="13.5" hidden="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</row>
    <row r="967" ht="13.5" hidden="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</row>
    <row r="968" ht="13.5" hidden="1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</row>
    <row r="969" ht="13.5" hidden="1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</row>
    <row r="970" ht="13.5" hidden="1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</row>
    <row r="971" ht="13.5" hidden="1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</row>
    <row r="972" ht="13.5" hidden="1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</row>
    <row r="973" ht="13.5" hidden="1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</row>
    <row r="974" ht="13.5" hidden="1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</row>
    <row r="975" ht="13.5" hidden="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</row>
    <row r="976" ht="13.5" hidden="1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</row>
    <row r="977" ht="13.5" hidden="1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</row>
    <row r="978" ht="13.5" hidden="1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</row>
    <row r="979" ht="13.5" hidden="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</row>
    <row r="980" ht="13.5" hidden="1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</row>
    <row r="981" ht="13.5" hidden="1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</row>
    <row r="982" ht="13.5" hidden="1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</row>
    <row r="983" ht="13.5" hidden="1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</row>
    <row r="984" ht="13.5" hidden="1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</row>
    <row r="985" ht="13.5" hidden="1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</row>
    <row r="986" ht="13.5" hidden="1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</row>
    <row r="987" ht="13.5" hidden="1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</row>
    <row r="988" ht="13.5" hidden="1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</row>
    <row r="989" ht="13.5" hidden="1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</row>
    <row r="990" ht="13.5" hidden="1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</row>
    <row r="991" ht="13.5" hidden="1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</row>
    <row r="992" ht="13.5" hidden="1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</row>
    <row r="993" ht="13.5" hidden="1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</row>
    <row r="994" ht="13.5" hidden="1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</row>
    <row r="995" ht="13.5" hidden="1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</row>
    <row r="996" ht="13.5" hidden="1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</row>
    <row r="997" ht="13.5" hidden="1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</row>
    <row r="998" ht="13.5" hidden="1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</row>
    <row r="999" ht="13.5" hidden="1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</row>
    <row r="1000" ht="13.5" hidden="1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</row>
  </sheetData>
  <mergeCells count="111">
    <mergeCell ref="D25:H25"/>
    <mergeCell ref="D26:H26"/>
    <mergeCell ref="I26:AA26"/>
    <mergeCell ref="D27:H27"/>
    <mergeCell ref="I27:AA27"/>
    <mergeCell ref="D28:H28"/>
    <mergeCell ref="I28:AA28"/>
    <mergeCell ref="D32:H32"/>
    <mergeCell ref="D33:H33"/>
    <mergeCell ref="D34:H34"/>
    <mergeCell ref="D35:H35"/>
    <mergeCell ref="D36:H36"/>
    <mergeCell ref="D37:H37"/>
    <mergeCell ref="D38:H38"/>
    <mergeCell ref="D29:H29"/>
    <mergeCell ref="I29:AA29"/>
    <mergeCell ref="D30:H30"/>
    <mergeCell ref="I30:AA30"/>
    <mergeCell ref="D31:H31"/>
    <mergeCell ref="I31:AA31"/>
    <mergeCell ref="I32:AA32"/>
    <mergeCell ref="D46:AU47"/>
    <mergeCell ref="D50:AU50"/>
    <mergeCell ref="D51:AU51"/>
    <mergeCell ref="D52:AU52"/>
    <mergeCell ref="E55:AB55"/>
    <mergeCell ref="D56:V57"/>
    <mergeCell ref="I33:AA33"/>
    <mergeCell ref="I34:AA34"/>
    <mergeCell ref="I35:AA35"/>
    <mergeCell ref="I36:AA36"/>
    <mergeCell ref="I37:AA37"/>
    <mergeCell ref="I38:AA38"/>
    <mergeCell ref="D41:AJ43"/>
    <mergeCell ref="AM32:AP32"/>
    <mergeCell ref="AQ32:AV32"/>
    <mergeCell ref="AG30:AL30"/>
    <mergeCell ref="AM30:AP30"/>
    <mergeCell ref="AQ30:AV30"/>
    <mergeCell ref="AG31:AL31"/>
    <mergeCell ref="AM31:AP31"/>
    <mergeCell ref="AQ31:AV31"/>
    <mergeCell ref="AG32:AL32"/>
    <mergeCell ref="AM35:AP35"/>
    <mergeCell ref="AQ35:AV35"/>
    <mergeCell ref="AG33:AL33"/>
    <mergeCell ref="AM33:AP33"/>
    <mergeCell ref="AQ33:AV33"/>
    <mergeCell ref="AG34:AL34"/>
    <mergeCell ref="AM34:AP34"/>
    <mergeCell ref="AQ34:AV34"/>
    <mergeCell ref="AG35:AL35"/>
    <mergeCell ref="AM38:AP38"/>
    <mergeCell ref="AQ38:AV38"/>
    <mergeCell ref="AM39:AP39"/>
    <mergeCell ref="AM40:AP40"/>
    <mergeCell ref="AM41:AP41"/>
    <mergeCell ref="AM42:AP42"/>
    <mergeCell ref="AM43:AV43"/>
    <mergeCell ref="AG36:AL36"/>
    <mergeCell ref="AM36:AP36"/>
    <mergeCell ref="AQ36:AV36"/>
    <mergeCell ref="AG37:AL37"/>
    <mergeCell ref="AM37:AP37"/>
    <mergeCell ref="AQ37:AV37"/>
    <mergeCell ref="AG38:AL38"/>
    <mergeCell ref="K18:AU18"/>
    <mergeCell ref="I19:AU19"/>
    <mergeCell ref="W20:AS20"/>
    <mergeCell ref="G2:O2"/>
    <mergeCell ref="G3:O3"/>
    <mergeCell ref="AE9:AS9"/>
    <mergeCell ref="AD13:AV14"/>
    <mergeCell ref="D16:K16"/>
    <mergeCell ref="L16:AJ16"/>
    <mergeCell ref="G17:AU17"/>
    <mergeCell ref="D17:F17"/>
    <mergeCell ref="D18:J18"/>
    <mergeCell ref="D19:H19"/>
    <mergeCell ref="D20:H20"/>
    <mergeCell ref="I20:Q20"/>
    <mergeCell ref="S20:V20"/>
    <mergeCell ref="H21:Y21"/>
    <mergeCell ref="D21:G21"/>
    <mergeCell ref="D23:H23"/>
    <mergeCell ref="I23:AA23"/>
    <mergeCell ref="AB23:AF23"/>
    <mergeCell ref="AG23:AL23"/>
    <mergeCell ref="AM23:AP23"/>
    <mergeCell ref="AQ23:AV23"/>
    <mergeCell ref="D24:H24"/>
    <mergeCell ref="I24:AA24"/>
    <mergeCell ref="AG24:AL24"/>
    <mergeCell ref="AM24:AP24"/>
    <mergeCell ref="AQ24:AV24"/>
    <mergeCell ref="I25:AA25"/>
    <mergeCell ref="AQ25:AV25"/>
    <mergeCell ref="AG25:AL25"/>
    <mergeCell ref="AM25:AP25"/>
    <mergeCell ref="AG26:AL26"/>
    <mergeCell ref="AM26:AP26"/>
    <mergeCell ref="AQ26:AV26"/>
    <mergeCell ref="AM27:AP27"/>
    <mergeCell ref="AQ27:AV27"/>
    <mergeCell ref="AG27:AL27"/>
    <mergeCell ref="AG28:AL28"/>
    <mergeCell ref="AM28:AP28"/>
    <mergeCell ref="AQ28:AV28"/>
    <mergeCell ref="AG29:AL29"/>
    <mergeCell ref="AM29:AP29"/>
    <mergeCell ref="AQ29:AV29"/>
  </mergeCells>
  <printOptions/>
  <pageMargins bottom="0.2362204724409449" footer="0.0" header="0.0" left="0.2362204724409449" right="0.2362204724409449" top="0.2362204724409449"/>
  <pageSetup paperSize="9" orientation="portrait"/>
  <rowBreaks count="3" manualBreakCount="3">
    <brk man="1"/>
    <brk id="4" man="1"/>
    <brk id="61" man="1"/>
  </rowBreaks>
  <colBreaks count="2" manualBreakCount="2">
    <brk man="1"/>
    <brk id="50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20.0"/>
    <col customWidth="1" min="3" max="3" width="39.0"/>
    <col customWidth="1" min="4" max="4" width="14.14"/>
    <col customWidth="1" min="5" max="5" width="13.29"/>
    <col customWidth="1" min="6" max="6" width="16.57"/>
    <col customWidth="1" min="7" max="7" width="37.29"/>
  </cols>
  <sheetData>
    <row r="1">
      <c r="A1" s="105"/>
      <c r="B1" s="105"/>
      <c r="C1" s="105"/>
      <c r="D1" s="105"/>
      <c r="E1" s="105"/>
    </row>
    <row r="2">
      <c r="A2" s="106" t="s">
        <v>31</v>
      </c>
      <c r="B2" s="106" t="s">
        <v>32</v>
      </c>
      <c r="C2" s="106" t="s">
        <v>33</v>
      </c>
      <c r="D2" s="105"/>
      <c r="E2" s="105"/>
    </row>
    <row r="3">
      <c r="A3" s="107" t="s">
        <v>34</v>
      </c>
      <c r="B3" s="108" t="s">
        <v>35</v>
      </c>
      <c r="C3" s="109" t="s">
        <v>36</v>
      </c>
      <c r="D3" s="105"/>
      <c r="E3" s="105"/>
      <c r="F3" s="110" t="s">
        <v>37</v>
      </c>
      <c r="J3" s="111"/>
      <c r="K3" s="111"/>
      <c r="L3" s="111"/>
      <c r="M3" s="111"/>
      <c r="N3" s="111"/>
      <c r="O3" s="111"/>
      <c r="P3" s="111"/>
      <c r="Q3" s="111"/>
    </row>
    <row r="4" ht="22.5" customHeight="1">
      <c r="A4" s="112" t="s">
        <v>38</v>
      </c>
      <c r="B4" s="107" t="s">
        <v>35</v>
      </c>
      <c r="C4" s="113" t="s">
        <v>39</v>
      </c>
      <c r="D4" s="105"/>
      <c r="E4" s="114" t="s">
        <v>40</v>
      </c>
      <c r="F4" s="115" t="s">
        <v>41</v>
      </c>
      <c r="G4" s="115" t="s">
        <v>42</v>
      </c>
      <c r="H4" s="115" t="s">
        <v>43</v>
      </c>
      <c r="I4" s="115" t="s">
        <v>44</v>
      </c>
      <c r="J4" s="115" t="s">
        <v>45</v>
      </c>
      <c r="K4" s="116" t="s">
        <v>46</v>
      </c>
      <c r="L4" s="116" t="s">
        <v>47</v>
      </c>
      <c r="M4" s="116" t="s">
        <v>48</v>
      </c>
      <c r="N4" s="116" t="s">
        <v>49</v>
      </c>
      <c r="O4" s="116" t="s">
        <v>50</v>
      </c>
      <c r="P4" s="117" t="s">
        <v>22</v>
      </c>
      <c r="Q4" s="117" t="s">
        <v>51</v>
      </c>
    </row>
    <row r="5" ht="22.5" customHeight="1">
      <c r="E5" s="118" t="s">
        <v>52</v>
      </c>
      <c r="F5" s="119" t="s">
        <v>53</v>
      </c>
      <c r="G5" s="120" t="s">
        <v>54</v>
      </c>
      <c r="H5" s="121" t="s">
        <v>55</v>
      </c>
      <c r="I5" s="122" t="s">
        <v>56</v>
      </c>
      <c r="J5" s="123">
        <v>190324.0</v>
      </c>
      <c r="K5" s="123">
        <f t="shared" ref="K5:K35" si="1">J5/1.19</f>
        <v>159936.1345</v>
      </c>
      <c r="L5" s="123">
        <f t="shared" ref="L5:L35" si="2">J5-K5</f>
        <v>30387.86555</v>
      </c>
      <c r="M5" s="123">
        <f t="shared" ref="M5:M23" si="3">J5*0.6</f>
        <v>114194.4</v>
      </c>
      <c r="N5" s="123">
        <f t="shared" ref="N5:N35" si="4">J5+M5</f>
        <v>304518.4</v>
      </c>
      <c r="O5" s="124">
        <v>1.0</v>
      </c>
      <c r="P5" s="125">
        <f t="shared" ref="P5:P6" si="5">N5</f>
        <v>304518.4</v>
      </c>
      <c r="Q5" s="126">
        <f t="shared" ref="Q5:Q22" si="6">P5/1.6</f>
        <v>190324</v>
      </c>
    </row>
    <row r="6" ht="22.5" customHeight="1">
      <c r="A6" s="127" t="s">
        <v>57</v>
      </c>
      <c r="B6" s="128"/>
      <c r="C6" s="129"/>
      <c r="E6" s="118" t="s">
        <v>58</v>
      </c>
      <c r="F6" s="130" t="s">
        <v>53</v>
      </c>
      <c r="G6" s="131" t="s">
        <v>54</v>
      </c>
      <c r="H6" s="132" t="s">
        <v>59</v>
      </c>
      <c r="I6" s="133" t="s">
        <v>56</v>
      </c>
      <c r="J6" s="134">
        <v>182000.0</v>
      </c>
      <c r="K6" s="134">
        <f t="shared" si="1"/>
        <v>152941.1765</v>
      </c>
      <c r="L6" s="134">
        <f t="shared" si="2"/>
        <v>29058.82353</v>
      </c>
      <c r="M6" s="134">
        <f t="shared" si="3"/>
        <v>109200</v>
      </c>
      <c r="N6" s="134">
        <f t="shared" si="4"/>
        <v>291200</v>
      </c>
      <c r="O6" s="135">
        <v>1.0</v>
      </c>
      <c r="P6" s="136">
        <f t="shared" si="5"/>
        <v>291200</v>
      </c>
      <c r="Q6" s="137">
        <f t="shared" si="6"/>
        <v>182000</v>
      </c>
    </row>
    <row r="7" ht="22.5" customHeight="1">
      <c r="A7" s="138" t="s">
        <v>60</v>
      </c>
      <c r="B7" s="139">
        <f t="shared" ref="B7:C7" si="7">TODAY()</f>
        <v>46088</v>
      </c>
      <c r="C7" s="140">
        <f t="shared" si="7"/>
        <v>46088</v>
      </c>
      <c r="D7" s="141"/>
      <c r="E7" s="118" t="s">
        <v>61</v>
      </c>
      <c r="F7" s="119" t="s">
        <v>62</v>
      </c>
      <c r="G7" s="120" t="s">
        <v>63</v>
      </c>
      <c r="H7" s="121" t="s">
        <v>55</v>
      </c>
      <c r="I7" s="122" t="s">
        <v>56</v>
      </c>
      <c r="J7" s="123">
        <v>135096.0</v>
      </c>
      <c r="K7" s="123">
        <f t="shared" si="1"/>
        <v>113526.0504</v>
      </c>
      <c r="L7" s="123">
        <f t="shared" si="2"/>
        <v>21569.94958</v>
      </c>
      <c r="M7" s="123">
        <f t="shared" si="3"/>
        <v>81057.6</v>
      </c>
      <c r="N7" s="123">
        <f t="shared" si="4"/>
        <v>216153.6</v>
      </c>
      <c r="O7" s="124">
        <v>2.0</v>
      </c>
      <c r="P7" s="125">
        <f t="shared" ref="P7:P35" si="8">N7*O7</f>
        <v>432307.2</v>
      </c>
      <c r="Q7" s="126">
        <f t="shared" si="6"/>
        <v>270192</v>
      </c>
    </row>
    <row r="8" ht="22.5" customHeight="1">
      <c r="A8" s="142" t="s">
        <v>64</v>
      </c>
      <c r="B8" s="143">
        <v>45658.0</v>
      </c>
      <c r="C8" s="144">
        <v>45688.0</v>
      </c>
      <c r="D8" s="145"/>
      <c r="E8" s="118" t="s">
        <v>65</v>
      </c>
      <c r="F8" s="130" t="s">
        <v>66</v>
      </c>
      <c r="G8" s="131" t="s">
        <v>67</v>
      </c>
      <c r="H8" s="132" t="s">
        <v>59</v>
      </c>
      <c r="I8" s="133" t="s">
        <v>56</v>
      </c>
      <c r="J8" s="134">
        <v>219990.0</v>
      </c>
      <c r="K8" s="134">
        <f t="shared" si="1"/>
        <v>184865.5462</v>
      </c>
      <c r="L8" s="134">
        <f t="shared" si="2"/>
        <v>35124.45378</v>
      </c>
      <c r="M8" s="134">
        <f t="shared" si="3"/>
        <v>131994</v>
      </c>
      <c r="N8" s="134">
        <f t="shared" si="4"/>
        <v>351984</v>
      </c>
      <c r="O8" s="135">
        <v>1.0</v>
      </c>
      <c r="P8" s="136">
        <f t="shared" si="8"/>
        <v>351984</v>
      </c>
      <c r="Q8" s="137">
        <f t="shared" si="6"/>
        <v>219990</v>
      </c>
    </row>
    <row r="9" ht="22.5" customHeight="1">
      <c r="A9" s="142" t="s">
        <v>68</v>
      </c>
      <c r="B9" s="143">
        <v>45689.0</v>
      </c>
      <c r="C9" s="144">
        <v>45716.0</v>
      </c>
      <c r="D9" s="145"/>
      <c r="E9" s="118" t="s">
        <v>69</v>
      </c>
      <c r="F9" s="119" t="s">
        <v>70</v>
      </c>
      <c r="G9" s="120" t="s">
        <v>71</v>
      </c>
      <c r="H9" s="121" t="s">
        <v>55</v>
      </c>
      <c r="I9" s="122" t="s">
        <v>56</v>
      </c>
      <c r="J9" s="123">
        <v>84238.0</v>
      </c>
      <c r="K9" s="123">
        <f t="shared" si="1"/>
        <v>70788.23529</v>
      </c>
      <c r="L9" s="123">
        <f t="shared" si="2"/>
        <v>13449.76471</v>
      </c>
      <c r="M9" s="123">
        <f t="shared" si="3"/>
        <v>50542.8</v>
      </c>
      <c r="N9" s="123">
        <f t="shared" si="4"/>
        <v>134780.8</v>
      </c>
      <c r="O9" s="124">
        <v>2.0</v>
      </c>
      <c r="P9" s="125">
        <f t="shared" si="8"/>
        <v>269561.6</v>
      </c>
      <c r="Q9" s="126">
        <f t="shared" si="6"/>
        <v>168476</v>
      </c>
    </row>
    <row r="10" ht="22.5" customHeight="1">
      <c r="A10" s="142" t="s">
        <v>72</v>
      </c>
      <c r="B10" s="143">
        <v>45717.0</v>
      </c>
      <c r="C10" s="144">
        <v>45747.0</v>
      </c>
      <c r="D10" s="145"/>
      <c r="E10" s="118" t="s">
        <v>69</v>
      </c>
      <c r="F10" s="130" t="s">
        <v>70</v>
      </c>
      <c r="G10" s="131" t="s">
        <v>73</v>
      </c>
      <c r="H10" s="132" t="s">
        <v>59</v>
      </c>
      <c r="I10" s="133" t="s">
        <v>56</v>
      </c>
      <c r="J10" s="134">
        <v>116991.0</v>
      </c>
      <c r="K10" s="134">
        <f t="shared" si="1"/>
        <v>98311.76471</v>
      </c>
      <c r="L10" s="134">
        <f t="shared" si="2"/>
        <v>18679.23529</v>
      </c>
      <c r="M10" s="134">
        <f t="shared" si="3"/>
        <v>70194.6</v>
      </c>
      <c r="N10" s="134">
        <f t="shared" si="4"/>
        <v>187185.6</v>
      </c>
      <c r="O10" s="135">
        <v>2.0</v>
      </c>
      <c r="P10" s="136">
        <f t="shared" si="8"/>
        <v>374371.2</v>
      </c>
      <c r="Q10" s="137">
        <f t="shared" si="6"/>
        <v>233982</v>
      </c>
    </row>
    <row r="11" ht="22.5" customHeight="1">
      <c r="A11" s="142" t="s">
        <v>74</v>
      </c>
      <c r="B11" s="143">
        <v>45748.0</v>
      </c>
      <c r="C11" s="144">
        <v>45777.0</v>
      </c>
      <c r="D11" s="145"/>
      <c r="E11" s="118" t="s">
        <v>75</v>
      </c>
      <c r="F11" s="119" t="s">
        <v>76</v>
      </c>
      <c r="G11" s="120" t="s">
        <v>77</v>
      </c>
      <c r="H11" s="146" t="s">
        <v>59</v>
      </c>
      <c r="I11" s="122" t="s">
        <v>56</v>
      </c>
      <c r="J11" s="123">
        <v>349550.0</v>
      </c>
      <c r="K11" s="123">
        <f t="shared" si="1"/>
        <v>293739.4958</v>
      </c>
      <c r="L11" s="123">
        <f t="shared" si="2"/>
        <v>55810.5042</v>
      </c>
      <c r="M11" s="123">
        <f t="shared" si="3"/>
        <v>209730</v>
      </c>
      <c r="N11" s="123">
        <f t="shared" si="4"/>
        <v>559280</v>
      </c>
      <c r="O11" s="124">
        <v>1.0</v>
      </c>
      <c r="P11" s="125">
        <f t="shared" si="8"/>
        <v>559280</v>
      </c>
      <c r="Q11" s="126">
        <f t="shared" si="6"/>
        <v>349550</v>
      </c>
    </row>
    <row r="12" ht="22.5" customHeight="1">
      <c r="A12" s="142" t="s">
        <v>78</v>
      </c>
      <c r="B12" s="143">
        <v>45778.0</v>
      </c>
      <c r="C12" s="144">
        <v>45808.0</v>
      </c>
      <c r="D12" s="145"/>
      <c r="E12" s="118" t="s">
        <v>75</v>
      </c>
      <c r="F12" s="130" t="s">
        <v>76</v>
      </c>
      <c r="G12" s="131" t="s">
        <v>77</v>
      </c>
      <c r="H12" s="147" t="s">
        <v>55</v>
      </c>
      <c r="I12" s="133" t="s">
        <v>56</v>
      </c>
      <c r="J12" s="134">
        <v>240211.0</v>
      </c>
      <c r="K12" s="134">
        <f t="shared" si="1"/>
        <v>201857.9832</v>
      </c>
      <c r="L12" s="134">
        <f t="shared" si="2"/>
        <v>38353.01681</v>
      </c>
      <c r="M12" s="134">
        <f t="shared" si="3"/>
        <v>144126.6</v>
      </c>
      <c r="N12" s="134">
        <f t="shared" si="4"/>
        <v>384337.6</v>
      </c>
      <c r="O12" s="135">
        <v>1.0</v>
      </c>
      <c r="P12" s="136">
        <f t="shared" si="8"/>
        <v>384337.6</v>
      </c>
      <c r="Q12" s="137">
        <f t="shared" si="6"/>
        <v>240211</v>
      </c>
    </row>
    <row r="13" ht="22.5" customHeight="1">
      <c r="A13" s="142" t="s">
        <v>79</v>
      </c>
      <c r="B13" s="143">
        <v>45809.0</v>
      </c>
      <c r="C13" s="144">
        <v>45838.0</v>
      </c>
      <c r="D13" s="145"/>
      <c r="E13" s="118" t="s">
        <v>80</v>
      </c>
      <c r="F13" s="119" t="s">
        <v>81</v>
      </c>
      <c r="G13" s="120" t="s">
        <v>82</v>
      </c>
      <c r="H13" s="121" t="s">
        <v>55</v>
      </c>
      <c r="I13" s="122" t="s">
        <v>56</v>
      </c>
      <c r="J13" s="123">
        <v>63603.0</v>
      </c>
      <c r="K13" s="123">
        <f t="shared" si="1"/>
        <v>53447.89916</v>
      </c>
      <c r="L13" s="123">
        <f t="shared" si="2"/>
        <v>10155.10084</v>
      </c>
      <c r="M13" s="123">
        <f t="shared" si="3"/>
        <v>38161.8</v>
      </c>
      <c r="N13" s="123">
        <f t="shared" si="4"/>
        <v>101764.8</v>
      </c>
      <c r="O13" s="124">
        <v>2.0</v>
      </c>
      <c r="P13" s="125">
        <f t="shared" si="8"/>
        <v>203529.6</v>
      </c>
      <c r="Q13" s="126">
        <f t="shared" si="6"/>
        <v>127206</v>
      </c>
    </row>
    <row r="14" ht="22.5" customHeight="1">
      <c r="A14" s="142" t="s">
        <v>83</v>
      </c>
      <c r="B14" s="143">
        <v>45839.0</v>
      </c>
      <c r="C14" s="144">
        <v>45869.0</v>
      </c>
      <c r="D14" s="145"/>
      <c r="E14" s="118" t="s">
        <v>80</v>
      </c>
      <c r="F14" s="130" t="s">
        <v>81</v>
      </c>
      <c r="G14" s="131" t="s">
        <v>84</v>
      </c>
      <c r="H14" s="132" t="s">
        <v>59</v>
      </c>
      <c r="I14" s="133" t="s">
        <v>56</v>
      </c>
      <c r="J14" s="134">
        <v>36400.0</v>
      </c>
      <c r="K14" s="134">
        <f t="shared" si="1"/>
        <v>30588.23529</v>
      </c>
      <c r="L14" s="134">
        <f t="shared" si="2"/>
        <v>5811.764706</v>
      </c>
      <c r="M14" s="134">
        <f t="shared" si="3"/>
        <v>21840</v>
      </c>
      <c r="N14" s="134">
        <f t="shared" si="4"/>
        <v>58240</v>
      </c>
      <c r="O14" s="135">
        <v>2.0</v>
      </c>
      <c r="P14" s="136">
        <f t="shared" si="8"/>
        <v>116480</v>
      </c>
      <c r="Q14" s="137">
        <f t="shared" si="6"/>
        <v>72800</v>
      </c>
    </row>
    <row r="15" ht="22.5" customHeight="1">
      <c r="A15" s="142" t="s">
        <v>85</v>
      </c>
      <c r="B15" s="143">
        <v>45870.0</v>
      </c>
      <c r="C15" s="144">
        <v>45900.0</v>
      </c>
      <c r="D15" s="145"/>
      <c r="E15" s="118" t="s">
        <v>86</v>
      </c>
      <c r="F15" s="119" t="s">
        <v>87</v>
      </c>
      <c r="G15" s="120" t="s">
        <v>88</v>
      </c>
      <c r="H15" s="121" t="s">
        <v>55</v>
      </c>
      <c r="I15" s="122" t="s">
        <v>56</v>
      </c>
      <c r="J15" s="123">
        <v>35079.0</v>
      </c>
      <c r="K15" s="123">
        <f t="shared" si="1"/>
        <v>29478.15126</v>
      </c>
      <c r="L15" s="123">
        <f t="shared" si="2"/>
        <v>5600.848739</v>
      </c>
      <c r="M15" s="123">
        <f t="shared" si="3"/>
        <v>21047.4</v>
      </c>
      <c r="N15" s="123">
        <f t="shared" si="4"/>
        <v>56126.4</v>
      </c>
      <c r="O15" s="124">
        <v>3.0</v>
      </c>
      <c r="P15" s="125">
        <f t="shared" si="8"/>
        <v>168379.2</v>
      </c>
      <c r="Q15" s="126">
        <f t="shared" si="6"/>
        <v>105237</v>
      </c>
    </row>
    <row r="16" ht="22.5" customHeight="1">
      <c r="A16" s="142" t="s">
        <v>89</v>
      </c>
      <c r="B16" s="143">
        <v>45901.0</v>
      </c>
      <c r="C16" s="144">
        <v>45930.0</v>
      </c>
      <c r="D16" s="145"/>
      <c r="E16" s="118" t="s">
        <v>86</v>
      </c>
      <c r="F16" s="130" t="s">
        <v>87</v>
      </c>
      <c r="G16" s="131" t="s">
        <v>90</v>
      </c>
      <c r="H16" s="132" t="s">
        <v>59</v>
      </c>
      <c r="I16" s="133" t="s">
        <v>56</v>
      </c>
      <c r="J16" s="134">
        <v>23600.0</v>
      </c>
      <c r="K16" s="134">
        <f t="shared" si="1"/>
        <v>19831.93277</v>
      </c>
      <c r="L16" s="134">
        <f t="shared" si="2"/>
        <v>3768.067227</v>
      </c>
      <c r="M16" s="134">
        <f t="shared" si="3"/>
        <v>14160</v>
      </c>
      <c r="N16" s="134">
        <f t="shared" si="4"/>
        <v>37760</v>
      </c>
      <c r="O16" s="135">
        <v>3.0</v>
      </c>
      <c r="P16" s="136">
        <f t="shared" si="8"/>
        <v>113280</v>
      </c>
      <c r="Q16" s="137">
        <f t="shared" si="6"/>
        <v>70800</v>
      </c>
    </row>
    <row r="17" ht="22.5" customHeight="1">
      <c r="A17" s="142" t="s">
        <v>91</v>
      </c>
      <c r="B17" s="143">
        <v>45931.0</v>
      </c>
      <c r="C17" s="144">
        <v>45961.0</v>
      </c>
      <c r="D17" s="145"/>
      <c r="E17" s="118" t="s">
        <v>92</v>
      </c>
      <c r="F17" s="119" t="s">
        <v>93</v>
      </c>
      <c r="G17" s="120" t="s">
        <v>94</v>
      </c>
      <c r="H17" s="121" t="s">
        <v>55</v>
      </c>
      <c r="I17" s="122" t="s">
        <v>56</v>
      </c>
      <c r="J17" s="123">
        <v>25368.0</v>
      </c>
      <c r="K17" s="123">
        <f t="shared" si="1"/>
        <v>21317.64706</v>
      </c>
      <c r="L17" s="123">
        <f t="shared" si="2"/>
        <v>4050.352941</v>
      </c>
      <c r="M17" s="123">
        <f t="shared" si="3"/>
        <v>15220.8</v>
      </c>
      <c r="N17" s="123">
        <f t="shared" si="4"/>
        <v>40588.8</v>
      </c>
      <c r="O17" s="124">
        <v>1.0</v>
      </c>
      <c r="P17" s="125">
        <f t="shared" si="8"/>
        <v>40588.8</v>
      </c>
      <c r="Q17" s="126">
        <f t="shared" si="6"/>
        <v>25368</v>
      </c>
    </row>
    <row r="18" ht="22.5" customHeight="1">
      <c r="A18" s="142" t="s">
        <v>95</v>
      </c>
      <c r="B18" s="143">
        <v>45962.0</v>
      </c>
      <c r="C18" s="144">
        <v>45991.0</v>
      </c>
      <c r="D18" s="145"/>
      <c r="E18" s="118" t="s">
        <v>96</v>
      </c>
      <c r="F18" s="130" t="s">
        <v>93</v>
      </c>
      <c r="G18" s="131" t="s">
        <v>97</v>
      </c>
      <c r="H18" s="132" t="s">
        <v>59</v>
      </c>
      <c r="I18" s="133" t="s">
        <v>56</v>
      </c>
      <c r="J18" s="134">
        <v>41500.0</v>
      </c>
      <c r="K18" s="134">
        <f t="shared" si="1"/>
        <v>34873.94958</v>
      </c>
      <c r="L18" s="134">
        <f t="shared" si="2"/>
        <v>6626.05042</v>
      </c>
      <c r="M18" s="134">
        <f t="shared" si="3"/>
        <v>24900</v>
      </c>
      <c r="N18" s="134">
        <f t="shared" si="4"/>
        <v>66400</v>
      </c>
      <c r="O18" s="135">
        <v>1.0</v>
      </c>
      <c r="P18" s="136">
        <f t="shared" si="8"/>
        <v>66400</v>
      </c>
      <c r="Q18" s="137">
        <f t="shared" si="6"/>
        <v>41500</v>
      </c>
    </row>
    <row r="19" ht="22.5" customHeight="1">
      <c r="A19" s="142" t="s">
        <v>98</v>
      </c>
      <c r="B19" s="143">
        <v>45992.0</v>
      </c>
      <c r="C19" s="144">
        <v>46022.0</v>
      </c>
      <c r="D19" s="145"/>
      <c r="E19" s="118" t="s">
        <v>99</v>
      </c>
      <c r="F19" s="119" t="s">
        <v>100</v>
      </c>
      <c r="G19" s="120" t="s">
        <v>101</v>
      </c>
      <c r="H19" s="148" t="s">
        <v>102</v>
      </c>
      <c r="I19" s="122" t="s">
        <v>103</v>
      </c>
      <c r="J19" s="123">
        <v>155990.0</v>
      </c>
      <c r="K19" s="123">
        <f t="shared" si="1"/>
        <v>131084.0336</v>
      </c>
      <c r="L19" s="123">
        <f t="shared" si="2"/>
        <v>24905.96639</v>
      </c>
      <c r="M19" s="123">
        <f t="shared" si="3"/>
        <v>93594</v>
      </c>
      <c r="N19" s="123">
        <f t="shared" si="4"/>
        <v>249584</v>
      </c>
      <c r="O19" s="124">
        <v>4.0</v>
      </c>
      <c r="P19" s="125">
        <f t="shared" si="8"/>
        <v>998336</v>
      </c>
      <c r="Q19" s="126">
        <f t="shared" si="6"/>
        <v>623960</v>
      </c>
    </row>
    <row r="20" ht="22.5" customHeight="1">
      <c r="B20" s="139"/>
      <c r="E20" s="118" t="s">
        <v>104</v>
      </c>
      <c r="F20" s="130" t="s">
        <v>100</v>
      </c>
      <c r="G20" s="131" t="s">
        <v>105</v>
      </c>
      <c r="H20" s="149" t="s">
        <v>106</v>
      </c>
      <c r="I20" s="133" t="s">
        <v>56</v>
      </c>
      <c r="J20" s="134">
        <v>119990.0</v>
      </c>
      <c r="K20" s="134">
        <f t="shared" si="1"/>
        <v>100831.9328</v>
      </c>
      <c r="L20" s="134">
        <f t="shared" si="2"/>
        <v>19158.06723</v>
      </c>
      <c r="M20" s="134">
        <f t="shared" si="3"/>
        <v>71994</v>
      </c>
      <c r="N20" s="134">
        <f t="shared" si="4"/>
        <v>191984</v>
      </c>
      <c r="O20" s="135">
        <v>4.0</v>
      </c>
      <c r="P20" s="136">
        <f t="shared" si="8"/>
        <v>767936</v>
      </c>
      <c r="Q20" s="137">
        <f t="shared" si="6"/>
        <v>479960</v>
      </c>
    </row>
    <row r="21" ht="22.5" customHeight="1">
      <c r="A21" s="150">
        <v>2024.0</v>
      </c>
      <c r="C21" s="140"/>
      <c r="D21" s="141"/>
      <c r="E21" s="118" t="s">
        <v>107</v>
      </c>
      <c r="F21" s="119" t="s">
        <v>108</v>
      </c>
      <c r="G21" s="120" t="s">
        <v>109</v>
      </c>
      <c r="H21" s="121" t="s">
        <v>55</v>
      </c>
      <c r="I21" s="122" t="s">
        <v>56</v>
      </c>
      <c r="J21" s="123">
        <v>44061.0</v>
      </c>
      <c r="K21" s="123">
        <f t="shared" si="1"/>
        <v>37026.05042</v>
      </c>
      <c r="L21" s="123">
        <f t="shared" si="2"/>
        <v>7034.94958</v>
      </c>
      <c r="M21" s="123">
        <f t="shared" si="3"/>
        <v>26436.6</v>
      </c>
      <c r="N21" s="123">
        <f t="shared" si="4"/>
        <v>70497.6</v>
      </c>
      <c r="O21" s="124">
        <v>18.0</v>
      </c>
      <c r="P21" s="125">
        <f t="shared" si="8"/>
        <v>1268956.8</v>
      </c>
      <c r="Q21" s="126">
        <f t="shared" si="6"/>
        <v>793098</v>
      </c>
    </row>
    <row r="22" ht="22.5" customHeight="1">
      <c r="A22" s="142" t="s">
        <v>64</v>
      </c>
      <c r="B22" s="139">
        <v>45292.0</v>
      </c>
      <c r="C22" s="140">
        <v>45322.0</v>
      </c>
      <c r="D22" s="141"/>
      <c r="E22" s="118" t="s">
        <v>110</v>
      </c>
      <c r="F22" s="130" t="s">
        <v>108</v>
      </c>
      <c r="G22" s="131" t="s">
        <v>111</v>
      </c>
      <c r="H22" s="132" t="s">
        <v>59</v>
      </c>
      <c r="I22" s="133" t="s">
        <v>56</v>
      </c>
      <c r="J22" s="134">
        <v>52191.0</v>
      </c>
      <c r="K22" s="134">
        <f t="shared" si="1"/>
        <v>43857.98319</v>
      </c>
      <c r="L22" s="134">
        <f t="shared" si="2"/>
        <v>8333.016807</v>
      </c>
      <c r="M22" s="134">
        <f t="shared" si="3"/>
        <v>31314.6</v>
      </c>
      <c r="N22" s="134">
        <f t="shared" si="4"/>
        <v>83505.6</v>
      </c>
      <c r="O22" s="135">
        <v>18.0</v>
      </c>
      <c r="P22" s="136">
        <f t="shared" si="8"/>
        <v>1503100.8</v>
      </c>
      <c r="Q22" s="137">
        <f t="shared" si="6"/>
        <v>939438</v>
      </c>
    </row>
    <row r="23" ht="22.5" customHeight="1">
      <c r="A23" s="142" t="s">
        <v>68</v>
      </c>
      <c r="B23" s="139">
        <v>45323.0</v>
      </c>
      <c r="C23" s="140">
        <v>45350.0</v>
      </c>
      <c r="D23" s="141"/>
      <c r="E23" s="118" t="s">
        <v>112</v>
      </c>
      <c r="F23" s="119" t="s">
        <v>113</v>
      </c>
      <c r="G23" s="120" t="s">
        <v>114</v>
      </c>
      <c r="H23" s="121" t="s">
        <v>55</v>
      </c>
      <c r="I23" s="122" t="s">
        <v>56</v>
      </c>
      <c r="J23" s="123">
        <v>43940.0</v>
      </c>
      <c r="K23" s="123">
        <f t="shared" si="1"/>
        <v>36924.36975</v>
      </c>
      <c r="L23" s="123">
        <f t="shared" si="2"/>
        <v>7015.630252</v>
      </c>
      <c r="M23" s="123">
        <f t="shared" si="3"/>
        <v>26364</v>
      </c>
      <c r="N23" s="123">
        <f t="shared" si="4"/>
        <v>70304</v>
      </c>
      <c r="O23" s="124">
        <v>12.0</v>
      </c>
      <c r="P23" s="125">
        <f t="shared" si="8"/>
        <v>843648</v>
      </c>
      <c r="Q23" s="126">
        <f t="shared" ref="Q23:Q24" si="9">P23/1.4</f>
        <v>602605.7143</v>
      </c>
    </row>
    <row r="24" ht="22.5" customHeight="1">
      <c r="A24" s="142" t="s">
        <v>72</v>
      </c>
      <c r="B24" s="139">
        <v>45352.0</v>
      </c>
      <c r="C24" s="140">
        <v>45382.0</v>
      </c>
      <c r="D24" s="141"/>
      <c r="E24" s="118" t="s">
        <v>115</v>
      </c>
      <c r="F24" s="130" t="s">
        <v>113</v>
      </c>
      <c r="G24" s="131" t="s">
        <v>116</v>
      </c>
      <c r="H24" s="132" t="s">
        <v>59</v>
      </c>
      <c r="I24" s="133" t="s">
        <v>56</v>
      </c>
      <c r="J24" s="134">
        <v>66591.0</v>
      </c>
      <c r="K24" s="134">
        <f t="shared" si="1"/>
        <v>55958.82353</v>
      </c>
      <c r="L24" s="134">
        <f t="shared" si="2"/>
        <v>10632.17647</v>
      </c>
      <c r="M24" s="134">
        <f>J24*0.4</f>
        <v>26636.4</v>
      </c>
      <c r="N24" s="134">
        <f t="shared" si="4"/>
        <v>93227.4</v>
      </c>
      <c r="O24" s="135">
        <v>12.0</v>
      </c>
      <c r="P24" s="136">
        <f t="shared" si="8"/>
        <v>1118728.8</v>
      </c>
      <c r="Q24" s="137">
        <f t="shared" si="9"/>
        <v>799092</v>
      </c>
    </row>
    <row r="25" ht="22.5" customHeight="1">
      <c r="A25" s="142" t="s">
        <v>74</v>
      </c>
      <c r="B25" s="139">
        <v>45383.0</v>
      </c>
      <c r="C25" s="140">
        <v>45412.0</v>
      </c>
      <c r="D25" s="141"/>
      <c r="E25" s="151">
        <v>304020.0</v>
      </c>
      <c r="F25" s="119" t="s">
        <v>117</v>
      </c>
      <c r="G25" s="120" t="s">
        <v>118</v>
      </c>
      <c r="H25" s="146" t="s">
        <v>59</v>
      </c>
      <c r="I25" s="122" t="s">
        <v>56</v>
      </c>
      <c r="J25" s="123">
        <v>37990.0</v>
      </c>
      <c r="K25" s="123">
        <f t="shared" si="1"/>
        <v>31924.36975</v>
      </c>
      <c r="L25" s="123">
        <f t="shared" si="2"/>
        <v>6065.630252</v>
      </c>
      <c r="M25" s="123">
        <f t="shared" ref="M25:M35" si="10">J25*0.6</f>
        <v>22794</v>
      </c>
      <c r="N25" s="123">
        <f t="shared" si="4"/>
        <v>60784</v>
      </c>
      <c r="O25" s="124">
        <v>4.0</v>
      </c>
      <c r="P25" s="125">
        <f t="shared" si="8"/>
        <v>243136</v>
      </c>
      <c r="Q25" s="126">
        <f t="shared" ref="Q25:Q35" si="11">P25/1.6</f>
        <v>151960</v>
      </c>
    </row>
    <row r="26" ht="22.5" customHeight="1">
      <c r="A26" s="142" t="s">
        <v>78</v>
      </c>
      <c r="B26" s="139">
        <v>45413.0</v>
      </c>
      <c r="C26" s="140">
        <v>45443.0</v>
      </c>
      <c r="D26" s="141"/>
      <c r="E26" s="151">
        <v>604550.0</v>
      </c>
      <c r="F26" s="130" t="s">
        <v>119</v>
      </c>
      <c r="G26" s="131" t="s">
        <v>120</v>
      </c>
      <c r="H26" s="147" t="s">
        <v>55</v>
      </c>
      <c r="I26" s="133" t="s">
        <v>56</v>
      </c>
      <c r="J26" s="134">
        <v>94070.0</v>
      </c>
      <c r="K26" s="134">
        <f t="shared" si="1"/>
        <v>79050.42017</v>
      </c>
      <c r="L26" s="134">
        <f t="shared" si="2"/>
        <v>15019.57983</v>
      </c>
      <c r="M26" s="134">
        <f t="shared" si="10"/>
        <v>56442</v>
      </c>
      <c r="N26" s="134">
        <f t="shared" si="4"/>
        <v>150512</v>
      </c>
      <c r="O26" s="135">
        <v>1.0</v>
      </c>
      <c r="P26" s="136">
        <f t="shared" si="8"/>
        <v>150512</v>
      </c>
      <c r="Q26" s="137">
        <f t="shared" si="11"/>
        <v>94070</v>
      </c>
    </row>
    <row r="27" ht="22.5" customHeight="1">
      <c r="A27" s="142" t="s">
        <v>79</v>
      </c>
      <c r="B27" s="139">
        <v>45444.0</v>
      </c>
      <c r="C27" s="140">
        <v>45473.0</v>
      </c>
      <c r="D27" s="141"/>
      <c r="E27" s="151">
        <v>534020.0</v>
      </c>
      <c r="F27" s="119" t="s">
        <v>119</v>
      </c>
      <c r="G27" s="120" t="s">
        <v>121</v>
      </c>
      <c r="H27" s="121" t="s">
        <v>55</v>
      </c>
      <c r="I27" s="122" t="s">
        <v>56</v>
      </c>
      <c r="J27" s="123">
        <v>60933.0</v>
      </c>
      <c r="K27" s="123">
        <f t="shared" si="1"/>
        <v>51204.20168</v>
      </c>
      <c r="L27" s="123">
        <f t="shared" si="2"/>
        <v>9728.798319</v>
      </c>
      <c r="M27" s="123">
        <f t="shared" si="10"/>
        <v>36559.8</v>
      </c>
      <c r="N27" s="123">
        <f t="shared" si="4"/>
        <v>97492.8</v>
      </c>
      <c r="O27" s="124">
        <v>1.0</v>
      </c>
      <c r="P27" s="125">
        <f t="shared" si="8"/>
        <v>97492.8</v>
      </c>
      <c r="Q27" s="126">
        <f t="shared" si="11"/>
        <v>60933</v>
      </c>
    </row>
    <row r="28" ht="22.5" customHeight="1">
      <c r="A28" s="142" t="s">
        <v>83</v>
      </c>
      <c r="B28" s="139">
        <v>45474.0</v>
      </c>
      <c r="C28" s="140">
        <v>45504.0</v>
      </c>
      <c r="D28" s="141"/>
      <c r="E28" s="151">
        <v>534060.0</v>
      </c>
      <c r="F28" s="130" t="s">
        <v>119</v>
      </c>
      <c r="G28" s="131" t="s">
        <v>122</v>
      </c>
      <c r="H28" s="132" t="s">
        <v>59</v>
      </c>
      <c r="I28" s="133" t="s">
        <v>56</v>
      </c>
      <c r="J28" s="134">
        <v>102150.0</v>
      </c>
      <c r="K28" s="134">
        <f t="shared" si="1"/>
        <v>85840.33613</v>
      </c>
      <c r="L28" s="134">
        <f t="shared" si="2"/>
        <v>16309.66387</v>
      </c>
      <c r="M28" s="134">
        <f t="shared" si="10"/>
        <v>61290</v>
      </c>
      <c r="N28" s="134">
        <f t="shared" si="4"/>
        <v>163440</v>
      </c>
      <c r="O28" s="135">
        <v>1.0</v>
      </c>
      <c r="P28" s="136">
        <f t="shared" si="8"/>
        <v>163440</v>
      </c>
      <c r="Q28" s="137">
        <f t="shared" si="11"/>
        <v>102150</v>
      </c>
    </row>
    <row r="29" ht="22.5" customHeight="1">
      <c r="A29" s="142" t="s">
        <v>85</v>
      </c>
      <c r="B29" s="139">
        <v>45505.0</v>
      </c>
      <c r="C29" s="140">
        <v>45535.0</v>
      </c>
      <c r="D29" s="141"/>
      <c r="E29" s="118" t="s">
        <v>123</v>
      </c>
      <c r="F29" s="119" t="s">
        <v>124</v>
      </c>
      <c r="G29" s="120" t="s">
        <v>125</v>
      </c>
      <c r="H29" s="146" t="s">
        <v>59</v>
      </c>
      <c r="I29" s="122" t="s">
        <v>56</v>
      </c>
      <c r="J29" s="123">
        <v>15500.0</v>
      </c>
      <c r="K29" s="123">
        <f t="shared" si="1"/>
        <v>13025.21008</v>
      </c>
      <c r="L29" s="123">
        <f t="shared" si="2"/>
        <v>2474.789916</v>
      </c>
      <c r="M29" s="123">
        <f t="shared" si="10"/>
        <v>9300</v>
      </c>
      <c r="N29" s="123">
        <f t="shared" si="4"/>
        <v>24800</v>
      </c>
      <c r="O29" s="124">
        <v>1.0</v>
      </c>
      <c r="P29" s="125">
        <f t="shared" si="8"/>
        <v>24800</v>
      </c>
      <c r="Q29" s="126">
        <f t="shared" si="11"/>
        <v>15500</v>
      </c>
    </row>
    <row r="30" ht="22.5" customHeight="1">
      <c r="A30" s="142" t="s">
        <v>89</v>
      </c>
      <c r="B30" s="139">
        <v>45536.0</v>
      </c>
      <c r="C30" s="140">
        <v>45565.0</v>
      </c>
      <c r="D30" s="141"/>
      <c r="E30" s="118" t="s">
        <v>123</v>
      </c>
      <c r="F30" s="130" t="s">
        <v>124</v>
      </c>
      <c r="G30" s="131" t="s">
        <v>125</v>
      </c>
      <c r="H30" s="152" t="s">
        <v>102</v>
      </c>
      <c r="I30" s="133" t="s">
        <v>56</v>
      </c>
      <c r="J30" s="134">
        <v>36295.0</v>
      </c>
      <c r="K30" s="134">
        <f t="shared" si="1"/>
        <v>30500</v>
      </c>
      <c r="L30" s="134">
        <f t="shared" si="2"/>
        <v>5795</v>
      </c>
      <c r="M30" s="134">
        <f t="shared" si="10"/>
        <v>21777</v>
      </c>
      <c r="N30" s="134">
        <f t="shared" si="4"/>
        <v>58072</v>
      </c>
      <c r="O30" s="135">
        <v>1.0</v>
      </c>
      <c r="P30" s="136">
        <f t="shared" si="8"/>
        <v>58072</v>
      </c>
      <c r="Q30" s="137">
        <f t="shared" si="11"/>
        <v>36295</v>
      </c>
    </row>
    <row r="31" ht="22.5" customHeight="1">
      <c r="A31" s="142" t="s">
        <v>91</v>
      </c>
      <c r="B31" s="139">
        <v>45566.0</v>
      </c>
      <c r="C31" s="140">
        <v>45596.0</v>
      </c>
      <c r="D31" s="141"/>
      <c r="E31" s="118" t="s">
        <v>126</v>
      </c>
      <c r="F31" s="119" t="s">
        <v>127</v>
      </c>
      <c r="G31" s="120" t="s">
        <v>128</v>
      </c>
      <c r="H31" s="121" t="s">
        <v>55</v>
      </c>
      <c r="I31" s="122" t="s">
        <v>56</v>
      </c>
      <c r="J31" s="123">
        <v>2306.0</v>
      </c>
      <c r="K31" s="123">
        <f t="shared" si="1"/>
        <v>1937.815126</v>
      </c>
      <c r="L31" s="123">
        <f t="shared" si="2"/>
        <v>368.1848739</v>
      </c>
      <c r="M31" s="123">
        <f t="shared" si="10"/>
        <v>1383.6</v>
      </c>
      <c r="N31" s="123">
        <f t="shared" si="4"/>
        <v>3689.6</v>
      </c>
      <c r="O31" s="124">
        <v>30.0</v>
      </c>
      <c r="P31" s="125">
        <f t="shared" si="8"/>
        <v>110688</v>
      </c>
      <c r="Q31" s="126">
        <f t="shared" si="11"/>
        <v>69180</v>
      </c>
    </row>
    <row r="32" ht="22.5" customHeight="1">
      <c r="A32" s="142" t="s">
        <v>95</v>
      </c>
      <c r="B32" s="139">
        <v>45597.0</v>
      </c>
      <c r="C32" s="140">
        <v>45626.0</v>
      </c>
      <c r="D32" s="141"/>
      <c r="E32" s="118" t="s">
        <v>129</v>
      </c>
      <c r="F32" s="130" t="s">
        <v>130</v>
      </c>
      <c r="G32" s="131" t="s">
        <v>131</v>
      </c>
      <c r="H32" s="147" t="s">
        <v>55</v>
      </c>
      <c r="I32" s="153" t="s">
        <v>56</v>
      </c>
      <c r="J32" s="134">
        <v>135581.0</v>
      </c>
      <c r="K32" s="134">
        <f t="shared" si="1"/>
        <v>113933.6134</v>
      </c>
      <c r="L32" s="134">
        <f t="shared" si="2"/>
        <v>21647.38655</v>
      </c>
      <c r="M32" s="134">
        <f t="shared" si="10"/>
        <v>81348.6</v>
      </c>
      <c r="N32" s="134">
        <f t="shared" si="4"/>
        <v>216929.6</v>
      </c>
      <c r="O32" s="135">
        <v>4.0</v>
      </c>
      <c r="P32" s="136">
        <f t="shared" si="8"/>
        <v>867718.4</v>
      </c>
      <c r="Q32" s="137">
        <f t="shared" si="11"/>
        <v>542324</v>
      </c>
    </row>
    <row r="33" ht="22.5" customHeight="1">
      <c r="A33" s="154" t="s">
        <v>98</v>
      </c>
      <c r="B33" s="155">
        <v>45627.0</v>
      </c>
      <c r="C33" s="156">
        <v>45657.0</v>
      </c>
      <c r="D33" s="141"/>
      <c r="E33" s="118" t="s">
        <v>132</v>
      </c>
      <c r="F33" s="119" t="s">
        <v>133</v>
      </c>
      <c r="G33" s="120" t="s">
        <v>134</v>
      </c>
      <c r="H33" s="121" t="s">
        <v>55</v>
      </c>
      <c r="I33" s="157" t="s">
        <v>56</v>
      </c>
      <c r="J33" s="123">
        <v>47824.0</v>
      </c>
      <c r="K33" s="123">
        <f t="shared" si="1"/>
        <v>40188.23529</v>
      </c>
      <c r="L33" s="123">
        <f t="shared" si="2"/>
        <v>7635.764706</v>
      </c>
      <c r="M33" s="123">
        <f t="shared" si="10"/>
        <v>28694.4</v>
      </c>
      <c r="N33" s="123">
        <f t="shared" si="4"/>
        <v>76518.4</v>
      </c>
      <c r="O33" s="124">
        <v>2.0</v>
      </c>
      <c r="P33" s="125">
        <f t="shared" si="8"/>
        <v>153036.8</v>
      </c>
      <c r="Q33" s="126">
        <f t="shared" si="11"/>
        <v>95648</v>
      </c>
    </row>
    <row r="34" ht="22.5" customHeight="1">
      <c r="E34" s="118" t="s">
        <v>135</v>
      </c>
      <c r="F34" s="130" t="s">
        <v>136</v>
      </c>
      <c r="G34" s="131" t="s">
        <v>137</v>
      </c>
      <c r="H34" s="158" t="s">
        <v>138</v>
      </c>
      <c r="I34" s="153" t="s">
        <v>56</v>
      </c>
      <c r="J34" s="134">
        <v>7965.0</v>
      </c>
      <c r="K34" s="134">
        <f t="shared" si="1"/>
        <v>6693.277311</v>
      </c>
      <c r="L34" s="134">
        <f t="shared" si="2"/>
        <v>1271.722689</v>
      </c>
      <c r="M34" s="134">
        <f t="shared" si="10"/>
        <v>4779</v>
      </c>
      <c r="N34" s="134">
        <f t="shared" si="4"/>
        <v>12744</v>
      </c>
      <c r="O34" s="135">
        <v>20.0</v>
      </c>
      <c r="P34" s="136">
        <f t="shared" si="8"/>
        <v>254880</v>
      </c>
      <c r="Q34" s="137">
        <f t="shared" si="11"/>
        <v>159300</v>
      </c>
    </row>
    <row r="35" ht="22.5" customHeight="1">
      <c r="A35" s="159" t="s">
        <v>139</v>
      </c>
      <c r="B35" s="159" t="s">
        <v>140</v>
      </c>
      <c r="E35" s="118" t="s">
        <v>141</v>
      </c>
      <c r="F35" s="160" t="s">
        <v>142</v>
      </c>
      <c r="G35" s="161" t="s">
        <v>143</v>
      </c>
      <c r="H35" s="162" t="s">
        <v>59</v>
      </c>
      <c r="I35" s="163" t="s">
        <v>56</v>
      </c>
      <c r="J35" s="164">
        <v>2450.0</v>
      </c>
      <c r="K35" s="164">
        <f t="shared" si="1"/>
        <v>2058.823529</v>
      </c>
      <c r="L35" s="164">
        <f t="shared" si="2"/>
        <v>391.1764706</v>
      </c>
      <c r="M35" s="164">
        <f t="shared" si="10"/>
        <v>1470</v>
      </c>
      <c r="N35" s="164">
        <f t="shared" si="4"/>
        <v>3920</v>
      </c>
      <c r="O35" s="165">
        <v>30.0</v>
      </c>
      <c r="P35" s="166">
        <f t="shared" si="8"/>
        <v>117600</v>
      </c>
      <c r="Q35" s="167">
        <f t="shared" si="11"/>
        <v>73500</v>
      </c>
    </row>
    <row r="36">
      <c r="A36" s="168" t="s">
        <v>144</v>
      </c>
      <c r="B36" s="168" t="s">
        <v>145</v>
      </c>
      <c r="F36" s="111"/>
      <c r="G36" s="111"/>
      <c r="H36" s="111"/>
      <c r="I36" s="111"/>
      <c r="J36" s="169"/>
      <c r="K36" s="169"/>
      <c r="L36" s="169"/>
      <c r="M36" s="111"/>
      <c r="N36" s="111"/>
      <c r="O36" s="111"/>
      <c r="P36" s="111"/>
      <c r="Q36" s="111"/>
    </row>
    <row r="37">
      <c r="A37" s="170" t="s">
        <v>146</v>
      </c>
      <c r="B37" s="170" t="s">
        <v>147</v>
      </c>
      <c r="F37" s="110" t="s">
        <v>148</v>
      </c>
      <c r="J37" s="111"/>
      <c r="K37" s="111"/>
      <c r="L37" s="111"/>
      <c r="M37" s="111"/>
      <c r="N37" s="111"/>
      <c r="O37" s="111"/>
      <c r="P37" s="111"/>
      <c r="Q37" s="111"/>
    </row>
    <row r="38" ht="22.5" customHeight="1">
      <c r="A38" s="168" t="s">
        <v>149</v>
      </c>
      <c r="B38" s="168" t="s">
        <v>150</v>
      </c>
      <c r="E38" s="171" t="s">
        <v>40</v>
      </c>
      <c r="F38" s="115" t="s">
        <v>151</v>
      </c>
      <c r="G38" s="115" t="s">
        <v>42</v>
      </c>
      <c r="H38" s="115" t="s">
        <v>43</v>
      </c>
      <c r="I38" s="115" t="s">
        <v>44</v>
      </c>
      <c r="J38" s="115" t="s">
        <v>45</v>
      </c>
      <c r="K38" s="116" t="s">
        <v>46</v>
      </c>
      <c r="L38" s="116" t="s">
        <v>47</v>
      </c>
      <c r="M38" s="116" t="s">
        <v>48</v>
      </c>
      <c r="N38" s="116" t="s">
        <v>49</v>
      </c>
      <c r="O38" s="116" t="s">
        <v>50</v>
      </c>
      <c r="P38" s="117" t="s">
        <v>22</v>
      </c>
      <c r="Q38" s="117" t="s">
        <v>51</v>
      </c>
    </row>
    <row r="39" ht="22.5" customHeight="1">
      <c r="A39" s="168" t="s">
        <v>152</v>
      </c>
      <c r="B39" s="168"/>
      <c r="E39" s="118" t="s">
        <v>153</v>
      </c>
      <c r="F39" s="119" t="s">
        <v>154</v>
      </c>
      <c r="G39" s="120" t="s">
        <v>155</v>
      </c>
      <c r="H39" s="172" t="s">
        <v>156</v>
      </c>
      <c r="I39" s="173" t="s">
        <v>157</v>
      </c>
      <c r="J39" s="123">
        <v>639018.0</v>
      </c>
      <c r="K39" s="123">
        <f t="shared" ref="K39:K68" si="12">J39/1.19</f>
        <v>536989.916</v>
      </c>
      <c r="L39" s="123">
        <f t="shared" ref="L39:L68" si="13">J39-K39</f>
        <v>102028.084</v>
      </c>
      <c r="M39" s="123">
        <f t="shared" ref="M39:M46" si="14">J39*0.6</f>
        <v>383410.8</v>
      </c>
      <c r="N39" s="123">
        <f t="shared" ref="N39:N68" si="15">J39+M39</f>
        <v>1022428.8</v>
      </c>
      <c r="O39" s="124">
        <v>1.0</v>
      </c>
      <c r="P39" s="125">
        <f t="shared" ref="P39:P41" si="16">N39</f>
        <v>1022428.8</v>
      </c>
      <c r="Q39" s="126">
        <f t="shared" ref="Q39:Q68" si="17">P39/1.6</f>
        <v>639018</v>
      </c>
    </row>
    <row r="40" ht="30.75" customHeight="1">
      <c r="A40" s="170" t="s">
        <v>158</v>
      </c>
      <c r="B40" s="168"/>
      <c r="E40" s="118"/>
      <c r="F40" s="174"/>
      <c r="G40" s="175"/>
      <c r="H40" s="176"/>
      <c r="I40" s="177"/>
      <c r="J40" s="178"/>
      <c r="K40" s="178">
        <f t="shared" si="12"/>
        <v>0</v>
      </c>
      <c r="L40" s="178">
        <f t="shared" si="13"/>
        <v>0</v>
      </c>
      <c r="M40" s="178">
        <f t="shared" si="14"/>
        <v>0</v>
      </c>
      <c r="N40" s="178">
        <f t="shared" si="15"/>
        <v>0</v>
      </c>
      <c r="O40" s="179"/>
      <c r="P40" s="180">
        <f t="shared" si="16"/>
        <v>0</v>
      </c>
      <c r="Q40" s="181">
        <f t="shared" si="17"/>
        <v>0</v>
      </c>
    </row>
    <row r="41" ht="22.5" customHeight="1">
      <c r="E41" s="118" t="s">
        <v>153</v>
      </c>
      <c r="F41" s="130" t="s">
        <v>154</v>
      </c>
      <c r="G41" s="131" t="s">
        <v>155</v>
      </c>
      <c r="H41" s="182" t="s">
        <v>159</v>
      </c>
      <c r="I41" s="183" t="s">
        <v>157</v>
      </c>
      <c r="J41" s="134">
        <v>640208.0</v>
      </c>
      <c r="K41" s="134">
        <f t="shared" si="12"/>
        <v>537989.916</v>
      </c>
      <c r="L41" s="134">
        <f t="shared" si="13"/>
        <v>102218.084</v>
      </c>
      <c r="M41" s="134">
        <f t="shared" si="14"/>
        <v>384124.8</v>
      </c>
      <c r="N41" s="134">
        <f t="shared" si="15"/>
        <v>1024332.8</v>
      </c>
      <c r="O41" s="135">
        <v>1.0</v>
      </c>
      <c r="P41" s="136">
        <f t="shared" si="16"/>
        <v>1024332.8</v>
      </c>
      <c r="Q41" s="137">
        <f t="shared" si="17"/>
        <v>640208</v>
      </c>
    </row>
    <row r="42" ht="22.5" customHeight="1">
      <c r="A42" s="184" t="s">
        <v>160</v>
      </c>
      <c r="B42" s="185"/>
      <c r="E42" s="118" t="s">
        <v>161</v>
      </c>
      <c r="F42" s="119" t="s">
        <v>154</v>
      </c>
      <c r="G42" s="186" t="s">
        <v>162</v>
      </c>
      <c r="H42" s="172" t="s">
        <v>156</v>
      </c>
      <c r="I42" s="173" t="s">
        <v>157</v>
      </c>
      <c r="J42" s="187">
        <v>700000.0</v>
      </c>
      <c r="K42" s="123">
        <f t="shared" si="12"/>
        <v>588235.2941</v>
      </c>
      <c r="L42" s="123">
        <f t="shared" si="13"/>
        <v>111764.7059</v>
      </c>
      <c r="M42" s="123">
        <f t="shared" si="14"/>
        <v>420000</v>
      </c>
      <c r="N42" s="123">
        <f t="shared" si="15"/>
        <v>1120000</v>
      </c>
      <c r="O42" s="124">
        <v>1.0</v>
      </c>
      <c r="P42" s="125">
        <f t="shared" ref="P42:P68" si="18">N42*O42</f>
        <v>1120000</v>
      </c>
      <c r="Q42" s="126">
        <f t="shared" si="17"/>
        <v>700000</v>
      </c>
    </row>
    <row r="43" ht="22.5" customHeight="1">
      <c r="A43" s="188" t="s">
        <v>163</v>
      </c>
      <c r="E43" s="118" t="s">
        <v>161</v>
      </c>
      <c r="F43" s="130" t="s">
        <v>154</v>
      </c>
      <c r="G43" s="189" t="s">
        <v>162</v>
      </c>
      <c r="H43" s="182" t="s">
        <v>159</v>
      </c>
      <c r="I43" s="183" t="s">
        <v>157</v>
      </c>
      <c r="J43" s="134">
        <v>688926.0</v>
      </c>
      <c r="K43" s="134">
        <f t="shared" si="12"/>
        <v>578929.4118</v>
      </c>
      <c r="L43" s="134">
        <f t="shared" si="13"/>
        <v>109996.5882</v>
      </c>
      <c r="M43" s="134">
        <f t="shared" si="14"/>
        <v>413355.6</v>
      </c>
      <c r="N43" s="134">
        <f t="shared" si="15"/>
        <v>1102281.6</v>
      </c>
      <c r="O43" s="135">
        <v>1.0</v>
      </c>
      <c r="P43" s="136">
        <f t="shared" si="18"/>
        <v>1102281.6</v>
      </c>
      <c r="Q43" s="137">
        <f t="shared" si="17"/>
        <v>688926</v>
      </c>
    </row>
    <row r="44" ht="22.5" customHeight="1">
      <c r="A44" s="188" t="s">
        <v>59</v>
      </c>
      <c r="E44" s="118" t="s">
        <v>164</v>
      </c>
      <c r="F44" s="119" t="s">
        <v>154</v>
      </c>
      <c r="G44" s="120" t="s">
        <v>165</v>
      </c>
      <c r="H44" s="172" t="s">
        <v>156</v>
      </c>
      <c r="I44" s="173" t="s">
        <v>157</v>
      </c>
      <c r="J44" s="123">
        <v>705628.0</v>
      </c>
      <c r="K44" s="123">
        <f t="shared" si="12"/>
        <v>592964.7059</v>
      </c>
      <c r="L44" s="123">
        <f t="shared" si="13"/>
        <v>112663.2941</v>
      </c>
      <c r="M44" s="123">
        <f t="shared" si="14"/>
        <v>423376.8</v>
      </c>
      <c r="N44" s="123">
        <f t="shared" si="15"/>
        <v>1129004.8</v>
      </c>
      <c r="O44" s="124">
        <v>1.0</v>
      </c>
      <c r="P44" s="125">
        <f t="shared" si="18"/>
        <v>1129004.8</v>
      </c>
      <c r="Q44" s="126">
        <f t="shared" si="17"/>
        <v>705628</v>
      </c>
    </row>
    <row r="45" ht="22.5" customHeight="1">
      <c r="A45" s="188" t="s">
        <v>102</v>
      </c>
      <c r="E45" s="118" t="s">
        <v>166</v>
      </c>
      <c r="F45" s="130" t="s">
        <v>154</v>
      </c>
      <c r="G45" s="190" t="s">
        <v>167</v>
      </c>
      <c r="H45" s="182" t="s">
        <v>159</v>
      </c>
      <c r="I45" s="183" t="s">
        <v>157</v>
      </c>
      <c r="J45" s="134">
        <v>750806.0</v>
      </c>
      <c r="K45" s="134">
        <f t="shared" si="12"/>
        <v>630929.4118</v>
      </c>
      <c r="L45" s="134">
        <f t="shared" si="13"/>
        <v>119876.5882</v>
      </c>
      <c r="M45" s="134">
        <f t="shared" si="14"/>
        <v>450483.6</v>
      </c>
      <c r="N45" s="134">
        <f t="shared" si="15"/>
        <v>1201289.6</v>
      </c>
      <c r="O45" s="135">
        <v>1.0</v>
      </c>
      <c r="P45" s="136">
        <f t="shared" si="18"/>
        <v>1201289.6</v>
      </c>
      <c r="Q45" s="137">
        <f t="shared" si="17"/>
        <v>750806</v>
      </c>
    </row>
    <row r="46" ht="22.5" customHeight="1">
      <c r="A46" s="188" t="s">
        <v>106</v>
      </c>
      <c r="E46" s="118" t="s">
        <v>166</v>
      </c>
      <c r="F46" s="119" t="s">
        <v>154</v>
      </c>
      <c r="G46" s="191" t="s">
        <v>167</v>
      </c>
      <c r="H46" s="172" t="s">
        <v>156</v>
      </c>
      <c r="I46" s="173" t="s">
        <v>157</v>
      </c>
      <c r="J46" s="123">
        <v>754377.0</v>
      </c>
      <c r="K46" s="123">
        <f t="shared" si="12"/>
        <v>633930.2521</v>
      </c>
      <c r="L46" s="123">
        <f t="shared" si="13"/>
        <v>120446.7479</v>
      </c>
      <c r="M46" s="123">
        <f t="shared" si="14"/>
        <v>452626.2</v>
      </c>
      <c r="N46" s="123">
        <f t="shared" si="15"/>
        <v>1207003.2</v>
      </c>
      <c r="O46" s="124">
        <v>1.0</v>
      </c>
      <c r="P46" s="125">
        <f t="shared" si="18"/>
        <v>1207003.2</v>
      </c>
      <c r="Q46" s="126">
        <f t="shared" si="17"/>
        <v>754377</v>
      </c>
    </row>
    <row r="47" ht="22.5" customHeight="1">
      <c r="A47" s="188" t="s">
        <v>168</v>
      </c>
      <c r="E47" s="118" t="s">
        <v>169</v>
      </c>
      <c r="F47" s="119" t="s">
        <v>154</v>
      </c>
      <c r="G47" s="191" t="s">
        <v>170</v>
      </c>
      <c r="H47" s="192" t="s">
        <v>159</v>
      </c>
      <c r="I47" s="173" t="s">
        <v>157</v>
      </c>
      <c r="J47" s="193">
        <v>813577.0</v>
      </c>
      <c r="K47" s="178">
        <f t="shared" si="12"/>
        <v>683678.1513</v>
      </c>
      <c r="L47" s="178">
        <f t="shared" si="13"/>
        <v>129898.8487</v>
      </c>
      <c r="M47" s="178">
        <f>J47*0.5</f>
        <v>406788.5</v>
      </c>
      <c r="N47" s="178">
        <f t="shared" si="15"/>
        <v>1220365.5</v>
      </c>
      <c r="O47" s="179"/>
      <c r="P47" s="180">
        <f t="shared" si="18"/>
        <v>0</v>
      </c>
      <c r="Q47" s="181">
        <f t="shared" si="17"/>
        <v>0</v>
      </c>
    </row>
    <row r="48" ht="22.5" customHeight="1">
      <c r="A48" s="188" t="s">
        <v>156</v>
      </c>
      <c r="E48" s="118" t="s">
        <v>171</v>
      </c>
      <c r="F48" s="130" t="s">
        <v>154</v>
      </c>
      <c r="G48" s="190" t="s">
        <v>172</v>
      </c>
      <c r="H48" s="182" t="s">
        <v>159</v>
      </c>
      <c r="I48" s="183" t="s">
        <v>157</v>
      </c>
      <c r="J48" s="134">
        <v>519945.0</v>
      </c>
      <c r="K48" s="134">
        <f t="shared" si="12"/>
        <v>436928.5714</v>
      </c>
      <c r="L48" s="134">
        <f t="shared" si="13"/>
        <v>83016.42857</v>
      </c>
      <c r="M48" s="134">
        <f t="shared" ref="M48:M56" si="19">J48*0.6</f>
        <v>311967</v>
      </c>
      <c r="N48" s="134">
        <f t="shared" si="15"/>
        <v>831912</v>
      </c>
      <c r="O48" s="135">
        <v>1.0</v>
      </c>
      <c r="P48" s="136">
        <f t="shared" si="18"/>
        <v>831912</v>
      </c>
      <c r="Q48" s="137">
        <f t="shared" si="17"/>
        <v>519945</v>
      </c>
    </row>
    <row r="49" ht="22.5" customHeight="1">
      <c r="A49" s="188" t="s">
        <v>159</v>
      </c>
      <c r="E49" s="118" t="s">
        <v>173</v>
      </c>
      <c r="F49" s="119" t="s">
        <v>154</v>
      </c>
      <c r="G49" s="191" t="s">
        <v>172</v>
      </c>
      <c r="H49" s="172" t="s">
        <v>156</v>
      </c>
      <c r="I49" s="173" t="s">
        <v>157</v>
      </c>
      <c r="J49" s="123">
        <v>518780.0</v>
      </c>
      <c r="K49" s="123">
        <f t="shared" si="12"/>
        <v>435949.5798</v>
      </c>
      <c r="L49" s="123">
        <f t="shared" si="13"/>
        <v>82830.42017</v>
      </c>
      <c r="M49" s="123">
        <f t="shared" si="19"/>
        <v>311268</v>
      </c>
      <c r="N49" s="123">
        <f t="shared" si="15"/>
        <v>830048</v>
      </c>
      <c r="O49" s="124">
        <v>1.0</v>
      </c>
      <c r="P49" s="125">
        <f t="shared" si="18"/>
        <v>830048</v>
      </c>
      <c r="Q49" s="126">
        <f t="shared" si="17"/>
        <v>518780</v>
      </c>
    </row>
    <row r="50" ht="22.5" customHeight="1">
      <c r="A50" s="188" t="s">
        <v>174</v>
      </c>
      <c r="E50" s="118" t="s">
        <v>175</v>
      </c>
      <c r="F50" s="119" t="s">
        <v>154</v>
      </c>
      <c r="G50" s="191" t="s">
        <v>176</v>
      </c>
      <c r="H50" s="192" t="s">
        <v>159</v>
      </c>
      <c r="I50" s="173" t="s">
        <v>157</v>
      </c>
      <c r="J50" s="187">
        <v>578280.0</v>
      </c>
      <c r="K50" s="178">
        <f t="shared" si="12"/>
        <v>485949.5798</v>
      </c>
      <c r="L50" s="178">
        <f t="shared" si="13"/>
        <v>92330.42017</v>
      </c>
      <c r="M50" s="178">
        <f t="shared" si="19"/>
        <v>346968</v>
      </c>
      <c r="N50" s="178">
        <f t="shared" si="15"/>
        <v>925248</v>
      </c>
      <c r="O50" s="179"/>
      <c r="P50" s="180">
        <f t="shared" si="18"/>
        <v>0</v>
      </c>
      <c r="Q50" s="181">
        <f t="shared" si="17"/>
        <v>0</v>
      </c>
    </row>
    <row r="51" ht="22.5" customHeight="1">
      <c r="A51" s="188" t="s">
        <v>177</v>
      </c>
      <c r="E51" s="118" t="s">
        <v>178</v>
      </c>
      <c r="F51" s="130" t="s">
        <v>179</v>
      </c>
      <c r="G51" s="131" t="s">
        <v>180</v>
      </c>
      <c r="H51" s="182" t="s">
        <v>159</v>
      </c>
      <c r="I51" s="183" t="s">
        <v>157</v>
      </c>
      <c r="J51" s="134">
        <v>7723.0</v>
      </c>
      <c r="K51" s="134">
        <f t="shared" si="12"/>
        <v>6489.915966</v>
      </c>
      <c r="L51" s="134">
        <f t="shared" si="13"/>
        <v>1233.084034</v>
      </c>
      <c r="M51" s="134">
        <f t="shared" si="19"/>
        <v>4633.8</v>
      </c>
      <c r="N51" s="134">
        <f t="shared" si="15"/>
        <v>12356.8</v>
      </c>
      <c r="O51" s="135">
        <v>1.0</v>
      </c>
      <c r="P51" s="136">
        <f t="shared" si="18"/>
        <v>12356.8</v>
      </c>
      <c r="Q51" s="137">
        <f t="shared" si="17"/>
        <v>7723</v>
      </c>
    </row>
    <row r="52" ht="22.5" customHeight="1">
      <c r="A52" s="188" t="s">
        <v>181</v>
      </c>
      <c r="E52" s="118" t="s">
        <v>178</v>
      </c>
      <c r="F52" s="119" t="s">
        <v>179</v>
      </c>
      <c r="G52" s="120" t="s">
        <v>180</v>
      </c>
      <c r="H52" s="172" t="s">
        <v>156</v>
      </c>
      <c r="I52" s="173" t="s">
        <v>157</v>
      </c>
      <c r="J52" s="123">
        <v>7723.0</v>
      </c>
      <c r="K52" s="123">
        <f t="shared" si="12"/>
        <v>6489.915966</v>
      </c>
      <c r="L52" s="123">
        <f t="shared" si="13"/>
        <v>1233.084034</v>
      </c>
      <c r="M52" s="123">
        <f t="shared" si="19"/>
        <v>4633.8</v>
      </c>
      <c r="N52" s="123">
        <f t="shared" si="15"/>
        <v>12356.8</v>
      </c>
      <c r="O52" s="124">
        <v>1.0</v>
      </c>
      <c r="P52" s="125">
        <f t="shared" si="18"/>
        <v>12356.8</v>
      </c>
      <c r="Q52" s="126">
        <f t="shared" si="17"/>
        <v>7723</v>
      </c>
    </row>
    <row r="53" ht="22.5" customHeight="1">
      <c r="A53" s="188" t="s">
        <v>182</v>
      </c>
      <c r="E53" s="118" t="s">
        <v>183</v>
      </c>
      <c r="F53" s="130" t="s">
        <v>179</v>
      </c>
      <c r="G53" s="131" t="s">
        <v>184</v>
      </c>
      <c r="H53" s="182" t="s">
        <v>159</v>
      </c>
      <c r="I53" s="183" t="s">
        <v>157</v>
      </c>
      <c r="J53" s="134">
        <v>8318.0</v>
      </c>
      <c r="K53" s="134">
        <f t="shared" si="12"/>
        <v>6989.915966</v>
      </c>
      <c r="L53" s="134">
        <f t="shared" si="13"/>
        <v>1328.084034</v>
      </c>
      <c r="M53" s="134">
        <f t="shared" si="19"/>
        <v>4990.8</v>
      </c>
      <c r="N53" s="134">
        <f t="shared" si="15"/>
        <v>13308.8</v>
      </c>
      <c r="O53" s="135">
        <v>1.0</v>
      </c>
      <c r="P53" s="136">
        <f t="shared" si="18"/>
        <v>13308.8</v>
      </c>
      <c r="Q53" s="137">
        <f t="shared" si="17"/>
        <v>8318</v>
      </c>
    </row>
    <row r="54" ht="22.5" customHeight="1">
      <c r="A54" s="188" t="s">
        <v>185</v>
      </c>
      <c r="E54" s="118" t="s">
        <v>183</v>
      </c>
      <c r="F54" s="119" t="s">
        <v>179</v>
      </c>
      <c r="G54" s="120" t="s">
        <v>184</v>
      </c>
      <c r="H54" s="172" t="s">
        <v>156</v>
      </c>
      <c r="I54" s="194"/>
      <c r="J54" s="123">
        <v>8318.0</v>
      </c>
      <c r="K54" s="123">
        <f t="shared" si="12"/>
        <v>6989.915966</v>
      </c>
      <c r="L54" s="123">
        <f t="shared" si="13"/>
        <v>1328.084034</v>
      </c>
      <c r="M54" s="123">
        <f t="shared" si="19"/>
        <v>4990.8</v>
      </c>
      <c r="N54" s="123">
        <f t="shared" si="15"/>
        <v>13308.8</v>
      </c>
      <c r="O54" s="124">
        <v>1.0</v>
      </c>
      <c r="P54" s="125">
        <f t="shared" si="18"/>
        <v>13308.8</v>
      </c>
      <c r="Q54" s="126">
        <f t="shared" si="17"/>
        <v>8318</v>
      </c>
    </row>
    <row r="55" ht="22.5" customHeight="1">
      <c r="A55" s="188" t="s">
        <v>186</v>
      </c>
      <c r="E55" s="118" t="s">
        <v>187</v>
      </c>
      <c r="F55" s="130" t="s">
        <v>188</v>
      </c>
      <c r="G55" s="131" t="s">
        <v>189</v>
      </c>
      <c r="H55" s="182" t="s">
        <v>159</v>
      </c>
      <c r="I55" s="183" t="s">
        <v>157</v>
      </c>
      <c r="J55" s="134">
        <v>59488.0</v>
      </c>
      <c r="K55" s="134">
        <f t="shared" si="12"/>
        <v>49989.91597</v>
      </c>
      <c r="L55" s="134">
        <f t="shared" si="13"/>
        <v>9498.084034</v>
      </c>
      <c r="M55" s="134">
        <f t="shared" si="19"/>
        <v>35692.8</v>
      </c>
      <c r="N55" s="134">
        <f t="shared" si="15"/>
        <v>95180.8</v>
      </c>
      <c r="O55" s="135">
        <v>1.0</v>
      </c>
      <c r="P55" s="136">
        <f t="shared" si="18"/>
        <v>95180.8</v>
      </c>
      <c r="Q55" s="137">
        <f t="shared" si="17"/>
        <v>59488</v>
      </c>
    </row>
    <row r="56" ht="22.5" customHeight="1">
      <c r="E56" s="118" t="s">
        <v>187</v>
      </c>
      <c r="F56" s="119" t="s">
        <v>188</v>
      </c>
      <c r="G56" s="120" t="s">
        <v>189</v>
      </c>
      <c r="H56" s="172" t="s">
        <v>156</v>
      </c>
      <c r="I56" s="173" t="s">
        <v>157</v>
      </c>
      <c r="J56" s="123">
        <v>59488.0</v>
      </c>
      <c r="K56" s="123">
        <f t="shared" si="12"/>
        <v>49989.91597</v>
      </c>
      <c r="L56" s="123">
        <f t="shared" si="13"/>
        <v>9498.084034</v>
      </c>
      <c r="M56" s="123">
        <f t="shared" si="19"/>
        <v>35692.8</v>
      </c>
      <c r="N56" s="123">
        <f t="shared" si="15"/>
        <v>95180.8</v>
      </c>
      <c r="O56" s="124">
        <v>1.0</v>
      </c>
      <c r="P56" s="125">
        <f t="shared" si="18"/>
        <v>95180.8</v>
      </c>
      <c r="Q56" s="126">
        <f t="shared" si="17"/>
        <v>59488</v>
      </c>
    </row>
    <row r="57" ht="22.5" customHeight="1">
      <c r="E57" s="118" t="s">
        <v>190</v>
      </c>
      <c r="F57" s="130" t="s">
        <v>191</v>
      </c>
      <c r="G57" s="131" t="s">
        <v>192</v>
      </c>
      <c r="H57" s="182" t="s">
        <v>159</v>
      </c>
      <c r="I57" s="183" t="s">
        <v>157</v>
      </c>
      <c r="J57" s="134">
        <v>8913.0</v>
      </c>
      <c r="K57" s="134">
        <f t="shared" si="12"/>
        <v>7489.915966</v>
      </c>
      <c r="L57" s="134">
        <f t="shared" si="13"/>
        <v>1423.084034</v>
      </c>
      <c r="M57" s="134">
        <f>J57*0.9</f>
        <v>8021.7</v>
      </c>
      <c r="N57" s="134">
        <f t="shared" si="15"/>
        <v>16934.7</v>
      </c>
      <c r="O57" s="135">
        <v>1.0</v>
      </c>
      <c r="P57" s="136">
        <f t="shared" si="18"/>
        <v>16934.7</v>
      </c>
      <c r="Q57" s="137">
        <f t="shared" si="17"/>
        <v>10584.1875</v>
      </c>
    </row>
    <row r="58" ht="22.5" customHeight="1">
      <c r="E58" s="118" t="s">
        <v>190</v>
      </c>
      <c r="F58" s="119" t="s">
        <v>191</v>
      </c>
      <c r="G58" s="120" t="s">
        <v>192</v>
      </c>
      <c r="H58" s="172" t="s">
        <v>156</v>
      </c>
      <c r="I58" s="173" t="s">
        <v>157</v>
      </c>
      <c r="J58" s="123">
        <v>8913.0</v>
      </c>
      <c r="K58" s="123">
        <f t="shared" si="12"/>
        <v>7489.915966</v>
      </c>
      <c r="L58" s="123">
        <f t="shared" si="13"/>
        <v>1423.084034</v>
      </c>
      <c r="M58" s="123">
        <f>J58*0.6</f>
        <v>5347.8</v>
      </c>
      <c r="N58" s="123">
        <f t="shared" si="15"/>
        <v>14260.8</v>
      </c>
      <c r="O58" s="124">
        <v>1.0</v>
      </c>
      <c r="P58" s="125">
        <f t="shared" si="18"/>
        <v>14260.8</v>
      </c>
      <c r="Q58" s="126">
        <f t="shared" si="17"/>
        <v>8913</v>
      </c>
    </row>
    <row r="59" ht="22.5" customHeight="1">
      <c r="E59" s="118" t="s">
        <v>193</v>
      </c>
      <c r="F59" s="130" t="s">
        <v>194</v>
      </c>
      <c r="G59" s="131" t="s">
        <v>195</v>
      </c>
      <c r="H59" s="195" t="s">
        <v>156</v>
      </c>
      <c r="I59" s="183" t="s">
        <v>157</v>
      </c>
      <c r="J59" s="134">
        <v>80920.0</v>
      </c>
      <c r="K59" s="134">
        <f t="shared" si="12"/>
        <v>68000</v>
      </c>
      <c r="L59" s="134">
        <f t="shared" si="13"/>
        <v>12920</v>
      </c>
      <c r="M59" s="134">
        <f>J59*200%</f>
        <v>161840</v>
      </c>
      <c r="N59" s="134">
        <f t="shared" si="15"/>
        <v>242760</v>
      </c>
      <c r="O59" s="135">
        <v>1.0</v>
      </c>
      <c r="P59" s="136">
        <f t="shared" si="18"/>
        <v>242760</v>
      </c>
      <c r="Q59" s="137">
        <f t="shared" si="17"/>
        <v>151725</v>
      </c>
    </row>
    <row r="60" ht="22.5" customHeight="1">
      <c r="E60" s="118" t="s">
        <v>196</v>
      </c>
      <c r="F60" s="119" t="s">
        <v>197</v>
      </c>
      <c r="G60" s="120" t="s">
        <v>198</v>
      </c>
      <c r="H60" s="196" t="s">
        <v>159</v>
      </c>
      <c r="I60" s="173" t="s">
        <v>157</v>
      </c>
      <c r="J60" s="123">
        <v>32118.0</v>
      </c>
      <c r="K60" s="123">
        <f t="shared" si="12"/>
        <v>26989.91597</v>
      </c>
      <c r="L60" s="123">
        <f t="shared" si="13"/>
        <v>5128.084034</v>
      </c>
      <c r="M60" s="123">
        <f t="shared" ref="M60:M62" si="20">J60*0.6</f>
        <v>19270.8</v>
      </c>
      <c r="N60" s="123">
        <f t="shared" si="15"/>
        <v>51388.8</v>
      </c>
      <c r="O60" s="124">
        <v>1.0</v>
      </c>
      <c r="P60" s="125">
        <f t="shared" si="18"/>
        <v>51388.8</v>
      </c>
      <c r="Q60" s="126">
        <f t="shared" si="17"/>
        <v>32118</v>
      </c>
    </row>
    <row r="61" ht="22.5" customHeight="1">
      <c r="E61" s="118" t="s">
        <v>199</v>
      </c>
      <c r="F61" s="130" t="s">
        <v>197</v>
      </c>
      <c r="G61" s="131" t="s">
        <v>198</v>
      </c>
      <c r="H61" s="195" t="s">
        <v>156</v>
      </c>
      <c r="I61" s="183" t="s">
        <v>157</v>
      </c>
      <c r="J61" s="134">
        <v>56680.0</v>
      </c>
      <c r="K61" s="134">
        <f t="shared" si="12"/>
        <v>47630.2521</v>
      </c>
      <c r="L61" s="134">
        <f t="shared" si="13"/>
        <v>9049.747899</v>
      </c>
      <c r="M61" s="134">
        <f t="shared" si="20"/>
        <v>34008</v>
      </c>
      <c r="N61" s="134">
        <f t="shared" si="15"/>
        <v>90688</v>
      </c>
      <c r="O61" s="135">
        <v>1.0</v>
      </c>
      <c r="P61" s="136">
        <f t="shared" si="18"/>
        <v>90688</v>
      </c>
      <c r="Q61" s="137">
        <f t="shared" si="17"/>
        <v>56680</v>
      </c>
    </row>
    <row r="62" ht="22.5" customHeight="1">
      <c r="E62" s="118" t="s">
        <v>200</v>
      </c>
      <c r="F62" s="119" t="s">
        <v>201</v>
      </c>
      <c r="G62" s="120" t="s">
        <v>202</v>
      </c>
      <c r="H62" s="197" t="s">
        <v>174</v>
      </c>
      <c r="I62" s="173" t="s">
        <v>157</v>
      </c>
      <c r="J62" s="123">
        <v>16699.0</v>
      </c>
      <c r="K62" s="123">
        <f t="shared" si="12"/>
        <v>14032.77311</v>
      </c>
      <c r="L62" s="123">
        <f t="shared" si="13"/>
        <v>2666.226891</v>
      </c>
      <c r="M62" s="123">
        <f t="shared" si="20"/>
        <v>10019.4</v>
      </c>
      <c r="N62" s="123">
        <f t="shared" si="15"/>
        <v>26718.4</v>
      </c>
      <c r="O62" s="124">
        <v>1.0</v>
      </c>
      <c r="P62" s="125">
        <f t="shared" si="18"/>
        <v>26718.4</v>
      </c>
      <c r="Q62" s="126">
        <f t="shared" si="17"/>
        <v>16699</v>
      </c>
    </row>
    <row r="63" ht="22.5" customHeight="1">
      <c r="E63" s="118" t="s">
        <v>203</v>
      </c>
      <c r="F63" s="130" t="s">
        <v>204</v>
      </c>
      <c r="G63" s="131" t="s">
        <v>205</v>
      </c>
      <c r="H63" s="198" t="s">
        <v>174</v>
      </c>
      <c r="I63" s="183" t="s">
        <v>157</v>
      </c>
      <c r="J63" s="134">
        <v>5788.0</v>
      </c>
      <c r="K63" s="134">
        <f t="shared" si="12"/>
        <v>4863.865546</v>
      </c>
      <c r="L63" s="134">
        <f t="shared" si="13"/>
        <v>924.1344538</v>
      </c>
      <c r="M63" s="134">
        <f t="shared" ref="M63:M68" si="21">J63*1.1</f>
        <v>6366.8</v>
      </c>
      <c r="N63" s="134">
        <f t="shared" si="15"/>
        <v>12154.8</v>
      </c>
      <c r="O63" s="135">
        <v>1.0</v>
      </c>
      <c r="P63" s="136">
        <f t="shared" si="18"/>
        <v>12154.8</v>
      </c>
      <c r="Q63" s="137">
        <f t="shared" si="17"/>
        <v>7596.75</v>
      </c>
    </row>
    <row r="64" ht="22.5" customHeight="1">
      <c r="E64" s="118" t="s">
        <v>203</v>
      </c>
      <c r="F64" s="119" t="s">
        <v>204</v>
      </c>
      <c r="G64" s="120" t="s">
        <v>205</v>
      </c>
      <c r="H64" s="199" t="s">
        <v>177</v>
      </c>
      <c r="I64" s="173" t="s">
        <v>157</v>
      </c>
      <c r="J64" s="123">
        <v>4111.0</v>
      </c>
      <c r="K64" s="123">
        <f t="shared" si="12"/>
        <v>3454.621849</v>
      </c>
      <c r="L64" s="123">
        <f t="shared" si="13"/>
        <v>656.3781513</v>
      </c>
      <c r="M64" s="123">
        <f t="shared" si="21"/>
        <v>4522.1</v>
      </c>
      <c r="N64" s="123">
        <f t="shared" si="15"/>
        <v>8633.1</v>
      </c>
      <c r="O64" s="124">
        <v>1.0</v>
      </c>
      <c r="P64" s="125">
        <f t="shared" si="18"/>
        <v>8633.1</v>
      </c>
      <c r="Q64" s="126">
        <f t="shared" si="17"/>
        <v>5395.6875</v>
      </c>
    </row>
    <row r="65" ht="22.5" customHeight="1">
      <c r="E65" s="118" t="s">
        <v>206</v>
      </c>
      <c r="F65" s="130" t="s">
        <v>204</v>
      </c>
      <c r="G65" s="131" t="s">
        <v>207</v>
      </c>
      <c r="H65" s="200" t="s">
        <v>177</v>
      </c>
      <c r="I65" s="183" t="s">
        <v>157</v>
      </c>
      <c r="J65" s="134">
        <v>9217.0</v>
      </c>
      <c r="K65" s="134">
        <f t="shared" si="12"/>
        <v>7745.378151</v>
      </c>
      <c r="L65" s="134">
        <f t="shared" si="13"/>
        <v>1471.621849</v>
      </c>
      <c r="M65" s="134">
        <f t="shared" si="21"/>
        <v>10138.7</v>
      </c>
      <c r="N65" s="134">
        <f t="shared" si="15"/>
        <v>19355.7</v>
      </c>
      <c r="O65" s="135">
        <v>1.0</v>
      </c>
      <c r="P65" s="136">
        <f t="shared" si="18"/>
        <v>19355.7</v>
      </c>
      <c r="Q65" s="137">
        <f t="shared" si="17"/>
        <v>12097.3125</v>
      </c>
    </row>
    <row r="66" ht="22.5" customHeight="1">
      <c r="E66" s="118" t="s">
        <v>208</v>
      </c>
      <c r="F66" s="201" t="s">
        <v>209</v>
      </c>
      <c r="G66" s="202" t="s">
        <v>210</v>
      </c>
      <c r="H66" s="203" t="s">
        <v>185</v>
      </c>
      <c r="I66" s="183" t="s">
        <v>157</v>
      </c>
      <c r="J66" s="204">
        <v>50000.0</v>
      </c>
      <c r="K66" s="205">
        <f t="shared" si="12"/>
        <v>42016.80672</v>
      </c>
      <c r="L66" s="205">
        <f t="shared" si="13"/>
        <v>7983.193277</v>
      </c>
      <c r="M66" s="205">
        <f t="shared" si="21"/>
        <v>55000</v>
      </c>
      <c r="N66" s="205">
        <f t="shared" si="15"/>
        <v>105000</v>
      </c>
      <c r="O66" s="206">
        <v>1.0</v>
      </c>
      <c r="P66" s="207">
        <f t="shared" si="18"/>
        <v>105000</v>
      </c>
      <c r="Q66" s="208">
        <f t="shared" si="17"/>
        <v>65625</v>
      </c>
    </row>
    <row r="67" ht="22.5" customHeight="1">
      <c r="E67" s="118" t="s">
        <v>211</v>
      </c>
      <c r="F67" s="119" t="s">
        <v>212</v>
      </c>
      <c r="G67" s="120" t="s">
        <v>213</v>
      </c>
      <c r="H67" s="197" t="s">
        <v>174</v>
      </c>
      <c r="I67" s="173" t="s">
        <v>157</v>
      </c>
      <c r="J67" s="123">
        <v>12245.0</v>
      </c>
      <c r="K67" s="123">
        <f t="shared" si="12"/>
        <v>10289.91597</v>
      </c>
      <c r="L67" s="123">
        <f t="shared" si="13"/>
        <v>1955.084034</v>
      </c>
      <c r="M67" s="123">
        <f t="shared" si="21"/>
        <v>13469.5</v>
      </c>
      <c r="N67" s="123">
        <f t="shared" si="15"/>
        <v>25714.5</v>
      </c>
      <c r="O67" s="124">
        <v>1.0</v>
      </c>
      <c r="P67" s="125">
        <f t="shared" si="18"/>
        <v>25714.5</v>
      </c>
      <c r="Q67" s="126">
        <f t="shared" si="17"/>
        <v>16071.5625</v>
      </c>
    </row>
    <row r="68" ht="22.5" customHeight="1">
      <c r="E68" s="118" t="s">
        <v>211</v>
      </c>
      <c r="F68" s="209" t="s">
        <v>212</v>
      </c>
      <c r="G68" s="210" t="s">
        <v>213</v>
      </c>
      <c r="H68" s="211" t="s">
        <v>177</v>
      </c>
      <c r="I68" s="212" t="s">
        <v>157</v>
      </c>
      <c r="J68" s="213">
        <v>19987.0</v>
      </c>
      <c r="K68" s="213">
        <f t="shared" si="12"/>
        <v>16795.79832</v>
      </c>
      <c r="L68" s="213">
        <f t="shared" si="13"/>
        <v>3191.201681</v>
      </c>
      <c r="M68" s="213">
        <f t="shared" si="21"/>
        <v>21985.7</v>
      </c>
      <c r="N68" s="213">
        <f t="shared" si="15"/>
        <v>41972.7</v>
      </c>
      <c r="O68" s="214">
        <v>1.0</v>
      </c>
      <c r="P68" s="215">
        <f t="shared" si="18"/>
        <v>41972.7</v>
      </c>
      <c r="Q68" s="216">
        <f t="shared" si="17"/>
        <v>26232.9375</v>
      </c>
    </row>
    <row r="69"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</row>
    <row r="70">
      <c r="F70" s="110" t="s">
        <v>214</v>
      </c>
      <c r="J70" s="111"/>
      <c r="K70" s="111"/>
      <c r="L70" s="111"/>
      <c r="M70" s="111"/>
      <c r="N70" s="111"/>
      <c r="O70" s="111"/>
      <c r="P70" s="111"/>
      <c r="Q70" s="111"/>
    </row>
    <row r="71" ht="22.5" customHeight="1">
      <c r="E71" s="171" t="s">
        <v>40</v>
      </c>
      <c r="F71" s="115" t="s">
        <v>151</v>
      </c>
      <c r="G71" s="115" t="s">
        <v>42</v>
      </c>
      <c r="H71" s="115" t="s">
        <v>43</v>
      </c>
      <c r="I71" s="115" t="s">
        <v>44</v>
      </c>
      <c r="J71" s="115" t="s">
        <v>45</v>
      </c>
      <c r="K71" s="116" t="s">
        <v>46</v>
      </c>
      <c r="L71" s="116" t="s">
        <v>47</v>
      </c>
      <c r="M71" s="116" t="s">
        <v>48</v>
      </c>
      <c r="N71" s="116" t="s">
        <v>49</v>
      </c>
      <c r="O71" s="116" t="s">
        <v>50</v>
      </c>
      <c r="P71" s="117" t="s">
        <v>22</v>
      </c>
      <c r="Q71" s="117" t="s">
        <v>51</v>
      </c>
    </row>
    <row r="72" ht="22.5" customHeight="1">
      <c r="E72" s="118" t="s">
        <v>215</v>
      </c>
      <c r="F72" s="119" t="s">
        <v>216</v>
      </c>
      <c r="G72" s="217" t="s">
        <v>217</v>
      </c>
      <c r="H72" s="121" t="s">
        <v>55</v>
      </c>
      <c r="I72" s="122" t="s">
        <v>103</v>
      </c>
      <c r="J72" s="123">
        <v>25163.0</v>
      </c>
      <c r="K72" s="123">
        <f t="shared" ref="K72:K79" si="22">J72/1.19</f>
        <v>21145.37815</v>
      </c>
      <c r="L72" s="123">
        <f t="shared" ref="L72:L79" si="23">J72-K72</f>
        <v>4017.621849</v>
      </c>
      <c r="M72" s="123">
        <f>J72*1.9</f>
        <v>47809.7</v>
      </c>
      <c r="N72" s="123">
        <f t="shared" ref="N72:N79" si="24">J72+M72</f>
        <v>72972.7</v>
      </c>
      <c r="O72" s="124">
        <v>1.0</v>
      </c>
      <c r="P72" s="125">
        <f t="shared" ref="P72:P74" si="25">N72</f>
        <v>72972.7</v>
      </c>
      <c r="Q72" s="126">
        <f t="shared" ref="Q72:Q79" si="26">P72/1.6</f>
        <v>45607.9375</v>
      </c>
    </row>
    <row r="73" ht="22.5" customHeight="1">
      <c r="E73" s="118" t="s">
        <v>218</v>
      </c>
      <c r="F73" s="130" t="s">
        <v>216</v>
      </c>
      <c r="G73" s="218" t="s">
        <v>219</v>
      </c>
      <c r="H73" s="147" t="s">
        <v>55</v>
      </c>
      <c r="I73" s="133" t="s">
        <v>56</v>
      </c>
      <c r="J73" s="134">
        <v>29738.0</v>
      </c>
      <c r="K73" s="134">
        <f t="shared" si="22"/>
        <v>24989.91597</v>
      </c>
      <c r="L73" s="134">
        <f t="shared" si="23"/>
        <v>4748.084034</v>
      </c>
      <c r="M73" s="134">
        <f>J73*1.6</f>
        <v>47580.8</v>
      </c>
      <c r="N73" s="134">
        <f t="shared" si="24"/>
        <v>77318.8</v>
      </c>
      <c r="O73" s="219"/>
      <c r="P73" s="136">
        <f t="shared" si="25"/>
        <v>77318.8</v>
      </c>
      <c r="Q73" s="137">
        <f t="shared" si="26"/>
        <v>48324.25</v>
      </c>
    </row>
    <row r="74" ht="22.5" customHeight="1">
      <c r="E74" s="118" t="s">
        <v>220</v>
      </c>
      <c r="F74" s="119" t="s">
        <v>221</v>
      </c>
      <c r="G74" s="186" t="s">
        <v>222</v>
      </c>
      <c r="H74" s="121" t="s">
        <v>55</v>
      </c>
      <c r="I74" s="122" t="s">
        <v>56</v>
      </c>
      <c r="J74" s="123">
        <v>20548.0</v>
      </c>
      <c r="K74" s="123">
        <f t="shared" si="22"/>
        <v>17267.22689</v>
      </c>
      <c r="L74" s="123">
        <f t="shared" si="23"/>
        <v>3280.773109</v>
      </c>
      <c r="M74" s="123">
        <f>J74*1.9</f>
        <v>39041.2</v>
      </c>
      <c r="N74" s="123">
        <f t="shared" si="24"/>
        <v>59589.2</v>
      </c>
      <c r="O74" s="124">
        <v>1.0</v>
      </c>
      <c r="P74" s="125">
        <f t="shared" si="25"/>
        <v>59589.2</v>
      </c>
      <c r="Q74" s="126">
        <f t="shared" si="26"/>
        <v>37243.25</v>
      </c>
    </row>
    <row r="75" ht="22.5" customHeight="1">
      <c r="E75" s="118" t="s">
        <v>223</v>
      </c>
      <c r="F75" s="130" t="s">
        <v>224</v>
      </c>
      <c r="G75" s="218" t="s">
        <v>225</v>
      </c>
      <c r="H75" s="220" t="s">
        <v>226</v>
      </c>
      <c r="I75" s="133" t="s">
        <v>103</v>
      </c>
      <c r="J75" s="134">
        <v>2960.0</v>
      </c>
      <c r="K75" s="134">
        <f t="shared" si="22"/>
        <v>2487.394958</v>
      </c>
      <c r="L75" s="134">
        <f t="shared" si="23"/>
        <v>472.605042</v>
      </c>
      <c r="M75" s="134">
        <f>J75*3</f>
        <v>8880</v>
      </c>
      <c r="N75" s="134">
        <f t="shared" si="24"/>
        <v>11840</v>
      </c>
      <c r="O75" s="135">
        <v>1.0</v>
      </c>
      <c r="P75" s="136">
        <f t="shared" ref="P75:P83" si="27">N75*O75</f>
        <v>11840</v>
      </c>
      <c r="Q75" s="137">
        <f t="shared" si="26"/>
        <v>7400</v>
      </c>
    </row>
    <row r="76" ht="22.5" customHeight="1">
      <c r="E76" s="118" t="s">
        <v>227</v>
      </c>
      <c r="F76" s="119" t="s">
        <v>228</v>
      </c>
      <c r="G76" s="217" t="s">
        <v>229</v>
      </c>
      <c r="H76" s="121" t="s">
        <v>55</v>
      </c>
      <c r="I76" s="122" t="s">
        <v>103</v>
      </c>
      <c r="J76" s="123">
        <v>8254.0</v>
      </c>
      <c r="K76" s="123">
        <f t="shared" si="22"/>
        <v>6936.134454</v>
      </c>
      <c r="L76" s="123">
        <f t="shared" si="23"/>
        <v>1317.865546</v>
      </c>
      <c r="M76" s="123">
        <f>J76*2</f>
        <v>16508</v>
      </c>
      <c r="N76" s="123">
        <f t="shared" si="24"/>
        <v>24762</v>
      </c>
      <c r="O76" s="124">
        <v>1.0</v>
      </c>
      <c r="P76" s="125">
        <f t="shared" si="27"/>
        <v>24762</v>
      </c>
      <c r="Q76" s="126">
        <f t="shared" si="26"/>
        <v>15476.25</v>
      </c>
    </row>
    <row r="77" ht="22.5" customHeight="1">
      <c r="E77" s="118" t="s">
        <v>230</v>
      </c>
      <c r="F77" s="130" t="s">
        <v>231</v>
      </c>
      <c r="G77" s="218" t="s">
        <v>232</v>
      </c>
      <c r="H77" s="221" t="s">
        <v>55</v>
      </c>
      <c r="I77" s="153" t="s">
        <v>103</v>
      </c>
      <c r="J77" s="134">
        <v>57369.0</v>
      </c>
      <c r="K77" s="134">
        <f t="shared" si="22"/>
        <v>48209.2437</v>
      </c>
      <c r="L77" s="134">
        <f t="shared" si="23"/>
        <v>9159.756303</v>
      </c>
      <c r="M77" s="134">
        <f t="shared" ref="M77:M80" si="28">J77*1.5</f>
        <v>86053.5</v>
      </c>
      <c r="N77" s="134">
        <f t="shared" si="24"/>
        <v>143422.5</v>
      </c>
      <c r="O77" s="135">
        <v>1.0</v>
      </c>
      <c r="P77" s="136">
        <f t="shared" si="27"/>
        <v>143422.5</v>
      </c>
      <c r="Q77" s="137">
        <f t="shared" si="26"/>
        <v>89639.0625</v>
      </c>
    </row>
    <row r="78" ht="22.5" customHeight="1">
      <c r="E78" s="118" t="s">
        <v>233</v>
      </c>
      <c r="F78" s="119" t="s">
        <v>231</v>
      </c>
      <c r="G78" s="217" t="s">
        <v>234</v>
      </c>
      <c r="H78" s="222" t="s">
        <v>55</v>
      </c>
      <c r="I78" s="223" t="s">
        <v>56</v>
      </c>
      <c r="J78" s="123">
        <v>48698.0</v>
      </c>
      <c r="K78" s="123">
        <f t="shared" si="22"/>
        <v>40922.68908</v>
      </c>
      <c r="L78" s="123">
        <f t="shared" si="23"/>
        <v>7775.310924</v>
      </c>
      <c r="M78" s="123">
        <f t="shared" si="28"/>
        <v>73047</v>
      </c>
      <c r="N78" s="123">
        <f t="shared" si="24"/>
        <v>121745</v>
      </c>
      <c r="O78" s="124">
        <v>1.0</v>
      </c>
      <c r="P78" s="125">
        <f t="shared" si="27"/>
        <v>121745</v>
      </c>
      <c r="Q78" s="126">
        <f t="shared" si="26"/>
        <v>76090.625</v>
      </c>
    </row>
    <row r="79" ht="22.5" customHeight="1">
      <c r="E79" s="118" t="s">
        <v>235</v>
      </c>
      <c r="F79" s="119" t="s">
        <v>236</v>
      </c>
      <c r="G79" s="217" t="s">
        <v>237</v>
      </c>
      <c r="H79" s="222" t="s">
        <v>182</v>
      </c>
      <c r="I79" s="223" t="s">
        <v>103</v>
      </c>
      <c r="J79" s="123">
        <v>60000.0</v>
      </c>
      <c r="K79" s="123">
        <f t="shared" si="22"/>
        <v>50420.16807</v>
      </c>
      <c r="L79" s="123">
        <f t="shared" si="23"/>
        <v>9579.831933</v>
      </c>
      <c r="M79" s="123">
        <f t="shared" si="28"/>
        <v>90000</v>
      </c>
      <c r="N79" s="123">
        <f t="shared" si="24"/>
        <v>150000</v>
      </c>
      <c r="O79" s="124">
        <v>1.0</v>
      </c>
      <c r="P79" s="125">
        <f t="shared" si="27"/>
        <v>150000</v>
      </c>
      <c r="Q79" s="137">
        <f t="shared" si="26"/>
        <v>93750</v>
      </c>
    </row>
    <row r="80" ht="22.5" customHeight="1">
      <c r="E80" s="118" t="s">
        <v>238</v>
      </c>
      <c r="F80" s="224" t="s">
        <v>239</v>
      </c>
      <c r="G80" s="225" t="s">
        <v>240</v>
      </c>
      <c r="H80" s="226" t="s">
        <v>241</v>
      </c>
      <c r="I80" s="227" t="s">
        <v>157</v>
      </c>
      <c r="J80" s="193">
        <v>120000.0</v>
      </c>
      <c r="K80" s="178"/>
      <c r="L80" s="178"/>
      <c r="M80" s="178">
        <f t="shared" si="28"/>
        <v>180000</v>
      </c>
      <c r="N80" s="193">
        <f t="shared" ref="N80:N82" si="29">M80</f>
        <v>180000</v>
      </c>
      <c r="O80" s="228">
        <v>1.0</v>
      </c>
      <c r="P80" s="180">
        <f t="shared" si="27"/>
        <v>180000</v>
      </c>
      <c r="Q80" s="229">
        <f t="shared" ref="Q80:Q82" si="30">M80-J80</f>
        <v>60000</v>
      </c>
    </row>
    <row r="81" ht="22.5" customHeight="1">
      <c r="E81" s="118" t="s">
        <v>242</v>
      </c>
      <c r="F81" s="224" t="s">
        <v>239</v>
      </c>
      <c r="G81" s="225" t="s">
        <v>243</v>
      </c>
      <c r="H81" s="226" t="s">
        <v>241</v>
      </c>
      <c r="I81" s="227" t="s">
        <v>157</v>
      </c>
      <c r="J81" s="193">
        <v>170000.0</v>
      </c>
      <c r="K81" s="178"/>
      <c r="L81" s="178"/>
      <c r="M81" s="178">
        <f>J81*1.4</f>
        <v>238000</v>
      </c>
      <c r="N81" s="178">
        <f t="shared" si="29"/>
        <v>238000</v>
      </c>
      <c r="O81" s="228">
        <v>1.0</v>
      </c>
      <c r="P81" s="180">
        <f t="shared" si="27"/>
        <v>238000</v>
      </c>
      <c r="Q81" s="229">
        <f t="shared" si="30"/>
        <v>68000</v>
      </c>
    </row>
    <row r="82" ht="22.5" customHeight="1">
      <c r="E82" s="118" t="s">
        <v>244</v>
      </c>
      <c r="F82" s="224" t="s">
        <v>239</v>
      </c>
      <c r="G82" s="225" t="s">
        <v>245</v>
      </c>
      <c r="H82" s="226" t="s">
        <v>241</v>
      </c>
      <c r="I82" s="227" t="s">
        <v>157</v>
      </c>
      <c r="J82" s="193">
        <v>110000.0</v>
      </c>
      <c r="K82" s="178"/>
      <c r="L82" s="178"/>
      <c r="M82" s="178">
        <f>J82*1.5</f>
        <v>165000</v>
      </c>
      <c r="N82" s="178">
        <f t="shared" si="29"/>
        <v>165000</v>
      </c>
      <c r="O82" s="228">
        <v>1.0</v>
      </c>
      <c r="P82" s="180">
        <f t="shared" si="27"/>
        <v>165000</v>
      </c>
      <c r="Q82" s="229">
        <f t="shared" si="30"/>
        <v>55000</v>
      </c>
    </row>
    <row r="83" ht="22.5" customHeight="1">
      <c r="E83" s="118" t="s">
        <v>246</v>
      </c>
      <c r="F83" s="209" t="s">
        <v>247</v>
      </c>
      <c r="G83" s="230" t="s">
        <v>248</v>
      </c>
      <c r="H83" s="211" t="s">
        <v>186</v>
      </c>
      <c r="I83" s="231" t="s">
        <v>56</v>
      </c>
      <c r="J83" s="213">
        <v>56430.0</v>
      </c>
      <c r="K83" s="213">
        <f>J83/1.19</f>
        <v>47420.16807</v>
      </c>
      <c r="L83" s="213">
        <f>J83-K83</f>
        <v>9009.831933</v>
      </c>
      <c r="M83" s="213">
        <f>J83*0.8</f>
        <v>45144</v>
      </c>
      <c r="N83" s="213">
        <f>J83+M83</f>
        <v>101574</v>
      </c>
      <c r="O83" s="214">
        <v>1.0</v>
      </c>
      <c r="P83" s="215">
        <f t="shared" si="27"/>
        <v>101574</v>
      </c>
      <c r="Q83" s="216">
        <f>P83/1.6</f>
        <v>63483.75</v>
      </c>
    </row>
    <row r="84"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</row>
    <row r="85">
      <c r="F85" s="110" t="s">
        <v>249</v>
      </c>
      <c r="J85" s="111"/>
      <c r="K85" s="111"/>
      <c r="L85" s="111"/>
      <c r="M85" s="111"/>
      <c r="N85" s="111"/>
      <c r="O85" s="111"/>
      <c r="P85" s="111"/>
      <c r="Q85" s="111"/>
    </row>
    <row r="86" ht="22.5" customHeight="1">
      <c r="E86" s="171" t="s">
        <v>40</v>
      </c>
      <c r="F86" s="115" t="s">
        <v>151</v>
      </c>
      <c r="G86" s="115" t="s">
        <v>42</v>
      </c>
      <c r="H86" s="115" t="s">
        <v>43</v>
      </c>
      <c r="I86" s="115" t="s">
        <v>44</v>
      </c>
      <c r="J86" s="115" t="s">
        <v>45</v>
      </c>
      <c r="K86" s="116" t="s">
        <v>46</v>
      </c>
      <c r="L86" s="116" t="s">
        <v>47</v>
      </c>
      <c r="M86" s="116" t="s">
        <v>48</v>
      </c>
      <c r="N86" s="116" t="s">
        <v>49</v>
      </c>
      <c r="O86" s="116" t="s">
        <v>50</v>
      </c>
      <c r="P86" s="117" t="s">
        <v>22</v>
      </c>
      <c r="Q86" s="117" t="s">
        <v>51</v>
      </c>
    </row>
    <row r="87" ht="22.5" customHeight="1">
      <c r="E87" s="118" t="s">
        <v>250</v>
      </c>
      <c r="F87" s="119" t="s">
        <v>251</v>
      </c>
      <c r="G87" s="120" t="s">
        <v>252</v>
      </c>
      <c r="H87" s="232" t="s">
        <v>181</v>
      </c>
      <c r="I87" s="173" t="s">
        <v>157</v>
      </c>
      <c r="J87" s="233">
        <v>100000.0</v>
      </c>
      <c r="K87" s="123">
        <f t="shared" ref="K87:K96" si="31">J87/1.19</f>
        <v>84033.61345</v>
      </c>
      <c r="L87" s="123">
        <f t="shared" ref="L87:L96" si="32">J87-K87</f>
        <v>15966.38655</v>
      </c>
      <c r="M87" s="123">
        <f>J87*0.6</f>
        <v>60000</v>
      </c>
      <c r="N87" s="123">
        <f t="shared" ref="N87:N113" si="33">J87+M87</f>
        <v>160000</v>
      </c>
      <c r="O87" s="124">
        <v>1.0</v>
      </c>
      <c r="P87" s="125">
        <f t="shared" ref="P87:P113" si="34">N87*O87</f>
        <v>160000</v>
      </c>
      <c r="Q87" s="126">
        <f t="shared" ref="Q87:Q96" si="35">P87</f>
        <v>160000</v>
      </c>
    </row>
    <row r="88" ht="22.5" customHeight="1">
      <c r="E88" s="118" t="s">
        <v>253</v>
      </c>
      <c r="F88" s="119" t="s">
        <v>251</v>
      </c>
      <c r="G88" s="234" t="s">
        <v>254</v>
      </c>
      <c r="H88" s="235" t="s">
        <v>181</v>
      </c>
      <c r="I88" s="173" t="s">
        <v>157</v>
      </c>
      <c r="J88" s="236">
        <v>58012.0</v>
      </c>
      <c r="K88" s="178">
        <f t="shared" si="31"/>
        <v>48749.57983</v>
      </c>
      <c r="L88" s="178">
        <f t="shared" si="32"/>
        <v>9262.420168</v>
      </c>
      <c r="M88" s="178">
        <f t="shared" ref="M88:M89" si="36">J88*0</f>
        <v>0</v>
      </c>
      <c r="N88" s="178">
        <f t="shared" si="33"/>
        <v>58012</v>
      </c>
      <c r="O88" s="228">
        <v>1.0</v>
      </c>
      <c r="P88" s="180">
        <f t="shared" si="34"/>
        <v>58012</v>
      </c>
      <c r="Q88" s="181">
        <f t="shared" si="35"/>
        <v>58012</v>
      </c>
    </row>
    <row r="89" ht="22.5" customHeight="1">
      <c r="E89" s="118" t="s">
        <v>255</v>
      </c>
      <c r="F89" s="119" t="s">
        <v>251</v>
      </c>
      <c r="G89" s="234" t="s">
        <v>256</v>
      </c>
      <c r="H89" s="235" t="s">
        <v>181</v>
      </c>
      <c r="I89" s="173" t="s">
        <v>157</v>
      </c>
      <c r="J89" s="236">
        <v>47600.0</v>
      </c>
      <c r="K89" s="178">
        <f t="shared" si="31"/>
        <v>40000</v>
      </c>
      <c r="L89" s="178">
        <f t="shared" si="32"/>
        <v>7600</v>
      </c>
      <c r="M89" s="178">
        <f t="shared" si="36"/>
        <v>0</v>
      </c>
      <c r="N89" s="178">
        <f t="shared" si="33"/>
        <v>47600</v>
      </c>
      <c r="O89" s="228">
        <v>1.0</v>
      </c>
      <c r="P89" s="180">
        <f t="shared" si="34"/>
        <v>47600</v>
      </c>
      <c r="Q89" s="181">
        <f t="shared" si="35"/>
        <v>47600</v>
      </c>
    </row>
    <row r="90" ht="22.5" customHeight="1">
      <c r="E90" s="118" t="s">
        <v>257</v>
      </c>
      <c r="F90" s="130" t="s">
        <v>251</v>
      </c>
      <c r="G90" s="131" t="s">
        <v>258</v>
      </c>
      <c r="H90" s="237" t="s">
        <v>181</v>
      </c>
      <c r="I90" s="183" t="s">
        <v>157</v>
      </c>
      <c r="J90" s="238">
        <v>200000.0</v>
      </c>
      <c r="K90" s="134">
        <f t="shared" si="31"/>
        <v>168067.2269</v>
      </c>
      <c r="L90" s="134">
        <f t="shared" si="32"/>
        <v>31932.77311</v>
      </c>
      <c r="M90" s="134">
        <f t="shared" ref="M90:M93" si="37">J90*0.9</f>
        <v>180000</v>
      </c>
      <c r="N90" s="134">
        <f t="shared" si="33"/>
        <v>380000</v>
      </c>
      <c r="O90" s="135">
        <v>1.0</v>
      </c>
      <c r="P90" s="136">
        <f t="shared" si="34"/>
        <v>380000</v>
      </c>
      <c r="Q90" s="137">
        <f t="shared" si="35"/>
        <v>380000</v>
      </c>
    </row>
    <row r="91" ht="22.5" customHeight="1">
      <c r="E91" s="118" t="s">
        <v>259</v>
      </c>
      <c r="F91" s="119" t="s">
        <v>251</v>
      </c>
      <c r="G91" s="120" t="s">
        <v>260</v>
      </c>
      <c r="H91" s="232" t="s">
        <v>181</v>
      </c>
      <c r="I91" s="173" t="s">
        <v>157</v>
      </c>
      <c r="J91" s="233">
        <v>25000.0</v>
      </c>
      <c r="K91" s="123">
        <f t="shared" si="31"/>
        <v>21008.40336</v>
      </c>
      <c r="L91" s="123">
        <f t="shared" si="32"/>
        <v>3991.596639</v>
      </c>
      <c r="M91" s="123">
        <f t="shared" si="37"/>
        <v>22500</v>
      </c>
      <c r="N91" s="134">
        <f t="shared" si="33"/>
        <v>47500</v>
      </c>
      <c r="O91" s="124">
        <v>1.0</v>
      </c>
      <c r="P91" s="125">
        <f t="shared" si="34"/>
        <v>47500</v>
      </c>
      <c r="Q91" s="126">
        <f t="shared" si="35"/>
        <v>47500</v>
      </c>
    </row>
    <row r="92" ht="22.5" customHeight="1">
      <c r="E92" s="118" t="s">
        <v>261</v>
      </c>
      <c r="F92" s="130" t="s">
        <v>251</v>
      </c>
      <c r="G92" s="131" t="s">
        <v>262</v>
      </c>
      <c r="H92" s="237" t="s">
        <v>181</v>
      </c>
      <c r="I92" s="183" t="s">
        <v>157</v>
      </c>
      <c r="J92" s="239">
        <v>25000.0</v>
      </c>
      <c r="K92" s="134">
        <f t="shared" si="31"/>
        <v>21008.40336</v>
      </c>
      <c r="L92" s="134">
        <f t="shared" si="32"/>
        <v>3991.596639</v>
      </c>
      <c r="M92" s="134">
        <f t="shared" si="37"/>
        <v>22500</v>
      </c>
      <c r="N92" s="134">
        <f t="shared" si="33"/>
        <v>47500</v>
      </c>
      <c r="O92" s="135">
        <v>1.0</v>
      </c>
      <c r="P92" s="136">
        <f t="shared" si="34"/>
        <v>47500</v>
      </c>
      <c r="Q92" s="137">
        <f t="shared" si="35"/>
        <v>47500</v>
      </c>
    </row>
    <row r="93" ht="22.5" customHeight="1">
      <c r="E93" s="118" t="s">
        <v>263</v>
      </c>
      <c r="F93" s="119" t="s">
        <v>251</v>
      </c>
      <c r="G93" s="120" t="s">
        <v>264</v>
      </c>
      <c r="H93" s="232" t="s">
        <v>181</v>
      </c>
      <c r="I93" s="173" t="s">
        <v>157</v>
      </c>
      <c r="J93" s="233">
        <v>45000.0</v>
      </c>
      <c r="K93" s="123">
        <f t="shared" si="31"/>
        <v>37815.12605</v>
      </c>
      <c r="L93" s="123">
        <f t="shared" si="32"/>
        <v>7184.87395</v>
      </c>
      <c r="M93" s="123">
        <f t="shared" si="37"/>
        <v>40500</v>
      </c>
      <c r="N93" s="134">
        <f t="shared" si="33"/>
        <v>85500</v>
      </c>
      <c r="O93" s="124">
        <v>1.0</v>
      </c>
      <c r="P93" s="125">
        <f t="shared" si="34"/>
        <v>85500</v>
      </c>
      <c r="Q93" s="126">
        <f t="shared" si="35"/>
        <v>85500</v>
      </c>
    </row>
    <row r="94" ht="22.5" customHeight="1">
      <c r="E94" s="118" t="s">
        <v>265</v>
      </c>
      <c r="F94" s="130" t="s">
        <v>251</v>
      </c>
      <c r="G94" s="131" t="s">
        <v>266</v>
      </c>
      <c r="H94" s="237" t="s">
        <v>181</v>
      </c>
      <c r="I94" s="183" t="s">
        <v>157</v>
      </c>
      <c r="J94" s="239">
        <v>20000.0</v>
      </c>
      <c r="K94" s="134">
        <f t="shared" si="31"/>
        <v>16806.72269</v>
      </c>
      <c r="L94" s="134">
        <f t="shared" si="32"/>
        <v>3193.277311</v>
      </c>
      <c r="M94" s="134">
        <f>J94</f>
        <v>20000</v>
      </c>
      <c r="N94" s="134">
        <f t="shared" si="33"/>
        <v>40000</v>
      </c>
      <c r="O94" s="135">
        <v>1.0</v>
      </c>
      <c r="P94" s="136">
        <f t="shared" si="34"/>
        <v>40000</v>
      </c>
      <c r="Q94" s="137">
        <f t="shared" si="35"/>
        <v>40000</v>
      </c>
    </row>
    <row r="95" ht="22.5" customHeight="1">
      <c r="E95" s="118" t="s">
        <v>267</v>
      </c>
      <c r="F95" s="130" t="s">
        <v>251</v>
      </c>
      <c r="G95" s="190" t="s">
        <v>268</v>
      </c>
      <c r="H95" s="237" t="s">
        <v>181</v>
      </c>
      <c r="I95" s="183" t="s">
        <v>157</v>
      </c>
      <c r="J95" s="239">
        <v>100000.0</v>
      </c>
      <c r="K95" s="134">
        <f t="shared" si="31"/>
        <v>84033.61345</v>
      </c>
      <c r="L95" s="134">
        <f t="shared" si="32"/>
        <v>15966.38655</v>
      </c>
      <c r="M95" s="134">
        <f t="shared" ref="M95:M96" si="38">J95*100%</f>
        <v>100000</v>
      </c>
      <c r="N95" s="134">
        <f t="shared" si="33"/>
        <v>200000</v>
      </c>
      <c r="O95" s="135">
        <v>1.0</v>
      </c>
      <c r="P95" s="136">
        <f t="shared" si="34"/>
        <v>200000</v>
      </c>
      <c r="Q95" s="137">
        <f t="shared" si="35"/>
        <v>200000</v>
      </c>
    </row>
    <row r="96" ht="22.5" customHeight="1">
      <c r="E96" s="118" t="s">
        <v>269</v>
      </c>
      <c r="F96" s="130" t="s">
        <v>251</v>
      </c>
      <c r="G96" s="131" t="s">
        <v>270</v>
      </c>
      <c r="H96" s="237" t="s">
        <v>181</v>
      </c>
      <c r="I96" s="183" t="s">
        <v>157</v>
      </c>
      <c r="J96" s="239">
        <v>50000.0</v>
      </c>
      <c r="K96" s="134">
        <f t="shared" si="31"/>
        <v>42016.80672</v>
      </c>
      <c r="L96" s="134">
        <f t="shared" si="32"/>
        <v>7983.193277</v>
      </c>
      <c r="M96" s="134">
        <f t="shared" si="38"/>
        <v>50000</v>
      </c>
      <c r="N96" s="134">
        <f t="shared" si="33"/>
        <v>100000</v>
      </c>
      <c r="O96" s="135">
        <v>1.0</v>
      </c>
      <c r="P96" s="136">
        <f t="shared" si="34"/>
        <v>100000</v>
      </c>
      <c r="Q96" s="137">
        <f t="shared" si="35"/>
        <v>100000</v>
      </c>
    </row>
    <row r="97" ht="22.5" customHeight="1">
      <c r="E97" s="118" t="s">
        <v>271</v>
      </c>
      <c r="F97" s="240" t="s">
        <v>272</v>
      </c>
      <c r="G97" s="190" t="s">
        <v>273</v>
      </c>
      <c r="H97" s="241" t="s">
        <v>181</v>
      </c>
      <c r="I97" s="183" t="s">
        <v>157</v>
      </c>
      <c r="J97" s="238">
        <v>70000.0</v>
      </c>
      <c r="K97" s="134"/>
      <c r="L97" s="134"/>
      <c r="M97" s="134">
        <f>J97*0.4</f>
        <v>28000</v>
      </c>
      <c r="N97" s="134">
        <f t="shared" si="33"/>
        <v>98000</v>
      </c>
      <c r="O97" s="242">
        <v>1.0</v>
      </c>
      <c r="P97" s="136">
        <f t="shared" si="34"/>
        <v>98000</v>
      </c>
      <c r="Q97" s="137">
        <f>J97-M97</f>
        <v>42000</v>
      </c>
    </row>
    <row r="98" ht="22.5" customHeight="1">
      <c r="E98" s="118" t="s">
        <v>274</v>
      </c>
      <c r="F98" s="130" t="s">
        <v>251</v>
      </c>
      <c r="G98" s="131" t="s">
        <v>275</v>
      </c>
      <c r="H98" s="237" t="s">
        <v>181</v>
      </c>
      <c r="I98" s="183" t="s">
        <v>157</v>
      </c>
      <c r="J98" s="239">
        <v>238000.0</v>
      </c>
      <c r="K98" s="134">
        <f t="shared" ref="K98:K113" si="39">J98/1.19</f>
        <v>200000</v>
      </c>
      <c r="L98" s="134">
        <f t="shared" ref="L98:L113" si="40">J98-K98</f>
        <v>38000</v>
      </c>
      <c r="M98" s="134">
        <f t="shared" ref="M98:M99" si="41">K98*0.5</f>
        <v>100000</v>
      </c>
      <c r="N98" s="134">
        <f t="shared" si="33"/>
        <v>338000</v>
      </c>
      <c r="O98" s="135">
        <v>1.0</v>
      </c>
      <c r="P98" s="136">
        <f t="shared" si="34"/>
        <v>338000</v>
      </c>
      <c r="Q98" s="137">
        <f t="shared" ref="Q98:Q113" si="42">P98</f>
        <v>338000</v>
      </c>
    </row>
    <row r="99" ht="22.5" customHeight="1">
      <c r="E99" s="118" t="s">
        <v>276</v>
      </c>
      <c r="F99" s="130" t="s">
        <v>251</v>
      </c>
      <c r="G99" s="190" t="s">
        <v>277</v>
      </c>
      <c r="H99" s="241" t="s">
        <v>181</v>
      </c>
      <c r="I99" s="183" t="s">
        <v>157</v>
      </c>
      <c r="J99" s="239"/>
      <c r="K99" s="134">
        <f t="shared" si="39"/>
        <v>0</v>
      </c>
      <c r="L99" s="134">
        <f t="shared" si="40"/>
        <v>0</v>
      </c>
      <c r="M99" s="134">
        <f t="shared" si="41"/>
        <v>0</v>
      </c>
      <c r="N99" s="134">
        <f t="shared" si="33"/>
        <v>0</v>
      </c>
      <c r="O99" s="135"/>
      <c r="P99" s="136">
        <f t="shared" si="34"/>
        <v>0</v>
      </c>
      <c r="Q99" s="137">
        <f t="shared" si="42"/>
        <v>0</v>
      </c>
    </row>
    <row r="100" ht="22.5" customHeight="1">
      <c r="E100" s="118" t="s">
        <v>278</v>
      </c>
      <c r="F100" s="130" t="s">
        <v>251</v>
      </c>
      <c r="G100" s="131" t="s">
        <v>279</v>
      </c>
      <c r="H100" s="237" t="s">
        <v>181</v>
      </c>
      <c r="I100" s="183" t="s">
        <v>157</v>
      </c>
      <c r="J100" s="239">
        <v>119000.0</v>
      </c>
      <c r="K100" s="134">
        <f t="shared" si="39"/>
        <v>100000</v>
      </c>
      <c r="L100" s="134">
        <f t="shared" si="40"/>
        <v>19000</v>
      </c>
      <c r="M100" s="134">
        <f>K100*0.1</f>
        <v>10000</v>
      </c>
      <c r="N100" s="134">
        <f t="shared" si="33"/>
        <v>129000</v>
      </c>
      <c r="O100" s="135">
        <v>1.0</v>
      </c>
      <c r="P100" s="136">
        <f t="shared" si="34"/>
        <v>129000</v>
      </c>
      <c r="Q100" s="137">
        <f t="shared" si="42"/>
        <v>129000</v>
      </c>
    </row>
    <row r="101" ht="22.5" customHeight="1">
      <c r="E101" s="118" t="s">
        <v>280</v>
      </c>
      <c r="F101" s="130" t="s">
        <v>251</v>
      </c>
      <c r="G101" s="131" t="s">
        <v>281</v>
      </c>
      <c r="H101" s="237" t="s">
        <v>181</v>
      </c>
      <c r="I101" s="183" t="s">
        <v>157</v>
      </c>
      <c r="J101" s="239">
        <v>120000.0</v>
      </c>
      <c r="K101" s="134">
        <f t="shared" si="39"/>
        <v>100840.3361</v>
      </c>
      <c r="L101" s="134">
        <f t="shared" si="40"/>
        <v>19159.66387</v>
      </c>
      <c r="M101" s="134">
        <f t="shared" ref="M101:M110" si="43">K101*1.5</f>
        <v>151260.5042</v>
      </c>
      <c r="N101" s="134">
        <f t="shared" si="33"/>
        <v>271260.5042</v>
      </c>
      <c r="O101" s="135">
        <v>1.0</v>
      </c>
      <c r="P101" s="136">
        <f t="shared" si="34"/>
        <v>271260.5042</v>
      </c>
      <c r="Q101" s="137">
        <f t="shared" si="42"/>
        <v>271260.5042</v>
      </c>
    </row>
    <row r="102" ht="22.5" customHeight="1">
      <c r="E102" s="118" t="s">
        <v>282</v>
      </c>
      <c r="F102" s="240" t="s">
        <v>283</v>
      </c>
      <c r="G102" s="243" t="s">
        <v>284</v>
      </c>
      <c r="H102" s="244" t="s">
        <v>181</v>
      </c>
      <c r="I102" s="183" t="s">
        <v>157</v>
      </c>
      <c r="J102" s="245">
        <v>200000.0</v>
      </c>
      <c r="K102" s="246">
        <f t="shared" si="39"/>
        <v>168067.2269</v>
      </c>
      <c r="L102" s="246">
        <f t="shared" si="40"/>
        <v>31932.77311</v>
      </c>
      <c r="M102" s="246">
        <f t="shared" si="43"/>
        <v>252100.8403</v>
      </c>
      <c r="N102" s="246">
        <f t="shared" si="33"/>
        <v>452100.8403</v>
      </c>
      <c r="O102" s="247"/>
      <c r="P102" s="248">
        <f t="shared" si="34"/>
        <v>0</v>
      </c>
      <c r="Q102" s="229">
        <f t="shared" si="42"/>
        <v>0</v>
      </c>
    </row>
    <row r="103" ht="22.5" customHeight="1">
      <c r="E103" s="118" t="s">
        <v>285</v>
      </c>
      <c r="F103" s="240" t="s">
        <v>283</v>
      </c>
      <c r="G103" s="243" t="s">
        <v>286</v>
      </c>
      <c r="H103" s="244" t="s">
        <v>181</v>
      </c>
      <c r="I103" s="183" t="s">
        <v>157</v>
      </c>
      <c r="J103" s="245">
        <v>680000.0</v>
      </c>
      <c r="K103" s="246">
        <f t="shared" si="39"/>
        <v>571428.5714</v>
      </c>
      <c r="L103" s="246">
        <f t="shared" si="40"/>
        <v>108571.4286</v>
      </c>
      <c r="M103" s="246">
        <f t="shared" si="43"/>
        <v>857142.8571</v>
      </c>
      <c r="N103" s="246">
        <f t="shared" si="33"/>
        <v>1537142.857</v>
      </c>
      <c r="O103" s="247"/>
      <c r="P103" s="248">
        <f t="shared" si="34"/>
        <v>0</v>
      </c>
      <c r="Q103" s="229">
        <f t="shared" si="42"/>
        <v>0</v>
      </c>
    </row>
    <row r="104" ht="22.5" customHeight="1">
      <c r="E104" s="118" t="s">
        <v>287</v>
      </c>
      <c r="F104" s="240" t="s">
        <v>283</v>
      </c>
      <c r="G104" s="243" t="s">
        <v>288</v>
      </c>
      <c r="H104" s="244" t="s">
        <v>181</v>
      </c>
      <c r="I104" s="183" t="s">
        <v>157</v>
      </c>
      <c r="J104" s="245">
        <v>3334000.0</v>
      </c>
      <c r="K104" s="246">
        <f t="shared" si="39"/>
        <v>2801680.672</v>
      </c>
      <c r="L104" s="246">
        <f t="shared" si="40"/>
        <v>532319.3277</v>
      </c>
      <c r="M104" s="246">
        <f t="shared" si="43"/>
        <v>4202521.008</v>
      </c>
      <c r="N104" s="246">
        <f t="shared" si="33"/>
        <v>7536521.008</v>
      </c>
      <c r="O104" s="247"/>
      <c r="P104" s="248">
        <f t="shared" si="34"/>
        <v>0</v>
      </c>
      <c r="Q104" s="229">
        <f t="shared" si="42"/>
        <v>0</v>
      </c>
    </row>
    <row r="105" ht="22.5" customHeight="1">
      <c r="E105" s="118" t="s">
        <v>289</v>
      </c>
      <c r="F105" s="240" t="s">
        <v>283</v>
      </c>
      <c r="G105" s="243" t="s">
        <v>290</v>
      </c>
      <c r="H105" s="244" t="s">
        <v>181</v>
      </c>
      <c r="I105" s="183" t="s">
        <v>157</v>
      </c>
      <c r="J105" s="245">
        <v>1590000.0</v>
      </c>
      <c r="K105" s="246">
        <f t="shared" si="39"/>
        <v>1336134.454</v>
      </c>
      <c r="L105" s="246">
        <f t="shared" si="40"/>
        <v>253865.5462</v>
      </c>
      <c r="M105" s="246">
        <f t="shared" si="43"/>
        <v>2004201.681</v>
      </c>
      <c r="N105" s="246">
        <f t="shared" si="33"/>
        <v>3594201.681</v>
      </c>
      <c r="O105" s="247"/>
      <c r="P105" s="248">
        <f t="shared" si="34"/>
        <v>0</v>
      </c>
      <c r="Q105" s="229">
        <f t="shared" si="42"/>
        <v>0</v>
      </c>
    </row>
    <row r="106" ht="22.5" customHeight="1">
      <c r="E106" s="118" t="s">
        <v>291</v>
      </c>
      <c r="F106" s="240" t="s">
        <v>283</v>
      </c>
      <c r="G106" s="243" t="s">
        <v>292</v>
      </c>
      <c r="H106" s="244" t="s">
        <v>181</v>
      </c>
      <c r="I106" s="183" t="s">
        <v>157</v>
      </c>
      <c r="J106" s="245">
        <v>2665000.0</v>
      </c>
      <c r="K106" s="246">
        <f t="shared" si="39"/>
        <v>2239495.798</v>
      </c>
      <c r="L106" s="246">
        <f t="shared" si="40"/>
        <v>425504.2017</v>
      </c>
      <c r="M106" s="246">
        <f t="shared" si="43"/>
        <v>3359243.697</v>
      </c>
      <c r="N106" s="246">
        <f t="shared" si="33"/>
        <v>6024243.697</v>
      </c>
      <c r="O106" s="247"/>
      <c r="P106" s="248">
        <f t="shared" si="34"/>
        <v>0</v>
      </c>
      <c r="Q106" s="229">
        <f t="shared" si="42"/>
        <v>0</v>
      </c>
    </row>
    <row r="107" ht="22.5" customHeight="1">
      <c r="E107" s="118" t="s">
        <v>293</v>
      </c>
      <c r="F107" s="240" t="s">
        <v>283</v>
      </c>
      <c r="G107" s="243" t="s">
        <v>294</v>
      </c>
      <c r="H107" s="244" t="s">
        <v>181</v>
      </c>
      <c r="I107" s="183" t="s">
        <v>157</v>
      </c>
      <c r="J107" s="245">
        <v>2770800.0</v>
      </c>
      <c r="K107" s="246">
        <f t="shared" si="39"/>
        <v>2328403.361</v>
      </c>
      <c r="L107" s="246">
        <f t="shared" si="40"/>
        <v>442396.6387</v>
      </c>
      <c r="M107" s="246">
        <f t="shared" si="43"/>
        <v>3492605.042</v>
      </c>
      <c r="N107" s="246">
        <f t="shared" si="33"/>
        <v>6263405.042</v>
      </c>
      <c r="O107" s="247"/>
      <c r="P107" s="248">
        <f t="shared" si="34"/>
        <v>0</v>
      </c>
      <c r="Q107" s="229">
        <f t="shared" si="42"/>
        <v>0</v>
      </c>
    </row>
    <row r="108" ht="22.5" customHeight="1">
      <c r="E108" s="118" t="s">
        <v>295</v>
      </c>
      <c r="F108" s="240" t="s">
        <v>283</v>
      </c>
      <c r="G108" s="243" t="s">
        <v>296</v>
      </c>
      <c r="H108" s="244" t="s">
        <v>181</v>
      </c>
      <c r="I108" s="183" t="s">
        <v>157</v>
      </c>
      <c r="J108" s="245">
        <v>2530000.0</v>
      </c>
      <c r="K108" s="246">
        <f t="shared" si="39"/>
        <v>2126050.42</v>
      </c>
      <c r="L108" s="246">
        <f t="shared" si="40"/>
        <v>403949.5798</v>
      </c>
      <c r="M108" s="246">
        <f t="shared" si="43"/>
        <v>3189075.63</v>
      </c>
      <c r="N108" s="246">
        <f t="shared" si="33"/>
        <v>5719075.63</v>
      </c>
      <c r="O108" s="247"/>
      <c r="P108" s="248">
        <f t="shared" si="34"/>
        <v>0</v>
      </c>
      <c r="Q108" s="229">
        <f t="shared" si="42"/>
        <v>0</v>
      </c>
    </row>
    <row r="109" ht="22.5" customHeight="1">
      <c r="E109" s="118" t="s">
        <v>297</v>
      </c>
      <c r="F109" s="240" t="s">
        <v>283</v>
      </c>
      <c r="G109" s="243" t="s">
        <v>298</v>
      </c>
      <c r="H109" s="244" t="s">
        <v>181</v>
      </c>
      <c r="I109" s="183" t="s">
        <v>157</v>
      </c>
      <c r="J109" s="245">
        <v>1675000.0</v>
      </c>
      <c r="K109" s="246">
        <f t="shared" si="39"/>
        <v>1407563.025</v>
      </c>
      <c r="L109" s="246">
        <f t="shared" si="40"/>
        <v>267436.9748</v>
      </c>
      <c r="M109" s="246">
        <f t="shared" si="43"/>
        <v>2111344.538</v>
      </c>
      <c r="N109" s="246">
        <f t="shared" si="33"/>
        <v>3786344.538</v>
      </c>
      <c r="O109" s="247"/>
      <c r="P109" s="248">
        <f t="shared" si="34"/>
        <v>0</v>
      </c>
      <c r="Q109" s="229">
        <f t="shared" si="42"/>
        <v>0</v>
      </c>
    </row>
    <row r="110" ht="22.5" customHeight="1">
      <c r="E110" s="118" t="s">
        <v>299</v>
      </c>
      <c r="F110" s="240" t="s">
        <v>283</v>
      </c>
      <c r="G110" s="243" t="s">
        <v>300</v>
      </c>
      <c r="H110" s="244" t="s">
        <v>181</v>
      </c>
      <c r="I110" s="183" t="s">
        <v>157</v>
      </c>
      <c r="J110" s="245">
        <v>1595000.0</v>
      </c>
      <c r="K110" s="246">
        <f t="shared" si="39"/>
        <v>1340336.134</v>
      </c>
      <c r="L110" s="246">
        <f t="shared" si="40"/>
        <v>254663.8655</v>
      </c>
      <c r="M110" s="246">
        <f t="shared" si="43"/>
        <v>2010504.202</v>
      </c>
      <c r="N110" s="246">
        <f t="shared" si="33"/>
        <v>3605504.202</v>
      </c>
      <c r="O110" s="247"/>
      <c r="P110" s="248">
        <f t="shared" si="34"/>
        <v>0</v>
      </c>
      <c r="Q110" s="229">
        <f t="shared" si="42"/>
        <v>0</v>
      </c>
    </row>
    <row r="111" ht="22.5" customHeight="1">
      <c r="E111" s="118" t="s">
        <v>301</v>
      </c>
      <c r="F111" s="130" t="s">
        <v>251</v>
      </c>
      <c r="G111" s="243" t="s">
        <v>302</v>
      </c>
      <c r="H111" s="244" t="s">
        <v>181</v>
      </c>
      <c r="I111" s="183" t="s">
        <v>157</v>
      </c>
      <c r="J111" s="245">
        <v>80000.0</v>
      </c>
      <c r="K111" s="246">
        <f t="shared" si="39"/>
        <v>67226.89076</v>
      </c>
      <c r="L111" s="246">
        <f t="shared" si="40"/>
        <v>12773.10924</v>
      </c>
      <c r="M111" s="246">
        <f t="shared" ref="M111:M113" si="44">K111*0</f>
        <v>0</v>
      </c>
      <c r="N111" s="246">
        <f t="shared" si="33"/>
        <v>80000</v>
      </c>
      <c r="O111" s="249">
        <v>1.0</v>
      </c>
      <c r="P111" s="248">
        <f t="shared" si="34"/>
        <v>80000</v>
      </c>
      <c r="Q111" s="229">
        <f t="shared" si="42"/>
        <v>80000</v>
      </c>
    </row>
    <row r="112" ht="22.5" customHeight="1">
      <c r="E112" s="118" t="s">
        <v>303</v>
      </c>
      <c r="F112" s="130" t="s">
        <v>251</v>
      </c>
      <c r="G112" s="243" t="s">
        <v>304</v>
      </c>
      <c r="H112" s="244" t="s">
        <v>181</v>
      </c>
      <c r="I112" s="183" t="s">
        <v>157</v>
      </c>
      <c r="J112" s="245">
        <v>20000.0</v>
      </c>
      <c r="K112" s="246">
        <f t="shared" si="39"/>
        <v>16806.72269</v>
      </c>
      <c r="L112" s="246">
        <f t="shared" si="40"/>
        <v>3193.277311</v>
      </c>
      <c r="M112" s="246">
        <f t="shared" si="44"/>
        <v>0</v>
      </c>
      <c r="N112" s="246">
        <f t="shared" si="33"/>
        <v>20000</v>
      </c>
      <c r="O112" s="249"/>
      <c r="P112" s="248">
        <f t="shared" si="34"/>
        <v>0</v>
      </c>
      <c r="Q112" s="229">
        <f t="shared" si="42"/>
        <v>0</v>
      </c>
    </row>
    <row r="113" ht="22.5" customHeight="1">
      <c r="E113" s="118" t="s">
        <v>305</v>
      </c>
      <c r="F113" s="250" t="s">
        <v>272</v>
      </c>
      <c r="G113" s="251" t="s">
        <v>306</v>
      </c>
      <c r="H113" s="252" t="s">
        <v>307</v>
      </c>
      <c r="I113" s="212" t="s">
        <v>157</v>
      </c>
      <c r="J113" s="253">
        <v>9775850.0</v>
      </c>
      <c r="K113" s="213">
        <f t="shared" si="39"/>
        <v>8215000</v>
      </c>
      <c r="L113" s="213">
        <f t="shared" si="40"/>
        <v>1560850</v>
      </c>
      <c r="M113" s="213">
        <f t="shared" si="44"/>
        <v>0</v>
      </c>
      <c r="N113" s="213">
        <f t="shared" si="33"/>
        <v>9775850</v>
      </c>
      <c r="O113" s="254">
        <v>1.0</v>
      </c>
      <c r="P113" s="215">
        <f t="shared" si="34"/>
        <v>9775850</v>
      </c>
      <c r="Q113" s="216">
        <f t="shared" si="42"/>
        <v>9775850</v>
      </c>
    </row>
  </sheetData>
  <mergeCells count="6">
    <mergeCell ref="F3:I3"/>
    <mergeCell ref="A6:C6"/>
    <mergeCell ref="F37:I37"/>
    <mergeCell ref="A42:B42"/>
    <mergeCell ref="F70:I70"/>
    <mergeCell ref="F85:I85"/>
  </mergeCells>
  <dataValidations>
    <dataValidation type="list" allowBlank="1" showErrorMessage="1" sqref="A36:A40">
      <formula1>"0 a 30 días,33% inicial 33% a 30 días y 33% a 60 días,50 anticipo y 50 al finalizar,Al finalizar,Contado"</formula1>
    </dataValidation>
    <dataValidation type="list" allowBlank="1" sqref="H72:H83">
      <formula1>"Smart Secure,IAI Tech,Clickbox,ANTENASCHILE,Moreto clima,RW,APACOM,PRODALAM,ACENOR,Otro ,PowerInverter,SODIMAC,Claudio Quezada"</formula1>
    </dataValidation>
    <dataValidation type="list" allowBlank="1" sqref="H5:H35">
      <formula1>"Smart Secure,IAI Tech,Clickbox,ANTENASCHILE,Moreto clima"</formula1>
    </dataValidation>
    <dataValidation type="custom" allowBlank="1" showDropDown="1" sqref="J5:Q35 J39:Q68 J72:Q83 J87:Q113">
      <formula1>AND(ISNUMBER(J5),(NOT(OR(NOT(ISERROR(DATEVALUE(J5))), AND(ISNUMBER(J5), LEFT(CELL("format", J5))="D")))))</formula1>
    </dataValidation>
    <dataValidation type="list" allowBlank="1" sqref="H39:H68">
      <formula1>"Smart Secure,IAI Tech,Clickbox,ANTENASCHILE,Moreto clima,RW,APACOM,PRODALAM,ACENOR,Otro"</formula1>
    </dataValidation>
    <dataValidation type="list" allowBlank="1" sqref="H87:H113">
      <formula1>"Smart Secure,IAI Tech,Clickbox,ANTENASCHILE,Moreto clima,RW,APACOM,PRODALAM,ACENOR,Particular,PROYECTO "</formula1>
    </dataValidation>
  </dataValidations>
  <hyperlinks>
    <hyperlink r:id="rId1" ref="I5"/>
    <hyperlink r:id="rId2" ref="I6"/>
    <hyperlink r:id="rId3" ref="I7"/>
    <hyperlink r:id="rId4" ref="I8"/>
    <hyperlink r:id="rId5" ref="I9"/>
    <hyperlink r:id="rId6" ref="I10"/>
    <hyperlink r:id="rId7" ref="I11"/>
    <hyperlink r:id="rId8" ref="I12"/>
    <hyperlink r:id="rId9" ref="I13"/>
    <hyperlink r:id="rId10" ref="I14"/>
    <hyperlink r:id="rId11" ref="I15"/>
    <hyperlink r:id="rId12" ref="I16"/>
    <hyperlink r:id="rId13" ref="I17"/>
    <hyperlink r:id="rId14" ref="I18"/>
    <hyperlink r:id="rId15" location="polycard_client=search-nordic&amp;search_layout=stack&amp;position=2&amp;type=product&amp;tracking_id=44f8d5f9-a4d3-47f5-89de-802b4818e73b&amp;wid=MLC2521934210&amp;sid=search" ref="I19"/>
    <hyperlink r:id="rId16" ref="I20"/>
    <hyperlink r:id="rId17" ref="I21"/>
    <hyperlink r:id="rId18" ref="I22"/>
    <hyperlink r:id="rId19" ref="I23"/>
    <hyperlink r:id="rId20" ref="I24"/>
    <hyperlink r:id="rId21" ref="I25"/>
    <hyperlink r:id="rId22" ref="I26"/>
    <hyperlink r:id="rId23" ref="I27"/>
    <hyperlink r:id="rId24" ref="I28"/>
    <hyperlink r:id="rId25" ref="I29"/>
    <hyperlink r:id="rId26" ref="I30"/>
    <hyperlink r:id="rId27" ref="I31"/>
    <hyperlink r:id="rId28" ref="I32"/>
    <hyperlink r:id="rId29" ref="I33"/>
    <hyperlink r:id="rId30" ref="I34"/>
    <hyperlink r:id="rId31" ref="I35"/>
    <hyperlink r:id="rId32" ref="I72"/>
    <hyperlink r:id="rId33" ref="I73"/>
    <hyperlink r:id="rId34" ref="I74"/>
    <hyperlink r:id="rId35" ref="I75"/>
    <hyperlink r:id="rId36" ref="I76"/>
    <hyperlink r:id="rId37" ref="I77"/>
    <hyperlink r:id="rId38" ref="I78"/>
    <hyperlink r:id="rId39" ref="I79"/>
    <hyperlink r:id="rId40" ref="I83"/>
  </hyperlinks>
  <drawing r:id="rId41"/>
  <tableParts count="4">
    <tablePart r:id="rId46"/>
    <tablePart r:id="rId47"/>
    <tablePart r:id="rId48"/>
    <tablePart r:id="rId4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47.29"/>
    <col customWidth="1" min="3" max="3" width="43.0"/>
    <col customWidth="1" min="4" max="4" width="33.43"/>
    <col customWidth="1" min="5" max="5" width="17.43"/>
    <col customWidth="1" min="6" max="6" width="19.86"/>
    <col customWidth="1" min="7" max="7" width="25.43"/>
    <col customWidth="1" min="8" max="8" width="28.43"/>
    <col customWidth="1" min="9" max="9" width="43.0"/>
    <col customWidth="1" min="10" max="18" width="16.29"/>
    <col customWidth="1" min="19" max="26" width="17.57"/>
  </cols>
  <sheetData>
    <row r="1" ht="22.5" customHeight="1">
      <c r="A1" s="255" t="s">
        <v>308</v>
      </c>
      <c r="B1" s="151" t="s">
        <v>309</v>
      </c>
      <c r="C1" s="151" t="s">
        <v>310</v>
      </c>
      <c r="D1" s="151" t="s">
        <v>311</v>
      </c>
      <c r="E1" s="151" t="s">
        <v>312</v>
      </c>
      <c r="F1" s="151" t="s">
        <v>313</v>
      </c>
      <c r="G1" s="151" t="s">
        <v>314</v>
      </c>
      <c r="H1" s="151" t="s">
        <v>315</v>
      </c>
      <c r="I1" s="151" t="s">
        <v>316</v>
      </c>
      <c r="J1" s="171" t="s">
        <v>317</v>
      </c>
      <c r="K1" s="171" t="s">
        <v>318</v>
      </c>
      <c r="L1" s="171" t="s">
        <v>319</v>
      </c>
      <c r="M1" s="171" t="s">
        <v>320</v>
      </c>
      <c r="N1" s="171" t="s">
        <v>321</v>
      </c>
      <c r="O1" s="171" t="s">
        <v>322</v>
      </c>
      <c r="P1" s="171" t="s">
        <v>323</v>
      </c>
      <c r="Q1" s="171" t="s">
        <v>324</v>
      </c>
      <c r="R1" s="171" t="s">
        <v>325</v>
      </c>
      <c r="S1" s="171" t="s">
        <v>326</v>
      </c>
      <c r="T1" s="171" t="s">
        <v>327</v>
      </c>
      <c r="U1" s="171" t="s">
        <v>328</v>
      </c>
      <c r="V1" s="171" t="s">
        <v>329</v>
      </c>
      <c r="W1" s="171" t="s">
        <v>330</v>
      </c>
      <c r="X1" s="171" t="s">
        <v>331</v>
      </c>
      <c r="Y1" s="171" t="s">
        <v>332</v>
      </c>
      <c r="Z1" s="171" t="s">
        <v>333</v>
      </c>
    </row>
    <row r="2" ht="22.5" customHeight="1">
      <c r="A2" s="256" t="s">
        <v>334</v>
      </c>
      <c r="B2" s="118" t="s">
        <v>335</v>
      </c>
      <c r="C2" s="257" t="s">
        <v>336</v>
      </c>
      <c r="D2" s="257" t="s">
        <v>337</v>
      </c>
      <c r="E2" s="258" t="s">
        <v>337</v>
      </c>
      <c r="F2" s="258" t="s">
        <v>338</v>
      </c>
      <c r="G2" s="258" t="s">
        <v>339</v>
      </c>
      <c r="H2" s="258" t="s">
        <v>340</v>
      </c>
      <c r="I2" s="258" t="s">
        <v>341</v>
      </c>
    </row>
    <row r="3" ht="22.5" customHeight="1">
      <c r="A3" s="259" t="s">
        <v>342</v>
      </c>
      <c r="B3" s="118" t="s">
        <v>343</v>
      </c>
      <c r="C3" s="257" t="s">
        <v>344</v>
      </c>
      <c r="D3" s="257" t="s">
        <v>338</v>
      </c>
      <c r="E3" s="258" t="s">
        <v>338</v>
      </c>
      <c r="F3" s="258" t="s">
        <v>338</v>
      </c>
      <c r="G3" s="258" t="s">
        <v>345</v>
      </c>
      <c r="H3" s="258" t="s">
        <v>346</v>
      </c>
      <c r="I3" s="258" t="s">
        <v>347</v>
      </c>
    </row>
    <row r="4" ht="22.5" customHeight="1">
      <c r="A4" s="259" t="s">
        <v>348</v>
      </c>
      <c r="B4" s="257" t="s">
        <v>349</v>
      </c>
      <c r="C4" s="257" t="s">
        <v>350</v>
      </c>
      <c r="D4" s="257" t="s">
        <v>337</v>
      </c>
      <c r="E4" s="258" t="s">
        <v>337</v>
      </c>
      <c r="F4" s="258" t="s">
        <v>338</v>
      </c>
      <c r="G4" s="258" t="s">
        <v>351</v>
      </c>
      <c r="H4" s="258" t="s">
        <v>352</v>
      </c>
      <c r="I4" s="260" t="s">
        <v>353</v>
      </c>
    </row>
    <row r="5" ht="22.5" customHeight="1">
      <c r="A5" s="259" t="s">
        <v>354</v>
      </c>
      <c r="B5" s="257" t="s">
        <v>355</v>
      </c>
      <c r="C5" s="257" t="s">
        <v>356</v>
      </c>
      <c r="D5" s="257" t="s">
        <v>337</v>
      </c>
      <c r="E5" s="258" t="s">
        <v>337</v>
      </c>
      <c r="F5" s="258" t="s">
        <v>338</v>
      </c>
      <c r="G5" s="258" t="s">
        <v>351</v>
      </c>
      <c r="H5" s="258" t="s">
        <v>352</v>
      </c>
      <c r="I5" s="261" t="s">
        <v>353</v>
      </c>
    </row>
    <row r="6" ht="22.5" customHeight="1">
      <c r="A6" s="259" t="s">
        <v>357</v>
      </c>
      <c r="B6" s="257" t="s">
        <v>358</v>
      </c>
      <c r="C6" s="257" t="s">
        <v>359</v>
      </c>
      <c r="D6" s="257" t="s">
        <v>360</v>
      </c>
      <c r="E6" s="258" t="s">
        <v>361</v>
      </c>
      <c r="F6" s="258" t="s">
        <v>361</v>
      </c>
      <c r="G6" s="258" t="s">
        <v>362</v>
      </c>
      <c r="H6" s="258" t="s">
        <v>363</v>
      </c>
      <c r="I6" s="258" t="s">
        <v>364</v>
      </c>
    </row>
    <row r="7" ht="22.5" customHeight="1">
      <c r="A7" s="259" t="s">
        <v>365</v>
      </c>
      <c r="B7" s="257" t="s">
        <v>366</v>
      </c>
      <c r="C7" s="257" t="s">
        <v>367</v>
      </c>
      <c r="D7" s="257" t="s">
        <v>337</v>
      </c>
      <c r="E7" s="258" t="s">
        <v>337</v>
      </c>
      <c r="F7" s="258" t="s">
        <v>338</v>
      </c>
      <c r="G7" s="258" t="s">
        <v>368</v>
      </c>
      <c r="H7" s="258" t="s">
        <v>369</v>
      </c>
      <c r="I7" s="262" t="s">
        <v>370</v>
      </c>
    </row>
    <row r="8" ht="22.5" customHeight="1">
      <c r="A8" s="259" t="s">
        <v>371</v>
      </c>
      <c r="B8" s="118" t="s">
        <v>372</v>
      </c>
      <c r="C8" s="257" t="s">
        <v>373</v>
      </c>
      <c r="D8" s="257" t="s">
        <v>338</v>
      </c>
      <c r="E8" s="258" t="s">
        <v>338</v>
      </c>
      <c r="F8" s="258" t="s">
        <v>338</v>
      </c>
      <c r="G8" s="258" t="s">
        <v>374</v>
      </c>
      <c r="H8" s="263">
        <v>9.99847687E8</v>
      </c>
      <c r="I8" s="262" t="s">
        <v>375</v>
      </c>
    </row>
    <row r="9" ht="22.5" customHeight="1">
      <c r="A9" s="259" t="s">
        <v>376</v>
      </c>
      <c r="B9" s="118" t="s">
        <v>377</v>
      </c>
      <c r="C9" s="257" t="s">
        <v>378</v>
      </c>
      <c r="D9" s="257" t="s">
        <v>337</v>
      </c>
      <c r="E9" s="258" t="s">
        <v>337</v>
      </c>
      <c r="F9" s="258" t="s">
        <v>338</v>
      </c>
      <c r="G9" s="258" t="s">
        <v>379</v>
      </c>
      <c r="H9" s="258" t="s">
        <v>380</v>
      </c>
      <c r="I9" s="258" t="s">
        <v>364</v>
      </c>
    </row>
    <row r="10" ht="22.5" customHeight="1">
      <c r="A10" s="256" t="s">
        <v>381</v>
      </c>
      <c r="B10" s="257" t="s">
        <v>382</v>
      </c>
      <c r="C10" s="257" t="s">
        <v>383</v>
      </c>
      <c r="D10" s="257" t="s">
        <v>337</v>
      </c>
      <c r="E10" s="258" t="s">
        <v>337</v>
      </c>
      <c r="F10" s="258" t="s">
        <v>338</v>
      </c>
      <c r="G10" s="258" t="s">
        <v>384</v>
      </c>
      <c r="H10" s="151" t="s">
        <v>385</v>
      </c>
      <c r="I10" s="258" t="s">
        <v>364</v>
      </c>
    </row>
    <row r="11" ht="22.5" customHeight="1">
      <c r="A11" s="256" t="s">
        <v>386</v>
      </c>
      <c r="B11" s="118" t="s">
        <v>387</v>
      </c>
      <c r="C11" s="257" t="s">
        <v>388</v>
      </c>
      <c r="D11" s="257" t="s">
        <v>337</v>
      </c>
      <c r="E11" s="258" t="s">
        <v>337</v>
      </c>
      <c r="F11" s="258" t="s">
        <v>338</v>
      </c>
      <c r="G11" s="258" t="s">
        <v>389</v>
      </c>
      <c r="H11" s="258" t="s">
        <v>390</v>
      </c>
      <c r="I11" s="258" t="s">
        <v>364</v>
      </c>
    </row>
    <row r="12" ht="22.5" customHeight="1">
      <c r="A12" s="256" t="s">
        <v>391</v>
      </c>
      <c r="B12" s="257" t="s">
        <v>392</v>
      </c>
      <c r="C12" s="257" t="s">
        <v>393</v>
      </c>
      <c r="D12" s="257" t="s">
        <v>337</v>
      </c>
      <c r="E12" s="258" t="s">
        <v>337</v>
      </c>
      <c r="F12" s="258" t="s">
        <v>338</v>
      </c>
      <c r="G12" s="118" t="s">
        <v>384</v>
      </c>
      <c r="H12" s="151" t="s">
        <v>385</v>
      </c>
      <c r="I12" s="258" t="s">
        <v>364</v>
      </c>
    </row>
    <row r="13" ht="22.5" customHeight="1">
      <c r="A13" s="256" t="s">
        <v>394</v>
      </c>
      <c r="B13" s="257" t="s">
        <v>395</v>
      </c>
      <c r="C13" s="257" t="s">
        <v>396</v>
      </c>
      <c r="D13" s="257" t="s">
        <v>397</v>
      </c>
      <c r="E13" s="258" t="s">
        <v>361</v>
      </c>
      <c r="F13" s="258" t="s">
        <v>398</v>
      </c>
      <c r="G13" s="258" t="s">
        <v>399</v>
      </c>
      <c r="H13" s="258" t="s">
        <v>400</v>
      </c>
      <c r="I13" s="262" t="s">
        <v>401</v>
      </c>
    </row>
    <row r="14" ht="22.5" customHeight="1">
      <c r="A14" s="256" t="s">
        <v>402</v>
      </c>
      <c r="B14" s="257" t="s">
        <v>403</v>
      </c>
      <c r="C14" s="257" t="s">
        <v>404</v>
      </c>
      <c r="D14" s="257" t="s">
        <v>405</v>
      </c>
      <c r="E14" s="258" t="s">
        <v>361</v>
      </c>
      <c r="F14" s="258" t="s">
        <v>398</v>
      </c>
      <c r="G14" s="258" t="s">
        <v>406</v>
      </c>
      <c r="H14" s="258" t="s">
        <v>407</v>
      </c>
      <c r="I14" s="262" t="s">
        <v>408</v>
      </c>
    </row>
    <row r="15" ht="22.5" customHeight="1">
      <c r="A15" s="256" t="s">
        <v>409</v>
      </c>
      <c r="B15" s="257" t="s">
        <v>410</v>
      </c>
      <c r="C15" s="257" t="s">
        <v>411</v>
      </c>
      <c r="D15" s="257" t="s">
        <v>337</v>
      </c>
      <c r="E15" s="258" t="s">
        <v>337</v>
      </c>
      <c r="F15" s="258" t="s">
        <v>338</v>
      </c>
      <c r="G15" s="258" t="s">
        <v>412</v>
      </c>
      <c r="H15" s="258" t="s">
        <v>400</v>
      </c>
      <c r="I15" s="258" t="s">
        <v>364</v>
      </c>
    </row>
    <row r="16" ht="22.5" customHeight="1">
      <c r="A16" s="256" t="s">
        <v>413</v>
      </c>
      <c r="B16" s="257" t="s">
        <v>414</v>
      </c>
      <c r="C16" s="257" t="s">
        <v>415</v>
      </c>
      <c r="D16" s="257" t="s">
        <v>338</v>
      </c>
      <c r="E16" s="258" t="s">
        <v>337</v>
      </c>
      <c r="F16" s="258" t="s">
        <v>338</v>
      </c>
      <c r="G16" s="258" t="s">
        <v>389</v>
      </c>
      <c r="H16" s="258" t="s">
        <v>390</v>
      </c>
      <c r="I16" s="262" t="s">
        <v>416</v>
      </c>
    </row>
    <row r="17" ht="22.5" customHeight="1">
      <c r="A17" s="259" t="s">
        <v>417</v>
      </c>
      <c r="B17" s="257" t="s">
        <v>418</v>
      </c>
      <c r="C17" s="257" t="s">
        <v>419</v>
      </c>
      <c r="D17" s="257" t="s">
        <v>360</v>
      </c>
      <c r="E17" s="258" t="s">
        <v>361</v>
      </c>
      <c r="F17" s="258" t="s">
        <v>398</v>
      </c>
      <c r="G17" s="258" t="s">
        <v>420</v>
      </c>
      <c r="H17" s="258" t="s">
        <v>421</v>
      </c>
      <c r="I17" s="262" t="s">
        <v>422</v>
      </c>
    </row>
    <row r="18" ht="22.5" customHeight="1">
      <c r="A18" s="256" t="s">
        <v>423</v>
      </c>
      <c r="B18" s="257" t="s">
        <v>424</v>
      </c>
      <c r="C18" s="257" t="s">
        <v>425</v>
      </c>
      <c r="D18" s="257" t="s">
        <v>337</v>
      </c>
      <c r="E18" s="258" t="s">
        <v>337</v>
      </c>
      <c r="F18" s="258" t="s">
        <v>338</v>
      </c>
      <c r="G18" s="258" t="s">
        <v>426</v>
      </c>
      <c r="H18" s="258" t="s">
        <v>427</v>
      </c>
    </row>
    <row r="19" ht="31.5" customHeight="1">
      <c r="A19" s="256" t="s">
        <v>428</v>
      </c>
      <c r="B19" s="257" t="s">
        <v>429</v>
      </c>
      <c r="C19" s="257" t="s">
        <v>430</v>
      </c>
      <c r="D19" s="257" t="s">
        <v>337</v>
      </c>
      <c r="E19" s="258" t="s">
        <v>337</v>
      </c>
      <c r="F19" s="258" t="s">
        <v>338</v>
      </c>
      <c r="G19" s="258" t="s">
        <v>431</v>
      </c>
      <c r="H19" s="263">
        <v>9.4991187E8</v>
      </c>
      <c r="I19" s="262" t="s">
        <v>432</v>
      </c>
    </row>
    <row r="20" ht="22.5" customHeight="1">
      <c r="A20" s="256" t="s">
        <v>433</v>
      </c>
      <c r="B20" s="257" t="s">
        <v>434</v>
      </c>
      <c r="C20" s="257" t="s">
        <v>435</v>
      </c>
      <c r="D20" s="257" t="s">
        <v>337</v>
      </c>
      <c r="E20" s="258" t="s">
        <v>337</v>
      </c>
      <c r="F20" s="258" t="s">
        <v>338</v>
      </c>
      <c r="G20" s="258" t="s">
        <v>351</v>
      </c>
      <c r="H20" s="258" t="s">
        <v>352</v>
      </c>
      <c r="I20" s="262" t="s">
        <v>436</v>
      </c>
    </row>
    <row r="21" ht="22.5" customHeight="1">
      <c r="A21" s="259" t="s">
        <v>437</v>
      </c>
      <c r="B21" s="257" t="s">
        <v>438</v>
      </c>
      <c r="C21" s="257" t="s">
        <v>439</v>
      </c>
      <c r="D21" s="257" t="s">
        <v>337</v>
      </c>
      <c r="E21" s="258" t="s">
        <v>337</v>
      </c>
      <c r="F21" s="258" t="s">
        <v>338</v>
      </c>
      <c r="G21" s="258" t="s">
        <v>389</v>
      </c>
      <c r="H21" s="258" t="s">
        <v>390</v>
      </c>
    </row>
    <row r="22" ht="22.5" customHeight="1">
      <c r="A22" s="259" t="s">
        <v>440</v>
      </c>
      <c r="B22" s="257" t="s">
        <v>441</v>
      </c>
      <c r="C22" s="257" t="s">
        <v>442</v>
      </c>
      <c r="D22" s="257" t="s">
        <v>338</v>
      </c>
      <c r="E22" s="258" t="s">
        <v>338</v>
      </c>
      <c r="F22" s="258" t="s">
        <v>338</v>
      </c>
      <c r="G22" s="118" t="s">
        <v>443</v>
      </c>
      <c r="H22" s="258" t="s">
        <v>380</v>
      </c>
      <c r="I22" s="261"/>
    </row>
    <row r="23" ht="22.5" customHeight="1">
      <c r="A23" s="256" t="s">
        <v>444</v>
      </c>
      <c r="B23" s="118" t="s">
        <v>445</v>
      </c>
      <c r="C23" s="257" t="s">
        <v>446</v>
      </c>
      <c r="D23" s="257" t="s">
        <v>337</v>
      </c>
      <c r="E23" s="258" t="s">
        <v>337</v>
      </c>
      <c r="F23" s="258" t="s">
        <v>338</v>
      </c>
      <c r="G23" s="118" t="s">
        <v>447</v>
      </c>
      <c r="H23" s="258" t="s">
        <v>380</v>
      </c>
      <c r="I23" s="262" t="s">
        <v>448</v>
      </c>
    </row>
    <row r="24" ht="22.5" customHeight="1">
      <c r="A24" s="256" t="s">
        <v>449</v>
      </c>
      <c r="B24" s="118" t="s">
        <v>450</v>
      </c>
      <c r="C24" s="118" t="s">
        <v>451</v>
      </c>
      <c r="D24" s="257" t="s">
        <v>337</v>
      </c>
      <c r="E24" s="258" t="s">
        <v>337</v>
      </c>
      <c r="F24" s="258" t="s">
        <v>338</v>
      </c>
      <c r="G24" s="118" t="s">
        <v>447</v>
      </c>
      <c r="H24" s="258" t="s">
        <v>380</v>
      </c>
      <c r="I24" s="262" t="s">
        <v>448</v>
      </c>
    </row>
    <row r="25" ht="22.5" customHeight="1">
      <c r="A25" s="256" t="s">
        <v>452</v>
      </c>
      <c r="B25" s="257" t="s">
        <v>453</v>
      </c>
      <c r="C25" s="257" t="s">
        <v>454</v>
      </c>
      <c r="D25" s="257" t="s">
        <v>337</v>
      </c>
      <c r="E25" s="258" t="s">
        <v>337</v>
      </c>
      <c r="F25" s="258" t="s">
        <v>338</v>
      </c>
      <c r="G25" s="258" t="s">
        <v>455</v>
      </c>
      <c r="H25" s="258" t="s">
        <v>456</v>
      </c>
    </row>
    <row r="26" ht="22.5" customHeight="1">
      <c r="A26" s="256" t="s">
        <v>457</v>
      </c>
      <c r="B26" s="257" t="s">
        <v>458</v>
      </c>
      <c r="C26" s="257" t="s">
        <v>459</v>
      </c>
      <c r="D26" s="257" t="s">
        <v>337</v>
      </c>
      <c r="E26" s="258" t="s">
        <v>337</v>
      </c>
      <c r="F26" s="258" t="s">
        <v>338</v>
      </c>
      <c r="G26" s="258" t="s">
        <v>368</v>
      </c>
      <c r="H26" s="118" t="s">
        <v>460</v>
      </c>
    </row>
    <row r="27" ht="22.5" customHeight="1">
      <c r="A27" s="256" t="s">
        <v>461</v>
      </c>
      <c r="B27" s="257" t="s">
        <v>462</v>
      </c>
      <c r="C27" s="257" t="s">
        <v>463</v>
      </c>
      <c r="D27" s="257" t="s">
        <v>337</v>
      </c>
      <c r="E27" s="258" t="s">
        <v>337</v>
      </c>
      <c r="F27" s="258" t="s">
        <v>338</v>
      </c>
      <c r="G27" s="258" t="s">
        <v>351</v>
      </c>
      <c r="H27" s="258" t="s">
        <v>352</v>
      </c>
      <c r="I27" s="262" t="s">
        <v>436</v>
      </c>
    </row>
    <row r="28" ht="22.5" customHeight="1">
      <c r="A28" s="259" t="s">
        <v>464</v>
      </c>
      <c r="B28" s="257" t="s">
        <v>465</v>
      </c>
      <c r="C28" s="257" t="s">
        <v>466</v>
      </c>
      <c r="D28" s="257" t="s">
        <v>337</v>
      </c>
      <c r="E28" s="258" t="s">
        <v>337</v>
      </c>
      <c r="F28" s="258" t="s">
        <v>338</v>
      </c>
      <c r="G28" s="258" t="s">
        <v>467</v>
      </c>
      <c r="H28" s="258" t="s">
        <v>468</v>
      </c>
    </row>
    <row r="29" ht="22.5" customHeight="1">
      <c r="A29" s="256" t="s">
        <v>469</v>
      </c>
      <c r="B29" s="118" t="s">
        <v>470</v>
      </c>
      <c r="C29" s="257" t="s">
        <v>471</v>
      </c>
      <c r="D29" s="257" t="s">
        <v>337</v>
      </c>
      <c r="E29" s="258" t="s">
        <v>337</v>
      </c>
      <c r="F29" s="258" t="s">
        <v>338</v>
      </c>
      <c r="G29" s="118" t="s">
        <v>470</v>
      </c>
      <c r="H29" s="151">
        <v>9.99680974E8</v>
      </c>
      <c r="I29" s="262" t="s">
        <v>472</v>
      </c>
    </row>
    <row r="30" ht="22.5" customHeight="1">
      <c r="A30" s="256" t="s">
        <v>473</v>
      </c>
      <c r="B30" s="257" t="s">
        <v>474</v>
      </c>
      <c r="C30" s="257" t="s">
        <v>475</v>
      </c>
      <c r="D30" s="257" t="s">
        <v>337</v>
      </c>
      <c r="E30" s="258" t="s">
        <v>337</v>
      </c>
      <c r="F30" s="258" t="s">
        <v>338</v>
      </c>
      <c r="G30" s="258" t="s">
        <v>379</v>
      </c>
      <c r="H30" s="258" t="s">
        <v>380</v>
      </c>
      <c r="I30" s="262" t="s">
        <v>448</v>
      </c>
    </row>
    <row r="31" ht="22.5" customHeight="1">
      <c r="A31" s="256" t="s">
        <v>476</v>
      </c>
      <c r="B31" s="118" t="s">
        <v>477</v>
      </c>
      <c r="C31" s="118" t="s">
        <v>478</v>
      </c>
      <c r="D31" s="257" t="s">
        <v>337</v>
      </c>
      <c r="E31" s="258" t="s">
        <v>337</v>
      </c>
      <c r="F31" s="258" t="s">
        <v>338</v>
      </c>
      <c r="G31" s="118" t="s">
        <v>479</v>
      </c>
      <c r="H31" s="118" t="s">
        <v>480</v>
      </c>
      <c r="I31" s="264" t="s">
        <v>481</v>
      </c>
    </row>
    <row r="32" ht="22.5" customHeight="1">
      <c r="A32" s="256" t="s">
        <v>482</v>
      </c>
      <c r="B32" s="118" t="s">
        <v>483</v>
      </c>
      <c r="C32" s="118" t="s">
        <v>484</v>
      </c>
      <c r="D32" s="257" t="s">
        <v>337</v>
      </c>
      <c r="E32" s="258" t="s">
        <v>337</v>
      </c>
      <c r="F32" s="258" t="s">
        <v>338</v>
      </c>
      <c r="G32" s="118" t="s">
        <v>485</v>
      </c>
      <c r="H32" s="151" t="s">
        <v>486</v>
      </c>
      <c r="I32" s="264" t="s">
        <v>487</v>
      </c>
    </row>
    <row r="33" ht="22.5" customHeight="1">
      <c r="A33" s="256" t="s">
        <v>488</v>
      </c>
      <c r="B33" s="118" t="s">
        <v>489</v>
      </c>
      <c r="C33" s="118" t="s">
        <v>490</v>
      </c>
      <c r="D33" s="257" t="s">
        <v>337</v>
      </c>
      <c r="E33" s="258" t="s">
        <v>337</v>
      </c>
      <c r="F33" s="258" t="s">
        <v>338</v>
      </c>
      <c r="G33" s="118" t="s">
        <v>491</v>
      </c>
      <c r="H33" s="151" t="s">
        <v>492</v>
      </c>
      <c r="I33" s="264" t="s">
        <v>493</v>
      </c>
    </row>
    <row r="34" ht="22.5" customHeight="1">
      <c r="A34" s="256" t="s">
        <v>494</v>
      </c>
      <c r="B34" s="118" t="s">
        <v>495</v>
      </c>
      <c r="C34" s="118" t="s">
        <v>496</v>
      </c>
      <c r="D34" s="118" t="s">
        <v>338</v>
      </c>
      <c r="E34" s="118" t="s">
        <v>338</v>
      </c>
      <c r="F34" s="118" t="s">
        <v>338</v>
      </c>
      <c r="G34" s="118" t="s">
        <v>497</v>
      </c>
      <c r="H34" s="118" t="s">
        <v>498</v>
      </c>
      <c r="I34" s="264" t="s">
        <v>499</v>
      </c>
    </row>
    <row r="35" ht="22.5" customHeight="1">
      <c r="A35" s="256" t="s">
        <v>500</v>
      </c>
      <c r="B35" s="118" t="s">
        <v>501</v>
      </c>
      <c r="C35" s="118" t="s">
        <v>502</v>
      </c>
      <c r="D35" s="257" t="s">
        <v>337</v>
      </c>
      <c r="E35" s="258" t="s">
        <v>337</v>
      </c>
      <c r="F35" s="258" t="s">
        <v>338</v>
      </c>
      <c r="G35" s="118" t="s">
        <v>503</v>
      </c>
      <c r="H35" s="151" t="s">
        <v>504</v>
      </c>
    </row>
    <row r="36" ht="22.5" customHeight="1">
      <c r="A36" s="256" t="s">
        <v>505</v>
      </c>
      <c r="B36" s="118" t="s">
        <v>506</v>
      </c>
      <c r="C36" s="118" t="s">
        <v>507</v>
      </c>
      <c r="D36" s="257" t="s">
        <v>337</v>
      </c>
      <c r="E36" s="258" t="s">
        <v>337</v>
      </c>
      <c r="F36" s="258" t="s">
        <v>338</v>
      </c>
      <c r="G36" s="118" t="s">
        <v>508</v>
      </c>
      <c r="H36" s="151" t="s">
        <v>509</v>
      </c>
      <c r="I36" s="118" t="s">
        <v>510</v>
      </c>
    </row>
    <row r="37" ht="22.5" customHeight="1">
      <c r="A37" s="256" t="s">
        <v>511</v>
      </c>
      <c r="B37" s="118" t="s">
        <v>512</v>
      </c>
      <c r="C37" s="118" t="s">
        <v>513</v>
      </c>
      <c r="D37" s="257" t="s">
        <v>337</v>
      </c>
      <c r="E37" s="258" t="s">
        <v>337</v>
      </c>
      <c r="F37" s="258" t="s">
        <v>338</v>
      </c>
      <c r="G37" s="118" t="s">
        <v>514</v>
      </c>
      <c r="H37" s="118" t="s">
        <v>515</v>
      </c>
      <c r="I37" s="118" t="s">
        <v>157</v>
      </c>
    </row>
    <row r="38" ht="22.5" customHeight="1">
      <c r="A38" s="256" t="s">
        <v>516</v>
      </c>
      <c r="B38" s="118" t="s">
        <v>517</v>
      </c>
      <c r="C38" s="118" t="s">
        <v>518</v>
      </c>
      <c r="D38" s="118" t="s">
        <v>338</v>
      </c>
      <c r="E38" s="118" t="s">
        <v>338</v>
      </c>
      <c r="F38" s="118" t="s">
        <v>338</v>
      </c>
      <c r="G38" s="118" t="s">
        <v>519</v>
      </c>
      <c r="H38" s="118" t="s">
        <v>520</v>
      </c>
      <c r="I38" s="118" t="s">
        <v>521</v>
      </c>
    </row>
    <row r="39" ht="22.5" customHeight="1">
      <c r="A39" s="256" t="s">
        <v>522</v>
      </c>
      <c r="B39" s="118" t="s">
        <v>523</v>
      </c>
      <c r="C39" s="118" t="s">
        <v>524</v>
      </c>
      <c r="D39" s="118" t="s">
        <v>338</v>
      </c>
      <c r="E39" s="118" t="s">
        <v>338</v>
      </c>
      <c r="F39" s="118" t="s">
        <v>338</v>
      </c>
      <c r="G39" s="118" t="s">
        <v>519</v>
      </c>
      <c r="H39" s="118" t="s">
        <v>520</v>
      </c>
      <c r="I39" s="118" t="s">
        <v>525</v>
      </c>
    </row>
    <row r="40" ht="22.5" customHeight="1">
      <c r="A40" s="256" t="s">
        <v>526</v>
      </c>
      <c r="B40" s="118" t="s">
        <v>527</v>
      </c>
      <c r="C40" s="118" t="s">
        <v>528</v>
      </c>
      <c r="D40" s="257" t="s">
        <v>337</v>
      </c>
      <c r="E40" s="258" t="s">
        <v>337</v>
      </c>
      <c r="F40" s="258" t="s">
        <v>338</v>
      </c>
      <c r="G40" s="118" t="s">
        <v>529</v>
      </c>
      <c r="H40" s="118" t="s">
        <v>530</v>
      </c>
      <c r="I40" s="118" t="s">
        <v>531</v>
      </c>
    </row>
    <row r="41" ht="22.5" customHeight="1">
      <c r="A41" s="259"/>
    </row>
    <row r="42" ht="22.5" customHeight="1">
      <c r="A42" s="259"/>
    </row>
    <row r="43" ht="22.5" customHeight="1">
      <c r="A43" s="259"/>
    </row>
    <row r="44" ht="22.5" customHeight="1">
      <c r="A44" s="259"/>
    </row>
    <row r="45" ht="22.5" customHeight="1">
      <c r="A45" s="259"/>
    </row>
    <row r="46" ht="22.5" customHeight="1">
      <c r="A46" s="259"/>
    </row>
    <row r="47" ht="22.5" customHeight="1">
      <c r="A47" s="259"/>
    </row>
    <row r="48" ht="22.5" customHeight="1">
      <c r="A48" s="259"/>
    </row>
    <row r="49" ht="22.5" customHeight="1">
      <c r="A49" s="259"/>
    </row>
    <row r="50" ht="22.5" customHeight="1">
      <c r="A50" s="259"/>
    </row>
    <row r="51" ht="22.5" customHeight="1">
      <c r="A51" s="259"/>
    </row>
    <row r="52" ht="22.5" customHeight="1">
      <c r="A52" s="259"/>
    </row>
    <row r="53" ht="22.5" customHeight="1">
      <c r="A53" s="259"/>
    </row>
    <row r="54" ht="22.5" customHeight="1">
      <c r="A54" s="259"/>
    </row>
    <row r="55" ht="22.5" customHeight="1">
      <c r="A55" s="259"/>
    </row>
    <row r="56" ht="22.5" customHeight="1">
      <c r="A56" s="259"/>
    </row>
    <row r="57" ht="22.5" customHeight="1">
      <c r="A57" s="259"/>
    </row>
    <row r="58" ht="22.5" customHeight="1">
      <c r="A58" s="259"/>
    </row>
    <row r="59" ht="22.5" customHeight="1">
      <c r="A59" s="259"/>
    </row>
    <row r="60" ht="22.5" customHeight="1">
      <c r="A60" s="259"/>
    </row>
    <row r="61" ht="22.5" customHeight="1">
      <c r="A61" s="259"/>
    </row>
    <row r="62" ht="22.5" customHeight="1">
      <c r="A62" s="259"/>
    </row>
    <row r="63" ht="22.5" customHeight="1">
      <c r="A63" s="259"/>
    </row>
    <row r="64" ht="22.5" customHeight="1">
      <c r="A64" s="259"/>
    </row>
    <row r="65" ht="22.5" customHeight="1">
      <c r="A65" s="259"/>
    </row>
    <row r="66" ht="22.5" customHeight="1">
      <c r="A66" s="259"/>
    </row>
    <row r="67" ht="22.5" customHeight="1">
      <c r="A67" s="259"/>
    </row>
    <row r="68" ht="22.5" customHeight="1">
      <c r="A68" s="259"/>
    </row>
    <row r="69" ht="22.5" customHeight="1">
      <c r="A69" s="259"/>
    </row>
    <row r="70" ht="22.5" customHeight="1">
      <c r="A70" s="259"/>
    </row>
    <row r="71" ht="22.5" customHeight="1">
      <c r="A71" s="259"/>
    </row>
    <row r="72" ht="22.5" customHeight="1">
      <c r="A72" s="259"/>
    </row>
    <row r="73" ht="22.5" customHeight="1">
      <c r="A73" s="259"/>
    </row>
    <row r="74" ht="22.5" customHeight="1">
      <c r="A74" s="259"/>
    </row>
    <row r="75" ht="22.5" customHeight="1">
      <c r="A75" s="259"/>
    </row>
    <row r="76" ht="22.5" customHeight="1">
      <c r="A76" s="259"/>
    </row>
    <row r="77" ht="22.5" customHeight="1">
      <c r="A77" s="259"/>
    </row>
    <row r="78" ht="22.5" customHeight="1">
      <c r="A78" s="259"/>
    </row>
    <row r="79" ht="22.5" customHeight="1">
      <c r="A79" s="259"/>
    </row>
    <row r="80" ht="22.5" customHeight="1">
      <c r="A80" s="259"/>
    </row>
    <row r="81" ht="22.5" customHeight="1">
      <c r="A81" s="259"/>
    </row>
    <row r="82" ht="22.5" customHeight="1">
      <c r="A82" s="259"/>
    </row>
    <row r="83" ht="22.5" customHeight="1">
      <c r="A83" s="259"/>
    </row>
    <row r="84" ht="22.5" customHeight="1">
      <c r="A84" s="259"/>
    </row>
    <row r="85" ht="22.5" customHeight="1">
      <c r="A85" s="259"/>
    </row>
    <row r="86" ht="22.5" customHeight="1">
      <c r="A86" s="259"/>
    </row>
    <row r="87" ht="22.5" customHeight="1">
      <c r="A87" s="259"/>
    </row>
    <row r="88" ht="22.5" customHeight="1">
      <c r="A88" s="259"/>
    </row>
    <row r="89" ht="22.5" customHeight="1">
      <c r="A89" s="259"/>
    </row>
    <row r="90" ht="22.5" customHeight="1">
      <c r="A90" s="259"/>
    </row>
    <row r="91" ht="22.5" customHeight="1">
      <c r="A91" s="259"/>
    </row>
    <row r="92" ht="22.5" customHeight="1">
      <c r="A92" s="259"/>
    </row>
    <row r="93" ht="22.5" customHeight="1">
      <c r="A93" s="259"/>
    </row>
    <row r="94" ht="22.5" customHeight="1">
      <c r="A94" s="259"/>
    </row>
    <row r="95" ht="22.5" customHeight="1">
      <c r="A95" s="259"/>
    </row>
    <row r="96" ht="22.5" customHeight="1">
      <c r="A96" s="259"/>
    </row>
    <row r="97" ht="22.5" customHeight="1">
      <c r="A97" s="259"/>
    </row>
    <row r="98" ht="22.5" customHeight="1">
      <c r="A98" s="259"/>
    </row>
    <row r="99" ht="22.5" customHeight="1">
      <c r="A99" s="259"/>
    </row>
    <row r="100" ht="22.5" customHeight="1">
      <c r="A100" s="259"/>
    </row>
    <row r="101" ht="22.5" customHeight="1">
      <c r="A101" s="259"/>
    </row>
    <row r="102" ht="22.5" customHeight="1">
      <c r="A102" s="259"/>
    </row>
    <row r="103" ht="22.5" customHeight="1">
      <c r="A103" s="259"/>
    </row>
    <row r="104" ht="22.5" customHeight="1">
      <c r="A104" s="259"/>
    </row>
    <row r="105" ht="22.5" customHeight="1">
      <c r="A105" s="259"/>
    </row>
    <row r="106" ht="22.5" customHeight="1">
      <c r="A106" s="259"/>
    </row>
    <row r="107" ht="22.5" customHeight="1">
      <c r="A107" s="259"/>
    </row>
    <row r="108" ht="22.5" customHeight="1">
      <c r="A108" s="259"/>
    </row>
    <row r="109" ht="22.5" customHeight="1">
      <c r="A109" s="259"/>
    </row>
    <row r="110" ht="22.5" customHeight="1">
      <c r="A110" s="259"/>
    </row>
    <row r="111" ht="22.5" customHeight="1">
      <c r="A111" s="259"/>
    </row>
    <row r="112" ht="22.5" customHeight="1">
      <c r="A112" s="259"/>
    </row>
    <row r="113" ht="22.5" customHeight="1">
      <c r="A113" s="259"/>
    </row>
    <row r="114" ht="22.5" customHeight="1">
      <c r="A114" s="259"/>
    </row>
    <row r="115" ht="22.5" customHeight="1">
      <c r="A115" s="259"/>
    </row>
    <row r="116" ht="22.5" customHeight="1">
      <c r="A116" s="259"/>
    </row>
    <row r="117" ht="22.5" customHeight="1">
      <c r="A117" s="259"/>
    </row>
    <row r="118" ht="22.5" customHeight="1">
      <c r="A118" s="259"/>
    </row>
    <row r="119" ht="22.5" customHeight="1">
      <c r="A119" s="259"/>
    </row>
    <row r="120" ht="22.5" customHeight="1">
      <c r="A120" s="259"/>
    </row>
    <row r="121" ht="22.5" customHeight="1">
      <c r="A121" s="259"/>
    </row>
    <row r="122" ht="22.5" customHeight="1">
      <c r="A122" s="259"/>
    </row>
    <row r="123" ht="22.5" customHeight="1">
      <c r="A123" s="259"/>
    </row>
    <row r="124" ht="22.5" customHeight="1">
      <c r="A124" s="259"/>
    </row>
    <row r="125" ht="22.5" customHeight="1">
      <c r="A125" s="259"/>
    </row>
    <row r="126" ht="22.5" customHeight="1">
      <c r="A126" s="259"/>
    </row>
    <row r="127" ht="22.5" customHeight="1">
      <c r="A127" s="259"/>
    </row>
    <row r="128" ht="22.5" customHeight="1">
      <c r="A128" s="259"/>
    </row>
    <row r="129" ht="22.5" customHeight="1">
      <c r="A129" s="259"/>
    </row>
    <row r="130" ht="22.5" customHeight="1">
      <c r="A130" s="259"/>
    </row>
    <row r="131" ht="22.5" customHeight="1">
      <c r="A131" s="259"/>
    </row>
    <row r="132" ht="22.5" customHeight="1">
      <c r="A132" s="259"/>
    </row>
    <row r="133" ht="22.5" customHeight="1">
      <c r="A133" s="259"/>
    </row>
    <row r="134" ht="22.5" customHeight="1">
      <c r="A134" s="259"/>
    </row>
    <row r="135" ht="22.5" customHeight="1">
      <c r="A135" s="259"/>
    </row>
    <row r="136" ht="22.5" customHeight="1">
      <c r="A136" s="259"/>
    </row>
    <row r="137" ht="22.5" customHeight="1">
      <c r="A137" s="259"/>
    </row>
    <row r="138" ht="22.5" customHeight="1">
      <c r="A138" s="259"/>
    </row>
    <row r="139" ht="22.5" customHeight="1">
      <c r="A139" s="259"/>
    </row>
    <row r="140" ht="22.5" customHeight="1">
      <c r="A140" s="259"/>
    </row>
    <row r="141" ht="22.5" customHeight="1">
      <c r="A141" s="259"/>
    </row>
    <row r="142" ht="22.5" customHeight="1">
      <c r="A142" s="259"/>
    </row>
    <row r="143" ht="22.5" customHeight="1">
      <c r="A143" s="259"/>
    </row>
    <row r="144" ht="22.5" customHeight="1">
      <c r="A144" s="259"/>
    </row>
    <row r="145" ht="22.5" customHeight="1">
      <c r="A145" s="259"/>
    </row>
    <row r="146" ht="22.5" customHeight="1">
      <c r="A146" s="259"/>
    </row>
    <row r="147" ht="22.5" customHeight="1">
      <c r="A147" s="259"/>
    </row>
    <row r="148" ht="22.5" customHeight="1">
      <c r="A148" s="259"/>
    </row>
    <row r="149" ht="22.5" customHeight="1">
      <c r="A149" s="259"/>
    </row>
    <row r="150" ht="22.5" customHeight="1">
      <c r="A150" s="259"/>
    </row>
    <row r="151" ht="22.5" customHeight="1">
      <c r="A151" s="259"/>
    </row>
    <row r="152" ht="22.5" customHeight="1">
      <c r="A152" s="259"/>
    </row>
    <row r="153" ht="22.5" customHeight="1">
      <c r="A153" s="259"/>
    </row>
    <row r="154" ht="22.5" customHeight="1">
      <c r="A154" s="259"/>
    </row>
    <row r="155" ht="22.5" customHeight="1">
      <c r="A155" s="259"/>
    </row>
    <row r="156" ht="22.5" customHeight="1">
      <c r="A156" s="259"/>
    </row>
    <row r="157" ht="22.5" customHeight="1">
      <c r="A157" s="259"/>
    </row>
    <row r="158" ht="22.5" customHeight="1">
      <c r="A158" s="259"/>
    </row>
    <row r="159" ht="22.5" customHeight="1">
      <c r="A159" s="259"/>
    </row>
    <row r="160" ht="22.5" customHeight="1">
      <c r="A160" s="259"/>
    </row>
    <row r="161" ht="22.5" customHeight="1">
      <c r="A161" s="259"/>
    </row>
    <row r="162" ht="22.5" customHeight="1">
      <c r="A162" s="259"/>
    </row>
    <row r="163" ht="22.5" customHeight="1">
      <c r="A163" s="259"/>
    </row>
    <row r="164" ht="22.5" customHeight="1">
      <c r="A164" s="259"/>
    </row>
    <row r="165" ht="22.5" customHeight="1">
      <c r="A165" s="259"/>
    </row>
    <row r="166" ht="22.5" customHeight="1">
      <c r="A166" s="259"/>
    </row>
    <row r="167" ht="22.5" customHeight="1">
      <c r="A167" s="259"/>
    </row>
    <row r="168" ht="22.5" customHeight="1">
      <c r="A168" s="259"/>
    </row>
    <row r="169" ht="22.5" customHeight="1">
      <c r="A169" s="259"/>
    </row>
    <row r="170" ht="22.5" customHeight="1">
      <c r="A170" s="259"/>
    </row>
    <row r="171" ht="22.5" customHeight="1">
      <c r="A171" s="259"/>
    </row>
    <row r="172" ht="22.5" customHeight="1">
      <c r="A172" s="259"/>
    </row>
    <row r="173" ht="22.5" customHeight="1">
      <c r="A173" s="259"/>
    </row>
    <row r="174" ht="22.5" customHeight="1">
      <c r="A174" s="259"/>
    </row>
    <row r="175" ht="22.5" customHeight="1">
      <c r="A175" s="259"/>
    </row>
    <row r="176" ht="22.5" customHeight="1">
      <c r="A176" s="259"/>
    </row>
    <row r="177" ht="22.5" customHeight="1">
      <c r="A177" s="259"/>
    </row>
    <row r="178" ht="22.5" customHeight="1">
      <c r="A178" s="259"/>
    </row>
    <row r="179" ht="22.5" customHeight="1">
      <c r="A179" s="259"/>
    </row>
    <row r="180" ht="22.5" customHeight="1">
      <c r="A180" s="259"/>
    </row>
    <row r="181" ht="22.5" customHeight="1">
      <c r="A181" s="259"/>
    </row>
    <row r="182" ht="22.5" customHeight="1">
      <c r="A182" s="259"/>
    </row>
    <row r="183" ht="22.5" customHeight="1">
      <c r="A183" s="259"/>
    </row>
    <row r="184" ht="22.5" customHeight="1">
      <c r="A184" s="259"/>
    </row>
    <row r="185" ht="22.5" customHeight="1">
      <c r="A185" s="259"/>
    </row>
    <row r="186" ht="22.5" customHeight="1">
      <c r="A186" s="259"/>
    </row>
    <row r="187" ht="22.5" customHeight="1">
      <c r="A187" s="259"/>
    </row>
    <row r="188" ht="22.5" customHeight="1">
      <c r="A188" s="259"/>
    </row>
    <row r="189" ht="22.5" customHeight="1">
      <c r="A189" s="259"/>
    </row>
    <row r="190" ht="22.5" customHeight="1">
      <c r="A190" s="259"/>
    </row>
    <row r="191" ht="22.5" customHeight="1">
      <c r="A191" s="259"/>
    </row>
    <row r="192" ht="22.5" customHeight="1">
      <c r="A192" s="259"/>
    </row>
    <row r="193" ht="22.5" customHeight="1">
      <c r="A193" s="259"/>
    </row>
    <row r="194" ht="22.5" customHeight="1">
      <c r="A194" s="259"/>
    </row>
    <row r="195" ht="22.5" customHeight="1">
      <c r="A195" s="259"/>
    </row>
    <row r="196" ht="22.5" customHeight="1">
      <c r="A196" s="259"/>
    </row>
    <row r="197" ht="22.5" customHeight="1">
      <c r="A197" s="259"/>
    </row>
    <row r="198" ht="22.5" customHeight="1">
      <c r="A198" s="259"/>
    </row>
    <row r="199" ht="22.5" customHeight="1">
      <c r="A199" s="259"/>
    </row>
    <row r="200" ht="22.5" customHeight="1">
      <c r="A200" s="259"/>
    </row>
    <row r="201" ht="22.5" customHeight="1">
      <c r="A201" s="259"/>
    </row>
    <row r="202" ht="22.5" customHeight="1">
      <c r="A202" s="259"/>
    </row>
    <row r="203" ht="22.5" customHeight="1">
      <c r="A203" s="259"/>
    </row>
    <row r="204" ht="22.5" customHeight="1">
      <c r="A204" s="259"/>
    </row>
    <row r="205" ht="22.5" customHeight="1">
      <c r="A205" s="259"/>
    </row>
    <row r="206" ht="22.5" customHeight="1">
      <c r="A206" s="259"/>
    </row>
    <row r="207" ht="22.5" customHeight="1">
      <c r="A207" s="259"/>
    </row>
    <row r="208" ht="22.5" customHeight="1">
      <c r="A208" s="259"/>
    </row>
    <row r="209" ht="22.5" customHeight="1">
      <c r="A209" s="259"/>
    </row>
    <row r="210" ht="22.5" customHeight="1">
      <c r="A210" s="259"/>
    </row>
    <row r="211" ht="22.5" customHeight="1">
      <c r="A211" s="259"/>
    </row>
    <row r="212" ht="22.5" customHeight="1">
      <c r="A212" s="259"/>
    </row>
    <row r="213" ht="22.5" customHeight="1">
      <c r="A213" s="259"/>
    </row>
    <row r="214" ht="22.5" customHeight="1">
      <c r="A214" s="259"/>
    </row>
    <row r="215" ht="22.5" customHeight="1">
      <c r="A215" s="259"/>
    </row>
    <row r="216" ht="22.5" customHeight="1">
      <c r="A216" s="259"/>
    </row>
    <row r="217" ht="22.5" customHeight="1">
      <c r="A217" s="259"/>
    </row>
    <row r="218" ht="22.5" customHeight="1">
      <c r="A218" s="259"/>
    </row>
    <row r="219" ht="22.5" customHeight="1">
      <c r="A219" s="259"/>
    </row>
    <row r="220" ht="22.5" customHeight="1">
      <c r="A220" s="259"/>
    </row>
    <row r="221" ht="22.5" customHeight="1">
      <c r="A221" s="259"/>
    </row>
    <row r="222" ht="22.5" customHeight="1">
      <c r="A222" s="259"/>
    </row>
    <row r="223" ht="22.5" customHeight="1">
      <c r="A223" s="259"/>
    </row>
    <row r="224" ht="22.5" customHeight="1">
      <c r="A224" s="259"/>
    </row>
    <row r="225" ht="22.5" customHeight="1">
      <c r="A225" s="259"/>
    </row>
    <row r="226" ht="22.5" customHeight="1">
      <c r="A226" s="259"/>
    </row>
    <row r="227" ht="22.5" customHeight="1">
      <c r="A227" s="259"/>
    </row>
    <row r="228" ht="22.5" customHeight="1">
      <c r="A228" s="259"/>
    </row>
    <row r="229" ht="22.5" customHeight="1">
      <c r="A229" s="259"/>
    </row>
    <row r="230" ht="22.5" customHeight="1">
      <c r="A230" s="259"/>
    </row>
    <row r="231" ht="22.5" customHeight="1">
      <c r="A231" s="259"/>
    </row>
    <row r="232" ht="22.5" customHeight="1">
      <c r="A232" s="259"/>
    </row>
    <row r="233" ht="22.5" customHeight="1">
      <c r="A233" s="259"/>
    </row>
    <row r="234" ht="22.5" customHeight="1">
      <c r="A234" s="259"/>
    </row>
    <row r="235" ht="22.5" customHeight="1">
      <c r="A235" s="259"/>
    </row>
    <row r="236" ht="22.5" customHeight="1">
      <c r="A236" s="259"/>
    </row>
    <row r="237" ht="22.5" customHeight="1">
      <c r="A237" s="259"/>
    </row>
    <row r="238" ht="22.5" customHeight="1">
      <c r="A238" s="259"/>
    </row>
    <row r="239" ht="22.5" customHeight="1">
      <c r="A239" s="259"/>
    </row>
    <row r="240" ht="22.5" customHeight="1">
      <c r="A240" s="259"/>
    </row>
    <row r="241" ht="22.5" customHeight="1">
      <c r="A241" s="259"/>
    </row>
    <row r="242" ht="22.5" customHeight="1">
      <c r="A242" s="259"/>
    </row>
    <row r="243" ht="22.5" customHeight="1">
      <c r="A243" s="259"/>
    </row>
    <row r="244" ht="22.5" customHeight="1">
      <c r="A244" s="259"/>
    </row>
    <row r="245" ht="22.5" customHeight="1">
      <c r="A245" s="259"/>
    </row>
    <row r="246" ht="22.5" customHeight="1">
      <c r="A246" s="259"/>
    </row>
    <row r="247" ht="22.5" customHeight="1">
      <c r="A247" s="259"/>
    </row>
    <row r="248" ht="22.5" customHeight="1">
      <c r="A248" s="259"/>
    </row>
    <row r="249" ht="22.5" customHeight="1">
      <c r="A249" s="259"/>
    </row>
    <row r="250" ht="22.5" customHeight="1">
      <c r="A250" s="259"/>
    </row>
    <row r="251" ht="22.5" customHeight="1">
      <c r="A251" s="259"/>
    </row>
    <row r="252" ht="22.5" customHeight="1">
      <c r="A252" s="259"/>
    </row>
    <row r="253" ht="22.5" customHeight="1">
      <c r="A253" s="259"/>
    </row>
    <row r="254" ht="22.5" customHeight="1">
      <c r="A254" s="259"/>
    </row>
    <row r="255" ht="22.5" customHeight="1">
      <c r="A255" s="259"/>
    </row>
    <row r="256" ht="22.5" customHeight="1">
      <c r="A256" s="259"/>
    </row>
    <row r="257" ht="22.5" customHeight="1">
      <c r="A257" s="259"/>
    </row>
    <row r="258" ht="22.5" customHeight="1">
      <c r="A258" s="259"/>
    </row>
    <row r="259" ht="22.5" customHeight="1">
      <c r="A259" s="259"/>
    </row>
    <row r="260" ht="22.5" customHeight="1">
      <c r="A260" s="259"/>
    </row>
    <row r="261" ht="22.5" customHeight="1">
      <c r="A261" s="259"/>
    </row>
    <row r="262" ht="22.5" customHeight="1">
      <c r="A262" s="259"/>
    </row>
    <row r="263" ht="22.5" customHeight="1">
      <c r="A263" s="259"/>
    </row>
    <row r="264" ht="22.5" customHeight="1">
      <c r="A264" s="259"/>
    </row>
    <row r="265" ht="22.5" customHeight="1">
      <c r="A265" s="259"/>
    </row>
    <row r="266" ht="22.5" customHeight="1">
      <c r="A266" s="259"/>
    </row>
    <row r="267" ht="22.5" customHeight="1">
      <c r="A267" s="259"/>
    </row>
    <row r="268" ht="22.5" customHeight="1">
      <c r="A268" s="259"/>
    </row>
    <row r="269" ht="22.5" customHeight="1">
      <c r="A269" s="259"/>
    </row>
    <row r="270" ht="22.5" customHeight="1">
      <c r="A270" s="259"/>
    </row>
    <row r="271" ht="22.5" customHeight="1">
      <c r="A271" s="259"/>
    </row>
    <row r="272" ht="22.5" customHeight="1">
      <c r="A272" s="259"/>
    </row>
    <row r="273" ht="22.5" customHeight="1">
      <c r="A273" s="259"/>
    </row>
    <row r="274" ht="22.5" customHeight="1">
      <c r="A274" s="259"/>
    </row>
    <row r="275" ht="22.5" customHeight="1">
      <c r="A275" s="259"/>
    </row>
    <row r="276" ht="22.5" customHeight="1">
      <c r="A276" s="259"/>
    </row>
    <row r="277" ht="22.5" customHeight="1">
      <c r="A277" s="259"/>
    </row>
    <row r="278" ht="22.5" customHeight="1">
      <c r="A278" s="259"/>
    </row>
    <row r="279" ht="22.5" customHeight="1">
      <c r="A279" s="259"/>
    </row>
    <row r="280" ht="22.5" customHeight="1">
      <c r="A280" s="259"/>
    </row>
    <row r="281" ht="22.5" customHeight="1">
      <c r="A281" s="259"/>
    </row>
    <row r="282" ht="22.5" customHeight="1">
      <c r="A282" s="259"/>
    </row>
    <row r="283" ht="22.5" customHeight="1">
      <c r="A283" s="259"/>
    </row>
    <row r="284" ht="22.5" customHeight="1">
      <c r="A284" s="259"/>
    </row>
    <row r="285" ht="22.5" customHeight="1">
      <c r="A285" s="259"/>
    </row>
    <row r="286" ht="22.5" customHeight="1">
      <c r="A286" s="259"/>
    </row>
    <row r="287" ht="22.5" customHeight="1">
      <c r="A287" s="259"/>
    </row>
    <row r="288" ht="22.5" customHeight="1">
      <c r="A288" s="259"/>
    </row>
    <row r="289" ht="22.5" customHeight="1">
      <c r="A289" s="259"/>
    </row>
    <row r="290" ht="22.5" customHeight="1">
      <c r="A290" s="259"/>
    </row>
    <row r="291" ht="22.5" customHeight="1">
      <c r="A291" s="259"/>
    </row>
    <row r="292" ht="22.5" customHeight="1">
      <c r="A292" s="259"/>
    </row>
    <row r="293" ht="22.5" customHeight="1">
      <c r="A293" s="259"/>
    </row>
    <row r="294" ht="22.5" customHeight="1">
      <c r="A294" s="259"/>
    </row>
    <row r="295" ht="22.5" customHeight="1">
      <c r="A295" s="259"/>
    </row>
    <row r="296" ht="22.5" customHeight="1">
      <c r="A296" s="259"/>
    </row>
    <row r="297" ht="22.5" customHeight="1">
      <c r="A297" s="259"/>
    </row>
    <row r="298" ht="22.5" customHeight="1">
      <c r="A298" s="259"/>
    </row>
    <row r="299" ht="22.5" customHeight="1">
      <c r="A299" s="259"/>
    </row>
    <row r="300" ht="22.5" customHeight="1">
      <c r="A300" s="259"/>
    </row>
    <row r="301" ht="22.5" customHeight="1">
      <c r="A301" s="259"/>
    </row>
    <row r="302" ht="22.5" customHeight="1">
      <c r="A302" s="259"/>
    </row>
    <row r="303" ht="22.5" customHeight="1">
      <c r="A303" s="259"/>
    </row>
    <row r="304" ht="22.5" customHeight="1">
      <c r="A304" s="259"/>
    </row>
    <row r="305" ht="22.5" customHeight="1">
      <c r="A305" s="259"/>
    </row>
    <row r="306" ht="22.5" customHeight="1">
      <c r="A306" s="259"/>
    </row>
    <row r="307" ht="22.5" customHeight="1">
      <c r="A307" s="259"/>
    </row>
    <row r="308" ht="22.5" customHeight="1">
      <c r="A308" s="259"/>
    </row>
    <row r="309" ht="22.5" customHeight="1">
      <c r="A309" s="259"/>
    </row>
    <row r="310" ht="22.5" customHeight="1">
      <c r="A310" s="259"/>
    </row>
    <row r="311" ht="22.5" customHeight="1">
      <c r="A311" s="259"/>
    </row>
    <row r="312" ht="22.5" customHeight="1">
      <c r="A312" s="259"/>
    </row>
    <row r="313" ht="22.5" customHeight="1">
      <c r="A313" s="259"/>
    </row>
    <row r="314" ht="22.5" customHeight="1">
      <c r="A314" s="259"/>
    </row>
    <row r="315" ht="22.5" customHeight="1">
      <c r="A315" s="259"/>
    </row>
    <row r="316" ht="22.5" customHeight="1">
      <c r="A316" s="259"/>
    </row>
    <row r="317" ht="22.5" customHeight="1">
      <c r="A317" s="259"/>
    </row>
    <row r="318" ht="22.5" customHeight="1">
      <c r="A318" s="259"/>
    </row>
    <row r="319" ht="22.5" customHeight="1">
      <c r="A319" s="259"/>
    </row>
    <row r="320" ht="22.5" customHeight="1">
      <c r="A320" s="259"/>
    </row>
    <row r="321" ht="22.5" customHeight="1">
      <c r="A321" s="259"/>
    </row>
    <row r="322" ht="22.5" customHeight="1">
      <c r="A322" s="259"/>
    </row>
    <row r="323" ht="22.5" customHeight="1">
      <c r="A323" s="259"/>
    </row>
    <row r="324" ht="22.5" customHeight="1">
      <c r="A324" s="259"/>
    </row>
    <row r="325" ht="22.5" customHeight="1">
      <c r="A325" s="259"/>
    </row>
    <row r="326" ht="22.5" customHeight="1">
      <c r="A326" s="259"/>
    </row>
    <row r="327" ht="22.5" customHeight="1">
      <c r="A327" s="259"/>
    </row>
    <row r="328" ht="22.5" customHeight="1">
      <c r="A328" s="259"/>
    </row>
    <row r="329" ht="22.5" customHeight="1">
      <c r="A329" s="259"/>
    </row>
    <row r="330" ht="22.5" customHeight="1">
      <c r="A330" s="259"/>
    </row>
    <row r="331" ht="22.5" customHeight="1">
      <c r="A331" s="259"/>
    </row>
    <row r="332" ht="22.5" customHeight="1">
      <c r="A332" s="259"/>
    </row>
    <row r="333" ht="22.5" customHeight="1">
      <c r="A333" s="259"/>
    </row>
    <row r="334" ht="22.5" customHeight="1">
      <c r="A334" s="259"/>
    </row>
    <row r="335" ht="22.5" customHeight="1">
      <c r="A335" s="259"/>
    </row>
    <row r="336" ht="22.5" customHeight="1">
      <c r="A336" s="259"/>
    </row>
    <row r="337" ht="22.5" customHeight="1">
      <c r="A337" s="259"/>
    </row>
    <row r="338" ht="22.5" customHeight="1">
      <c r="A338" s="259"/>
    </row>
    <row r="339" ht="22.5" customHeight="1">
      <c r="A339" s="259"/>
    </row>
    <row r="340" ht="22.5" customHeight="1">
      <c r="A340" s="259"/>
    </row>
    <row r="341" ht="22.5" customHeight="1">
      <c r="A341" s="259"/>
    </row>
    <row r="342" ht="22.5" customHeight="1">
      <c r="A342" s="259"/>
    </row>
    <row r="343" ht="22.5" customHeight="1">
      <c r="A343" s="259"/>
    </row>
    <row r="344" ht="22.5" customHeight="1">
      <c r="A344" s="259"/>
    </row>
    <row r="345" ht="22.5" customHeight="1">
      <c r="A345" s="259"/>
    </row>
    <row r="346" ht="22.5" customHeight="1">
      <c r="A346" s="259"/>
    </row>
    <row r="347" ht="22.5" customHeight="1">
      <c r="A347" s="259"/>
    </row>
    <row r="348" ht="22.5" customHeight="1">
      <c r="A348" s="259"/>
    </row>
    <row r="349" ht="22.5" customHeight="1">
      <c r="A349" s="259"/>
    </row>
    <row r="350" ht="22.5" customHeight="1">
      <c r="A350" s="259"/>
    </row>
    <row r="351" ht="22.5" customHeight="1">
      <c r="A351" s="259"/>
    </row>
    <row r="352" ht="22.5" customHeight="1">
      <c r="A352" s="259"/>
    </row>
    <row r="353" ht="22.5" customHeight="1">
      <c r="A353" s="259"/>
    </row>
    <row r="354" ht="22.5" customHeight="1">
      <c r="A354" s="259"/>
    </row>
    <row r="355" ht="22.5" customHeight="1">
      <c r="A355" s="259"/>
    </row>
    <row r="356" ht="22.5" customHeight="1">
      <c r="A356" s="259"/>
    </row>
    <row r="357" ht="22.5" customHeight="1">
      <c r="A357" s="259"/>
    </row>
    <row r="358" ht="22.5" customHeight="1">
      <c r="A358" s="259"/>
    </row>
    <row r="359" ht="22.5" customHeight="1">
      <c r="A359" s="259"/>
    </row>
    <row r="360" ht="22.5" customHeight="1">
      <c r="A360" s="259"/>
    </row>
    <row r="361" ht="22.5" customHeight="1">
      <c r="A361" s="259"/>
    </row>
    <row r="362" ht="22.5" customHeight="1">
      <c r="A362" s="259"/>
    </row>
    <row r="363" ht="22.5" customHeight="1">
      <c r="A363" s="259"/>
    </row>
    <row r="364" ht="22.5" customHeight="1">
      <c r="A364" s="259"/>
    </row>
    <row r="365" ht="22.5" customHeight="1">
      <c r="A365" s="259"/>
    </row>
    <row r="366" ht="22.5" customHeight="1">
      <c r="A366" s="259"/>
    </row>
    <row r="367" ht="22.5" customHeight="1">
      <c r="A367" s="259"/>
    </row>
    <row r="368" ht="22.5" customHeight="1">
      <c r="A368" s="259"/>
    </row>
    <row r="369" ht="22.5" customHeight="1">
      <c r="A369" s="259"/>
    </row>
    <row r="370" ht="22.5" customHeight="1">
      <c r="A370" s="259"/>
    </row>
    <row r="371" ht="22.5" customHeight="1">
      <c r="A371" s="259"/>
    </row>
    <row r="372" ht="22.5" customHeight="1">
      <c r="A372" s="259"/>
    </row>
    <row r="373" ht="22.5" customHeight="1">
      <c r="A373" s="259"/>
    </row>
    <row r="374" ht="22.5" customHeight="1">
      <c r="A374" s="259"/>
    </row>
    <row r="375" ht="22.5" customHeight="1">
      <c r="A375" s="259"/>
    </row>
    <row r="376" ht="22.5" customHeight="1">
      <c r="A376" s="259"/>
    </row>
    <row r="377" ht="22.5" customHeight="1">
      <c r="A377" s="259"/>
    </row>
    <row r="378" ht="22.5" customHeight="1">
      <c r="A378" s="259"/>
    </row>
    <row r="379" ht="22.5" customHeight="1">
      <c r="A379" s="259"/>
    </row>
    <row r="380" ht="22.5" customHeight="1">
      <c r="A380" s="259"/>
    </row>
    <row r="381" ht="22.5" customHeight="1">
      <c r="A381" s="259"/>
    </row>
    <row r="382" ht="22.5" customHeight="1">
      <c r="A382" s="259"/>
    </row>
    <row r="383" ht="22.5" customHeight="1">
      <c r="A383" s="259"/>
    </row>
    <row r="384" ht="22.5" customHeight="1">
      <c r="A384" s="259"/>
    </row>
    <row r="385" ht="22.5" customHeight="1">
      <c r="A385" s="259"/>
    </row>
    <row r="386" ht="22.5" customHeight="1">
      <c r="A386" s="259"/>
    </row>
    <row r="387" ht="22.5" customHeight="1">
      <c r="A387" s="259"/>
    </row>
    <row r="388" ht="22.5" customHeight="1">
      <c r="A388" s="259"/>
    </row>
    <row r="389" ht="22.5" customHeight="1">
      <c r="A389" s="259"/>
    </row>
    <row r="390" ht="22.5" customHeight="1">
      <c r="A390" s="259"/>
    </row>
    <row r="391" ht="22.5" customHeight="1">
      <c r="A391" s="259"/>
    </row>
    <row r="392" ht="22.5" customHeight="1">
      <c r="A392" s="259"/>
    </row>
    <row r="393" ht="22.5" customHeight="1">
      <c r="A393" s="259"/>
    </row>
    <row r="394" ht="22.5" customHeight="1">
      <c r="A394" s="259"/>
    </row>
    <row r="395" ht="22.5" customHeight="1">
      <c r="A395" s="259"/>
    </row>
    <row r="396" ht="22.5" customHeight="1">
      <c r="A396" s="259"/>
    </row>
    <row r="397" ht="22.5" customHeight="1">
      <c r="A397" s="259"/>
    </row>
    <row r="398" ht="22.5" customHeight="1">
      <c r="A398" s="259"/>
    </row>
    <row r="399" ht="22.5" customHeight="1">
      <c r="A399" s="259"/>
    </row>
    <row r="400" ht="22.5" customHeight="1">
      <c r="A400" s="259"/>
    </row>
    <row r="401" ht="22.5" customHeight="1">
      <c r="A401" s="259"/>
    </row>
    <row r="402" ht="22.5" customHeight="1">
      <c r="A402" s="259"/>
    </row>
    <row r="403" ht="22.5" customHeight="1">
      <c r="A403" s="259"/>
    </row>
    <row r="404" ht="22.5" customHeight="1">
      <c r="A404" s="259"/>
    </row>
    <row r="405" ht="22.5" customHeight="1">
      <c r="A405" s="259"/>
    </row>
    <row r="406" ht="22.5" customHeight="1">
      <c r="A406" s="259"/>
    </row>
    <row r="407" ht="22.5" customHeight="1">
      <c r="A407" s="259"/>
    </row>
    <row r="408" ht="22.5" customHeight="1">
      <c r="A408" s="259"/>
    </row>
    <row r="409" ht="22.5" customHeight="1">
      <c r="A409" s="259"/>
    </row>
    <row r="410" ht="22.5" customHeight="1">
      <c r="A410" s="259"/>
    </row>
    <row r="411" ht="22.5" customHeight="1">
      <c r="A411" s="259"/>
    </row>
    <row r="412" ht="22.5" customHeight="1">
      <c r="A412" s="259"/>
    </row>
    <row r="413" ht="22.5" customHeight="1">
      <c r="A413" s="259"/>
    </row>
    <row r="414" ht="22.5" customHeight="1">
      <c r="A414" s="259"/>
    </row>
    <row r="415" ht="22.5" customHeight="1">
      <c r="A415" s="259"/>
    </row>
    <row r="416" ht="22.5" customHeight="1">
      <c r="A416" s="259"/>
    </row>
    <row r="417" ht="22.5" customHeight="1">
      <c r="A417" s="259"/>
    </row>
    <row r="418" ht="22.5" customHeight="1">
      <c r="A418" s="259"/>
    </row>
    <row r="419" ht="22.5" customHeight="1">
      <c r="A419" s="259"/>
    </row>
    <row r="420" ht="22.5" customHeight="1">
      <c r="A420" s="259"/>
    </row>
    <row r="421" ht="22.5" customHeight="1">
      <c r="A421" s="259"/>
    </row>
    <row r="422" ht="22.5" customHeight="1">
      <c r="A422" s="259"/>
    </row>
    <row r="423" ht="22.5" customHeight="1">
      <c r="A423" s="259"/>
    </row>
    <row r="424" ht="22.5" customHeight="1">
      <c r="A424" s="259"/>
    </row>
    <row r="425" ht="22.5" customHeight="1">
      <c r="A425" s="259"/>
    </row>
    <row r="426" ht="22.5" customHeight="1">
      <c r="A426" s="259"/>
    </row>
    <row r="427" ht="22.5" customHeight="1">
      <c r="A427" s="259"/>
    </row>
    <row r="428" ht="22.5" customHeight="1">
      <c r="A428" s="259"/>
    </row>
    <row r="429" ht="22.5" customHeight="1">
      <c r="A429" s="259"/>
    </row>
    <row r="430" ht="22.5" customHeight="1">
      <c r="A430" s="259"/>
    </row>
    <row r="431" ht="22.5" customHeight="1">
      <c r="A431" s="259"/>
    </row>
    <row r="432" ht="22.5" customHeight="1">
      <c r="A432" s="259"/>
    </row>
    <row r="433" ht="22.5" customHeight="1">
      <c r="A433" s="259"/>
    </row>
    <row r="434" ht="22.5" customHeight="1">
      <c r="A434" s="259"/>
    </row>
    <row r="435" ht="22.5" customHeight="1">
      <c r="A435" s="259"/>
    </row>
    <row r="436" ht="22.5" customHeight="1">
      <c r="A436" s="259"/>
    </row>
    <row r="437" ht="22.5" customHeight="1">
      <c r="A437" s="259"/>
    </row>
    <row r="438" ht="22.5" customHeight="1">
      <c r="A438" s="259"/>
    </row>
    <row r="439" ht="22.5" customHeight="1">
      <c r="A439" s="259"/>
    </row>
    <row r="440" ht="22.5" customHeight="1">
      <c r="A440" s="259"/>
    </row>
    <row r="441" ht="22.5" customHeight="1">
      <c r="A441" s="259"/>
    </row>
    <row r="442" ht="22.5" customHeight="1">
      <c r="A442" s="259"/>
    </row>
    <row r="443" ht="22.5" customHeight="1">
      <c r="A443" s="259"/>
    </row>
    <row r="444" ht="22.5" customHeight="1">
      <c r="A444" s="259"/>
    </row>
    <row r="445" ht="22.5" customHeight="1">
      <c r="A445" s="259"/>
    </row>
    <row r="446" ht="22.5" customHeight="1">
      <c r="A446" s="259"/>
    </row>
    <row r="447" ht="22.5" customHeight="1">
      <c r="A447" s="259"/>
    </row>
    <row r="448" ht="22.5" customHeight="1">
      <c r="A448" s="259"/>
    </row>
    <row r="449" ht="22.5" customHeight="1">
      <c r="A449" s="259"/>
    </row>
    <row r="450" ht="22.5" customHeight="1">
      <c r="A450" s="259"/>
    </row>
    <row r="451" ht="22.5" customHeight="1">
      <c r="A451" s="259"/>
    </row>
    <row r="452" ht="22.5" customHeight="1">
      <c r="A452" s="259"/>
    </row>
    <row r="453" ht="22.5" customHeight="1">
      <c r="A453" s="259"/>
    </row>
    <row r="454" ht="22.5" customHeight="1">
      <c r="A454" s="259"/>
    </row>
    <row r="455" ht="22.5" customHeight="1">
      <c r="A455" s="259"/>
    </row>
    <row r="456" ht="22.5" customHeight="1">
      <c r="A456" s="259"/>
    </row>
    <row r="457" ht="22.5" customHeight="1">
      <c r="A457" s="259"/>
    </row>
    <row r="458" ht="22.5" customHeight="1">
      <c r="A458" s="259"/>
    </row>
    <row r="459" ht="22.5" customHeight="1">
      <c r="A459" s="259"/>
    </row>
    <row r="460" ht="22.5" customHeight="1">
      <c r="A460" s="259"/>
    </row>
    <row r="461" ht="22.5" customHeight="1">
      <c r="A461" s="259"/>
    </row>
    <row r="462" ht="22.5" customHeight="1">
      <c r="A462" s="259"/>
    </row>
    <row r="463" ht="22.5" customHeight="1">
      <c r="A463" s="259"/>
    </row>
    <row r="464" ht="22.5" customHeight="1">
      <c r="A464" s="259"/>
    </row>
    <row r="465" ht="22.5" customHeight="1">
      <c r="A465" s="259"/>
    </row>
    <row r="466" ht="22.5" customHeight="1">
      <c r="A466" s="259"/>
    </row>
    <row r="467" ht="22.5" customHeight="1">
      <c r="A467" s="259"/>
    </row>
    <row r="468" ht="22.5" customHeight="1">
      <c r="A468" s="259"/>
    </row>
    <row r="469" ht="22.5" customHeight="1">
      <c r="A469" s="259"/>
    </row>
    <row r="470" ht="22.5" customHeight="1">
      <c r="A470" s="259"/>
    </row>
    <row r="471" ht="22.5" customHeight="1">
      <c r="A471" s="259"/>
    </row>
    <row r="472" ht="22.5" customHeight="1">
      <c r="A472" s="259"/>
    </row>
    <row r="473" ht="22.5" customHeight="1">
      <c r="A473" s="259"/>
    </row>
    <row r="474" ht="22.5" customHeight="1">
      <c r="A474" s="259"/>
    </row>
    <row r="475" ht="22.5" customHeight="1">
      <c r="A475" s="259"/>
    </row>
    <row r="476" ht="22.5" customHeight="1">
      <c r="A476" s="259"/>
    </row>
    <row r="477" ht="22.5" customHeight="1">
      <c r="A477" s="259"/>
    </row>
    <row r="478" ht="22.5" customHeight="1">
      <c r="A478" s="259"/>
    </row>
    <row r="479" ht="22.5" customHeight="1">
      <c r="A479" s="259"/>
    </row>
    <row r="480" ht="22.5" customHeight="1">
      <c r="A480" s="259"/>
    </row>
    <row r="481" ht="22.5" customHeight="1">
      <c r="A481" s="259"/>
    </row>
    <row r="482" ht="22.5" customHeight="1">
      <c r="A482" s="259"/>
    </row>
    <row r="483" ht="22.5" customHeight="1">
      <c r="A483" s="259"/>
    </row>
    <row r="484" ht="22.5" customHeight="1">
      <c r="A484" s="259"/>
    </row>
    <row r="485" ht="22.5" customHeight="1">
      <c r="A485" s="259"/>
    </row>
    <row r="486" ht="22.5" customHeight="1">
      <c r="A486" s="259"/>
    </row>
    <row r="487" ht="22.5" customHeight="1">
      <c r="A487" s="259"/>
    </row>
    <row r="488" ht="22.5" customHeight="1">
      <c r="A488" s="259"/>
    </row>
    <row r="489" ht="22.5" customHeight="1">
      <c r="A489" s="259"/>
    </row>
    <row r="490" ht="22.5" customHeight="1">
      <c r="A490" s="259"/>
    </row>
    <row r="491" ht="22.5" customHeight="1">
      <c r="A491" s="259"/>
    </row>
    <row r="492" ht="22.5" customHeight="1">
      <c r="A492" s="259"/>
    </row>
    <row r="493" ht="22.5" customHeight="1">
      <c r="A493" s="259"/>
    </row>
    <row r="494" ht="22.5" customHeight="1">
      <c r="A494" s="259"/>
    </row>
    <row r="495" ht="22.5" customHeight="1">
      <c r="A495" s="259"/>
    </row>
    <row r="496" ht="22.5" customHeight="1">
      <c r="A496" s="259"/>
    </row>
    <row r="497" ht="22.5" customHeight="1">
      <c r="A497" s="259"/>
    </row>
    <row r="498" ht="22.5" customHeight="1">
      <c r="A498" s="259"/>
    </row>
    <row r="499" ht="22.5" customHeight="1">
      <c r="A499" s="259"/>
    </row>
    <row r="500" ht="22.5" customHeight="1">
      <c r="A500" s="259"/>
    </row>
    <row r="501" ht="22.5" customHeight="1">
      <c r="A501" s="259"/>
    </row>
    <row r="502" ht="22.5" customHeight="1">
      <c r="A502" s="259"/>
    </row>
    <row r="503" ht="22.5" customHeight="1">
      <c r="A503" s="259"/>
    </row>
    <row r="504" ht="22.5" customHeight="1">
      <c r="A504" s="259"/>
    </row>
    <row r="505" ht="22.5" customHeight="1">
      <c r="A505" s="259"/>
    </row>
    <row r="506" ht="22.5" customHeight="1">
      <c r="A506" s="259"/>
    </row>
    <row r="507" ht="22.5" customHeight="1">
      <c r="A507" s="259"/>
    </row>
    <row r="508" ht="22.5" customHeight="1">
      <c r="A508" s="259"/>
    </row>
    <row r="509" ht="22.5" customHeight="1">
      <c r="A509" s="259"/>
    </row>
    <row r="510" ht="22.5" customHeight="1">
      <c r="A510" s="259"/>
    </row>
    <row r="511" ht="22.5" customHeight="1">
      <c r="A511" s="259"/>
    </row>
    <row r="512" ht="22.5" customHeight="1">
      <c r="A512" s="259"/>
    </row>
    <row r="513" ht="22.5" customHeight="1">
      <c r="A513" s="259"/>
    </row>
    <row r="514" ht="22.5" customHeight="1">
      <c r="A514" s="259"/>
    </row>
    <row r="515" ht="22.5" customHeight="1">
      <c r="A515" s="259"/>
    </row>
    <row r="516" ht="22.5" customHeight="1">
      <c r="A516" s="259"/>
    </row>
    <row r="517" ht="22.5" customHeight="1">
      <c r="A517" s="259"/>
    </row>
    <row r="518" ht="22.5" customHeight="1">
      <c r="A518" s="259"/>
    </row>
    <row r="519" ht="22.5" customHeight="1">
      <c r="A519" s="259"/>
    </row>
    <row r="520" ht="22.5" customHeight="1">
      <c r="A520" s="259"/>
    </row>
    <row r="521" ht="22.5" customHeight="1">
      <c r="A521" s="259"/>
    </row>
    <row r="522" ht="22.5" customHeight="1">
      <c r="A522" s="259"/>
    </row>
    <row r="523" ht="22.5" customHeight="1">
      <c r="A523" s="259"/>
    </row>
    <row r="524" ht="22.5" customHeight="1">
      <c r="A524" s="259"/>
    </row>
    <row r="525" ht="22.5" customHeight="1">
      <c r="A525" s="259"/>
    </row>
    <row r="526" ht="22.5" customHeight="1">
      <c r="A526" s="259"/>
    </row>
    <row r="527" ht="22.5" customHeight="1">
      <c r="A527" s="259"/>
    </row>
    <row r="528" ht="22.5" customHeight="1">
      <c r="A528" s="259"/>
    </row>
    <row r="529" ht="22.5" customHeight="1">
      <c r="A529" s="259"/>
    </row>
    <row r="530" ht="22.5" customHeight="1">
      <c r="A530" s="259"/>
    </row>
    <row r="531" ht="22.5" customHeight="1">
      <c r="A531" s="259"/>
    </row>
    <row r="532" ht="22.5" customHeight="1">
      <c r="A532" s="259"/>
    </row>
    <row r="533" ht="22.5" customHeight="1">
      <c r="A533" s="259"/>
    </row>
    <row r="534" ht="22.5" customHeight="1">
      <c r="A534" s="259"/>
    </row>
    <row r="535" ht="22.5" customHeight="1">
      <c r="A535" s="259"/>
    </row>
    <row r="536" ht="22.5" customHeight="1">
      <c r="A536" s="259"/>
    </row>
    <row r="537" ht="22.5" customHeight="1">
      <c r="A537" s="259"/>
    </row>
    <row r="538" ht="22.5" customHeight="1">
      <c r="A538" s="259"/>
    </row>
    <row r="539" ht="22.5" customHeight="1">
      <c r="A539" s="259"/>
    </row>
    <row r="540" ht="22.5" customHeight="1">
      <c r="A540" s="259"/>
    </row>
    <row r="541" ht="22.5" customHeight="1">
      <c r="A541" s="259"/>
    </row>
    <row r="542" ht="22.5" customHeight="1">
      <c r="A542" s="259"/>
    </row>
    <row r="543" ht="22.5" customHeight="1">
      <c r="A543" s="259"/>
    </row>
    <row r="544" ht="22.5" customHeight="1">
      <c r="A544" s="259"/>
    </row>
    <row r="545" ht="22.5" customHeight="1">
      <c r="A545" s="259"/>
    </row>
    <row r="546" ht="22.5" customHeight="1">
      <c r="A546" s="259"/>
    </row>
    <row r="547" ht="22.5" customHeight="1">
      <c r="A547" s="259"/>
    </row>
    <row r="548" ht="22.5" customHeight="1">
      <c r="A548" s="259"/>
    </row>
    <row r="549" ht="22.5" customHeight="1">
      <c r="A549" s="259"/>
    </row>
    <row r="550" ht="22.5" customHeight="1">
      <c r="A550" s="259"/>
    </row>
    <row r="551" ht="22.5" customHeight="1">
      <c r="A551" s="259"/>
    </row>
    <row r="552" ht="22.5" customHeight="1">
      <c r="A552" s="259"/>
    </row>
    <row r="553" ht="22.5" customHeight="1">
      <c r="A553" s="259"/>
    </row>
    <row r="554" ht="22.5" customHeight="1">
      <c r="A554" s="259"/>
    </row>
    <row r="555" ht="22.5" customHeight="1">
      <c r="A555" s="259"/>
    </row>
    <row r="556" ht="22.5" customHeight="1">
      <c r="A556" s="259"/>
    </row>
    <row r="557" ht="22.5" customHeight="1">
      <c r="A557" s="259"/>
    </row>
    <row r="558" ht="22.5" customHeight="1">
      <c r="A558" s="259"/>
    </row>
    <row r="559" ht="22.5" customHeight="1">
      <c r="A559" s="259"/>
    </row>
    <row r="560" ht="22.5" customHeight="1">
      <c r="A560" s="259"/>
    </row>
    <row r="561" ht="22.5" customHeight="1">
      <c r="A561" s="259"/>
    </row>
    <row r="562" ht="22.5" customHeight="1">
      <c r="A562" s="259"/>
    </row>
    <row r="563" ht="22.5" customHeight="1">
      <c r="A563" s="259"/>
    </row>
    <row r="564" ht="22.5" customHeight="1">
      <c r="A564" s="259"/>
    </row>
    <row r="565" ht="22.5" customHeight="1">
      <c r="A565" s="259"/>
    </row>
    <row r="566" ht="22.5" customHeight="1">
      <c r="A566" s="259"/>
    </row>
    <row r="567" ht="22.5" customHeight="1">
      <c r="A567" s="259"/>
    </row>
    <row r="568" ht="22.5" customHeight="1">
      <c r="A568" s="259"/>
    </row>
    <row r="569" ht="22.5" customHeight="1">
      <c r="A569" s="259"/>
    </row>
    <row r="570" ht="22.5" customHeight="1">
      <c r="A570" s="259"/>
    </row>
    <row r="571" ht="22.5" customHeight="1">
      <c r="A571" s="259"/>
    </row>
    <row r="572" ht="22.5" customHeight="1">
      <c r="A572" s="259"/>
    </row>
    <row r="573" ht="22.5" customHeight="1">
      <c r="A573" s="259"/>
    </row>
    <row r="574" ht="22.5" customHeight="1">
      <c r="A574" s="259"/>
    </row>
    <row r="575" ht="22.5" customHeight="1">
      <c r="A575" s="259"/>
    </row>
    <row r="576" ht="22.5" customHeight="1">
      <c r="A576" s="259"/>
    </row>
    <row r="577" ht="22.5" customHeight="1">
      <c r="A577" s="259"/>
    </row>
    <row r="578" ht="22.5" customHeight="1">
      <c r="A578" s="259"/>
    </row>
    <row r="579" ht="22.5" customHeight="1">
      <c r="A579" s="259"/>
    </row>
    <row r="580" ht="22.5" customHeight="1">
      <c r="A580" s="259"/>
    </row>
    <row r="581" ht="22.5" customHeight="1">
      <c r="A581" s="259"/>
    </row>
    <row r="582" ht="22.5" customHeight="1">
      <c r="A582" s="259"/>
    </row>
    <row r="583" ht="22.5" customHeight="1">
      <c r="A583" s="259"/>
    </row>
    <row r="584" ht="22.5" customHeight="1">
      <c r="A584" s="259"/>
    </row>
    <row r="585" ht="22.5" customHeight="1">
      <c r="A585" s="259"/>
    </row>
    <row r="586" ht="22.5" customHeight="1">
      <c r="A586" s="259"/>
    </row>
    <row r="587" ht="22.5" customHeight="1">
      <c r="A587" s="259"/>
    </row>
    <row r="588" ht="22.5" customHeight="1">
      <c r="A588" s="259"/>
    </row>
    <row r="589" ht="22.5" customHeight="1">
      <c r="A589" s="259"/>
    </row>
    <row r="590" ht="22.5" customHeight="1">
      <c r="A590" s="259"/>
    </row>
    <row r="591" ht="22.5" customHeight="1">
      <c r="A591" s="259"/>
    </row>
    <row r="592" ht="22.5" customHeight="1">
      <c r="A592" s="259"/>
    </row>
    <row r="593" ht="22.5" customHeight="1">
      <c r="A593" s="259"/>
    </row>
    <row r="594" ht="22.5" customHeight="1">
      <c r="A594" s="259"/>
    </row>
    <row r="595" ht="22.5" customHeight="1">
      <c r="A595" s="259"/>
    </row>
    <row r="596" ht="22.5" customHeight="1">
      <c r="A596" s="259"/>
    </row>
    <row r="597" ht="22.5" customHeight="1">
      <c r="A597" s="259"/>
    </row>
    <row r="598" ht="22.5" customHeight="1">
      <c r="A598" s="259"/>
    </row>
    <row r="599" ht="22.5" customHeight="1">
      <c r="A599" s="259"/>
    </row>
    <row r="600" ht="22.5" customHeight="1">
      <c r="A600" s="259"/>
    </row>
    <row r="601" ht="22.5" customHeight="1">
      <c r="A601" s="259"/>
    </row>
    <row r="602" ht="22.5" customHeight="1">
      <c r="A602" s="259"/>
    </row>
    <row r="603" ht="22.5" customHeight="1">
      <c r="A603" s="259"/>
    </row>
    <row r="604" ht="22.5" customHeight="1">
      <c r="A604" s="259"/>
    </row>
    <row r="605" ht="22.5" customHeight="1">
      <c r="A605" s="259"/>
    </row>
    <row r="606" ht="22.5" customHeight="1">
      <c r="A606" s="259"/>
    </row>
    <row r="607" ht="22.5" customHeight="1">
      <c r="A607" s="259"/>
    </row>
    <row r="608" ht="22.5" customHeight="1">
      <c r="A608" s="259"/>
    </row>
    <row r="609" ht="22.5" customHeight="1">
      <c r="A609" s="259"/>
    </row>
    <row r="610" ht="22.5" customHeight="1">
      <c r="A610" s="259"/>
    </row>
    <row r="611" ht="22.5" customHeight="1">
      <c r="A611" s="259"/>
    </row>
    <row r="612" ht="22.5" customHeight="1">
      <c r="A612" s="259"/>
    </row>
    <row r="613" ht="22.5" customHeight="1">
      <c r="A613" s="259"/>
    </row>
    <row r="614" ht="22.5" customHeight="1">
      <c r="A614" s="259"/>
    </row>
    <row r="615" ht="22.5" customHeight="1">
      <c r="A615" s="259"/>
    </row>
    <row r="616" ht="22.5" customHeight="1">
      <c r="A616" s="259"/>
    </row>
    <row r="617" ht="22.5" customHeight="1">
      <c r="A617" s="259"/>
    </row>
    <row r="618" ht="22.5" customHeight="1">
      <c r="A618" s="259"/>
    </row>
    <row r="619" ht="22.5" customHeight="1">
      <c r="A619" s="259"/>
    </row>
    <row r="620" ht="22.5" customHeight="1">
      <c r="A620" s="259"/>
    </row>
    <row r="621" ht="22.5" customHeight="1">
      <c r="A621" s="259"/>
    </row>
    <row r="622" ht="22.5" customHeight="1">
      <c r="A622" s="259"/>
    </row>
    <row r="623" ht="22.5" customHeight="1">
      <c r="A623" s="259"/>
    </row>
    <row r="624" ht="22.5" customHeight="1">
      <c r="A624" s="259"/>
    </row>
    <row r="625" ht="22.5" customHeight="1">
      <c r="A625" s="259"/>
    </row>
    <row r="626" ht="22.5" customHeight="1">
      <c r="A626" s="259"/>
    </row>
    <row r="627" ht="22.5" customHeight="1">
      <c r="A627" s="259"/>
    </row>
    <row r="628" ht="22.5" customHeight="1">
      <c r="A628" s="259"/>
    </row>
    <row r="629" ht="22.5" customHeight="1">
      <c r="A629" s="259"/>
    </row>
    <row r="630" ht="22.5" customHeight="1">
      <c r="A630" s="259"/>
    </row>
    <row r="631" ht="22.5" customHeight="1">
      <c r="A631" s="259"/>
    </row>
    <row r="632" ht="22.5" customHeight="1">
      <c r="A632" s="259"/>
    </row>
    <row r="633" ht="22.5" customHeight="1">
      <c r="A633" s="259"/>
    </row>
    <row r="634" ht="22.5" customHeight="1">
      <c r="A634" s="259"/>
    </row>
    <row r="635" ht="22.5" customHeight="1">
      <c r="A635" s="259"/>
    </row>
    <row r="636" ht="22.5" customHeight="1">
      <c r="A636" s="259"/>
    </row>
    <row r="637" ht="22.5" customHeight="1">
      <c r="A637" s="259"/>
    </row>
    <row r="638" ht="22.5" customHeight="1">
      <c r="A638" s="259"/>
    </row>
    <row r="639" ht="22.5" customHeight="1">
      <c r="A639" s="259"/>
    </row>
    <row r="640" ht="22.5" customHeight="1">
      <c r="A640" s="259"/>
    </row>
    <row r="641" ht="22.5" customHeight="1">
      <c r="A641" s="259"/>
    </row>
    <row r="642" ht="22.5" customHeight="1">
      <c r="A642" s="259"/>
    </row>
    <row r="643" ht="22.5" customHeight="1">
      <c r="A643" s="259"/>
    </row>
    <row r="644" ht="22.5" customHeight="1">
      <c r="A644" s="259"/>
    </row>
    <row r="645" ht="22.5" customHeight="1">
      <c r="A645" s="259"/>
    </row>
    <row r="646" ht="22.5" customHeight="1">
      <c r="A646" s="259"/>
    </row>
    <row r="647" ht="22.5" customHeight="1">
      <c r="A647" s="259"/>
    </row>
    <row r="648" ht="22.5" customHeight="1">
      <c r="A648" s="259"/>
    </row>
    <row r="649" ht="22.5" customHeight="1">
      <c r="A649" s="259"/>
    </row>
    <row r="650" ht="22.5" customHeight="1">
      <c r="A650" s="259"/>
    </row>
    <row r="651" ht="22.5" customHeight="1">
      <c r="A651" s="259"/>
    </row>
    <row r="652" ht="22.5" customHeight="1">
      <c r="A652" s="259"/>
    </row>
    <row r="653" ht="22.5" customHeight="1">
      <c r="A653" s="259"/>
    </row>
    <row r="654" ht="22.5" customHeight="1">
      <c r="A654" s="259"/>
    </row>
    <row r="655" ht="22.5" customHeight="1">
      <c r="A655" s="259"/>
    </row>
    <row r="656" ht="22.5" customHeight="1">
      <c r="A656" s="259"/>
    </row>
    <row r="657" ht="22.5" customHeight="1">
      <c r="A657" s="259"/>
    </row>
    <row r="658" ht="22.5" customHeight="1">
      <c r="A658" s="259"/>
    </row>
    <row r="659" ht="22.5" customHeight="1">
      <c r="A659" s="259"/>
    </row>
    <row r="660" ht="22.5" customHeight="1">
      <c r="A660" s="259"/>
    </row>
    <row r="661" ht="22.5" customHeight="1">
      <c r="A661" s="259"/>
    </row>
    <row r="662" ht="22.5" customHeight="1">
      <c r="A662" s="259"/>
    </row>
    <row r="663" ht="22.5" customHeight="1">
      <c r="A663" s="259"/>
    </row>
    <row r="664" ht="22.5" customHeight="1">
      <c r="A664" s="259"/>
    </row>
    <row r="665" ht="22.5" customHeight="1">
      <c r="A665" s="259"/>
    </row>
    <row r="666" ht="22.5" customHeight="1">
      <c r="A666" s="259"/>
    </row>
    <row r="667" ht="22.5" customHeight="1">
      <c r="A667" s="259"/>
    </row>
    <row r="668" ht="22.5" customHeight="1">
      <c r="A668" s="259"/>
    </row>
    <row r="669" ht="22.5" customHeight="1">
      <c r="A669" s="259"/>
    </row>
    <row r="670" ht="22.5" customHeight="1">
      <c r="A670" s="259"/>
    </row>
    <row r="671" ht="22.5" customHeight="1">
      <c r="A671" s="259"/>
    </row>
    <row r="672" ht="22.5" customHeight="1">
      <c r="A672" s="259"/>
    </row>
    <row r="673" ht="22.5" customHeight="1">
      <c r="A673" s="259"/>
    </row>
    <row r="674" ht="22.5" customHeight="1">
      <c r="A674" s="259"/>
    </row>
    <row r="675" ht="22.5" customHeight="1">
      <c r="A675" s="259"/>
    </row>
    <row r="676" ht="22.5" customHeight="1">
      <c r="A676" s="259"/>
    </row>
    <row r="677" ht="22.5" customHeight="1">
      <c r="A677" s="259"/>
    </row>
    <row r="678" ht="22.5" customHeight="1">
      <c r="A678" s="259"/>
    </row>
    <row r="679" ht="22.5" customHeight="1">
      <c r="A679" s="259"/>
    </row>
    <row r="680" ht="22.5" customHeight="1">
      <c r="A680" s="259"/>
    </row>
    <row r="681" ht="22.5" customHeight="1">
      <c r="A681" s="259"/>
    </row>
    <row r="682" ht="22.5" customHeight="1">
      <c r="A682" s="259"/>
    </row>
    <row r="683" ht="22.5" customHeight="1">
      <c r="A683" s="259"/>
    </row>
    <row r="684" ht="22.5" customHeight="1">
      <c r="A684" s="259"/>
    </row>
    <row r="685" ht="22.5" customHeight="1">
      <c r="A685" s="259"/>
    </row>
    <row r="686" ht="22.5" customHeight="1">
      <c r="A686" s="259"/>
    </row>
    <row r="687" ht="22.5" customHeight="1">
      <c r="A687" s="259"/>
    </row>
    <row r="688" ht="22.5" customHeight="1">
      <c r="A688" s="259"/>
    </row>
    <row r="689" ht="22.5" customHeight="1">
      <c r="A689" s="259"/>
    </row>
    <row r="690" ht="22.5" customHeight="1">
      <c r="A690" s="259"/>
    </row>
    <row r="691" ht="22.5" customHeight="1">
      <c r="A691" s="259"/>
    </row>
    <row r="692" ht="22.5" customHeight="1">
      <c r="A692" s="259"/>
    </row>
    <row r="693" ht="22.5" customHeight="1">
      <c r="A693" s="259"/>
    </row>
    <row r="694" ht="22.5" customHeight="1">
      <c r="A694" s="259"/>
    </row>
    <row r="695" ht="22.5" customHeight="1">
      <c r="A695" s="259"/>
    </row>
    <row r="696" ht="22.5" customHeight="1">
      <c r="A696" s="259"/>
    </row>
    <row r="697" ht="22.5" customHeight="1">
      <c r="A697" s="259"/>
    </row>
    <row r="698" ht="22.5" customHeight="1">
      <c r="A698" s="259"/>
    </row>
    <row r="699" ht="22.5" customHeight="1">
      <c r="A699" s="259"/>
    </row>
    <row r="700" ht="22.5" customHeight="1">
      <c r="A700" s="259"/>
    </row>
    <row r="701" ht="22.5" customHeight="1">
      <c r="A701" s="259"/>
    </row>
    <row r="702" ht="22.5" customHeight="1">
      <c r="A702" s="259"/>
    </row>
    <row r="703" ht="22.5" customHeight="1">
      <c r="A703" s="259"/>
    </row>
    <row r="704" ht="22.5" customHeight="1">
      <c r="A704" s="259"/>
    </row>
    <row r="705" ht="22.5" customHeight="1">
      <c r="A705" s="259"/>
    </row>
    <row r="706" ht="22.5" customHeight="1">
      <c r="A706" s="259"/>
    </row>
    <row r="707" ht="22.5" customHeight="1">
      <c r="A707" s="259"/>
    </row>
    <row r="708" ht="22.5" customHeight="1">
      <c r="A708" s="259"/>
    </row>
    <row r="709" ht="22.5" customHeight="1">
      <c r="A709" s="259"/>
    </row>
    <row r="710" ht="22.5" customHeight="1">
      <c r="A710" s="259"/>
    </row>
    <row r="711" ht="22.5" customHeight="1">
      <c r="A711" s="259"/>
    </row>
    <row r="712" ht="22.5" customHeight="1">
      <c r="A712" s="259"/>
    </row>
    <row r="713" ht="22.5" customHeight="1">
      <c r="A713" s="259"/>
    </row>
    <row r="714" ht="22.5" customHeight="1">
      <c r="A714" s="259"/>
    </row>
    <row r="715" ht="22.5" customHeight="1">
      <c r="A715" s="259"/>
    </row>
    <row r="716" ht="22.5" customHeight="1">
      <c r="A716" s="259"/>
    </row>
    <row r="717" ht="22.5" customHeight="1">
      <c r="A717" s="259"/>
    </row>
    <row r="718" ht="22.5" customHeight="1">
      <c r="A718" s="259"/>
    </row>
    <row r="719" ht="22.5" customHeight="1">
      <c r="A719" s="259"/>
    </row>
    <row r="720" ht="22.5" customHeight="1">
      <c r="A720" s="259"/>
    </row>
    <row r="721" ht="22.5" customHeight="1">
      <c r="A721" s="259"/>
    </row>
    <row r="722" ht="22.5" customHeight="1">
      <c r="A722" s="259"/>
    </row>
    <row r="723" ht="22.5" customHeight="1">
      <c r="A723" s="259"/>
    </row>
    <row r="724" ht="22.5" customHeight="1">
      <c r="A724" s="259"/>
    </row>
    <row r="725" ht="22.5" customHeight="1">
      <c r="A725" s="259"/>
    </row>
    <row r="726" ht="22.5" customHeight="1">
      <c r="A726" s="259"/>
    </row>
    <row r="727" ht="22.5" customHeight="1">
      <c r="A727" s="259"/>
    </row>
    <row r="728" ht="22.5" customHeight="1">
      <c r="A728" s="259"/>
    </row>
    <row r="729" ht="22.5" customHeight="1">
      <c r="A729" s="259"/>
    </row>
    <row r="730" ht="22.5" customHeight="1">
      <c r="A730" s="259"/>
    </row>
    <row r="731" ht="22.5" customHeight="1">
      <c r="A731" s="259"/>
    </row>
    <row r="732" ht="22.5" customHeight="1">
      <c r="A732" s="259"/>
    </row>
    <row r="733" ht="22.5" customHeight="1">
      <c r="A733" s="259"/>
    </row>
    <row r="734" ht="22.5" customHeight="1">
      <c r="A734" s="259"/>
    </row>
    <row r="735" ht="22.5" customHeight="1">
      <c r="A735" s="259"/>
    </row>
    <row r="736" ht="22.5" customHeight="1">
      <c r="A736" s="259"/>
    </row>
    <row r="737" ht="22.5" customHeight="1">
      <c r="A737" s="259"/>
    </row>
    <row r="738" ht="22.5" customHeight="1">
      <c r="A738" s="259"/>
    </row>
    <row r="739" ht="22.5" customHeight="1">
      <c r="A739" s="259"/>
    </row>
    <row r="740" ht="22.5" customHeight="1">
      <c r="A740" s="259"/>
    </row>
    <row r="741" ht="22.5" customHeight="1">
      <c r="A741" s="259"/>
    </row>
    <row r="742" ht="22.5" customHeight="1">
      <c r="A742" s="259"/>
    </row>
    <row r="743" ht="22.5" customHeight="1">
      <c r="A743" s="259"/>
    </row>
    <row r="744" ht="22.5" customHeight="1">
      <c r="A744" s="259"/>
    </row>
    <row r="745" ht="22.5" customHeight="1">
      <c r="A745" s="259"/>
    </row>
    <row r="746" ht="22.5" customHeight="1">
      <c r="A746" s="259"/>
    </row>
    <row r="747" ht="22.5" customHeight="1">
      <c r="A747" s="259"/>
    </row>
    <row r="748" ht="22.5" customHeight="1">
      <c r="A748" s="259"/>
    </row>
    <row r="749" ht="22.5" customHeight="1">
      <c r="A749" s="259"/>
    </row>
    <row r="750" ht="22.5" customHeight="1">
      <c r="A750" s="259"/>
    </row>
    <row r="751" ht="22.5" customHeight="1">
      <c r="A751" s="259"/>
    </row>
    <row r="752" ht="22.5" customHeight="1">
      <c r="A752" s="259"/>
    </row>
    <row r="753" ht="22.5" customHeight="1">
      <c r="A753" s="259"/>
    </row>
    <row r="754" ht="22.5" customHeight="1">
      <c r="A754" s="259"/>
    </row>
    <row r="755" ht="22.5" customHeight="1">
      <c r="A755" s="259"/>
    </row>
    <row r="756" ht="22.5" customHeight="1">
      <c r="A756" s="259"/>
    </row>
    <row r="757" ht="22.5" customHeight="1">
      <c r="A757" s="259"/>
    </row>
    <row r="758" ht="22.5" customHeight="1">
      <c r="A758" s="259"/>
    </row>
    <row r="759" ht="22.5" customHeight="1">
      <c r="A759" s="259"/>
    </row>
    <row r="760" ht="22.5" customHeight="1">
      <c r="A760" s="259"/>
    </row>
    <row r="761" ht="22.5" customHeight="1">
      <c r="A761" s="259"/>
    </row>
    <row r="762" ht="22.5" customHeight="1">
      <c r="A762" s="259"/>
    </row>
    <row r="763" ht="22.5" customHeight="1">
      <c r="A763" s="259"/>
    </row>
    <row r="764" ht="22.5" customHeight="1">
      <c r="A764" s="259"/>
    </row>
    <row r="765" ht="22.5" customHeight="1">
      <c r="A765" s="259"/>
    </row>
    <row r="766" ht="22.5" customHeight="1">
      <c r="A766" s="259"/>
    </row>
    <row r="767" ht="22.5" customHeight="1">
      <c r="A767" s="259"/>
    </row>
    <row r="768" ht="22.5" customHeight="1">
      <c r="A768" s="259"/>
    </row>
    <row r="769" ht="22.5" customHeight="1">
      <c r="A769" s="259"/>
    </row>
    <row r="770" ht="22.5" customHeight="1">
      <c r="A770" s="259"/>
    </row>
    <row r="771" ht="22.5" customHeight="1">
      <c r="A771" s="259"/>
    </row>
    <row r="772" ht="22.5" customHeight="1">
      <c r="A772" s="259"/>
    </row>
    <row r="773" ht="22.5" customHeight="1">
      <c r="A773" s="259"/>
    </row>
    <row r="774" ht="22.5" customHeight="1">
      <c r="A774" s="259"/>
    </row>
    <row r="775" ht="22.5" customHeight="1">
      <c r="A775" s="259"/>
    </row>
    <row r="776" ht="22.5" customHeight="1">
      <c r="A776" s="259"/>
    </row>
    <row r="777" ht="22.5" customHeight="1">
      <c r="A777" s="259"/>
    </row>
    <row r="778" ht="22.5" customHeight="1">
      <c r="A778" s="259"/>
    </row>
    <row r="779" ht="22.5" customHeight="1">
      <c r="A779" s="259"/>
    </row>
    <row r="780" ht="22.5" customHeight="1">
      <c r="A780" s="259"/>
    </row>
    <row r="781" ht="22.5" customHeight="1">
      <c r="A781" s="259"/>
    </row>
    <row r="782" ht="22.5" customHeight="1">
      <c r="A782" s="259"/>
    </row>
    <row r="783" ht="22.5" customHeight="1">
      <c r="A783" s="259"/>
    </row>
    <row r="784" ht="22.5" customHeight="1">
      <c r="A784" s="259"/>
    </row>
    <row r="785" ht="22.5" customHeight="1">
      <c r="A785" s="259"/>
    </row>
    <row r="786" ht="22.5" customHeight="1">
      <c r="A786" s="259"/>
    </row>
    <row r="787" ht="22.5" customHeight="1">
      <c r="A787" s="259"/>
    </row>
    <row r="788" ht="22.5" customHeight="1">
      <c r="A788" s="259"/>
    </row>
    <row r="789" ht="22.5" customHeight="1">
      <c r="A789" s="259"/>
    </row>
    <row r="790" ht="22.5" customHeight="1">
      <c r="A790" s="259"/>
    </row>
    <row r="791" ht="22.5" customHeight="1">
      <c r="A791" s="259"/>
    </row>
    <row r="792" ht="22.5" customHeight="1">
      <c r="A792" s="259"/>
    </row>
    <row r="793" ht="22.5" customHeight="1">
      <c r="A793" s="259"/>
    </row>
    <row r="794" ht="22.5" customHeight="1">
      <c r="A794" s="259"/>
    </row>
    <row r="795" ht="22.5" customHeight="1">
      <c r="A795" s="259"/>
    </row>
    <row r="796" ht="22.5" customHeight="1">
      <c r="A796" s="259"/>
    </row>
    <row r="797" ht="22.5" customHeight="1">
      <c r="A797" s="259"/>
    </row>
    <row r="798" ht="22.5" customHeight="1">
      <c r="A798" s="259"/>
    </row>
    <row r="799" ht="22.5" customHeight="1">
      <c r="A799" s="259"/>
    </row>
    <row r="800" ht="22.5" customHeight="1">
      <c r="A800" s="259"/>
    </row>
    <row r="801" ht="22.5" customHeight="1">
      <c r="A801" s="259"/>
    </row>
    <row r="802" ht="22.5" customHeight="1">
      <c r="A802" s="259"/>
    </row>
    <row r="803" ht="22.5" customHeight="1">
      <c r="A803" s="259"/>
    </row>
    <row r="804" ht="22.5" customHeight="1">
      <c r="A804" s="259"/>
    </row>
    <row r="805" ht="22.5" customHeight="1">
      <c r="A805" s="259"/>
    </row>
    <row r="806" ht="22.5" customHeight="1">
      <c r="A806" s="259"/>
    </row>
    <row r="807" ht="22.5" customHeight="1">
      <c r="A807" s="259"/>
    </row>
    <row r="808" ht="22.5" customHeight="1">
      <c r="A808" s="259"/>
    </row>
    <row r="809" ht="22.5" customHeight="1">
      <c r="A809" s="259"/>
    </row>
    <row r="810" ht="22.5" customHeight="1">
      <c r="A810" s="259"/>
    </row>
    <row r="811" ht="22.5" customHeight="1">
      <c r="A811" s="259"/>
    </row>
    <row r="812" ht="22.5" customHeight="1">
      <c r="A812" s="259"/>
    </row>
    <row r="813" ht="22.5" customHeight="1">
      <c r="A813" s="259"/>
    </row>
    <row r="814" ht="22.5" customHeight="1">
      <c r="A814" s="259"/>
    </row>
    <row r="815" ht="22.5" customHeight="1">
      <c r="A815" s="259"/>
    </row>
    <row r="816" ht="22.5" customHeight="1">
      <c r="A816" s="259"/>
    </row>
    <row r="817" ht="22.5" customHeight="1">
      <c r="A817" s="259"/>
    </row>
    <row r="818" ht="22.5" customHeight="1">
      <c r="A818" s="259"/>
    </row>
    <row r="819" ht="22.5" customHeight="1">
      <c r="A819" s="259"/>
    </row>
    <row r="820" ht="22.5" customHeight="1">
      <c r="A820" s="259"/>
    </row>
    <row r="821" ht="22.5" customHeight="1">
      <c r="A821" s="259"/>
    </row>
    <row r="822" ht="22.5" customHeight="1">
      <c r="A822" s="259"/>
    </row>
    <row r="823" ht="22.5" customHeight="1">
      <c r="A823" s="259"/>
    </row>
    <row r="824" ht="22.5" customHeight="1">
      <c r="A824" s="259"/>
    </row>
    <row r="825" ht="22.5" customHeight="1">
      <c r="A825" s="259"/>
    </row>
    <row r="826" ht="22.5" customHeight="1">
      <c r="A826" s="259"/>
    </row>
    <row r="827" ht="22.5" customHeight="1">
      <c r="A827" s="259"/>
    </row>
    <row r="828" ht="22.5" customHeight="1">
      <c r="A828" s="259"/>
    </row>
    <row r="829" ht="22.5" customHeight="1">
      <c r="A829" s="259"/>
    </row>
    <row r="830" ht="22.5" customHeight="1">
      <c r="A830" s="259"/>
    </row>
    <row r="831" ht="22.5" customHeight="1">
      <c r="A831" s="259"/>
    </row>
    <row r="832" ht="22.5" customHeight="1">
      <c r="A832" s="259"/>
    </row>
    <row r="833" ht="22.5" customHeight="1">
      <c r="A833" s="259"/>
    </row>
    <row r="834" ht="22.5" customHeight="1">
      <c r="A834" s="259"/>
    </row>
    <row r="835" ht="22.5" customHeight="1">
      <c r="A835" s="259"/>
    </row>
    <row r="836" ht="22.5" customHeight="1">
      <c r="A836" s="259"/>
    </row>
    <row r="837" ht="22.5" customHeight="1">
      <c r="A837" s="259"/>
    </row>
    <row r="838" ht="22.5" customHeight="1">
      <c r="A838" s="259"/>
    </row>
    <row r="839" ht="22.5" customHeight="1">
      <c r="A839" s="259"/>
    </row>
    <row r="840" ht="22.5" customHeight="1">
      <c r="A840" s="259"/>
    </row>
    <row r="841" ht="22.5" customHeight="1">
      <c r="A841" s="259"/>
    </row>
    <row r="842" ht="22.5" customHeight="1">
      <c r="A842" s="259"/>
    </row>
    <row r="843" ht="22.5" customHeight="1">
      <c r="A843" s="259"/>
    </row>
    <row r="844" ht="22.5" customHeight="1">
      <c r="A844" s="259"/>
    </row>
    <row r="845" ht="22.5" customHeight="1">
      <c r="A845" s="259"/>
    </row>
    <row r="846" ht="22.5" customHeight="1">
      <c r="A846" s="259"/>
    </row>
    <row r="847" ht="22.5" customHeight="1">
      <c r="A847" s="259"/>
    </row>
    <row r="848" ht="22.5" customHeight="1">
      <c r="A848" s="259"/>
    </row>
    <row r="849" ht="22.5" customHeight="1">
      <c r="A849" s="259"/>
    </row>
    <row r="850" ht="22.5" customHeight="1">
      <c r="A850" s="259"/>
    </row>
    <row r="851" ht="22.5" customHeight="1">
      <c r="A851" s="259"/>
    </row>
    <row r="852" ht="22.5" customHeight="1">
      <c r="A852" s="259"/>
    </row>
    <row r="853" ht="22.5" customHeight="1">
      <c r="A853" s="259"/>
    </row>
    <row r="854" ht="22.5" customHeight="1">
      <c r="A854" s="259"/>
    </row>
    <row r="855" ht="22.5" customHeight="1">
      <c r="A855" s="259"/>
    </row>
    <row r="856" ht="22.5" customHeight="1">
      <c r="A856" s="259"/>
    </row>
    <row r="857" ht="22.5" customHeight="1">
      <c r="A857" s="259"/>
    </row>
    <row r="858" ht="22.5" customHeight="1">
      <c r="A858" s="259"/>
    </row>
    <row r="859" ht="22.5" customHeight="1">
      <c r="A859" s="259"/>
    </row>
    <row r="860" ht="22.5" customHeight="1">
      <c r="A860" s="259"/>
    </row>
    <row r="861" ht="22.5" customHeight="1">
      <c r="A861" s="259"/>
    </row>
    <row r="862" ht="22.5" customHeight="1">
      <c r="A862" s="259"/>
    </row>
    <row r="863" ht="22.5" customHeight="1">
      <c r="A863" s="259"/>
    </row>
    <row r="864" ht="22.5" customHeight="1">
      <c r="A864" s="259"/>
    </row>
    <row r="865" ht="22.5" customHeight="1">
      <c r="A865" s="259"/>
    </row>
    <row r="866" ht="22.5" customHeight="1">
      <c r="A866" s="259"/>
    </row>
    <row r="867" ht="22.5" customHeight="1">
      <c r="A867" s="259"/>
    </row>
    <row r="868" ht="22.5" customHeight="1">
      <c r="A868" s="259"/>
    </row>
    <row r="869" ht="22.5" customHeight="1">
      <c r="A869" s="259"/>
    </row>
    <row r="870" ht="22.5" customHeight="1">
      <c r="A870" s="259"/>
    </row>
    <row r="871" ht="22.5" customHeight="1">
      <c r="A871" s="259"/>
    </row>
    <row r="872" ht="22.5" customHeight="1">
      <c r="A872" s="259"/>
    </row>
    <row r="873" ht="22.5" customHeight="1">
      <c r="A873" s="259"/>
    </row>
    <row r="874" ht="22.5" customHeight="1">
      <c r="A874" s="259"/>
    </row>
    <row r="875" ht="22.5" customHeight="1">
      <c r="A875" s="259"/>
    </row>
    <row r="876" ht="22.5" customHeight="1">
      <c r="A876" s="259"/>
    </row>
    <row r="877" ht="22.5" customHeight="1">
      <c r="A877" s="259"/>
    </row>
    <row r="878" ht="22.5" customHeight="1">
      <c r="A878" s="259"/>
    </row>
    <row r="879" ht="22.5" customHeight="1">
      <c r="A879" s="259"/>
    </row>
    <row r="880" ht="22.5" customHeight="1">
      <c r="A880" s="259"/>
    </row>
    <row r="881" ht="22.5" customHeight="1">
      <c r="A881" s="259"/>
    </row>
    <row r="882" ht="22.5" customHeight="1">
      <c r="A882" s="259"/>
    </row>
    <row r="883" ht="22.5" customHeight="1">
      <c r="A883" s="259"/>
    </row>
    <row r="884" ht="22.5" customHeight="1">
      <c r="A884" s="259"/>
    </row>
    <row r="885" ht="22.5" customHeight="1">
      <c r="A885" s="259"/>
    </row>
    <row r="886" ht="22.5" customHeight="1">
      <c r="A886" s="259"/>
    </row>
    <row r="887" ht="22.5" customHeight="1">
      <c r="A887" s="259"/>
    </row>
    <row r="888" ht="22.5" customHeight="1">
      <c r="A888" s="259"/>
    </row>
    <row r="889" ht="22.5" customHeight="1">
      <c r="A889" s="259"/>
    </row>
    <row r="890" ht="22.5" customHeight="1">
      <c r="A890" s="259"/>
    </row>
    <row r="891" ht="22.5" customHeight="1">
      <c r="A891" s="259"/>
    </row>
    <row r="892" ht="22.5" customHeight="1">
      <c r="A892" s="259"/>
    </row>
    <row r="893" ht="22.5" customHeight="1">
      <c r="A893" s="259"/>
    </row>
    <row r="894" ht="22.5" customHeight="1">
      <c r="A894" s="259"/>
    </row>
    <row r="895" ht="22.5" customHeight="1">
      <c r="A895" s="259"/>
    </row>
    <row r="896" ht="22.5" customHeight="1">
      <c r="A896" s="259"/>
    </row>
    <row r="897" ht="22.5" customHeight="1">
      <c r="A897" s="259"/>
    </row>
    <row r="898" ht="22.5" customHeight="1">
      <c r="A898" s="259"/>
    </row>
    <row r="899" ht="22.5" customHeight="1">
      <c r="A899" s="259"/>
    </row>
    <row r="900" ht="22.5" customHeight="1">
      <c r="A900" s="259"/>
    </row>
    <row r="901" ht="22.5" customHeight="1">
      <c r="A901" s="259"/>
    </row>
    <row r="902" ht="22.5" customHeight="1">
      <c r="A902" s="259"/>
    </row>
    <row r="903" ht="22.5" customHeight="1">
      <c r="A903" s="259"/>
    </row>
    <row r="904" ht="22.5" customHeight="1">
      <c r="A904" s="259"/>
    </row>
    <row r="905" ht="22.5" customHeight="1">
      <c r="A905" s="259"/>
    </row>
    <row r="906" ht="22.5" customHeight="1">
      <c r="A906" s="259"/>
    </row>
    <row r="907" ht="22.5" customHeight="1">
      <c r="A907" s="259"/>
    </row>
    <row r="908" ht="22.5" customHeight="1">
      <c r="A908" s="259"/>
    </row>
    <row r="909" ht="22.5" customHeight="1">
      <c r="A909" s="259"/>
    </row>
    <row r="910" ht="22.5" customHeight="1">
      <c r="A910" s="259"/>
    </row>
    <row r="911" ht="22.5" customHeight="1">
      <c r="A911" s="259"/>
    </row>
    <row r="912" ht="22.5" customHeight="1">
      <c r="A912" s="259"/>
    </row>
    <row r="913" ht="22.5" customHeight="1">
      <c r="A913" s="259"/>
    </row>
    <row r="914" ht="22.5" customHeight="1">
      <c r="A914" s="259"/>
    </row>
    <row r="915" ht="22.5" customHeight="1">
      <c r="A915" s="259"/>
    </row>
    <row r="916" ht="22.5" customHeight="1">
      <c r="A916" s="259"/>
    </row>
    <row r="917" ht="22.5" customHeight="1">
      <c r="A917" s="259"/>
    </row>
    <row r="918" ht="22.5" customHeight="1">
      <c r="A918" s="259"/>
    </row>
    <row r="919" ht="22.5" customHeight="1">
      <c r="A919" s="259"/>
    </row>
    <row r="920" ht="22.5" customHeight="1">
      <c r="A920" s="259"/>
    </row>
    <row r="921" ht="22.5" customHeight="1">
      <c r="A921" s="259"/>
    </row>
    <row r="922" ht="22.5" customHeight="1">
      <c r="A922" s="259"/>
    </row>
    <row r="923" ht="22.5" customHeight="1">
      <c r="A923" s="259"/>
    </row>
    <row r="924" ht="22.5" customHeight="1">
      <c r="A924" s="259"/>
    </row>
    <row r="925" ht="22.5" customHeight="1">
      <c r="A925" s="259"/>
    </row>
    <row r="926" ht="22.5" customHeight="1">
      <c r="A926" s="259"/>
    </row>
    <row r="927" ht="22.5" customHeight="1">
      <c r="A927" s="259"/>
    </row>
    <row r="928" ht="22.5" customHeight="1">
      <c r="A928" s="259"/>
    </row>
    <row r="929" ht="22.5" customHeight="1">
      <c r="A929" s="259"/>
    </row>
    <row r="930" ht="22.5" customHeight="1">
      <c r="A930" s="259"/>
    </row>
    <row r="931" ht="22.5" customHeight="1">
      <c r="A931" s="259"/>
    </row>
    <row r="932" ht="22.5" customHeight="1">
      <c r="A932" s="259"/>
    </row>
    <row r="933" ht="22.5" customHeight="1">
      <c r="A933" s="259"/>
    </row>
    <row r="934" ht="22.5" customHeight="1">
      <c r="A934" s="259"/>
    </row>
    <row r="935" ht="22.5" customHeight="1">
      <c r="A935" s="259"/>
    </row>
    <row r="936" ht="22.5" customHeight="1">
      <c r="A936" s="259"/>
    </row>
    <row r="937" ht="22.5" customHeight="1">
      <c r="A937" s="259"/>
    </row>
    <row r="938" ht="22.5" customHeight="1">
      <c r="A938" s="259"/>
    </row>
    <row r="939" ht="22.5" customHeight="1">
      <c r="A939" s="259"/>
    </row>
    <row r="940" ht="22.5" customHeight="1">
      <c r="A940" s="259"/>
    </row>
    <row r="941" ht="22.5" customHeight="1">
      <c r="A941" s="259"/>
    </row>
    <row r="942" ht="22.5" customHeight="1">
      <c r="A942" s="259"/>
    </row>
    <row r="943" ht="22.5" customHeight="1">
      <c r="A943" s="259"/>
    </row>
    <row r="944" ht="22.5" customHeight="1">
      <c r="A944" s="259"/>
    </row>
    <row r="945" ht="22.5" customHeight="1">
      <c r="A945" s="259"/>
    </row>
    <row r="946" ht="22.5" customHeight="1">
      <c r="A946" s="259"/>
    </row>
    <row r="947" ht="22.5" customHeight="1">
      <c r="A947" s="259"/>
    </row>
    <row r="948" ht="22.5" customHeight="1">
      <c r="A948" s="259"/>
    </row>
    <row r="949" ht="22.5" customHeight="1">
      <c r="A949" s="259"/>
    </row>
    <row r="950" ht="22.5" customHeight="1">
      <c r="A950" s="259"/>
    </row>
    <row r="951" ht="22.5" customHeight="1">
      <c r="A951" s="259"/>
    </row>
    <row r="952" ht="22.5" customHeight="1">
      <c r="A952" s="259"/>
    </row>
    <row r="953" ht="22.5" customHeight="1">
      <c r="A953" s="259"/>
    </row>
    <row r="954" ht="22.5" customHeight="1">
      <c r="A954" s="259"/>
    </row>
    <row r="955" ht="22.5" customHeight="1">
      <c r="A955" s="259"/>
    </row>
    <row r="956" ht="22.5" customHeight="1">
      <c r="A956" s="259"/>
    </row>
    <row r="957" ht="22.5" customHeight="1">
      <c r="A957" s="259"/>
    </row>
    <row r="958" ht="22.5" customHeight="1">
      <c r="A958" s="259"/>
    </row>
    <row r="959" ht="22.5" customHeight="1">
      <c r="A959" s="259"/>
    </row>
    <row r="960" ht="22.5" customHeight="1">
      <c r="A960" s="259"/>
    </row>
    <row r="961" ht="22.5" customHeight="1">
      <c r="A961" s="259"/>
    </row>
    <row r="962" ht="22.5" customHeight="1">
      <c r="A962" s="259"/>
    </row>
    <row r="963" ht="22.5" customHeight="1">
      <c r="A963" s="259"/>
    </row>
    <row r="964" ht="22.5" customHeight="1">
      <c r="A964" s="259"/>
    </row>
    <row r="965" ht="22.5" customHeight="1">
      <c r="A965" s="259"/>
    </row>
    <row r="966" ht="22.5" customHeight="1">
      <c r="A966" s="259"/>
    </row>
    <row r="967" ht="22.5" customHeight="1">
      <c r="A967" s="259"/>
    </row>
    <row r="968" ht="22.5" customHeight="1">
      <c r="A968" s="259"/>
    </row>
    <row r="969" ht="22.5" customHeight="1">
      <c r="A969" s="259"/>
    </row>
    <row r="970" ht="22.5" customHeight="1">
      <c r="A970" s="259"/>
    </row>
    <row r="971" ht="22.5" customHeight="1">
      <c r="A971" s="259"/>
    </row>
    <row r="972" ht="22.5" customHeight="1">
      <c r="A972" s="259"/>
    </row>
    <row r="973" ht="22.5" customHeight="1">
      <c r="A973" s="259"/>
    </row>
    <row r="974" ht="22.5" customHeight="1">
      <c r="A974" s="259"/>
    </row>
    <row r="975" ht="22.5" customHeight="1">
      <c r="A975" s="259"/>
    </row>
    <row r="976" ht="22.5" customHeight="1">
      <c r="A976" s="259"/>
    </row>
    <row r="977" ht="22.5" customHeight="1">
      <c r="A977" s="259"/>
    </row>
    <row r="978" ht="22.5" customHeight="1">
      <c r="A978" s="259"/>
    </row>
    <row r="979" ht="22.5" customHeight="1">
      <c r="A979" s="259"/>
    </row>
    <row r="980" ht="22.5" customHeight="1">
      <c r="A980" s="259"/>
    </row>
    <row r="981" ht="22.5" customHeight="1">
      <c r="A981" s="259"/>
    </row>
    <row r="982" ht="22.5" customHeight="1">
      <c r="A982" s="259"/>
    </row>
    <row r="983" ht="22.5" customHeight="1">
      <c r="A983" s="259"/>
    </row>
    <row r="984" ht="22.5" customHeight="1">
      <c r="A984" s="259"/>
    </row>
    <row r="985" ht="22.5" customHeight="1">
      <c r="A985" s="259"/>
    </row>
    <row r="986" ht="22.5" customHeight="1">
      <c r="A986" s="259"/>
    </row>
    <row r="987" ht="22.5" customHeight="1">
      <c r="A987" s="259"/>
    </row>
    <row r="988" ht="22.5" customHeight="1">
      <c r="A988" s="259"/>
    </row>
    <row r="989" ht="22.5" customHeight="1">
      <c r="A989" s="259"/>
    </row>
    <row r="990" ht="22.5" customHeight="1">
      <c r="A990" s="259"/>
    </row>
    <row r="991" ht="22.5" customHeight="1">
      <c r="A991" s="259"/>
    </row>
    <row r="992" ht="22.5" customHeight="1">
      <c r="A992" s="259"/>
    </row>
    <row r="993" ht="22.5" customHeight="1">
      <c r="A993" s="259"/>
    </row>
    <row r="994" ht="22.5" customHeight="1">
      <c r="A994" s="259"/>
    </row>
    <row r="995" ht="22.5" customHeight="1">
      <c r="A995" s="259"/>
    </row>
    <row r="996" ht="22.5" customHeight="1">
      <c r="A996" s="259"/>
    </row>
    <row r="997" ht="22.5" customHeight="1">
      <c r="A997" s="259"/>
    </row>
    <row r="998" ht="22.5" customHeight="1">
      <c r="A998" s="259"/>
    </row>
    <row r="999" ht="22.5" customHeight="1">
      <c r="A999" s="259"/>
    </row>
    <row r="1000" ht="22.5" customHeight="1">
      <c r="A1000" s="259"/>
    </row>
  </sheetData>
  <dataValidations>
    <dataValidation allowBlank="1" showDropDown="1" sqref="A2:A1000"/>
  </dataValidations>
  <hyperlinks>
    <hyperlink r:id="rId1" ref="I4"/>
    <hyperlink r:id="rId2" ref="I7"/>
    <hyperlink r:id="rId3" ref="I8"/>
    <hyperlink r:id="rId4" ref="I13"/>
    <hyperlink r:id="rId5" ref="I14"/>
    <hyperlink r:id="rId6" ref="I16"/>
    <hyperlink r:id="rId7" ref="I17"/>
    <hyperlink r:id="rId8" ref="I19"/>
    <hyperlink r:id="rId9" ref="I20"/>
    <hyperlink r:id="rId10" ref="I23"/>
    <hyperlink r:id="rId11" ref="I24"/>
    <hyperlink r:id="rId12" ref="I27"/>
    <hyperlink r:id="rId13" ref="I29"/>
    <hyperlink r:id="rId14" ref="I30"/>
    <hyperlink r:id="rId15" ref="I31"/>
    <hyperlink r:id="rId16" ref="I32"/>
    <hyperlink r:id="rId17" ref="I33"/>
    <hyperlink r:id="rId18" ref="I34"/>
  </hyperlinks>
  <drawing r:id="rId19"/>
  <tableParts count="1">
    <tablePart r:id="rId2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2.43"/>
    <col customWidth="1" min="2" max="2" width="13.0"/>
    <col customWidth="1" min="3" max="3" width="23.0"/>
    <col customWidth="1" min="4" max="4" width="33.14"/>
    <col customWidth="1" min="5" max="5" width="19.14"/>
    <col customWidth="1" min="6" max="6" width="15.57"/>
    <col customWidth="1" min="7" max="7" width="16.57"/>
    <col customWidth="1" min="8" max="8" width="20.71"/>
    <col customWidth="1" min="9" max="9" width="20.86"/>
    <col customWidth="1" min="10" max="10" width="22.29"/>
    <col customWidth="1" min="11" max="11" width="22.71"/>
    <col customWidth="1" min="12" max="12" width="16.29"/>
    <col customWidth="1" min="13" max="13" width="23.0"/>
    <col customWidth="1" min="14" max="14" width="19.14"/>
    <col customWidth="1" min="15" max="15" width="17.71"/>
    <col customWidth="1" min="16" max="16" width="19.29"/>
    <col customWidth="1" min="17" max="17" width="22.71"/>
    <col customWidth="1" min="18" max="20" width="16.29"/>
    <col customWidth="1" min="21" max="27" width="17.57"/>
  </cols>
  <sheetData>
    <row r="1">
      <c r="A1" s="265"/>
      <c r="B1" s="188"/>
      <c r="C1" s="188"/>
      <c r="D1" s="188"/>
      <c r="E1" s="188"/>
      <c r="F1" s="266"/>
      <c r="G1" s="265"/>
      <c r="H1" s="188"/>
      <c r="I1" s="267"/>
      <c r="J1" s="267"/>
      <c r="K1" s="188"/>
      <c r="L1" s="267"/>
      <c r="M1" s="268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</row>
    <row r="2">
      <c r="A2" s="265"/>
      <c r="B2" s="188"/>
      <c r="C2" s="188"/>
      <c r="D2" s="188"/>
      <c r="E2" s="188"/>
      <c r="F2" s="266"/>
      <c r="G2" s="265"/>
      <c r="H2" s="188"/>
      <c r="I2" s="267"/>
      <c r="J2" s="267"/>
      <c r="K2" s="188"/>
      <c r="L2" s="267"/>
      <c r="M2" s="268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</row>
    <row r="3" ht="22.5" customHeight="1">
      <c r="A3" s="269" t="s">
        <v>532</v>
      </c>
      <c r="B3" s="151" t="s">
        <v>533</v>
      </c>
      <c r="C3" s="151" t="s">
        <v>534</v>
      </c>
      <c r="D3" s="151" t="s">
        <v>309</v>
      </c>
      <c r="E3" s="151" t="s">
        <v>314</v>
      </c>
      <c r="F3" s="270" t="s">
        <v>535</v>
      </c>
      <c r="G3" s="269" t="s">
        <v>536</v>
      </c>
      <c r="H3" s="151" t="s">
        <v>537</v>
      </c>
      <c r="I3" s="171" t="s">
        <v>538</v>
      </c>
      <c r="J3" s="171" t="s">
        <v>539</v>
      </c>
      <c r="K3" s="151" t="s">
        <v>47</v>
      </c>
      <c r="L3" s="171" t="s">
        <v>540</v>
      </c>
      <c r="M3" s="271" t="s">
        <v>541</v>
      </c>
      <c r="N3" s="171" t="s">
        <v>542</v>
      </c>
      <c r="O3" s="171" t="s">
        <v>543</v>
      </c>
      <c r="P3" s="171" t="s">
        <v>544</v>
      </c>
      <c r="Q3" s="171" t="s">
        <v>545</v>
      </c>
      <c r="R3" s="171" t="s">
        <v>323</v>
      </c>
      <c r="S3" s="171" t="s">
        <v>324</v>
      </c>
      <c r="T3" s="171" t="s">
        <v>325</v>
      </c>
      <c r="U3" s="171" t="s">
        <v>326</v>
      </c>
      <c r="V3" s="171" t="s">
        <v>327</v>
      </c>
      <c r="W3" s="171" t="s">
        <v>328</v>
      </c>
      <c r="X3" s="171" t="s">
        <v>329</v>
      </c>
      <c r="Y3" s="171" t="s">
        <v>330</v>
      </c>
      <c r="Z3" s="171" t="s">
        <v>331</v>
      </c>
      <c r="AA3" s="171" t="s">
        <v>332</v>
      </c>
    </row>
    <row r="4" ht="22.5" customHeight="1">
      <c r="A4" s="269">
        <v>1.0</v>
      </c>
      <c r="B4" s="272">
        <v>45568.0</v>
      </c>
      <c r="C4" s="273" t="s">
        <v>342</v>
      </c>
      <c r="D4" s="258" t="str">
        <f t="array" ref="D4">IFERROR(
  INDEX(R_CLIENTES!B:B,
         MATCH(C4, R_CLIENTES!A:A, 0)
  ),
  ""
)</f>
        <v>Condominio Mirador Los Clarines</v>
      </c>
      <c r="E4" s="258" t="str">
        <f t="array" ref="E4">IFERROR(
  INDEX(R_CLIENTES!G:G,
         MATCH(C4, R_CLIENTES!A:A, 0)
  ),
  ""
)</f>
        <v>Emerson Castillo</v>
      </c>
      <c r="F4" s="273" t="s">
        <v>34</v>
      </c>
      <c r="G4" s="274" t="str">
        <f t="array" ref="G4">IFERROR(
  INDEX(R_CLIENTES!H:H,
         MATCH(C4, R_CLIENTES!A:A, 0)
  ),
  ""
)</f>
        <v>9-5982-3214</v>
      </c>
      <c r="H4" s="273" t="s">
        <v>35</v>
      </c>
      <c r="I4" s="273" t="s">
        <v>152</v>
      </c>
      <c r="J4" s="275">
        <v>200000.0</v>
      </c>
      <c r="K4" s="275">
        <f t="shared" ref="K4:K1003" si="1">IF(J4="","",IF(F4="SI",J4*0.19,0))</f>
        <v>38000</v>
      </c>
      <c r="L4" s="275">
        <f t="shared" ref="L4:L1003" si="2">IF(J4="","",J4+K4)</f>
        <v>238000</v>
      </c>
      <c r="M4" s="276" t="s">
        <v>546</v>
      </c>
      <c r="O4" s="273" t="s">
        <v>145</v>
      </c>
    </row>
    <row r="5" ht="22.5" customHeight="1">
      <c r="A5" s="269">
        <v>2.0</v>
      </c>
      <c r="B5" s="272">
        <v>45568.0</v>
      </c>
      <c r="C5" s="273" t="s">
        <v>354</v>
      </c>
      <c r="D5" s="258" t="str">
        <f t="array" ref="D5">IFERROR(
  INDEX(R_CLIENTES!B:B,
         MATCH(C5, R_CLIENTES!A:A, 0)
  ),
  ""
)</f>
        <v>Condominio Colinas del Milagro</v>
      </c>
      <c r="E5" s="258" t="str">
        <f t="array" ref="E5">IFERROR(
  INDEX(R_CLIENTES!G:G,
         MATCH(C5, R_CLIENTES!A:A, 0)
  ),
  ""
)</f>
        <v>Mauricio Araya</v>
      </c>
      <c r="F5" s="273" t="s">
        <v>34</v>
      </c>
      <c r="G5" s="274" t="str">
        <f t="array" ref="G5">IFERROR(
  INDEX(R_CLIENTES!H:H,
         MATCH(C5, R_CLIENTES!A:A, 0)
  ),
  ""
)</f>
        <v>9-97269955</v>
      </c>
      <c r="H5" s="273" t="s">
        <v>35</v>
      </c>
      <c r="I5" s="273" t="s">
        <v>152</v>
      </c>
      <c r="J5" s="275">
        <v>200000.0</v>
      </c>
      <c r="K5" s="275">
        <f t="shared" si="1"/>
        <v>38000</v>
      </c>
      <c r="L5" s="275">
        <f t="shared" si="2"/>
        <v>238000</v>
      </c>
      <c r="M5" s="276" t="s">
        <v>546</v>
      </c>
      <c r="O5" s="273" t="s">
        <v>145</v>
      </c>
    </row>
    <row r="6" ht="22.5" customHeight="1">
      <c r="A6" s="269">
        <v>3.0</v>
      </c>
      <c r="B6" s="272">
        <v>45568.0</v>
      </c>
      <c r="C6" s="273" t="s">
        <v>386</v>
      </c>
      <c r="D6" s="258" t="str">
        <f t="array" ref="D6">IFERROR(
  INDEX(R_CLIENTES!B:B,
         MATCH(C6, R_CLIENTES!A:A, 0)
  ),
  ""
)</f>
        <v>Comunidad Edificio Florencia</v>
      </c>
      <c r="E6" s="258" t="str">
        <f t="array" ref="E6">IFERROR(
  INDEX(R_CLIENTES!G:G,
         MATCH(C6, R_CLIENTES!A:A, 0)
  ),
  ""
)</f>
        <v>Guillermo Negrete</v>
      </c>
      <c r="F6" s="273" t="s">
        <v>34</v>
      </c>
      <c r="G6" s="274" t="str">
        <f t="array" ref="G6">IFERROR(
  INDEX(R_CLIENTES!H:H,
         MATCH(C6, R_CLIENTES!A:A, 0)
  ),
  ""
)</f>
        <v>9-93590543</v>
      </c>
      <c r="H6" s="273" t="s">
        <v>35</v>
      </c>
      <c r="I6" s="273" t="s">
        <v>152</v>
      </c>
      <c r="J6" s="277">
        <v>220000.0</v>
      </c>
      <c r="K6" s="275">
        <f t="shared" si="1"/>
        <v>41800</v>
      </c>
      <c r="L6" s="275">
        <f t="shared" si="2"/>
        <v>261800</v>
      </c>
      <c r="M6" s="276" t="s">
        <v>547</v>
      </c>
      <c r="N6" s="118" t="s">
        <v>548</v>
      </c>
      <c r="O6" s="273" t="s">
        <v>145</v>
      </c>
    </row>
    <row r="7" ht="22.5" customHeight="1">
      <c r="A7" s="269">
        <v>4.0</v>
      </c>
      <c r="B7" s="272">
        <v>45568.0</v>
      </c>
      <c r="C7" s="273" t="s">
        <v>391</v>
      </c>
      <c r="D7" s="258" t="str">
        <f t="array" ref="D7">IFERROR(
  INDEX(R_CLIENTES!B:B,
         MATCH(C7, R_CLIENTES!A:A, 0)
  ),
  ""
)</f>
        <v>CONDOMINIO V.I.V.E LA FLORIDA ORIENTE</v>
      </c>
      <c r="E7" s="258" t="str">
        <f t="array" ref="E7">IFERROR(
  INDEX(R_CLIENTES!G:G,
         MATCH(C7, R_CLIENTES!A:A, 0)
  ),
  ""
)</f>
        <v>Paola Robles</v>
      </c>
      <c r="F7" s="273" t="s">
        <v>34</v>
      </c>
      <c r="G7" s="274" t="str">
        <f t="array" ref="G7">IFERROR(
  INDEX(R_CLIENTES!H:H,
         MATCH(C7, R_CLIENTES!A:A, 0)
  ),
  ""
)</f>
        <v>9-95802922</v>
      </c>
      <c r="H7" s="273" t="s">
        <v>35</v>
      </c>
      <c r="I7" s="273" t="s">
        <v>152</v>
      </c>
      <c r="J7" s="277">
        <v>300000.0</v>
      </c>
      <c r="K7" s="275">
        <f t="shared" si="1"/>
        <v>57000</v>
      </c>
      <c r="L7" s="275">
        <f t="shared" si="2"/>
        <v>357000</v>
      </c>
      <c r="M7" s="276" t="s">
        <v>549</v>
      </c>
      <c r="N7" s="118" t="s">
        <v>550</v>
      </c>
      <c r="O7" s="273" t="s">
        <v>150</v>
      </c>
    </row>
    <row r="8" ht="22.5" customHeight="1">
      <c r="A8" s="269">
        <v>5.0</v>
      </c>
      <c r="B8" s="272">
        <v>45568.0</v>
      </c>
      <c r="C8" s="273" t="s">
        <v>381</v>
      </c>
      <c r="D8" s="258" t="str">
        <f t="array" ref="D8">IFERROR(
  INDEX(R_CLIENTES!B:B,
         MATCH(C8, R_CLIENTES!A:A, 0)
  ),
  ""
)</f>
        <v>Condominio Lomas de San Joaquin</v>
      </c>
      <c r="E8" s="258" t="str">
        <f t="array" ref="E8">IFERROR(
  INDEX(R_CLIENTES!G:G,
         MATCH(C8, R_CLIENTES!A:A, 0)
  ),
  ""
)</f>
        <v>Paola Robles</v>
      </c>
      <c r="F8" s="273" t="s">
        <v>34</v>
      </c>
      <c r="G8" s="274" t="str">
        <f t="array" ref="G8">IFERROR(
  INDEX(R_CLIENTES!H:H,
         MATCH(C8, R_CLIENTES!A:A, 0)
  ),
  ""
)</f>
        <v>9-95802922</v>
      </c>
      <c r="H8" s="273" t="s">
        <v>35</v>
      </c>
      <c r="I8" s="273" t="s">
        <v>149</v>
      </c>
      <c r="J8" s="277">
        <v>1400000.0</v>
      </c>
      <c r="K8" s="275">
        <f t="shared" si="1"/>
        <v>266000</v>
      </c>
      <c r="L8" s="275">
        <f t="shared" si="2"/>
        <v>1666000</v>
      </c>
      <c r="M8" s="278" t="s">
        <v>551</v>
      </c>
      <c r="N8" s="118" t="s">
        <v>552</v>
      </c>
      <c r="O8" s="273" t="s">
        <v>150</v>
      </c>
    </row>
    <row r="9" ht="22.5" customHeight="1">
      <c r="A9" s="269">
        <v>6.0</v>
      </c>
      <c r="B9" s="272">
        <v>45574.0</v>
      </c>
      <c r="C9" s="273" t="s">
        <v>386</v>
      </c>
      <c r="D9" s="258" t="str">
        <f t="array" ref="D9">IFERROR(
  INDEX(R_CLIENTES!B:B,
         MATCH(C9, R_CLIENTES!A:A, 0)
  ),
  ""
)</f>
        <v>Comunidad Edificio Florencia</v>
      </c>
      <c r="E9" s="258" t="str">
        <f t="array" ref="E9">IFERROR(
  INDEX(R_CLIENTES!G:G,
         MATCH(C9, R_CLIENTES!A:A, 0)
  ),
  ""
)</f>
        <v>Guillermo Negrete</v>
      </c>
      <c r="F9" s="273" t="s">
        <v>34</v>
      </c>
      <c r="G9" s="274" t="str">
        <f t="array" ref="G9">IFERROR(
  INDEX(R_CLIENTES!H:H,
         MATCH(C9, R_CLIENTES!A:A, 0)
  ),
  ""
)</f>
        <v>9-93590543</v>
      </c>
      <c r="H9" s="273" t="s">
        <v>35</v>
      </c>
      <c r="I9" s="273" t="s">
        <v>146</v>
      </c>
      <c r="J9" s="277">
        <v>230000.0</v>
      </c>
      <c r="K9" s="275">
        <f t="shared" si="1"/>
        <v>43700</v>
      </c>
      <c r="L9" s="275">
        <f t="shared" si="2"/>
        <v>273700</v>
      </c>
      <c r="M9" s="278" t="s">
        <v>553</v>
      </c>
      <c r="N9" s="118" t="s">
        <v>554</v>
      </c>
      <c r="O9" s="273" t="s">
        <v>150</v>
      </c>
    </row>
    <row r="10" ht="22.5" customHeight="1">
      <c r="A10" s="269">
        <v>7.0</v>
      </c>
      <c r="B10" s="279">
        <v>45576.0</v>
      </c>
      <c r="C10" s="273" t="s">
        <v>409</v>
      </c>
      <c r="D10" s="258" t="str">
        <f t="array" ref="D10">IFERROR(
  INDEX(R_CLIENTES!B:B,
         MATCH(C10, R_CLIENTES!A:A, 0)
  ),
  ""
)</f>
        <v>Condominio Los Tamarindos I</v>
      </c>
      <c r="E10" s="258" t="str">
        <f t="array" ref="E10">IFERROR(
  INDEX(R_CLIENTES!G:G,
         MATCH(C10, R_CLIENTES!A:A, 0)
  ),
  ""
)</f>
        <v>Norman Rojas</v>
      </c>
      <c r="F10" s="273" t="s">
        <v>38</v>
      </c>
      <c r="G10" s="274" t="str">
        <f t="array" ref="G10">IFERROR(
  INDEX(R_CLIENTES!H:H,
         MATCH(C10, R_CLIENTES!A:A, 0)
  ),
  ""
)</f>
        <v>9 49856345</v>
      </c>
      <c r="H10" s="273" t="s">
        <v>35</v>
      </c>
      <c r="I10" s="273" t="s">
        <v>149</v>
      </c>
      <c r="J10" s="277">
        <v>1500000.0</v>
      </c>
      <c r="K10" s="258">
        <f t="shared" si="1"/>
        <v>0</v>
      </c>
      <c r="L10" s="275">
        <f t="shared" si="2"/>
        <v>1500000</v>
      </c>
      <c r="M10" s="278" t="s">
        <v>555</v>
      </c>
      <c r="N10" s="118" t="s">
        <v>552</v>
      </c>
      <c r="O10" s="273" t="s">
        <v>150</v>
      </c>
    </row>
    <row r="11" ht="22.5" customHeight="1">
      <c r="A11" s="269">
        <v>8.0</v>
      </c>
      <c r="B11" s="279">
        <v>45576.0</v>
      </c>
      <c r="C11" s="273" t="s">
        <v>409</v>
      </c>
      <c r="D11" s="258" t="str">
        <f t="array" ref="D11">IFERROR(
  INDEX(R_CLIENTES!B:B,
         MATCH(C11, R_CLIENTES!A:A, 0)
  ),
  ""
)</f>
        <v>Condominio Los Tamarindos I</v>
      </c>
      <c r="E11" s="258" t="str">
        <f t="array" ref="E11">IFERROR(
  INDEX(R_CLIENTES!G:G,
         MATCH(C11, R_CLIENTES!A:A, 0)
  ),
  ""
)</f>
        <v>Norman Rojas</v>
      </c>
      <c r="F11" s="273" t="s">
        <v>38</v>
      </c>
      <c r="G11" s="274" t="str">
        <f t="array" ref="G11">IFERROR(
  INDEX(R_CLIENTES!H:H,
         MATCH(C11, R_CLIENTES!A:A, 0)
  ),
  ""
)</f>
        <v>9 49856345</v>
      </c>
      <c r="H11" s="273" t="s">
        <v>35</v>
      </c>
      <c r="I11" s="273" t="s">
        <v>146</v>
      </c>
      <c r="J11" s="277">
        <v>220000.0</v>
      </c>
      <c r="K11" s="258">
        <f t="shared" si="1"/>
        <v>0</v>
      </c>
      <c r="L11" s="275">
        <f t="shared" si="2"/>
        <v>220000</v>
      </c>
      <c r="M11" s="278" t="s">
        <v>547</v>
      </c>
      <c r="N11" s="118" t="s">
        <v>556</v>
      </c>
      <c r="O11" s="273" t="s">
        <v>150</v>
      </c>
    </row>
    <row r="12" ht="22.5" customHeight="1">
      <c r="A12" s="269">
        <v>9.0</v>
      </c>
      <c r="B12" s="272">
        <v>45580.0</v>
      </c>
      <c r="C12" s="273" t="s">
        <v>394</v>
      </c>
      <c r="D12" s="258" t="str">
        <f t="array" ref="D12">IFERROR(
  INDEX(R_CLIENTES!B:B,
         MATCH(C12, R_CLIENTES!A:A, 0)
  ),
  ""
)</f>
        <v>Condominio Jardin Central</v>
      </c>
      <c r="E12" s="258" t="str">
        <f t="array" ref="E12">IFERROR(
  INDEX(R_CLIENTES!G:G,
         MATCH(C12, R_CLIENTES!A:A, 0)
  ),
  ""
)</f>
        <v>Vanessa Guerra</v>
      </c>
      <c r="F12" s="273" t="s">
        <v>38</v>
      </c>
      <c r="G12" s="274" t="str">
        <f t="array" ref="G12">IFERROR(
  INDEX(R_CLIENTES!H:H,
         MATCH(C12, R_CLIENTES!A:A, 0)
  ),
  ""
)</f>
        <v>9 49856345</v>
      </c>
      <c r="H12" s="273" t="s">
        <v>35</v>
      </c>
      <c r="I12" s="273" t="s">
        <v>152</v>
      </c>
      <c r="J12" s="277">
        <v>170000.0</v>
      </c>
      <c r="K12" s="258">
        <f t="shared" si="1"/>
        <v>0</v>
      </c>
      <c r="L12" s="275">
        <f t="shared" si="2"/>
        <v>170000</v>
      </c>
      <c r="M12" s="278" t="s">
        <v>553</v>
      </c>
      <c r="N12" s="118" t="s">
        <v>557</v>
      </c>
      <c r="O12" s="273" t="s">
        <v>150</v>
      </c>
    </row>
    <row r="13" ht="22.5" customHeight="1">
      <c r="A13" s="269">
        <v>10.0</v>
      </c>
      <c r="B13" s="272">
        <v>45580.0</v>
      </c>
      <c r="C13" s="273" t="s">
        <v>402</v>
      </c>
      <c r="D13" s="258" t="str">
        <f t="array" ref="D13">IFERROR(
  INDEX(R_CLIENTES!B:B,
         MATCH(C13, R_CLIENTES!A:A, 0)
  ),
  ""
)</f>
        <v>Edificio Puerta Centro</v>
      </c>
      <c r="E13" s="258" t="str">
        <f t="array" ref="E13">IFERROR(
  INDEX(R_CLIENTES!G:G,
         MATCH(C13, R_CLIENTES!A:A, 0)
  ),
  ""
)</f>
        <v>César</v>
      </c>
      <c r="F13" s="273" t="s">
        <v>38</v>
      </c>
      <c r="G13" s="274" t="str">
        <f t="array" ref="G13">IFERROR(
  INDEX(R_CLIENTES!H:H,
         MATCH(C13, R_CLIENTES!A:A, 0)
  ),
  ""
)</f>
        <v>9 98402129</v>
      </c>
      <c r="H13" s="273" t="s">
        <v>35</v>
      </c>
      <c r="I13" s="273" t="s">
        <v>152</v>
      </c>
      <c r="J13" s="277">
        <v>170000.0</v>
      </c>
      <c r="K13" s="258">
        <f t="shared" si="1"/>
        <v>0</v>
      </c>
      <c r="L13" s="275">
        <f t="shared" si="2"/>
        <v>170000</v>
      </c>
      <c r="M13" s="278" t="s">
        <v>553</v>
      </c>
      <c r="N13" s="118" t="s">
        <v>558</v>
      </c>
      <c r="O13" s="273" t="s">
        <v>150</v>
      </c>
    </row>
    <row r="14" ht="22.5" customHeight="1">
      <c r="A14" s="269">
        <v>11.0</v>
      </c>
      <c r="B14" s="272">
        <v>45580.0</v>
      </c>
      <c r="C14" s="273" t="s">
        <v>413</v>
      </c>
      <c r="D14" s="258" t="str">
        <f t="array" ref="D14">IFERROR(
  INDEX(R_CLIENTES!B:B,
         MATCH(C14, R_CLIENTES!A:A, 0)
  ),
  ""
)</f>
        <v>Condominio Neo Spazio</v>
      </c>
      <c r="E14" s="258" t="str">
        <f t="array" ref="E14">IFERROR(
  INDEX(R_CLIENTES!G:G,
         MATCH(C14, R_CLIENTES!A:A, 0)
  ),
  ""
)</f>
        <v>Guillermo Negrete</v>
      </c>
      <c r="F14" s="273" t="s">
        <v>34</v>
      </c>
      <c r="G14" s="274" t="str">
        <f t="array" ref="G14">IFERROR(
  INDEX(R_CLIENTES!H:H,
         MATCH(C14, R_CLIENTES!A:A, 0)
  ),
  ""
)</f>
        <v>9-93590543</v>
      </c>
      <c r="H14" s="273" t="s">
        <v>35</v>
      </c>
      <c r="I14" s="273" t="s">
        <v>146</v>
      </c>
      <c r="J14" s="277">
        <v>1250000.0</v>
      </c>
      <c r="K14" s="275">
        <f t="shared" si="1"/>
        <v>237500</v>
      </c>
      <c r="L14" s="275">
        <f t="shared" si="2"/>
        <v>1487500</v>
      </c>
      <c r="M14" s="278" t="s">
        <v>559</v>
      </c>
      <c r="N14" s="277" t="s">
        <v>560</v>
      </c>
      <c r="O14" s="273" t="s">
        <v>150</v>
      </c>
    </row>
    <row r="15" ht="22.5" customHeight="1">
      <c r="A15" s="269">
        <v>12.0</v>
      </c>
      <c r="B15" s="280">
        <v>45509.0</v>
      </c>
      <c r="C15" s="273" t="s">
        <v>365</v>
      </c>
      <c r="D15" s="258" t="str">
        <f t="array" ref="D15">IFERROR(
  INDEX(R_CLIENTES!B:B,
         MATCH(C15, R_CLIENTES!A:A, 0)
  ),
  ""
)</f>
        <v>Condominio Mirador El Milagro</v>
      </c>
      <c r="E15" s="258" t="str">
        <f t="array" ref="E15">IFERROR(
  INDEX(R_CLIENTES!G:G,
         MATCH(C15, R_CLIENTES!A:A, 0)
  ),
  ""
)</f>
        <v>Camila Godoy</v>
      </c>
      <c r="F15" s="273" t="s">
        <v>34</v>
      </c>
      <c r="G15" s="274" t="str">
        <f t="array" ref="G15">IFERROR(
  INDEX(R_CLIENTES!H:H,
         MATCH(C15, R_CLIENTES!A:A, 0)
  ),
  ""
)</f>
        <v>9-44637185</v>
      </c>
      <c r="H15" s="273" t="s">
        <v>35</v>
      </c>
      <c r="I15" s="273" t="s">
        <v>149</v>
      </c>
      <c r="J15" s="277">
        <v>1435990.0</v>
      </c>
      <c r="K15" s="275">
        <f t="shared" si="1"/>
        <v>272838.1</v>
      </c>
      <c r="L15" s="275">
        <f t="shared" si="2"/>
        <v>1708828.1</v>
      </c>
      <c r="M15" s="278" t="s">
        <v>561</v>
      </c>
      <c r="N15" s="118" t="s">
        <v>562</v>
      </c>
      <c r="O15" s="273" t="s">
        <v>145</v>
      </c>
    </row>
    <row r="16" ht="22.5" customHeight="1">
      <c r="A16" s="269">
        <v>13.0</v>
      </c>
      <c r="B16" s="280">
        <v>45366.0</v>
      </c>
      <c r="C16" s="273" t="s">
        <v>354</v>
      </c>
      <c r="D16" s="258" t="str">
        <f t="array" ref="D16">IFERROR(
  INDEX(R_CLIENTES!B:B,
         MATCH(C16, R_CLIENTES!A:A, 0)
  ),
  ""
)</f>
        <v>Condominio Colinas del Milagro</v>
      </c>
      <c r="E16" s="258" t="str">
        <f t="array" ref="E16">IFERROR(
  INDEX(R_CLIENTES!G:G,
         MATCH(C16, R_CLIENTES!A:A, 0)
  ),
  ""
)</f>
        <v>Mauricio Araya</v>
      </c>
      <c r="F16" s="273" t="s">
        <v>34</v>
      </c>
      <c r="G16" s="274" t="str">
        <f t="array" ref="G16">IFERROR(
  INDEX(R_CLIENTES!H:H,
         MATCH(C16, R_CLIENTES!A:A, 0)
  ),
  ""
)</f>
        <v>9-97269955</v>
      </c>
      <c r="H16" s="273" t="s">
        <v>35</v>
      </c>
      <c r="I16" s="273" t="s">
        <v>149</v>
      </c>
      <c r="J16" s="277">
        <v>1340000.0</v>
      </c>
      <c r="K16" s="275">
        <f t="shared" si="1"/>
        <v>254600</v>
      </c>
      <c r="L16" s="275">
        <f t="shared" si="2"/>
        <v>1594600</v>
      </c>
      <c r="M16" s="278" t="s">
        <v>563</v>
      </c>
      <c r="N16" s="118" t="s">
        <v>562</v>
      </c>
      <c r="O16" s="273" t="s">
        <v>145</v>
      </c>
    </row>
    <row r="17" ht="22.5" customHeight="1">
      <c r="A17" s="269">
        <v>14.0</v>
      </c>
      <c r="B17" s="272">
        <v>45586.0</v>
      </c>
      <c r="C17" s="273" t="s">
        <v>354</v>
      </c>
      <c r="D17" s="258" t="str">
        <f t="array" ref="D17">IFERROR(
  INDEX(R_CLIENTES!B:B,
         MATCH(C17, R_CLIENTES!A:A, 0)
  ),
  ""
)</f>
        <v>Condominio Colinas del Milagro</v>
      </c>
      <c r="E17" s="258" t="str">
        <f t="array" ref="E17">IFERROR(
  INDEX(R_CLIENTES!G:G,
         MATCH(C17, R_CLIENTES!A:A, 0)
  ),
  ""
)</f>
        <v>Mauricio Araya</v>
      </c>
      <c r="F17" s="273" t="s">
        <v>34</v>
      </c>
      <c r="G17" s="274" t="str">
        <f t="array" ref="G17">IFERROR(
  INDEX(R_CLIENTES!H:H,
         MATCH(C17, R_CLIENTES!A:A, 0)
  ),
  ""
)</f>
        <v>9-97269955</v>
      </c>
      <c r="H17" s="273" t="s">
        <v>35</v>
      </c>
      <c r="I17" s="273" t="s">
        <v>149</v>
      </c>
      <c r="J17" s="277">
        <v>370000.0</v>
      </c>
      <c r="K17" s="275">
        <f t="shared" si="1"/>
        <v>70300</v>
      </c>
      <c r="L17" s="275">
        <f t="shared" si="2"/>
        <v>440300</v>
      </c>
      <c r="M17" s="278" t="s">
        <v>564</v>
      </c>
      <c r="N17" s="118" t="s">
        <v>565</v>
      </c>
      <c r="O17" s="273" t="s">
        <v>145</v>
      </c>
    </row>
    <row r="18" ht="22.5" customHeight="1">
      <c r="A18" s="269">
        <v>15.0</v>
      </c>
      <c r="B18" s="272">
        <v>45604.0</v>
      </c>
      <c r="C18" s="273" t="s">
        <v>423</v>
      </c>
      <c r="D18" s="258" t="str">
        <f t="array" ref="D18">IFERROR(
  INDEX(R_CLIENTES!B:B,
         MATCH(C18, R_CLIENTES!A:A, 0)
  ),
  ""
)</f>
        <v>Cond Artes 1</v>
      </c>
      <c r="E18" s="258" t="str">
        <f t="array" ref="E18">IFERROR(
  INDEX(R_CLIENTES!G:G,
         MATCH(C18, R_CLIENTES!A:A, 0)
  ),
  ""
)</f>
        <v>Carlos Hinojosa</v>
      </c>
      <c r="F18" s="273" t="s">
        <v>34</v>
      </c>
      <c r="G18" s="274" t="str">
        <f t="array" ref="G18">IFERROR(
  INDEX(R_CLIENTES!H:H,
         MATCH(C18, R_CLIENTES!A:A, 0)
  ),
  ""
)</f>
        <v> 9 7806 9280</v>
      </c>
      <c r="H18" s="273" t="s">
        <v>35</v>
      </c>
      <c r="I18" s="273" t="s">
        <v>144</v>
      </c>
      <c r="J18" s="277">
        <v>1660000.0</v>
      </c>
      <c r="K18" s="275">
        <f t="shared" si="1"/>
        <v>315400</v>
      </c>
      <c r="L18" s="275">
        <f t="shared" si="2"/>
        <v>1975400</v>
      </c>
      <c r="M18" s="278" t="s">
        <v>566</v>
      </c>
      <c r="N18" s="118" t="s">
        <v>567</v>
      </c>
      <c r="O18" s="273" t="s">
        <v>145</v>
      </c>
    </row>
    <row r="19" ht="22.5" customHeight="1">
      <c r="A19" s="269">
        <v>16.0</v>
      </c>
      <c r="B19" s="280">
        <v>45518.0</v>
      </c>
      <c r="C19" s="273" t="s">
        <v>371</v>
      </c>
      <c r="D19" s="258" t="str">
        <f t="array" ref="D19">IFERROR(
  INDEX(R_CLIENTES!B:B,
         MATCH(C19, R_CLIENTES!A:A, 0)
  ),
  ""
)</f>
        <v>Sociedad Educacional Shalom SpA</v>
      </c>
      <c r="E19" s="258" t="str">
        <f t="array" ref="E19">IFERROR(
  INDEX(R_CLIENTES!G:G,
         MATCH(C19, R_CLIENTES!A:A, 0)
  ),
  ""
)</f>
        <v>Jorge Adm</v>
      </c>
      <c r="F19" s="273" t="s">
        <v>34</v>
      </c>
      <c r="G19" s="274">
        <f t="array" ref="G19">IFERROR(
  INDEX(R_CLIENTES!H:H,
         MATCH(C19, R_CLIENTES!A:A, 0)
  ),
  ""
)</f>
        <v>999847687</v>
      </c>
      <c r="H19" s="273" t="s">
        <v>35</v>
      </c>
      <c r="I19" s="273" t="s">
        <v>146</v>
      </c>
      <c r="J19" s="277">
        <v>1490000.0</v>
      </c>
      <c r="K19" s="275">
        <f t="shared" si="1"/>
        <v>283100</v>
      </c>
      <c r="L19" s="275">
        <f t="shared" si="2"/>
        <v>1773100</v>
      </c>
      <c r="M19" s="278" t="s">
        <v>568</v>
      </c>
      <c r="N19" s="118" t="s">
        <v>562</v>
      </c>
      <c r="O19" s="273" t="s">
        <v>145</v>
      </c>
    </row>
    <row r="20" ht="22.5" customHeight="1">
      <c r="A20" s="269">
        <v>17.0</v>
      </c>
      <c r="B20" s="272">
        <v>45615.0</v>
      </c>
      <c r="C20" s="273" t="s">
        <v>428</v>
      </c>
      <c r="D20" s="258" t="str">
        <f t="array" ref="D20">IFERROR(
  INDEX(R_CLIENTES!B:B,
         MATCH(C20, R_CLIENTES!A:A, 0)
  ),
  ""
)</f>
        <v>Sociedad Educacional Basaldiaz S.A</v>
      </c>
      <c r="E20" s="258" t="str">
        <f t="array" ref="E20">IFERROR(
  INDEX(R_CLIENTES!G:G,
         MATCH(C20, R_CLIENTES!A:A, 0)
  ),
  ""
)</f>
        <v>Jonatan Mena</v>
      </c>
      <c r="F20" s="273" t="s">
        <v>34</v>
      </c>
      <c r="G20" s="274">
        <f t="array" ref="G20">IFERROR(
  INDEX(R_CLIENTES!H:H,
         MATCH(C20, R_CLIENTES!A:A, 0)
  ),
  ""
)</f>
        <v>949911870</v>
      </c>
      <c r="H20" s="273" t="s">
        <v>35</v>
      </c>
      <c r="I20" s="273" t="s">
        <v>146</v>
      </c>
      <c r="J20" s="277">
        <v>1110000.0</v>
      </c>
      <c r="K20" s="275">
        <f t="shared" si="1"/>
        <v>210900</v>
      </c>
      <c r="L20" s="275">
        <f t="shared" si="2"/>
        <v>1320900</v>
      </c>
      <c r="M20" s="278" t="s">
        <v>569</v>
      </c>
      <c r="N20" s="118" t="s">
        <v>562</v>
      </c>
      <c r="O20" s="273" t="s">
        <v>150</v>
      </c>
    </row>
    <row r="21" ht="22.5" customHeight="1">
      <c r="A21" s="269">
        <v>18.0</v>
      </c>
      <c r="B21" s="272">
        <v>45615.0</v>
      </c>
      <c r="C21" s="273" t="s">
        <v>428</v>
      </c>
      <c r="D21" s="258" t="str">
        <f t="array" ref="D21">IFERROR(
  INDEX(R_CLIENTES!B:B,
         MATCH(C21, R_CLIENTES!A:A, 0)
  ),
  ""
)</f>
        <v>Sociedad Educacional Basaldiaz S.A</v>
      </c>
      <c r="E21" s="258" t="str">
        <f t="array" ref="E21">IFERROR(
  INDEX(R_CLIENTES!G:G,
         MATCH(C21, R_CLIENTES!A:A, 0)
  ),
  ""
)</f>
        <v>Jonatan Mena</v>
      </c>
      <c r="F21" s="273" t="s">
        <v>34</v>
      </c>
      <c r="G21" s="274">
        <f t="array" ref="G21">IFERROR(
  INDEX(R_CLIENTES!H:H,
         MATCH(C21, R_CLIENTES!A:A, 0)
  ),
  ""
)</f>
        <v>949911870</v>
      </c>
      <c r="H21" s="273" t="s">
        <v>35</v>
      </c>
      <c r="I21" s="273" t="s">
        <v>146</v>
      </c>
      <c r="J21" s="277">
        <v>1300000.0</v>
      </c>
      <c r="K21" s="275">
        <f t="shared" si="1"/>
        <v>247000</v>
      </c>
      <c r="L21" s="275">
        <f t="shared" si="2"/>
        <v>1547000</v>
      </c>
      <c r="M21" s="278" t="s">
        <v>570</v>
      </c>
      <c r="N21" s="118" t="s">
        <v>562</v>
      </c>
      <c r="O21" s="273" t="s">
        <v>150</v>
      </c>
    </row>
    <row r="22" ht="22.5" customHeight="1">
      <c r="A22" s="269">
        <v>19.0</v>
      </c>
      <c r="B22" s="272">
        <v>45622.0</v>
      </c>
      <c r="C22" s="273" t="s">
        <v>433</v>
      </c>
      <c r="D22" s="258" t="str">
        <f t="array" ref="D22">IFERROR(
  INDEX(R_CLIENTES!B:B,
         MATCH(C22, R_CLIENTES!A:A, 0)
  ),
  ""
)</f>
        <v>Portal del Valle II </v>
      </c>
      <c r="E22" s="258" t="str">
        <f t="array" ref="E22">IFERROR(
  INDEX(R_CLIENTES!G:G,
         MATCH(C22, R_CLIENTES!A:A, 0)
  ),
  ""
)</f>
        <v>Mauricio Araya</v>
      </c>
      <c r="F22" s="273" t="s">
        <v>34</v>
      </c>
      <c r="G22" s="274" t="str">
        <f t="array" ref="G22">IFERROR(
  INDEX(R_CLIENTES!H:H,
         MATCH(C22, R_CLIENTES!A:A, 0)
  ),
  ""
)</f>
        <v>9-97269955</v>
      </c>
      <c r="H22" s="273" t="s">
        <v>35</v>
      </c>
      <c r="I22" s="273" t="s">
        <v>146</v>
      </c>
      <c r="J22" s="277">
        <v>1645813.0</v>
      </c>
      <c r="K22" s="275">
        <f t="shared" si="1"/>
        <v>312704.47</v>
      </c>
      <c r="L22" s="275">
        <f t="shared" si="2"/>
        <v>1958517.47</v>
      </c>
      <c r="M22" s="278" t="s">
        <v>571</v>
      </c>
      <c r="O22" s="273" t="s">
        <v>145</v>
      </c>
    </row>
    <row r="23" ht="22.5" customHeight="1">
      <c r="A23" s="269">
        <v>20.0</v>
      </c>
      <c r="B23" s="280">
        <v>45699.0</v>
      </c>
      <c r="C23" s="273" t="s">
        <v>386</v>
      </c>
      <c r="D23" s="258" t="str">
        <f t="array" ref="D23">IFERROR(
  INDEX(R_CLIENTES!B:B,
         MATCH(C23, R_CLIENTES!A:A, 0)
  ),
  ""
)</f>
        <v>Comunidad Edificio Florencia</v>
      </c>
      <c r="E23" s="258" t="str">
        <f t="array" ref="E23">IFERROR(
  INDEX(R_CLIENTES!G:G,
         MATCH(C23, R_CLIENTES!A:A, 0)
  ),
  ""
)</f>
        <v>Guillermo Negrete</v>
      </c>
      <c r="F23" s="273" t="s">
        <v>38</v>
      </c>
      <c r="G23" s="274" t="str">
        <f t="array" ref="G23">IFERROR(
  INDEX(R_CLIENTES!H:H,
         MATCH(C23, R_CLIENTES!A:A, 0)
  ),
  ""
)</f>
        <v>9-93590543</v>
      </c>
      <c r="H23" s="273" t="s">
        <v>35</v>
      </c>
      <c r="I23" s="273" t="s">
        <v>152</v>
      </c>
      <c r="J23" s="277">
        <v>140000.0</v>
      </c>
      <c r="K23" s="258">
        <f t="shared" si="1"/>
        <v>0</v>
      </c>
      <c r="L23" s="275">
        <f t="shared" si="2"/>
        <v>140000</v>
      </c>
      <c r="M23" s="278" t="s">
        <v>572</v>
      </c>
      <c r="O23" s="273" t="s">
        <v>145</v>
      </c>
    </row>
    <row r="24" ht="22.5" customHeight="1">
      <c r="A24" s="269">
        <v>21.0</v>
      </c>
      <c r="B24" s="280">
        <v>45699.0</v>
      </c>
      <c r="C24" s="273" t="s">
        <v>348</v>
      </c>
      <c r="D24" s="258" t="str">
        <f t="array" ref="D24">IFERROR(
  INDEX(R_CLIENTES!B:B,
         MATCH(C24, R_CLIENTES!A:A, 0)
  ),
  ""
)</f>
        <v>Condominio Vicenza II</v>
      </c>
      <c r="E24" s="258" t="str">
        <f t="array" ref="E24">IFERROR(
  INDEX(R_CLIENTES!G:G,
         MATCH(C24, R_CLIENTES!A:A, 0)
  ),
  ""
)</f>
        <v>Mauricio Araya</v>
      </c>
      <c r="F24" s="273" t="s">
        <v>34</v>
      </c>
      <c r="G24" s="274" t="str">
        <f t="array" ref="G24">IFERROR(
  INDEX(R_CLIENTES!H:H,
         MATCH(C24, R_CLIENTES!A:A, 0)
  ),
  ""
)</f>
        <v>9-97269955</v>
      </c>
      <c r="H24" s="273" t="s">
        <v>35</v>
      </c>
      <c r="I24" s="273" t="s">
        <v>152</v>
      </c>
      <c r="J24" s="277">
        <v>670000.0</v>
      </c>
      <c r="K24" s="275">
        <f t="shared" si="1"/>
        <v>127300</v>
      </c>
      <c r="L24" s="275">
        <f t="shared" si="2"/>
        <v>797300</v>
      </c>
      <c r="M24" s="278" t="s">
        <v>573</v>
      </c>
      <c r="N24" s="118" t="s">
        <v>574</v>
      </c>
      <c r="O24" s="273" t="s">
        <v>145</v>
      </c>
    </row>
    <row r="25" ht="22.5" customHeight="1">
      <c r="A25" s="269">
        <v>22.0</v>
      </c>
      <c r="B25" s="280">
        <v>45699.0</v>
      </c>
      <c r="C25" s="273" t="s">
        <v>348</v>
      </c>
      <c r="D25" s="258" t="str">
        <f t="array" ref="D25">IFERROR(
  INDEX(R_CLIENTES!B:B,
         MATCH(C25, R_CLIENTES!A:A, 0)
  ),
  ""
)</f>
        <v>Condominio Vicenza II</v>
      </c>
      <c r="E25" s="258" t="str">
        <f t="array" ref="E25">IFERROR(
  INDEX(R_CLIENTES!G:G,
         MATCH(C25, R_CLIENTES!A:A, 0)
  ),
  ""
)</f>
        <v>Mauricio Araya</v>
      </c>
      <c r="F25" s="273" t="s">
        <v>34</v>
      </c>
      <c r="G25" s="274" t="str">
        <f t="array" ref="G25">IFERROR(
  INDEX(R_CLIENTES!H:H,
         MATCH(C25, R_CLIENTES!A:A, 0)
  ),
  ""
)</f>
        <v>9-97269955</v>
      </c>
      <c r="H25" s="273" t="s">
        <v>35</v>
      </c>
      <c r="I25" s="273" t="s">
        <v>152</v>
      </c>
      <c r="J25" s="277">
        <v>1000000.0</v>
      </c>
      <c r="K25" s="275">
        <f t="shared" si="1"/>
        <v>190000</v>
      </c>
      <c r="L25" s="275">
        <f t="shared" si="2"/>
        <v>1190000</v>
      </c>
      <c r="M25" s="278" t="s">
        <v>575</v>
      </c>
      <c r="N25" s="118" t="s">
        <v>576</v>
      </c>
      <c r="O25" s="273" t="s">
        <v>145</v>
      </c>
    </row>
    <row r="26" ht="22.5" customHeight="1">
      <c r="A26" s="269">
        <v>23.0</v>
      </c>
      <c r="B26" s="280">
        <v>45699.0</v>
      </c>
      <c r="C26" s="273" t="s">
        <v>348</v>
      </c>
      <c r="D26" s="258" t="str">
        <f t="array" ref="D26">IFERROR(
  INDEX(R_CLIENTES!B:B,
         MATCH(C26, R_CLIENTES!A:A, 0)
  ),
  ""
)</f>
        <v>Condominio Vicenza II</v>
      </c>
      <c r="E26" s="258" t="str">
        <f t="array" ref="E26">IFERROR(
  INDEX(R_CLIENTES!G:G,
         MATCH(C26, R_CLIENTES!A:A, 0)
  ),
  ""
)</f>
        <v>Mauricio Araya</v>
      </c>
      <c r="F26" s="273" t="s">
        <v>34</v>
      </c>
      <c r="G26" s="274" t="str">
        <f t="array" ref="G26">IFERROR(
  INDEX(R_CLIENTES!H:H,
         MATCH(C26, R_CLIENTES!A:A, 0)
  ),
  ""
)</f>
        <v>9-97269955</v>
      </c>
      <c r="H26" s="273" t="s">
        <v>35</v>
      </c>
      <c r="I26" s="273" t="s">
        <v>152</v>
      </c>
      <c r="J26" s="277">
        <v>200000.0</v>
      </c>
      <c r="K26" s="275">
        <f t="shared" si="1"/>
        <v>38000</v>
      </c>
      <c r="L26" s="275">
        <f t="shared" si="2"/>
        <v>238000</v>
      </c>
      <c r="M26" s="278" t="s">
        <v>577</v>
      </c>
      <c r="O26" s="273" t="s">
        <v>145</v>
      </c>
    </row>
    <row r="27" ht="22.5" customHeight="1">
      <c r="A27" s="269">
        <v>24.0</v>
      </c>
      <c r="B27" s="280">
        <v>45856.0</v>
      </c>
      <c r="C27" s="273" t="s">
        <v>440</v>
      </c>
      <c r="D27" s="258" t="str">
        <f t="array" ref="D27">IFERROR(
  INDEX(R_CLIENTES!B:B,
         MATCH(C27, R_CLIENTES!A:A, 0)
  ),
  ""
)</f>
        <v>Paseo San Carlos VII</v>
      </c>
      <c r="E27" s="258" t="str">
        <f t="array" ref="E27">IFERROR(
  INDEX(R_CLIENTES!G:G,
         MATCH(C27, R_CLIENTES!A:A, 0)
  ),
  ""
)</f>
        <v>Claudio García</v>
      </c>
      <c r="F27" s="273" t="s">
        <v>34</v>
      </c>
      <c r="G27" s="274" t="str">
        <f t="array" ref="G27">IFERROR(
  INDEX(R_CLIENTES!H:H,
         MATCH(C27, R_CLIENTES!A:A, 0)
  ),
  ""
)</f>
        <v>9-84398698</v>
      </c>
      <c r="H27" s="273" t="s">
        <v>35</v>
      </c>
      <c r="I27" s="273" t="s">
        <v>152</v>
      </c>
      <c r="J27" s="277">
        <v>1600000.0</v>
      </c>
      <c r="K27" s="275">
        <f t="shared" si="1"/>
        <v>304000</v>
      </c>
      <c r="L27" s="275">
        <f t="shared" si="2"/>
        <v>1904000</v>
      </c>
      <c r="M27" s="278" t="s">
        <v>571</v>
      </c>
      <c r="N27" s="118" t="s">
        <v>576</v>
      </c>
      <c r="O27" s="273" t="s">
        <v>145</v>
      </c>
    </row>
    <row r="28" ht="22.5" customHeight="1">
      <c r="A28" s="269">
        <v>25.0</v>
      </c>
      <c r="B28" s="280">
        <v>45860.0</v>
      </c>
      <c r="C28" s="273" t="s">
        <v>376</v>
      </c>
      <c r="D28" s="258" t="str">
        <f t="array" ref="D28">IFERROR(
  INDEX(R_CLIENTES!B:B,
         MATCH(C28, R_CLIENTES!A:A, 0)
  ),
  ""
)</f>
        <v>Condominio Altos del Parque</v>
      </c>
      <c r="E28" s="258" t="str">
        <f t="array" ref="E28">IFERROR(
  INDEX(R_CLIENTES!G:G,
         MATCH(C28, R_CLIENTES!A:A, 0)
  ),
  ""
)</f>
        <v>Maria Antoniera del Pino</v>
      </c>
      <c r="F28" s="273" t="s">
        <v>34</v>
      </c>
      <c r="G28" s="274" t="str">
        <f t="array" ref="G28">IFERROR(
  INDEX(R_CLIENTES!H:H,
         MATCH(C28, R_CLIENTES!A:A, 0)
  ),
  ""
)</f>
        <v>9-84398698</v>
      </c>
      <c r="H28" s="273" t="s">
        <v>35</v>
      </c>
      <c r="I28" s="273" t="s">
        <v>152</v>
      </c>
      <c r="J28" s="277">
        <v>1310833.0</v>
      </c>
      <c r="K28" s="275">
        <f t="shared" si="1"/>
        <v>249058.27</v>
      </c>
      <c r="L28" s="275">
        <f t="shared" si="2"/>
        <v>1559891.27</v>
      </c>
      <c r="M28" s="278" t="s">
        <v>571</v>
      </c>
      <c r="N28" s="118" t="s">
        <v>576</v>
      </c>
      <c r="O28" s="273" t="s">
        <v>145</v>
      </c>
    </row>
    <row r="29" ht="22.5" customHeight="1">
      <c r="A29" s="269">
        <v>26.0</v>
      </c>
      <c r="B29" s="280">
        <v>45888.0</v>
      </c>
      <c r="C29" s="273" t="s">
        <v>444</v>
      </c>
      <c r="D29" s="258" t="str">
        <f t="array" ref="D29">IFERROR(
  INDEX(R_CLIENTES!B:B,
         MATCH(C29, R_CLIENTES!A:A, 0)
  ),
  ""
)</f>
        <v>Distrito Verde I</v>
      </c>
      <c r="E29" s="258" t="str">
        <f t="array" ref="E29">IFERROR(
  INDEX(R_CLIENTES!G:G,
         MATCH(C29, R_CLIENTES!A:A, 0)
  ),
  ""
)</f>
        <v>Maria Antonieta del Pino</v>
      </c>
      <c r="F29" s="273" t="s">
        <v>34</v>
      </c>
      <c r="G29" s="274" t="str">
        <f t="array" ref="G29">IFERROR(
  INDEX(R_CLIENTES!H:H,
         MATCH(C29, R_CLIENTES!A:A, 0)
  ),
  ""
)</f>
        <v>9-84398698</v>
      </c>
      <c r="H29" s="273" t="s">
        <v>35</v>
      </c>
      <c r="I29" s="273" t="s">
        <v>152</v>
      </c>
      <c r="J29" s="277">
        <v>545000.0</v>
      </c>
      <c r="K29" s="275">
        <f t="shared" si="1"/>
        <v>103550</v>
      </c>
      <c r="L29" s="275">
        <f t="shared" si="2"/>
        <v>648550</v>
      </c>
      <c r="M29" s="278" t="s">
        <v>578</v>
      </c>
      <c r="N29" s="118" t="s">
        <v>579</v>
      </c>
      <c r="O29" s="273" t="s">
        <v>145</v>
      </c>
    </row>
    <row r="30" ht="22.5" customHeight="1">
      <c r="A30" s="269">
        <v>27.0</v>
      </c>
      <c r="B30" s="280">
        <v>45888.0</v>
      </c>
      <c r="C30" s="273" t="s">
        <v>449</v>
      </c>
      <c r="D30" s="258" t="str">
        <f t="array" ref="D30">IFERROR(
  INDEX(R_CLIENTES!B:B,
         MATCH(C30, R_CLIENTES!A:A, 0)
  ),
  ""
)</f>
        <v>Distrito Verde  II</v>
      </c>
      <c r="E30" s="258" t="str">
        <f t="array" ref="E30">IFERROR(
  INDEX(R_CLIENTES!G:G,
         MATCH(C30, R_CLIENTES!A:A, 0)
  ),
  ""
)</f>
        <v>Maria Antonieta del Pino</v>
      </c>
      <c r="F30" s="273" t="s">
        <v>34</v>
      </c>
      <c r="G30" s="274" t="str">
        <f t="array" ref="G30">IFERROR(
  INDEX(R_CLIENTES!H:H,
         MATCH(C30, R_CLIENTES!A:A, 0)
  ),
  ""
)</f>
        <v>9-84398698</v>
      </c>
      <c r="H30" s="273" t="s">
        <v>35</v>
      </c>
      <c r="I30" s="273" t="s">
        <v>152</v>
      </c>
      <c r="J30" s="277">
        <v>840000.0</v>
      </c>
      <c r="K30" s="275">
        <f t="shared" si="1"/>
        <v>159600</v>
      </c>
      <c r="L30" s="275">
        <f t="shared" si="2"/>
        <v>999600</v>
      </c>
      <c r="M30" s="278" t="s">
        <v>578</v>
      </c>
      <c r="N30" s="118" t="s">
        <v>580</v>
      </c>
      <c r="O30" s="273" t="s">
        <v>145</v>
      </c>
    </row>
    <row r="31" ht="22.5" customHeight="1">
      <c r="A31" s="269">
        <v>28.0</v>
      </c>
      <c r="B31" s="280">
        <v>45911.0</v>
      </c>
      <c r="C31" s="273" t="s">
        <v>452</v>
      </c>
      <c r="D31" s="258" t="str">
        <f t="array" ref="D31">IFERROR(
  INDEX(R_CLIENTES!B:B,
         MATCH(C31, R_CLIENTES!A:A, 0)
  ),
  ""
)</f>
        <v>Cond Doña Anita</v>
      </c>
      <c r="E31" s="258" t="str">
        <f t="array" ref="E31">IFERROR(
  INDEX(R_CLIENTES!G:G,
         MATCH(C31, R_CLIENTES!A:A, 0)
  ),
  ""
)</f>
        <v>Noema Reyes</v>
      </c>
      <c r="F31" s="273" t="s">
        <v>38</v>
      </c>
      <c r="G31" s="274" t="str">
        <f t="array" ref="G31">IFERROR(
  INDEX(R_CLIENTES!H:H,
         MATCH(C31, R_CLIENTES!A:A, 0)
  ),
  ""
)</f>
        <v>9 7731 14628</v>
      </c>
      <c r="H31" s="273" t="s">
        <v>35</v>
      </c>
      <c r="I31" s="273" t="s">
        <v>146</v>
      </c>
      <c r="J31" s="277">
        <v>3950000.0</v>
      </c>
      <c r="K31" s="258">
        <f t="shared" si="1"/>
        <v>0</v>
      </c>
      <c r="L31" s="275">
        <f t="shared" si="2"/>
        <v>3950000</v>
      </c>
      <c r="M31" s="278" t="s">
        <v>581</v>
      </c>
      <c r="N31" s="118" t="s">
        <v>582</v>
      </c>
      <c r="O31" s="273" t="s">
        <v>150</v>
      </c>
    </row>
    <row r="32" ht="22.5" customHeight="1">
      <c r="A32" s="269">
        <v>29.0</v>
      </c>
      <c r="B32" s="280">
        <v>45916.0</v>
      </c>
      <c r="C32" s="273" t="s">
        <v>334</v>
      </c>
      <c r="D32" s="258" t="str">
        <f t="array" ref="D32">IFERROR(
  INDEX(R_CLIENTES!B:B,
         MATCH(C32, R_CLIENTES!A:A, 0)
  ),
  ""
)</f>
        <v>Condominio Paseo Peñuelas</v>
      </c>
      <c r="E32" s="258" t="str">
        <f t="array" ref="E32">IFERROR(
  INDEX(R_CLIENTES!G:G,
         MATCH(C32, R_CLIENTES!A:A, 0)
  ),
  ""
)</f>
        <v>Adm Victor Figueroa</v>
      </c>
      <c r="F32" s="273" t="s">
        <v>34</v>
      </c>
      <c r="G32" s="274" t="str">
        <f t="array" ref="G32">IFERROR(
  INDEX(R_CLIENTES!H:H,
         MATCH(C32, R_CLIENTES!A:A, 0)
  ),
  ""
)</f>
        <v>9-59823214</v>
      </c>
      <c r="H32" s="273" t="s">
        <v>35</v>
      </c>
      <c r="I32" s="273" t="s">
        <v>152</v>
      </c>
      <c r="J32" s="277">
        <v>1180000.0</v>
      </c>
      <c r="K32" s="275">
        <f t="shared" si="1"/>
        <v>224200</v>
      </c>
      <c r="L32" s="275">
        <f t="shared" si="2"/>
        <v>1404200</v>
      </c>
      <c r="M32" s="278" t="s">
        <v>583</v>
      </c>
      <c r="N32" s="118" t="s">
        <v>584</v>
      </c>
      <c r="O32" s="273" t="s">
        <v>145</v>
      </c>
    </row>
    <row r="33" ht="22.5" customHeight="1">
      <c r="A33" s="269">
        <v>29.0</v>
      </c>
      <c r="B33" s="280">
        <v>45916.0</v>
      </c>
      <c r="C33" s="273" t="s">
        <v>334</v>
      </c>
      <c r="D33" s="258" t="str">
        <f t="array" ref="D33">IFERROR(
  INDEX(R_CLIENTES!B:B,
         MATCH(C33, R_CLIENTES!A:A, 0)
  ),
  ""
)</f>
        <v>Condominio Paseo Peñuelas</v>
      </c>
      <c r="E33" s="258" t="str">
        <f t="array" ref="E33">IFERROR(
  INDEX(R_CLIENTES!G:G,
         MATCH(C33, R_CLIENTES!A:A, 0)
  ),
  ""
)</f>
        <v>Adm Victor Figueroa</v>
      </c>
      <c r="F33" s="273" t="s">
        <v>38</v>
      </c>
      <c r="G33" s="274" t="str">
        <f t="array" ref="G33">IFERROR(
  INDEX(R_CLIENTES!H:H,
         MATCH(C33, R_CLIENTES!A:A, 0)
  ),
  ""
)</f>
        <v>9-59823214</v>
      </c>
      <c r="H33" s="273" t="s">
        <v>35</v>
      </c>
      <c r="I33" s="273" t="s">
        <v>152</v>
      </c>
      <c r="J33" s="277">
        <v>370000.0</v>
      </c>
      <c r="K33" s="258">
        <f t="shared" si="1"/>
        <v>0</v>
      </c>
      <c r="L33" s="275">
        <f t="shared" si="2"/>
        <v>370000</v>
      </c>
      <c r="M33" s="278" t="s">
        <v>585</v>
      </c>
      <c r="N33" s="118" t="s">
        <v>586</v>
      </c>
      <c r="O33" s="273" t="s">
        <v>145</v>
      </c>
    </row>
    <row r="34" ht="22.5" customHeight="1">
      <c r="A34" s="269">
        <v>30.0</v>
      </c>
      <c r="B34" s="280">
        <v>45916.0</v>
      </c>
      <c r="C34" s="273" t="s">
        <v>334</v>
      </c>
      <c r="D34" s="258" t="str">
        <f t="array" ref="D34">IFERROR(
  INDEX(R_CLIENTES!B:B,
         MATCH(C34, R_CLIENTES!A:A, 0)
  ),
  ""
)</f>
        <v>Condominio Paseo Peñuelas</v>
      </c>
      <c r="E34" s="258" t="str">
        <f t="array" ref="E34">IFERROR(
  INDEX(R_CLIENTES!G:G,
         MATCH(C34, R_CLIENTES!A:A, 0)
  ),
  ""
)</f>
        <v>Adm Victor Figueroa</v>
      </c>
      <c r="F34" s="273" t="s">
        <v>38</v>
      </c>
      <c r="G34" s="274" t="str">
        <f t="array" ref="G34">IFERROR(
  INDEX(R_CLIENTES!H:H,
         MATCH(C34, R_CLIENTES!A:A, 0)
  ),
  ""
)</f>
        <v>9-59823214</v>
      </c>
      <c r="H34" s="273" t="s">
        <v>35</v>
      </c>
      <c r="I34" s="273" t="s">
        <v>152</v>
      </c>
      <c r="J34" s="277">
        <v>200000.0</v>
      </c>
      <c r="K34" s="258">
        <f t="shared" si="1"/>
        <v>0</v>
      </c>
      <c r="L34" s="275">
        <f t="shared" si="2"/>
        <v>200000</v>
      </c>
      <c r="M34" s="278" t="s">
        <v>587</v>
      </c>
      <c r="N34" s="118" t="s">
        <v>588</v>
      </c>
      <c r="O34" s="273" t="s">
        <v>145</v>
      </c>
    </row>
    <row r="35" ht="22.5" customHeight="1">
      <c r="A35" s="269">
        <v>31.0</v>
      </c>
      <c r="B35" s="280">
        <v>45883.0</v>
      </c>
      <c r="C35" s="273" t="s">
        <v>365</v>
      </c>
      <c r="D35" s="258" t="str">
        <f t="array" ref="D35">IFERROR(
  INDEX(R_CLIENTES!B:B,
         MATCH(C35, R_CLIENTES!A:A, 0)
  ),
  ""
)</f>
        <v>Condominio Mirador El Milagro</v>
      </c>
      <c r="E35" s="258" t="str">
        <f t="array" ref="E35">IFERROR(
  INDEX(R_CLIENTES!G:G,
         MATCH(C35, R_CLIENTES!A:A, 0)
  ),
  ""
)</f>
        <v>Camila Godoy</v>
      </c>
      <c r="F35" s="273" t="s">
        <v>34</v>
      </c>
      <c r="G35" s="274" t="str">
        <f t="array" ref="G35">IFERROR(
  INDEX(R_CLIENTES!H:H,
         MATCH(C35, R_CLIENTES!A:A, 0)
  ),
  ""
)</f>
        <v>9-44637185</v>
      </c>
      <c r="H35" s="273" t="s">
        <v>35</v>
      </c>
      <c r="I35" s="273" t="s">
        <v>152</v>
      </c>
      <c r="J35" s="277">
        <v>200000.0</v>
      </c>
      <c r="K35" s="275">
        <f t="shared" si="1"/>
        <v>38000</v>
      </c>
      <c r="L35" s="275">
        <f t="shared" si="2"/>
        <v>238000</v>
      </c>
      <c r="M35" s="278" t="s">
        <v>587</v>
      </c>
      <c r="N35" s="118" t="s">
        <v>588</v>
      </c>
      <c r="O35" s="273" t="s">
        <v>145</v>
      </c>
    </row>
    <row r="36" ht="22.5" customHeight="1">
      <c r="A36" s="269">
        <v>32.0</v>
      </c>
      <c r="B36" s="280">
        <v>45938.0</v>
      </c>
      <c r="C36" s="273" t="s">
        <v>365</v>
      </c>
      <c r="D36" s="258" t="str">
        <f t="array" ref="D36">IFERROR(
  INDEX(R_CLIENTES!B:B,
         MATCH(C36, R_CLIENTES!A:A, 0)
  ),
  ""
)</f>
        <v>Condominio Mirador El Milagro</v>
      </c>
      <c r="E36" s="258" t="str">
        <f t="array" ref="E36">IFERROR(
  INDEX(R_CLIENTES!G:G,
         MATCH(C36, R_CLIENTES!A:A, 0)
  ),
  ""
)</f>
        <v>Camila Godoy</v>
      </c>
      <c r="F36" s="273" t="s">
        <v>38</v>
      </c>
      <c r="G36" s="274" t="str">
        <f t="array" ref="G36">IFERROR(
  INDEX(R_CLIENTES!H:H,
         MATCH(C36, R_CLIENTES!A:A, 0)
  ),
  ""
)</f>
        <v>9-44637185</v>
      </c>
      <c r="H36" s="273" t="s">
        <v>35</v>
      </c>
      <c r="I36" s="273" t="s">
        <v>152</v>
      </c>
      <c r="J36" s="277">
        <v>153000.0</v>
      </c>
      <c r="K36" s="258">
        <f t="shared" si="1"/>
        <v>0</v>
      </c>
      <c r="L36" s="275">
        <f t="shared" si="2"/>
        <v>153000</v>
      </c>
      <c r="M36" s="278" t="s">
        <v>589</v>
      </c>
      <c r="N36" s="118" t="s">
        <v>590</v>
      </c>
      <c r="O36" s="273" t="s">
        <v>145</v>
      </c>
    </row>
    <row r="37" ht="22.5" customHeight="1">
      <c r="A37" s="269">
        <v>33.0</v>
      </c>
      <c r="B37" s="280">
        <v>45883.0</v>
      </c>
      <c r="C37" s="273" t="s">
        <v>354</v>
      </c>
      <c r="D37" s="258" t="str">
        <f t="array" ref="D37">IFERROR(
  INDEX(R_CLIENTES!B:B,
         MATCH(C37, R_CLIENTES!A:A, 0)
  ),
  ""
)</f>
        <v>Condominio Colinas del Milagro</v>
      </c>
      <c r="E37" s="258" t="str">
        <f t="array" ref="E37">IFERROR(
  INDEX(R_CLIENTES!G:G,
         MATCH(C37, R_CLIENTES!A:A, 0)
  ),
  ""
)</f>
        <v>Mauricio Araya</v>
      </c>
      <c r="F37" s="273" t="s">
        <v>34</v>
      </c>
      <c r="G37" s="274" t="str">
        <f t="array" ref="G37">IFERROR(
  INDEX(R_CLIENTES!H:H,
         MATCH(C37, R_CLIENTES!A:A, 0)
  ),
  ""
)</f>
        <v>9-97269955</v>
      </c>
      <c r="H37" s="273" t="s">
        <v>35</v>
      </c>
      <c r="I37" s="273" t="s">
        <v>152</v>
      </c>
      <c r="J37" s="277">
        <v>200000.0</v>
      </c>
      <c r="K37" s="275">
        <f t="shared" si="1"/>
        <v>38000</v>
      </c>
      <c r="L37" s="275">
        <f t="shared" si="2"/>
        <v>238000</v>
      </c>
      <c r="M37" s="278" t="s">
        <v>587</v>
      </c>
      <c r="N37" s="278" t="s">
        <v>587</v>
      </c>
      <c r="O37" s="273" t="s">
        <v>145</v>
      </c>
    </row>
    <row r="38" ht="22.5" customHeight="1">
      <c r="A38" s="269">
        <v>34.0</v>
      </c>
      <c r="B38" s="280">
        <v>45883.0</v>
      </c>
      <c r="C38" s="273" t="s">
        <v>348</v>
      </c>
      <c r="D38" s="258" t="str">
        <f t="array" ref="D38">IFERROR(
  INDEX(R_CLIENTES!B:B,
         MATCH(C38, R_CLIENTES!A:A, 0)
  ),
  ""
)</f>
        <v>Condominio Vicenza II</v>
      </c>
      <c r="E38" s="258" t="str">
        <f t="array" ref="E38">IFERROR(
  INDEX(R_CLIENTES!G:G,
         MATCH(C38, R_CLIENTES!A:A, 0)
  ),
  ""
)</f>
        <v>Mauricio Araya</v>
      </c>
      <c r="F38" s="273" t="s">
        <v>34</v>
      </c>
      <c r="G38" s="274" t="str">
        <f t="array" ref="G38">IFERROR(
  INDEX(R_CLIENTES!H:H,
         MATCH(C38, R_CLIENTES!A:A, 0)
  ),
  ""
)</f>
        <v>9-97269955</v>
      </c>
      <c r="H38" s="273" t="s">
        <v>35</v>
      </c>
      <c r="I38" s="273" t="s">
        <v>152</v>
      </c>
      <c r="J38" s="277">
        <v>200000.0</v>
      </c>
      <c r="K38" s="275">
        <f t="shared" si="1"/>
        <v>38000</v>
      </c>
      <c r="L38" s="275">
        <f t="shared" si="2"/>
        <v>238000</v>
      </c>
      <c r="M38" s="278" t="s">
        <v>587</v>
      </c>
      <c r="N38" s="278" t="s">
        <v>587</v>
      </c>
      <c r="O38" s="273" t="s">
        <v>145</v>
      </c>
    </row>
    <row r="39" ht="22.5" customHeight="1">
      <c r="A39" s="269">
        <v>35.0</v>
      </c>
      <c r="B39" s="280">
        <v>45883.0</v>
      </c>
      <c r="C39" s="273" t="s">
        <v>348</v>
      </c>
      <c r="D39" s="258" t="str">
        <f t="array" ref="D39">IFERROR(
  INDEX(R_CLIENTES!B:B,
         MATCH(C39, R_CLIENTES!A:A, 0)
  ),
  ""
)</f>
        <v>Condominio Vicenza II</v>
      </c>
      <c r="E39" s="258" t="str">
        <f t="array" ref="E39">IFERROR(
  INDEX(R_CLIENTES!G:G,
         MATCH(C39, R_CLIENTES!A:A, 0)
  ),
  ""
)</f>
        <v>Mauricio Araya</v>
      </c>
      <c r="F39" s="273" t="s">
        <v>34</v>
      </c>
      <c r="G39" s="274" t="str">
        <f t="array" ref="G39">IFERROR(
  INDEX(R_CLIENTES!H:H,
         MATCH(C39, R_CLIENTES!A:A, 0)
  ),
  ""
)</f>
        <v>9-97269955</v>
      </c>
      <c r="H39" s="273" t="s">
        <v>35</v>
      </c>
      <c r="I39" s="273" t="s">
        <v>152</v>
      </c>
      <c r="J39" s="277">
        <v>200000.0</v>
      </c>
      <c r="K39" s="275">
        <f t="shared" si="1"/>
        <v>38000</v>
      </c>
      <c r="L39" s="275">
        <f t="shared" si="2"/>
        <v>238000</v>
      </c>
      <c r="M39" s="278" t="s">
        <v>591</v>
      </c>
      <c r="N39" s="118" t="s">
        <v>591</v>
      </c>
      <c r="O39" s="273" t="s">
        <v>145</v>
      </c>
    </row>
    <row r="40" ht="22.5" customHeight="1">
      <c r="A40" s="269">
        <v>36.0</v>
      </c>
      <c r="B40" s="272">
        <v>45938.0</v>
      </c>
      <c r="C40" s="273" t="s">
        <v>433</v>
      </c>
      <c r="D40" s="258" t="str">
        <f t="array" ref="D40">IFERROR(
  INDEX(R_CLIENTES!B:B,
         MATCH(C40, R_CLIENTES!A:A, 0)
  ),
  ""
)</f>
        <v>Portal del Valle II </v>
      </c>
      <c r="E40" s="258" t="str">
        <f t="array" ref="E40">IFERROR(
  INDEX(R_CLIENTES!G:G,
         MATCH(C40, R_CLIENTES!A:A, 0)
  ),
  ""
)</f>
        <v>Mauricio Araya</v>
      </c>
      <c r="F40" s="273" t="s">
        <v>34</v>
      </c>
      <c r="G40" s="274" t="str">
        <f t="array" ref="G40">IFERROR(
  INDEX(R_CLIENTES!H:H,
         MATCH(C40, R_CLIENTES!A:A, 0)
  ),
  ""
)</f>
        <v>9-97269955</v>
      </c>
      <c r="H40" s="273" t="s">
        <v>35</v>
      </c>
      <c r="I40" s="273" t="s">
        <v>152</v>
      </c>
      <c r="J40" s="277">
        <v>290000.0</v>
      </c>
      <c r="K40" s="275">
        <f t="shared" si="1"/>
        <v>55100</v>
      </c>
      <c r="L40" s="275">
        <f t="shared" si="2"/>
        <v>345100</v>
      </c>
      <c r="M40" s="278" t="s">
        <v>592</v>
      </c>
      <c r="N40" s="118" t="s">
        <v>593</v>
      </c>
      <c r="O40" s="273" t="s">
        <v>145</v>
      </c>
    </row>
    <row r="41" ht="22.5" customHeight="1">
      <c r="A41" s="269">
        <v>37.0</v>
      </c>
      <c r="B41" s="272">
        <v>45950.0</v>
      </c>
      <c r="C41" s="273" t="s">
        <v>461</v>
      </c>
      <c r="D41" s="258" t="str">
        <f t="array" ref="D41">IFERROR(
  INDEX(R_CLIENTES!B:B,
         MATCH(C41, R_CLIENTES!A:A, 0)
  ),
  ""
)</f>
        <v>Condominio Gabriela Mistral</v>
      </c>
      <c r="E41" s="258" t="str">
        <f t="array" ref="E41">IFERROR(
  INDEX(R_CLIENTES!G:G,
         MATCH(C41, R_CLIENTES!A:A, 0)
  ),
  ""
)</f>
        <v>Mauricio Araya</v>
      </c>
      <c r="F41" s="273" t="s">
        <v>38</v>
      </c>
      <c r="G41" s="274" t="str">
        <f t="array" ref="G41">IFERROR(
  INDEX(R_CLIENTES!H:H,
         MATCH(C41, R_CLIENTES!A:A, 0)
  ),
  ""
)</f>
        <v>9-97269955</v>
      </c>
      <c r="H41" s="273" t="s">
        <v>35</v>
      </c>
      <c r="I41" s="273" t="s">
        <v>152</v>
      </c>
      <c r="J41" s="277">
        <v>250000.0</v>
      </c>
      <c r="K41" s="258">
        <f t="shared" si="1"/>
        <v>0</v>
      </c>
      <c r="L41" s="275">
        <f t="shared" si="2"/>
        <v>250000</v>
      </c>
      <c r="M41" s="278" t="s">
        <v>594</v>
      </c>
      <c r="O41" s="273" t="s">
        <v>145</v>
      </c>
    </row>
    <row r="42" ht="22.5" customHeight="1">
      <c r="A42" s="269">
        <v>38.0</v>
      </c>
      <c r="B42" s="272">
        <v>45950.0</v>
      </c>
      <c r="C42" s="273" t="s">
        <v>457</v>
      </c>
      <c r="D42" s="258" t="str">
        <f t="array" ref="D42">IFERROR(
  INDEX(R_CLIENTES!B:B,
         MATCH(C42, R_CLIENTES!A:A, 0)
  ),
  ""
)</f>
        <v>Cond Aires de La Florida 4</v>
      </c>
      <c r="E42" s="258" t="str">
        <f t="array" ref="E42">IFERROR(
  INDEX(R_CLIENTES!G:G,
         MATCH(C42, R_CLIENTES!A:A, 0)
  ),
  ""
)</f>
        <v>Camila Godoy</v>
      </c>
      <c r="F42" s="273" t="s">
        <v>34</v>
      </c>
      <c r="G42" s="274" t="str">
        <f t="array" ref="G42">IFERROR(
  INDEX(R_CLIENTES!H:H,
         MATCH(C42, R_CLIENTES!A:A, 0)
  ),
  ""
)</f>
        <v>9-7684 0230</v>
      </c>
      <c r="H42" s="273" t="s">
        <v>35</v>
      </c>
      <c r="I42" s="273" t="s">
        <v>146</v>
      </c>
      <c r="J42" s="277">
        <v>2000000.0</v>
      </c>
      <c r="K42" s="275">
        <f t="shared" si="1"/>
        <v>380000</v>
      </c>
      <c r="L42" s="275">
        <f t="shared" si="2"/>
        <v>2380000</v>
      </c>
      <c r="M42" s="278" t="s">
        <v>555</v>
      </c>
      <c r="N42" s="118" t="s">
        <v>595</v>
      </c>
      <c r="O42" s="273" t="s">
        <v>147</v>
      </c>
    </row>
    <row r="43" ht="22.5" customHeight="1">
      <c r="A43" s="269">
        <v>39.0</v>
      </c>
      <c r="B43" s="272">
        <v>45972.0</v>
      </c>
      <c r="C43" s="273" t="s">
        <v>386</v>
      </c>
      <c r="D43" s="258" t="str">
        <f t="array" ref="D43">IFERROR(
  INDEX(R_CLIENTES!B:B,
         MATCH(C43, R_CLIENTES!A:A, 0)
  ),
  ""
)</f>
        <v>Comunidad Edificio Florencia</v>
      </c>
      <c r="E43" s="258" t="str">
        <f t="array" ref="E43">IFERROR(
  INDEX(R_CLIENTES!G:G,
         MATCH(C43, R_CLIENTES!A:A, 0)
  ),
  ""
)</f>
        <v>Guillermo Negrete</v>
      </c>
      <c r="F43" s="273" t="s">
        <v>38</v>
      </c>
      <c r="G43" s="274" t="str">
        <f t="array" ref="G43">IFERROR(
  INDEX(R_CLIENTES!H:H,
         MATCH(C43, R_CLIENTES!A:A, 0)
  ),
  ""
)</f>
        <v>9-93590543</v>
      </c>
      <c r="H43" s="273" t="s">
        <v>35</v>
      </c>
      <c r="I43" s="273" t="s">
        <v>152</v>
      </c>
      <c r="J43" s="277">
        <v>430000.0</v>
      </c>
      <c r="K43" s="258">
        <f t="shared" si="1"/>
        <v>0</v>
      </c>
      <c r="L43" s="275">
        <f t="shared" si="2"/>
        <v>430000</v>
      </c>
      <c r="M43" s="278" t="s">
        <v>596</v>
      </c>
      <c r="N43" s="278" t="s">
        <v>596</v>
      </c>
      <c r="O43" s="273" t="s">
        <v>145</v>
      </c>
    </row>
    <row r="44" ht="22.5" customHeight="1">
      <c r="A44" s="269">
        <v>40.0</v>
      </c>
      <c r="B44" s="272">
        <v>45975.0</v>
      </c>
      <c r="C44" s="273" t="s">
        <v>464</v>
      </c>
      <c r="D44" s="258" t="str">
        <f t="array" ref="D44">IFERROR(
  INDEX(R_CLIENTES!B:B,
         MATCH(C44, R_CLIENTES!A:A, 0)
  ),
  ""
)</f>
        <v>Condominio Golf III</v>
      </c>
      <c r="E44" s="258" t="str">
        <f t="array" ref="E44">IFERROR(
  INDEX(R_CLIENTES!G:G,
         MATCH(C44, R_CLIENTES!A:A, 0)
  ),
  ""
)</f>
        <v>Oscar Castro</v>
      </c>
      <c r="F44" s="273" t="s">
        <v>34</v>
      </c>
      <c r="G44" s="274" t="str">
        <f t="array" ref="G44">IFERROR(
  INDEX(R_CLIENTES!H:H,
         MATCH(C44, R_CLIENTES!A:A, 0)
  ),
  ""
)</f>
        <v>9 9450 8233</v>
      </c>
      <c r="H44" s="273" t="s">
        <v>35</v>
      </c>
      <c r="I44" s="273" t="s">
        <v>146</v>
      </c>
      <c r="J44" s="277">
        <v>8250000.0</v>
      </c>
      <c r="K44" s="275">
        <f t="shared" si="1"/>
        <v>1567500</v>
      </c>
      <c r="L44" s="275">
        <f t="shared" si="2"/>
        <v>9817500</v>
      </c>
      <c r="M44" s="278" t="s">
        <v>597</v>
      </c>
      <c r="N44" s="118" t="s">
        <v>598</v>
      </c>
      <c r="O44" s="273" t="s">
        <v>147</v>
      </c>
    </row>
    <row r="45" ht="22.5" customHeight="1">
      <c r="A45" s="269">
        <v>41.0</v>
      </c>
      <c r="B45" s="272">
        <v>45979.0</v>
      </c>
      <c r="C45" s="273" t="s">
        <v>371</v>
      </c>
      <c r="D45" s="258" t="str">
        <f t="array" ref="D45">IFERROR(
  INDEX(R_CLIENTES!B:B,
         MATCH(C45, R_CLIENTES!A:A, 0)
  ),
  ""
)</f>
        <v>Sociedad Educacional Shalom SpA</v>
      </c>
      <c r="E45" s="258" t="str">
        <f t="array" ref="E45">IFERROR(
  INDEX(R_CLIENTES!G:G,
         MATCH(C45, R_CLIENTES!A:A, 0)
  ),
  ""
)</f>
        <v>Jorge Adm</v>
      </c>
      <c r="F45" s="273" t="s">
        <v>34</v>
      </c>
      <c r="G45" s="274">
        <f t="array" ref="G45">IFERROR(
  INDEX(R_CLIENTES!H:H,
         MATCH(C45, R_CLIENTES!A:A, 0)
  ),
  ""
)</f>
        <v>999847687</v>
      </c>
      <c r="H45" s="273" t="s">
        <v>35</v>
      </c>
      <c r="I45" s="273" t="s">
        <v>152</v>
      </c>
      <c r="J45" s="277">
        <v>200000.0</v>
      </c>
      <c r="K45" s="275">
        <f t="shared" si="1"/>
        <v>38000</v>
      </c>
      <c r="L45" s="275">
        <f t="shared" si="2"/>
        <v>238000</v>
      </c>
      <c r="M45" s="278" t="s">
        <v>599</v>
      </c>
      <c r="N45" s="118" t="s">
        <v>599</v>
      </c>
      <c r="O45" s="273" t="s">
        <v>147</v>
      </c>
    </row>
    <row r="46" ht="22.5" customHeight="1">
      <c r="A46" s="269">
        <v>42.0</v>
      </c>
      <c r="B46" s="272">
        <v>45979.0</v>
      </c>
      <c r="C46" s="273" t="s">
        <v>365</v>
      </c>
      <c r="D46" s="258" t="str">
        <f t="array" ref="D46">IFERROR(
  INDEX(R_CLIENTES!B:B,
         MATCH(C46, R_CLIENTES!A:A, 0)
  ),
  ""
)</f>
        <v>Condominio Mirador El Milagro</v>
      </c>
      <c r="E46" s="258" t="str">
        <f t="array" ref="E46">IFERROR(
  INDEX(R_CLIENTES!G:G,
         MATCH(C46, R_CLIENTES!A:A, 0)
  ),
  ""
)</f>
        <v>Camila Godoy</v>
      </c>
      <c r="F46" s="273" t="s">
        <v>38</v>
      </c>
      <c r="G46" s="274" t="str">
        <f t="array" ref="G46">IFERROR(
  INDEX(R_CLIENTES!H:H,
         MATCH(C46, R_CLIENTES!A:A, 0)
  ),
  ""
)</f>
        <v>9-44637185</v>
      </c>
      <c r="H46" s="273" t="s">
        <v>35</v>
      </c>
      <c r="I46" s="273" t="s">
        <v>152</v>
      </c>
      <c r="J46" s="277">
        <v>136000.0</v>
      </c>
      <c r="K46" s="258">
        <f t="shared" si="1"/>
        <v>0</v>
      </c>
      <c r="L46" s="275">
        <f t="shared" si="2"/>
        <v>136000</v>
      </c>
      <c r="M46" s="278" t="s">
        <v>600</v>
      </c>
      <c r="N46" s="278" t="s">
        <v>600</v>
      </c>
      <c r="O46" s="273" t="s">
        <v>145</v>
      </c>
    </row>
    <row r="47" ht="22.5" customHeight="1">
      <c r="A47" s="269">
        <v>43.0</v>
      </c>
      <c r="B47" s="272">
        <v>45979.0</v>
      </c>
      <c r="C47" s="273" t="s">
        <v>386</v>
      </c>
      <c r="D47" s="258" t="str">
        <f t="array" ref="D47">IFERROR(
  INDEX(R_CLIENTES!B:B,
         MATCH(C47, R_CLIENTES!A:A, 0)
  ),
  ""
)</f>
        <v>Comunidad Edificio Florencia</v>
      </c>
      <c r="E47" s="258" t="str">
        <f t="array" ref="E47">IFERROR(
  INDEX(R_CLIENTES!G:G,
         MATCH(C47, R_CLIENTES!A:A, 0)
  ),
  ""
)</f>
        <v>Guillermo Negrete</v>
      </c>
      <c r="F47" s="273" t="s">
        <v>38</v>
      </c>
      <c r="G47" s="274" t="str">
        <f t="array" ref="G47">IFERROR(
  INDEX(R_CLIENTES!H:H,
         MATCH(C47, R_CLIENTES!A:A, 0)
  ),
  ""
)</f>
        <v>9-93590543</v>
      </c>
      <c r="H47" s="273" t="s">
        <v>35</v>
      </c>
      <c r="I47" s="273" t="s">
        <v>152</v>
      </c>
      <c r="J47" s="277">
        <v>180000.0</v>
      </c>
      <c r="K47" s="258">
        <f t="shared" si="1"/>
        <v>0</v>
      </c>
      <c r="L47" s="275">
        <f t="shared" si="2"/>
        <v>180000</v>
      </c>
      <c r="M47" s="278" t="s">
        <v>601</v>
      </c>
      <c r="N47" s="118" t="s">
        <v>601</v>
      </c>
      <c r="O47" s="273" t="s">
        <v>145</v>
      </c>
    </row>
    <row r="48" ht="22.5" customHeight="1">
      <c r="A48" s="269">
        <v>44.0</v>
      </c>
      <c r="B48" s="272">
        <v>45980.0</v>
      </c>
      <c r="C48" s="273" t="s">
        <v>469</v>
      </c>
      <c r="D48" s="258" t="str">
        <f t="array" ref="D48">IFERROR(
  INDEX(R_CLIENTES!B:B,
         MATCH(C48, R_CLIENTES!A:A, 0)
  ),
  ""
)</f>
        <v>Juan Fernando Mancilla</v>
      </c>
      <c r="E48" s="258" t="str">
        <f t="array" ref="E48">IFERROR(
  INDEX(R_CLIENTES!G:G,
         MATCH(C48, R_CLIENTES!A:A, 0)
  ),
  ""
)</f>
        <v>Juan Fernando Mancilla</v>
      </c>
      <c r="F48" s="273" t="s">
        <v>38</v>
      </c>
      <c r="G48" s="274">
        <f t="array" ref="G48">IFERROR(
  INDEX(R_CLIENTES!H:H,
         MATCH(C48, R_CLIENTES!A:A, 0)
  ),
  ""
)</f>
        <v>999680974</v>
      </c>
      <c r="H48" s="273" t="s">
        <v>35</v>
      </c>
      <c r="I48" s="273" t="s">
        <v>152</v>
      </c>
      <c r="J48" s="277">
        <v>240000.0</v>
      </c>
      <c r="K48" s="258">
        <f t="shared" si="1"/>
        <v>0</v>
      </c>
      <c r="L48" s="275">
        <f t="shared" si="2"/>
        <v>240000</v>
      </c>
      <c r="M48" s="278" t="s">
        <v>602</v>
      </c>
      <c r="N48" s="118" t="s">
        <v>602</v>
      </c>
      <c r="O48" s="273" t="s">
        <v>145</v>
      </c>
    </row>
    <row r="49" ht="22.5" customHeight="1">
      <c r="A49" s="269">
        <v>45.0</v>
      </c>
      <c r="B49" s="272">
        <v>45986.0</v>
      </c>
      <c r="C49" s="273" t="s">
        <v>386</v>
      </c>
      <c r="D49" s="258" t="str">
        <f t="array" ref="D49">IFERROR(
  INDEX(R_CLIENTES!B:B,
         MATCH(C49, R_CLIENTES!A:A, 0)
  ),
  ""
)</f>
        <v>Comunidad Edificio Florencia</v>
      </c>
      <c r="E49" s="258" t="str">
        <f t="array" ref="E49">IFERROR(
  INDEX(R_CLIENTES!G:G,
         MATCH(C49, R_CLIENTES!A:A, 0)
  ),
  ""
)</f>
        <v>Guillermo Negrete</v>
      </c>
      <c r="F49" s="273" t="s">
        <v>38</v>
      </c>
      <c r="G49" s="274" t="str">
        <f t="array" ref="G49">IFERROR(
  INDEX(R_CLIENTES!H:H,
         MATCH(C49, R_CLIENTES!A:A, 0)
  ),
  ""
)</f>
        <v>9-93590543</v>
      </c>
      <c r="H49" s="273" t="s">
        <v>35</v>
      </c>
      <c r="I49" s="273" t="s">
        <v>152</v>
      </c>
      <c r="J49" s="277">
        <v>1130000.0</v>
      </c>
      <c r="K49" s="258">
        <f t="shared" si="1"/>
        <v>0</v>
      </c>
      <c r="L49" s="275">
        <f t="shared" si="2"/>
        <v>1130000</v>
      </c>
      <c r="M49" s="278" t="s">
        <v>603</v>
      </c>
      <c r="N49" s="278" t="s">
        <v>604</v>
      </c>
      <c r="O49" s="273" t="s">
        <v>145</v>
      </c>
    </row>
    <row r="50" ht="22.5" customHeight="1">
      <c r="A50" s="269">
        <v>46.0</v>
      </c>
      <c r="B50" s="272">
        <v>45987.0</v>
      </c>
      <c r="C50" s="273" t="s">
        <v>473</v>
      </c>
      <c r="D50" s="258" t="str">
        <f t="array" ref="D50">IFERROR(
  INDEX(R_CLIENTES!B:B,
         MATCH(C50, R_CLIENTES!A:A, 0)
  ),
  ""
)</f>
        <v>Condominio Alto Bellavista</v>
      </c>
      <c r="E50" s="258" t="str">
        <f t="array" ref="E50">IFERROR(
  INDEX(R_CLIENTES!G:G,
         MATCH(C50, R_CLIENTES!A:A, 0)
  ),
  ""
)</f>
        <v>Maria Antoniera del Pino</v>
      </c>
      <c r="F50" s="273" t="s">
        <v>34</v>
      </c>
      <c r="G50" s="274" t="str">
        <f t="array" ref="G50">IFERROR(
  INDEX(R_CLIENTES!H:H,
         MATCH(C50, R_CLIENTES!A:A, 0)
  ),
  ""
)</f>
        <v>9-84398698</v>
      </c>
      <c r="H50" s="273" t="s">
        <v>35</v>
      </c>
      <c r="I50" s="273" t="s">
        <v>152</v>
      </c>
      <c r="J50" s="277">
        <v>750000.0</v>
      </c>
      <c r="K50" s="275">
        <f t="shared" si="1"/>
        <v>142500</v>
      </c>
      <c r="L50" s="275">
        <f t="shared" si="2"/>
        <v>892500</v>
      </c>
      <c r="M50" s="278" t="s">
        <v>605</v>
      </c>
      <c r="N50" s="118" t="s">
        <v>605</v>
      </c>
      <c r="O50" s="273" t="s">
        <v>147</v>
      </c>
    </row>
    <row r="51" ht="22.5" customHeight="1">
      <c r="A51" s="269">
        <v>47.0</v>
      </c>
      <c r="B51" s="272">
        <v>45992.0</v>
      </c>
      <c r="C51" s="273" t="s">
        <v>334</v>
      </c>
      <c r="D51" s="258" t="str">
        <f t="array" ref="D51">IFERROR(
  INDEX(R_CLIENTES!B:B,
         MATCH(C51, R_CLIENTES!A:A, 0)
  ),
  ""
)</f>
        <v>Condominio Paseo Peñuelas</v>
      </c>
      <c r="E51" s="258" t="str">
        <f t="array" ref="E51">IFERROR(
  INDEX(R_CLIENTES!G:G,
         MATCH(C51, R_CLIENTES!A:A, 0)
  ),
  ""
)</f>
        <v>Adm Victor Figueroa</v>
      </c>
      <c r="F51" s="273" t="s">
        <v>38</v>
      </c>
      <c r="G51" s="274" t="str">
        <f t="array" ref="G51">IFERROR(
  INDEX(R_CLIENTES!H:H,
         MATCH(C51, R_CLIENTES!A:A, 0)
  ),
  ""
)</f>
        <v>9-59823214</v>
      </c>
      <c r="H51" s="273" t="s">
        <v>35</v>
      </c>
      <c r="I51" s="273" t="s">
        <v>146</v>
      </c>
      <c r="J51" s="277">
        <v>3304000.0</v>
      </c>
      <c r="K51" s="258">
        <f t="shared" si="1"/>
        <v>0</v>
      </c>
      <c r="L51" s="275">
        <f t="shared" si="2"/>
        <v>3304000</v>
      </c>
      <c r="M51" s="278" t="s">
        <v>606</v>
      </c>
      <c r="N51" s="278" t="s">
        <v>607</v>
      </c>
      <c r="O51" s="273" t="s">
        <v>147</v>
      </c>
    </row>
    <row r="52" ht="22.5" customHeight="1">
      <c r="A52" s="269">
        <v>48.0</v>
      </c>
      <c r="B52" s="272">
        <v>45992.0</v>
      </c>
      <c r="C52" s="273" t="s">
        <v>334</v>
      </c>
      <c r="D52" s="258" t="str">
        <f t="array" ref="D52">IFERROR(
  INDEX(R_CLIENTES!B:B,
         MATCH(C52, R_CLIENTES!A:A, 0)
  ),
  ""
)</f>
        <v>Condominio Paseo Peñuelas</v>
      </c>
      <c r="E52" s="258" t="str">
        <f t="array" ref="E52">IFERROR(
  INDEX(R_CLIENTES!G:G,
         MATCH(C52, R_CLIENTES!A:A, 0)
  ),
  ""
)</f>
        <v>Adm Victor Figueroa</v>
      </c>
      <c r="F52" s="273" t="s">
        <v>38</v>
      </c>
      <c r="G52" s="274" t="str">
        <f t="array" ref="G52">IFERROR(
  INDEX(R_CLIENTES!H:H,
         MATCH(C52, R_CLIENTES!A:A, 0)
  ),
  ""
)</f>
        <v>9-59823214</v>
      </c>
      <c r="H52" s="273" t="s">
        <v>35</v>
      </c>
      <c r="I52" s="273" t="s">
        <v>149</v>
      </c>
      <c r="J52" s="277">
        <v>4825000.0</v>
      </c>
      <c r="K52" s="258">
        <f t="shared" si="1"/>
        <v>0</v>
      </c>
      <c r="L52" s="275">
        <f t="shared" si="2"/>
        <v>4825000</v>
      </c>
      <c r="M52" s="278" t="s">
        <v>608</v>
      </c>
      <c r="N52" s="278" t="s">
        <v>607</v>
      </c>
      <c r="O52" s="273" t="s">
        <v>147</v>
      </c>
    </row>
    <row r="53" ht="22.5" customHeight="1">
      <c r="A53" s="269">
        <v>49.0</v>
      </c>
      <c r="B53" s="272">
        <v>45992.0</v>
      </c>
      <c r="C53" s="273" t="s">
        <v>334</v>
      </c>
      <c r="D53" s="258" t="str">
        <f t="array" ref="D53">IFERROR(
  INDEX(R_CLIENTES!B:B,
         MATCH(C53, R_CLIENTES!A:A, 0)
  ),
  ""
)</f>
        <v>Condominio Paseo Peñuelas</v>
      </c>
      <c r="E53" s="258" t="str">
        <f t="array" ref="E53">IFERROR(
  INDEX(R_CLIENTES!G:G,
         MATCH(C53, R_CLIENTES!A:A, 0)
  ),
  ""
)</f>
        <v>Adm Victor Figueroa</v>
      </c>
      <c r="F53" s="273" t="s">
        <v>38</v>
      </c>
      <c r="G53" s="274" t="str">
        <f t="array" ref="G53">IFERROR(
  INDEX(R_CLIENTES!H:H,
         MATCH(C53, R_CLIENTES!A:A, 0)
  ),
  ""
)</f>
        <v>9-59823214</v>
      </c>
      <c r="H53" s="273" t="s">
        <v>35</v>
      </c>
      <c r="I53" s="273" t="s">
        <v>158</v>
      </c>
      <c r="J53" s="277">
        <v>1.0871E7</v>
      </c>
      <c r="K53" s="258">
        <f t="shared" si="1"/>
        <v>0</v>
      </c>
      <c r="L53" s="275">
        <f t="shared" si="2"/>
        <v>10871000</v>
      </c>
      <c r="M53" s="278" t="s">
        <v>609</v>
      </c>
      <c r="N53" s="278" t="s">
        <v>607</v>
      </c>
      <c r="O53" s="273" t="s">
        <v>147</v>
      </c>
    </row>
    <row r="54" ht="22.5" customHeight="1">
      <c r="A54" s="269">
        <v>50.0</v>
      </c>
      <c r="B54" s="272">
        <v>46000.0</v>
      </c>
      <c r="C54" s="273" t="s">
        <v>386</v>
      </c>
      <c r="D54" s="258" t="str">
        <f t="array" ref="D54">IFERROR(
  INDEX(R_CLIENTES!B:B,
         MATCH(C54, R_CLIENTES!A:A, 0)
  ),
  ""
)</f>
        <v>Comunidad Edificio Florencia</v>
      </c>
      <c r="E54" s="258" t="str">
        <f t="array" ref="E54">IFERROR(
  INDEX(R_CLIENTES!G:G,
         MATCH(C54, R_CLIENTES!A:A, 0)
  ),
  ""
)</f>
        <v>Guillermo Negrete</v>
      </c>
      <c r="F54" s="273" t="s">
        <v>38</v>
      </c>
      <c r="G54" s="274" t="str">
        <f t="array" ref="G54">IFERROR(
  INDEX(R_CLIENTES!H:H,
         MATCH(C54, R_CLIENTES!A:A, 0)
  ),
  ""
)</f>
        <v>9-93590543</v>
      </c>
      <c r="H54" s="273" t="s">
        <v>35</v>
      </c>
      <c r="I54" s="273" t="s">
        <v>144</v>
      </c>
      <c r="J54" s="277">
        <v>170000.0</v>
      </c>
      <c r="K54" s="258">
        <f t="shared" si="1"/>
        <v>0</v>
      </c>
      <c r="L54" s="275">
        <f t="shared" si="2"/>
        <v>170000</v>
      </c>
      <c r="M54" s="278" t="s">
        <v>610</v>
      </c>
      <c r="N54" s="118" t="s">
        <v>610</v>
      </c>
      <c r="O54" s="273" t="s">
        <v>147</v>
      </c>
    </row>
    <row r="55" ht="22.5" customHeight="1">
      <c r="A55" s="269">
        <v>51.0</v>
      </c>
      <c r="B55" s="272">
        <v>46000.0</v>
      </c>
      <c r="C55" s="273" t="s">
        <v>476</v>
      </c>
      <c r="D55" s="258" t="str">
        <f t="array" ref="D55">IFERROR(
  INDEX(R_CLIENTES!B:B,
         MATCH(C55, R_CLIENTES!A:A, 0)
  ),
  ""
)</f>
        <v>Condominio Capri</v>
      </c>
      <c r="E55" s="258" t="str">
        <f t="array" ref="E55">IFERROR(
  INDEX(R_CLIENTES!G:G,
         MATCH(C55, R_CLIENTES!A:A, 0)
  ),
  ""
)</f>
        <v>Bernardita Orellana</v>
      </c>
      <c r="F55" s="273" t="s">
        <v>38</v>
      </c>
      <c r="G55" s="274" t="str">
        <f t="array" ref="G55">IFERROR(
  INDEX(R_CLIENTES!H:H,
         MATCH(C55, R_CLIENTES!A:A, 0)
  ),
  ""
)</f>
        <v>9-93193675</v>
      </c>
      <c r="H55" s="273" t="s">
        <v>35</v>
      </c>
      <c r="I55" s="273" t="s">
        <v>149</v>
      </c>
      <c r="J55" s="277">
        <v>1550000.0</v>
      </c>
      <c r="K55" s="258">
        <f t="shared" si="1"/>
        <v>0</v>
      </c>
      <c r="L55" s="275">
        <f t="shared" si="2"/>
        <v>1550000</v>
      </c>
      <c r="M55" s="278" t="s">
        <v>568</v>
      </c>
      <c r="N55" s="278" t="s">
        <v>568</v>
      </c>
      <c r="O55" s="273" t="s">
        <v>147</v>
      </c>
    </row>
    <row r="56" ht="22.5" customHeight="1">
      <c r="A56" s="269">
        <v>52.0</v>
      </c>
      <c r="B56" s="272">
        <v>46001.0</v>
      </c>
      <c r="C56" s="273" t="s">
        <v>482</v>
      </c>
      <c r="D56" s="258" t="str">
        <f t="array" ref="D56">IFERROR(
  INDEX(R_CLIENTES!B:B,
         MATCH(C56, R_CLIENTES!A:A, 0)
  ),
  ""
)</f>
        <v>Espacio Norte La Serena</v>
      </c>
      <c r="E56" s="258" t="str">
        <f t="array" ref="E56">IFERROR(
  INDEX(R_CLIENTES!G:G,
         MATCH(C56, R_CLIENTES!A:A, 0)
  ),
  ""
)</f>
        <v>Juan Retamal</v>
      </c>
      <c r="F56" s="273" t="s">
        <v>38</v>
      </c>
      <c r="G56" s="274" t="str">
        <f t="array" ref="G56">IFERROR(
  INDEX(R_CLIENTES!H:H,
         MATCH(C56, R_CLIENTES!A:A, 0)
  ),
  ""
)</f>
        <v>9-985690424</v>
      </c>
      <c r="H56" s="273" t="s">
        <v>35</v>
      </c>
      <c r="I56" s="273" t="s">
        <v>146</v>
      </c>
      <c r="J56" s="277">
        <v>1710000.0</v>
      </c>
      <c r="K56" s="258">
        <f t="shared" si="1"/>
        <v>0</v>
      </c>
      <c r="L56" s="275">
        <f t="shared" si="2"/>
        <v>1710000</v>
      </c>
      <c r="M56" s="278" t="s">
        <v>568</v>
      </c>
      <c r="N56" s="278" t="s">
        <v>611</v>
      </c>
      <c r="O56" s="273" t="s">
        <v>147</v>
      </c>
    </row>
    <row r="57" ht="22.5" customHeight="1">
      <c r="A57" s="269">
        <v>53.0</v>
      </c>
      <c r="B57" s="272">
        <v>46001.0</v>
      </c>
      <c r="C57" s="273" t="s">
        <v>482</v>
      </c>
      <c r="D57" s="258" t="str">
        <f t="array" ref="D57">IFERROR(
  INDEX(R_CLIENTES!B:B,
         MATCH(C57, R_CLIENTES!A:A, 0)
  ),
  ""
)</f>
        <v>Espacio Norte La Serena</v>
      </c>
      <c r="E57" s="258" t="str">
        <f t="array" ref="E57">IFERROR(
  INDEX(R_CLIENTES!G:G,
         MATCH(C57, R_CLIENTES!A:A, 0)
  ),
  ""
)</f>
        <v>Juan Retamal</v>
      </c>
      <c r="F57" s="273" t="s">
        <v>38</v>
      </c>
      <c r="G57" s="274" t="str">
        <f t="array" ref="G57">IFERROR(
  INDEX(R_CLIENTES!H:H,
         MATCH(C57, R_CLIENTES!A:A, 0)
  ),
  ""
)</f>
        <v>9-985690424</v>
      </c>
      <c r="H57" s="273" t="s">
        <v>35</v>
      </c>
      <c r="I57" s="273" t="s">
        <v>146</v>
      </c>
      <c r="J57" s="277">
        <v>990000.0</v>
      </c>
      <c r="K57" s="258">
        <f t="shared" si="1"/>
        <v>0</v>
      </c>
      <c r="L57" s="275">
        <f t="shared" si="2"/>
        <v>990000</v>
      </c>
      <c r="M57" s="278" t="s">
        <v>612</v>
      </c>
      <c r="N57" s="278" t="s">
        <v>613</v>
      </c>
      <c r="O57" s="273" t="s">
        <v>147</v>
      </c>
    </row>
    <row r="58" ht="22.5" customHeight="1">
      <c r="A58" s="269">
        <v>54.0</v>
      </c>
      <c r="B58" s="272">
        <v>46006.0</v>
      </c>
      <c r="C58" s="273" t="s">
        <v>488</v>
      </c>
      <c r="D58" s="258" t="str">
        <f t="array" ref="D58">IFERROR(
  INDEX(R_CLIENTES!B:B,
         MATCH(C58, R_CLIENTES!A:A, 0)
  ),
  ""
)</f>
        <v>Condominio Parque Libertad</v>
      </c>
      <c r="E58" s="258" t="str">
        <f t="array" ref="E58">IFERROR(
  INDEX(R_CLIENTES!G:G,
         MATCH(C58, R_CLIENTES!A:A, 0)
  ),
  ""
)</f>
        <v>Wilson Vargas</v>
      </c>
      <c r="F58" s="273" t="s">
        <v>34</v>
      </c>
      <c r="G58" s="274" t="str">
        <f t="array" ref="G58">IFERROR(
  INDEX(R_CLIENTES!H:H,
         MATCH(C58, R_CLIENTES!A:A, 0)
  ),
  ""
)</f>
        <v>9-61183960</v>
      </c>
      <c r="H58" s="273" t="s">
        <v>35</v>
      </c>
      <c r="I58" s="273" t="s">
        <v>152</v>
      </c>
      <c r="J58" s="277">
        <v>260000.0</v>
      </c>
      <c r="K58" s="275">
        <f t="shared" si="1"/>
        <v>49400</v>
      </c>
      <c r="L58" s="275">
        <f t="shared" si="2"/>
        <v>309400</v>
      </c>
      <c r="M58" s="278" t="s">
        <v>614</v>
      </c>
      <c r="N58" s="278" t="s">
        <v>615</v>
      </c>
      <c r="O58" s="273" t="s">
        <v>147</v>
      </c>
    </row>
    <row r="59" ht="22.5" customHeight="1">
      <c r="A59" s="269">
        <v>55.0</v>
      </c>
      <c r="B59" s="272">
        <v>46006.0</v>
      </c>
      <c r="C59" s="273" t="s">
        <v>494</v>
      </c>
      <c r="D59" s="258" t="str">
        <f t="array" ref="D59">IFERROR(
  INDEX(R_CLIENTES!B:B,
         MATCH(C59, R_CLIENTES!A:A, 0)
  ),
  ""
)</f>
        <v>Cond Marina Horizonte </v>
      </c>
      <c r="E59" s="258" t="str">
        <f t="array" ref="E59">IFERROR(
  INDEX(R_CLIENTES!G:G,
         MATCH(C59, R_CLIENTES!A:A, 0)
  ),
  ""
)</f>
        <v>Rodrigo Mancilla</v>
      </c>
      <c r="F59" s="273" t="s">
        <v>34</v>
      </c>
      <c r="G59" s="274" t="str">
        <f t="array" ref="G59">IFERROR(
  INDEX(R_CLIENTES!H:H,
         MATCH(C59, R_CLIENTES!A:A, 0)
  ),
  ""
)</f>
        <v>9-6699 9835</v>
      </c>
      <c r="H59" s="273" t="s">
        <v>35</v>
      </c>
      <c r="I59" s="273" t="s">
        <v>152</v>
      </c>
      <c r="J59" s="277">
        <v>280000.0</v>
      </c>
      <c r="K59" s="275">
        <f t="shared" si="1"/>
        <v>53200</v>
      </c>
      <c r="L59" s="275">
        <f t="shared" si="2"/>
        <v>333200</v>
      </c>
      <c r="M59" s="278" t="s">
        <v>616</v>
      </c>
      <c r="N59" s="278" t="s">
        <v>616</v>
      </c>
      <c r="O59" s="273" t="s">
        <v>147</v>
      </c>
    </row>
    <row r="60" ht="22.5" customHeight="1">
      <c r="A60" s="269">
        <v>56.0</v>
      </c>
      <c r="B60" s="272">
        <v>46006.0</v>
      </c>
      <c r="C60" s="273" t="s">
        <v>500</v>
      </c>
      <c r="D60" s="258" t="str">
        <f t="array" ref="D60">IFERROR(
  INDEX(R_CLIENTES!B:B,
         MATCH(C60, R_CLIENTES!A:A, 0)
  ),
  ""
)</f>
        <v>Condominio Pacífico</v>
      </c>
      <c r="E60" s="258" t="str">
        <f t="array" ref="E60">IFERROR(
  INDEX(R_CLIENTES!G:G,
         MATCH(C60, R_CLIENTES!A:A, 0)
  ),
  ""
)</f>
        <v>Gabriel Mollano</v>
      </c>
      <c r="F60" s="273" t="s">
        <v>34</v>
      </c>
      <c r="G60" s="274" t="str">
        <f t="array" ref="G60">IFERROR(
  INDEX(R_CLIENTES!H:H,
         MATCH(C60, R_CLIENTES!A:A, 0)
  ),
  ""
)</f>
        <v>9-95906289</v>
      </c>
      <c r="H60" s="273" t="s">
        <v>35</v>
      </c>
      <c r="I60" s="273" t="s">
        <v>152</v>
      </c>
      <c r="J60" s="277">
        <v>156000.0</v>
      </c>
      <c r="K60" s="275">
        <f t="shared" si="1"/>
        <v>29640</v>
      </c>
      <c r="L60" s="275">
        <f t="shared" si="2"/>
        <v>185640</v>
      </c>
      <c r="M60" s="278" t="s">
        <v>617</v>
      </c>
      <c r="N60" s="278" t="s">
        <v>617</v>
      </c>
      <c r="O60" s="273" t="s">
        <v>147</v>
      </c>
    </row>
    <row r="61" ht="22.5" customHeight="1">
      <c r="A61" s="269">
        <v>57.0</v>
      </c>
      <c r="B61" s="272">
        <v>46017.0</v>
      </c>
      <c r="C61" s="273" t="s">
        <v>348</v>
      </c>
      <c r="D61" s="258" t="str">
        <f t="array" ref="D61">IFERROR(
  INDEX(R_CLIENTES!B:B,
         MATCH(C61, R_CLIENTES!A:A, 0)
  ),
  ""
)</f>
        <v>Condominio Vicenza II</v>
      </c>
      <c r="E61" s="258" t="str">
        <f t="array" ref="E61">IFERROR(
  INDEX(R_CLIENTES!G:G,
         MATCH(C61, R_CLIENTES!A:A, 0)
  ),
  ""
)</f>
        <v>Mauricio Araya</v>
      </c>
      <c r="F61" s="273" t="s">
        <v>34</v>
      </c>
      <c r="G61" s="274" t="str">
        <f t="array" ref="G61">IFERROR(
  INDEX(R_CLIENTES!H:H,
         MATCH(C61, R_CLIENTES!A:A, 0)
  ),
  ""
)</f>
        <v>9-97269955</v>
      </c>
      <c r="H61" s="273" t="s">
        <v>35</v>
      </c>
      <c r="I61" s="273" t="s">
        <v>152</v>
      </c>
      <c r="J61" s="277">
        <v>110000.0</v>
      </c>
      <c r="K61" s="275">
        <f t="shared" si="1"/>
        <v>20900</v>
      </c>
      <c r="L61" s="275">
        <f t="shared" si="2"/>
        <v>130900</v>
      </c>
      <c r="M61" s="278" t="s">
        <v>617</v>
      </c>
      <c r="N61" s="278" t="s">
        <v>617</v>
      </c>
      <c r="O61" s="273" t="s">
        <v>147</v>
      </c>
    </row>
    <row r="62" ht="22.5" customHeight="1">
      <c r="A62" s="269">
        <v>58.0</v>
      </c>
      <c r="B62" s="272">
        <v>46017.0</v>
      </c>
      <c r="C62" s="273" t="s">
        <v>433</v>
      </c>
      <c r="D62" s="258" t="str">
        <f t="array" ref="D62">IFERROR(
  INDEX(R_CLIENTES!B:B,
         MATCH(C62, R_CLIENTES!A:A, 0)
  ),
  ""
)</f>
        <v>Portal del Valle II </v>
      </c>
      <c r="E62" s="258" t="str">
        <f t="array" ref="E62">IFERROR(
  INDEX(R_CLIENTES!G:G,
         MATCH(C62, R_CLIENTES!A:A, 0)
  ),
  ""
)</f>
        <v>Mauricio Araya</v>
      </c>
      <c r="F62" s="273" t="s">
        <v>34</v>
      </c>
      <c r="G62" s="274" t="str">
        <f t="array" ref="G62">IFERROR(
  INDEX(R_CLIENTES!H:H,
         MATCH(C62, R_CLIENTES!A:A, 0)
  ),
  ""
)</f>
        <v>9-97269955</v>
      </c>
      <c r="H62" s="273" t="s">
        <v>35</v>
      </c>
      <c r="I62" s="273" t="s">
        <v>152</v>
      </c>
      <c r="J62" s="277">
        <v>200000.0</v>
      </c>
      <c r="K62" s="275">
        <f t="shared" si="1"/>
        <v>38000</v>
      </c>
      <c r="L62" s="275">
        <f t="shared" si="2"/>
        <v>238000</v>
      </c>
      <c r="M62" s="278" t="s">
        <v>618</v>
      </c>
      <c r="O62" s="281"/>
    </row>
    <row r="63" ht="22.5" customHeight="1">
      <c r="A63" s="269">
        <v>59.0</v>
      </c>
      <c r="B63" s="272">
        <v>46386.0</v>
      </c>
      <c r="C63" s="273" t="s">
        <v>348</v>
      </c>
      <c r="D63" s="258" t="str">
        <f t="array" ref="D63">IFERROR(
  INDEX(R_CLIENTES!B:B,
         MATCH(C63, R_CLIENTES!A:A, 0)
  ),
  ""
)</f>
        <v>Condominio Vicenza II</v>
      </c>
      <c r="E63" s="258" t="str">
        <f t="array" ref="E63">IFERROR(
  INDEX(R_CLIENTES!G:G,
         MATCH(C63, R_CLIENTES!A:A, 0)
  ),
  ""
)</f>
        <v>Mauricio Araya</v>
      </c>
      <c r="F63" s="273" t="s">
        <v>34</v>
      </c>
      <c r="G63" s="274" t="str">
        <f t="array" ref="G63">IFERROR(
  INDEX(R_CLIENTES!H:H,
         MATCH(C63, R_CLIENTES!A:A, 0)
  ),
  ""
)</f>
        <v>9-97269955</v>
      </c>
      <c r="H63" s="273" t="s">
        <v>35</v>
      </c>
      <c r="I63" s="273" t="s">
        <v>152</v>
      </c>
      <c r="J63" s="277">
        <v>250000.0</v>
      </c>
      <c r="K63" s="275">
        <f t="shared" si="1"/>
        <v>47500</v>
      </c>
      <c r="L63" s="275">
        <f t="shared" si="2"/>
        <v>297500</v>
      </c>
      <c r="M63" s="278" t="s">
        <v>619</v>
      </c>
      <c r="N63" s="118" t="s">
        <v>620</v>
      </c>
      <c r="O63" s="273" t="s">
        <v>147</v>
      </c>
    </row>
    <row r="64" ht="22.5" customHeight="1">
      <c r="A64" s="269">
        <v>60.0</v>
      </c>
      <c r="B64" s="280">
        <v>46030.0</v>
      </c>
      <c r="C64" s="273" t="s">
        <v>348</v>
      </c>
      <c r="D64" s="258" t="str">
        <f t="array" ref="D64">IFERROR(
  INDEX(R_CLIENTES!B:B,
         MATCH(C64, R_CLIENTES!A:A, 0)
  ),
  ""
)</f>
        <v>Condominio Vicenza II</v>
      </c>
      <c r="E64" s="258" t="str">
        <f t="array" ref="E64">IFERROR(
  INDEX(R_CLIENTES!G:G,
         MATCH(C64, R_CLIENTES!A:A, 0)
  ),
  ""
)</f>
        <v>Mauricio Araya</v>
      </c>
      <c r="F64" s="273" t="s">
        <v>34</v>
      </c>
      <c r="G64" s="274" t="str">
        <f t="array" ref="G64">IFERROR(
  INDEX(R_CLIENTES!H:H,
         MATCH(C64, R_CLIENTES!A:A, 0)
  ),
  ""
)</f>
        <v>9-97269955</v>
      </c>
      <c r="H64" s="273" t="s">
        <v>35</v>
      </c>
      <c r="I64" s="273" t="s">
        <v>152</v>
      </c>
      <c r="J64" s="277">
        <v>325000.0</v>
      </c>
      <c r="K64" s="275">
        <f t="shared" si="1"/>
        <v>61750</v>
      </c>
      <c r="L64" s="275">
        <f t="shared" si="2"/>
        <v>386750</v>
      </c>
      <c r="M64" s="278" t="s">
        <v>621</v>
      </c>
      <c r="N64" s="278" t="s">
        <v>621</v>
      </c>
      <c r="O64" s="273" t="s">
        <v>147</v>
      </c>
    </row>
    <row r="65" ht="22.5" customHeight="1">
      <c r="A65" s="269">
        <v>61.0</v>
      </c>
      <c r="B65" s="280">
        <v>46030.0</v>
      </c>
      <c r="C65" s="273" t="s">
        <v>348</v>
      </c>
      <c r="D65" s="258" t="str">
        <f t="array" ref="D65">IFERROR(
  INDEX(R_CLIENTES!B:B,
         MATCH(C65, R_CLIENTES!A:A, 0)
  ),
  ""
)</f>
        <v>Condominio Vicenza II</v>
      </c>
      <c r="E65" s="258" t="str">
        <f t="array" ref="E65">IFERROR(
  INDEX(R_CLIENTES!G:G,
         MATCH(C65, R_CLIENTES!A:A, 0)
  ),
  ""
)</f>
        <v>Mauricio Araya</v>
      </c>
      <c r="F65" s="273" t="s">
        <v>38</v>
      </c>
      <c r="G65" s="274" t="str">
        <f t="array" ref="G65">IFERROR(
  INDEX(R_CLIENTES!H:H,
         MATCH(C65, R_CLIENTES!A:A, 0)
  ),
  ""
)</f>
        <v>9-97269955</v>
      </c>
      <c r="H65" s="273" t="s">
        <v>35</v>
      </c>
      <c r="I65" s="273" t="s">
        <v>152</v>
      </c>
      <c r="J65" s="277">
        <v>325000.0</v>
      </c>
      <c r="K65" s="258">
        <f t="shared" si="1"/>
        <v>0</v>
      </c>
      <c r="L65" s="275">
        <f t="shared" si="2"/>
        <v>325000</v>
      </c>
      <c r="M65" s="278" t="s">
        <v>621</v>
      </c>
      <c r="N65" s="278" t="s">
        <v>621</v>
      </c>
      <c r="O65" s="273" t="s">
        <v>147</v>
      </c>
    </row>
    <row r="66" ht="22.5" customHeight="1">
      <c r="A66" s="269">
        <v>62.0</v>
      </c>
      <c r="B66" s="280">
        <v>46037.0</v>
      </c>
      <c r="C66" s="273" t="s">
        <v>444</v>
      </c>
      <c r="D66" s="258" t="str">
        <f t="array" ref="D66">IFERROR(
  INDEX(R_CLIENTES!B:B,
         MATCH(C66, R_CLIENTES!A:A, 0)
  ),
  ""
)</f>
        <v>Distrito Verde I</v>
      </c>
      <c r="E66" s="258" t="str">
        <f t="array" ref="E66">IFERROR(
  INDEX(R_CLIENTES!G:G,
         MATCH(C66, R_CLIENTES!A:A, 0)
  ),
  ""
)</f>
        <v>Maria Antonieta del Pino</v>
      </c>
      <c r="F66" s="273" t="s">
        <v>34</v>
      </c>
      <c r="G66" s="274" t="str">
        <f t="array" ref="G66">IFERROR(
  INDEX(R_CLIENTES!H:H,
         MATCH(C66, R_CLIENTES!A:A, 0)
  ),
  ""
)</f>
        <v>9-84398698</v>
      </c>
      <c r="H66" s="273" t="s">
        <v>35</v>
      </c>
      <c r="I66" s="273" t="s">
        <v>152</v>
      </c>
      <c r="J66" s="277">
        <v>200000.0</v>
      </c>
      <c r="K66" s="275">
        <f t="shared" si="1"/>
        <v>38000</v>
      </c>
      <c r="L66" s="275">
        <f t="shared" si="2"/>
        <v>238000</v>
      </c>
      <c r="M66" s="278" t="s">
        <v>622</v>
      </c>
      <c r="N66" s="278" t="s">
        <v>622</v>
      </c>
      <c r="O66" s="273" t="s">
        <v>147</v>
      </c>
    </row>
    <row r="67" ht="22.5" customHeight="1">
      <c r="A67" s="269">
        <v>63.0</v>
      </c>
      <c r="B67" s="280">
        <v>46041.0</v>
      </c>
      <c r="C67" s="273" t="s">
        <v>505</v>
      </c>
      <c r="D67" s="258" t="str">
        <f t="array" ref="D67">IFERROR(
  INDEX(R_CLIENTES!B:B,
         MATCH(C67, R_CLIENTES!A:A, 0)
  ),
  ""
)</f>
        <v>Condominio Palermo</v>
      </c>
      <c r="E67" s="258" t="str">
        <f t="array" ref="E67">IFERROR(
  INDEX(R_CLIENTES!G:G,
         MATCH(C67, R_CLIENTES!A:A, 0)
  ),
  ""
)</f>
        <v>Elvis Díaz</v>
      </c>
      <c r="F67" s="273" t="s">
        <v>34</v>
      </c>
      <c r="G67" s="274" t="str">
        <f t="array" ref="G67">IFERROR(
  INDEX(R_CLIENTES!H:H,
         MATCH(C67, R_CLIENTES!A:A, 0)
  ),
  ""
)</f>
        <v>9-39074968</v>
      </c>
      <c r="H67" s="273" t="s">
        <v>35</v>
      </c>
      <c r="I67" s="273" t="s">
        <v>146</v>
      </c>
      <c r="J67" s="277">
        <v>1558000.0</v>
      </c>
      <c r="K67" s="275">
        <f t="shared" si="1"/>
        <v>296020</v>
      </c>
      <c r="L67" s="275">
        <f t="shared" si="2"/>
        <v>1854020</v>
      </c>
      <c r="M67" s="278" t="s">
        <v>623</v>
      </c>
      <c r="N67" s="278" t="s">
        <v>623</v>
      </c>
      <c r="O67" s="273" t="s">
        <v>147</v>
      </c>
    </row>
    <row r="68" ht="22.5" customHeight="1">
      <c r="A68" s="269">
        <v>64.0</v>
      </c>
      <c r="B68" s="280">
        <v>46041.0</v>
      </c>
      <c r="C68" s="273" t="s">
        <v>505</v>
      </c>
      <c r="D68" s="258" t="str">
        <f t="array" ref="D68">IFERROR(
  INDEX(R_CLIENTES!B:B,
         MATCH(C68, R_CLIENTES!A:A, 0)
  ),
  ""
)</f>
        <v>Condominio Palermo</v>
      </c>
      <c r="E68" s="258" t="str">
        <f t="array" ref="E68">IFERROR(
  INDEX(R_CLIENTES!G:G,
         MATCH(C68, R_CLIENTES!A:A, 0)
  ),
  ""
)</f>
        <v>Elvis Díaz</v>
      </c>
      <c r="F68" s="273" t="s">
        <v>34</v>
      </c>
      <c r="G68" s="274" t="str">
        <f t="array" ref="G68">IFERROR(
  INDEX(R_CLIENTES!H:H,
         MATCH(C68, R_CLIENTES!A:A, 0)
  ),
  ""
)</f>
        <v>9-39074968</v>
      </c>
      <c r="H68" s="273" t="s">
        <v>35</v>
      </c>
      <c r="I68" s="273" t="s">
        <v>146</v>
      </c>
      <c r="J68" s="277">
        <v>1700000.0</v>
      </c>
      <c r="K68" s="275">
        <f t="shared" si="1"/>
        <v>323000</v>
      </c>
      <c r="L68" s="275">
        <f t="shared" si="2"/>
        <v>2023000</v>
      </c>
      <c r="M68" s="278" t="s">
        <v>624</v>
      </c>
      <c r="N68" s="278" t="s">
        <v>624</v>
      </c>
      <c r="O68" s="273" t="s">
        <v>147</v>
      </c>
    </row>
    <row r="69" ht="22.5" customHeight="1">
      <c r="A69" s="269">
        <v>65.0</v>
      </c>
      <c r="B69" s="280">
        <v>46048.0</v>
      </c>
      <c r="C69" s="273" t="s">
        <v>413</v>
      </c>
      <c r="D69" s="258" t="str">
        <f t="array" ref="D69">IFERROR(
  INDEX(R_CLIENTES!B:B,
         MATCH(C69, R_CLIENTES!A:A, 0)
  ),
  ""
)</f>
        <v>Condominio Neo Spazio</v>
      </c>
      <c r="E69" s="258" t="str">
        <f t="array" ref="E69">IFERROR(
  INDEX(R_CLIENTES!G:G,
         MATCH(C69, R_CLIENTES!A:A, 0)
  ),
  ""
)</f>
        <v>Guillermo Negrete</v>
      </c>
      <c r="F69" s="273" t="s">
        <v>38</v>
      </c>
      <c r="G69" s="274" t="str">
        <f t="array" ref="G69">IFERROR(
  INDEX(R_CLIENTES!H:H,
         MATCH(C69, R_CLIENTES!A:A, 0)
  ),
  ""
)</f>
        <v>9-93590543</v>
      </c>
      <c r="H69" s="273" t="s">
        <v>35</v>
      </c>
      <c r="I69" s="273" t="s">
        <v>146</v>
      </c>
      <c r="J69" s="277">
        <v>360000.0</v>
      </c>
      <c r="K69" s="258">
        <f t="shared" si="1"/>
        <v>0</v>
      </c>
      <c r="L69" s="275">
        <f t="shared" si="2"/>
        <v>360000</v>
      </c>
      <c r="M69" s="278" t="s">
        <v>625</v>
      </c>
      <c r="N69" s="278" t="s">
        <v>626</v>
      </c>
      <c r="O69" s="273" t="s">
        <v>145</v>
      </c>
    </row>
    <row r="70" ht="22.5" customHeight="1">
      <c r="A70" s="269">
        <v>66.0</v>
      </c>
      <c r="B70" s="280">
        <v>46048.0</v>
      </c>
      <c r="C70" s="273" t="s">
        <v>386</v>
      </c>
      <c r="D70" s="258" t="str">
        <f t="array" ref="D70">IFERROR(
  INDEX(R_CLIENTES!B:B,
         MATCH(C70, R_CLIENTES!A:A, 0)
  ),
  ""
)</f>
        <v>Comunidad Edificio Florencia</v>
      </c>
      <c r="E70" s="258" t="str">
        <f t="array" ref="E70">IFERROR(
  INDEX(R_CLIENTES!G:G,
         MATCH(C70, R_CLIENTES!A:A, 0)
  ),
  ""
)</f>
        <v>Guillermo Negrete</v>
      </c>
      <c r="F70" s="273" t="s">
        <v>38</v>
      </c>
      <c r="G70" s="274" t="str">
        <f t="array" ref="G70">IFERROR(
  INDEX(R_CLIENTES!H:H,
         MATCH(C70, R_CLIENTES!A:A, 0)
  ),
  ""
)</f>
        <v>9-93590543</v>
      </c>
      <c r="H70" s="273" t="s">
        <v>35</v>
      </c>
      <c r="I70" s="273" t="s">
        <v>152</v>
      </c>
      <c r="J70" s="277">
        <v>170000.0</v>
      </c>
      <c r="K70" s="258">
        <f t="shared" si="1"/>
        <v>0</v>
      </c>
      <c r="L70" s="275">
        <f t="shared" si="2"/>
        <v>170000</v>
      </c>
      <c r="M70" s="278" t="s">
        <v>627</v>
      </c>
      <c r="N70" s="278" t="s">
        <v>627</v>
      </c>
      <c r="O70" s="273" t="s">
        <v>145</v>
      </c>
    </row>
    <row r="71" ht="22.5" customHeight="1">
      <c r="A71" s="269">
        <v>67.0</v>
      </c>
      <c r="B71" s="280">
        <v>46056.0</v>
      </c>
      <c r="C71" s="273" t="s">
        <v>511</v>
      </c>
      <c r="D71" s="258" t="str">
        <f t="array" ref="D71">IFERROR(
  INDEX(R_CLIENTES!B:B,
         MATCH(C71, R_CLIENTES!A:A, 0)
  ),
  ""
)</f>
        <v>Espacio Urbano</v>
      </c>
      <c r="E71" s="258" t="str">
        <f t="array" ref="E71">IFERROR(
  INDEX(R_CLIENTES!G:G,
         MATCH(C71, R_CLIENTES!A:A, 0)
  ),
  ""
)</f>
        <v>Gypsy Adm</v>
      </c>
      <c r="F71" s="273" t="s">
        <v>34</v>
      </c>
      <c r="G71" s="274" t="str">
        <f t="array" ref="G71">IFERROR(
  INDEX(R_CLIENTES!H:H,
         MATCH(C71, R_CLIENTES!A:A, 0)
  ),
  ""
)</f>
        <v>9 6287 8932</v>
      </c>
      <c r="H71" s="273" t="s">
        <v>35</v>
      </c>
      <c r="I71" s="273" t="s">
        <v>146</v>
      </c>
      <c r="J71" s="277">
        <v>1000000.0</v>
      </c>
      <c r="K71" s="275">
        <f t="shared" si="1"/>
        <v>190000</v>
      </c>
      <c r="L71" s="275">
        <f t="shared" si="2"/>
        <v>1190000</v>
      </c>
      <c r="M71" s="278" t="s">
        <v>628</v>
      </c>
      <c r="N71" s="278" t="s">
        <v>629</v>
      </c>
      <c r="O71" s="273" t="s">
        <v>147</v>
      </c>
    </row>
    <row r="72" ht="22.5" customHeight="1">
      <c r="A72" s="269">
        <v>68.0</v>
      </c>
      <c r="B72" s="280">
        <v>46056.0</v>
      </c>
      <c r="C72" s="273" t="s">
        <v>440</v>
      </c>
      <c r="D72" s="258" t="str">
        <f t="array" ref="D72">IFERROR(
  INDEX(R_CLIENTES!B:B,
         MATCH(C72, R_CLIENTES!A:A, 0)
  ),
  ""
)</f>
        <v>Paseo San Carlos VII</v>
      </c>
      <c r="E72" s="258" t="str">
        <f t="array" ref="E72">IFERROR(
  INDEX(R_CLIENTES!G:G,
         MATCH(C72, R_CLIENTES!A:A, 0)
  ),
  ""
)</f>
        <v>Claudio García</v>
      </c>
      <c r="F72" s="273" t="s">
        <v>34</v>
      </c>
      <c r="G72" s="274" t="str">
        <f t="array" ref="G72">IFERROR(
  INDEX(R_CLIENTES!H:H,
         MATCH(C72, R_CLIENTES!A:A, 0)
  ),
  ""
)</f>
        <v>9-84398698</v>
      </c>
      <c r="H72" s="273" t="s">
        <v>35</v>
      </c>
      <c r="I72" s="273" t="s">
        <v>152</v>
      </c>
      <c r="J72" s="277">
        <v>130000.0</v>
      </c>
      <c r="K72" s="275">
        <f t="shared" si="1"/>
        <v>24700</v>
      </c>
      <c r="L72" s="275">
        <f t="shared" si="2"/>
        <v>154700</v>
      </c>
      <c r="M72" s="278" t="s">
        <v>630</v>
      </c>
      <c r="N72" s="278" t="s">
        <v>630</v>
      </c>
      <c r="O72" s="273" t="s">
        <v>147</v>
      </c>
    </row>
    <row r="73" ht="22.5" customHeight="1">
      <c r="A73" s="269">
        <v>69.0</v>
      </c>
      <c r="B73" s="280">
        <v>46062.0</v>
      </c>
      <c r="C73" s="273" t="s">
        <v>516</v>
      </c>
      <c r="D73" s="258" t="str">
        <f t="array" ref="D73">IFERROR(
  INDEX(R_CLIENTES!B:B,
         MATCH(C73, R_CLIENTES!A:A, 0)
  ),
  ""
)</f>
        <v>Condominio Ossandon</v>
      </c>
      <c r="E73" s="258" t="str">
        <f t="array" ref="E73">IFERROR(
  INDEX(R_CLIENTES!G:G,
         MATCH(C73, R_CLIENTES!A:A, 0)
  ),
  ""
)</f>
        <v>Diego Palma</v>
      </c>
      <c r="F73" s="273" t="s">
        <v>34</v>
      </c>
      <c r="G73" s="274" t="str">
        <f t="array" ref="G73">IFERROR(
  INDEX(R_CLIENTES!H:H,
         MATCH(C73, R_CLIENTES!A:A, 0)
  ),
  ""
)</f>
        <v>9 9969 8228</v>
      </c>
      <c r="H73" s="273" t="s">
        <v>35</v>
      </c>
      <c r="I73" s="273" t="s">
        <v>146</v>
      </c>
      <c r="J73" s="277">
        <v>440000.0</v>
      </c>
      <c r="K73" s="275">
        <f t="shared" si="1"/>
        <v>83600</v>
      </c>
      <c r="L73" s="275">
        <f t="shared" si="2"/>
        <v>523600</v>
      </c>
      <c r="M73" s="278" t="s">
        <v>631</v>
      </c>
      <c r="N73" s="278" t="s">
        <v>631</v>
      </c>
      <c r="O73" s="273" t="s">
        <v>147</v>
      </c>
    </row>
    <row r="74" ht="22.5" customHeight="1">
      <c r="A74" s="269">
        <v>70.0</v>
      </c>
      <c r="B74" s="280">
        <v>46062.0</v>
      </c>
      <c r="C74" s="273" t="s">
        <v>516</v>
      </c>
      <c r="D74" s="258" t="str">
        <f t="array" ref="D74">IFERROR(
  INDEX(R_CLIENTES!B:B,
         MATCH(C74, R_CLIENTES!A:A, 0)
  ),
  ""
)</f>
        <v>Condominio Ossandon</v>
      </c>
      <c r="E74" s="258" t="str">
        <f t="array" ref="E74">IFERROR(
  INDEX(R_CLIENTES!G:G,
         MATCH(C74, R_CLIENTES!A:A, 0)
  ),
  ""
)</f>
        <v>Diego Palma</v>
      </c>
      <c r="F74" s="273" t="s">
        <v>34</v>
      </c>
      <c r="G74" s="274" t="str">
        <f t="array" ref="G74">IFERROR(
  INDEX(R_CLIENTES!H:H,
         MATCH(C74, R_CLIENTES!A:A, 0)
  ),
  ""
)</f>
        <v>9 9969 8228</v>
      </c>
      <c r="H74" s="273" t="s">
        <v>35</v>
      </c>
      <c r="I74" s="273" t="s">
        <v>152</v>
      </c>
      <c r="J74" s="277">
        <v>300000.0</v>
      </c>
      <c r="K74" s="275">
        <f t="shared" si="1"/>
        <v>57000</v>
      </c>
      <c r="L74" s="275">
        <f t="shared" si="2"/>
        <v>357000</v>
      </c>
      <c r="M74" s="278" t="s">
        <v>632</v>
      </c>
      <c r="N74" s="278" t="s">
        <v>633</v>
      </c>
      <c r="O74" s="273" t="s">
        <v>147</v>
      </c>
    </row>
    <row r="75" ht="22.5" customHeight="1">
      <c r="A75" s="269">
        <v>71.0</v>
      </c>
      <c r="B75" s="280">
        <v>46062.0</v>
      </c>
      <c r="C75" s="273" t="s">
        <v>522</v>
      </c>
      <c r="D75" s="258" t="str">
        <f t="array" ref="D75">IFERROR(
  INDEX(R_CLIENTES!B:B,
         MATCH(C75, R_CLIENTES!A:A, 0)
  ),
  ""
)</f>
        <v>Condominio Bahia Horizonte</v>
      </c>
      <c r="E75" s="258" t="str">
        <f t="array" ref="E75">IFERROR(
  INDEX(R_CLIENTES!G:G,
         MATCH(C75, R_CLIENTES!A:A, 0)
  ),
  ""
)</f>
        <v>Diego Palma</v>
      </c>
      <c r="F75" s="273" t="s">
        <v>34</v>
      </c>
      <c r="G75" s="274" t="str">
        <f t="array" ref="G75">IFERROR(
  INDEX(R_CLIENTES!H:H,
         MATCH(C75, R_CLIENTES!A:A, 0)
  ),
  ""
)</f>
        <v>9 9969 8228</v>
      </c>
      <c r="H75" s="273" t="s">
        <v>35</v>
      </c>
      <c r="I75" s="273" t="s">
        <v>149</v>
      </c>
      <c r="J75" s="277">
        <v>1050000.0</v>
      </c>
      <c r="K75" s="275">
        <f t="shared" si="1"/>
        <v>199500</v>
      </c>
      <c r="L75" s="275">
        <f t="shared" si="2"/>
        <v>1249500</v>
      </c>
      <c r="M75" s="278" t="s">
        <v>634</v>
      </c>
      <c r="N75" s="278" t="s">
        <v>634</v>
      </c>
      <c r="O75" s="273" t="s">
        <v>147</v>
      </c>
    </row>
    <row r="76" ht="22.5" customHeight="1">
      <c r="A76" s="269">
        <v>72.0</v>
      </c>
      <c r="B76" s="280">
        <v>46063.0</v>
      </c>
      <c r="C76" s="273" t="s">
        <v>522</v>
      </c>
      <c r="D76" s="258" t="str">
        <f t="array" ref="D76">IFERROR(
  INDEX(R_CLIENTES!B:B,
         MATCH(C76, R_CLIENTES!A:A, 0)
  ),
  ""
)</f>
        <v>Condominio Bahia Horizonte</v>
      </c>
      <c r="E76" s="258" t="str">
        <f t="array" ref="E76">IFERROR(
  INDEX(R_CLIENTES!G:G,
         MATCH(C76, R_CLIENTES!A:A, 0)
  ),
  ""
)</f>
        <v>Diego Palma</v>
      </c>
      <c r="F76" s="273" t="s">
        <v>34</v>
      </c>
      <c r="G76" s="274" t="str">
        <f t="array" ref="G76">IFERROR(
  INDEX(R_CLIENTES!H:H,
         MATCH(C76, R_CLIENTES!A:A, 0)
  ),
  ""
)</f>
        <v>9 9969 8228</v>
      </c>
      <c r="H76" s="273" t="s">
        <v>35</v>
      </c>
      <c r="I76" s="273" t="s">
        <v>158</v>
      </c>
      <c r="J76" s="277">
        <v>1700000.0</v>
      </c>
      <c r="K76" s="275">
        <f t="shared" si="1"/>
        <v>323000</v>
      </c>
      <c r="L76" s="275">
        <f t="shared" si="2"/>
        <v>2023000</v>
      </c>
      <c r="M76" s="278" t="s">
        <v>635</v>
      </c>
      <c r="N76" s="278" t="s">
        <v>635</v>
      </c>
      <c r="O76" s="273" t="s">
        <v>147</v>
      </c>
    </row>
    <row r="77" ht="127.5" customHeight="1">
      <c r="A77" s="269">
        <v>73.0</v>
      </c>
      <c r="B77" s="280">
        <v>46066.0</v>
      </c>
      <c r="C77" s="273" t="s">
        <v>516</v>
      </c>
      <c r="D77" s="258" t="str">
        <f t="array" ref="D77">IFERROR(
  INDEX(R_CLIENTES!B:B,
         MATCH(C77, R_CLIENTES!A:A, 0)
  ),
  ""
)</f>
        <v>Condominio Ossandon</v>
      </c>
      <c r="E77" s="258" t="str">
        <f t="array" ref="E77">IFERROR(
  INDEX(R_CLIENTES!G:G,
         MATCH(C77, R_CLIENTES!A:A, 0)
  ),
  ""
)</f>
        <v>Diego Palma</v>
      </c>
      <c r="F77" s="273" t="s">
        <v>34</v>
      </c>
      <c r="G77" s="274" t="str">
        <f t="array" ref="G77">IFERROR(
  INDEX(R_CLIENTES!H:H,
         MATCH(C77, R_CLIENTES!A:A, 0)
  ),
  ""
)</f>
        <v>9 9969 8228</v>
      </c>
      <c r="H77" s="273" t="s">
        <v>35</v>
      </c>
      <c r="I77" s="273" t="s">
        <v>152</v>
      </c>
      <c r="J77" s="277">
        <v>200000.0</v>
      </c>
      <c r="K77" s="275">
        <f t="shared" si="1"/>
        <v>38000</v>
      </c>
      <c r="L77" s="275">
        <f t="shared" si="2"/>
        <v>238000</v>
      </c>
      <c r="M77" s="278" t="s">
        <v>636</v>
      </c>
      <c r="N77" s="278" t="s">
        <v>636</v>
      </c>
      <c r="O77" s="273" t="s">
        <v>147</v>
      </c>
    </row>
    <row r="78" ht="22.5" customHeight="1">
      <c r="A78" s="269">
        <v>74.0</v>
      </c>
      <c r="B78" s="280">
        <v>46066.0</v>
      </c>
      <c r="C78" s="273" t="s">
        <v>526</v>
      </c>
      <c r="D78" s="258" t="str">
        <f t="array" ref="D78">IFERROR(
  INDEX(R_CLIENTES!B:B,
         MATCH(C78, R_CLIENTES!A:A, 0)
  ),
  ""
)</f>
        <v>Condominio Jardines del Pacífico</v>
      </c>
      <c r="E78" s="258" t="str">
        <f t="array" ref="E78">IFERROR(
  INDEX(R_CLIENTES!G:G,
         MATCH(C78, R_CLIENTES!A:A, 0)
  ),
  ""
)</f>
        <v>Sergio Cortez</v>
      </c>
      <c r="F78" s="273" t="s">
        <v>34</v>
      </c>
      <c r="G78" s="274" t="str">
        <f t="array" ref="G78">IFERROR(
  INDEX(R_CLIENTES!H:H,
         MATCH(C78, R_CLIENTES!A:A, 0)
  ),
  ""
)</f>
        <v>9 5148 2432</v>
      </c>
      <c r="H78" s="273" t="s">
        <v>35</v>
      </c>
      <c r="I78" s="273" t="s">
        <v>152</v>
      </c>
      <c r="J78" s="277">
        <v>150000.0</v>
      </c>
      <c r="K78" s="275">
        <f t="shared" si="1"/>
        <v>28500</v>
      </c>
      <c r="L78" s="275">
        <f t="shared" si="2"/>
        <v>178500</v>
      </c>
      <c r="M78" s="278" t="s">
        <v>636</v>
      </c>
      <c r="N78" s="278" t="s">
        <v>636</v>
      </c>
      <c r="O78" s="273" t="s">
        <v>147</v>
      </c>
    </row>
    <row r="79" ht="22.5" customHeight="1">
      <c r="A79" s="269">
        <v>75.0</v>
      </c>
      <c r="B79" s="280">
        <v>46072.0</v>
      </c>
      <c r="C79" s="273" t="s">
        <v>516</v>
      </c>
      <c r="D79" s="258" t="str">
        <f t="array" ref="D79">IFERROR(
  INDEX(R_CLIENTES!B:B,
         MATCH(C79, R_CLIENTES!A:A, 0)
  ),
  ""
)</f>
        <v>Condominio Ossandon</v>
      </c>
      <c r="E79" s="258" t="str">
        <f t="array" ref="E79">IFERROR(
  INDEX(R_CLIENTES!G:G,
         MATCH(C79, R_CLIENTES!A:A, 0)
  ),
  ""
)</f>
        <v>Diego Palma</v>
      </c>
      <c r="F79" s="273" t="s">
        <v>38</v>
      </c>
      <c r="G79" s="274" t="str">
        <f t="array" ref="G79">IFERROR(
  INDEX(R_CLIENTES!H:H,
         MATCH(C79, R_CLIENTES!A:A, 0)
  ),
  ""
)</f>
        <v>9 9969 8228</v>
      </c>
      <c r="H79" s="273" t="s">
        <v>35</v>
      </c>
      <c r="I79" s="273" t="s">
        <v>152</v>
      </c>
      <c r="J79" s="277">
        <v>90000.0</v>
      </c>
      <c r="K79" s="258">
        <f t="shared" si="1"/>
        <v>0</v>
      </c>
      <c r="L79" s="275">
        <f t="shared" si="2"/>
        <v>90000</v>
      </c>
      <c r="M79" s="278" t="s">
        <v>637</v>
      </c>
      <c r="N79" s="278" t="s">
        <v>637</v>
      </c>
      <c r="O79" s="273" t="s">
        <v>147</v>
      </c>
    </row>
    <row r="80" ht="22.5" customHeight="1">
      <c r="A80" s="269">
        <v>76.0</v>
      </c>
      <c r="B80" s="280">
        <v>46076.0</v>
      </c>
      <c r="C80" s="273" t="s">
        <v>522</v>
      </c>
      <c r="D80" s="258" t="str">
        <f t="array" ref="D80">IFERROR(
  INDEX(R_CLIENTES!B:B,
         MATCH(C80, R_CLIENTES!A:A, 0)
  ),
  ""
)</f>
        <v>Condominio Bahia Horizonte</v>
      </c>
      <c r="E80" s="258" t="str">
        <f t="array" ref="E80">IFERROR(
  INDEX(R_CLIENTES!G:G,
         MATCH(C80, R_CLIENTES!A:A, 0)
  ),
  ""
)</f>
        <v>Diego Palma</v>
      </c>
      <c r="F80" s="273" t="s">
        <v>38</v>
      </c>
      <c r="G80" s="274" t="str">
        <f t="array" ref="G80">IFERROR(
  INDEX(R_CLIENTES!H:H,
         MATCH(C80, R_CLIENTES!A:A, 0)
  ),
  ""
)</f>
        <v>9 9969 8228</v>
      </c>
      <c r="H80" s="273" t="s">
        <v>35</v>
      </c>
      <c r="I80" s="273" t="s">
        <v>146</v>
      </c>
      <c r="J80" s="277">
        <v>680000.0</v>
      </c>
      <c r="K80" s="258">
        <f t="shared" si="1"/>
        <v>0</v>
      </c>
      <c r="L80" s="275">
        <f t="shared" si="2"/>
        <v>680000</v>
      </c>
      <c r="M80" s="278" t="s">
        <v>638</v>
      </c>
      <c r="N80" s="278" t="s">
        <v>639</v>
      </c>
      <c r="O80" s="273" t="s">
        <v>147</v>
      </c>
    </row>
    <row r="81" ht="22.5" customHeight="1">
      <c r="A81" s="269">
        <v>77.0</v>
      </c>
      <c r="B81" s="280">
        <v>46076.0</v>
      </c>
      <c r="C81" s="273" t="s">
        <v>522</v>
      </c>
      <c r="D81" s="258" t="str">
        <f t="array" ref="D81">IFERROR(
  INDEX(R_CLIENTES!B:B,
         MATCH(C81, R_CLIENTES!A:A, 0)
  ),
  ""
)</f>
        <v>Condominio Bahia Horizonte</v>
      </c>
      <c r="E81" s="258" t="str">
        <f t="array" ref="E81">IFERROR(
  INDEX(R_CLIENTES!G:G,
         MATCH(C81, R_CLIENTES!A:A, 0)
  ),
  ""
)</f>
        <v>Diego Palma</v>
      </c>
      <c r="F81" s="273" t="s">
        <v>38</v>
      </c>
      <c r="G81" s="274" t="str">
        <f t="array" ref="G81">IFERROR(
  INDEX(R_CLIENTES!H:H,
         MATCH(C81, R_CLIENTES!A:A, 0)
  ),
  ""
)</f>
        <v>9 9969 8228</v>
      </c>
      <c r="H81" s="273" t="s">
        <v>35</v>
      </c>
      <c r="I81" s="273" t="s">
        <v>158</v>
      </c>
      <c r="J81" s="277">
        <v>3334000.0</v>
      </c>
      <c r="K81" s="258">
        <f t="shared" si="1"/>
        <v>0</v>
      </c>
      <c r="L81" s="275">
        <f t="shared" si="2"/>
        <v>3334000</v>
      </c>
      <c r="M81" s="278" t="s">
        <v>640</v>
      </c>
      <c r="N81" s="278" t="s">
        <v>639</v>
      </c>
      <c r="O81" s="273" t="s">
        <v>147</v>
      </c>
    </row>
    <row r="82" ht="22.5" customHeight="1">
      <c r="A82" s="269">
        <v>78.0</v>
      </c>
      <c r="B82" s="280">
        <v>46076.0</v>
      </c>
      <c r="C82" s="273" t="s">
        <v>522</v>
      </c>
      <c r="D82" s="258" t="str">
        <f t="array" ref="D82">IFERROR(
  INDEX(R_CLIENTES!B:B,
         MATCH(C82, R_CLIENTES!A:A, 0)
  ),
  ""
)</f>
        <v>Condominio Bahia Horizonte</v>
      </c>
      <c r="E82" s="258" t="str">
        <f t="array" ref="E82">IFERROR(
  INDEX(R_CLIENTES!G:G,
         MATCH(C82, R_CLIENTES!A:A, 0)
  ),
  ""
)</f>
        <v>Diego Palma</v>
      </c>
      <c r="F82" s="273" t="s">
        <v>38</v>
      </c>
      <c r="G82" s="274" t="str">
        <f t="array" ref="G82">IFERROR(
  INDEX(R_CLIENTES!H:H,
         MATCH(C82, R_CLIENTES!A:A, 0)
  ),
  ""
)</f>
        <v>9 9969 8228</v>
      </c>
      <c r="H82" s="273" t="s">
        <v>35</v>
      </c>
      <c r="I82" s="273" t="s">
        <v>149</v>
      </c>
      <c r="J82" s="277">
        <v>1590000.0</v>
      </c>
      <c r="K82" s="258">
        <f t="shared" si="1"/>
        <v>0</v>
      </c>
      <c r="L82" s="275">
        <f t="shared" si="2"/>
        <v>1590000</v>
      </c>
      <c r="M82" s="278" t="s">
        <v>640</v>
      </c>
      <c r="N82" s="278" t="s">
        <v>639</v>
      </c>
      <c r="O82" s="273" t="s">
        <v>147</v>
      </c>
    </row>
    <row r="83" ht="22.5" customHeight="1">
      <c r="A83" s="269">
        <v>79.0</v>
      </c>
      <c r="B83" s="280">
        <v>46076.0</v>
      </c>
      <c r="C83" s="273" t="s">
        <v>522</v>
      </c>
      <c r="D83" s="258" t="str">
        <f t="array" ref="D83">IFERROR(
  INDEX(R_CLIENTES!B:B,
         MATCH(C83, R_CLIENTES!A:A, 0)
  ),
  ""
)</f>
        <v>Condominio Bahia Horizonte</v>
      </c>
      <c r="E83" s="258" t="str">
        <f t="array" ref="E83">IFERROR(
  INDEX(R_CLIENTES!G:G,
         MATCH(C83, R_CLIENTES!A:A, 0)
  ),
  ""
)</f>
        <v>Diego Palma</v>
      </c>
      <c r="F83" s="273" t="s">
        <v>38</v>
      </c>
      <c r="G83" s="274" t="str">
        <f t="array" ref="G83">IFERROR(
  INDEX(R_CLIENTES!H:H,
         MATCH(C83, R_CLIENTES!A:A, 0)
  ),
  ""
)</f>
        <v>9 9969 8228</v>
      </c>
      <c r="H83" s="273" t="s">
        <v>35</v>
      </c>
      <c r="I83" s="273" t="s">
        <v>158</v>
      </c>
      <c r="J83" s="277">
        <v>2665000.0</v>
      </c>
      <c r="K83" s="258">
        <f t="shared" si="1"/>
        <v>0</v>
      </c>
      <c r="L83" s="275">
        <f t="shared" si="2"/>
        <v>2665000</v>
      </c>
      <c r="M83" s="278" t="s">
        <v>640</v>
      </c>
      <c r="N83" s="278" t="s">
        <v>639</v>
      </c>
      <c r="O83" s="273" t="s">
        <v>147</v>
      </c>
    </row>
    <row r="84" ht="22.5" customHeight="1">
      <c r="A84" s="269">
        <v>80.0</v>
      </c>
      <c r="B84" s="280">
        <v>46083.0</v>
      </c>
      <c r="C84" s="273" t="s">
        <v>516</v>
      </c>
      <c r="D84" s="258" t="str">
        <f t="array" ref="D84">IFERROR(
  INDEX(R_CLIENTES!B:B,
         MATCH(C84, R_CLIENTES!A:A, 0)
  ),
  ""
)</f>
        <v>Condominio Ossandon</v>
      </c>
      <c r="E84" s="258" t="str">
        <f t="array" ref="E84">IFERROR(
  INDEX(R_CLIENTES!G:G,
         MATCH(C84, R_CLIENTES!A:A, 0)
  ),
  ""
)</f>
        <v>Diego Palma</v>
      </c>
      <c r="F84" s="273" t="s">
        <v>38</v>
      </c>
      <c r="G84" s="274" t="str">
        <f t="array" ref="G84">IFERROR(
  INDEX(R_CLIENTES!H:H,
         MATCH(C84, R_CLIENTES!A:A, 0)
  ),
  ""
)</f>
        <v>9 9969 8228</v>
      </c>
      <c r="H84" s="273" t="s">
        <v>35</v>
      </c>
      <c r="I84" s="273" t="s">
        <v>146</v>
      </c>
      <c r="J84" s="277">
        <v>2770800.0</v>
      </c>
      <c r="K84" s="258">
        <f t="shared" si="1"/>
        <v>0</v>
      </c>
      <c r="L84" s="275">
        <f t="shared" si="2"/>
        <v>2770800</v>
      </c>
      <c r="M84" s="278" t="s">
        <v>641</v>
      </c>
      <c r="N84" s="278" t="s">
        <v>642</v>
      </c>
      <c r="O84" s="273" t="s">
        <v>147</v>
      </c>
    </row>
    <row r="85" ht="22.5" customHeight="1">
      <c r="A85" s="269">
        <v>81.0</v>
      </c>
      <c r="B85" s="280">
        <v>46083.0</v>
      </c>
      <c r="C85" s="273" t="s">
        <v>516</v>
      </c>
      <c r="D85" s="258" t="str">
        <f t="array" ref="D85">IFERROR(
  INDEX(R_CLIENTES!B:B,
         MATCH(C85, R_CLIENTES!A:A, 0)
  ),
  ""
)</f>
        <v>Condominio Ossandon</v>
      </c>
      <c r="E85" s="258" t="str">
        <f t="array" ref="E85">IFERROR(
  INDEX(R_CLIENTES!G:G,
         MATCH(C85, R_CLIENTES!A:A, 0)
  ),
  ""
)</f>
        <v>Diego Palma</v>
      </c>
      <c r="F85" s="273" t="s">
        <v>38</v>
      </c>
      <c r="G85" s="274" t="str">
        <f t="array" ref="G85">IFERROR(
  INDEX(R_CLIENTES!H:H,
         MATCH(C85, R_CLIENTES!A:A, 0)
  ),
  ""
)</f>
        <v>9 9969 8228</v>
      </c>
      <c r="H85" s="273" t="s">
        <v>35</v>
      </c>
      <c r="I85" s="273" t="s">
        <v>146</v>
      </c>
      <c r="J85" s="277">
        <v>2530000.0</v>
      </c>
      <c r="K85" s="258">
        <f t="shared" si="1"/>
        <v>0</v>
      </c>
      <c r="L85" s="275">
        <f t="shared" si="2"/>
        <v>2530000</v>
      </c>
      <c r="M85" s="278" t="s">
        <v>643</v>
      </c>
      <c r="N85" s="278" t="s">
        <v>644</v>
      </c>
      <c r="O85" s="273" t="s">
        <v>147</v>
      </c>
    </row>
    <row r="86" ht="22.5" customHeight="1">
      <c r="A86" s="269">
        <v>82.0</v>
      </c>
      <c r="B86" s="280">
        <v>46085.0</v>
      </c>
      <c r="C86" s="273" t="s">
        <v>516</v>
      </c>
      <c r="D86" s="258" t="str">
        <f t="array" ref="D86">IFERROR(
  INDEX(R_CLIENTES!B:B,
         MATCH(C86, R_CLIENTES!A:A, 0)
  ),
  ""
)</f>
        <v>Condominio Ossandon</v>
      </c>
      <c r="E86" s="258" t="str">
        <f t="array" ref="E86">IFERROR(
  INDEX(R_CLIENTES!G:G,
         MATCH(C86, R_CLIENTES!A:A, 0)
  ),
  ""
)</f>
        <v>Diego Palma</v>
      </c>
      <c r="F86" s="273" t="s">
        <v>34</v>
      </c>
      <c r="G86" s="274" t="str">
        <f t="array" ref="G86">IFERROR(
  INDEX(R_CLIENTES!H:H,
         MATCH(C86, R_CLIENTES!A:A, 0)
  ),
  ""
)</f>
        <v>9 9969 8228</v>
      </c>
      <c r="H86" s="273" t="s">
        <v>35</v>
      </c>
      <c r="I86" s="273" t="s">
        <v>146</v>
      </c>
      <c r="J86" s="277">
        <v>3640000.0</v>
      </c>
      <c r="K86" s="275">
        <f t="shared" si="1"/>
        <v>691600</v>
      </c>
      <c r="L86" s="275">
        <f t="shared" si="2"/>
        <v>4331600</v>
      </c>
      <c r="M86" s="278" t="s">
        <v>645</v>
      </c>
      <c r="N86" s="278" t="s">
        <v>645</v>
      </c>
      <c r="O86" s="273" t="s">
        <v>147</v>
      </c>
    </row>
    <row r="87" ht="22.5" customHeight="1">
      <c r="A87" s="269">
        <v>83.0</v>
      </c>
      <c r="B87" s="280">
        <v>46085.0</v>
      </c>
      <c r="C87" s="273" t="s">
        <v>516</v>
      </c>
      <c r="D87" s="258" t="str">
        <f t="array" ref="D87">IFERROR(
  INDEX(R_CLIENTES!B:B,
         MATCH(C87, R_CLIENTES!A:A, 0)
  ),
  ""
)</f>
        <v>Condominio Ossandon</v>
      </c>
      <c r="E87" s="258" t="str">
        <f t="array" ref="E87">IFERROR(
  INDEX(R_CLIENTES!G:G,
         MATCH(C87, R_CLIENTES!A:A, 0)
  ),
  ""
)</f>
        <v>Diego Palma</v>
      </c>
      <c r="F87" s="273" t="s">
        <v>34</v>
      </c>
      <c r="G87" s="274" t="str">
        <f t="array" ref="G87">IFERROR(
  INDEX(R_CLIENTES!H:H,
         MATCH(C87, R_CLIENTES!A:A, 0)
  ),
  ""
)</f>
        <v>9 9969 8228</v>
      </c>
      <c r="H87" s="273" t="s">
        <v>35</v>
      </c>
      <c r="I87" s="273" t="s">
        <v>149</v>
      </c>
      <c r="J87" s="277">
        <v>2530000.0</v>
      </c>
      <c r="K87" s="275">
        <f t="shared" si="1"/>
        <v>480700</v>
      </c>
      <c r="L87" s="275">
        <f t="shared" si="2"/>
        <v>3010700</v>
      </c>
      <c r="M87" s="278" t="s">
        <v>646</v>
      </c>
      <c r="N87" s="278" t="s">
        <v>646</v>
      </c>
      <c r="O87" s="273" t="s">
        <v>147</v>
      </c>
    </row>
    <row r="88" ht="22.5" customHeight="1">
      <c r="A88" s="269">
        <v>84.0</v>
      </c>
      <c r="B88" s="280">
        <v>46085.0</v>
      </c>
      <c r="C88" s="273" t="s">
        <v>516</v>
      </c>
      <c r="D88" s="258" t="str">
        <f t="array" ref="D88">IFERROR(
  INDEX(R_CLIENTES!B:B,
         MATCH(C88, R_CLIENTES!A:A, 0)
  ),
  ""
)</f>
        <v>Condominio Ossandon</v>
      </c>
      <c r="E88" s="258" t="str">
        <f t="array" ref="E88">IFERROR(
  INDEX(R_CLIENTES!G:G,
         MATCH(C88, R_CLIENTES!A:A, 0)
  ),
  ""
)</f>
        <v>Diego Palma</v>
      </c>
      <c r="F88" s="273" t="s">
        <v>34</v>
      </c>
      <c r="G88" s="274" t="str">
        <f t="array" ref="G88">IFERROR(
  INDEX(R_CLIENTES!H:H,
         MATCH(C88, R_CLIENTES!A:A, 0)
  ),
  ""
)</f>
        <v>9 9969 8228</v>
      </c>
      <c r="H88" s="273" t="s">
        <v>35</v>
      </c>
      <c r="I88" s="273" t="s">
        <v>149</v>
      </c>
      <c r="J88" s="277">
        <v>1675000.0</v>
      </c>
      <c r="K88" s="275">
        <f t="shared" si="1"/>
        <v>318250</v>
      </c>
      <c r="L88" s="275">
        <f t="shared" si="2"/>
        <v>1993250</v>
      </c>
      <c r="M88" s="278" t="s">
        <v>647</v>
      </c>
      <c r="N88" s="278" t="s">
        <v>648</v>
      </c>
      <c r="O88" s="273" t="s">
        <v>147</v>
      </c>
    </row>
    <row r="89" ht="22.5" customHeight="1">
      <c r="A89" s="269">
        <v>85.0</v>
      </c>
      <c r="B89" s="280">
        <v>46085.0</v>
      </c>
      <c r="C89" s="273" t="s">
        <v>516</v>
      </c>
      <c r="D89" s="258" t="str">
        <f t="array" ref="D89">IFERROR(
  INDEX(R_CLIENTES!B:B,
         MATCH(C89, R_CLIENTES!A:A, 0)
  ),
  ""
)</f>
        <v>Condominio Ossandon</v>
      </c>
      <c r="E89" s="258" t="str">
        <f t="array" ref="E89">IFERROR(
  INDEX(R_CLIENTES!G:G,
         MATCH(C89, R_CLIENTES!A:A, 0)
  ),
  ""
)</f>
        <v>Diego Palma</v>
      </c>
      <c r="F89" s="273" t="s">
        <v>34</v>
      </c>
      <c r="G89" s="274" t="str">
        <f t="array" ref="G89">IFERROR(
  INDEX(R_CLIENTES!H:H,
         MATCH(C89, R_CLIENTES!A:A, 0)
  ),
  ""
)</f>
        <v>9 9969 8228</v>
      </c>
      <c r="H89" s="273" t="s">
        <v>35</v>
      </c>
      <c r="I89" s="273" t="s">
        <v>149</v>
      </c>
      <c r="J89" s="277">
        <v>1675000.0</v>
      </c>
      <c r="K89" s="275">
        <f t="shared" si="1"/>
        <v>318250</v>
      </c>
      <c r="L89" s="275">
        <f t="shared" si="2"/>
        <v>1993250</v>
      </c>
      <c r="M89" s="278" t="s">
        <v>649</v>
      </c>
      <c r="N89" s="278" t="s">
        <v>650</v>
      </c>
      <c r="O89" s="273" t="s">
        <v>147</v>
      </c>
    </row>
    <row r="90" ht="22.5" customHeight="1">
      <c r="A90" s="269">
        <v>86.0</v>
      </c>
      <c r="B90" s="280">
        <v>46085.0</v>
      </c>
      <c r="C90" s="273" t="s">
        <v>516</v>
      </c>
      <c r="D90" s="258" t="str">
        <f t="array" ref="D90">IFERROR(
  INDEX(R_CLIENTES!B:B,
         MATCH(C90, R_CLIENTES!A:A, 0)
  ),
  ""
)</f>
        <v>Condominio Ossandon</v>
      </c>
      <c r="E90" s="258" t="str">
        <f t="array" ref="E90">IFERROR(
  INDEX(R_CLIENTES!G:G,
         MATCH(C90, R_CLIENTES!A:A, 0)
  ),
  ""
)</f>
        <v>Diego Palma</v>
      </c>
      <c r="F90" s="273" t="s">
        <v>34</v>
      </c>
      <c r="G90" s="274" t="str">
        <f t="array" ref="G90">IFERROR(
  INDEX(R_CLIENTES!H:H,
         MATCH(C90, R_CLIENTES!A:A, 0)
  ),
  ""
)</f>
        <v>9 9969 8228</v>
      </c>
      <c r="H90" s="273" t="s">
        <v>35</v>
      </c>
      <c r="I90" s="273" t="s">
        <v>149</v>
      </c>
      <c r="J90" s="277">
        <v>1595000.0</v>
      </c>
      <c r="K90" s="275">
        <f t="shared" si="1"/>
        <v>303050</v>
      </c>
      <c r="L90" s="275">
        <f t="shared" si="2"/>
        <v>1898050</v>
      </c>
      <c r="M90" s="278" t="s">
        <v>651</v>
      </c>
      <c r="N90" s="278" t="s">
        <v>652</v>
      </c>
      <c r="O90" s="273" t="s">
        <v>147</v>
      </c>
    </row>
    <row r="91" ht="22.5" customHeight="1">
      <c r="A91" s="269">
        <v>87.0</v>
      </c>
      <c r="B91" s="280">
        <v>46085.0</v>
      </c>
      <c r="C91" s="273" t="s">
        <v>516</v>
      </c>
      <c r="D91" s="258" t="str">
        <f t="array" ref="D91">IFERROR(
  INDEX(R_CLIENTES!B:B,
         MATCH(C91, R_CLIENTES!A:A, 0)
  ),
  ""
)</f>
        <v>Condominio Ossandon</v>
      </c>
      <c r="E91" s="258" t="str">
        <f t="array" ref="E91">IFERROR(
  INDEX(R_CLIENTES!G:G,
         MATCH(C91, R_CLIENTES!A:A, 0)
  ),
  ""
)</f>
        <v>Diego Palma</v>
      </c>
      <c r="F91" s="273" t="s">
        <v>34</v>
      </c>
      <c r="G91" s="274" t="str">
        <f t="array" ref="G91">IFERROR(
  INDEX(R_CLIENTES!H:H,
         MATCH(C91, R_CLIENTES!A:A, 0)
  ),
  ""
)</f>
        <v>9 9969 8228</v>
      </c>
      <c r="H91" s="273" t="s">
        <v>35</v>
      </c>
      <c r="I91" s="273" t="s">
        <v>149</v>
      </c>
      <c r="J91" s="277">
        <v>1595000.0</v>
      </c>
      <c r="K91" s="275">
        <f t="shared" si="1"/>
        <v>303050</v>
      </c>
      <c r="L91" s="275">
        <f t="shared" si="2"/>
        <v>1898050</v>
      </c>
      <c r="M91" s="278" t="s">
        <v>653</v>
      </c>
      <c r="N91" s="278" t="s">
        <v>654</v>
      </c>
      <c r="O91" s="273" t="s">
        <v>147</v>
      </c>
    </row>
    <row r="92" ht="22.5" customHeight="1">
      <c r="A92" s="274"/>
      <c r="C92" s="281"/>
      <c r="D92" s="258" t="str">
        <f t="array" ref="D92">IFERROR(
  INDEX(R_CLIENTES!B:B,
         MATCH(C92, R_CLIENTES!A:A, 0)
  ),
  ""
)</f>
        <v/>
      </c>
      <c r="E92" s="258" t="str">
        <f t="array" ref="E92">IFERROR(
  INDEX(R_CLIENTES!G:G,
         MATCH(C92, R_CLIENTES!A:A, 0)
  ),
  ""
)</f>
        <v/>
      </c>
      <c r="F92" s="281"/>
      <c r="G92" s="274" t="str">
        <f t="array" ref="G92">IFERROR(
  INDEX(R_CLIENTES!H:H,
         MATCH(C92, R_CLIENTES!A:A, 0)
  ),
  ""
)</f>
        <v/>
      </c>
      <c r="H92" s="281"/>
      <c r="I92" s="281"/>
      <c r="J92" s="275"/>
      <c r="K92" s="258" t="str">
        <f t="shared" si="1"/>
        <v/>
      </c>
      <c r="L92" s="258" t="str">
        <f t="shared" si="2"/>
        <v/>
      </c>
      <c r="M92" s="282"/>
      <c r="O92" s="281"/>
    </row>
    <row r="93" ht="22.5" customHeight="1">
      <c r="A93" s="274"/>
      <c r="C93" s="281"/>
      <c r="D93" s="258" t="str">
        <f t="array" ref="D93">IFERROR(
  INDEX(R_CLIENTES!B:B,
         MATCH(C93, R_CLIENTES!A:A, 0)
  ),
  ""
)</f>
        <v/>
      </c>
      <c r="E93" s="258" t="str">
        <f t="array" ref="E93">IFERROR(
  INDEX(R_CLIENTES!G:G,
         MATCH(C93, R_CLIENTES!A:A, 0)
  ),
  ""
)</f>
        <v/>
      </c>
      <c r="F93" s="281"/>
      <c r="G93" s="274" t="str">
        <f t="array" ref="G93">IFERROR(
  INDEX(R_CLIENTES!H:H,
         MATCH(C93, R_CLIENTES!A:A, 0)
  ),
  ""
)</f>
        <v/>
      </c>
      <c r="H93" s="281"/>
      <c r="I93" s="281"/>
      <c r="J93" s="275"/>
      <c r="K93" s="258" t="str">
        <f t="shared" si="1"/>
        <v/>
      </c>
      <c r="L93" s="258" t="str">
        <f t="shared" si="2"/>
        <v/>
      </c>
      <c r="M93" s="282"/>
      <c r="O93" s="281"/>
    </row>
    <row r="94" ht="22.5" customHeight="1">
      <c r="A94" s="274"/>
      <c r="C94" s="281"/>
      <c r="D94" s="258" t="str">
        <f t="array" ref="D94">IFERROR(
  INDEX(R_CLIENTES!B:B,
         MATCH(C94, R_CLIENTES!A:A, 0)
  ),
  ""
)</f>
        <v/>
      </c>
      <c r="E94" s="258" t="str">
        <f t="array" ref="E94">IFERROR(
  INDEX(R_CLIENTES!G:G,
         MATCH(C94, R_CLIENTES!A:A, 0)
  ),
  ""
)</f>
        <v/>
      </c>
      <c r="F94" s="281"/>
      <c r="G94" s="274" t="str">
        <f t="array" ref="G94">IFERROR(
  INDEX(R_CLIENTES!H:H,
         MATCH(C94, R_CLIENTES!A:A, 0)
  ),
  ""
)</f>
        <v/>
      </c>
      <c r="H94" s="281"/>
      <c r="I94" s="281"/>
      <c r="J94" s="275"/>
      <c r="K94" s="258" t="str">
        <f t="shared" si="1"/>
        <v/>
      </c>
      <c r="L94" s="258" t="str">
        <f t="shared" si="2"/>
        <v/>
      </c>
      <c r="M94" s="282"/>
      <c r="O94" s="281"/>
    </row>
    <row r="95" ht="22.5" customHeight="1">
      <c r="A95" s="274"/>
      <c r="C95" s="281"/>
      <c r="D95" s="258" t="str">
        <f t="array" ref="D95">IFERROR(
  INDEX(R_CLIENTES!B:B,
         MATCH(C95, R_CLIENTES!A:A, 0)
  ),
  ""
)</f>
        <v/>
      </c>
      <c r="E95" s="258" t="str">
        <f t="array" ref="E95">IFERROR(
  INDEX(R_CLIENTES!G:G,
         MATCH(C95, R_CLIENTES!A:A, 0)
  ),
  ""
)</f>
        <v/>
      </c>
      <c r="F95" s="281"/>
      <c r="G95" s="274" t="str">
        <f t="array" ref="G95">IFERROR(
  INDEX(R_CLIENTES!H:H,
         MATCH(C95, R_CLIENTES!A:A, 0)
  ),
  ""
)</f>
        <v/>
      </c>
      <c r="H95" s="281"/>
      <c r="I95" s="281"/>
      <c r="J95" s="275"/>
      <c r="K95" s="258" t="str">
        <f t="shared" si="1"/>
        <v/>
      </c>
      <c r="L95" s="258" t="str">
        <f t="shared" si="2"/>
        <v/>
      </c>
      <c r="M95" s="282"/>
      <c r="O95" s="281"/>
    </row>
    <row r="96" ht="22.5" customHeight="1">
      <c r="A96" s="274"/>
      <c r="C96" s="281"/>
      <c r="D96" s="258" t="str">
        <f t="array" ref="D96">IFERROR(
  INDEX(R_CLIENTES!B:B,
         MATCH(C96, R_CLIENTES!A:A, 0)
  ),
  ""
)</f>
        <v/>
      </c>
      <c r="E96" s="258" t="str">
        <f t="array" ref="E96">IFERROR(
  INDEX(R_CLIENTES!G:G,
         MATCH(C96, R_CLIENTES!A:A, 0)
  ),
  ""
)</f>
        <v/>
      </c>
      <c r="F96" s="281"/>
      <c r="G96" s="274" t="str">
        <f t="array" ref="G96">IFERROR(
  INDEX(R_CLIENTES!H:H,
         MATCH(C96, R_CLIENTES!A:A, 0)
  ),
  ""
)</f>
        <v/>
      </c>
      <c r="H96" s="281"/>
      <c r="I96" s="281"/>
      <c r="J96" s="275"/>
      <c r="K96" s="258" t="str">
        <f t="shared" si="1"/>
        <v/>
      </c>
      <c r="L96" s="258" t="str">
        <f t="shared" si="2"/>
        <v/>
      </c>
      <c r="M96" s="282"/>
      <c r="O96" s="281"/>
    </row>
    <row r="97" ht="22.5" customHeight="1">
      <c r="A97" s="274"/>
      <c r="C97" s="281"/>
      <c r="D97" s="258" t="str">
        <f t="array" ref="D97">IFERROR(
  INDEX(R_CLIENTES!B:B,
         MATCH(C97, R_CLIENTES!A:A, 0)
  ),
  ""
)</f>
        <v/>
      </c>
      <c r="E97" s="258" t="str">
        <f t="array" ref="E97">IFERROR(
  INDEX(R_CLIENTES!G:G,
         MATCH(C97, R_CLIENTES!A:A, 0)
  ),
  ""
)</f>
        <v/>
      </c>
      <c r="F97" s="281"/>
      <c r="G97" s="274" t="str">
        <f t="array" ref="G97">IFERROR(
  INDEX(R_CLIENTES!H:H,
         MATCH(C97, R_CLIENTES!A:A, 0)
  ),
  ""
)</f>
        <v/>
      </c>
      <c r="H97" s="281"/>
      <c r="I97" s="281"/>
      <c r="J97" s="275"/>
      <c r="K97" s="258" t="str">
        <f t="shared" si="1"/>
        <v/>
      </c>
      <c r="L97" s="258" t="str">
        <f t="shared" si="2"/>
        <v/>
      </c>
      <c r="M97" s="282"/>
      <c r="O97" s="281"/>
    </row>
    <row r="98" ht="22.5" customHeight="1">
      <c r="A98" s="274"/>
      <c r="C98" s="281"/>
      <c r="D98" s="258" t="str">
        <f t="array" ref="D98">IFERROR(
  INDEX(R_CLIENTES!B:B,
         MATCH(C98, R_CLIENTES!A:A, 0)
  ),
  ""
)</f>
        <v/>
      </c>
      <c r="E98" s="258" t="str">
        <f t="array" ref="E98">IFERROR(
  INDEX(R_CLIENTES!G:G,
         MATCH(C98, R_CLIENTES!A:A, 0)
  ),
  ""
)</f>
        <v/>
      </c>
      <c r="F98" s="281"/>
      <c r="G98" s="274" t="str">
        <f t="array" ref="G98">IFERROR(
  INDEX(R_CLIENTES!H:H,
         MATCH(C98, R_CLIENTES!A:A, 0)
  ),
  ""
)</f>
        <v/>
      </c>
      <c r="H98" s="281"/>
      <c r="I98" s="281"/>
      <c r="J98" s="275"/>
      <c r="K98" s="258" t="str">
        <f t="shared" si="1"/>
        <v/>
      </c>
      <c r="L98" s="258" t="str">
        <f t="shared" si="2"/>
        <v/>
      </c>
      <c r="M98" s="282"/>
      <c r="O98" s="281"/>
    </row>
    <row r="99" ht="22.5" customHeight="1">
      <c r="A99" s="274"/>
      <c r="C99" s="281"/>
      <c r="D99" s="258" t="str">
        <f t="array" ref="D99">IFERROR(
  INDEX(R_CLIENTES!B:B,
         MATCH(C99, R_CLIENTES!A:A, 0)
  ),
  ""
)</f>
        <v/>
      </c>
      <c r="E99" s="258" t="str">
        <f t="array" ref="E99">IFERROR(
  INDEX(R_CLIENTES!G:G,
         MATCH(C99, R_CLIENTES!A:A, 0)
  ),
  ""
)</f>
        <v/>
      </c>
      <c r="F99" s="281"/>
      <c r="G99" s="274" t="str">
        <f t="array" ref="G99">IFERROR(
  INDEX(R_CLIENTES!H:H,
         MATCH(C99, R_CLIENTES!A:A, 0)
  ),
  ""
)</f>
        <v/>
      </c>
      <c r="H99" s="281"/>
      <c r="I99" s="281"/>
      <c r="J99" s="275"/>
      <c r="K99" s="258" t="str">
        <f t="shared" si="1"/>
        <v/>
      </c>
      <c r="L99" s="258" t="str">
        <f t="shared" si="2"/>
        <v/>
      </c>
      <c r="M99" s="282"/>
      <c r="O99" s="281"/>
    </row>
    <row r="100" ht="22.5" customHeight="1">
      <c r="A100" s="274"/>
      <c r="C100" s="281"/>
      <c r="D100" s="258" t="str">
        <f t="array" ref="D100">IFERROR(
  INDEX(R_CLIENTES!B:B,
         MATCH(C100, R_CLIENTES!A:A, 0)
  ),
  ""
)</f>
        <v/>
      </c>
      <c r="E100" s="258" t="str">
        <f t="array" ref="E100">IFERROR(
  INDEX(R_CLIENTES!G:G,
         MATCH(C100, R_CLIENTES!A:A, 0)
  ),
  ""
)</f>
        <v/>
      </c>
      <c r="F100" s="281"/>
      <c r="G100" s="274" t="str">
        <f t="array" ref="G100">IFERROR(
  INDEX(R_CLIENTES!H:H,
         MATCH(C100, R_CLIENTES!A:A, 0)
  ),
  ""
)</f>
        <v/>
      </c>
      <c r="H100" s="281"/>
      <c r="I100" s="281"/>
      <c r="J100" s="275"/>
      <c r="K100" s="258" t="str">
        <f t="shared" si="1"/>
        <v/>
      </c>
      <c r="L100" s="258" t="str">
        <f t="shared" si="2"/>
        <v/>
      </c>
      <c r="M100" s="282"/>
      <c r="O100" s="281"/>
    </row>
    <row r="101" ht="22.5" customHeight="1">
      <c r="A101" s="274"/>
      <c r="C101" s="281"/>
      <c r="D101" s="258" t="str">
        <f t="array" ref="D101">IFERROR(
  INDEX(R_CLIENTES!B:B,
         MATCH(C101, R_CLIENTES!A:A, 0)
  ),
  ""
)</f>
        <v/>
      </c>
      <c r="E101" s="258" t="str">
        <f t="array" ref="E101">IFERROR(
  INDEX(R_CLIENTES!G:G,
         MATCH(C101, R_CLIENTES!A:A, 0)
  ),
  ""
)</f>
        <v/>
      </c>
      <c r="F101" s="281"/>
      <c r="G101" s="274" t="str">
        <f t="array" ref="G101">IFERROR(
  INDEX(R_CLIENTES!H:H,
         MATCH(C101, R_CLIENTES!A:A, 0)
  ),
  ""
)</f>
        <v/>
      </c>
      <c r="H101" s="281"/>
      <c r="I101" s="281"/>
      <c r="J101" s="275"/>
      <c r="K101" s="258" t="str">
        <f t="shared" si="1"/>
        <v/>
      </c>
      <c r="L101" s="258" t="str">
        <f t="shared" si="2"/>
        <v/>
      </c>
      <c r="M101" s="282"/>
      <c r="O101" s="281"/>
    </row>
    <row r="102" ht="22.5" customHeight="1">
      <c r="A102" s="274"/>
      <c r="C102" s="281"/>
      <c r="D102" s="258" t="str">
        <f t="array" ref="D102">IFERROR(
  INDEX(R_CLIENTES!B:B,
         MATCH(C102, R_CLIENTES!A:A, 0)
  ),
  ""
)</f>
        <v/>
      </c>
      <c r="E102" s="258" t="str">
        <f t="array" ref="E102">IFERROR(
  INDEX(R_CLIENTES!G:G,
         MATCH(C102, R_CLIENTES!A:A, 0)
  ),
  ""
)</f>
        <v/>
      </c>
      <c r="F102" s="281"/>
      <c r="G102" s="274" t="str">
        <f t="array" ref="G102">IFERROR(
  INDEX(R_CLIENTES!H:H,
         MATCH(C102, R_CLIENTES!A:A, 0)
  ),
  ""
)</f>
        <v/>
      </c>
      <c r="H102" s="281"/>
      <c r="I102" s="281"/>
      <c r="J102" s="275"/>
      <c r="K102" s="258" t="str">
        <f t="shared" si="1"/>
        <v/>
      </c>
      <c r="L102" s="258" t="str">
        <f t="shared" si="2"/>
        <v/>
      </c>
      <c r="O102" s="281"/>
    </row>
    <row r="103" ht="22.5" customHeight="1">
      <c r="A103" s="274"/>
      <c r="C103" s="281"/>
      <c r="D103" s="258" t="str">
        <f t="array" ref="D103">IFERROR(
  INDEX(R_CLIENTES!B:B,
         MATCH(C103, R_CLIENTES!A:A, 0)
  ),
  ""
)</f>
        <v/>
      </c>
      <c r="E103" s="258" t="str">
        <f t="array" ref="E103">IFERROR(
  INDEX(R_CLIENTES!G:G,
         MATCH(C103, R_CLIENTES!A:A, 0)
  ),
  ""
)</f>
        <v/>
      </c>
      <c r="F103" s="281"/>
      <c r="G103" s="274" t="str">
        <f t="array" ref="G103">IFERROR(
  INDEX(R_CLIENTES!H:H,
         MATCH(C103, R_CLIENTES!A:A, 0)
  ),
  ""
)</f>
        <v/>
      </c>
      <c r="H103" s="281"/>
      <c r="I103" s="281"/>
      <c r="J103" s="275"/>
      <c r="K103" s="258" t="str">
        <f t="shared" si="1"/>
        <v/>
      </c>
      <c r="L103" s="258" t="str">
        <f t="shared" si="2"/>
        <v/>
      </c>
      <c r="O103" s="281"/>
    </row>
    <row r="104" ht="22.5" customHeight="1">
      <c r="A104" s="274"/>
      <c r="C104" s="281"/>
      <c r="D104" s="258" t="str">
        <f t="array" ref="D104">IFERROR(
  INDEX(R_CLIENTES!B:B,
         MATCH(C104, R_CLIENTES!A:A, 0)
  ),
  ""
)</f>
        <v/>
      </c>
      <c r="E104" s="258" t="str">
        <f t="array" ref="E104">IFERROR(
  INDEX(R_CLIENTES!G:G,
         MATCH(C104, R_CLIENTES!A:A, 0)
  ),
  ""
)</f>
        <v/>
      </c>
      <c r="F104" s="281"/>
      <c r="G104" s="274" t="str">
        <f t="array" ref="G104">IFERROR(
  INDEX(R_CLIENTES!H:H,
         MATCH(C104, R_CLIENTES!A:A, 0)
  ),
  ""
)</f>
        <v/>
      </c>
      <c r="H104" s="281"/>
      <c r="I104" s="281"/>
      <c r="J104" s="275"/>
      <c r="K104" s="258" t="str">
        <f t="shared" si="1"/>
        <v/>
      </c>
      <c r="L104" s="258" t="str">
        <f t="shared" si="2"/>
        <v/>
      </c>
      <c r="O104" s="281"/>
    </row>
    <row r="105" ht="22.5" customHeight="1">
      <c r="A105" s="274"/>
      <c r="C105" s="281"/>
      <c r="D105" s="258" t="str">
        <f t="array" ref="D105">IFERROR(
  INDEX(R_CLIENTES!B:B,
         MATCH(C105, R_CLIENTES!A:A, 0)
  ),
  ""
)</f>
        <v/>
      </c>
      <c r="E105" s="258" t="str">
        <f t="array" ref="E105">IFERROR(
  INDEX(R_CLIENTES!G:G,
         MATCH(C105, R_CLIENTES!A:A, 0)
  ),
  ""
)</f>
        <v/>
      </c>
      <c r="F105" s="281"/>
      <c r="G105" s="274" t="str">
        <f t="array" ref="G105">IFERROR(
  INDEX(R_CLIENTES!H:H,
         MATCH(C105, R_CLIENTES!A:A, 0)
  ),
  ""
)</f>
        <v/>
      </c>
      <c r="H105" s="281"/>
      <c r="I105" s="281"/>
      <c r="J105" s="275"/>
      <c r="K105" s="258" t="str">
        <f t="shared" si="1"/>
        <v/>
      </c>
      <c r="L105" s="258" t="str">
        <f t="shared" si="2"/>
        <v/>
      </c>
      <c r="O105" s="281"/>
    </row>
    <row r="106" ht="22.5" customHeight="1">
      <c r="A106" s="274"/>
      <c r="C106" s="281"/>
      <c r="D106" s="258" t="str">
        <f t="array" ref="D106">IFERROR(
  INDEX(R_CLIENTES!B:B,
         MATCH(C106, R_CLIENTES!A:A, 0)
  ),
  ""
)</f>
        <v/>
      </c>
      <c r="E106" s="258" t="str">
        <f t="array" ref="E106">IFERROR(
  INDEX(R_CLIENTES!G:G,
         MATCH(C106, R_CLIENTES!A:A, 0)
  ),
  ""
)</f>
        <v/>
      </c>
      <c r="F106" s="281"/>
      <c r="G106" s="274" t="str">
        <f t="array" ref="G106">IFERROR(
  INDEX(R_CLIENTES!H:H,
         MATCH(C106, R_CLIENTES!A:A, 0)
  ),
  ""
)</f>
        <v/>
      </c>
      <c r="H106" s="281"/>
      <c r="I106" s="281"/>
      <c r="J106" s="275"/>
      <c r="K106" s="258" t="str">
        <f t="shared" si="1"/>
        <v/>
      </c>
      <c r="L106" s="258" t="str">
        <f t="shared" si="2"/>
        <v/>
      </c>
      <c r="O106" s="281"/>
    </row>
    <row r="107" ht="22.5" customHeight="1">
      <c r="A107" s="274"/>
      <c r="C107" s="281"/>
      <c r="D107" s="258" t="str">
        <f t="array" ref="D107">IFERROR(
  INDEX(R_CLIENTES!B:B,
         MATCH(C107, R_CLIENTES!A:A, 0)
  ),
  ""
)</f>
        <v/>
      </c>
      <c r="E107" s="258" t="str">
        <f t="array" ref="E107">IFERROR(
  INDEX(R_CLIENTES!G:G,
         MATCH(C107, R_CLIENTES!A:A, 0)
  ),
  ""
)</f>
        <v/>
      </c>
      <c r="F107" s="281"/>
      <c r="G107" s="274" t="str">
        <f t="array" ref="G107">IFERROR(
  INDEX(R_CLIENTES!H:H,
         MATCH(C107, R_CLIENTES!A:A, 0)
  ),
  ""
)</f>
        <v/>
      </c>
      <c r="H107" s="281"/>
      <c r="I107" s="281"/>
      <c r="J107" s="275"/>
      <c r="K107" s="258" t="str">
        <f t="shared" si="1"/>
        <v/>
      </c>
      <c r="L107" s="258" t="str">
        <f t="shared" si="2"/>
        <v/>
      </c>
      <c r="O107" s="281"/>
    </row>
    <row r="108" ht="22.5" customHeight="1">
      <c r="A108" s="274"/>
      <c r="C108" s="281"/>
      <c r="D108" s="258" t="str">
        <f t="array" ref="D108">IFERROR(
  INDEX(R_CLIENTES!B:B,
         MATCH(C108, R_CLIENTES!A:A, 0)
  ),
  ""
)</f>
        <v/>
      </c>
      <c r="E108" s="258" t="str">
        <f t="array" ref="E108">IFERROR(
  INDEX(R_CLIENTES!G:G,
         MATCH(C108, R_CLIENTES!A:A, 0)
  ),
  ""
)</f>
        <v/>
      </c>
      <c r="F108" s="281"/>
      <c r="G108" s="274" t="str">
        <f t="array" ref="G108">IFERROR(
  INDEX(R_CLIENTES!H:H,
         MATCH(C108, R_CLIENTES!A:A, 0)
  ),
  ""
)</f>
        <v/>
      </c>
      <c r="H108" s="281"/>
      <c r="I108" s="281"/>
      <c r="J108" s="275"/>
      <c r="K108" s="258" t="str">
        <f t="shared" si="1"/>
        <v/>
      </c>
      <c r="L108" s="258" t="str">
        <f t="shared" si="2"/>
        <v/>
      </c>
      <c r="O108" s="281"/>
    </row>
    <row r="109" ht="22.5" customHeight="1">
      <c r="A109" s="274"/>
      <c r="C109" s="281"/>
      <c r="D109" s="258" t="str">
        <f t="array" ref="D109">IFERROR(
  INDEX(R_CLIENTES!B:B,
         MATCH(C109, R_CLIENTES!A:A, 0)
  ),
  ""
)</f>
        <v/>
      </c>
      <c r="E109" s="258" t="str">
        <f t="array" ref="E109">IFERROR(
  INDEX(R_CLIENTES!G:G,
         MATCH(C109, R_CLIENTES!A:A, 0)
  ),
  ""
)</f>
        <v/>
      </c>
      <c r="F109" s="281"/>
      <c r="G109" s="274" t="str">
        <f t="array" ref="G109">IFERROR(
  INDEX(R_CLIENTES!H:H,
         MATCH(C109, R_CLIENTES!A:A, 0)
  ),
  ""
)</f>
        <v/>
      </c>
      <c r="H109" s="281"/>
      <c r="I109" s="281"/>
      <c r="J109" s="275"/>
      <c r="K109" s="258" t="str">
        <f t="shared" si="1"/>
        <v/>
      </c>
      <c r="L109" s="258" t="str">
        <f t="shared" si="2"/>
        <v/>
      </c>
      <c r="O109" s="281"/>
    </row>
    <row r="110" ht="22.5" customHeight="1">
      <c r="A110" s="274"/>
      <c r="C110" s="281"/>
      <c r="D110" s="258" t="str">
        <f t="array" ref="D110">IFERROR(
  INDEX(R_CLIENTES!B:B,
         MATCH(C110, R_CLIENTES!A:A, 0)
  ),
  ""
)</f>
        <v/>
      </c>
      <c r="E110" s="258" t="str">
        <f t="array" ref="E110">IFERROR(
  INDEX(R_CLIENTES!G:G,
         MATCH(C110, R_CLIENTES!A:A, 0)
  ),
  ""
)</f>
        <v/>
      </c>
      <c r="F110" s="281"/>
      <c r="G110" s="274" t="str">
        <f t="array" ref="G110">IFERROR(
  INDEX(R_CLIENTES!H:H,
         MATCH(C110, R_CLIENTES!A:A, 0)
  ),
  ""
)</f>
        <v/>
      </c>
      <c r="H110" s="281"/>
      <c r="I110" s="281"/>
      <c r="J110" s="275"/>
      <c r="K110" s="258" t="str">
        <f t="shared" si="1"/>
        <v/>
      </c>
      <c r="L110" s="258" t="str">
        <f t="shared" si="2"/>
        <v/>
      </c>
      <c r="O110" s="281"/>
    </row>
    <row r="111" ht="22.5" customHeight="1">
      <c r="A111" s="274"/>
      <c r="C111" s="281"/>
      <c r="D111" s="258" t="str">
        <f t="array" ref="D111">IFERROR(
  INDEX(R_CLIENTES!B:B,
         MATCH(C111, R_CLIENTES!A:A, 0)
  ),
  ""
)</f>
        <v/>
      </c>
      <c r="E111" s="258" t="str">
        <f t="array" ref="E111">IFERROR(
  INDEX(R_CLIENTES!G:G,
         MATCH(C111, R_CLIENTES!A:A, 0)
  ),
  ""
)</f>
        <v/>
      </c>
      <c r="F111" s="281"/>
      <c r="G111" s="274" t="str">
        <f t="array" ref="G111">IFERROR(
  INDEX(R_CLIENTES!H:H,
         MATCH(C111, R_CLIENTES!A:A, 0)
  ),
  ""
)</f>
        <v/>
      </c>
      <c r="H111" s="281"/>
      <c r="I111" s="281"/>
      <c r="J111" s="275"/>
      <c r="K111" s="258" t="str">
        <f t="shared" si="1"/>
        <v/>
      </c>
      <c r="L111" s="258" t="str">
        <f t="shared" si="2"/>
        <v/>
      </c>
      <c r="O111" s="281"/>
    </row>
    <row r="112" ht="22.5" customHeight="1">
      <c r="A112" s="274"/>
      <c r="C112" s="281"/>
      <c r="D112" s="258" t="str">
        <f t="array" ref="D112">IFERROR(
  INDEX(R_CLIENTES!B:B,
         MATCH(C112, R_CLIENTES!A:A, 0)
  ),
  ""
)</f>
        <v/>
      </c>
      <c r="E112" s="258" t="str">
        <f t="array" ref="E112">IFERROR(
  INDEX(R_CLIENTES!G:G,
         MATCH(C112, R_CLIENTES!A:A, 0)
  ),
  ""
)</f>
        <v/>
      </c>
      <c r="F112" s="281"/>
      <c r="G112" s="274" t="str">
        <f t="array" ref="G112">IFERROR(
  INDEX(R_CLIENTES!H:H,
         MATCH(C112, R_CLIENTES!A:A, 0)
  ),
  ""
)</f>
        <v/>
      </c>
      <c r="H112" s="281"/>
      <c r="I112" s="281"/>
      <c r="J112" s="275"/>
      <c r="K112" s="258" t="str">
        <f t="shared" si="1"/>
        <v/>
      </c>
      <c r="L112" s="258" t="str">
        <f t="shared" si="2"/>
        <v/>
      </c>
      <c r="O112" s="281"/>
    </row>
    <row r="113" ht="22.5" customHeight="1">
      <c r="A113" s="274"/>
      <c r="C113" s="281"/>
      <c r="D113" s="258" t="str">
        <f t="array" ref="D113">IFERROR(
  INDEX(R_CLIENTES!B:B,
         MATCH(C113, R_CLIENTES!A:A, 0)
  ),
  ""
)</f>
        <v/>
      </c>
      <c r="E113" s="258" t="str">
        <f t="array" ref="E113">IFERROR(
  INDEX(R_CLIENTES!G:G,
         MATCH(C113, R_CLIENTES!A:A, 0)
  ),
  ""
)</f>
        <v/>
      </c>
      <c r="F113" s="281"/>
      <c r="G113" s="274" t="str">
        <f t="array" ref="G113">IFERROR(
  INDEX(R_CLIENTES!H:H,
         MATCH(C113, R_CLIENTES!A:A, 0)
  ),
  ""
)</f>
        <v/>
      </c>
      <c r="H113" s="281"/>
      <c r="I113" s="281"/>
      <c r="J113" s="275"/>
      <c r="K113" s="258" t="str">
        <f t="shared" si="1"/>
        <v/>
      </c>
      <c r="L113" s="258" t="str">
        <f t="shared" si="2"/>
        <v/>
      </c>
      <c r="O113" s="281"/>
    </row>
    <row r="114" ht="22.5" customHeight="1">
      <c r="A114" s="274"/>
      <c r="C114" s="281"/>
      <c r="D114" s="258" t="str">
        <f t="array" ref="D114">IFERROR(
  INDEX(R_CLIENTES!B:B,
         MATCH(C114, R_CLIENTES!A:A, 0)
  ),
  ""
)</f>
        <v/>
      </c>
      <c r="E114" s="258" t="str">
        <f t="array" ref="E114">IFERROR(
  INDEX(R_CLIENTES!G:G,
         MATCH(C114, R_CLIENTES!A:A, 0)
  ),
  ""
)</f>
        <v/>
      </c>
      <c r="F114" s="281"/>
      <c r="G114" s="274" t="str">
        <f t="array" ref="G114">IFERROR(
  INDEX(R_CLIENTES!H:H,
         MATCH(C114, R_CLIENTES!A:A, 0)
  ),
  ""
)</f>
        <v/>
      </c>
      <c r="H114" s="281"/>
      <c r="I114" s="281"/>
      <c r="J114" s="275"/>
      <c r="K114" s="258" t="str">
        <f t="shared" si="1"/>
        <v/>
      </c>
      <c r="L114" s="258" t="str">
        <f t="shared" si="2"/>
        <v/>
      </c>
      <c r="O114" s="281"/>
    </row>
    <row r="115" ht="22.5" customHeight="1">
      <c r="A115" s="274"/>
      <c r="C115" s="281"/>
      <c r="D115" s="258" t="str">
        <f t="array" ref="D115">IFERROR(
  INDEX(R_CLIENTES!B:B,
         MATCH(C115, R_CLIENTES!A:A, 0)
  ),
  ""
)</f>
        <v/>
      </c>
      <c r="E115" s="258" t="str">
        <f t="array" ref="E115">IFERROR(
  INDEX(R_CLIENTES!G:G,
         MATCH(C115, R_CLIENTES!A:A, 0)
  ),
  ""
)</f>
        <v/>
      </c>
      <c r="F115" s="281"/>
      <c r="G115" s="274" t="str">
        <f t="array" ref="G115">IFERROR(
  INDEX(R_CLIENTES!H:H,
         MATCH(C115, R_CLIENTES!A:A, 0)
  ),
  ""
)</f>
        <v/>
      </c>
      <c r="H115" s="281"/>
      <c r="I115" s="281"/>
      <c r="J115" s="275"/>
      <c r="K115" s="258" t="str">
        <f t="shared" si="1"/>
        <v/>
      </c>
      <c r="L115" s="258" t="str">
        <f t="shared" si="2"/>
        <v/>
      </c>
      <c r="O115" s="281"/>
    </row>
    <row r="116" ht="22.5" customHeight="1">
      <c r="A116" s="274"/>
      <c r="C116" s="281"/>
      <c r="D116" s="258" t="str">
        <f t="array" ref="D116">IFERROR(
  INDEX(R_CLIENTES!B:B,
         MATCH(C116, R_CLIENTES!A:A, 0)
  ),
  ""
)</f>
        <v/>
      </c>
      <c r="E116" s="258" t="str">
        <f t="array" ref="E116">IFERROR(
  INDEX(R_CLIENTES!G:G,
         MATCH(C116, R_CLIENTES!A:A, 0)
  ),
  ""
)</f>
        <v/>
      </c>
      <c r="F116" s="281"/>
      <c r="G116" s="274" t="str">
        <f t="array" ref="G116">IFERROR(
  INDEX(R_CLIENTES!H:H,
         MATCH(C116, R_CLIENTES!A:A, 0)
  ),
  ""
)</f>
        <v/>
      </c>
      <c r="H116" s="281"/>
      <c r="I116" s="281"/>
      <c r="J116" s="275"/>
      <c r="K116" s="258" t="str">
        <f t="shared" si="1"/>
        <v/>
      </c>
      <c r="L116" s="258" t="str">
        <f t="shared" si="2"/>
        <v/>
      </c>
      <c r="O116" s="281"/>
    </row>
    <row r="117" ht="22.5" customHeight="1">
      <c r="A117" s="274"/>
      <c r="C117" s="281"/>
      <c r="D117" s="258" t="str">
        <f t="array" ref="D117">IFERROR(
  INDEX(R_CLIENTES!B:B,
         MATCH(C117, R_CLIENTES!A:A, 0)
  ),
  ""
)</f>
        <v/>
      </c>
      <c r="E117" s="258" t="str">
        <f t="array" ref="E117">IFERROR(
  INDEX(R_CLIENTES!G:G,
         MATCH(C117, R_CLIENTES!A:A, 0)
  ),
  ""
)</f>
        <v/>
      </c>
      <c r="F117" s="281"/>
      <c r="G117" s="274" t="str">
        <f t="array" ref="G117">IFERROR(
  INDEX(R_CLIENTES!H:H,
         MATCH(C117, R_CLIENTES!A:A, 0)
  ),
  ""
)</f>
        <v/>
      </c>
      <c r="H117" s="281"/>
      <c r="I117" s="281"/>
      <c r="J117" s="275"/>
      <c r="K117" s="258" t="str">
        <f t="shared" si="1"/>
        <v/>
      </c>
      <c r="L117" s="258" t="str">
        <f t="shared" si="2"/>
        <v/>
      </c>
      <c r="O117" s="281"/>
    </row>
    <row r="118" ht="22.5" customHeight="1">
      <c r="A118" s="274"/>
      <c r="C118" s="281"/>
      <c r="D118" s="258" t="str">
        <f t="array" ref="D118">IFERROR(
  INDEX(R_CLIENTES!B:B,
         MATCH(C118, R_CLIENTES!A:A, 0)
  ),
  ""
)</f>
        <v/>
      </c>
      <c r="E118" s="258" t="str">
        <f t="array" ref="E118">IFERROR(
  INDEX(R_CLIENTES!G:G,
         MATCH(C118, R_CLIENTES!A:A, 0)
  ),
  ""
)</f>
        <v/>
      </c>
      <c r="F118" s="281"/>
      <c r="G118" s="274" t="str">
        <f t="array" ref="G118">IFERROR(
  INDEX(R_CLIENTES!H:H,
         MATCH(C118, R_CLIENTES!A:A, 0)
  ),
  ""
)</f>
        <v/>
      </c>
      <c r="H118" s="281"/>
      <c r="I118" s="281"/>
      <c r="J118" s="275"/>
      <c r="K118" s="258" t="str">
        <f t="shared" si="1"/>
        <v/>
      </c>
      <c r="L118" s="258" t="str">
        <f t="shared" si="2"/>
        <v/>
      </c>
      <c r="O118" s="281"/>
    </row>
    <row r="119" ht="22.5" customHeight="1">
      <c r="A119" s="274"/>
      <c r="C119" s="281"/>
      <c r="D119" s="258" t="str">
        <f t="array" ref="D119">IFERROR(
  INDEX(R_CLIENTES!B:B,
         MATCH(C119, R_CLIENTES!A:A, 0)
  ),
  ""
)</f>
        <v/>
      </c>
      <c r="E119" s="258" t="str">
        <f t="array" ref="E119">IFERROR(
  INDEX(R_CLIENTES!G:G,
         MATCH(C119, R_CLIENTES!A:A, 0)
  ),
  ""
)</f>
        <v/>
      </c>
      <c r="F119" s="281"/>
      <c r="G119" s="274" t="str">
        <f t="array" ref="G119">IFERROR(
  INDEX(R_CLIENTES!H:H,
         MATCH(C119, R_CLIENTES!A:A, 0)
  ),
  ""
)</f>
        <v/>
      </c>
      <c r="H119" s="281"/>
      <c r="I119" s="281"/>
      <c r="J119" s="275"/>
      <c r="K119" s="258" t="str">
        <f t="shared" si="1"/>
        <v/>
      </c>
      <c r="L119" s="258" t="str">
        <f t="shared" si="2"/>
        <v/>
      </c>
      <c r="O119" s="281"/>
    </row>
    <row r="120" ht="22.5" customHeight="1">
      <c r="A120" s="274"/>
      <c r="C120" s="281"/>
      <c r="D120" s="258" t="str">
        <f t="array" ref="D120">IFERROR(
  INDEX(R_CLIENTES!B:B,
         MATCH(C120, R_CLIENTES!A:A, 0)
  ),
  ""
)</f>
        <v/>
      </c>
      <c r="E120" s="258" t="str">
        <f t="array" ref="E120">IFERROR(
  INDEX(R_CLIENTES!G:G,
         MATCH(C120, R_CLIENTES!A:A, 0)
  ),
  ""
)</f>
        <v/>
      </c>
      <c r="F120" s="281"/>
      <c r="G120" s="274" t="str">
        <f t="array" ref="G120">IFERROR(
  INDEX(R_CLIENTES!H:H,
         MATCH(C120, R_CLIENTES!A:A, 0)
  ),
  ""
)</f>
        <v/>
      </c>
      <c r="H120" s="281"/>
      <c r="I120" s="281"/>
      <c r="J120" s="275"/>
      <c r="K120" s="258" t="str">
        <f t="shared" si="1"/>
        <v/>
      </c>
      <c r="L120" s="258" t="str">
        <f t="shared" si="2"/>
        <v/>
      </c>
      <c r="O120" s="281"/>
    </row>
    <row r="121" ht="22.5" customHeight="1">
      <c r="A121" s="274"/>
      <c r="C121" s="281"/>
      <c r="D121" s="258" t="str">
        <f t="array" ref="D121">IFERROR(
  INDEX(R_CLIENTES!B:B,
         MATCH(C121, R_CLIENTES!A:A, 0)
  ),
  ""
)</f>
        <v/>
      </c>
      <c r="E121" s="258" t="str">
        <f t="array" ref="E121">IFERROR(
  INDEX(R_CLIENTES!G:G,
         MATCH(C121, R_CLIENTES!A:A, 0)
  ),
  ""
)</f>
        <v/>
      </c>
      <c r="F121" s="281"/>
      <c r="G121" s="274" t="str">
        <f t="array" ref="G121">IFERROR(
  INDEX(R_CLIENTES!H:H,
         MATCH(C121, R_CLIENTES!A:A, 0)
  ),
  ""
)</f>
        <v/>
      </c>
      <c r="H121" s="281"/>
      <c r="I121" s="281"/>
      <c r="J121" s="275"/>
      <c r="K121" s="258" t="str">
        <f t="shared" si="1"/>
        <v/>
      </c>
      <c r="L121" s="258" t="str">
        <f t="shared" si="2"/>
        <v/>
      </c>
      <c r="O121" s="281"/>
    </row>
    <row r="122" ht="22.5" customHeight="1">
      <c r="A122" s="274"/>
      <c r="C122" s="281"/>
      <c r="D122" s="258" t="str">
        <f t="array" ref="D122">IFERROR(
  INDEX(R_CLIENTES!B:B,
         MATCH(C122, R_CLIENTES!A:A, 0)
  ),
  ""
)</f>
        <v/>
      </c>
      <c r="E122" s="258" t="str">
        <f t="array" ref="E122">IFERROR(
  INDEX(R_CLIENTES!G:G,
         MATCH(C122, R_CLIENTES!A:A, 0)
  ),
  ""
)</f>
        <v/>
      </c>
      <c r="F122" s="281"/>
      <c r="G122" s="274" t="str">
        <f t="array" ref="G122">IFERROR(
  INDEX(R_CLIENTES!H:H,
         MATCH(C122, R_CLIENTES!A:A, 0)
  ),
  ""
)</f>
        <v/>
      </c>
      <c r="H122" s="281"/>
      <c r="I122" s="281"/>
      <c r="J122" s="275"/>
      <c r="K122" s="258" t="str">
        <f t="shared" si="1"/>
        <v/>
      </c>
      <c r="L122" s="258" t="str">
        <f t="shared" si="2"/>
        <v/>
      </c>
      <c r="O122" s="281"/>
    </row>
    <row r="123" ht="22.5" customHeight="1">
      <c r="A123" s="274"/>
      <c r="C123" s="281"/>
      <c r="D123" s="258" t="str">
        <f t="array" ref="D123">IFERROR(
  INDEX(R_CLIENTES!B:B,
         MATCH(C123, R_CLIENTES!A:A, 0)
  ),
  ""
)</f>
        <v/>
      </c>
      <c r="E123" s="258" t="str">
        <f t="array" ref="E123">IFERROR(
  INDEX(R_CLIENTES!G:G,
         MATCH(C123, R_CLIENTES!A:A, 0)
  ),
  ""
)</f>
        <v/>
      </c>
      <c r="F123" s="281"/>
      <c r="G123" s="274" t="str">
        <f t="array" ref="G123">IFERROR(
  INDEX(R_CLIENTES!H:H,
         MATCH(C123, R_CLIENTES!A:A, 0)
  ),
  ""
)</f>
        <v/>
      </c>
      <c r="H123" s="281"/>
      <c r="I123" s="281"/>
      <c r="J123" s="275"/>
      <c r="K123" s="258" t="str">
        <f t="shared" si="1"/>
        <v/>
      </c>
      <c r="L123" s="258" t="str">
        <f t="shared" si="2"/>
        <v/>
      </c>
      <c r="O123" s="281"/>
    </row>
    <row r="124" ht="22.5" customHeight="1">
      <c r="A124" s="274"/>
      <c r="C124" s="281"/>
      <c r="D124" s="258" t="str">
        <f t="array" ref="D124">IFERROR(
  INDEX(R_CLIENTES!B:B,
         MATCH(C124, R_CLIENTES!A:A, 0)
  ),
  ""
)</f>
        <v/>
      </c>
      <c r="E124" s="258" t="str">
        <f t="array" ref="E124">IFERROR(
  INDEX(R_CLIENTES!G:G,
         MATCH(C124, R_CLIENTES!A:A, 0)
  ),
  ""
)</f>
        <v/>
      </c>
      <c r="F124" s="281"/>
      <c r="G124" s="274" t="str">
        <f t="array" ref="G124">IFERROR(
  INDEX(R_CLIENTES!H:H,
         MATCH(C124, R_CLIENTES!A:A, 0)
  ),
  ""
)</f>
        <v/>
      </c>
      <c r="H124" s="281"/>
      <c r="I124" s="281"/>
      <c r="J124" s="275"/>
      <c r="K124" s="258" t="str">
        <f t="shared" si="1"/>
        <v/>
      </c>
      <c r="L124" s="258" t="str">
        <f t="shared" si="2"/>
        <v/>
      </c>
      <c r="O124" s="281"/>
    </row>
    <row r="125" ht="22.5" customHeight="1">
      <c r="A125" s="274"/>
      <c r="C125" s="281"/>
      <c r="D125" s="258" t="str">
        <f t="array" ref="D125">IFERROR(
  INDEX(R_CLIENTES!B:B,
         MATCH(C125, R_CLIENTES!A:A, 0)
  ),
  ""
)</f>
        <v/>
      </c>
      <c r="E125" s="258" t="str">
        <f t="array" ref="E125">IFERROR(
  INDEX(R_CLIENTES!G:G,
         MATCH(C125, R_CLIENTES!A:A, 0)
  ),
  ""
)</f>
        <v/>
      </c>
      <c r="F125" s="281"/>
      <c r="G125" s="274" t="str">
        <f t="array" ref="G125">IFERROR(
  INDEX(R_CLIENTES!H:H,
         MATCH(C125, R_CLIENTES!A:A, 0)
  ),
  ""
)</f>
        <v/>
      </c>
      <c r="H125" s="281"/>
      <c r="I125" s="281"/>
      <c r="J125" s="275"/>
      <c r="K125" s="258" t="str">
        <f t="shared" si="1"/>
        <v/>
      </c>
      <c r="L125" s="258" t="str">
        <f t="shared" si="2"/>
        <v/>
      </c>
      <c r="O125" s="281"/>
    </row>
    <row r="126" ht="22.5" customHeight="1">
      <c r="A126" s="274"/>
      <c r="C126" s="281"/>
      <c r="D126" s="258" t="str">
        <f t="array" ref="D126">IFERROR(
  INDEX(R_CLIENTES!B:B,
         MATCH(C126, R_CLIENTES!A:A, 0)
  ),
  ""
)</f>
        <v/>
      </c>
      <c r="E126" s="258" t="str">
        <f t="array" ref="E126">IFERROR(
  INDEX(R_CLIENTES!G:G,
         MATCH(C126, R_CLIENTES!A:A, 0)
  ),
  ""
)</f>
        <v/>
      </c>
      <c r="F126" s="281"/>
      <c r="G126" s="274" t="str">
        <f t="array" ref="G126">IFERROR(
  INDEX(R_CLIENTES!H:H,
         MATCH(C126, R_CLIENTES!A:A, 0)
  ),
  ""
)</f>
        <v/>
      </c>
      <c r="H126" s="281"/>
      <c r="I126" s="281"/>
      <c r="J126" s="275"/>
      <c r="K126" s="258" t="str">
        <f t="shared" si="1"/>
        <v/>
      </c>
      <c r="L126" s="258" t="str">
        <f t="shared" si="2"/>
        <v/>
      </c>
      <c r="O126" s="281"/>
    </row>
    <row r="127" ht="22.5" customHeight="1">
      <c r="A127" s="274"/>
      <c r="C127" s="281"/>
      <c r="D127" s="258" t="str">
        <f t="array" ref="D127">IFERROR(
  INDEX(R_CLIENTES!B:B,
         MATCH(C127, R_CLIENTES!A:A, 0)
  ),
  ""
)</f>
        <v/>
      </c>
      <c r="E127" s="258" t="str">
        <f t="array" ref="E127">IFERROR(
  INDEX(R_CLIENTES!G:G,
         MATCH(C127, R_CLIENTES!A:A, 0)
  ),
  ""
)</f>
        <v/>
      </c>
      <c r="F127" s="281"/>
      <c r="G127" s="274" t="str">
        <f t="array" ref="G127">IFERROR(
  INDEX(R_CLIENTES!H:H,
         MATCH(C127, R_CLIENTES!A:A, 0)
  ),
  ""
)</f>
        <v/>
      </c>
      <c r="H127" s="281"/>
      <c r="I127" s="281"/>
      <c r="J127" s="275"/>
      <c r="K127" s="258" t="str">
        <f t="shared" si="1"/>
        <v/>
      </c>
      <c r="L127" s="258" t="str">
        <f t="shared" si="2"/>
        <v/>
      </c>
      <c r="O127" s="281"/>
    </row>
    <row r="128" ht="22.5" customHeight="1">
      <c r="A128" s="274"/>
      <c r="C128" s="281"/>
      <c r="D128" s="258" t="str">
        <f t="array" ref="D128">IFERROR(
  INDEX(R_CLIENTES!B:B,
         MATCH(C128, R_CLIENTES!A:A, 0)
  ),
  ""
)</f>
        <v/>
      </c>
      <c r="E128" s="258" t="str">
        <f t="array" ref="E128">IFERROR(
  INDEX(R_CLIENTES!G:G,
         MATCH(C128, R_CLIENTES!A:A, 0)
  ),
  ""
)</f>
        <v/>
      </c>
      <c r="F128" s="281"/>
      <c r="G128" s="274" t="str">
        <f t="array" ref="G128">IFERROR(
  INDEX(R_CLIENTES!H:H,
         MATCH(C128, R_CLIENTES!A:A, 0)
  ),
  ""
)</f>
        <v/>
      </c>
      <c r="H128" s="281"/>
      <c r="I128" s="281"/>
      <c r="J128" s="275"/>
      <c r="K128" s="258" t="str">
        <f t="shared" si="1"/>
        <v/>
      </c>
      <c r="L128" s="258" t="str">
        <f t="shared" si="2"/>
        <v/>
      </c>
      <c r="O128" s="281"/>
    </row>
    <row r="129" ht="22.5" customHeight="1">
      <c r="A129" s="274"/>
      <c r="C129" s="281"/>
      <c r="D129" s="258" t="str">
        <f t="array" ref="D129">IFERROR(
  INDEX(R_CLIENTES!B:B,
         MATCH(C129, R_CLIENTES!A:A, 0)
  ),
  ""
)</f>
        <v/>
      </c>
      <c r="E129" s="258" t="str">
        <f t="array" ref="E129">IFERROR(
  INDEX(R_CLIENTES!G:G,
         MATCH(C129, R_CLIENTES!A:A, 0)
  ),
  ""
)</f>
        <v/>
      </c>
      <c r="F129" s="281"/>
      <c r="G129" s="274" t="str">
        <f t="array" ref="G129">IFERROR(
  INDEX(R_CLIENTES!H:H,
         MATCH(C129, R_CLIENTES!A:A, 0)
  ),
  ""
)</f>
        <v/>
      </c>
      <c r="H129" s="281"/>
      <c r="I129" s="281"/>
      <c r="J129" s="275"/>
      <c r="K129" s="258" t="str">
        <f t="shared" si="1"/>
        <v/>
      </c>
      <c r="L129" s="258" t="str">
        <f t="shared" si="2"/>
        <v/>
      </c>
      <c r="O129" s="281"/>
    </row>
    <row r="130" ht="22.5" customHeight="1">
      <c r="A130" s="274"/>
      <c r="C130" s="281"/>
      <c r="D130" s="258" t="str">
        <f t="array" ref="D130">IFERROR(
  INDEX(R_CLIENTES!B:B,
         MATCH(C130, R_CLIENTES!A:A, 0)
  ),
  ""
)</f>
        <v/>
      </c>
      <c r="E130" s="258" t="str">
        <f t="array" ref="E130">IFERROR(
  INDEX(R_CLIENTES!G:G,
         MATCH(C130, R_CLIENTES!A:A, 0)
  ),
  ""
)</f>
        <v/>
      </c>
      <c r="F130" s="281"/>
      <c r="G130" s="274" t="str">
        <f t="array" ref="G130">IFERROR(
  INDEX(R_CLIENTES!H:H,
         MATCH(C130, R_CLIENTES!A:A, 0)
  ),
  ""
)</f>
        <v/>
      </c>
      <c r="H130" s="281"/>
      <c r="I130" s="281"/>
      <c r="J130" s="275"/>
      <c r="K130" s="258" t="str">
        <f t="shared" si="1"/>
        <v/>
      </c>
      <c r="L130" s="258" t="str">
        <f t="shared" si="2"/>
        <v/>
      </c>
      <c r="O130" s="281"/>
    </row>
    <row r="131" ht="22.5" customHeight="1">
      <c r="A131" s="274"/>
      <c r="C131" s="281"/>
      <c r="D131" s="258" t="str">
        <f t="array" ref="D131">IFERROR(
  INDEX(R_CLIENTES!B:B,
         MATCH(C131, R_CLIENTES!A:A, 0)
  ),
  ""
)</f>
        <v/>
      </c>
      <c r="E131" s="258" t="str">
        <f t="array" ref="E131">IFERROR(
  INDEX(R_CLIENTES!G:G,
         MATCH(C131, R_CLIENTES!A:A, 0)
  ),
  ""
)</f>
        <v/>
      </c>
      <c r="F131" s="281"/>
      <c r="G131" s="274" t="str">
        <f t="array" ref="G131">IFERROR(
  INDEX(R_CLIENTES!H:H,
         MATCH(C131, R_CLIENTES!A:A, 0)
  ),
  ""
)</f>
        <v/>
      </c>
      <c r="H131" s="281"/>
      <c r="I131" s="281"/>
      <c r="J131" s="275"/>
      <c r="K131" s="258" t="str">
        <f t="shared" si="1"/>
        <v/>
      </c>
      <c r="L131" s="258" t="str">
        <f t="shared" si="2"/>
        <v/>
      </c>
      <c r="O131" s="281"/>
    </row>
    <row r="132" ht="22.5" customHeight="1">
      <c r="A132" s="274"/>
      <c r="C132" s="281"/>
      <c r="D132" s="258" t="str">
        <f t="array" ref="D132">IFERROR(
  INDEX(R_CLIENTES!B:B,
         MATCH(C132, R_CLIENTES!A:A, 0)
  ),
  ""
)</f>
        <v/>
      </c>
      <c r="E132" s="258" t="str">
        <f t="array" ref="E132">IFERROR(
  INDEX(R_CLIENTES!G:G,
         MATCH(C132, R_CLIENTES!A:A, 0)
  ),
  ""
)</f>
        <v/>
      </c>
      <c r="F132" s="281"/>
      <c r="G132" s="274" t="str">
        <f t="array" ref="G132">IFERROR(
  INDEX(R_CLIENTES!H:H,
         MATCH(C132, R_CLIENTES!A:A, 0)
  ),
  ""
)</f>
        <v/>
      </c>
      <c r="H132" s="281"/>
      <c r="I132" s="281"/>
      <c r="J132" s="275"/>
      <c r="K132" s="258" t="str">
        <f t="shared" si="1"/>
        <v/>
      </c>
      <c r="L132" s="258" t="str">
        <f t="shared" si="2"/>
        <v/>
      </c>
      <c r="O132" s="281"/>
    </row>
    <row r="133" ht="22.5" customHeight="1">
      <c r="A133" s="274"/>
      <c r="C133" s="281"/>
      <c r="D133" s="258" t="str">
        <f t="array" ref="D133">IFERROR(
  INDEX(R_CLIENTES!B:B,
         MATCH(C133, R_CLIENTES!A:A, 0)
  ),
  ""
)</f>
        <v/>
      </c>
      <c r="E133" s="258" t="str">
        <f t="array" ref="E133">IFERROR(
  INDEX(R_CLIENTES!G:G,
         MATCH(C133, R_CLIENTES!A:A, 0)
  ),
  ""
)</f>
        <v/>
      </c>
      <c r="F133" s="281"/>
      <c r="G133" s="274" t="str">
        <f t="array" ref="G133">IFERROR(
  INDEX(R_CLIENTES!H:H,
         MATCH(C133, R_CLIENTES!A:A, 0)
  ),
  ""
)</f>
        <v/>
      </c>
      <c r="H133" s="281"/>
      <c r="I133" s="281"/>
      <c r="J133" s="275"/>
      <c r="K133" s="258" t="str">
        <f t="shared" si="1"/>
        <v/>
      </c>
      <c r="L133" s="258" t="str">
        <f t="shared" si="2"/>
        <v/>
      </c>
      <c r="O133" s="281"/>
    </row>
    <row r="134" ht="22.5" customHeight="1">
      <c r="A134" s="274"/>
      <c r="C134" s="281"/>
      <c r="D134" s="258" t="str">
        <f t="array" ref="D134">IFERROR(
  INDEX(R_CLIENTES!B:B,
         MATCH(C134, R_CLIENTES!A:A, 0)
  ),
  ""
)</f>
        <v/>
      </c>
      <c r="E134" s="258" t="str">
        <f t="array" ref="E134">IFERROR(
  INDEX(R_CLIENTES!G:G,
         MATCH(C134, R_CLIENTES!A:A, 0)
  ),
  ""
)</f>
        <v/>
      </c>
      <c r="F134" s="281"/>
      <c r="G134" s="274" t="str">
        <f t="array" ref="G134">IFERROR(
  INDEX(R_CLIENTES!H:H,
         MATCH(C134, R_CLIENTES!A:A, 0)
  ),
  ""
)</f>
        <v/>
      </c>
      <c r="H134" s="281"/>
      <c r="I134" s="281"/>
      <c r="J134" s="275"/>
      <c r="K134" s="258" t="str">
        <f t="shared" si="1"/>
        <v/>
      </c>
      <c r="L134" s="258" t="str">
        <f t="shared" si="2"/>
        <v/>
      </c>
      <c r="O134" s="281"/>
    </row>
    <row r="135" ht="22.5" customHeight="1">
      <c r="A135" s="274"/>
      <c r="C135" s="281"/>
      <c r="D135" s="258" t="str">
        <f t="array" ref="D135">IFERROR(
  INDEX(R_CLIENTES!B:B,
         MATCH(C135, R_CLIENTES!A:A, 0)
  ),
  ""
)</f>
        <v/>
      </c>
      <c r="E135" s="258" t="str">
        <f t="array" ref="E135">IFERROR(
  INDEX(R_CLIENTES!G:G,
         MATCH(C135, R_CLIENTES!A:A, 0)
  ),
  ""
)</f>
        <v/>
      </c>
      <c r="F135" s="281"/>
      <c r="G135" s="274" t="str">
        <f t="array" ref="G135">IFERROR(
  INDEX(R_CLIENTES!H:H,
         MATCH(C135, R_CLIENTES!A:A, 0)
  ),
  ""
)</f>
        <v/>
      </c>
      <c r="H135" s="281"/>
      <c r="I135" s="281"/>
      <c r="J135" s="275"/>
      <c r="K135" s="258" t="str">
        <f t="shared" si="1"/>
        <v/>
      </c>
      <c r="L135" s="258" t="str">
        <f t="shared" si="2"/>
        <v/>
      </c>
      <c r="O135" s="281"/>
    </row>
    <row r="136" ht="22.5" customHeight="1">
      <c r="A136" s="274"/>
      <c r="C136" s="281"/>
      <c r="D136" s="258" t="str">
        <f t="array" ref="D136">IFERROR(
  INDEX(R_CLIENTES!B:B,
         MATCH(C136, R_CLIENTES!A:A, 0)
  ),
  ""
)</f>
        <v/>
      </c>
      <c r="E136" s="258" t="str">
        <f t="array" ref="E136">IFERROR(
  INDEX(R_CLIENTES!G:G,
         MATCH(C136, R_CLIENTES!A:A, 0)
  ),
  ""
)</f>
        <v/>
      </c>
      <c r="F136" s="281"/>
      <c r="G136" s="274" t="str">
        <f t="array" ref="G136">IFERROR(
  INDEX(R_CLIENTES!H:H,
         MATCH(C136, R_CLIENTES!A:A, 0)
  ),
  ""
)</f>
        <v/>
      </c>
      <c r="H136" s="281"/>
      <c r="I136" s="281"/>
      <c r="J136" s="275"/>
      <c r="K136" s="258" t="str">
        <f t="shared" si="1"/>
        <v/>
      </c>
      <c r="L136" s="258" t="str">
        <f t="shared" si="2"/>
        <v/>
      </c>
      <c r="O136" s="281"/>
    </row>
    <row r="137" ht="22.5" customHeight="1">
      <c r="A137" s="274"/>
      <c r="C137" s="281"/>
      <c r="D137" s="258" t="str">
        <f t="array" ref="D137">IFERROR(
  INDEX(R_CLIENTES!B:B,
         MATCH(C137, R_CLIENTES!A:A, 0)
  ),
  ""
)</f>
        <v/>
      </c>
      <c r="E137" s="258" t="str">
        <f t="array" ref="E137">IFERROR(
  INDEX(R_CLIENTES!G:G,
         MATCH(C137, R_CLIENTES!A:A, 0)
  ),
  ""
)</f>
        <v/>
      </c>
      <c r="F137" s="281"/>
      <c r="G137" s="274" t="str">
        <f t="array" ref="G137">IFERROR(
  INDEX(R_CLIENTES!H:H,
         MATCH(C137, R_CLIENTES!A:A, 0)
  ),
  ""
)</f>
        <v/>
      </c>
      <c r="H137" s="281"/>
      <c r="I137" s="281"/>
      <c r="J137" s="275"/>
      <c r="K137" s="258" t="str">
        <f t="shared" si="1"/>
        <v/>
      </c>
      <c r="L137" s="258" t="str">
        <f t="shared" si="2"/>
        <v/>
      </c>
      <c r="O137" s="281"/>
    </row>
    <row r="138" ht="22.5" customHeight="1">
      <c r="A138" s="274"/>
      <c r="C138" s="281"/>
      <c r="D138" s="258" t="str">
        <f t="array" ref="D138">IFERROR(
  INDEX(R_CLIENTES!B:B,
         MATCH(C138, R_CLIENTES!A:A, 0)
  ),
  ""
)</f>
        <v/>
      </c>
      <c r="E138" s="258" t="str">
        <f t="array" ref="E138">IFERROR(
  INDEX(R_CLIENTES!G:G,
         MATCH(C138, R_CLIENTES!A:A, 0)
  ),
  ""
)</f>
        <v/>
      </c>
      <c r="F138" s="281"/>
      <c r="G138" s="274" t="str">
        <f t="array" ref="G138">IFERROR(
  INDEX(R_CLIENTES!H:H,
         MATCH(C138, R_CLIENTES!A:A, 0)
  ),
  ""
)</f>
        <v/>
      </c>
      <c r="H138" s="281"/>
      <c r="I138" s="281"/>
      <c r="J138" s="275"/>
      <c r="K138" s="258" t="str">
        <f t="shared" si="1"/>
        <v/>
      </c>
      <c r="L138" s="258" t="str">
        <f t="shared" si="2"/>
        <v/>
      </c>
      <c r="O138" s="281"/>
    </row>
    <row r="139" ht="22.5" customHeight="1">
      <c r="A139" s="274"/>
      <c r="C139" s="281"/>
      <c r="D139" s="258" t="str">
        <f t="array" ref="D139">IFERROR(
  INDEX(R_CLIENTES!B:B,
         MATCH(C139, R_CLIENTES!A:A, 0)
  ),
  ""
)</f>
        <v/>
      </c>
      <c r="E139" s="258" t="str">
        <f t="array" ref="E139">IFERROR(
  INDEX(R_CLIENTES!G:G,
         MATCH(C139, R_CLIENTES!A:A, 0)
  ),
  ""
)</f>
        <v/>
      </c>
      <c r="F139" s="281"/>
      <c r="G139" s="274" t="str">
        <f t="array" ref="G139">IFERROR(
  INDEX(R_CLIENTES!H:H,
         MATCH(C139, R_CLIENTES!A:A, 0)
  ),
  ""
)</f>
        <v/>
      </c>
      <c r="H139" s="281"/>
      <c r="I139" s="281"/>
      <c r="J139" s="275"/>
      <c r="K139" s="258" t="str">
        <f t="shared" si="1"/>
        <v/>
      </c>
      <c r="L139" s="258" t="str">
        <f t="shared" si="2"/>
        <v/>
      </c>
      <c r="O139" s="281"/>
    </row>
    <row r="140" ht="22.5" customHeight="1">
      <c r="A140" s="274"/>
      <c r="C140" s="281"/>
      <c r="D140" s="258" t="str">
        <f t="array" ref="D140">IFERROR(
  INDEX(R_CLIENTES!B:B,
         MATCH(C140, R_CLIENTES!A:A, 0)
  ),
  ""
)</f>
        <v/>
      </c>
      <c r="E140" s="258" t="str">
        <f t="array" ref="E140">IFERROR(
  INDEX(R_CLIENTES!G:G,
         MATCH(C140, R_CLIENTES!A:A, 0)
  ),
  ""
)</f>
        <v/>
      </c>
      <c r="F140" s="281"/>
      <c r="G140" s="274" t="str">
        <f t="array" ref="G140">IFERROR(
  INDEX(R_CLIENTES!H:H,
         MATCH(C140, R_CLIENTES!A:A, 0)
  ),
  ""
)</f>
        <v/>
      </c>
      <c r="H140" s="281"/>
      <c r="I140" s="281"/>
      <c r="J140" s="275"/>
      <c r="K140" s="258" t="str">
        <f t="shared" si="1"/>
        <v/>
      </c>
      <c r="L140" s="258" t="str">
        <f t="shared" si="2"/>
        <v/>
      </c>
      <c r="O140" s="281"/>
    </row>
    <row r="141" ht="22.5" customHeight="1">
      <c r="A141" s="274"/>
      <c r="C141" s="281"/>
      <c r="D141" s="258" t="str">
        <f t="array" ref="D141">IFERROR(
  INDEX(R_CLIENTES!B:B,
         MATCH(C141, R_CLIENTES!A:A, 0)
  ),
  ""
)</f>
        <v/>
      </c>
      <c r="E141" s="258" t="str">
        <f t="array" ref="E141">IFERROR(
  INDEX(R_CLIENTES!G:G,
         MATCH(C141, R_CLIENTES!A:A, 0)
  ),
  ""
)</f>
        <v/>
      </c>
      <c r="F141" s="281"/>
      <c r="G141" s="274" t="str">
        <f t="array" ref="G141">IFERROR(
  INDEX(R_CLIENTES!H:H,
         MATCH(C141, R_CLIENTES!A:A, 0)
  ),
  ""
)</f>
        <v/>
      </c>
      <c r="H141" s="281"/>
      <c r="I141" s="281"/>
      <c r="J141" s="275"/>
      <c r="K141" s="258" t="str">
        <f t="shared" si="1"/>
        <v/>
      </c>
      <c r="L141" s="258" t="str">
        <f t="shared" si="2"/>
        <v/>
      </c>
      <c r="O141" s="281"/>
    </row>
    <row r="142" ht="22.5" customHeight="1">
      <c r="A142" s="274"/>
      <c r="C142" s="281"/>
      <c r="D142" s="258" t="str">
        <f t="array" ref="D142">IFERROR(
  INDEX(R_CLIENTES!B:B,
         MATCH(C142, R_CLIENTES!A:A, 0)
  ),
  ""
)</f>
        <v/>
      </c>
      <c r="E142" s="258" t="str">
        <f t="array" ref="E142">IFERROR(
  INDEX(R_CLIENTES!G:G,
         MATCH(C142, R_CLIENTES!A:A, 0)
  ),
  ""
)</f>
        <v/>
      </c>
      <c r="F142" s="281"/>
      <c r="G142" s="274" t="str">
        <f t="array" ref="G142">IFERROR(
  INDEX(R_CLIENTES!H:H,
         MATCH(C142, R_CLIENTES!A:A, 0)
  ),
  ""
)</f>
        <v/>
      </c>
      <c r="H142" s="281"/>
      <c r="I142" s="281"/>
      <c r="J142" s="275"/>
      <c r="K142" s="258" t="str">
        <f t="shared" si="1"/>
        <v/>
      </c>
      <c r="L142" s="258" t="str">
        <f t="shared" si="2"/>
        <v/>
      </c>
      <c r="O142" s="281"/>
    </row>
    <row r="143" ht="22.5" customHeight="1">
      <c r="A143" s="274"/>
      <c r="C143" s="281"/>
      <c r="D143" s="258" t="str">
        <f t="array" ref="D143">IFERROR(
  INDEX(R_CLIENTES!B:B,
         MATCH(C143, R_CLIENTES!A:A, 0)
  ),
  ""
)</f>
        <v/>
      </c>
      <c r="E143" s="258" t="str">
        <f t="array" ref="E143">IFERROR(
  INDEX(R_CLIENTES!G:G,
         MATCH(C143, R_CLIENTES!A:A, 0)
  ),
  ""
)</f>
        <v/>
      </c>
      <c r="F143" s="281"/>
      <c r="G143" s="274" t="str">
        <f t="array" ref="G143">IFERROR(
  INDEX(R_CLIENTES!H:H,
         MATCH(C143, R_CLIENTES!A:A, 0)
  ),
  ""
)</f>
        <v/>
      </c>
      <c r="H143" s="281"/>
      <c r="I143" s="281"/>
      <c r="J143" s="275"/>
      <c r="K143" s="258" t="str">
        <f t="shared" si="1"/>
        <v/>
      </c>
      <c r="L143" s="258" t="str">
        <f t="shared" si="2"/>
        <v/>
      </c>
      <c r="O143" s="281"/>
    </row>
    <row r="144" ht="22.5" customHeight="1">
      <c r="A144" s="274"/>
      <c r="C144" s="281"/>
      <c r="D144" s="258" t="str">
        <f t="array" ref="D144">IFERROR(
  INDEX(R_CLIENTES!B:B,
         MATCH(C144, R_CLIENTES!A:A, 0)
  ),
  ""
)</f>
        <v/>
      </c>
      <c r="E144" s="258" t="str">
        <f t="array" ref="E144">IFERROR(
  INDEX(R_CLIENTES!G:G,
         MATCH(C144, R_CLIENTES!A:A, 0)
  ),
  ""
)</f>
        <v/>
      </c>
      <c r="F144" s="281"/>
      <c r="G144" s="274" t="str">
        <f t="array" ref="G144">IFERROR(
  INDEX(R_CLIENTES!H:H,
         MATCH(C144, R_CLIENTES!A:A, 0)
  ),
  ""
)</f>
        <v/>
      </c>
      <c r="H144" s="281"/>
      <c r="I144" s="281"/>
      <c r="J144" s="275"/>
      <c r="K144" s="258" t="str">
        <f t="shared" si="1"/>
        <v/>
      </c>
      <c r="L144" s="258" t="str">
        <f t="shared" si="2"/>
        <v/>
      </c>
      <c r="O144" s="281"/>
    </row>
    <row r="145" ht="22.5" customHeight="1">
      <c r="A145" s="274"/>
      <c r="C145" s="281"/>
      <c r="D145" s="258" t="str">
        <f t="array" ref="D145">IFERROR(
  INDEX(R_CLIENTES!B:B,
         MATCH(C145, R_CLIENTES!A:A, 0)
  ),
  ""
)</f>
        <v/>
      </c>
      <c r="E145" s="258" t="str">
        <f t="array" ref="E145">IFERROR(
  INDEX(R_CLIENTES!G:G,
         MATCH(C145, R_CLIENTES!A:A, 0)
  ),
  ""
)</f>
        <v/>
      </c>
      <c r="F145" s="281"/>
      <c r="G145" s="274" t="str">
        <f t="array" ref="G145">IFERROR(
  INDEX(R_CLIENTES!H:H,
         MATCH(C145, R_CLIENTES!A:A, 0)
  ),
  ""
)</f>
        <v/>
      </c>
      <c r="H145" s="281"/>
      <c r="I145" s="281"/>
      <c r="J145" s="275"/>
      <c r="K145" s="258" t="str">
        <f t="shared" si="1"/>
        <v/>
      </c>
      <c r="L145" s="258" t="str">
        <f t="shared" si="2"/>
        <v/>
      </c>
      <c r="O145" s="281"/>
    </row>
    <row r="146" ht="22.5" customHeight="1">
      <c r="A146" s="274"/>
      <c r="C146" s="281"/>
      <c r="D146" s="258" t="str">
        <f t="array" ref="D146">IFERROR(
  INDEX(R_CLIENTES!B:B,
         MATCH(C146, R_CLIENTES!A:A, 0)
  ),
  ""
)</f>
        <v/>
      </c>
      <c r="E146" s="258" t="str">
        <f t="array" ref="E146">IFERROR(
  INDEX(R_CLIENTES!G:G,
         MATCH(C146, R_CLIENTES!A:A, 0)
  ),
  ""
)</f>
        <v/>
      </c>
      <c r="F146" s="281"/>
      <c r="G146" s="274" t="str">
        <f t="array" ref="G146">IFERROR(
  INDEX(R_CLIENTES!H:H,
         MATCH(C146, R_CLIENTES!A:A, 0)
  ),
  ""
)</f>
        <v/>
      </c>
      <c r="H146" s="281"/>
      <c r="I146" s="281"/>
      <c r="J146" s="275"/>
      <c r="K146" s="258" t="str">
        <f t="shared" si="1"/>
        <v/>
      </c>
      <c r="L146" s="258" t="str">
        <f t="shared" si="2"/>
        <v/>
      </c>
      <c r="O146" s="281"/>
    </row>
    <row r="147" ht="22.5" customHeight="1">
      <c r="A147" s="274"/>
      <c r="C147" s="281"/>
      <c r="D147" s="258" t="str">
        <f t="array" ref="D147">IFERROR(
  INDEX(R_CLIENTES!B:B,
         MATCH(C147, R_CLIENTES!A:A, 0)
  ),
  ""
)</f>
        <v/>
      </c>
      <c r="E147" s="258" t="str">
        <f t="array" ref="E147">IFERROR(
  INDEX(R_CLIENTES!G:G,
         MATCH(C147, R_CLIENTES!A:A, 0)
  ),
  ""
)</f>
        <v/>
      </c>
      <c r="F147" s="281"/>
      <c r="G147" s="274" t="str">
        <f t="array" ref="G147">IFERROR(
  INDEX(R_CLIENTES!H:H,
         MATCH(C147, R_CLIENTES!A:A, 0)
  ),
  ""
)</f>
        <v/>
      </c>
      <c r="H147" s="281"/>
      <c r="I147" s="281"/>
      <c r="J147" s="275"/>
      <c r="K147" s="258" t="str">
        <f t="shared" si="1"/>
        <v/>
      </c>
      <c r="L147" s="258" t="str">
        <f t="shared" si="2"/>
        <v/>
      </c>
      <c r="O147" s="281"/>
    </row>
    <row r="148" ht="22.5" customHeight="1">
      <c r="A148" s="274"/>
      <c r="C148" s="281"/>
      <c r="D148" s="258" t="str">
        <f t="array" ref="D148">IFERROR(
  INDEX(R_CLIENTES!B:B,
         MATCH(C148, R_CLIENTES!A:A, 0)
  ),
  ""
)</f>
        <v/>
      </c>
      <c r="E148" s="258" t="str">
        <f t="array" ref="E148">IFERROR(
  INDEX(R_CLIENTES!G:G,
         MATCH(C148, R_CLIENTES!A:A, 0)
  ),
  ""
)</f>
        <v/>
      </c>
      <c r="F148" s="281"/>
      <c r="G148" s="274" t="str">
        <f t="array" ref="G148">IFERROR(
  INDEX(R_CLIENTES!H:H,
         MATCH(C148, R_CLIENTES!A:A, 0)
  ),
  ""
)</f>
        <v/>
      </c>
      <c r="H148" s="281"/>
      <c r="I148" s="281"/>
      <c r="J148" s="275"/>
      <c r="K148" s="258" t="str">
        <f t="shared" si="1"/>
        <v/>
      </c>
      <c r="L148" s="258" t="str">
        <f t="shared" si="2"/>
        <v/>
      </c>
      <c r="O148" s="281"/>
    </row>
    <row r="149" ht="22.5" customHeight="1">
      <c r="A149" s="274"/>
      <c r="C149" s="281"/>
      <c r="D149" s="258" t="str">
        <f t="array" ref="D149">IFERROR(
  INDEX(R_CLIENTES!B:B,
         MATCH(C149, R_CLIENTES!A:A, 0)
  ),
  ""
)</f>
        <v/>
      </c>
      <c r="E149" s="258" t="str">
        <f t="array" ref="E149">IFERROR(
  INDEX(R_CLIENTES!G:G,
         MATCH(C149, R_CLIENTES!A:A, 0)
  ),
  ""
)</f>
        <v/>
      </c>
      <c r="F149" s="281"/>
      <c r="G149" s="274" t="str">
        <f t="array" ref="G149">IFERROR(
  INDEX(R_CLIENTES!H:H,
         MATCH(C149, R_CLIENTES!A:A, 0)
  ),
  ""
)</f>
        <v/>
      </c>
      <c r="H149" s="281"/>
      <c r="I149" s="281"/>
      <c r="J149" s="275"/>
      <c r="K149" s="258" t="str">
        <f t="shared" si="1"/>
        <v/>
      </c>
      <c r="L149" s="258" t="str">
        <f t="shared" si="2"/>
        <v/>
      </c>
      <c r="O149" s="281"/>
    </row>
    <row r="150" ht="22.5" customHeight="1">
      <c r="A150" s="274"/>
      <c r="C150" s="281"/>
      <c r="D150" s="258" t="str">
        <f t="array" ref="D150">IFERROR(
  INDEX(R_CLIENTES!B:B,
         MATCH(C150, R_CLIENTES!A:A, 0)
  ),
  ""
)</f>
        <v/>
      </c>
      <c r="E150" s="258" t="str">
        <f t="array" ref="E150">IFERROR(
  INDEX(R_CLIENTES!G:G,
         MATCH(C150, R_CLIENTES!A:A, 0)
  ),
  ""
)</f>
        <v/>
      </c>
      <c r="F150" s="281"/>
      <c r="G150" s="274" t="str">
        <f t="array" ref="G150">IFERROR(
  INDEX(R_CLIENTES!H:H,
         MATCH(C150, R_CLIENTES!A:A, 0)
  ),
  ""
)</f>
        <v/>
      </c>
      <c r="H150" s="281"/>
      <c r="I150" s="281"/>
      <c r="J150" s="275"/>
      <c r="K150" s="258" t="str">
        <f t="shared" si="1"/>
        <v/>
      </c>
      <c r="L150" s="258" t="str">
        <f t="shared" si="2"/>
        <v/>
      </c>
      <c r="O150" s="281"/>
    </row>
    <row r="151" ht="22.5" customHeight="1">
      <c r="A151" s="274"/>
      <c r="C151" s="281"/>
      <c r="D151" s="258" t="str">
        <f t="array" ref="D151">IFERROR(
  INDEX(R_CLIENTES!B:B,
         MATCH(C151, R_CLIENTES!A:A, 0)
  ),
  ""
)</f>
        <v/>
      </c>
      <c r="E151" s="258" t="str">
        <f t="array" ref="E151">IFERROR(
  INDEX(R_CLIENTES!G:G,
         MATCH(C151, R_CLIENTES!A:A, 0)
  ),
  ""
)</f>
        <v/>
      </c>
      <c r="F151" s="281"/>
      <c r="G151" s="274" t="str">
        <f t="array" ref="G151">IFERROR(
  INDEX(R_CLIENTES!H:H,
         MATCH(C151, R_CLIENTES!A:A, 0)
  ),
  ""
)</f>
        <v/>
      </c>
      <c r="H151" s="281"/>
      <c r="I151" s="281"/>
      <c r="J151" s="275"/>
      <c r="K151" s="258" t="str">
        <f t="shared" si="1"/>
        <v/>
      </c>
      <c r="L151" s="258" t="str">
        <f t="shared" si="2"/>
        <v/>
      </c>
      <c r="O151" s="281"/>
    </row>
    <row r="152" ht="22.5" customHeight="1">
      <c r="A152" s="274"/>
      <c r="C152" s="281"/>
      <c r="D152" s="258" t="str">
        <f t="array" ref="D152">IFERROR(
  INDEX(R_CLIENTES!B:B,
         MATCH(C152, R_CLIENTES!A:A, 0)
  ),
  ""
)</f>
        <v/>
      </c>
      <c r="E152" s="258" t="str">
        <f t="array" ref="E152">IFERROR(
  INDEX(R_CLIENTES!G:G,
         MATCH(C152, R_CLIENTES!A:A, 0)
  ),
  ""
)</f>
        <v/>
      </c>
      <c r="F152" s="281"/>
      <c r="G152" s="274" t="str">
        <f t="array" ref="G152">IFERROR(
  INDEX(R_CLIENTES!H:H,
         MATCH(C152, R_CLIENTES!A:A, 0)
  ),
  ""
)</f>
        <v/>
      </c>
      <c r="H152" s="281"/>
      <c r="I152" s="281"/>
      <c r="J152" s="275"/>
      <c r="K152" s="258" t="str">
        <f t="shared" si="1"/>
        <v/>
      </c>
      <c r="L152" s="258" t="str">
        <f t="shared" si="2"/>
        <v/>
      </c>
      <c r="O152" s="281"/>
    </row>
    <row r="153" ht="22.5" customHeight="1">
      <c r="A153" s="274"/>
      <c r="C153" s="281"/>
      <c r="D153" s="258" t="str">
        <f t="array" ref="D153">IFERROR(
  INDEX(R_CLIENTES!B:B,
         MATCH(C153, R_CLIENTES!A:A, 0)
  ),
  ""
)</f>
        <v/>
      </c>
      <c r="E153" s="258" t="str">
        <f t="array" ref="E153">IFERROR(
  INDEX(R_CLIENTES!G:G,
         MATCH(C153, R_CLIENTES!A:A, 0)
  ),
  ""
)</f>
        <v/>
      </c>
      <c r="F153" s="281"/>
      <c r="G153" s="274" t="str">
        <f t="array" ref="G153">IFERROR(
  INDEX(R_CLIENTES!H:H,
         MATCH(C153, R_CLIENTES!A:A, 0)
  ),
  ""
)</f>
        <v/>
      </c>
      <c r="H153" s="281"/>
      <c r="I153" s="281"/>
      <c r="J153" s="275"/>
      <c r="K153" s="258" t="str">
        <f t="shared" si="1"/>
        <v/>
      </c>
      <c r="L153" s="258" t="str">
        <f t="shared" si="2"/>
        <v/>
      </c>
      <c r="O153" s="281"/>
    </row>
    <row r="154" ht="22.5" customHeight="1">
      <c r="A154" s="274"/>
      <c r="C154" s="281"/>
      <c r="D154" s="258" t="str">
        <f t="array" ref="D154">IFERROR(
  INDEX(R_CLIENTES!B:B,
         MATCH(C154, R_CLIENTES!A:A, 0)
  ),
  ""
)</f>
        <v/>
      </c>
      <c r="E154" s="258" t="str">
        <f t="array" ref="E154">IFERROR(
  INDEX(R_CLIENTES!G:G,
         MATCH(C154, R_CLIENTES!A:A, 0)
  ),
  ""
)</f>
        <v/>
      </c>
      <c r="F154" s="281"/>
      <c r="G154" s="274" t="str">
        <f t="array" ref="G154">IFERROR(
  INDEX(R_CLIENTES!H:H,
         MATCH(C154, R_CLIENTES!A:A, 0)
  ),
  ""
)</f>
        <v/>
      </c>
      <c r="H154" s="281"/>
      <c r="I154" s="281"/>
      <c r="J154" s="275"/>
      <c r="K154" s="258" t="str">
        <f t="shared" si="1"/>
        <v/>
      </c>
      <c r="L154" s="258" t="str">
        <f t="shared" si="2"/>
        <v/>
      </c>
      <c r="O154" s="281"/>
    </row>
    <row r="155" ht="22.5" customHeight="1">
      <c r="A155" s="274"/>
      <c r="C155" s="281"/>
      <c r="D155" s="258" t="str">
        <f t="array" ref="D155">IFERROR(
  INDEX(R_CLIENTES!B:B,
         MATCH(C155, R_CLIENTES!A:A, 0)
  ),
  ""
)</f>
        <v/>
      </c>
      <c r="E155" s="258" t="str">
        <f t="array" ref="E155">IFERROR(
  INDEX(R_CLIENTES!G:G,
         MATCH(C155, R_CLIENTES!A:A, 0)
  ),
  ""
)</f>
        <v/>
      </c>
      <c r="F155" s="281"/>
      <c r="G155" s="274" t="str">
        <f t="array" ref="G155">IFERROR(
  INDEX(R_CLIENTES!H:H,
         MATCH(C155, R_CLIENTES!A:A, 0)
  ),
  ""
)</f>
        <v/>
      </c>
      <c r="H155" s="281"/>
      <c r="I155" s="281"/>
      <c r="J155" s="275"/>
      <c r="K155" s="258" t="str">
        <f t="shared" si="1"/>
        <v/>
      </c>
      <c r="L155" s="258" t="str">
        <f t="shared" si="2"/>
        <v/>
      </c>
      <c r="O155" s="281"/>
    </row>
    <row r="156" ht="22.5" customHeight="1">
      <c r="A156" s="274"/>
      <c r="C156" s="281"/>
      <c r="D156" s="258" t="str">
        <f t="array" ref="D156">IFERROR(
  INDEX(R_CLIENTES!B:B,
         MATCH(C156, R_CLIENTES!A:A, 0)
  ),
  ""
)</f>
        <v/>
      </c>
      <c r="E156" s="258" t="str">
        <f t="array" ref="E156">IFERROR(
  INDEX(R_CLIENTES!G:G,
         MATCH(C156, R_CLIENTES!A:A, 0)
  ),
  ""
)</f>
        <v/>
      </c>
      <c r="F156" s="281"/>
      <c r="G156" s="274" t="str">
        <f t="array" ref="G156">IFERROR(
  INDEX(R_CLIENTES!H:H,
         MATCH(C156, R_CLIENTES!A:A, 0)
  ),
  ""
)</f>
        <v/>
      </c>
      <c r="H156" s="281"/>
      <c r="I156" s="281"/>
      <c r="J156" s="275"/>
      <c r="K156" s="258" t="str">
        <f t="shared" si="1"/>
        <v/>
      </c>
      <c r="L156" s="258" t="str">
        <f t="shared" si="2"/>
        <v/>
      </c>
      <c r="O156" s="281"/>
    </row>
    <row r="157" ht="22.5" customHeight="1">
      <c r="A157" s="274"/>
      <c r="C157" s="281"/>
      <c r="D157" s="258" t="str">
        <f t="array" ref="D157">IFERROR(
  INDEX(R_CLIENTES!B:B,
         MATCH(C157, R_CLIENTES!A:A, 0)
  ),
  ""
)</f>
        <v/>
      </c>
      <c r="E157" s="258" t="str">
        <f t="array" ref="E157">IFERROR(
  INDEX(R_CLIENTES!G:G,
         MATCH(C157, R_CLIENTES!A:A, 0)
  ),
  ""
)</f>
        <v/>
      </c>
      <c r="F157" s="281"/>
      <c r="G157" s="274" t="str">
        <f t="array" ref="G157">IFERROR(
  INDEX(R_CLIENTES!H:H,
         MATCH(C157, R_CLIENTES!A:A, 0)
  ),
  ""
)</f>
        <v/>
      </c>
      <c r="H157" s="281"/>
      <c r="I157" s="281"/>
      <c r="J157" s="275"/>
      <c r="K157" s="258" t="str">
        <f t="shared" si="1"/>
        <v/>
      </c>
      <c r="L157" s="258" t="str">
        <f t="shared" si="2"/>
        <v/>
      </c>
      <c r="O157" s="281"/>
    </row>
    <row r="158" ht="22.5" customHeight="1">
      <c r="A158" s="274"/>
      <c r="C158" s="281"/>
      <c r="D158" s="258" t="str">
        <f t="array" ref="D158">IFERROR(
  INDEX(R_CLIENTES!B:B,
         MATCH(C158, R_CLIENTES!A:A, 0)
  ),
  ""
)</f>
        <v/>
      </c>
      <c r="E158" s="258" t="str">
        <f t="array" ref="E158">IFERROR(
  INDEX(R_CLIENTES!G:G,
         MATCH(C158, R_CLIENTES!A:A, 0)
  ),
  ""
)</f>
        <v/>
      </c>
      <c r="F158" s="281"/>
      <c r="G158" s="274" t="str">
        <f t="array" ref="G158">IFERROR(
  INDEX(R_CLIENTES!H:H,
         MATCH(C158, R_CLIENTES!A:A, 0)
  ),
  ""
)</f>
        <v/>
      </c>
      <c r="H158" s="281"/>
      <c r="I158" s="281"/>
      <c r="J158" s="275"/>
      <c r="K158" s="258" t="str">
        <f t="shared" si="1"/>
        <v/>
      </c>
      <c r="L158" s="258" t="str">
        <f t="shared" si="2"/>
        <v/>
      </c>
      <c r="O158" s="281"/>
    </row>
    <row r="159" ht="22.5" customHeight="1">
      <c r="A159" s="274"/>
      <c r="C159" s="281"/>
      <c r="D159" s="258" t="str">
        <f t="array" ref="D159">IFERROR(
  INDEX(R_CLIENTES!B:B,
         MATCH(C159, R_CLIENTES!A:A, 0)
  ),
  ""
)</f>
        <v/>
      </c>
      <c r="E159" s="258" t="str">
        <f t="array" ref="E159">IFERROR(
  INDEX(R_CLIENTES!G:G,
         MATCH(C159, R_CLIENTES!A:A, 0)
  ),
  ""
)</f>
        <v/>
      </c>
      <c r="F159" s="281"/>
      <c r="G159" s="274" t="str">
        <f t="array" ref="G159">IFERROR(
  INDEX(R_CLIENTES!H:H,
         MATCH(C159, R_CLIENTES!A:A, 0)
  ),
  ""
)</f>
        <v/>
      </c>
      <c r="H159" s="281"/>
      <c r="I159" s="281"/>
      <c r="J159" s="275"/>
      <c r="K159" s="258" t="str">
        <f t="shared" si="1"/>
        <v/>
      </c>
      <c r="L159" s="258" t="str">
        <f t="shared" si="2"/>
        <v/>
      </c>
      <c r="O159" s="281"/>
    </row>
    <row r="160" ht="22.5" customHeight="1">
      <c r="A160" s="274"/>
      <c r="C160" s="281"/>
      <c r="D160" s="258" t="str">
        <f t="array" ref="D160">IFERROR(
  INDEX(R_CLIENTES!B:B,
         MATCH(C160, R_CLIENTES!A:A, 0)
  ),
  ""
)</f>
        <v/>
      </c>
      <c r="E160" s="258" t="str">
        <f t="array" ref="E160">IFERROR(
  INDEX(R_CLIENTES!G:G,
         MATCH(C160, R_CLIENTES!A:A, 0)
  ),
  ""
)</f>
        <v/>
      </c>
      <c r="F160" s="281"/>
      <c r="G160" s="274" t="str">
        <f t="array" ref="G160">IFERROR(
  INDEX(R_CLIENTES!H:H,
         MATCH(C160, R_CLIENTES!A:A, 0)
  ),
  ""
)</f>
        <v/>
      </c>
      <c r="H160" s="281"/>
      <c r="I160" s="281"/>
      <c r="J160" s="275"/>
      <c r="K160" s="258" t="str">
        <f t="shared" si="1"/>
        <v/>
      </c>
      <c r="L160" s="258" t="str">
        <f t="shared" si="2"/>
        <v/>
      </c>
      <c r="O160" s="281"/>
    </row>
    <row r="161" ht="22.5" customHeight="1">
      <c r="A161" s="274"/>
      <c r="C161" s="281"/>
      <c r="D161" s="258" t="str">
        <f t="array" ref="D161">IFERROR(
  INDEX(R_CLIENTES!B:B,
         MATCH(C161, R_CLIENTES!A:A, 0)
  ),
  ""
)</f>
        <v/>
      </c>
      <c r="E161" s="258" t="str">
        <f t="array" ref="E161">IFERROR(
  INDEX(R_CLIENTES!G:G,
         MATCH(C161, R_CLIENTES!A:A, 0)
  ),
  ""
)</f>
        <v/>
      </c>
      <c r="F161" s="281"/>
      <c r="G161" s="274" t="str">
        <f t="array" ref="G161">IFERROR(
  INDEX(R_CLIENTES!H:H,
         MATCH(C161, R_CLIENTES!A:A, 0)
  ),
  ""
)</f>
        <v/>
      </c>
      <c r="H161" s="281"/>
      <c r="I161" s="281"/>
      <c r="J161" s="275"/>
      <c r="K161" s="258" t="str">
        <f t="shared" si="1"/>
        <v/>
      </c>
      <c r="L161" s="258" t="str">
        <f t="shared" si="2"/>
        <v/>
      </c>
      <c r="O161" s="281"/>
    </row>
    <row r="162" ht="22.5" customHeight="1">
      <c r="A162" s="274"/>
      <c r="C162" s="281"/>
      <c r="D162" s="258" t="str">
        <f t="array" ref="D162">IFERROR(
  INDEX(R_CLIENTES!B:B,
         MATCH(C162, R_CLIENTES!A:A, 0)
  ),
  ""
)</f>
        <v/>
      </c>
      <c r="E162" s="258" t="str">
        <f t="array" ref="E162">IFERROR(
  INDEX(R_CLIENTES!G:G,
         MATCH(C162, R_CLIENTES!A:A, 0)
  ),
  ""
)</f>
        <v/>
      </c>
      <c r="F162" s="281"/>
      <c r="G162" s="274" t="str">
        <f t="array" ref="G162">IFERROR(
  INDEX(R_CLIENTES!H:H,
         MATCH(C162, R_CLIENTES!A:A, 0)
  ),
  ""
)</f>
        <v/>
      </c>
      <c r="H162" s="281"/>
      <c r="I162" s="281"/>
      <c r="J162" s="275"/>
      <c r="K162" s="258" t="str">
        <f t="shared" si="1"/>
        <v/>
      </c>
      <c r="L162" s="258" t="str">
        <f t="shared" si="2"/>
        <v/>
      </c>
      <c r="O162" s="281"/>
    </row>
    <row r="163" ht="22.5" customHeight="1">
      <c r="A163" s="274"/>
      <c r="C163" s="281"/>
      <c r="D163" s="258" t="str">
        <f t="array" ref="D163">IFERROR(
  INDEX(R_CLIENTES!B:B,
         MATCH(C163, R_CLIENTES!A:A, 0)
  ),
  ""
)</f>
        <v/>
      </c>
      <c r="E163" s="258" t="str">
        <f t="array" ref="E163">IFERROR(
  INDEX(R_CLIENTES!G:G,
         MATCH(C163, R_CLIENTES!A:A, 0)
  ),
  ""
)</f>
        <v/>
      </c>
      <c r="F163" s="281"/>
      <c r="G163" s="274" t="str">
        <f t="array" ref="G163">IFERROR(
  INDEX(R_CLIENTES!H:H,
         MATCH(C163, R_CLIENTES!A:A, 0)
  ),
  ""
)</f>
        <v/>
      </c>
      <c r="H163" s="281"/>
      <c r="I163" s="281"/>
      <c r="J163" s="275"/>
      <c r="K163" s="258" t="str">
        <f t="shared" si="1"/>
        <v/>
      </c>
      <c r="L163" s="258" t="str">
        <f t="shared" si="2"/>
        <v/>
      </c>
      <c r="O163" s="281"/>
    </row>
    <row r="164" ht="22.5" customHeight="1">
      <c r="A164" s="274"/>
      <c r="C164" s="281"/>
      <c r="D164" s="258" t="str">
        <f t="array" ref="D164">IFERROR(
  INDEX(R_CLIENTES!B:B,
         MATCH(C164, R_CLIENTES!A:A, 0)
  ),
  ""
)</f>
        <v/>
      </c>
      <c r="E164" s="258" t="str">
        <f t="array" ref="E164">IFERROR(
  INDEX(R_CLIENTES!G:G,
         MATCH(C164, R_CLIENTES!A:A, 0)
  ),
  ""
)</f>
        <v/>
      </c>
      <c r="F164" s="281"/>
      <c r="G164" s="274" t="str">
        <f t="array" ref="G164">IFERROR(
  INDEX(R_CLIENTES!H:H,
         MATCH(C164, R_CLIENTES!A:A, 0)
  ),
  ""
)</f>
        <v/>
      </c>
      <c r="H164" s="281"/>
      <c r="I164" s="281"/>
      <c r="J164" s="275"/>
      <c r="K164" s="258" t="str">
        <f t="shared" si="1"/>
        <v/>
      </c>
      <c r="L164" s="258" t="str">
        <f t="shared" si="2"/>
        <v/>
      </c>
      <c r="O164" s="281"/>
    </row>
    <row r="165" ht="22.5" customHeight="1">
      <c r="A165" s="274"/>
      <c r="C165" s="281"/>
      <c r="D165" s="258" t="str">
        <f t="array" ref="D165">IFERROR(
  INDEX(R_CLIENTES!B:B,
         MATCH(C165, R_CLIENTES!A:A, 0)
  ),
  ""
)</f>
        <v/>
      </c>
      <c r="E165" s="258" t="str">
        <f t="array" ref="E165">IFERROR(
  INDEX(R_CLIENTES!G:G,
         MATCH(C165, R_CLIENTES!A:A, 0)
  ),
  ""
)</f>
        <v/>
      </c>
      <c r="F165" s="281"/>
      <c r="G165" s="274" t="str">
        <f t="array" ref="G165">IFERROR(
  INDEX(R_CLIENTES!H:H,
         MATCH(C165, R_CLIENTES!A:A, 0)
  ),
  ""
)</f>
        <v/>
      </c>
      <c r="H165" s="281"/>
      <c r="I165" s="281"/>
      <c r="J165" s="275"/>
      <c r="K165" s="258" t="str">
        <f t="shared" si="1"/>
        <v/>
      </c>
      <c r="L165" s="258" t="str">
        <f t="shared" si="2"/>
        <v/>
      </c>
      <c r="O165" s="281"/>
    </row>
    <row r="166" ht="22.5" customHeight="1">
      <c r="A166" s="274"/>
      <c r="C166" s="281"/>
      <c r="D166" s="258" t="str">
        <f t="array" ref="D166">IFERROR(
  INDEX(R_CLIENTES!B:B,
         MATCH(C166, R_CLIENTES!A:A, 0)
  ),
  ""
)</f>
        <v/>
      </c>
      <c r="E166" s="258" t="str">
        <f t="array" ref="E166">IFERROR(
  INDEX(R_CLIENTES!G:G,
         MATCH(C166, R_CLIENTES!A:A, 0)
  ),
  ""
)</f>
        <v/>
      </c>
      <c r="F166" s="281"/>
      <c r="G166" s="274" t="str">
        <f t="array" ref="G166">IFERROR(
  INDEX(R_CLIENTES!H:H,
         MATCH(C166, R_CLIENTES!A:A, 0)
  ),
  ""
)</f>
        <v/>
      </c>
      <c r="H166" s="281"/>
      <c r="I166" s="281"/>
      <c r="J166" s="275"/>
      <c r="K166" s="258" t="str">
        <f t="shared" si="1"/>
        <v/>
      </c>
      <c r="L166" s="258" t="str">
        <f t="shared" si="2"/>
        <v/>
      </c>
      <c r="O166" s="281"/>
    </row>
    <row r="167" ht="22.5" customHeight="1">
      <c r="A167" s="274"/>
      <c r="C167" s="281"/>
      <c r="D167" s="258" t="str">
        <f t="array" ref="D167">IFERROR(
  INDEX(R_CLIENTES!B:B,
         MATCH(C167, R_CLIENTES!A:A, 0)
  ),
  ""
)</f>
        <v/>
      </c>
      <c r="E167" s="258" t="str">
        <f t="array" ref="E167">IFERROR(
  INDEX(R_CLIENTES!G:G,
         MATCH(C167, R_CLIENTES!A:A, 0)
  ),
  ""
)</f>
        <v/>
      </c>
      <c r="F167" s="281"/>
      <c r="G167" s="274" t="str">
        <f t="array" ref="G167">IFERROR(
  INDEX(R_CLIENTES!H:H,
         MATCH(C167, R_CLIENTES!A:A, 0)
  ),
  ""
)</f>
        <v/>
      </c>
      <c r="H167" s="281"/>
      <c r="I167" s="281"/>
      <c r="J167" s="275"/>
      <c r="K167" s="258" t="str">
        <f t="shared" si="1"/>
        <v/>
      </c>
      <c r="L167" s="258" t="str">
        <f t="shared" si="2"/>
        <v/>
      </c>
      <c r="O167" s="281"/>
    </row>
    <row r="168" ht="22.5" customHeight="1">
      <c r="A168" s="274"/>
      <c r="C168" s="281"/>
      <c r="D168" s="258" t="str">
        <f t="array" ref="D168">IFERROR(
  INDEX(R_CLIENTES!B:B,
         MATCH(C168, R_CLIENTES!A:A, 0)
  ),
  ""
)</f>
        <v/>
      </c>
      <c r="E168" s="258" t="str">
        <f t="array" ref="E168">IFERROR(
  INDEX(R_CLIENTES!G:G,
         MATCH(C168, R_CLIENTES!A:A, 0)
  ),
  ""
)</f>
        <v/>
      </c>
      <c r="F168" s="281"/>
      <c r="G168" s="274" t="str">
        <f t="array" ref="G168">IFERROR(
  INDEX(R_CLIENTES!H:H,
         MATCH(C168, R_CLIENTES!A:A, 0)
  ),
  ""
)</f>
        <v/>
      </c>
      <c r="H168" s="281"/>
      <c r="I168" s="281"/>
      <c r="J168" s="275"/>
      <c r="K168" s="258" t="str">
        <f t="shared" si="1"/>
        <v/>
      </c>
      <c r="L168" s="258" t="str">
        <f t="shared" si="2"/>
        <v/>
      </c>
      <c r="O168" s="281"/>
    </row>
    <row r="169" ht="22.5" customHeight="1">
      <c r="A169" s="274"/>
      <c r="C169" s="281"/>
      <c r="D169" s="258" t="str">
        <f t="array" ref="D169">IFERROR(
  INDEX(R_CLIENTES!B:B,
         MATCH(C169, R_CLIENTES!A:A, 0)
  ),
  ""
)</f>
        <v/>
      </c>
      <c r="E169" s="258" t="str">
        <f t="array" ref="E169">IFERROR(
  INDEX(R_CLIENTES!G:G,
         MATCH(C169, R_CLIENTES!A:A, 0)
  ),
  ""
)</f>
        <v/>
      </c>
      <c r="F169" s="281"/>
      <c r="G169" s="274" t="str">
        <f t="array" ref="G169">IFERROR(
  INDEX(R_CLIENTES!H:H,
         MATCH(C169, R_CLIENTES!A:A, 0)
  ),
  ""
)</f>
        <v/>
      </c>
      <c r="H169" s="281"/>
      <c r="I169" s="281"/>
      <c r="J169" s="275"/>
      <c r="K169" s="258" t="str">
        <f t="shared" si="1"/>
        <v/>
      </c>
      <c r="L169" s="258" t="str">
        <f t="shared" si="2"/>
        <v/>
      </c>
      <c r="O169" s="281"/>
    </row>
    <row r="170" ht="22.5" customHeight="1">
      <c r="A170" s="274"/>
      <c r="C170" s="281"/>
      <c r="D170" s="258" t="str">
        <f t="array" ref="D170">IFERROR(
  INDEX(R_CLIENTES!B:B,
         MATCH(C170, R_CLIENTES!A:A, 0)
  ),
  ""
)</f>
        <v/>
      </c>
      <c r="E170" s="258" t="str">
        <f t="array" ref="E170">IFERROR(
  INDEX(R_CLIENTES!G:G,
         MATCH(C170, R_CLIENTES!A:A, 0)
  ),
  ""
)</f>
        <v/>
      </c>
      <c r="F170" s="281"/>
      <c r="G170" s="274" t="str">
        <f t="array" ref="G170">IFERROR(
  INDEX(R_CLIENTES!H:H,
         MATCH(C170, R_CLIENTES!A:A, 0)
  ),
  ""
)</f>
        <v/>
      </c>
      <c r="H170" s="281"/>
      <c r="I170" s="281"/>
      <c r="J170" s="275"/>
      <c r="K170" s="258" t="str">
        <f t="shared" si="1"/>
        <v/>
      </c>
      <c r="L170" s="258" t="str">
        <f t="shared" si="2"/>
        <v/>
      </c>
      <c r="O170" s="281"/>
    </row>
    <row r="171" ht="22.5" customHeight="1">
      <c r="A171" s="274"/>
      <c r="C171" s="281"/>
      <c r="D171" s="258" t="str">
        <f t="array" ref="D171">IFERROR(
  INDEX(R_CLIENTES!B:B,
         MATCH(C171, R_CLIENTES!A:A, 0)
  ),
  ""
)</f>
        <v/>
      </c>
      <c r="E171" s="258" t="str">
        <f t="array" ref="E171">IFERROR(
  INDEX(R_CLIENTES!G:G,
         MATCH(C171, R_CLIENTES!A:A, 0)
  ),
  ""
)</f>
        <v/>
      </c>
      <c r="F171" s="281"/>
      <c r="G171" s="274" t="str">
        <f t="array" ref="G171">IFERROR(
  INDEX(R_CLIENTES!H:H,
         MATCH(C171, R_CLIENTES!A:A, 0)
  ),
  ""
)</f>
        <v/>
      </c>
      <c r="H171" s="281"/>
      <c r="I171" s="281"/>
      <c r="J171" s="275"/>
      <c r="K171" s="258" t="str">
        <f t="shared" si="1"/>
        <v/>
      </c>
      <c r="L171" s="258" t="str">
        <f t="shared" si="2"/>
        <v/>
      </c>
      <c r="O171" s="281"/>
    </row>
    <row r="172" ht="22.5" customHeight="1">
      <c r="A172" s="274"/>
      <c r="C172" s="281"/>
      <c r="D172" s="258" t="str">
        <f t="array" ref="D172">IFERROR(
  INDEX(R_CLIENTES!B:B,
         MATCH(C172, R_CLIENTES!A:A, 0)
  ),
  ""
)</f>
        <v/>
      </c>
      <c r="E172" s="258" t="str">
        <f t="array" ref="E172">IFERROR(
  INDEX(R_CLIENTES!G:G,
         MATCH(C172, R_CLIENTES!A:A, 0)
  ),
  ""
)</f>
        <v/>
      </c>
      <c r="F172" s="281"/>
      <c r="G172" s="274" t="str">
        <f t="array" ref="G172">IFERROR(
  INDEX(R_CLIENTES!H:H,
         MATCH(C172, R_CLIENTES!A:A, 0)
  ),
  ""
)</f>
        <v/>
      </c>
      <c r="H172" s="281"/>
      <c r="I172" s="281"/>
      <c r="J172" s="275"/>
      <c r="K172" s="258" t="str">
        <f t="shared" si="1"/>
        <v/>
      </c>
      <c r="L172" s="258" t="str">
        <f t="shared" si="2"/>
        <v/>
      </c>
      <c r="O172" s="281"/>
    </row>
    <row r="173" ht="22.5" customHeight="1">
      <c r="A173" s="274"/>
      <c r="C173" s="281"/>
      <c r="D173" s="258" t="str">
        <f t="array" ref="D173">IFERROR(
  INDEX(R_CLIENTES!B:B,
         MATCH(C173, R_CLIENTES!A:A, 0)
  ),
  ""
)</f>
        <v/>
      </c>
      <c r="E173" s="258" t="str">
        <f t="array" ref="E173">IFERROR(
  INDEX(R_CLIENTES!G:G,
         MATCH(C173, R_CLIENTES!A:A, 0)
  ),
  ""
)</f>
        <v/>
      </c>
      <c r="F173" s="281"/>
      <c r="G173" s="274" t="str">
        <f t="array" ref="G173">IFERROR(
  INDEX(R_CLIENTES!H:H,
         MATCH(C173, R_CLIENTES!A:A, 0)
  ),
  ""
)</f>
        <v/>
      </c>
      <c r="H173" s="281"/>
      <c r="I173" s="281"/>
      <c r="J173" s="275"/>
      <c r="K173" s="258" t="str">
        <f t="shared" si="1"/>
        <v/>
      </c>
      <c r="L173" s="258" t="str">
        <f t="shared" si="2"/>
        <v/>
      </c>
      <c r="O173" s="281"/>
    </row>
    <row r="174" ht="22.5" customHeight="1">
      <c r="A174" s="274"/>
      <c r="C174" s="281"/>
      <c r="D174" s="258" t="str">
        <f t="array" ref="D174">IFERROR(
  INDEX(R_CLIENTES!B:B,
         MATCH(C174, R_CLIENTES!A:A, 0)
  ),
  ""
)</f>
        <v/>
      </c>
      <c r="E174" s="258" t="str">
        <f t="array" ref="E174">IFERROR(
  INDEX(R_CLIENTES!G:G,
         MATCH(C174, R_CLIENTES!A:A, 0)
  ),
  ""
)</f>
        <v/>
      </c>
      <c r="F174" s="281"/>
      <c r="G174" s="274" t="str">
        <f t="array" ref="G174">IFERROR(
  INDEX(R_CLIENTES!H:H,
         MATCH(C174, R_CLIENTES!A:A, 0)
  ),
  ""
)</f>
        <v/>
      </c>
      <c r="H174" s="281"/>
      <c r="I174" s="281"/>
      <c r="J174" s="275"/>
      <c r="K174" s="258" t="str">
        <f t="shared" si="1"/>
        <v/>
      </c>
      <c r="L174" s="258" t="str">
        <f t="shared" si="2"/>
        <v/>
      </c>
      <c r="O174" s="281"/>
    </row>
    <row r="175" ht="22.5" customHeight="1">
      <c r="A175" s="274"/>
      <c r="C175" s="281"/>
      <c r="D175" s="258" t="str">
        <f t="array" ref="D175">IFERROR(
  INDEX(R_CLIENTES!B:B,
         MATCH(C175, R_CLIENTES!A:A, 0)
  ),
  ""
)</f>
        <v/>
      </c>
      <c r="E175" s="258" t="str">
        <f t="array" ref="E175">IFERROR(
  INDEX(R_CLIENTES!G:G,
         MATCH(C175, R_CLIENTES!A:A, 0)
  ),
  ""
)</f>
        <v/>
      </c>
      <c r="F175" s="281"/>
      <c r="G175" s="274" t="str">
        <f t="array" ref="G175">IFERROR(
  INDEX(R_CLIENTES!H:H,
         MATCH(C175, R_CLIENTES!A:A, 0)
  ),
  ""
)</f>
        <v/>
      </c>
      <c r="H175" s="281"/>
      <c r="I175" s="281"/>
      <c r="J175" s="275"/>
      <c r="K175" s="258" t="str">
        <f t="shared" si="1"/>
        <v/>
      </c>
      <c r="L175" s="258" t="str">
        <f t="shared" si="2"/>
        <v/>
      </c>
      <c r="O175" s="281"/>
    </row>
    <row r="176" ht="22.5" customHeight="1">
      <c r="A176" s="274"/>
      <c r="C176" s="281"/>
      <c r="D176" s="258" t="str">
        <f t="array" ref="D176">IFERROR(
  INDEX(R_CLIENTES!B:B,
         MATCH(C176, R_CLIENTES!A:A, 0)
  ),
  ""
)</f>
        <v/>
      </c>
      <c r="E176" s="258" t="str">
        <f t="array" ref="E176">IFERROR(
  INDEX(R_CLIENTES!G:G,
         MATCH(C176, R_CLIENTES!A:A, 0)
  ),
  ""
)</f>
        <v/>
      </c>
      <c r="F176" s="281"/>
      <c r="G176" s="274" t="str">
        <f t="array" ref="G176">IFERROR(
  INDEX(R_CLIENTES!H:H,
         MATCH(C176, R_CLIENTES!A:A, 0)
  ),
  ""
)</f>
        <v/>
      </c>
      <c r="H176" s="281"/>
      <c r="I176" s="281"/>
      <c r="J176" s="275"/>
      <c r="K176" s="258" t="str">
        <f t="shared" si="1"/>
        <v/>
      </c>
      <c r="L176" s="258" t="str">
        <f t="shared" si="2"/>
        <v/>
      </c>
      <c r="O176" s="281"/>
    </row>
    <row r="177" ht="22.5" customHeight="1">
      <c r="A177" s="274"/>
      <c r="C177" s="281"/>
      <c r="D177" s="258" t="str">
        <f t="array" ref="D177">IFERROR(
  INDEX(R_CLIENTES!B:B,
         MATCH(C177, R_CLIENTES!A:A, 0)
  ),
  ""
)</f>
        <v/>
      </c>
      <c r="E177" s="258" t="str">
        <f t="array" ref="E177">IFERROR(
  INDEX(R_CLIENTES!G:G,
         MATCH(C177, R_CLIENTES!A:A, 0)
  ),
  ""
)</f>
        <v/>
      </c>
      <c r="F177" s="281"/>
      <c r="G177" s="274" t="str">
        <f t="array" ref="G177">IFERROR(
  INDEX(R_CLIENTES!H:H,
         MATCH(C177, R_CLIENTES!A:A, 0)
  ),
  ""
)</f>
        <v/>
      </c>
      <c r="H177" s="281"/>
      <c r="I177" s="281"/>
      <c r="J177" s="275"/>
      <c r="K177" s="258" t="str">
        <f t="shared" si="1"/>
        <v/>
      </c>
      <c r="L177" s="258" t="str">
        <f t="shared" si="2"/>
        <v/>
      </c>
      <c r="O177" s="281"/>
    </row>
    <row r="178" ht="22.5" customHeight="1">
      <c r="A178" s="274"/>
      <c r="C178" s="281"/>
      <c r="D178" s="258" t="str">
        <f t="array" ref="D178">IFERROR(
  INDEX(R_CLIENTES!B:B,
         MATCH(C178, R_CLIENTES!A:A, 0)
  ),
  ""
)</f>
        <v/>
      </c>
      <c r="E178" s="258" t="str">
        <f t="array" ref="E178">IFERROR(
  INDEX(R_CLIENTES!G:G,
         MATCH(C178, R_CLIENTES!A:A, 0)
  ),
  ""
)</f>
        <v/>
      </c>
      <c r="F178" s="281"/>
      <c r="G178" s="274" t="str">
        <f t="array" ref="G178">IFERROR(
  INDEX(R_CLIENTES!H:H,
         MATCH(C178, R_CLIENTES!A:A, 0)
  ),
  ""
)</f>
        <v/>
      </c>
      <c r="H178" s="281"/>
      <c r="I178" s="281"/>
      <c r="J178" s="275"/>
      <c r="K178" s="258" t="str">
        <f t="shared" si="1"/>
        <v/>
      </c>
      <c r="L178" s="258" t="str">
        <f t="shared" si="2"/>
        <v/>
      </c>
      <c r="O178" s="281"/>
    </row>
    <row r="179" ht="22.5" customHeight="1">
      <c r="A179" s="274"/>
      <c r="C179" s="281"/>
      <c r="D179" s="258" t="str">
        <f t="array" ref="D179">IFERROR(
  INDEX(R_CLIENTES!B:B,
         MATCH(C179, R_CLIENTES!A:A, 0)
  ),
  ""
)</f>
        <v/>
      </c>
      <c r="E179" s="258" t="str">
        <f t="array" ref="E179">IFERROR(
  INDEX(R_CLIENTES!G:G,
         MATCH(C179, R_CLIENTES!A:A, 0)
  ),
  ""
)</f>
        <v/>
      </c>
      <c r="F179" s="281"/>
      <c r="G179" s="274" t="str">
        <f t="array" ref="G179">IFERROR(
  INDEX(R_CLIENTES!H:H,
         MATCH(C179, R_CLIENTES!A:A, 0)
  ),
  ""
)</f>
        <v/>
      </c>
      <c r="H179" s="281"/>
      <c r="I179" s="281"/>
      <c r="J179" s="275"/>
      <c r="K179" s="258" t="str">
        <f t="shared" si="1"/>
        <v/>
      </c>
      <c r="L179" s="258" t="str">
        <f t="shared" si="2"/>
        <v/>
      </c>
      <c r="O179" s="281"/>
    </row>
    <row r="180" ht="22.5" customHeight="1">
      <c r="A180" s="274"/>
      <c r="C180" s="281"/>
      <c r="D180" s="258" t="str">
        <f t="array" ref="D180">IFERROR(
  INDEX(R_CLIENTES!B:B,
         MATCH(C180, R_CLIENTES!A:A, 0)
  ),
  ""
)</f>
        <v/>
      </c>
      <c r="E180" s="258" t="str">
        <f t="array" ref="E180">IFERROR(
  INDEX(R_CLIENTES!G:G,
         MATCH(C180, R_CLIENTES!A:A, 0)
  ),
  ""
)</f>
        <v/>
      </c>
      <c r="F180" s="281"/>
      <c r="G180" s="274" t="str">
        <f t="array" ref="G180">IFERROR(
  INDEX(R_CLIENTES!H:H,
         MATCH(C180, R_CLIENTES!A:A, 0)
  ),
  ""
)</f>
        <v/>
      </c>
      <c r="H180" s="281"/>
      <c r="I180" s="281"/>
      <c r="J180" s="275"/>
      <c r="K180" s="258" t="str">
        <f t="shared" si="1"/>
        <v/>
      </c>
      <c r="L180" s="258" t="str">
        <f t="shared" si="2"/>
        <v/>
      </c>
      <c r="O180" s="281"/>
    </row>
    <row r="181" ht="22.5" customHeight="1">
      <c r="A181" s="274"/>
      <c r="C181" s="281"/>
      <c r="D181" s="258" t="str">
        <f t="array" ref="D181">IFERROR(
  INDEX(R_CLIENTES!B:B,
         MATCH(C181, R_CLIENTES!A:A, 0)
  ),
  ""
)</f>
        <v/>
      </c>
      <c r="E181" s="258" t="str">
        <f t="array" ref="E181">IFERROR(
  INDEX(R_CLIENTES!G:G,
         MATCH(C181, R_CLIENTES!A:A, 0)
  ),
  ""
)</f>
        <v/>
      </c>
      <c r="F181" s="281"/>
      <c r="G181" s="274" t="str">
        <f t="array" ref="G181">IFERROR(
  INDEX(R_CLIENTES!H:H,
         MATCH(C181, R_CLIENTES!A:A, 0)
  ),
  ""
)</f>
        <v/>
      </c>
      <c r="H181" s="281"/>
      <c r="I181" s="281"/>
      <c r="J181" s="275"/>
      <c r="K181" s="258" t="str">
        <f t="shared" si="1"/>
        <v/>
      </c>
      <c r="L181" s="258" t="str">
        <f t="shared" si="2"/>
        <v/>
      </c>
      <c r="O181" s="281"/>
    </row>
    <row r="182" ht="22.5" customHeight="1">
      <c r="A182" s="274"/>
      <c r="C182" s="281"/>
      <c r="D182" s="258" t="str">
        <f t="array" ref="D182">IFERROR(
  INDEX(R_CLIENTES!B:B,
         MATCH(C182, R_CLIENTES!A:A, 0)
  ),
  ""
)</f>
        <v/>
      </c>
      <c r="E182" s="258" t="str">
        <f t="array" ref="E182">IFERROR(
  INDEX(R_CLIENTES!G:G,
         MATCH(C182, R_CLIENTES!A:A, 0)
  ),
  ""
)</f>
        <v/>
      </c>
      <c r="F182" s="281"/>
      <c r="G182" s="274" t="str">
        <f t="array" ref="G182">IFERROR(
  INDEX(R_CLIENTES!H:H,
         MATCH(C182, R_CLIENTES!A:A, 0)
  ),
  ""
)</f>
        <v/>
      </c>
      <c r="H182" s="281"/>
      <c r="I182" s="281"/>
      <c r="J182" s="275"/>
      <c r="K182" s="258" t="str">
        <f t="shared" si="1"/>
        <v/>
      </c>
      <c r="L182" s="258" t="str">
        <f t="shared" si="2"/>
        <v/>
      </c>
      <c r="O182" s="281"/>
    </row>
    <row r="183" ht="22.5" customHeight="1">
      <c r="A183" s="274"/>
      <c r="C183" s="281"/>
      <c r="D183" s="258" t="str">
        <f t="array" ref="D183">IFERROR(
  INDEX(R_CLIENTES!B:B,
         MATCH(C183, R_CLIENTES!A:A, 0)
  ),
  ""
)</f>
        <v/>
      </c>
      <c r="E183" s="258" t="str">
        <f t="array" ref="E183">IFERROR(
  INDEX(R_CLIENTES!G:G,
         MATCH(C183, R_CLIENTES!A:A, 0)
  ),
  ""
)</f>
        <v/>
      </c>
      <c r="F183" s="281"/>
      <c r="G183" s="274" t="str">
        <f t="array" ref="G183">IFERROR(
  INDEX(R_CLIENTES!H:H,
         MATCH(C183, R_CLIENTES!A:A, 0)
  ),
  ""
)</f>
        <v/>
      </c>
      <c r="H183" s="281"/>
      <c r="I183" s="281"/>
      <c r="J183" s="275"/>
      <c r="K183" s="258" t="str">
        <f t="shared" si="1"/>
        <v/>
      </c>
      <c r="L183" s="258" t="str">
        <f t="shared" si="2"/>
        <v/>
      </c>
      <c r="O183" s="281"/>
    </row>
    <row r="184" ht="22.5" customHeight="1">
      <c r="A184" s="274"/>
      <c r="C184" s="281"/>
      <c r="D184" s="258" t="str">
        <f t="array" ref="D184">IFERROR(
  INDEX(R_CLIENTES!B:B,
         MATCH(C184, R_CLIENTES!A:A, 0)
  ),
  ""
)</f>
        <v/>
      </c>
      <c r="E184" s="258" t="str">
        <f t="array" ref="E184">IFERROR(
  INDEX(R_CLIENTES!G:G,
         MATCH(C184, R_CLIENTES!A:A, 0)
  ),
  ""
)</f>
        <v/>
      </c>
      <c r="F184" s="281"/>
      <c r="G184" s="274" t="str">
        <f t="array" ref="G184">IFERROR(
  INDEX(R_CLIENTES!H:H,
         MATCH(C184, R_CLIENTES!A:A, 0)
  ),
  ""
)</f>
        <v/>
      </c>
      <c r="H184" s="281"/>
      <c r="I184" s="281"/>
      <c r="J184" s="275"/>
      <c r="K184" s="258" t="str">
        <f t="shared" si="1"/>
        <v/>
      </c>
      <c r="L184" s="258" t="str">
        <f t="shared" si="2"/>
        <v/>
      </c>
      <c r="O184" s="281"/>
    </row>
    <row r="185" ht="22.5" customHeight="1">
      <c r="A185" s="274"/>
      <c r="C185" s="281"/>
      <c r="D185" s="258" t="str">
        <f t="array" ref="D185">IFERROR(
  INDEX(R_CLIENTES!B:B,
         MATCH(C185, R_CLIENTES!A:A, 0)
  ),
  ""
)</f>
        <v/>
      </c>
      <c r="E185" s="258" t="str">
        <f t="array" ref="E185">IFERROR(
  INDEX(R_CLIENTES!G:G,
         MATCH(C185, R_CLIENTES!A:A, 0)
  ),
  ""
)</f>
        <v/>
      </c>
      <c r="F185" s="281"/>
      <c r="G185" s="274" t="str">
        <f t="array" ref="G185">IFERROR(
  INDEX(R_CLIENTES!H:H,
         MATCH(C185, R_CLIENTES!A:A, 0)
  ),
  ""
)</f>
        <v/>
      </c>
      <c r="H185" s="281"/>
      <c r="I185" s="281"/>
      <c r="J185" s="275"/>
      <c r="K185" s="258" t="str">
        <f t="shared" si="1"/>
        <v/>
      </c>
      <c r="L185" s="258" t="str">
        <f t="shared" si="2"/>
        <v/>
      </c>
      <c r="O185" s="281"/>
    </row>
    <row r="186" ht="22.5" customHeight="1">
      <c r="A186" s="274"/>
      <c r="C186" s="281"/>
      <c r="D186" s="258" t="str">
        <f t="array" ref="D186">IFERROR(
  INDEX(R_CLIENTES!B:B,
         MATCH(C186, R_CLIENTES!A:A, 0)
  ),
  ""
)</f>
        <v/>
      </c>
      <c r="E186" s="258" t="str">
        <f t="array" ref="E186">IFERROR(
  INDEX(R_CLIENTES!G:G,
         MATCH(C186, R_CLIENTES!A:A, 0)
  ),
  ""
)</f>
        <v/>
      </c>
      <c r="F186" s="281"/>
      <c r="G186" s="274" t="str">
        <f t="array" ref="G186">IFERROR(
  INDEX(R_CLIENTES!H:H,
         MATCH(C186, R_CLIENTES!A:A, 0)
  ),
  ""
)</f>
        <v/>
      </c>
      <c r="H186" s="281"/>
      <c r="I186" s="281"/>
      <c r="J186" s="275"/>
      <c r="K186" s="258" t="str">
        <f t="shared" si="1"/>
        <v/>
      </c>
      <c r="L186" s="258" t="str">
        <f t="shared" si="2"/>
        <v/>
      </c>
      <c r="O186" s="281"/>
    </row>
    <row r="187" ht="22.5" customHeight="1">
      <c r="A187" s="274"/>
      <c r="C187" s="281"/>
      <c r="D187" s="258" t="str">
        <f t="array" ref="D187">IFERROR(
  INDEX(R_CLIENTES!B:B,
         MATCH(C187, R_CLIENTES!A:A, 0)
  ),
  ""
)</f>
        <v/>
      </c>
      <c r="E187" s="258" t="str">
        <f t="array" ref="E187">IFERROR(
  INDEX(R_CLIENTES!G:G,
         MATCH(C187, R_CLIENTES!A:A, 0)
  ),
  ""
)</f>
        <v/>
      </c>
      <c r="F187" s="281"/>
      <c r="G187" s="274" t="str">
        <f t="array" ref="G187">IFERROR(
  INDEX(R_CLIENTES!H:H,
         MATCH(C187, R_CLIENTES!A:A, 0)
  ),
  ""
)</f>
        <v/>
      </c>
      <c r="H187" s="281"/>
      <c r="I187" s="281"/>
      <c r="J187" s="275"/>
      <c r="K187" s="258" t="str">
        <f t="shared" si="1"/>
        <v/>
      </c>
      <c r="L187" s="258" t="str">
        <f t="shared" si="2"/>
        <v/>
      </c>
      <c r="O187" s="281"/>
    </row>
    <row r="188" ht="22.5" customHeight="1">
      <c r="A188" s="274"/>
      <c r="C188" s="281"/>
      <c r="D188" s="258" t="str">
        <f t="array" ref="D188">IFERROR(
  INDEX(R_CLIENTES!B:B,
         MATCH(C188, R_CLIENTES!A:A, 0)
  ),
  ""
)</f>
        <v/>
      </c>
      <c r="E188" s="258" t="str">
        <f t="array" ref="E188">IFERROR(
  INDEX(R_CLIENTES!G:G,
         MATCH(C188, R_CLIENTES!A:A, 0)
  ),
  ""
)</f>
        <v/>
      </c>
      <c r="F188" s="281"/>
      <c r="G188" s="274" t="str">
        <f t="array" ref="G188">IFERROR(
  INDEX(R_CLIENTES!H:H,
         MATCH(C188, R_CLIENTES!A:A, 0)
  ),
  ""
)</f>
        <v/>
      </c>
      <c r="H188" s="281"/>
      <c r="I188" s="281"/>
      <c r="J188" s="275"/>
      <c r="K188" s="258" t="str">
        <f t="shared" si="1"/>
        <v/>
      </c>
      <c r="L188" s="258" t="str">
        <f t="shared" si="2"/>
        <v/>
      </c>
      <c r="O188" s="281"/>
    </row>
    <row r="189" ht="22.5" customHeight="1">
      <c r="A189" s="274"/>
      <c r="C189" s="281"/>
      <c r="D189" s="258" t="str">
        <f t="array" ref="D189">IFERROR(
  INDEX(R_CLIENTES!B:B,
         MATCH(C189, R_CLIENTES!A:A, 0)
  ),
  ""
)</f>
        <v/>
      </c>
      <c r="E189" s="258" t="str">
        <f t="array" ref="E189">IFERROR(
  INDEX(R_CLIENTES!G:G,
         MATCH(C189, R_CLIENTES!A:A, 0)
  ),
  ""
)</f>
        <v/>
      </c>
      <c r="F189" s="281"/>
      <c r="G189" s="274" t="str">
        <f t="array" ref="G189">IFERROR(
  INDEX(R_CLIENTES!H:H,
         MATCH(C189, R_CLIENTES!A:A, 0)
  ),
  ""
)</f>
        <v/>
      </c>
      <c r="H189" s="281"/>
      <c r="I189" s="281"/>
      <c r="J189" s="275"/>
      <c r="K189" s="258" t="str">
        <f t="shared" si="1"/>
        <v/>
      </c>
      <c r="L189" s="258" t="str">
        <f t="shared" si="2"/>
        <v/>
      </c>
      <c r="O189" s="281"/>
    </row>
    <row r="190" ht="22.5" customHeight="1">
      <c r="A190" s="274"/>
      <c r="C190" s="281"/>
      <c r="D190" s="258" t="str">
        <f t="array" ref="D190">IFERROR(
  INDEX(R_CLIENTES!B:B,
         MATCH(C190, R_CLIENTES!A:A, 0)
  ),
  ""
)</f>
        <v/>
      </c>
      <c r="E190" s="258" t="str">
        <f t="array" ref="E190">IFERROR(
  INDEX(R_CLIENTES!G:G,
         MATCH(C190, R_CLIENTES!A:A, 0)
  ),
  ""
)</f>
        <v/>
      </c>
      <c r="F190" s="281"/>
      <c r="G190" s="274" t="str">
        <f t="array" ref="G190">IFERROR(
  INDEX(R_CLIENTES!H:H,
         MATCH(C190, R_CLIENTES!A:A, 0)
  ),
  ""
)</f>
        <v/>
      </c>
      <c r="H190" s="281"/>
      <c r="I190" s="281"/>
      <c r="J190" s="275"/>
      <c r="K190" s="258" t="str">
        <f t="shared" si="1"/>
        <v/>
      </c>
      <c r="L190" s="258" t="str">
        <f t="shared" si="2"/>
        <v/>
      </c>
      <c r="O190" s="281"/>
    </row>
    <row r="191" ht="22.5" customHeight="1">
      <c r="A191" s="274"/>
      <c r="C191" s="281"/>
      <c r="D191" s="258" t="str">
        <f t="array" ref="D191">IFERROR(
  INDEX(R_CLIENTES!B:B,
         MATCH(C191, R_CLIENTES!A:A, 0)
  ),
  ""
)</f>
        <v/>
      </c>
      <c r="E191" s="258" t="str">
        <f t="array" ref="E191">IFERROR(
  INDEX(R_CLIENTES!G:G,
         MATCH(C191, R_CLIENTES!A:A, 0)
  ),
  ""
)</f>
        <v/>
      </c>
      <c r="F191" s="281"/>
      <c r="G191" s="274" t="str">
        <f t="array" ref="G191">IFERROR(
  INDEX(R_CLIENTES!H:H,
         MATCH(C191, R_CLIENTES!A:A, 0)
  ),
  ""
)</f>
        <v/>
      </c>
      <c r="H191" s="281"/>
      <c r="I191" s="281"/>
      <c r="J191" s="275"/>
      <c r="K191" s="258" t="str">
        <f t="shared" si="1"/>
        <v/>
      </c>
      <c r="L191" s="258" t="str">
        <f t="shared" si="2"/>
        <v/>
      </c>
      <c r="O191" s="281"/>
    </row>
    <row r="192" ht="22.5" customHeight="1">
      <c r="A192" s="274"/>
      <c r="C192" s="281"/>
      <c r="D192" s="258" t="str">
        <f t="array" ref="D192">IFERROR(
  INDEX(R_CLIENTES!B:B,
         MATCH(C192, R_CLIENTES!A:A, 0)
  ),
  ""
)</f>
        <v/>
      </c>
      <c r="E192" s="258" t="str">
        <f t="array" ref="E192">IFERROR(
  INDEX(R_CLIENTES!G:G,
         MATCH(C192, R_CLIENTES!A:A, 0)
  ),
  ""
)</f>
        <v/>
      </c>
      <c r="F192" s="281"/>
      <c r="G192" s="274" t="str">
        <f t="array" ref="G192">IFERROR(
  INDEX(R_CLIENTES!H:H,
         MATCH(C192, R_CLIENTES!A:A, 0)
  ),
  ""
)</f>
        <v/>
      </c>
      <c r="H192" s="281"/>
      <c r="I192" s="281"/>
      <c r="J192" s="275"/>
      <c r="K192" s="258" t="str">
        <f t="shared" si="1"/>
        <v/>
      </c>
      <c r="L192" s="258" t="str">
        <f t="shared" si="2"/>
        <v/>
      </c>
      <c r="O192" s="281"/>
    </row>
    <row r="193" ht="22.5" customHeight="1">
      <c r="A193" s="274"/>
      <c r="C193" s="281"/>
      <c r="D193" s="258" t="str">
        <f t="array" ref="D193">IFERROR(
  INDEX(R_CLIENTES!B:B,
         MATCH(C193, R_CLIENTES!A:A, 0)
  ),
  ""
)</f>
        <v/>
      </c>
      <c r="E193" s="258" t="str">
        <f t="array" ref="E193">IFERROR(
  INDEX(R_CLIENTES!G:G,
         MATCH(C193, R_CLIENTES!A:A, 0)
  ),
  ""
)</f>
        <v/>
      </c>
      <c r="F193" s="281"/>
      <c r="G193" s="274" t="str">
        <f t="array" ref="G193">IFERROR(
  INDEX(R_CLIENTES!H:H,
         MATCH(C193, R_CLIENTES!A:A, 0)
  ),
  ""
)</f>
        <v/>
      </c>
      <c r="H193" s="281"/>
      <c r="I193" s="281"/>
      <c r="J193" s="275"/>
      <c r="K193" s="258" t="str">
        <f t="shared" si="1"/>
        <v/>
      </c>
      <c r="L193" s="258" t="str">
        <f t="shared" si="2"/>
        <v/>
      </c>
      <c r="O193" s="281"/>
    </row>
    <row r="194" ht="22.5" customHeight="1">
      <c r="A194" s="274"/>
      <c r="C194" s="281"/>
      <c r="D194" s="258" t="str">
        <f t="array" ref="D194">IFERROR(
  INDEX(R_CLIENTES!B:B,
         MATCH(C194, R_CLIENTES!A:A, 0)
  ),
  ""
)</f>
        <v/>
      </c>
      <c r="E194" s="258" t="str">
        <f t="array" ref="E194">IFERROR(
  INDEX(R_CLIENTES!G:G,
         MATCH(C194, R_CLIENTES!A:A, 0)
  ),
  ""
)</f>
        <v/>
      </c>
      <c r="F194" s="281"/>
      <c r="G194" s="274" t="str">
        <f t="array" ref="G194">IFERROR(
  INDEX(R_CLIENTES!H:H,
         MATCH(C194, R_CLIENTES!A:A, 0)
  ),
  ""
)</f>
        <v/>
      </c>
      <c r="H194" s="281"/>
      <c r="I194" s="281"/>
      <c r="J194" s="275"/>
      <c r="K194" s="258" t="str">
        <f t="shared" si="1"/>
        <v/>
      </c>
      <c r="L194" s="258" t="str">
        <f t="shared" si="2"/>
        <v/>
      </c>
      <c r="O194" s="281"/>
    </row>
    <row r="195" ht="22.5" customHeight="1">
      <c r="A195" s="274"/>
      <c r="C195" s="281"/>
      <c r="D195" s="258" t="str">
        <f t="array" ref="D195">IFERROR(
  INDEX(R_CLIENTES!B:B,
         MATCH(C195, R_CLIENTES!A:A, 0)
  ),
  ""
)</f>
        <v/>
      </c>
      <c r="E195" s="258" t="str">
        <f t="array" ref="E195">IFERROR(
  INDEX(R_CLIENTES!G:G,
         MATCH(C195, R_CLIENTES!A:A, 0)
  ),
  ""
)</f>
        <v/>
      </c>
      <c r="F195" s="281"/>
      <c r="G195" s="274" t="str">
        <f t="array" ref="G195">IFERROR(
  INDEX(R_CLIENTES!H:H,
         MATCH(C195, R_CLIENTES!A:A, 0)
  ),
  ""
)</f>
        <v/>
      </c>
      <c r="H195" s="281"/>
      <c r="I195" s="281"/>
      <c r="J195" s="275"/>
      <c r="K195" s="258" t="str">
        <f t="shared" si="1"/>
        <v/>
      </c>
      <c r="L195" s="258" t="str">
        <f t="shared" si="2"/>
        <v/>
      </c>
      <c r="O195" s="281"/>
    </row>
    <row r="196" ht="22.5" customHeight="1">
      <c r="A196" s="274"/>
      <c r="C196" s="281"/>
      <c r="D196" s="258" t="str">
        <f t="array" ref="D196">IFERROR(
  INDEX(R_CLIENTES!B:B,
         MATCH(C196, R_CLIENTES!A:A, 0)
  ),
  ""
)</f>
        <v/>
      </c>
      <c r="E196" s="258" t="str">
        <f t="array" ref="E196">IFERROR(
  INDEX(R_CLIENTES!G:G,
         MATCH(C196, R_CLIENTES!A:A, 0)
  ),
  ""
)</f>
        <v/>
      </c>
      <c r="F196" s="281"/>
      <c r="G196" s="274" t="str">
        <f t="array" ref="G196">IFERROR(
  INDEX(R_CLIENTES!H:H,
         MATCH(C196, R_CLIENTES!A:A, 0)
  ),
  ""
)</f>
        <v/>
      </c>
      <c r="H196" s="281"/>
      <c r="I196" s="281"/>
      <c r="J196" s="275"/>
      <c r="K196" s="258" t="str">
        <f t="shared" si="1"/>
        <v/>
      </c>
      <c r="L196" s="258" t="str">
        <f t="shared" si="2"/>
        <v/>
      </c>
      <c r="O196" s="281"/>
    </row>
    <row r="197" ht="22.5" customHeight="1">
      <c r="A197" s="274"/>
      <c r="C197" s="281"/>
      <c r="D197" s="258" t="str">
        <f t="array" ref="D197">IFERROR(
  INDEX(R_CLIENTES!B:B,
         MATCH(C197, R_CLIENTES!A:A, 0)
  ),
  ""
)</f>
        <v/>
      </c>
      <c r="E197" s="258" t="str">
        <f t="array" ref="E197">IFERROR(
  INDEX(R_CLIENTES!G:G,
         MATCH(C197, R_CLIENTES!A:A, 0)
  ),
  ""
)</f>
        <v/>
      </c>
      <c r="F197" s="281"/>
      <c r="G197" s="274" t="str">
        <f t="array" ref="G197">IFERROR(
  INDEX(R_CLIENTES!H:H,
         MATCH(C197, R_CLIENTES!A:A, 0)
  ),
  ""
)</f>
        <v/>
      </c>
      <c r="H197" s="281"/>
      <c r="I197" s="281"/>
      <c r="J197" s="275"/>
      <c r="K197" s="258" t="str">
        <f t="shared" si="1"/>
        <v/>
      </c>
      <c r="L197" s="258" t="str">
        <f t="shared" si="2"/>
        <v/>
      </c>
      <c r="O197" s="281"/>
    </row>
    <row r="198" ht="22.5" customHeight="1">
      <c r="A198" s="274"/>
      <c r="C198" s="281"/>
      <c r="D198" s="258" t="str">
        <f t="array" ref="D198">IFERROR(
  INDEX(R_CLIENTES!B:B,
         MATCH(C198, R_CLIENTES!A:A, 0)
  ),
  ""
)</f>
        <v/>
      </c>
      <c r="E198" s="258" t="str">
        <f t="array" ref="E198">IFERROR(
  INDEX(R_CLIENTES!G:G,
         MATCH(C198, R_CLIENTES!A:A, 0)
  ),
  ""
)</f>
        <v/>
      </c>
      <c r="F198" s="281"/>
      <c r="G198" s="274" t="str">
        <f t="array" ref="G198">IFERROR(
  INDEX(R_CLIENTES!H:H,
         MATCH(C198, R_CLIENTES!A:A, 0)
  ),
  ""
)</f>
        <v/>
      </c>
      <c r="H198" s="281"/>
      <c r="I198" s="281"/>
      <c r="J198" s="275"/>
      <c r="K198" s="258" t="str">
        <f t="shared" si="1"/>
        <v/>
      </c>
      <c r="L198" s="258" t="str">
        <f t="shared" si="2"/>
        <v/>
      </c>
      <c r="O198" s="281"/>
    </row>
    <row r="199" ht="22.5" customHeight="1">
      <c r="A199" s="274"/>
      <c r="C199" s="281"/>
      <c r="D199" s="258" t="str">
        <f t="array" ref="D199">IFERROR(
  INDEX(R_CLIENTES!B:B,
         MATCH(C199, R_CLIENTES!A:A, 0)
  ),
  ""
)</f>
        <v/>
      </c>
      <c r="E199" s="258" t="str">
        <f t="array" ref="E199">IFERROR(
  INDEX(R_CLIENTES!G:G,
         MATCH(C199, R_CLIENTES!A:A, 0)
  ),
  ""
)</f>
        <v/>
      </c>
      <c r="F199" s="281"/>
      <c r="G199" s="274" t="str">
        <f t="array" ref="G199">IFERROR(
  INDEX(R_CLIENTES!H:H,
         MATCH(C199, R_CLIENTES!A:A, 0)
  ),
  ""
)</f>
        <v/>
      </c>
      <c r="H199" s="281"/>
      <c r="I199" s="281"/>
      <c r="J199" s="275"/>
      <c r="K199" s="258" t="str">
        <f t="shared" si="1"/>
        <v/>
      </c>
      <c r="L199" s="258" t="str">
        <f t="shared" si="2"/>
        <v/>
      </c>
      <c r="O199" s="281"/>
    </row>
    <row r="200" ht="22.5" customHeight="1">
      <c r="A200" s="274"/>
      <c r="C200" s="281"/>
      <c r="D200" s="258" t="str">
        <f t="array" ref="D200">IFERROR(
  INDEX(R_CLIENTES!B:B,
         MATCH(C200, R_CLIENTES!A:A, 0)
  ),
  ""
)</f>
        <v/>
      </c>
      <c r="E200" s="258" t="str">
        <f t="array" ref="E200">IFERROR(
  INDEX(R_CLIENTES!G:G,
         MATCH(C200, R_CLIENTES!A:A, 0)
  ),
  ""
)</f>
        <v/>
      </c>
      <c r="F200" s="281"/>
      <c r="G200" s="274" t="str">
        <f t="array" ref="G200">IFERROR(
  INDEX(R_CLIENTES!H:H,
         MATCH(C200, R_CLIENTES!A:A, 0)
  ),
  ""
)</f>
        <v/>
      </c>
      <c r="H200" s="281"/>
      <c r="I200" s="281"/>
      <c r="J200" s="275"/>
      <c r="K200" s="258" t="str">
        <f t="shared" si="1"/>
        <v/>
      </c>
      <c r="L200" s="258" t="str">
        <f t="shared" si="2"/>
        <v/>
      </c>
      <c r="O200" s="281"/>
    </row>
    <row r="201" ht="22.5" customHeight="1">
      <c r="A201" s="274"/>
      <c r="C201" s="281"/>
      <c r="D201" s="258" t="str">
        <f t="array" ref="D201">IFERROR(
  INDEX(R_CLIENTES!B:B,
         MATCH(C201, R_CLIENTES!A:A, 0)
  ),
  ""
)</f>
        <v/>
      </c>
      <c r="E201" s="258" t="str">
        <f t="array" ref="E201">IFERROR(
  INDEX(R_CLIENTES!G:G,
         MATCH(C201, R_CLIENTES!A:A, 0)
  ),
  ""
)</f>
        <v/>
      </c>
      <c r="F201" s="281"/>
      <c r="G201" s="274" t="str">
        <f t="array" ref="G201">IFERROR(
  INDEX(R_CLIENTES!H:H,
         MATCH(C201, R_CLIENTES!A:A, 0)
  ),
  ""
)</f>
        <v/>
      </c>
      <c r="H201" s="281"/>
      <c r="I201" s="281"/>
      <c r="J201" s="275"/>
      <c r="K201" s="258" t="str">
        <f t="shared" si="1"/>
        <v/>
      </c>
      <c r="L201" s="258" t="str">
        <f t="shared" si="2"/>
        <v/>
      </c>
      <c r="O201" s="281"/>
    </row>
    <row r="202" ht="22.5" customHeight="1">
      <c r="A202" s="274"/>
      <c r="C202" s="281"/>
      <c r="D202" s="258" t="str">
        <f t="array" ref="D202">IFERROR(
  INDEX(R_CLIENTES!B:B,
         MATCH(C202, R_CLIENTES!A:A, 0)
  ),
  ""
)</f>
        <v/>
      </c>
      <c r="E202" s="258" t="str">
        <f t="array" ref="E202">IFERROR(
  INDEX(R_CLIENTES!G:G,
         MATCH(C202, R_CLIENTES!A:A, 0)
  ),
  ""
)</f>
        <v/>
      </c>
      <c r="F202" s="281"/>
      <c r="G202" s="274" t="str">
        <f t="array" ref="G202">IFERROR(
  INDEX(R_CLIENTES!H:H,
         MATCH(C202, R_CLIENTES!A:A, 0)
  ),
  ""
)</f>
        <v/>
      </c>
      <c r="H202" s="281"/>
      <c r="I202" s="281"/>
      <c r="J202" s="275"/>
      <c r="K202" s="258" t="str">
        <f t="shared" si="1"/>
        <v/>
      </c>
      <c r="L202" s="258" t="str">
        <f t="shared" si="2"/>
        <v/>
      </c>
      <c r="O202" s="281"/>
    </row>
    <row r="203" ht="22.5" customHeight="1">
      <c r="A203" s="274"/>
      <c r="C203" s="281"/>
      <c r="D203" s="258" t="str">
        <f t="array" ref="D203">IFERROR(
  INDEX(R_CLIENTES!B:B,
         MATCH(C203, R_CLIENTES!A:A, 0)
  ),
  ""
)</f>
        <v/>
      </c>
      <c r="E203" s="258" t="str">
        <f t="array" ref="E203">IFERROR(
  INDEX(R_CLIENTES!G:G,
         MATCH(C203, R_CLIENTES!A:A, 0)
  ),
  ""
)</f>
        <v/>
      </c>
      <c r="F203" s="281"/>
      <c r="G203" s="274" t="str">
        <f t="array" ref="G203">IFERROR(
  INDEX(R_CLIENTES!H:H,
         MATCH(C203, R_CLIENTES!A:A, 0)
  ),
  ""
)</f>
        <v/>
      </c>
      <c r="H203" s="281"/>
      <c r="I203" s="281"/>
      <c r="J203" s="275"/>
      <c r="K203" s="258" t="str">
        <f t="shared" si="1"/>
        <v/>
      </c>
      <c r="L203" s="258" t="str">
        <f t="shared" si="2"/>
        <v/>
      </c>
      <c r="O203" s="281"/>
    </row>
    <row r="204" ht="22.5" customHeight="1">
      <c r="A204" s="274"/>
      <c r="C204" s="281"/>
      <c r="D204" s="258" t="str">
        <f t="array" ref="D204">IFERROR(
  INDEX(R_CLIENTES!B:B,
         MATCH(C204, R_CLIENTES!A:A, 0)
  ),
  ""
)</f>
        <v/>
      </c>
      <c r="E204" s="258" t="str">
        <f t="array" ref="E204">IFERROR(
  INDEX(R_CLIENTES!G:G,
         MATCH(C204, R_CLIENTES!A:A, 0)
  ),
  ""
)</f>
        <v/>
      </c>
      <c r="F204" s="281"/>
      <c r="G204" s="274" t="str">
        <f t="array" ref="G204">IFERROR(
  INDEX(R_CLIENTES!H:H,
         MATCH(C204, R_CLIENTES!A:A, 0)
  ),
  ""
)</f>
        <v/>
      </c>
      <c r="H204" s="281"/>
      <c r="I204" s="281"/>
      <c r="J204" s="275"/>
      <c r="K204" s="258" t="str">
        <f t="shared" si="1"/>
        <v/>
      </c>
      <c r="L204" s="258" t="str">
        <f t="shared" si="2"/>
        <v/>
      </c>
      <c r="O204" s="281"/>
    </row>
    <row r="205" ht="22.5" customHeight="1">
      <c r="A205" s="274"/>
      <c r="C205" s="281"/>
      <c r="D205" s="258" t="str">
        <f t="array" ref="D205">IFERROR(
  INDEX(R_CLIENTES!B:B,
         MATCH(C205, R_CLIENTES!A:A, 0)
  ),
  ""
)</f>
        <v/>
      </c>
      <c r="E205" s="258" t="str">
        <f t="array" ref="E205">IFERROR(
  INDEX(R_CLIENTES!G:G,
         MATCH(C205, R_CLIENTES!A:A, 0)
  ),
  ""
)</f>
        <v/>
      </c>
      <c r="F205" s="281"/>
      <c r="G205" s="274" t="str">
        <f t="array" ref="G205">IFERROR(
  INDEX(R_CLIENTES!H:H,
         MATCH(C205, R_CLIENTES!A:A, 0)
  ),
  ""
)</f>
        <v/>
      </c>
      <c r="H205" s="281"/>
      <c r="I205" s="281"/>
      <c r="J205" s="275"/>
      <c r="K205" s="258" t="str">
        <f t="shared" si="1"/>
        <v/>
      </c>
      <c r="L205" s="258" t="str">
        <f t="shared" si="2"/>
        <v/>
      </c>
      <c r="O205" s="281"/>
    </row>
    <row r="206" ht="22.5" customHeight="1">
      <c r="A206" s="274"/>
      <c r="C206" s="281"/>
      <c r="D206" s="258" t="str">
        <f t="array" ref="D206">IFERROR(
  INDEX(R_CLIENTES!B:B,
         MATCH(C206, R_CLIENTES!A:A, 0)
  ),
  ""
)</f>
        <v/>
      </c>
      <c r="E206" s="258" t="str">
        <f t="array" ref="E206">IFERROR(
  INDEX(R_CLIENTES!G:G,
         MATCH(C206, R_CLIENTES!A:A, 0)
  ),
  ""
)</f>
        <v/>
      </c>
      <c r="F206" s="281"/>
      <c r="G206" s="274" t="str">
        <f t="array" ref="G206">IFERROR(
  INDEX(R_CLIENTES!H:H,
         MATCH(C206, R_CLIENTES!A:A, 0)
  ),
  ""
)</f>
        <v/>
      </c>
      <c r="H206" s="281"/>
      <c r="I206" s="281"/>
      <c r="J206" s="275"/>
      <c r="K206" s="258" t="str">
        <f t="shared" si="1"/>
        <v/>
      </c>
      <c r="L206" s="258" t="str">
        <f t="shared" si="2"/>
        <v/>
      </c>
      <c r="O206" s="281"/>
    </row>
    <row r="207" ht="22.5" customHeight="1">
      <c r="A207" s="274"/>
      <c r="C207" s="281"/>
      <c r="D207" s="258" t="str">
        <f t="array" ref="D207">IFERROR(
  INDEX(R_CLIENTES!B:B,
         MATCH(C207, R_CLIENTES!A:A, 0)
  ),
  ""
)</f>
        <v/>
      </c>
      <c r="E207" s="258" t="str">
        <f t="array" ref="E207">IFERROR(
  INDEX(R_CLIENTES!G:G,
         MATCH(C207, R_CLIENTES!A:A, 0)
  ),
  ""
)</f>
        <v/>
      </c>
      <c r="F207" s="281"/>
      <c r="G207" s="274" t="str">
        <f t="array" ref="G207">IFERROR(
  INDEX(R_CLIENTES!H:H,
         MATCH(C207, R_CLIENTES!A:A, 0)
  ),
  ""
)</f>
        <v/>
      </c>
      <c r="H207" s="281"/>
      <c r="I207" s="281"/>
      <c r="J207" s="275"/>
      <c r="K207" s="258" t="str">
        <f t="shared" si="1"/>
        <v/>
      </c>
      <c r="L207" s="258" t="str">
        <f t="shared" si="2"/>
        <v/>
      </c>
      <c r="O207" s="281"/>
    </row>
    <row r="208" ht="22.5" customHeight="1">
      <c r="A208" s="274"/>
      <c r="C208" s="281"/>
      <c r="D208" s="258" t="str">
        <f t="array" ref="D208">IFERROR(
  INDEX(R_CLIENTES!B:B,
         MATCH(C208, R_CLIENTES!A:A, 0)
  ),
  ""
)</f>
        <v/>
      </c>
      <c r="E208" s="258" t="str">
        <f t="array" ref="E208">IFERROR(
  INDEX(R_CLIENTES!G:G,
         MATCH(C208, R_CLIENTES!A:A, 0)
  ),
  ""
)</f>
        <v/>
      </c>
      <c r="F208" s="281"/>
      <c r="G208" s="274" t="str">
        <f t="array" ref="G208">IFERROR(
  INDEX(R_CLIENTES!H:H,
         MATCH(C208, R_CLIENTES!A:A, 0)
  ),
  ""
)</f>
        <v/>
      </c>
      <c r="H208" s="281"/>
      <c r="I208" s="281"/>
      <c r="J208" s="275"/>
      <c r="K208" s="258" t="str">
        <f t="shared" si="1"/>
        <v/>
      </c>
      <c r="L208" s="258" t="str">
        <f t="shared" si="2"/>
        <v/>
      </c>
      <c r="O208" s="281"/>
    </row>
    <row r="209" ht="22.5" customHeight="1">
      <c r="A209" s="274"/>
      <c r="C209" s="281"/>
      <c r="D209" s="258" t="str">
        <f t="array" ref="D209">IFERROR(
  INDEX(R_CLIENTES!B:B,
         MATCH(C209, R_CLIENTES!A:A, 0)
  ),
  ""
)</f>
        <v/>
      </c>
      <c r="E209" s="258" t="str">
        <f t="array" ref="E209">IFERROR(
  INDEX(R_CLIENTES!G:G,
         MATCH(C209, R_CLIENTES!A:A, 0)
  ),
  ""
)</f>
        <v/>
      </c>
      <c r="F209" s="281"/>
      <c r="G209" s="274" t="str">
        <f t="array" ref="G209">IFERROR(
  INDEX(R_CLIENTES!H:H,
         MATCH(C209, R_CLIENTES!A:A, 0)
  ),
  ""
)</f>
        <v/>
      </c>
      <c r="H209" s="281"/>
      <c r="I209" s="281"/>
      <c r="J209" s="275"/>
      <c r="K209" s="258" t="str">
        <f t="shared" si="1"/>
        <v/>
      </c>
      <c r="L209" s="258" t="str">
        <f t="shared" si="2"/>
        <v/>
      </c>
      <c r="O209" s="281"/>
    </row>
    <row r="210" ht="22.5" customHeight="1">
      <c r="A210" s="274"/>
      <c r="C210" s="281"/>
      <c r="D210" s="258" t="str">
        <f t="array" ref="D210">IFERROR(
  INDEX(R_CLIENTES!B:B,
         MATCH(C210, R_CLIENTES!A:A, 0)
  ),
  ""
)</f>
        <v/>
      </c>
      <c r="E210" s="258" t="str">
        <f t="array" ref="E210">IFERROR(
  INDEX(R_CLIENTES!G:G,
         MATCH(C210, R_CLIENTES!A:A, 0)
  ),
  ""
)</f>
        <v/>
      </c>
      <c r="F210" s="281"/>
      <c r="G210" s="274" t="str">
        <f t="array" ref="G210">IFERROR(
  INDEX(R_CLIENTES!H:H,
         MATCH(C210, R_CLIENTES!A:A, 0)
  ),
  ""
)</f>
        <v/>
      </c>
      <c r="H210" s="281"/>
      <c r="I210" s="281"/>
      <c r="J210" s="275"/>
      <c r="K210" s="258" t="str">
        <f t="shared" si="1"/>
        <v/>
      </c>
      <c r="L210" s="258" t="str">
        <f t="shared" si="2"/>
        <v/>
      </c>
      <c r="O210" s="281"/>
    </row>
    <row r="211" ht="22.5" customHeight="1">
      <c r="A211" s="274"/>
      <c r="C211" s="281"/>
      <c r="D211" s="258" t="str">
        <f t="array" ref="D211">IFERROR(
  INDEX(R_CLIENTES!B:B,
         MATCH(C211, R_CLIENTES!A:A, 0)
  ),
  ""
)</f>
        <v/>
      </c>
      <c r="E211" s="258" t="str">
        <f t="array" ref="E211">IFERROR(
  INDEX(R_CLIENTES!G:G,
         MATCH(C211, R_CLIENTES!A:A, 0)
  ),
  ""
)</f>
        <v/>
      </c>
      <c r="F211" s="281"/>
      <c r="G211" s="274" t="str">
        <f t="array" ref="G211">IFERROR(
  INDEX(R_CLIENTES!H:H,
         MATCH(C211, R_CLIENTES!A:A, 0)
  ),
  ""
)</f>
        <v/>
      </c>
      <c r="H211" s="281"/>
      <c r="I211" s="281"/>
      <c r="J211" s="275"/>
      <c r="K211" s="258" t="str">
        <f t="shared" si="1"/>
        <v/>
      </c>
      <c r="L211" s="258" t="str">
        <f t="shared" si="2"/>
        <v/>
      </c>
      <c r="O211" s="281"/>
    </row>
    <row r="212" ht="22.5" customHeight="1">
      <c r="A212" s="274"/>
      <c r="C212" s="281"/>
      <c r="D212" s="258" t="str">
        <f t="array" ref="D212">IFERROR(
  INDEX(R_CLIENTES!B:B,
         MATCH(C212, R_CLIENTES!A:A, 0)
  ),
  ""
)</f>
        <v/>
      </c>
      <c r="E212" s="258" t="str">
        <f t="array" ref="E212">IFERROR(
  INDEX(R_CLIENTES!G:G,
         MATCH(C212, R_CLIENTES!A:A, 0)
  ),
  ""
)</f>
        <v/>
      </c>
      <c r="F212" s="281"/>
      <c r="G212" s="274" t="str">
        <f t="array" ref="G212">IFERROR(
  INDEX(R_CLIENTES!H:H,
         MATCH(C212, R_CLIENTES!A:A, 0)
  ),
  ""
)</f>
        <v/>
      </c>
      <c r="H212" s="281"/>
      <c r="I212" s="281"/>
      <c r="J212" s="275"/>
      <c r="K212" s="258" t="str">
        <f t="shared" si="1"/>
        <v/>
      </c>
      <c r="L212" s="258" t="str">
        <f t="shared" si="2"/>
        <v/>
      </c>
      <c r="O212" s="281"/>
    </row>
    <row r="213" ht="22.5" customHeight="1">
      <c r="A213" s="274"/>
      <c r="C213" s="281"/>
      <c r="D213" s="258" t="str">
        <f t="array" ref="D213">IFERROR(
  INDEX(R_CLIENTES!B:B,
         MATCH(C213, R_CLIENTES!A:A, 0)
  ),
  ""
)</f>
        <v/>
      </c>
      <c r="E213" s="258" t="str">
        <f t="array" ref="E213">IFERROR(
  INDEX(R_CLIENTES!G:G,
         MATCH(C213, R_CLIENTES!A:A, 0)
  ),
  ""
)</f>
        <v/>
      </c>
      <c r="F213" s="281"/>
      <c r="G213" s="274" t="str">
        <f t="array" ref="G213">IFERROR(
  INDEX(R_CLIENTES!H:H,
         MATCH(C213, R_CLIENTES!A:A, 0)
  ),
  ""
)</f>
        <v/>
      </c>
      <c r="H213" s="281"/>
      <c r="I213" s="281"/>
      <c r="J213" s="275"/>
      <c r="K213" s="258" t="str">
        <f t="shared" si="1"/>
        <v/>
      </c>
      <c r="L213" s="258" t="str">
        <f t="shared" si="2"/>
        <v/>
      </c>
      <c r="O213" s="281"/>
    </row>
    <row r="214" ht="22.5" customHeight="1">
      <c r="A214" s="274"/>
      <c r="C214" s="281"/>
      <c r="D214" s="258" t="str">
        <f t="array" ref="D214">IFERROR(
  INDEX(R_CLIENTES!B:B,
         MATCH(C214, R_CLIENTES!A:A, 0)
  ),
  ""
)</f>
        <v/>
      </c>
      <c r="E214" s="258" t="str">
        <f t="array" ref="E214">IFERROR(
  INDEX(R_CLIENTES!G:G,
         MATCH(C214, R_CLIENTES!A:A, 0)
  ),
  ""
)</f>
        <v/>
      </c>
      <c r="F214" s="281"/>
      <c r="G214" s="274" t="str">
        <f t="array" ref="G214">IFERROR(
  INDEX(R_CLIENTES!H:H,
         MATCH(C214, R_CLIENTES!A:A, 0)
  ),
  ""
)</f>
        <v/>
      </c>
      <c r="H214" s="281"/>
      <c r="I214" s="281"/>
      <c r="J214" s="275"/>
      <c r="K214" s="258" t="str">
        <f t="shared" si="1"/>
        <v/>
      </c>
      <c r="L214" s="258" t="str">
        <f t="shared" si="2"/>
        <v/>
      </c>
      <c r="O214" s="281"/>
    </row>
    <row r="215" ht="22.5" customHeight="1">
      <c r="A215" s="274"/>
      <c r="C215" s="281"/>
      <c r="D215" s="258" t="str">
        <f t="array" ref="D215">IFERROR(
  INDEX(R_CLIENTES!B:B,
         MATCH(C215, R_CLIENTES!A:A, 0)
  ),
  ""
)</f>
        <v/>
      </c>
      <c r="E215" s="258" t="str">
        <f t="array" ref="E215">IFERROR(
  INDEX(R_CLIENTES!G:G,
         MATCH(C215, R_CLIENTES!A:A, 0)
  ),
  ""
)</f>
        <v/>
      </c>
      <c r="F215" s="281"/>
      <c r="G215" s="274" t="str">
        <f t="array" ref="G215">IFERROR(
  INDEX(R_CLIENTES!H:H,
         MATCH(C215, R_CLIENTES!A:A, 0)
  ),
  ""
)</f>
        <v/>
      </c>
      <c r="H215" s="281"/>
      <c r="I215" s="281"/>
      <c r="J215" s="275"/>
      <c r="K215" s="258" t="str">
        <f t="shared" si="1"/>
        <v/>
      </c>
      <c r="L215" s="258" t="str">
        <f t="shared" si="2"/>
        <v/>
      </c>
      <c r="O215" s="281"/>
    </row>
    <row r="216" ht="22.5" customHeight="1">
      <c r="A216" s="274"/>
      <c r="C216" s="281"/>
      <c r="D216" s="258" t="str">
        <f t="array" ref="D216">IFERROR(
  INDEX(R_CLIENTES!B:B,
         MATCH(C216, R_CLIENTES!A:A, 0)
  ),
  ""
)</f>
        <v/>
      </c>
      <c r="E216" s="258" t="str">
        <f t="array" ref="E216">IFERROR(
  INDEX(R_CLIENTES!G:G,
         MATCH(C216, R_CLIENTES!A:A, 0)
  ),
  ""
)</f>
        <v/>
      </c>
      <c r="F216" s="281"/>
      <c r="G216" s="274" t="str">
        <f t="array" ref="G216">IFERROR(
  INDEX(R_CLIENTES!H:H,
         MATCH(C216, R_CLIENTES!A:A, 0)
  ),
  ""
)</f>
        <v/>
      </c>
      <c r="H216" s="281"/>
      <c r="I216" s="281"/>
      <c r="J216" s="275"/>
      <c r="K216" s="258" t="str">
        <f t="shared" si="1"/>
        <v/>
      </c>
      <c r="L216" s="258" t="str">
        <f t="shared" si="2"/>
        <v/>
      </c>
      <c r="O216" s="281"/>
    </row>
    <row r="217" ht="22.5" customHeight="1">
      <c r="A217" s="274"/>
      <c r="C217" s="281"/>
      <c r="D217" s="258" t="str">
        <f t="array" ref="D217">IFERROR(
  INDEX(R_CLIENTES!B:B,
         MATCH(C217, R_CLIENTES!A:A, 0)
  ),
  ""
)</f>
        <v/>
      </c>
      <c r="E217" s="258" t="str">
        <f t="array" ref="E217">IFERROR(
  INDEX(R_CLIENTES!G:G,
         MATCH(C217, R_CLIENTES!A:A, 0)
  ),
  ""
)</f>
        <v/>
      </c>
      <c r="F217" s="281"/>
      <c r="G217" s="274" t="str">
        <f t="array" ref="G217">IFERROR(
  INDEX(R_CLIENTES!H:H,
         MATCH(C217, R_CLIENTES!A:A, 0)
  ),
  ""
)</f>
        <v/>
      </c>
      <c r="H217" s="281"/>
      <c r="I217" s="281"/>
      <c r="J217" s="275"/>
      <c r="K217" s="258" t="str">
        <f t="shared" si="1"/>
        <v/>
      </c>
      <c r="L217" s="258" t="str">
        <f t="shared" si="2"/>
        <v/>
      </c>
      <c r="O217" s="281"/>
    </row>
    <row r="218" ht="22.5" customHeight="1">
      <c r="A218" s="274"/>
      <c r="C218" s="281"/>
      <c r="D218" s="258" t="str">
        <f t="array" ref="D218">IFERROR(
  INDEX(R_CLIENTES!B:B,
         MATCH(C218, R_CLIENTES!A:A, 0)
  ),
  ""
)</f>
        <v/>
      </c>
      <c r="E218" s="258" t="str">
        <f t="array" ref="E218">IFERROR(
  INDEX(R_CLIENTES!G:G,
         MATCH(C218, R_CLIENTES!A:A, 0)
  ),
  ""
)</f>
        <v/>
      </c>
      <c r="F218" s="281"/>
      <c r="G218" s="274" t="str">
        <f t="array" ref="G218">IFERROR(
  INDEX(R_CLIENTES!H:H,
         MATCH(C218, R_CLIENTES!A:A, 0)
  ),
  ""
)</f>
        <v/>
      </c>
      <c r="H218" s="281"/>
      <c r="I218" s="281"/>
      <c r="J218" s="275"/>
      <c r="K218" s="258" t="str">
        <f t="shared" si="1"/>
        <v/>
      </c>
      <c r="L218" s="258" t="str">
        <f t="shared" si="2"/>
        <v/>
      </c>
      <c r="O218" s="281"/>
    </row>
    <row r="219" ht="22.5" customHeight="1">
      <c r="A219" s="274"/>
      <c r="C219" s="281"/>
      <c r="D219" s="258" t="str">
        <f t="array" ref="D219">IFERROR(
  INDEX(R_CLIENTES!B:B,
         MATCH(C219, R_CLIENTES!A:A, 0)
  ),
  ""
)</f>
        <v/>
      </c>
      <c r="E219" s="258" t="str">
        <f t="array" ref="E219">IFERROR(
  INDEX(R_CLIENTES!G:G,
         MATCH(C219, R_CLIENTES!A:A, 0)
  ),
  ""
)</f>
        <v/>
      </c>
      <c r="F219" s="281"/>
      <c r="G219" s="274" t="str">
        <f t="array" ref="G219">IFERROR(
  INDEX(R_CLIENTES!H:H,
         MATCH(C219, R_CLIENTES!A:A, 0)
  ),
  ""
)</f>
        <v/>
      </c>
      <c r="H219" s="281"/>
      <c r="I219" s="281"/>
      <c r="J219" s="275"/>
      <c r="K219" s="258" t="str">
        <f t="shared" si="1"/>
        <v/>
      </c>
      <c r="L219" s="258" t="str">
        <f t="shared" si="2"/>
        <v/>
      </c>
      <c r="O219" s="281"/>
    </row>
    <row r="220" ht="22.5" customHeight="1">
      <c r="A220" s="274"/>
      <c r="C220" s="281"/>
      <c r="D220" s="258" t="str">
        <f t="array" ref="D220">IFERROR(
  INDEX(R_CLIENTES!B:B,
         MATCH(C220, R_CLIENTES!A:A, 0)
  ),
  ""
)</f>
        <v/>
      </c>
      <c r="E220" s="258" t="str">
        <f t="array" ref="E220">IFERROR(
  INDEX(R_CLIENTES!G:G,
         MATCH(C220, R_CLIENTES!A:A, 0)
  ),
  ""
)</f>
        <v/>
      </c>
      <c r="F220" s="281"/>
      <c r="G220" s="274" t="str">
        <f t="array" ref="G220">IFERROR(
  INDEX(R_CLIENTES!H:H,
         MATCH(C220, R_CLIENTES!A:A, 0)
  ),
  ""
)</f>
        <v/>
      </c>
      <c r="H220" s="281"/>
      <c r="I220" s="281"/>
      <c r="J220" s="275"/>
      <c r="K220" s="258" t="str">
        <f t="shared" si="1"/>
        <v/>
      </c>
      <c r="L220" s="258" t="str">
        <f t="shared" si="2"/>
        <v/>
      </c>
      <c r="O220" s="281"/>
    </row>
    <row r="221" ht="22.5" customHeight="1">
      <c r="A221" s="274"/>
      <c r="C221" s="281"/>
      <c r="D221" s="258" t="str">
        <f t="array" ref="D221">IFERROR(
  INDEX(R_CLIENTES!B:B,
         MATCH(C221, R_CLIENTES!A:A, 0)
  ),
  ""
)</f>
        <v/>
      </c>
      <c r="E221" s="258" t="str">
        <f t="array" ref="E221">IFERROR(
  INDEX(R_CLIENTES!G:G,
         MATCH(C221, R_CLIENTES!A:A, 0)
  ),
  ""
)</f>
        <v/>
      </c>
      <c r="F221" s="281"/>
      <c r="G221" s="274" t="str">
        <f t="array" ref="G221">IFERROR(
  INDEX(R_CLIENTES!H:H,
         MATCH(C221, R_CLIENTES!A:A, 0)
  ),
  ""
)</f>
        <v/>
      </c>
      <c r="H221" s="281"/>
      <c r="I221" s="281"/>
      <c r="J221" s="275"/>
      <c r="K221" s="258" t="str">
        <f t="shared" si="1"/>
        <v/>
      </c>
      <c r="L221" s="258" t="str">
        <f t="shared" si="2"/>
        <v/>
      </c>
      <c r="O221" s="281"/>
    </row>
    <row r="222" ht="22.5" customHeight="1">
      <c r="A222" s="274"/>
      <c r="C222" s="281"/>
      <c r="D222" s="258" t="str">
        <f t="array" ref="D222">IFERROR(
  INDEX(R_CLIENTES!B:B,
         MATCH(C222, R_CLIENTES!A:A, 0)
  ),
  ""
)</f>
        <v/>
      </c>
      <c r="E222" s="258" t="str">
        <f t="array" ref="E222">IFERROR(
  INDEX(R_CLIENTES!G:G,
         MATCH(C222, R_CLIENTES!A:A, 0)
  ),
  ""
)</f>
        <v/>
      </c>
      <c r="F222" s="281"/>
      <c r="G222" s="274" t="str">
        <f t="array" ref="G222">IFERROR(
  INDEX(R_CLIENTES!H:H,
         MATCH(C222, R_CLIENTES!A:A, 0)
  ),
  ""
)</f>
        <v/>
      </c>
      <c r="H222" s="281"/>
      <c r="I222" s="281"/>
      <c r="J222" s="275"/>
      <c r="K222" s="258" t="str">
        <f t="shared" si="1"/>
        <v/>
      </c>
      <c r="L222" s="258" t="str">
        <f t="shared" si="2"/>
        <v/>
      </c>
      <c r="O222" s="281"/>
    </row>
    <row r="223" ht="22.5" customHeight="1">
      <c r="A223" s="274"/>
      <c r="C223" s="281"/>
      <c r="D223" s="258" t="str">
        <f t="array" ref="D223">IFERROR(
  INDEX(R_CLIENTES!B:B,
         MATCH(C223, R_CLIENTES!A:A, 0)
  ),
  ""
)</f>
        <v/>
      </c>
      <c r="E223" s="258" t="str">
        <f t="array" ref="E223">IFERROR(
  INDEX(R_CLIENTES!G:G,
         MATCH(C223, R_CLIENTES!A:A, 0)
  ),
  ""
)</f>
        <v/>
      </c>
      <c r="F223" s="281"/>
      <c r="G223" s="274" t="str">
        <f t="array" ref="G223">IFERROR(
  INDEX(R_CLIENTES!H:H,
         MATCH(C223, R_CLIENTES!A:A, 0)
  ),
  ""
)</f>
        <v/>
      </c>
      <c r="H223" s="281"/>
      <c r="I223" s="281"/>
      <c r="J223" s="275"/>
      <c r="K223" s="258" t="str">
        <f t="shared" si="1"/>
        <v/>
      </c>
      <c r="L223" s="258" t="str">
        <f t="shared" si="2"/>
        <v/>
      </c>
      <c r="O223" s="281"/>
    </row>
    <row r="224" ht="22.5" customHeight="1">
      <c r="A224" s="274"/>
      <c r="C224" s="281"/>
      <c r="D224" s="258" t="str">
        <f t="array" ref="D224">IFERROR(
  INDEX(R_CLIENTES!B:B,
         MATCH(C224, R_CLIENTES!A:A, 0)
  ),
  ""
)</f>
        <v/>
      </c>
      <c r="E224" s="258" t="str">
        <f t="array" ref="E224">IFERROR(
  INDEX(R_CLIENTES!G:G,
         MATCH(C224, R_CLIENTES!A:A, 0)
  ),
  ""
)</f>
        <v/>
      </c>
      <c r="F224" s="281"/>
      <c r="G224" s="274" t="str">
        <f t="array" ref="G224">IFERROR(
  INDEX(R_CLIENTES!H:H,
         MATCH(C224, R_CLIENTES!A:A, 0)
  ),
  ""
)</f>
        <v/>
      </c>
      <c r="H224" s="281"/>
      <c r="I224" s="281"/>
      <c r="J224" s="275"/>
      <c r="K224" s="258" t="str">
        <f t="shared" si="1"/>
        <v/>
      </c>
      <c r="L224" s="258" t="str">
        <f t="shared" si="2"/>
        <v/>
      </c>
      <c r="O224" s="281"/>
    </row>
    <row r="225" ht="22.5" customHeight="1">
      <c r="A225" s="274"/>
      <c r="C225" s="281"/>
      <c r="D225" s="258" t="str">
        <f t="array" ref="D225">IFERROR(
  INDEX(R_CLIENTES!B:B,
         MATCH(C225, R_CLIENTES!A:A, 0)
  ),
  ""
)</f>
        <v/>
      </c>
      <c r="E225" s="258" t="str">
        <f t="array" ref="E225">IFERROR(
  INDEX(R_CLIENTES!G:G,
         MATCH(C225, R_CLIENTES!A:A, 0)
  ),
  ""
)</f>
        <v/>
      </c>
      <c r="F225" s="281"/>
      <c r="G225" s="274" t="str">
        <f t="array" ref="G225">IFERROR(
  INDEX(R_CLIENTES!H:H,
         MATCH(C225, R_CLIENTES!A:A, 0)
  ),
  ""
)</f>
        <v/>
      </c>
      <c r="H225" s="281"/>
      <c r="I225" s="281"/>
      <c r="J225" s="275"/>
      <c r="K225" s="258" t="str">
        <f t="shared" si="1"/>
        <v/>
      </c>
      <c r="L225" s="258" t="str">
        <f t="shared" si="2"/>
        <v/>
      </c>
      <c r="O225" s="281"/>
    </row>
    <row r="226" ht="22.5" customHeight="1">
      <c r="A226" s="274"/>
      <c r="C226" s="281"/>
      <c r="D226" s="258" t="str">
        <f t="array" ref="D226">IFERROR(
  INDEX(R_CLIENTES!B:B,
         MATCH(C226, R_CLIENTES!A:A, 0)
  ),
  ""
)</f>
        <v/>
      </c>
      <c r="E226" s="258" t="str">
        <f t="array" ref="E226">IFERROR(
  INDEX(R_CLIENTES!G:G,
         MATCH(C226, R_CLIENTES!A:A, 0)
  ),
  ""
)</f>
        <v/>
      </c>
      <c r="F226" s="281"/>
      <c r="G226" s="274" t="str">
        <f t="array" ref="G226">IFERROR(
  INDEX(R_CLIENTES!H:H,
         MATCH(C226, R_CLIENTES!A:A, 0)
  ),
  ""
)</f>
        <v/>
      </c>
      <c r="H226" s="281"/>
      <c r="I226" s="281"/>
      <c r="J226" s="275"/>
      <c r="K226" s="258" t="str">
        <f t="shared" si="1"/>
        <v/>
      </c>
      <c r="L226" s="258" t="str">
        <f t="shared" si="2"/>
        <v/>
      </c>
      <c r="O226" s="281"/>
    </row>
    <row r="227" ht="22.5" customHeight="1">
      <c r="A227" s="274"/>
      <c r="C227" s="281"/>
      <c r="D227" s="258" t="str">
        <f t="array" ref="D227">IFERROR(
  INDEX(R_CLIENTES!B:B,
         MATCH(C227, R_CLIENTES!A:A, 0)
  ),
  ""
)</f>
        <v/>
      </c>
      <c r="E227" s="258" t="str">
        <f t="array" ref="E227">IFERROR(
  INDEX(R_CLIENTES!G:G,
         MATCH(C227, R_CLIENTES!A:A, 0)
  ),
  ""
)</f>
        <v/>
      </c>
      <c r="F227" s="281"/>
      <c r="G227" s="274" t="str">
        <f t="array" ref="G227">IFERROR(
  INDEX(R_CLIENTES!H:H,
         MATCH(C227, R_CLIENTES!A:A, 0)
  ),
  ""
)</f>
        <v/>
      </c>
      <c r="H227" s="281"/>
      <c r="I227" s="281"/>
      <c r="J227" s="275"/>
      <c r="K227" s="258" t="str">
        <f t="shared" si="1"/>
        <v/>
      </c>
      <c r="L227" s="258" t="str">
        <f t="shared" si="2"/>
        <v/>
      </c>
      <c r="O227" s="281"/>
    </row>
    <row r="228" ht="22.5" customHeight="1">
      <c r="A228" s="274"/>
      <c r="C228" s="281"/>
      <c r="D228" s="258" t="str">
        <f t="array" ref="D228">IFERROR(
  INDEX(R_CLIENTES!B:B,
         MATCH(C228, R_CLIENTES!A:A, 0)
  ),
  ""
)</f>
        <v/>
      </c>
      <c r="E228" s="258" t="str">
        <f t="array" ref="E228">IFERROR(
  INDEX(R_CLIENTES!G:G,
         MATCH(C228, R_CLIENTES!A:A, 0)
  ),
  ""
)</f>
        <v/>
      </c>
      <c r="F228" s="281"/>
      <c r="G228" s="274" t="str">
        <f t="array" ref="G228">IFERROR(
  INDEX(R_CLIENTES!H:H,
         MATCH(C228, R_CLIENTES!A:A, 0)
  ),
  ""
)</f>
        <v/>
      </c>
      <c r="H228" s="281"/>
      <c r="I228" s="281"/>
      <c r="J228" s="275"/>
      <c r="K228" s="258" t="str">
        <f t="shared" si="1"/>
        <v/>
      </c>
      <c r="L228" s="258" t="str">
        <f t="shared" si="2"/>
        <v/>
      </c>
      <c r="O228" s="281"/>
    </row>
    <row r="229" ht="22.5" customHeight="1">
      <c r="A229" s="274"/>
      <c r="C229" s="281"/>
      <c r="D229" s="258" t="str">
        <f t="array" ref="D229">IFERROR(
  INDEX(R_CLIENTES!B:B,
         MATCH(C229, R_CLIENTES!A:A, 0)
  ),
  ""
)</f>
        <v/>
      </c>
      <c r="E229" s="258" t="str">
        <f t="array" ref="E229">IFERROR(
  INDEX(R_CLIENTES!G:G,
         MATCH(C229, R_CLIENTES!A:A, 0)
  ),
  ""
)</f>
        <v/>
      </c>
      <c r="F229" s="281"/>
      <c r="G229" s="274" t="str">
        <f t="array" ref="G229">IFERROR(
  INDEX(R_CLIENTES!H:H,
         MATCH(C229, R_CLIENTES!A:A, 0)
  ),
  ""
)</f>
        <v/>
      </c>
      <c r="H229" s="281"/>
      <c r="I229" s="281"/>
      <c r="J229" s="275"/>
      <c r="K229" s="258" t="str">
        <f t="shared" si="1"/>
        <v/>
      </c>
      <c r="L229" s="258" t="str">
        <f t="shared" si="2"/>
        <v/>
      </c>
      <c r="O229" s="281"/>
    </row>
    <row r="230" ht="22.5" customHeight="1">
      <c r="A230" s="274"/>
      <c r="C230" s="281"/>
      <c r="D230" s="258" t="str">
        <f t="array" ref="D230">IFERROR(
  INDEX(R_CLIENTES!B:B,
         MATCH(C230, R_CLIENTES!A:A, 0)
  ),
  ""
)</f>
        <v/>
      </c>
      <c r="E230" s="258" t="str">
        <f t="array" ref="E230">IFERROR(
  INDEX(R_CLIENTES!G:G,
         MATCH(C230, R_CLIENTES!A:A, 0)
  ),
  ""
)</f>
        <v/>
      </c>
      <c r="F230" s="281"/>
      <c r="G230" s="274" t="str">
        <f t="array" ref="G230">IFERROR(
  INDEX(R_CLIENTES!H:H,
         MATCH(C230, R_CLIENTES!A:A, 0)
  ),
  ""
)</f>
        <v/>
      </c>
      <c r="H230" s="281"/>
      <c r="I230" s="281"/>
      <c r="J230" s="275"/>
      <c r="K230" s="258" t="str">
        <f t="shared" si="1"/>
        <v/>
      </c>
      <c r="L230" s="258" t="str">
        <f t="shared" si="2"/>
        <v/>
      </c>
      <c r="O230" s="281"/>
    </row>
    <row r="231" ht="22.5" customHeight="1">
      <c r="A231" s="274"/>
      <c r="C231" s="281"/>
      <c r="D231" s="258" t="str">
        <f t="array" ref="D231">IFERROR(
  INDEX(R_CLIENTES!B:B,
         MATCH(C231, R_CLIENTES!A:A, 0)
  ),
  ""
)</f>
        <v/>
      </c>
      <c r="E231" s="258" t="str">
        <f t="array" ref="E231">IFERROR(
  INDEX(R_CLIENTES!G:G,
         MATCH(C231, R_CLIENTES!A:A, 0)
  ),
  ""
)</f>
        <v/>
      </c>
      <c r="F231" s="281"/>
      <c r="G231" s="274" t="str">
        <f t="array" ref="G231">IFERROR(
  INDEX(R_CLIENTES!H:H,
         MATCH(C231, R_CLIENTES!A:A, 0)
  ),
  ""
)</f>
        <v/>
      </c>
      <c r="H231" s="281"/>
      <c r="I231" s="281"/>
      <c r="J231" s="275"/>
      <c r="K231" s="258" t="str">
        <f t="shared" si="1"/>
        <v/>
      </c>
      <c r="L231" s="258" t="str">
        <f t="shared" si="2"/>
        <v/>
      </c>
      <c r="O231" s="281"/>
    </row>
    <row r="232" ht="22.5" customHeight="1">
      <c r="A232" s="274"/>
      <c r="C232" s="281"/>
      <c r="D232" s="258" t="str">
        <f t="array" ref="D232">IFERROR(
  INDEX(R_CLIENTES!B:B,
         MATCH(C232, R_CLIENTES!A:A, 0)
  ),
  ""
)</f>
        <v/>
      </c>
      <c r="E232" s="258" t="str">
        <f t="array" ref="E232">IFERROR(
  INDEX(R_CLIENTES!G:G,
         MATCH(C232, R_CLIENTES!A:A, 0)
  ),
  ""
)</f>
        <v/>
      </c>
      <c r="F232" s="281"/>
      <c r="G232" s="274" t="str">
        <f t="array" ref="G232">IFERROR(
  INDEX(R_CLIENTES!H:H,
         MATCH(C232, R_CLIENTES!A:A, 0)
  ),
  ""
)</f>
        <v/>
      </c>
      <c r="H232" s="281"/>
      <c r="I232" s="281"/>
      <c r="J232" s="275"/>
      <c r="K232" s="258" t="str">
        <f t="shared" si="1"/>
        <v/>
      </c>
      <c r="L232" s="258" t="str">
        <f t="shared" si="2"/>
        <v/>
      </c>
      <c r="O232" s="281"/>
    </row>
    <row r="233" ht="22.5" customHeight="1">
      <c r="A233" s="274"/>
      <c r="C233" s="281"/>
      <c r="D233" s="258" t="str">
        <f t="array" ref="D233">IFERROR(
  INDEX(R_CLIENTES!B:B,
         MATCH(C233, R_CLIENTES!A:A, 0)
  ),
  ""
)</f>
        <v/>
      </c>
      <c r="E233" s="258" t="str">
        <f t="array" ref="E233">IFERROR(
  INDEX(R_CLIENTES!G:G,
         MATCH(C233, R_CLIENTES!A:A, 0)
  ),
  ""
)</f>
        <v/>
      </c>
      <c r="F233" s="281"/>
      <c r="G233" s="274" t="str">
        <f t="array" ref="G233">IFERROR(
  INDEX(R_CLIENTES!H:H,
         MATCH(C233, R_CLIENTES!A:A, 0)
  ),
  ""
)</f>
        <v/>
      </c>
      <c r="H233" s="281"/>
      <c r="I233" s="281"/>
      <c r="J233" s="275"/>
      <c r="K233" s="258" t="str">
        <f t="shared" si="1"/>
        <v/>
      </c>
      <c r="L233" s="258" t="str">
        <f t="shared" si="2"/>
        <v/>
      </c>
      <c r="O233" s="281"/>
    </row>
    <row r="234" ht="22.5" customHeight="1">
      <c r="A234" s="274"/>
      <c r="C234" s="281"/>
      <c r="D234" s="258" t="str">
        <f t="array" ref="D234">IFERROR(
  INDEX(R_CLIENTES!B:B,
         MATCH(C234, R_CLIENTES!A:A, 0)
  ),
  ""
)</f>
        <v/>
      </c>
      <c r="E234" s="258" t="str">
        <f t="array" ref="E234">IFERROR(
  INDEX(R_CLIENTES!G:G,
         MATCH(C234, R_CLIENTES!A:A, 0)
  ),
  ""
)</f>
        <v/>
      </c>
      <c r="F234" s="281"/>
      <c r="G234" s="274" t="str">
        <f t="array" ref="G234">IFERROR(
  INDEX(R_CLIENTES!H:H,
         MATCH(C234, R_CLIENTES!A:A, 0)
  ),
  ""
)</f>
        <v/>
      </c>
      <c r="H234" s="281"/>
      <c r="I234" s="281"/>
      <c r="J234" s="275"/>
      <c r="K234" s="258" t="str">
        <f t="shared" si="1"/>
        <v/>
      </c>
      <c r="L234" s="258" t="str">
        <f t="shared" si="2"/>
        <v/>
      </c>
      <c r="O234" s="281"/>
    </row>
    <row r="235" ht="22.5" customHeight="1">
      <c r="A235" s="274"/>
      <c r="C235" s="281"/>
      <c r="D235" s="258" t="str">
        <f t="array" ref="D235">IFERROR(
  INDEX(R_CLIENTES!B:B,
         MATCH(C235, R_CLIENTES!A:A, 0)
  ),
  ""
)</f>
        <v/>
      </c>
      <c r="E235" s="258" t="str">
        <f t="array" ref="E235">IFERROR(
  INDEX(R_CLIENTES!G:G,
         MATCH(C235, R_CLIENTES!A:A, 0)
  ),
  ""
)</f>
        <v/>
      </c>
      <c r="F235" s="281"/>
      <c r="G235" s="274" t="str">
        <f t="array" ref="G235">IFERROR(
  INDEX(R_CLIENTES!H:H,
         MATCH(C235, R_CLIENTES!A:A, 0)
  ),
  ""
)</f>
        <v/>
      </c>
      <c r="H235" s="281"/>
      <c r="I235" s="281"/>
      <c r="J235" s="275"/>
      <c r="K235" s="258" t="str">
        <f t="shared" si="1"/>
        <v/>
      </c>
      <c r="L235" s="258" t="str">
        <f t="shared" si="2"/>
        <v/>
      </c>
      <c r="O235" s="281"/>
    </row>
    <row r="236" ht="22.5" customHeight="1">
      <c r="A236" s="274"/>
      <c r="C236" s="281"/>
      <c r="D236" s="258" t="str">
        <f t="array" ref="D236">IFERROR(
  INDEX(R_CLIENTES!B:B,
         MATCH(C236, R_CLIENTES!A:A, 0)
  ),
  ""
)</f>
        <v/>
      </c>
      <c r="E236" s="258" t="str">
        <f t="array" ref="E236">IFERROR(
  INDEX(R_CLIENTES!G:G,
         MATCH(C236, R_CLIENTES!A:A, 0)
  ),
  ""
)</f>
        <v/>
      </c>
      <c r="F236" s="281"/>
      <c r="G236" s="274" t="str">
        <f t="array" ref="G236">IFERROR(
  INDEX(R_CLIENTES!H:H,
         MATCH(C236, R_CLIENTES!A:A, 0)
  ),
  ""
)</f>
        <v/>
      </c>
      <c r="H236" s="281"/>
      <c r="I236" s="281"/>
      <c r="J236" s="275"/>
      <c r="K236" s="258" t="str">
        <f t="shared" si="1"/>
        <v/>
      </c>
      <c r="L236" s="258" t="str">
        <f t="shared" si="2"/>
        <v/>
      </c>
      <c r="O236" s="281"/>
    </row>
    <row r="237" ht="22.5" customHeight="1">
      <c r="A237" s="274"/>
      <c r="C237" s="281"/>
      <c r="D237" s="258" t="str">
        <f t="array" ref="D237">IFERROR(
  INDEX(R_CLIENTES!B:B,
         MATCH(C237, R_CLIENTES!A:A, 0)
  ),
  ""
)</f>
        <v/>
      </c>
      <c r="E237" s="258" t="str">
        <f t="array" ref="E237">IFERROR(
  INDEX(R_CLIENTES!G:G,
         MATCH(C237, R_CLIENTES!A:A, 0)
  ),
  ""
)</f>
        <v/>
      </c>
      <c r="F237" s="281"/>
      <c r="G237" s="274" t="str">
        <f t="array" ref="G237">IFERROR(
  INDEX(R_CLIENTES!H:H,
         MATCH(C237, R_CLIENTES!A:A, 0)
  ),
  ""
)</f>
        <v/>
      </c>
      <c r="H237" s="281"/>
      <c r="I237" s="281"/>
      <c r="J237" s="275"/>
      <c r="K237" s="258" t="str">
        <f t="shared" si="1"/>
        <v/>
      </c>
      <c r="L237" s="258" t="str">
        <f t="shared" si="2"/>
        <v/>
      </c>
      <c r="O237" s="281"/>
    </row>
    <row r="238" ht="22.5" customHeight="1">
      <c r="A238" s="274"/>
      <c r="C238" s="281"/>
      <c r="D238" s="258" t="str">
        <f t="array" ref="D238">IFERROR(
  INDEX(R_CLIENTES!B:B,
         MATCH(C238, R_CLIENTES!A:A, 0)
  ),
  ""
)</f>
        <v/>
      </c>
      <c r="E238" s="258" t="str">
        <f t="array" ref="E238">IFERROR(
  INDEX(R_CLIENTES!G:G,
         MATCH(C238, R_CLIENTES!A:A, 0)
  ),
  ""
)</f>
        <v/>
      </c>
      <c r="F238" s="281"/>
      <c r="G238" s="274" t="str">
        <f t="array" ref="G238">IFERROR(
  INDEX(R_CLIENTES!H:H,
         MATCH(C238, R_CLIENTES!A:A, 0)
  ),
  ""
)</f>
        <v/>
      </c>
      <c r="H238" s="281"/>
      <c r="I238" s="281"/>
      <c r="J238" s="275"/>
      <c r="K238" s="258" t="str">
        <f t="shared" si="1"/>
        <v/>
      </c>
      <c r="L238" s="258" t="str">
        <f t="shared" si="2"/>
        <v/>
      </c>
      <c r="O238" s="281"/>
    </row>
    <row r="239" ht="22.5" customHeight="1">
      <c r="A239" s="274"/>
      <c r="C239" s="281"/>
      <c r="D239" s="258" t="str">
        <f t="array" ref="D239">IFERROR(
  INDEX(R_CLIENTES!B:B,
         MATCH(C239, R_CLIENTES!A:A, 0)
  ),
  ""
)</f>
        <v/>
      </c>
      <c r="E239" s="258" t="str">
        <f t="array" ref="E239">IFERROR(
  INDEX(R_CLIENTES!G:G,
         MATCH(C239, R_CLIENTES!A:A, 0)
  ),
  ""
)</f>
        <v/>
      </c>
      <c r="F239" s="281"/>
      <c r="G239" s="274" t="str">
        <f t="array" ref="G239">IFERROR(
  INDEX(R_CLIENTES!H:H,
         MATCH(C239, R_CLIENTES!A:A, 0)
  ),
  ""
)</f>
        <v/>
      </c>
      <c r="H239" s="281"/>
      <c r="I239" s="281"/>
      <c r="J239" s="275"/>
      <c r="K239" s="258" t="str">
        <f t="shared" si="1"/>
        <v/>
      </c>
      <c r="L239" s="258" t="str">
        <f t="shared" si="2"/>
        <v/>
      </c>
      <c r="O239" s="281"/>
    </row>
    <row r="240" ht="22.5" customHeight="1">
      <c r="A240" s="274"/>
      <c r="C240" s="281"/>
      <c r="D240" s="258" t="str">
        <f t="array" ref="D240">IFERROR(
  INDEX(R_CLIENTES!B:B,
         MATCH(C240, R_CLIENTES!A:A, 0)
  ),
  ""
)</f>
        <v/>
      </c>
      <c r="E240" s="258" t="str">
        <f t="array" ref="E240">IFERROR(
  INDEX(R_CLIENTES!G:G,
         MATCH(C240, R_CLIENTES!A:A, 0)
  ),
  ""
)</f>
        <v/>
      </c>
      <c r="F240" s="281"/>
      <c r="G240" s="274" t="str">
        <f t="array" ref="G240">IFERROR(
  INDEX(R_CLIENTES!H:H,
         MATCH(C240, R_CLIENTES!A:A, 0)
  ),
  ""
)</f>
        <v/>
      </c>
      <c r="H240" s="281"/>
      <c r="I240" s="281"/>
      <c r="J240" s="275"/>
      <c r="K240" s="258" t="str">
        <f t="shared" si="1"/>
        <v/>
      </c>
      <c r="L240" s="258" t="str">
        <f t="shared" si="2"/>
        <v/>
      </c>
      <c r="O240" s="281"/>
    </row>
    <row r="241" ht="22.5" customHeight="1">
      <c r="A241" s="274"/>
      <c r="C241" s="281"/>
      <c r="D241" s="258" t="str">
        <f t="array" ref="D241">IFERROR(
  INDEX(R_CLIENTES!B:B,
         MATCH(C241, R_CLIENTES!A:A, 0)
  ),
  ""
)</f>
        <v/>
      </c>
      <c r="E241" s="258" t="str">
        <f t="array" ref="E241">IFERROR(
  INDEX(R_CLIENTES!G:G,
         MATCH(C241, R_CLIENTES!A:A, 0)
  ),
  ""
)</f>
        <v/>
      </c>
      <c r="F241" s="281"/>
      <c r="G241" s="274" t="str">
        <f t="array" ref="G241">IFERROR(
  INDEX(R_CLIENTES!H:H,
         MATCH(C241, R_CLIENTES!A:A, 0)
  ),
  ""
)</f>
        <v/>
      </c>
      <c r="H241" s="281"/>
      <c r="I241" s="281"/>
      <c r="J241" s="275"/>
      <c r="K241" s="258" t="str">
        <f t="shared" si="1"/>
        <v/>
      </c>
      <c r="L241" s="258" t="str">
        <f t="shared" si="2"/>
        <v/>
      </c>
      <c r="O241" s="281"/>
    </row>
    <row r="242" ht="22.5" customHeight="1">
      <c r="A242" s="274"/>
      <c r="C242" s="281"/>
      <c r="D242" s="258" t="str">
        <f t="array" ref="D242">IFERROR(
  INDEX(R_CLIENTES!B:B,
         MATCH(C242, R_CLIENTES!A:A, 0)
  ),
  ""
)</f>
        <v/>
      </c>
      <c r="E242" s="258" t="str">
        <f t="array" ref="E242">IFERROR(
  INDEX(R_CLIENTES!G:G,
         MATCH(C242, R_CLIENTES!A:A, 0)
  ),
  ""
)</f>
        <v/>
      </c>
      <c r="F242" s="281"/>
      <c r="G242" s="274" t="str">
        <f t="array" ref="G242">IFERROR(
  INDEX(R_CLIENTES!H:H,
         MATCH(C242, R_CLIENTES!A:A, 0)
  ),
  ""
)</f>
        <v/>
      </c>
      <c r="H242" s="281"/>
      <c r="I242" s="281"/>
      <c r="J242" s="275"/>
      <c r="K242" s="258" t="str">
        <f t="shared" si="1"/>
        <v/>
      </c>
      <c r="L242" s="258" t="str">
        <f t="shared" si="2"/>
        <v/>
      </c>
      <c r="O242" s="281"/>
    </row>
    <row r="243" ht="22.5" customHeight="1">
      <c r="A243" s="274"/>
      <c r="C243" s="281"/>
      <c r="D243" s="258" t="str">
        <f t="array" ref="D243">IFERROR(
  INDEX(R_CLIENTES!B:B,
         MATCH(C243, R_CLIENTES!A:A, 0)
  ),
  ""
)</f>
        <v/>
      </c>
      <c r="E243" s="258" t="str">
        <f t="array" ref="E243">IFERROR(
  INDEX(R_CLIENTES!G:G,
         MATCH(C243, R_CLIENTES!A:A, 0)
  ),
  ""
)</f>
        <v/>
      </c>
      <c r="F243" s="281"/>
      <c r="G243" s="274" t="str">
        <f t="array" ref="G243">IFERROR(
  INDEX(R_CLIENTES!H:H,
         MATCH(C243, R_CLIENTES!A:A, 0)
  ),
  ""
)</f>
        <v/>
      </c>
      <c r="H243" s="281"/>
      <c r="I243" s="281"/>
      <c r="J243" s="275"/>
      <c r="K243" s="258" t="str">
        <f t="shared" si="1"/>
        <v/>
      </c>
      <c r="L243" s="258" t="str">
        <f t="shared" si="2"/>
        <v/>
      </c>
      <c r="O243" s="281"/>
    </row>
    <row r="244" ht="22.5" customHeight="1">
      <c r="A244" s="274"/>
      <c r="C244" s="281"/>
      <c r="D244" s="258" t="str">
        <f t="array" ref="D244">IFERROR(
  INDEX(R_CLIENTES!B:B,
         MATCH(C244, R_CLIENTES!A:A, 0)
  ),
  ""
)</f>
        <v/>
      </c>
      <c r="E244" s="258" t="str">
        <f t="array" ref="E244">IFERROR(
  INDEX(R_CLIENTES!G:G,
         MATCH(C244, R_CLIENTES!A:A, 0)
  ),
  ""
)</f>
        <v/>
      </c>
      <c r="F244" s="281"/>
      <c r="G244" s="274" t="str">
        <f t="array" ref="G244">IFERROR(
  INDEX(R_CLIENTES!H:H,
         MATCH(C244, R_CLIENTES!A:A, 0)
  ),
  ""
)</f>
        <v/>
      </c>
      <c r="H244" s="281"/>
      <c r="I244" s="281"/>
      <c r="J244" s="275"/>
      <c r="K244" s="258" t="str">
        <f t="shared" si="1"/>
        <v/>
      </c>
      <c r="L244" s="258" t="str">
        <f t="shared" si="2"/>
        <v/>
      </c>
      <c r="O244" s="281"/>
    </row>
    <row r="245" ht="22.5" customHeight="1">
      <c r="A245" s="274"/>
      <c r="C245" s="281"/>
      <c r="D245" s="258" t="str">
        <f t="array" ref="D245">IFERROR(
  INDEX(R_CLIENTES!B:B,
         MATCH(C245, R_CLIENTES!A:A, 0)
  ),
  ""
)</f>
        <v/>
      </c>
      <c r="E245" s="258" t="str">
        <f t="array" ref="E245">IFERROR(
  INDEX(R_CLIENTES!G:G,
         MATCH(C245, R_CLIENTES!A:A, 0)
  ),
  ""
)</f>
        <v/>
      </c>
      <c r="F245" s="281"/>
      <c r="G245" s="274" t="str">
        <f t="array" ref="G245">IFERROR(
  INDEX(R_CLIENTES!H:H,
         MATCH(C245, R_CLIENTES!A:A, 0)
  ),
  ""
)</f>
        <v/>
      </c>
      <c r="H245" s="281"/>
      <c r="I245" s="281"/>
      <c r="J245" s="275"/>
      <c r="K245" s="258" t="str">
        <f t="shared" si="1"/>
        <v/>
      </c>
      <c r="L245" s="258" t="str">
        <f t="shared" si="2"/>
        <v/>
      </c>
      <c r="O245" s="281"/>
    </row>
    <row r="246" ht="22.5" customHeight="1">
      <c r="A246" s="274"/>
      <c r="C246" s="281"/>
      <c r="D246" s="258" t="str">
        <f t="array" ref="D246">IFERROR(
  INDEX(R_CLIENTES!B:B,
         MATCH(C246, R_CLIENTES!A:A, 0)
  ),
  ""
)</f>
        <v/>
      </c>
      <c r="E246" s="258" t="str">
        <f t="array" ref="E246">IFERROR(
  INDEX(R_CLIENTES!G:G,
         MATCH(C246, R_CLIENTES!A:A, 0)
  ),
  ""
)</f>
        <v/>
      </c>
      <c r="F246" s="281"/>
      <c r="G246" s="274" t="str">
        <f t="array" ref="G246">IFERROR(
  INDEX(R_CLIENTES!H:H,
         MATCH(C246, R_CLIENTES!A:A, 0)
  ),
  ""
)</f>
        <v/>
      </c>
      <c r="H246" s="281"/>
      <c r="I246" s="281"/>
      <c r="J246" s="275"/>
      <c r="K246" s="258" t="str">
        <f t="shared" si="1"/>
        <v/>
      </c>
      <c r="L246" s="258" t="str">
        <f t="shared" si="2"/>
        <v/>
      </c>
      <c r="O246" s="281"/>
    </row>
    <row r="247" ht="22.5" customHeight="1">
      <c r="A247" s="274"/>
      <c r="C247" s="281"/>
      <c r="D247" s="258" t="str">
        <f t="array" ref="D247">IFERROR(
  INDEX(R_CLIENTES!B:B,
         MATCH(C247, R_CLIENTES!A:A, 0)
  ),
  ""
)</f>
        <v/>
      </c>
      <c r="E247" s="258" t="str">
        <f t="array" ref="E247">IFERROR(
  INDEX(R_CLIENTES!G:G,
         MATCH(C247, R_CLIENTES!A:A, 0)
  ),
  ""
)</f>
        <v/>
      </c>
      <c r="F247" s="281"/>
      <c r="G247" s="274" t="str">
        <f t="array" ref="G247">IFERROR(
  INDEX(R_CLIENTES!H:H,
         MATCH(C247, R_CLIENTES!A:A, 0)
  ),
  ""
)</f>
        <v/>
      </c>
      <c r="H247" s="281"/>
      <c r="I247" s="281"/>
      <c r="J247" s="275"/>
      <c r="K247" s="258" t="str">
        <f t="shared" si="1"/>
        <v/>
      </c>
      <c r="L247" s="258" t="str">
        <f t="shared" si="2"/>
        <v/>
      </c>
      <c r="O247" s="281"/>
    </row>
    <row r="248" ht="22.5" customHeight="1">
      <c r="A248" s="274"/>
      <c r="C248" s="281"/>
      <c r="D248" s="258" t="str">
        <f t="array" ref="D248">IFERROR(
  INDEX(R_CLIENTES!B:B,
         MATCH(C248, R_CLIENTES!A:A, 0)
  ),
  ""
)</f>
        <v/>
      </c>
      <c r="E248" s="258" t="str">
        <f t="array" ref="E248">IFERROR(
  INDEX(R_CLIENTES!G:G,
         MATCH(C248, R_CLIENTES!A:A, 0)
  ),
  ""
)</f>
        <v/>
      </c>
      <c r="F248" s="281"/>
      <c r="G248" s="274" t="str">
        <f t="array" ref="G248">IFERROR(
  INDEX(R_CLIENTES!H:H,
         MATCH(C248, R_CLIENTES!A:A, 0)
  ),
  ""
)</f>
        <v/>
      </c>
      <c r="H248" s="281"/>
      <c r="I248" s="281"/>
      <c r="J248" s="275"/>
      <c r="K248" s="258" t="str">
        <f t="shared" si="1"/>
        <v/>
      </c>
      <c r="L248" s="258" t="str">
        <f t="shared" si="2"/>
        <v/>
      </c>
      <c r="O248" s="281"/>
    </row>
    <row r="249" ht="22.5" customHeight="1">
      <c r="A249" s="274"/>
      <c r="C249" s="281"/>
      <c r="D249" s="258" t="str">
        <f t="array" ref="D249">IFERROR(
  INDEX(R_CLIENTES!B:B,
         MATCH(C249, R_CLIENTES!A:A, 0)
  ),
  ""
)</f>
        <v/>
      </c>
      <c r="E249" s="258" t="str">
        <f t="array" ref="E249">IFERROR(
  INDEX(R_CLIENTES!G:G,
         MATCH(C249, R_CLIENTES!A:A, 0)
  ),
  ""
)</f>
        <v/>
      </c>
      <c r="F249" s="281"/>
      <c r="G249" s="274" t="str">
        <f t="array" ref="G249">IFERROR(
  INDEX(R_CLIENTES!H:H,
         MATCH(C249, R_CLIENTES!A:A, 0)
  ),
  ""
)</f>
        <v/>
      </c>
      <c r="H249" s="281"/>
      <c r="I249" s="281"/>
      <c r="J249" s="275"/>
      <c r="K249" s="258" t="str">
        <f t="shared" si="1"/>
        <v/>
      </c>
      <c r="L249" s="258" t="str">
        <f t="shared" si="2"/>
        <v/>
      </c>
      <c r="O249" s="281"/>
    </row>
    <row r="250" ht="22.5" customHeight="1">
      <c r="A250" s="274"/>
      <c r="C250" s="281"/>
      <c r="D250" s="258" t="str">
        <f t="array" ref="D250">IFERROR(
  INDEX(R_CLIENTES!B:B,
         MATCH(C250, R_CLIENTES!A:A, 0)
  ),
  ""
)</f>
        <v/>
      </c>
      <c r="E250" s="258" t="str">
        <f t="array" ref="E250">IFERROR(
  INDEX(R_CLIENTES!G:G,
         MATCH(C250, R_CLIENTES!A:A, 0)
  ),
  ""
)</f>
        <v/>
      </c>
      <c r="F250" s="281"/>
      <c r="G250" s="274" t="str">
        <f t="array" ref="G250">IFERROR(
  INDEX(R_CLIENTES!H:H,
         MATCH(C250, R_CLIENTES!A:A, 0)
  ),
  ""
)</f>
        <v/>
      </c>
      <c r="H250" s="281"/>
      <c r="I250" s="281"/>
      <c r="J250" s="275"/>
      <c r="K250" s="258" t="str">
        <f t="shared" si="1"/>
        <v/>
      </c>
      <c r="L250" s="258" t="str">
        <f t="shared" si="2"/>
        <v/>
      </c>
      <c r="O250" s="281"/>
    </row>
    <row r="251" ht="22.5" customHeight="1">
      <c r="A251" s="274"/>
      <c r="C251" s="281"/>
      <c r="D251" s="258" t="str">
        <f t="array" ref="D251">IFERROR(
  INDEX(R_CLIENTES!B:B,
         MATCH(C251, R_CLIENTES!A:A, 0)
  ),
  ""
)</f>
        <v/>
      </c>
      <c r="E251" s="258" t="str">
        <f t="array" ref="E251">IFERROR(
  INDEX(R_CLIENTES!G:G,
         MATCH(C251, R_CLIENTES!A:A, 0)
  ),
  ""
)</f>
        <v/>
      </c>
      <c r="F251" s="281"/>
      <c r="G251" s="274" t="str">
        <f t="array" ref="G251">IFERROR(
  INDEX(R_CLIENTES!H:H,
         MATCH(C251, R_CLIENTES!A:A, 0)
  ),
  ""
)</f>
        <v/>
      </c>
      <c r="H251" s="281"/>
      <c r="I251" s="281"/>
      <c r="J251" s="275"/>
      <c r="K251" s="258" t="str">
        <f t="shared" si="1"/>
        <v/>
      </c>
      <c r="L251" s="258" t="str">
        <f t="shared" si="2"/>
        <v/>
      </c>
      <c r="O251" s="281"/>
    </row>
    <row r="252" ht="22.5" customHeight="1">
      <c r="A252" s="274"/>
      <c r="C252" s="281"/>
      <c r="D252" s="258" t="str">
        <f t="array" ref="D252">IFERROR(
  INDEX(R_CLIENTES!B:B,
         MATCH(C252, R_CLIENTES!A:A, 0)
  ),
  ""
)</f>
        <v/>
      </c>
      <c r="E252" s="258" t="str">
        <f t="array" ref="E252">IFERROR(
  INDEX(R_CLIENTES!G:G,
         MATCH(C252, R_CLIENTES!A:A, 0)
  ),
  ""
)</f>
        <v/>
      </c>
      <c r="F252" s="281"/>
      <c r="G252" s="274" t="str">
        <f t="array" ref="G252">IFERROR(
  INDEX(R_CLIENTES!H:H,
         MATCH(C252, R_CLIENTES!A:A, 0)
  ),
  ""
)</f>
        <v/>
      </c>
      <c r="H252" s="281"/>
      <c r="I252" s="281"/>
      <c r="J252" s="275"/>
      <c r="K252" s="258" t="str">
        <f t="shared" si="1"/>
        <v/>
      </c>
      <c r="L252" s="258" t="str">
        <f t="shared" si="2"/>
        <v/>
      </c>
      <c r="O252" s="281"/>
    </row>
    <row r="253" ht="22.5" customHeight="1">
      <c r="A253" s="274"/>
      <c r="C253" s="281"/>
      <c r="D253" s="258" t="str">
        <f t="array" ref="D253">IFERROR(
  INDEX(R_CLIENTES!B:B,
         MATCH(C253, R_CLIENTES!A:A, 0)
  ),
  ""
)</f>
        <v/>
      </c>
      <c r="E253" s="258" t="str">
        <f t="array" ref="E253">IFERROR(
  INDEX(R_CLIENTES!G:G,
         MATCH(C253, R_CLIENTES!A:A, 0)
  ),
  ""
)</f>
        <v/>
      </c>
      <c r="F253" s="281"/>
      <c r="G253" s="274" t="str">
        <f t="array" ref="G253">IFERROR(
  INDEX(R_CLIENTES!H:H,
         MATCH(C253, R_CLIENTES!A:A, 0)
  ),
  ""
)</f>
        <v/>
      </c>
      <c r="H253" s="281"/>
      <c r="I253" s="281"/>
      <c r="J253" s="275"/>
      <c r="K253" s="258" t="str">
        <f t="shared" si="1"/>
        <v/>
      </c>
      <c r="L253" s="258" t="str">
        <f t="shared" si="2"/>
        <v/>
      </c>
      <c r="O253" s="281"/>
    </row>
    <row r="254" ht="22.5" customHeight="1">
      <c r="A254" s="274"/>
      <c r="C254" s="281"/>
      <c r="D254" s="258" t="str">
        <f t="array" ref="D254">IFERROR(
  INDEX(R_CLIENTES!B:B,
         MATCH(C254, R_CLIENTES!A:A, 0)
  ),
  ""
)</f>
        <v/>
      </c>
      <c r="E254" s="258" t="str">
        <f t="array" ref="E254">IFERROR(
  INDEX(R_CLIENTES!G:G,
         MATCH(C254, R_CLIENTES!A:A, 0)
  ),
  ""
)</f>
        <v/>
      </c>
      <c r="F254" s="281"/>
      <c r="G254" s="274" t="str">
        <f t="array" ref="G254">IFERROR(
  INDEX(R_CLIENTES!H:H,
         MATCH(C254, R_CLIENTES!A:A, 0)
  ),
  ""
)</f>
        <v/>
      </c>
      <c r="H254" s="281"/>
      <c r="I254" s="281"/>
      <c r="J254" s="275"/>
      <c r="K254" s="258" t="str">
        <f t="shared" si="1"/>
        <v/>
      </c>
      <c r="L254" s="258" t="str">
        <f t="shared" si="2"/>
        <v/>
      </c>
      <c r="O254" s="281"/>
    </row>
    <row r="255" ht="22.5" customHeight="1">
      <c r="A255" s="274"/>
      <c r="C255" s="281"/>
      <c r="D255" s="258" t="str">
        <f t="array" ref="D255">IFERROR(
  INDEX(R_CLIENTES!B:B,
         MATCH(C255, R_CLIENTES!A:A, 0)
  ),
  ""
)</f>
        <v/>
      </c>
      <c r="E255" s="258" t="str">
        <f t="array" ref="E255">IFERROR(
  INDEX(R_CLIENTES!G:G,
         MATCH(C255, R_CLIENTES!A:A, 0)
  ),
  ""
)</f>
        <v/>
      </c>
      <c r="F255" s="281"/>
      <c r="G255" s="274" t="str">
        <f t="array" ref="G255">IFERROR(
  INDEX(R_CLIENTES!H:H,
         MATCH(C255, R_CLIENTES!A:A, 0)
  ),
  ""
)</f>
        <v/>
      </c>
      <c r="H255" s="281"/>
      <c r="I255" s="281"/>
      <c r="J255" s="275"/>
      <c r="K255" s="258" t="str">
        <f t="shared" si="1"/>
        <v/>
      </c>
      <c r="L255" s="258" t="str">
        <f t="shared" si="2"/>
        <v/>
      </c>
      <c r="O255" s="281"/>
    </row>
    <row r="256" ht="22.5" customHeight="1">
      <c r="A256" s="274"/>
      <c r="C256" s="281"/>
      <c r="D256" s="258" t="str">
        <f t="array" ref="D256">IFERROR(
  INDEX(R_CLIENTES!B:B,
         MATCH(C256, R_CLIENTES!A:A, 0)
  ),
  ""
)</f>
        <v/>
      </c>
      <c r="E256" s="258" t="str">
        <f t="array" ref="E256">IFERROR(
  INDEX(R_CLIENTES!G:G,
         MATCH(C256, R_CLIENTES!A:A, 0)
  ),
  ""
)</f>
        <v/>
      </c>
      <c r="F256" s="281"/>
      <c r="G256" s="274" t="str">
        <f t="array" ref="G256">IFERROR(
  INDEX(R_CLIENTES!H:H,
         MATCH(C256, R_CLIENTES!A:A, 0)
  ),
  ""
)</f>
        <v/>
      </c>
      <c r="H256" s="281"/>
      <c r="I256" s="281"/>
      <c r="J256" s="275"/>
      <c r="K256" s="258" t="str">
        <f t="shared" si="1"/>
        <v/>
      </c>
      <c r="L256" s="258" t="str">
        <f t="shared" si="2"/>
        <v/>
      </c>
      <c r="O256" s="281"/>
    </row>
    <row r="257" ht="22.5" customHeight="1">
      <c r="A257" s="274"/>
      <c r="C257" s="281"/>
      <c r="D257" s="258" t="str">
        <f t="array" ref="D257">IFERROR(
  INDEX(R_CLIENTES!B:B,
         MATCH(C257, R_CLIENTES!A:A, 0)
  ),
  ""
)</f>
        <v/>
      </c>
      <c r="E257" s="258" t="str">
        <f t="array" ref="E257">IFERROR(
  INDEX(R_CLIENTES!G:G,
         MATCH(C257, R_CLIENTES!A:A, 0)
  ),
  ""
)</f>
        <v/>
      </c>
      <c r="F257" s="281"/>
      <c r="G257" s="274" t="str">
        <f t="array" ref="G257">IFERROR(
  INDEX(R_CLIENTES!H:H,
         MATCH(C257, R_CLIENTES!A:A, 0)
  ),
  ""
)</f>
        <v/>
      </c>
      <c r="H257" s="281"/>
      <c r="I257" s="281"/>
      <c r="J257" s="275"/>
      <c r="K257" s="258" t="str">
        <f t="shared" si="1"/>
        <v/>
      </c>
      <c r="L257" s="258" t="str">
        <f t="shared" si="2"/>
        <v/>
      </c>
      <c r="O257" s="281"/>
    </row>
    <row r="258" ht="22.5" customHeight="1">
      <c r="A258" s="274"/>
      <c r="C258" s="281"/>
      <c r="D258" s="258" t="str">
        <f t="array" ref="D258">IFERROR(
  INDEX(R_CLIENTES!B:B,
         MATCH(C258, R_CLIENTES!A:A, 0)
  ),
  ""
)</f>
        <v/>
      </c>
      <c r="E258" s="258" t="str">
        <f t="array" ref="E258">IFERROR(
  INDEX(R_CLIENTES!G:G,
         MATCH(C258, R_CLIENTES!A:A, 0)
  ),
  ""
)</f>
        <v/>
      </c>
      <c r="F258" s="281"/>
      <c r="G258" s="274" t="str">
        <f t="array" ref="G258">IFERROR(
  INDEX(R_CLIENTES!H:H,
         MATCH(C258, R_CLIENTES!A:A, 0)
  ),
  ""
)</f>
        <v/>
      </c>
      <c r="H258" s="281"/>
      <c r="I258" s="281"/>
      <c r="J258" s="275"/>
      <c r="K258" s="258" t="str">
        <f t="shared" si="1"/>
        <v/>
      </c>
      <c r="L258" s="258" t="str">
        <f t="shared" si="2"/>
        <v/>
      </c>
      <c r="O258" s="281"/>
    </row>
    <row r="259" ht="22.5" customHeight="1">
      <c r="A259" s="274"/>
      <c r="C259" s="281"/>
      <c r="D259" s="258" t="str">
        <f t="array" ref="D259">IFERROR(
  INDEX(R_CLIENTES!B:B,
         MATCH(C259, R_CLIENTES!A:A, 0)
  ),
  ""
)</f>
        <v/>
      </c>
      <c r="E259" s="258" t="str">
        <f t="array" ref="E259">IFERROR(
  INDEX(R_CLIENTES!G:G,
         MATCH(C259, R_CLIENTES!A:A, 0)
  ),
  ""
)</f>
        <v/>
      </c>
      <c r="F259" s="281"/>
      <c r="G259" s="274" t="str">
        <f t="array" ref="G259">IFERROR(
  INDEX(R_CLIENTES!H:H,
         MATCH(C259, R_CLIENTES!A:A, 0)
  ),
  ""
)</f>
        <v/>
      </c>
      <c r="H259" s="281"/>
      <c r="I259" s="281"/>
      <c r="J259" s="275"/>
      <c r="K259" s="258" t="str">
        <f t="shared" si="1"/>
        <v/>
      </c>
      <c r="L259" s="258" t="str">
        <f t="shared" si="2"/>
        <v/>
      </c>
      <c r="O259" s="281"/>
    </row>
    <row r="260" ht="22.5" customHeight="1">
      <c r="A260" s="274"/>
      <c r="C260" s="281"/>
      <c r="D260" s="258" t="str">
        <f t="array" ref="D260">IFERROR(
  INDEX(R_CLIENTES!B:B,
         MATCH(C260, R_CLIENTES!A:A, 0)
  ),
  ""
)</f>
        <v/>
      </c>
      <c r="E260" s="258" t="str">
        <f t="array" ref="E260">IFERROR(
  INDEX(R_CLIENTES!G:G,
         MATCH(C260, R_CLIENTES!A:A, 0)
  ),
  ""
)</f>
        <v/>
      </c>
      <c r="F260" s="281"/>
      <c r="G260" s="274" t="str">
        <f t="array" ref="G260">IFERROR(
  INDEX(R_CLIENTES!H:H,
         MATCH(C260, R_CLIENTES!A:A, 0)
  ),
  ""
)</f>
        <v/>
      </c>
      <c r="H260" s="281"/>
      <c r="I260" s="281"/>
      <c r="J260" s="275"/>
      <c r="K260" s="258" t="str">
        <f t="shared" si="1"/>
        <v/>
      </c>
      <c r="L260" s="258" t="str">
        <f t="shared" si="2"/>
        <v/>
      </c>
      <c r="O260" s="281"/>
    </row>
    <row r="261" ht="22.5" customHeight="1">
      <c r="A261" s="274"/>
      <c r="C261" s="281"/>
      <c r="D261" s="258" t="str">
        <f t="array" ref="D261">IFERROR(
  INDEX(R_CLIENTES!B:B,
         MATCH(C261, R_CLIENTES!A:A, 0)
  ),
  ""
)</f>
        <v/>
      </c>
      <c r="E261" s="258" t="str">
        <f t="array" ref="E261">IFERROR(
  INDEX(R_CLIENTES!G:G,
         MATCH(C261, R_CLIENTES!A:A, 0)
  ),
  ""
)</f>
        <v/>
      </c>
      <c r="F261" s="281"/>
      <c r="G261" s="274" t="str">
        <f t="array" ref="G261">IFERROR(
  INDEX(R_CLIENTES!H:H,
         MATCH(C261, R_CLIENTES!A:A, 0)
  ),
  ""
)</f>
        <v/>
      </c>
      <c r="H261" s="281"/>
      <c r="I261" s="281"/>
      <c r="J261" s="275"/>
      <c r="K261" s="258" t="str">
        <f t="shared" si="1"/>
        <v/>
      </c>
      <c r="L261" s="258" t="str">
        <f t="shared" si="2"/>
        <v/>
      </c>
      <c r="O261" s="281"/>
    </row>
    <row r="262" ht="22.5" customHeight="1">
      <c r="A262" s="274"/>
      <c r="C262" s="281"/>
      <c r="D262" s="258" t="str">
        <f t="array" ref="D262">IFERROR(
  INDEX(R_CLIENTES!B:B,
         MATCH(C262, R_CLIENTES!A:A, 0)
  ),
  ""
)</f>
        <v/>
      </c>
      <c r="E262" s="258" t="str">
        <f t="array" ref="E262">IFERROR(
  INDEX(R_CLIENTES!G:G,
         MATCH(C262, R_CLIENTES!A:A, 0)
  ),
  ""
)</f>
        <v/>
      </c>
      <c r="F262" s="281"/>
      <c r="G262" s="274" t="str">
        <f t="array" ref="G262">IFERROR(
  INDEX(R_CLIENTES!H:H,
         MATCH(C262, R_CLIENTES!A:A, 0)
  ),
  ""
)</f>
        <v/>
      </c>
      <c r="H262" s="281"/>
      <c r="I262" s="281"/>
      <c r="J262" s="275"/>
      <c r="K262" s="258" t="str">
        <f t="shared" si="1"/>
        <v/>
      </c>
      <c r="L262" s="258" t="str">
        <f t="shared" si="2"/>
        <v/>
      </c>
      <c r="O262" s="281"/>
    </row>
    <row r="263" ht="22.5" customHeight="1">
      <c r="A263" s="274"/>
      <c r="C263" s="281"/>
      <c r="D263" s="258" t="str">
        <f t="array" ref="D263">IFERROR(
  INDEX(R_CLIENTES!B:B,
         MATCH(C263, R_CLIENTES!A:A, 0)
  ),
  ""
)</f>
        <v/>
      </c>
      <c r="E263" s="258" t="str">
        <f t="array" ref="E263">IFERROR(
  INDEX(R_CLIENTES!G:G,
         MATCH(C263, R_CLIENTES!A:A, 0)
  ),
  ""
)</f>
        <v/>
      </c>
      <c r="F263" s="281"/>
      <c r="G263" s="274" t="str">
        <f t="array" ref="G263">IFERROR(
  INDEX(R_CLIENTES!H:H,
         MATCH(C263, R_CLIENTES!A:A, 0)
  ),
  ""
)</f>
        <v/>
      </c>
      <c r="H263" s="281"/>
      <c r="I263" s="281"/>
      <c r="J263" s="275"/>
      <c r="K263" s="258" t="str">
        <f t="shared" si="1"/>
        <v/>
      </c>
      <c r="L263" s="258" t="str">
        <f t="shared" si="2"/>
        <v/>
      </c>
      <c r="O263" s="281"/>
    </row>
    <row r="264" ht="22.5" customHeight="1">
      <c r="A264" s="274"/>
      <c r="C264" s="281"/>
      <c r="D264" s="258" t="str">
        <f t="array" ref="D264">IFERROR(
  INDEX(R_CLIENTES!B:B,
         MATCH(C264, R_CLIENTES!A:A, 0)
  ),
  ""
)</f>
        <v/>
      </c>
      <c r="E264" s="258" t="str">
        <f t="array" ref="E264">IFERROR(
  INDEX(R_CLIENTES!G:G,
         MATCH(C264, R_CLIENTES!A:A, 0)
  ),
  ""
)</f>
        <v/>
      </c>
      <c r="F264" s="281"/>
      <c r="G264" s="274" t="str">
        <f t="array" ref="G264">IFERROR(
  INDEX(R_CLIENTES!H:H,
         MATCH(C264, R_CLIENTES!A:A, 0)
  ),
  ""
)</f>
        <v/>
      </c>
      <c r="H264" s="281"/>
      <c r="I264" s="281"/>
      <c r="J264" s="275"/>
      <c r="K264" s="258" t="str">
        <f t="shared" si="1"/>
        <v/>
      </c>
      <c r="L264" s="258" t="str">
        <f t="shared" si="2"/>
        <v/>
      </c>
      <c r="O264" s="281"/>
    </row>
    <row r="265" ht="22.5" customHeight="1">
      <c r="A265" s="274"/>
      <c r="C265" s="281"/>
      <c r="D265" s="258" t="str">
        <f t="array" ref="D265">IFERROR(
  INDEX(R_CLIENTES!B:B,
         MATCH(C265, R_CLIENTES!A:A, 0)
  ),
  ""
)</f>
        <v/>
      </c>
      <c r="E265" s="258" t="str">
        <f t="array" ref="E265">IFERROR(
  INDEX(R_CLIENTES!G:G,
         MATCH(C265, R_CLIENTES!A:A, 0)
  ),
  ""
)</f>
        <v/>
      </c>
      <c r="F265" s="281"/>
      <c r="G265" s="274" t="str">
        <f t="array" ref="G265">IFERROR(
  INDEX(R_CLIENTES!H:H,
         MATCH(C265, R_CLIENTES!A:A, 0)
  ),
  ""
)</f>
        <v/>
      </c>
      <c r="H265" s="281"/>
      <c r="I265" s="281"/>
      <c r="J265" s="275"/>
      <c r="K265" s="258" t="str">
        <f t="shared" si="1"/>
        <v/>
      </c>
      <c r="L265" s="258" t="str">
        <f t="shared" si="2"/>
        <v/>
      </c>
      <c r="O265" s="281"/>
    </row>
    <row r="266" ht="22.5" customHeight="1">
      <c r="A266" s="274"/>
      <c r="C266" s="281"/>
      <c r="D266" s="258" t="str">
        <f t="array" ref="D266">IFERROR(
  INDEX(R_CLIENTES!B:B,
         MATCH(C266, R_CLIENTES!A:A, 0)
  ),
  ""
)</f>
        <v/>
      </c>
      <c r="E266" s="258" t="str">
        <f t="array" ref="E266">IFERROR(
  INDEX(R_CLIENTES!G:G,
         MATCH(C266, R_CLIENTES!A:A, 0)
  ),
  ""
)</f>
        <v/>
      </c>
      <c r="F266" s="281"/>
      <c r="G266" s="274" t="str">
        <f t="array" ref="G266">IFERROR(
  INDEX(R_CLIENTES!H:H,
         MATCH(C266, R_CLIENTES!A:A, 0)
  ),
  ""
)</f>
        <v/>
      </c>
      <c r="H266" s="281"/>
      <c r="I266" s="281"/>
      <c r="J266" s="275"/>
      <c r="K266" s="258" t="str">
        <f t="shared" si="1"/>
        <v/>
      </c>
      <c r="L266" s="258" t="str">
        <f t="shared" si="2"/>
        <v/>
      </c>
      <c r="O266" s="281"/>
    </row>
    <row r="267" ht="22.5" customHeight="1">
      <c r="A267" s="274"/>
      <c r="C267" s="281"/>
      <c r="D267" s="258" t="str">
        <f t="array" ref="D267">IFERROR(
  INDEX(R_CLIENTES!B:B,
         MATCH(C267, R_CLIENTES!A:A, 0)
  ),
  ""
)</f>
        <v/>
      </c>
      <c r="E267" s="258" t="str">
        <f t="array" ref="E267">IFERROR(
  INDEX(R_CLIENTES!G:G,
         MATCH(C267, R_CLIENTES!A:A, 0)
  ),
  ""
)</f>
        <v/>
      </c>
      <c r="F267" s="281"/>
      <c r="G267" s="274" t="str">
        <f t="array" ref="G267">IFERROR(
  INDEX(R_CLIENTES!H:H,
         MATCH(C267, R_CLIENTES!A:A, 0)
  ),
  ""
)</f>
        <v/>
      </c>
      <c r="H267" s="281"/>
      <c r="I267" s="281"/>
      <c r="J267" s="275"/>
      <c r="K267" s="258" t="str">
        <f t="shared" si="1"/>
        <v/>
      </c>
      <c r="L267" s="258" t="str">
        <f t="shared" si="2"/>
        <v/>
      </c>
      <c r="O267" s="281"/>
    </row>
    <row r="268" ht="22.5" customHeight="1">
      <c r="A268" s="274"/>
      <c r="C268" s="281"/>
      <c r="D268" s="258" t="str">
        <f t="array" ref="D268">IFERROR(
  INDEX(R_CLIENTES!B:B,
         MATCH(C268, R_CLIENTES!A:A, 0)
  ),
  ""
)</f>
        <v/>
      </c>
      <c r="E268" s="258" t="str">
        <f t="array" ref="E268">IFERROR(
  INDEX(R_CLIENTES!G:G,
         MATCH(C268, R_CLIENTES!A:A, 0)
  ),
  ""
)</f>
        <v/>
      </c>
      <c r="F268" s="281"/>
      <c r="G268" s="274" t="str">
        <f t="array" ref="G268">IFERROR(
  INDEX(R_CLIENTES!H:H,
         MATCH(C268, R_CLIENTES!A:A, 0)
  ),
  ""
)</f>
        <v/>
      </c>
      <c r="H268" s="281"/>
      <c r="I268" s="281"/>
      <c r="J268" s="275"/>
      <c r="K268" s="258" t="str">
        <f t="shared" si="1"/>
        <v/>
      </c>
      <c r="L268" s="258" t="str">
        <f t="shared" si="2"/>
        <v/>
      </c>
      <c r="O268" s="281"/>
    </row>
    <row r="269" ht="22.5" customHeight="1">
      <c r="A269" s="274"/>
      <c r="C269" s="281"/>
      <c r="D269" s="258" t="str">
        <f t="array" ref="D269">IFERROR(
  INDEX(R_CLIENTES!B:B,
         MATCH(C269, R_CLIENTES!A:A, 0)
  ),
  ""
)</f>
        <v/>
      </c>
      <c r="E269" s="258" t="str">
        <f t="array" ref="E269">IFERROR(
  INDEX(R_CLIENTES!G:G,
         MATCH(C269, R_CLIENTES!A:A, 0)
  ),
  ""
)</f>
        <v/>
      </c>
      <c r="F269" s="281"/>
      <c r="G269" s="274" t="str">
        <f t="array" ref="G269">IFERROR(
  INDEX(R_CLIENTES!H:H,
         MATCH(C269, R_CLIENTES!A:A, 0)
  ),
  ""
)</f>
        <v/>
      </c>
      <c r="H269" s="281"/>
      <c r="I269" s="281"/>
      <c r="J269" s="275"/>
      <c r="K269" s="258" t="str">
        <f t="shared" si="1"/>
        <v/>
      </c>
      <c r="L269" s="258" t="str">
        <f t="shared" si="2"/>
        <v/>
      </c>
      <c r="O269" s="281"/>
    </row>
    <row r="270" ht="22.5" customHeight="1">
      <c r="A270" s="274"/>
      <c r="C270" s="281"/>
      <c r="D270" s="258" t="str">
        <f t="array" ref="D270">IFERROR(
  INDEX(R_CLIENTES!B:B,
         MATCH(C270, R_CLIENTES!A:A, 0)
  ),
  ""
)</f>
        <v/>
      </c>
      <c r="E270" s="258" t="str">
        <f t="array" ref="E270">IFERROR(
  INDEX(R_CLIENTES!G:G,
         MATCH(C270, R_CLIENTES!A:A, 0)
  ),
  ""
)</f>
        <v/>
      </c>
      <c r="F270" s="281"/>
      <c r="G270" s="274" t="str">
        <f t="array" ref="G270">IFERROR(
  INDEX(R_CLIENTES!H:H,
         MATCH(C270, R_CLIENTES!A:A, 0)
  ),
  ""
)</f>
        <v/>
      </c>
      <c r="H270" s="281"/>
      <c r="I270" s="281"/>
      <c r="J270" s="275"/>
      <c r="K270" s="258" t="str">
        <f t="shared" si="1"/>
        <v/>
      </c>
      <c r="L270" s="258" t="str">
        <f t="shared" si="2"/>
        <v/>
      </c>
      <c r="O270" s="281"/>
    </row>
    <row r="271" ht="22.5" customHeight="1">
      <c r="A271" s="274"/>
      <c r="C271" s="281"/>
      <c r="D271" s="258" t="str">
        <f t="array" ref="D271">IFERROR(
  INDEX(R_CLIENTES!B:B,
         MATCH(C271, R_CLIENTES!A:A, 0)
  ),
  ""
)</f>
        <v/>
      </c>
      <c r="E271" s="258" t="str">
        <f t="array" ref="E271">IFERROR(
  INDEX(R_CLIENTES!G:G,
         MATCH(C271, R_CLIENTES!A:A, 0)
  ),
  ""
)</f>
        <v/>
      </c>
      <c r="F271" s="281"/>
      <c r="G271" s="274" t="str">
        <f t="array" ref="G271">IFERROR(
  INDEX(R_CLIENTES!H:H,
         MATCH(C271, R_CLIENTES!A:A, 0)
  ),
  ""
)</f>
        <v/>
      </c>
      <c r="H271" s="281"/>
      <c r="I271" s="281"/>
      <c r="J271" s="275"/>
      <c r="K271" s="258" t="str">
        <f t="shared" si="1"/>
        <v/>
      </c>
      <c r="L271" s="258" t="str">
        <f t="shared" si="2"/>
        <v/>
      </c>
      <c r="O271" s="281"/>
    </row>
    <row r="272" ht="22.5" customHeight="1">
      <c r="A272" s="274"/>
      <c r="C272" s="281"/>
      <c r="D272" s="258" t="str">
        <f t="array" ref="D272">IFERROR(
  INDEX(R_CLIENTES!B:B,
         MATCH(C272, R_CLIENTES!A:A, 0)
  ),
  ""
)</f>
        <v/>
      </c>
      <c r="E272" s="258" t="str">
        <f t="array" ref="E272">IFERROR(
  INDEX(R_CLIENTES!G:G,
         MATCH(C272, R_CLIENTES!A:A, 0)
  ),
  ""
)</f>
        <v/>
      </c>
      <c r="F272" s="281"/>
      <c r="G272" s="274" t="str">
        <f t="array" ref="G272">IFERROR(
  INDEX(R_CLIENTES!H:H,
         MATCH(C272, R_CLIENTES!A:A, 0)
  ),
  ""
)</f>
        <v/>
      </c>
      <c r="H272" s="281"/>
      <c r="I272" s="281"/>
      <c r="J272" s="275"/>
      <c r="K272" s="258" t="str">
        <f t="shared" si="1"/>
        <v/>
      </c>
      <c r="L272" s="258" t="str">
        <f t="shared" si="2"/>
        <v/>
      </c>
      <c r="O272" s="281"/>
    </row>
    <row r="273" ht="22.5" customHeight="1">
      <c r="A273" s="274"/>
      <c r="C273" s="281"/>
      <c r="D273" s="258" t="str">
        <f t="array" ref="D273">IFERROR(
  INDEX(R_CLIENTES!B:B,
         MATCH(C273, R_CLIENTES!A:A, 0)
  ),
  ""
)</f>
        <v/>
      </c>
      <c r="E273" s="258" t="str">
        <f t="array" ref="E273">IFERROR(
  INDEX(R_CLIENTES!G:G,
         MATCH(C273, R_CLIENTES!A:A, 0)
  ),
  ""
)</f>
        <v/>
      </c>
      <c r="F273" s="281"/>
      <c r="G273" s="274" t="str">
        <f t="array" ref="G273">IFERROR(
  INDEX(R_CLIENTES!H:H,
         MATCH(C273, R_CLIENTES!A:A, 0)
  ),
  ""
)</f>
        <v/>
      </c>
      <c r="H273" s="281"/>
      <c r="I273" s="281"/>
      <c r="J273" s="275"/>
      <c r="K273" s="258" t="str">
        <f t="shared" si="1"/>
        <v/>
      </c>
      <c r="L273" s="258" t="str">
        <f t="shared" si="2"/>
        <v/>
      </c>
      <c r="O273" s="281"/>
    </row>
    <row r="274" ht="22.5" customHeight="1">
      <c r="A274" s="274"/>
      <c r="C274" s="281"/>
      <c r="D274" s="258" t="str">
        <f t="array" ref="D274">IFERROR(
  INDEX(R_CLIENTES!B:B,
         MATCH(C274, R_CLIENTES!A:A, 0)
  ),
  ""
)</f>
        <v/>
      </c>
      <c r="E274" s="258" t="str">
        <f t="array" ref="E274">IFERROR(
  INDEX(R_CLIENTES!G:G,
         MATCH(C274, R_CLIENTES!A:A, 0)
  ),
  ""
)</f>
        <v/>
      </c>
      <c r="F274" s="281"/>
      <c r="G274" s="274" t="str">
        <f t="array" ref="G274">IFERROR(
  INDEX(R_CLIENTES!H:H,
         MATCH(C274, R_CLIENTES!A:A, 0)
  ),
  ""
)</f>
        <v/>
      </c>
      <c r="H274" s="281"/>
      <c r="I274" s="281"/>
      <c r="J274" s="275"/>
      <c r="K274" s="258" t="str">
        <f t="shared" si="1"/>
        <v/>
      </c>
      <c r="L274" s="258" t="str">
        <f t="shared" si="2"/>
        <v/>
      </c>
      <c r="O274" s="281"/>
    </row>
    <row r="275" ht="22.5" customHeight="1">
      <c r="A275" s="274"/>
      <c r="C275" s="281"/>
      <c r="D275" s="258" t="str">
        <f t="array" ref="D275">IFERROR(
  INDEX(R_CLIENTES!B:B,
         MATCH(C275, R_CLIENTES!A:A, 0)
  ),
  ""
)</f>
        <v/>
      </c>
      <c r="E275" s="258" t="str">
        <f t="array" ref="E275">IFERROR(
  INDEX(R_CLIENTES!G:G,
         MATCH(C275, R_CLIENTES!A:A, 0)
  ),
  ""
)</f>
        <v/>
      </c>
      <c r="F275" s="281"/>
      <c r="G275" s="274" t="str">
        <f t="array" ref="G275">IFERROR(
  INDEX(R_CLIENTES!H:H,
         MATCH(C275, R_CLIENTES!A:A, 0)
  ),
  ""
)</f>
        <v/>
      </c>
      <c r="H275" s="281"/>
      <c r="I275" s="281"/>
      <c r="J275" s="275"/>
      <c r="K275" s="258" t="str">
        <f t="shared" si="1"/>
        <v/>
      </c>
      <c r="L275" s="258" t="str">
        <f t="shared" si="2"/>
        <v/>
      </c>
      <c r="O275" s="281"/>
    </row>
    <row r="276" ht="22.5" customHeight="1">
      <c r="A276" s="274"/>
      <c r="C276" s="281"/>
      <c r="D276" s="258" t="str">
        <f t="array" ref="D276">IFERROR(
  INDEX(R_CLIENTES!B:B,
         MATCH(C276, R_CLIENTES!A:A, 0)
  ),
  ""
)</f>
        <v/>
      </c>
      <c r="E276" s="258" t="str">
        <f t="array" ref="E276">IFERROR(
  INDEX(R_CLIENTES!G:G,
         MATCH(C276, R_CLIENTES!A:A, 0)
  ),
  ""
)</f>
        <v/>
      </c>
      <c r="F276" s="281"/>
      <c r="G276" s="274" t="str">
        <f t="array" ref="G276">IFERROR(
  INDEX(R_CLIENTES!H:H,
         MATCH(C276, R_CLIENTES!A:A, 0)
  ),
  ""
)</f>
        <v/>
      </c>
      <c r="H276" s="281"/>
      <c r="I276" s="281"/>
      <c r="J276" s="275"/>
      <c r="K276" s="258" t="str">
        <f t="shared" si="1"/>
        <v/>
      </c>
      <c r="L276" s="258" t="str">
        <f t="shared" si="2"/>
        <v/>
      </c>
      <c r="O276" s="281"/>
    </row>
    <row r="277" ht="22.5" customHeight="1">
      <c r="A277" s="274"/>
      <c r="C277" s="281"/>
      <c r="D277" s="258" t="str">
        <f t="array" ref="D277">IFERROR(
  INDEX(R_CLIENTES!B:B,
         MATCH(C277, R_CLIENTES!A:A, 0)
  ),
  ""
)</f>
        <v/>
      </c>
      <c r="E277" s="258" t="str">
        <f t="array" ref="E277">IFERROR(
  INDEX(R_CLIENTES!G:G,
         MATCH(C277, R_CLIENTES!A:A, 0)
  ),
  ""
)</f>
        <v/>
      </c>
      <c r="F277" s="281"/>
      <c r="G277" s="274" t="str">
        <f t="array" ref="G277">IFERROR(
  INDEX(R_CLIENTES!H:H,
         MATCH(C277, R_CLIENTES!A:A, 0)
  ),
  ""
)</f>
        <v/>
      </c>
      <c r="H277" s="281"/>
      <c r="I277" s="281"/>
      <c r="J277" s="275"/>
      <c r="K277" s="258" t="str">
        <f t="shared" si="1"/>
        <v/>
      </c>
      <c r="L277" s="258" t="str">
        <f t="shared" si="2"/>
        <v/>
      </c>
      <c r="O277" s="281"/>
    </row>
    <row r="278" ht="22.5" customHeight="1">
      <c r="A278" s="274"/>
      <c r="C278" s="281"/>
      <c r="D278" s="258" t="str">
        <f t="array" ref="D278">IFERROR(
  INDEX(R_CLIENTES!B:B,
         MATCH(C278, R_CLIENTES!A:A, 0)
  ),
  ""
)</f>
        <v/>
      </c>
      <c r="E278" s="258" t="str">
        <f t="array" ref="E278">IFERROR(
  INDEX(R_CLIENTES!G:G,
         MATCH(C278, R_CLIENTES!A:A, 0)
  ),
  ""
)</f>
        <v/>
      </c>
      <c r="F278" s="281"/>
      <c r="G278" s="274" t="str">
        <f t="array" ref="G278">IFERROR(
  INDEX(R_CLIENTES!H:H,
         MATCH(C278, R_CLIENTES!A:A, 0)
  ),
  ""
)</f>
        <v/>
      </c>
      <c r="H278" s="281"/>
      <c r="I278" s="281"/>
      <c r="J278" s="275"/>
      <c r="K278" s="258" t="str">
        <f t="shared" si="1"/>
        <v/>
      </c>
      <c r="L278" s="258" t="str">
        <f t="shared" si="2"/>
        <v/>
      </c>
      <c r="O278" s="281"/>
    </row>
    <row r="279" ht="22.5" customHeight="1">
      <c r="A279" s="274"/>
      <c r="C279" s="281"/>
      <c r="D279" s="258" t="str">
        <f t="array" ref="D279">IFERROR(
  INDEX(R_CLIENTES!B:B,
         MATCH(C279, R_CLIENTES!A:A, 0)
  ),
  ""
)</f>
        <v/>
      </c>
      <c r="E279" s="258" t="str">
        <f t="array" ref="E279">IFERROR(
  INDEX(R_CLIENTES!G:G,
         MATCH(C279, R_CLIENTES!A:A, 0)
  ),
  ""
)</f>
        <v/>
      </c>
      <c r="F279" s="281"/>
      <c r="G279" s="274" t="str">
        <f t="array" ref="G279">IFERROR(
  INDEX(R_CLIENTES!H:H,
         MATCH(C279, R_CLIENTES!A:A, 0)
  ),
  ""
)</f>
        <v/>
      </c>
      <c r="H279" s="281"/>
      <c r="I279" s="281"/>
      <c r="J279" s="275"/>
      <c r="K279" s="258" t="str">
        <f t="shared" si="1"/>
        <v/>
      </c>
      <c r="L279" s="258" t="str">
        <f t="shared" si="2"/>
        <v/>
      </c>
      <c r="O279" s="281"/>
    </row>
    <row r="280" ht="22.5" customHeight="1">
      <c r="A280" s="274"/>
      <c r="C280" s="281"/>
      <c r="D280" s="258" t="str">
        <f t="array" ref="D280">IFERROR(
  INDEX(R_CLIENTES!B:B,
         MATCH(C280, R_CLIENTES!A:A, 0)
  ),
  ""
)</f>
        <v/>
      </c>
      <c r="E280" s="258" t="str">
        <f t="array" ref="E280">IFERROR(
  INDEX(R_CLIENTES!G:G,
         MATCH(C280, R_CLIENTES!A:A, 0)
  ),
  ""
)</f>
        <v/>
      </c>
      <c r="F280" s="281"/>
      <c r="G280" s="274" t="str">
        <f t="array" ref="G280">IFERROR(
  INDEX(R_CLIENTES!H:H,
         MATCH(C280, R_CLIENTES!A:A, 0)
  ),
  ""
)</f>
        <v/>
      </c>
      <c r="H280" s="281"/>
      <c r="I280" s="281"/>
      <c r="J280" s="275"/>
      <c r="K280" s="258" t="str">
        <f t="shared" si="1"/>
        <v/>
      </c>
      <c r="L280" s="258" t="str">
        <f t="shared" si="2"/>
        <v/>
      </c>
      <c r="O280" s="281"/>
    </row>
    <row r="281" ht="22.5" customHeight="1">
      <c r="A281" s="274"/>
      <c r="C281" s="281"/>
      <c r="D281" s="258" t="str">
        <f t="array" ref="D281">IFERROR(
  INDEX(R_CLIENTES!B:B,
         MATCH(C281, R_CLIENTES!A:A, 0)
  ),
  ""
)</f>
        <v/>
      </c>
      <c r="E281" s="258" t="str">
        <f t="array" ref="E281">IFERROR(
  INDEX(R_CLIENTES!G:G,
         MATCH(C281, R_CLIENTES!A:A, 0)
  ),
  ""
)</f>
        <v/>
      </c>
      <c r="F281" s="281"/>
      <c r="G281" s="274" t="str">
        <f t="array" ref="G281">IFERROR(
  INDEX(R_CLIENTES!H:H,
         MATCH(C281, R_CLIENTES!A:A, 0)
  ),
  ""
)</f>
        <v/>
      </c>
      <c r="H281" s="281"/>
      <c r="I281" s="281"/>
      <c r="J281" s="275"/>
      <c r="K281" s="258" t="str">
        <f t="shared" si="1"/>
        <v/>
      </c>
      <c r="L281" s="258" t="str">
        <f t="shared" si="2"/>
        <v/>
      </c>
      <c r="O281" s="281"/>
    </row>
    <row r="282" ht="22.5" customHeight="1">
      <c r="A282" s="274"/>
      <c r="C282" s="281"/>
      <c r="D282" s="258" t="str">
        <f t="array" ref="D282">IFERROR(
  INDEX(R_CLIENTES!B:B,
         MATCH(C282, R_CLIENTES!A:A, 0)
  ),
  ""
)</f>
        <v/>
      </c>
      <c r="E282" s="258" t="str">
        <f t="array" ref="E282">IFERROR(
  INDEX(R_CLIENTES!G:G,
         MATCH(C282, R_CLIENTES!A:A, 0)
  ),
  ""
)</f>
        <v/>
      </c>
      <c r="F282" s="281"/>
      <c r="G282" s="274" t="str">
        <f t="array" ref="G282">IFERROR(
  INDEX(R_CLIENTES!H:H,
         MATCH(C282, R_CLIENTES!A:A, 0)
  ),
  ""
)</f>
        <v/>
      </c>
      <c r="H282" s="281"/>
      <c r="I282" s="281"/>
      <c r="J282" s="275"/>
      <c r="K282" s="258" t="str">
        <f t="shared" si="1"/>
        <v/>
      </c>
      <c r="L282" s="258" t="str">
        <f t="shared" si="2"/>
        <v/>
      </c>
      <c r="O282" s="281"/>
    </row>
    <row r="283" ht="22.5" customHeight="1">
      <c r="A283" s="274"/>
      <c r="C283" s="281"/>
      <c r="D283" s="258" t="str">
        <f t="array" ref="D283">IFERROR(
  INDEX(R_CLIENTES!B:B,
         MATCH(C283, R_CLIENTES!A:A, 0)
  ),
  ""
)</f>
        <v/>
      </c>
      <c r="E283" s="258" t="str">
        <f t="array" ref="E283">IFERROR(
  INDEX(R_CLIENTES!G:G,
         MATCH(C283, R_CLIENTES!A:A, 0)
  ),
  ""
)</f>
        <v/>
      </c>
      <c r="F283" s="281"/>
      <c r="G283" s="274" t="str">
        <f t="array" ref="G283">IFERROR(
  INDEX(R_CLIENTES!H:H,
         MATCH(C283, R_CLIENTES!A:A, 0)
  ),
  ""
)</f>
        <v/>
      </c>
      <c r="H283" s="281"/>
      <c r="I283" s="281"/>
      <c r="J283" s="275"/>
      <c r="K283" s="258" t="str">
        <f t="shared" si="1"/>
        <v/>
      </c>
      <c r="L283" s="258" t="str">
        <f t="shared" si="2"/>
        <v/>
      </c>
      <c r="O283" s="281"/>
    </row>
    <row r="284" ht="22.5" customHeight="1">
      <c r="A284" s="274"/>
      <c r="C284" s="281"/>
      <c r="D284" s="258" t="str">
        <f t="array" ref="D284">IFERROR(
  INDEX(R_CLIENTES!B:B,
         MATCH(C284, R_CLIENTES!A:A, 0)
  ),
  ""
)</f>
        <v/>
      </c>
      <c r="E284" s="258" t="str">
        <f t="array" ref="E284">IFERROR(
  INDEX(R_CLIENTES!G:G,
         MATCH(C284, R_CLIENTES!A:A, 0)
  ),
  ""
)</f>
        <v/>
      </c>
      <c r="F284" s="281"/>
      <c r="G284" s="274" t="str">
        <f t="array" ref="G284">IFERROR(
  INDEX(R_CLIENTES!H:H,
         MATCH(C284, R_CLIENTES!A:A, 0)
  ),
  ""
)</f>
        <v/>
      </c>
      <c r="H284" s="281"/>
      <c r="I284" s="281"/>
      <c r="J284" s="275"/>
      <c r="K284" s="258" t="str">
        <f t="shared" si="1"/>
        <v/>
      </c>
      <c r="L284" s="258" t="str">
        <f t="shared" si="2"/>
        <v/>
      </c>
      <c r="O284" s="281"/>
    </row>
    <row r="285" ht="22.5" customHeight="1">
      <c r="A285" s="274"/>
      <c r="C285" s="281"/>
      <c r="D285" s="258" t="str">
        <f t="array" ref="D285">IFERROR(
  INDEX(R_CLIENTES!B:B,
         MATCH(C285, R_CLIENTES!A:A, 0)
  ),
  ""
)</f>
        <v/>
      </c>
      <c r="E285" s="258" t="str">
        <f t="array" ref="E285">IFERROR(
  INDEX(R_CLIENTES!G:G,
         MATCH(C285, R_CLIENTES!A:A, 0)
  ),
  ""
)</f>
        <v/>
      </c>
      <c r="F285" s="281"/>
      <c r="G285" s="274" t="str">
        <f t="array" ref="G285">IFERROR(
  INDEX(R_CLIENTES!H:H,
         MATCH(C285, R_CLIENTES!A:A, 0)
  ),
  ""
)</f>
        <v/>
      </c>
      <c r="H285" s="281"/>
      <c r="I285" s="281"/>
      <c r="J285" s="275"/>
      <c r="K285" s="258" t="str">
        <f t="shared" si="1"/>
        <v/>
      </c>
      <c r="L285" s="258" t="str">
        <f t="shared" si="2"/>
        <v/>
      </c>
      <c r="O285" s="281"/>
    </row>
    <row r="286" ht="22.5" customHeight="1">
      <c r="A286" s="274"/>
      <c r="C286" s="281"/>
      <c r="D286" s="258" t="str">
        <f t="array" ref="D286">IFERROR(
  INDEX(R_CLIENTES!B:B,
         MATCH(C286, R_CLIENTES!A:A, 0)
  ),
  ""
)</f>
        <v/>
      </c>
      <c r="E286" s="258" t="str">
        <f t="array" ref="E286">IFERROR(
  INDEX(R_CLIENTES!G:G,
         MATCH(C286, R_CLIENTES!A:A, 0)
  ),
  ""
)</f>
        <v/>
      </c>
      <c r="F286" s="281"/>
      <c r="G286" s="274" t="str">
        <f t="array" ref="G286">IFERROR(
  INDEX(R_CLIENTES!H:H,
         MATCH(C286, R_CLIENTES!A:A, 0)
  ),
  ""
)</f>
        <v/>
      </c>
      <c r="H286" s="281"/>
      <c r="I286" s="281"/>
      <c r="J286" s="275"/>
      <c r="K286" s="258" t="str">
        <f t="shared" si="1"/>
        <v/>
      </c>
      <c r="L286" s="258" t="str">
        <f t="shared" si="2"/>
        <v/>
      </c>
      <c r="O286" s="281"/>
    </row>
    <row r="287" ht="22.5" customHeight="1">
      <c r="A287" s="274"/>
      <c r="C287" s="281"/>
      <c r="D287" s="258" t="str">
        <f t="array" ref="D287">IFERROR(
  INDEX(R_CLIENTES!B:B,
         MATCH(C287, R_CLIENTES!A:A, 0)
  ),
  ""
)</f>
        <v/>
      </c>
      <c r="E287" s="258" t="str">
        <f t="array" ref="E287">IFERROR(
  INDEX(R_CLIENTES!G:G,
         MATCH(C287, R_CLIENTES!A:A, 0)
  ),
  ""
)</f>
        <v/>
      </c>
      <c r="F287" s="281"/>
      <c r="G287" s="274" t="str">
        <f t="array" ref="G287">IFERROR(
  INDEX(R_CLIENTES!H:H,
         MATCH(C287, R_CLIENTES!A:A, 0)
  ),
  ""
)</f>
        <v/>
      </c>
      <c r="H287" s="281"/>
      <c r="I287" s="281"/>
      <c r="J287" s="275"/>
      <c r="K287" s="258" t="str">
        <f t="shared" si="1"/>
        <v/>
      </c>
      <c r="L287" s="258" t="str">
        <f t="shared" si="2"/>
        <v/>
      </c>
      <c r="O287" s="281"/>
    </row>
    <row r="288" ht="22.5" customHeight="1">
      <c r="A288" s="274"/>
      <c r="C288" s="281"/>
      <c r="D288" s="258" t="str">
        <f t="array" ref="D288">IFERROR(
  INDEX(R_CLIENTES!B:B,
         MATCH(C288, R_CLIENTES!A:A, 0)
  ),
  ""
)</f>
        <v/>
      </c>
      <c r="E288" s="258" t="str">
        <f t="array" ref="E288">IFERROR(
  INDEX(R_CLIENTES!G:G,
         MATCH(C288, R_CLIENTES!A:A, 0)
  ),
  ""
)</f>
        <v/>
      </c>
      <c r="F288" s="281"/>
      <c r="G288" s="274" t="str">
        <f t="array" ref="G288">IFERROR(
  INDEX(R_CLIENTES!H:H,
         MATCH(C288, R_CLIENTES!A:A, 0)
  ),
  ""
)</f>
        <v/>
      </c>
      <c r="H288" s="281"/>
      <c r="I288" s="281"/>
      <c r="J288" s="275"/>
      <c r="K288" s="258" t="str">
        <f t="shared" si="1"/>
        <v/>
      </c>
      <c r="L288" s="258" t="str">
        <f t="shared" si="2"/>
        <v/>
      </c>
      <c r="O288" s="281"/>
    </row>
    <row r="289" ht="22.5" customHeight="1">
      <c r="A289" s="274"/>
      <c r="C289" s="281"/>
      <c r="D289" s="258" t="str">
        <f t="array" ref="D289">IFERROR(
  INDEX(R_CLIENTES!B:B,
         MATCH(C289, R_CLIENTES!A:A, 0)
  ),
  ""
)</f>
        <v/>
      </c>
      <c r="E289" s="258" t="str">
        <f t="array" ref="E289">IFERROR(
  INDEX(R_CLIENTES!G:G,
         MATCH(C289, R_CLIENTES!A:A, 0)
  ),
  ""
)</f>
        <v/>
      </c>
      <c r="F289" s="281"/>
      <c r="G289" s="274" t="str">
        <f t="array" ref="G289">IFERROR(
  INDEX(R_CLIENTES!H:H,
         MATCH(C289, R_CLIENTES!A:A, 0)
  ),
  ""
)</f>
        <v/>
      </c>
      <c r="H289" s="281"/>
      <c r="I289" s="281"/>
      <c r="J289" s="275"/>
      <c r="K289" s="258" t="str">
        <f t="shared" si="1"/>
        <v/>
      </c>
      <c r="L289" s="258" t="str">
        <f t="shared" si="2"/>
        <v/>
      </c>
      <c r="O289" s="281"/>
    </row>
    <row r="290" ht="22.5" customHeight="1">
      <c r="A290" s="274"/>
      <c r="C290" s="281"/>
      <c r="D290" s="258" t="str">
        <f t="array" ref="D290">IFERROR(
  INDEX(R_CLIENTES!B:B,
         MATCH(C290, R_CLIENTES!A:A, 0)
  ),
  ""
)</f>
        <v/>
      </c>
      <c r="E290" s="258" t="str">
        <f t="array" ref="E290">IFERROR(
  INDEX(R_CLIENTES!G:G,
         MATCH(C290, R_CLIENTES!A:A, 0)
  ),
  ""
)</f>
        <v/>
      </c>
      <c r="F290" s="281"/>
      <c r="G290" s="274" t="str">
        <f t="array" ref="G290">IFERROR(
  INDEX(R_CLIENTES!H:H,
         MATCH(C290, R_CLIENTES!A:A, 0)
  ),
  ""
)</f>
        <v/>
      </c>
      <c r="H290" s="281"/>
      <c r="I290" s="281"/>
      <c r="J290" s="275"/>
      <c r="K290" s="258" t="str">
        <f t="shared" si="1"/>
        <v/>
      </c>
      <c r="L290" s="258" t="str">
        <f t="shared" si="2"/>
        <v/>
      </c>
      <c r="O290" s="281"/>
    </row>
    <row r="291" ht="22.5" customHeight="1">
      <c r="A291" s="274"/>
      <c r="C291" s="281"/>
      <c r="D291" s="258" t="str">
        <f t="array" ref="D291">IFERROR(
  INDEX(R_CLIENTES!B:B,
         MATCH(C291, R_CLIENTES!A:A, 0)
  ),
  ""
)</f>
        <v/>
      </c>
      <c r="E291" s="258" t="str">
        <f t="array" ref="E291">IFERROR(
  INDEX(R_CLIENTES!G:G,
         MATCH(C291, R_CLIENTES!A:A, 0)
  ),
  ""
)</f>
        <v/>
      </c>
      <c r="F291" s="281"/>
      <c r="G291" s="274" t="str">
        <f t="array" ref="G291">IFERROR(
  INDEX(R_CLIENTES!H:H,
         MATCH(C291, R_CLIENTES!A:A, 0)
  ),
  ""
)</f>
        <v/>
      </c>
      <c r="H291" s="281"/>
      <c r="I291" s="281"/>
      <c r="J291" s="275"/>
      <c r="K291" s="258" t="str">
        <f t="shared" si="1"/>
        <v/>
      </c>
      <c r="L291" s="258" t="str">
        <f t="shared" si="2"/>
        <v/>
      </c>
      <c r="O291" s="281"/>
    </row>
    <row r="292" ht="22.5" customHeight="1">
      <c r="A292" s="274"/>
      <c r="C292" s="281"/>
      <c r="D292" s="258" t="str">
        <f t="array" ref="D292">IFERROR(
  INDEX(R_CLIENTES!B:B,
         MATCH(C292, R_CLIENTES!A:A, 0)
  ),
  ""
)</f>
        <v/>
      </c>
      <c r="E292" s="258" t="str">
        <f t="array" ref="E292">IFERROR(
  INDEX(R_CLIENTES!G:G,
         MATCH(C292, R_CLIENTES!A:A, 0)
  ),
  ""
)</f>
        <v/>
      </c>
      <c r="F292" s="281"/>
      <c r="G292" s="274" t="str">
        <f t="array" ref="G292">IFERROR(
  INDEX(R_CLIENTES!H:H,
         MATCH(C292, R_CLIENTES!A:A, 0)
  ),
  ""
)</f>
        <v/>
      </c>
      <c r="H292" s="281"/>
      <c r="I292" s="281"/>
      <c r="J292" s="275"/>
      <c r="K292" s="258" t="str">
        <f t="shared" si="1"/>
        <v/>
      </c>
      <c r="L292" s="258" t="str">
        <f t="shared" si="2"/>
        <v/>
      </c>
      <c r="O292" s="281"/>
    </row>
    <row r="293" ht="22.5" customHeight="1">
      <c r="A293" s="274"/>
      <c r="C293" s="281"/>
      <c r="D293" s="258" t="str">
        <f t="array" ref="D293">IFERROR(
  INDEX(R_CLIENTES!B:B,
         MATCH(C293, R_CLIENTES!A:A, 0)
  ),
  ""
)</f>
        <v/>
      </c>
      <c r="E293" s="258" t="str">
        <f t="array" ref="E293">IFERROR(
  INDEX(R_CLIENTES!G:G,
         MATCH(C293, R_CLIENTES!A:A, 0)
  ),
  ""
)</f>
        <v/>
      </c>
      <c r="F293" s="281"/>
      <c r="G293" s="274" t="str">
        <f t="array" ref="G293">IFERROR(
  INDEX(R_CLIENTES!H:H,
         MATCH(C293, R_CLIENTES!A:A, 0)
  ),
  ""
)</f>
        <v/>
      </c>
      <c r="H293" s="281"/>
      <c r="I293" s="281"/>
      <c r="J293" s="275"/>
      <c r="K293" s="258" t="str">
        <f t="shared" si="1"/>
        <v/>
      </c>
      <c r="L293" s="258" t="str">
        <f t="shared" si="2"/>
        <v/>
      </c>
      <c r="O293" s="281"/>
    </row>
    <row r="294" ht="22.5" customHeight="1">
      <c r="A294" s="274"/>
      <c r="C294" s="281"/>
      <c r="D294" s="258" t="str">
        <f t="array" ref="D294">IFERROR(
  INDEX(R_CLIENTES!B:B,
         MATCH(C294, R_CLIENTES!A:A, 0)
  ),
  ""
)</f>
        <v/>
      </c>
      <c r="E294" s="258" t="str">
        <f t="array" ref="E294">IFERROR(
  INDEX(R_CLIENTES!G:G,
         MATCH(C294, R_CLIENTES!A:A, 0)
  ),
  ""
)</f>
        <v/>
      </c>
      <c r="F294" s="281"/>
      <c r="G294" s="274" t="str">
        <f t="array" ref="G294">IFERROR(
  INDEX(R_CLIENTES!H:H,
         MATCH(C294, R_CLIENTES!A:A, 0)
  ),
  ""
)</f>
        <v/>
      </c>
      <c r="H294" s="281"/>
      <c r="I294" s="281"/>
      <c r="J294" s="275"/>
      <c r="K294" s="258" t="str">
        <f t="shared" si="1"/>
        <v/>
      </c>
      <c r="L294" s="258" t="str">
        <f t="shared" si="2"/>
        <v/>
      </c>
      <c r="O294" s="281"/>
    </row>
    <row r="295" ht="22.5" customHeight="1">
      <c r="A295" s="274"/>
      <c r="C295" s="281"/>
      <c r="D295" s="258" t="str">
        <f t="array" ref="D295">IFERROR(
  INDEX(R_CLIENTES!B:B,
         MATCH(C295, R_CLIENTES!A:A, 0)
  ),
  ""
)</f>
        <v/>
      </c>
      <c r="E295" s="258" t="str">
        <f t="array" ref="E295">IFERROR(
  INDEX(R_CLIENTES!G:G,
         MATCH(C295, R_CLIENTES!A:A, 0)
  ),
  ""
)</f>
        <v/>
      </c>
      <c r="F295" s="281"/>
      <c r="G295" s="274" t="str">
        <f t="array" ref="G295">IFERROR(
  INDEX(R_CLIENTES!H:H,
         MATCH(C295, R_CLIENTES!A:A, 0)
  ),
  ""
)</f>
        <v/>
      </c>
      <c r="H295" s="281"/>
      <c r="I295" s="281"/>
      <c r="J295" s="275"/>
      <c r="K295" s="258" t="str">
        <f t="shared" si="1"/>
        <v/>
      </c>
      <c r="L295" s="258" t="str">
        <f t="shared" si="2"/>
        <v/>
      </c>
      <c r="O295" s="281"/>
    </row>
    <row r="296" ht="22.5" customHeight="1">
      <c r="A296" s="274"/>
      <c r="C296" s="281"/>
      <c r="D296" s="258" t="str">
        <f t="array" ref="D296">IFERROR(
  INDEX(R_CLIENTES!B:B,
         MATCH(C296, R_CLIENTES!A:A, 0)
  ),
  ""
)</f>
        <v/>
      </c>
      <c r="E296" s="258" t="str">
        <f t="array" ref="E296">IFERROR(
  INDEX(R_CLIENTES!G:G,
         MATCH(C296, R_CLIENTES!A:A, 0)
  ),
  ""
)</f>
        <v/>
      </c>
      <c r="F296" s="281"/>
      <c r="G296" s="274" t="str">
        <f t="array" ref="G296">IFERROR(
  INDEX(R_CLIENTES!H:H,
         MATCH(C296, R_CLIENTES!A:A, 0)
  ),
  ""
)</f>
        <v/>
      </c>
      <c r="H296" s="281"/>
      <c r="I296" s="281"/>
      <c r="J296" s="275"/>
      <c r="K296" s="258" t="str">
        <f t="shared" si="1"/>
        <v/>
      </c>
      <c r="L296" s="258" t="str">
        <f t="shared" si="2"/>
        <v/>
      </c>
      <c r="O296" s="281"/>
    </row>
    <row r="297" ht="22.5" customHeight="1">
      <c r="A297" s="274"/>
      <c r="C297" s="281"/>
      <c r="D297" s="258" t="str">
        <f t="array" ref="D297">IFERROR(
  INDEX(R_CLIENTES!B:B,
         MATCH(C297, R_CLIENTES!A:A, 0)
  ),
  ""
)</f>
        <v/>
      </c>
      <c r="E297" s="258" t="str">
        <f t="array" ref="E297">IFERROR(
  INDEX(R_CLIENTES!G:G,
         MATCH(C297, R_CLIENTES!A:A, 0)
  ),
  ""
)</f>
        <v/>
      </c>
      <c r="F297" s="281"/>
      <c r="G297" s="274" t="str">
        <f t="array" ref="G297">IFERROR(
  INDEX(R_CLIENTES!H:H,
         MATCH(C297, R_CLIENTES!A:A, 0)
  ),
  ""
)</f>
        <v/>
      </c>
      <c r="H297" s="281"/>
      <c r="I297" s="281"/>
      <c r="J297" s="275"/>
      <c r="K297" s="258" t="str">
        <f t="shared" si="1"/>
        <v/>
      </c>
      <c r="L297" s="258" t="str">
        <f t="shared" si="2"/>
        <v/>
      </c>
      <c r="O297" s="281"/>
    </row>
    <row r="298" ht="22.5" customHeight="1">
      <c r="A298" s="274"/>
      <c r="C298" s="281"/>
      <c r="D298" s="258" t="str">
        <f t="array" ref="D298">IFERROR(
  INDEX(R_CLIENTES!B:B,
         MATCH(C298, R_CLIENTES!A:A, 0)
  ),
  ""
)</f>
        <v/>
      </c>
      <c r="E298" s="258" t="str">
        <f t="array" ref="E298">IFERROR(
  INDEX(R_CLIENTES!G:G,
         MATCH(C298, R_CLIENTES!A:A, 0)
  ),
  ""
)</f>
        <v/>
      </c>
      <c r="F298" s="281"/>
      <c r="G298" s="274" t="str">
        <f t="array" ref="G298">IFERROR(
  INDEX(R_CLIENTES!H:H,
         MATCH(C298, R_CLIENTES!A:A, 0)
  ),
  ""
)</f>
        <v/>
      </c>
      <c r="H298" s="281"/>
      <c r="I298" s="281"/>
      <c r="J298" s="275"/>
      <c r="K298" s="258" t="str">
        <f t="shared" si="1"/>
        <v/>
      </c>
      <c r="L298" s="258" t="str">
        <f t="shared" si="2"/>
        <v/>
      </c>
      <c r="O298" s="281"/>
    </row>
    <row r="299" ht="22.5" customHeight="1">
      <c r="A299" s="274"/>
      <c r="C299" s="281"/>
      <c r="D299" s="258" t="str">
        <f t="array" ref="D299">IFERROR(
  INDEX(R_CLIENTES!B:B,
         MATCH(C299, R_CLIENTES!A:A, 0)
  ),
  ""
)</f>
        <v/>
      </c>
      <c r="E299" s="258" t="str">
        <f t="array" ref="E299">IFERROR(
  INDEX(R_CLIENTES!G:G,
         MATCH(C299, R_CLIENTES!A:A, 0)
  ),
  ""
)</f>
        <v/>
      </c>
      <c r="F299" s="281"/>
      <c r="G299" s="274" t="str">
        <f t="array" ref="G299">IFERROR(
  INDEX(R_CLIENTES!H:H,
         MATCH(C299, R_CLIENTES!A:A, 0)
  ),
  ""
)</f>
        <v/>
      </c>
      <c r="H299" s="281"/>
      <c r="I299" s="281"/>
      <c r="J299" s="275"/>
      <c r="K299" s="258" t="str">
        <f t="shared" si="1"/>
        <v/>
      </c>
      <c r="L299" s="258" t="str">
        <f t="shared" si="2"/>
        <v/>
      </c>
      <c r="O299" s="281"/>
    </row>
    <row r="300" ht="22.5" customHeight="1">
      <c r="A300" s="274"/>
      <c r="C300" s="281"/>
      <c r="D300" s="258" t="str">
        <f t="array" ref="D300">IFERROR(
  INDEX(R_CLIENTES!B:B,
         MATCH(C300, R_CLIENTES!A:A, 0)
  ),
  ""
)</f>
        <v/>
      </c>
      <c r="E300" s="258" t="str">
        <f t="array" ref="E300">IFERROR(
  INDEX(R_CLIENTES!G:G,
         MATCH(C300, R_CLIENTES!A:A, 0)
  ),
  ""
)</f>
        <v/>
      </c>
      <c r="F300" s="281"/>
      <c r="G300" s="274" t="str">
        <f t="array" ref="G300">IFERROR(
  INDEX(R_CLIENTES!H:H,
         MATCH(C300, R_CLIENTES!A:A, 0)
  ),
  ""
)</f>
        <v/>
      </c>
      <c r="H300" s="281"/>
      <c r="I300" s="281"/>
      <c r="J300" s="275"/>
      <c r="K300" s="258" t="str">
        <f t="shared" si="1"/>
        <v/>
      </c>
      <c r="L300" s="258" t="str">
        <f t="shared" si="2"/>
        <v/>
      </c>
      <c r="O300" s="281"/>
    </row>
    <row r="301" ht="22.5" customHeight="1">
      <c r="A301" s="274"/>
      <c r="C301" s="281"/>
      <c r="D301" s="258" t="str">
        <f t="array" ref="D301">IFERROR(
  INDEX(R_CLIENTES!B:B,
         MATCH(C301, R_CLIENTES!A:A, 0)
  ),
  ""
)</f>
        <v/>
      </c>
      <c r="E301" s="258" t="str">
        <f t="array" ref="E301">IFERROR(
  INDEX(R_CLIENTES!G:G,
         MATCH(C301, R_CLIENTES!A:A, 0)
  ),
  ""
)</f>
        <v/>
      </c>
      <c r="F301" s="281"/>
      <c r="G301" s="274" t="str">
        <f t="array" ref="G301">IFERROR(
  INDEX(R_CLIENTES!H:H,
         MATCH(C301, R_CLIENTES!A:A, 0)
  ),
  ""
)</f>
        <v/>
      </c>
      <c r="H301" s="281"/>
      <c r="I301" s="281"/>
      <c r="J301" s="275"/>
      <c r="K301" s="258" t="str">
        <f t="shared" si="1"/>
        <v/>
      </c>
      <c r="L301" s="258" t="str">
        <f t="shared" si="2"/>
        <v/>
      </c>
      <c r="O301" s="281"/>
    </row>
    <row r="302" ht="22.5" customHeight="1">
      <c r="A302" s="274"/>
      <c r="C302" s="281"/>
      <c r="D302" s="258" t="str">
        <f t="array" ref="D302">IFERROR(
  INDEX(R_CLIENTES!B:B,
         MATCH(C302, R_CLIENTES!A:A, 0)
  ),
  ""
)</f>
        <v/>
      </c>
      <c r="E302" s="258" t="str">
        <f t="array" ref="E302">IFERROR(
  INDEX(R_CLIENTES!G:G,
         MATCH(C302, R_CLIENTES!A:A, 0)
  ),
  ""
)</f>
        <v/>
      </c>
      <c r="F302" s="281"/>
      <c r="G302" s="274" t="str">
        <f t="array" ref="G302">IFERROR(
  INDEX(R_CLIENTES!H:H,
         MATCH(C302, R_CLIENTES!A:A, 0)
  ),
  ""
)</f>
        <v/>
      </c>
      <c r="H302" s="281"/>
      <c r="I302" s="281"/>
      <c r="J302" s="275"/>
      <c r="K302" s="258" t="str">
        <f t="shared" si="1"/>
        <v/>
      </c>
      <c r="L302" s="258" t="str">
        <f t="shared" si="2"/>
        <v/>
      </c>
      <c r="O302" s="281"/>
    </row>
    <row r="303" ht="22.5" customHeight="1">
      <c r="A303" s="274"/>
      <c r="C303" s="281"/>
      <c r="D303" s="258" t="str">
        <f t="array" ref="D303">IFERROR(
  INDEX(R_CLIENTES!B:B,
         MATCH(C303, R_CLIENTES!A:A, 0)
  ),
  ""
)</f>
        <v/>
      </c>
      <c r="E303" s="258" t="str">
        <f t="array" ref="E303">IFERROR(
  INDEX(R_CLIENTES!G:G,
         MATCH(C303, R_CLIENTES!A:A, 0)
  ),
  ""
)</f>
        <v/>
      </c>
      <c r="F303" s="281"/>
      <c r="G303" s="274" t="str">
        <f t="array" ref="G303">IFERROR(
  INDEX(R_CLIENTES!H:H,
         MATCH(C303, R_CLIENTES!A:A, 0)
  ),
  ""
)</f>
        <v/>
      </c>
      <c r="H303" s="281"/>
      <c r="I303" s="281"/>
      <c r="J303" s="275"/>
      <c r="K303" s="258" t="str">
        <f t="shared" si="1"/>
        <v/>
      </c>
      <c r="L303" s="258" t="str">
        <f t="shared" si="2"/>
        <v/>
      </c>
      <c r="O303" s="281"/>
    </row>
    <row r="304" ht="22.5" customHeight="1">
      <c r="A304" s="274"/>
      <c r="C304" s="281"/>
      <c r="D304" s="258" t="str">
        <f t="array" ref="D304">IFERROR(
  INDEX(R_CLIENTES!B:B,
         MATCH(C304, R_CLIENTES!A:A, 0)
  ),
  ""
)</f>
        <v/>
      </c>
      <c r="E304" s="258" t="str">
        <f t="array" ref="E304">IFERROR(
  INDEX(R_CLIENTES!G:G,
         MATCH(C304, R_CLIENTES!A:A, 0)
  ),
  ""
)</f>
        <v/>
      </c>
      <c r="F304" s="281"/>
      <c r="G304" s="274" t="str">
        <f t="array" ref="G304">IFERROR(
  INDEX(R_CLIENTES!H:H,
         MATCH(C304, R_CLIENTES!A:A, 0)
  ),
  ""
)</f>
        <v/>
      </c>
      <c r="H304" s="281"/>
      <c r="I304" s="281"/>
      <c r="J304" s="275"/>
      <c r="K304" s="258" t="str">
        <f t="shared" si="1"/>
        <v/>
      </c>
      <c r="L304" s="258" t="str">
        <f t="shared" si="2"/>
        <v/>
      </c>
      <c r="O304" s="281"/>
    </row>
    <row r="305" ht="22.5" customHeight="1">
      <c r="A305" s="274"/>
      <c r="C305" s="281"/>
      <c r="D305" s="258" t="str">
        <f t="array" ref="D305">IFERROR(
  INDEX(R_CLIENTES!B:B,
         MATCH(C305, R_CLIENTES!A:A, 0)
  ),
  ""
)</f>
        <v/>
      </c>
      <c r="E305" s="258" t="str">
        <f t="array" ref="E305">IFERROR(
  INDEX(R_CLIENTES!G:G,
         MATCH(C305, R_CLIENTES!A:A, 0)
  ),
  ""
)</f>
        <v/>
      </c>
      <c r="F305" s="281"/>
      <c r="G305" s="274" t="str">
        <f t="array" ref="G305">IFERROR(
  INDEX(R_CLIENTES!H:H,
         MATCH(C305, R_CLIENTES!A:A, 0)
  ),
  ""
)</f>
        <v/>
      </c>
      <c r="H305" s="281"/>
      <c r="I305" s="281"/>
      <c r="J305" s="275"/>
      <c r="K305" s="258" t="str">
        <f t="shared" si="1"/>
        <v/>
      </c>
      <c r="L305" s="258" t="str">
        <f t="shared" si="2"/>
        <v/>
      </c>
      <c r="O305" s="281"/>
    </row>
    <row r="306" ht="22.5" customHeight="1">
      <c r="A306" s="274"/>
      <c r="C306" s="281"/>
      <c r="D306" s="258" t="str">
        <f t="array" ref="D306">IFERROR(
  INDEX(R_CLIENTES!B:B,
         MATCH(C306, R_CLIENTES!A:A, 0)
  ),
  ""
)</f>
        <v/>
      </c>
      <c r="E306" s="258" t="str">
        <f t="array" ref="E306">IFERROR(
  INDEX(R_CLIENTES!G:G,
         MATCH(C306, R_CLIENTES!A:A, 0)
  ),
  ""
)</f>
        <v/>
      </c>
      <c r="F306" s="281"/>
      <c r="G306" s="274" t="str">
        <f t="array" ref="G306">IFERROR(
  INDEX(R_CLIENTES!H:H,
         MATCH(C306, R_CLIENTES!A:A, 0)
  ),
  ""
)</f>
        <v/>
      </c>
      <c r="H306" s="281"/>
      <c r="I306" s="281"/>
      <c r="J306" s="275"/>
      <c r="K306" s="258" t="str">
        <f t="shared" si="1"/>
        <v/>
      </c>
      <c r="L306" s="258" t="str">
        <f t="shared" si="2"/>
        <v/>
      </c>
      <c r="O306" s="281"/>
    </row>
    <row r="307" ht="22.5" customHeight="1">
      <c r="A307" s="274"/>
      <c r="C307" s="281"/>
      <c r="D307" s="258" t="str">
        <f t="array" ref="D307">IFERROR(
  INDEX(R_CLIENTES!B:B,
         MATCH(C307, R_CLIENTES!A:A, 0)
  ),
  ""
)</f>
        <v/>
      </c>
      <c r="E307" s="258" t="str">
        <f t="array" ref="E307">IFERROR(
  INDEX(R_CLIENTES!G:G,
         MATCH(C307, R_CLIENTES!A:A, 0)
  ),
  ""
)</f>
        <v/>
      </c>
      <c r="F307" s="281"/>
      <c r="G307" s="274" t="str">
        <f t="array" ref="G307">IFERROR(
  INDEX(R_CLIENTES!H:H,
         MATCH(C307, R_CLIENTES!A:A, 0)
  ),
  ""
)</f>
        <v/>
      </c>
      <c r="H307" s="281"/>
      <c r="I307" s="281"/>
      <c r="J307" s="275"/>
      <c r="K307" s="258" t="str">
        <f t="shared" si="1"/>
        <v/>
      </c>
      <c r="L307" s="258" t="str">
        <f t="shared" si="2"/>
        <v/>
      </c>
      <c r="O307" s="281"/>
    </row>
    <row r="308" ht="22.5" customHeight="1">
      <c r="A308" s="274"/>
      <c r="C308" s="281"/>
      <c r="D308" s="258" t="str">
        <f t="array" ref="D308">IFERROR(
  INDEX(R_CLIENTES!B:B,
         MATCH(C308, R_CLIENTES!A:A, 0)
  ),
  ""
)</f>
        <v/>
      </c>
      <c r="E308" s="258" t="str">
        <f t="array" ref="E308">IFERROR(
  INDEX(R_CLIENTES!G:G,
         MATCH(C308, R_CLIENTES!A:A, 0)
  ),
  ""
)</f>
        <v/>
      </c>
      <c r="F308" s="281"/>
      <c r="G308" s="274" t="str">
        <f t="array" ref="G308">IFERROR(
  INDEX(R_CLIENTES!H:H,
         MATCH(C308, R_CLIENTES!A:A, 0)
  ),
  ""
)</f>
        <v/>
      </c>
      <c r="H308" s="281"/>
      <c r="I308" s="281"/>
      <c r="J308" s="275"/>
      <c r="K308" s="258" t="str">
        <f t="shared" si="1"/>
        <v/>
      </c>
      <c r="L308" s="258" t="str">
        <f t="shared" si="2"/>
        <v/>
      </c>
      <c r="O308" s="281"/>
    </row>
    <row r="309" ht="22.5" customHeight="1">
      <c r="A309" s="274"/>
      <c r="C309" s="281"/>
      <c r="D309" s="258" t="str">
        <f t="array" ref="D309">IFERROR(
  INDEX(R_CLIENTES!B:B,
         MATCH(C309, R_CLIENTES!A:A, 0)
  ),
  ""
)</f>
        <v/>
      </c>
      <c r="E309" s="258" t="str">
        <f t="array" ref="E309">IFERROR(
  INDEX(R_CLIENTES!G:G,
         MATCH(C309, R_CLIENTES!A:A, 0)
  ),
  ""
)</f>
        <v/>
      </c>
      <c r="F309" s="281"/>
      <c r="G309" s="274" t="str">
        <f t="array" ref="G309">IFERROR(
  INDEX(R_CLIENTES!H:H,
         MATCH(C309, R_CLIENTES!A:A, 0)
  ),
  ""
)</f>
        <v/>
      </c>
      <c r="H309" s="281"/>
      <c r="I309" s="281"/>
      <c r="J309" s="275"/>
      <c r="K309" s="258" t="str">
        <f t="shared" si="1"/>
        <v/>
      </c>
      <c r="L309" s="258" t="str">
        <f t="shared" si="2"/>
        <v/>
      </c>
      <c r="O309" s="281"/>
    </row>
    <row r="310" ht="22.5" customHeight="1">
      <c r="A310" s="274"/>
      <c r="C310" s="281"/>
      <c r="D310" s="258" t="str">
        <f t="array" ref="D310">IFERROR(
  INDEX(R_CLIENTES!B:B,
         MATCH(C310, R_CLIENTES!A:A, 0)
  ),
  ""
)</f>
        <v/>
      </c>
      <c r="E310" s="258" t="str">
        <f t="array" ref="E310">IFERROR(
  INDEX(R_CLIENTES!G:G,
         MATCH(C310, R_CLIENTES!A:A, 0)
  ),
  ""
)</f>
        <v/>
      </c>
      <c r="F310" s="281"/>
      <c r="G310" s="274" t="str">
        <f t="array" ref="G310">IFERROR(
  INDEX(R_CLIENTES!H:H,
         MATCH(C310, R_CLIENTES!A:A, 0)
  ),
  ""
)</f>
        <v/>
      </c>
      <c r="H310" s="281"/>
      <c r="I310" s="281"/>
      <c r="J310" s="275"/>
      <c r="K310" s="258" t="str">
        <f t="shared" si="1"/>
        <v/>
      </c>
      <c r="L310" s="258" t="str">
        <f t="shared" si="2"/>
        <v/>
      </c>
      <c r="O310" s="281"/>
    </row>
    <row r="311" ht="22.5" customHeight="1">
      <c r="A311" s="274"/>
      <c r="C311" s="281"/>
      <c r="D311" s="258" t="str">
        <f t="array" ref="D311">IFERROR(
  INDEX(R_CLIENTES!B:B,
         MATCH(C311, R_CLIENTES!A:A, 0)
  ),
  ""
)</f>
        <v/>
      </c>
      <c r="E311" s="258" t="str">
        <f t="array" ref="E311">IFERROR(
  INDEX(R_CLIENTES!G:G,
         MATCH(C311, R_CLIENTES!A:A, 0)
  ),
  ""
)</f>
        <v/>
      </c>
      <c r="F311" s="281"/>
      <c r="G311" s="274" t="str">
        <f t="array" ref="G311">IFERROR(
  INDEX(R_CLIENTES!H:H,
         MATCH(C311, R_CLIENTES!A:A, 0)
  ),
  ""
)</f>
        <v/>
      </c>
      <c r="H311" s="281"/>
      <c r="I311" s="281"/>
      <c r="J311" s="275"/>
      <c r="K311" s="258" t="str">
        <f t="shared" si="1"/>
        <v/>
      </c>
      <c r="L311" s="258" t="str">
        <f t="shared" si="2"/>
        <v/>
      </c>
      <c r="O311" s="281"/>
    </row>
    <row r="312" ht="22.5" customHeight="1">
      <c r="A312" s="274"/>
      <c r="C312" s="281"/>
      <c r="D312" s="258" t="str">
        <f t="array" ref="D312">IFERROR(
  INDEX(R_CLIENTES!B:B,
         MATCH(C312, R_CLIENTES!A:A, 0)
  ),
  ""
)</f>
        <v/>
      </c>
      <c r="E312" s="258" t="str">
        <f t="array" ref="E312">IFERROR(
  INDEX(R_CLIENTES!G:G,
         MATCH(C312, R_CLIENTES!A:A, 0)
  ),
  ""
)</f>
        <v/>
      </c>
      <c r="F312" s="281"/>
      <c r="G312" s="274" t="str">
        <f t="array" ref="G312">IFERROR(
  INDEX(R_CLIENTES!H:H,
         MATCH(C312, R_CLIENTES!A:A, 0)
  ),
  ""
)</f>
        <v/>
      </c>
      <c r="H312" s="281"/>
      <c r="I312" s="281"/>
      <c r="J312" s="275"/>
      <c r="K312" s="258" t="str">
        <f t="shared" si="1"/>
        <v/>
      </c>
      <c r="L312" s="258" t="str">
        <f t="shared" si="2"/>
        <v/>
      </c>
      <c r="O312" s="281"/>
    </row>
    <row r="313" ht="22.5" customHeight="1">
      <c r="A313" s="274"/>
      <c r="C313" s="281"/>
      <c r="D313" s="258" t="str">
        <f t="array" ref="D313">IFERROR(
  INDEX(R_CLIENTES!B:B,
         MATCH(C313, R_CLIENTES!A:A, 0)
  ),
  ""
)</f>
        <v/>
      </c>
      <c r="E313" s="258" t="str">
        <f t="array" ref="E313">IFERROR(
  INDEX(R_CLIENTES!G:G,
         MATCH(C313, R_CLIENTES!A:A, 0)
  ),
  ""
)</f>
        <v/>
      </c>
      <c r="F313" s="281"/>
      <c r="G313" s="274" t="str">
        <f t="array" ref="G313">IFERROR(
  INDEX(R_CLIENTES!H:H,
         MATCH(C313, R_CLIENTES!A:A, 0)
  ),
  ""
)</f>
        <v/>
      </c>
      <c r="H313" s="281"/>
      <c r="I313" s="281"/>
      <c r="J313" s="275"/>
      <c r="K313" s="258" t="str">
        <f t="shared" si="1"/>
        <v/>
      </c>
      <c r="L313" s="258" t="str">
        <f t="shared" si="2"/>
        <v/>
      </c>
      <c r="O313" s="281"/>
    </row>
    <row r="314" ht="22.5" customHeight="1">
      <c r="A314" s="274"/>
      <c r="C314" s="281"/>
      <c r="D314" s="258" t="str">
        <f t="array" ref="D314">IFERROR(
  INDEX(R_CLIENTES!B:B,
         MATCH(C314, R_CLIENTES!A:A, 0)
  ),
  ""
)</f>
        <v/>
      </c>
      <c r="E314" s="258" t="str">
        <f t="array" ref="E314">IFERROR(
  INDEX(R_CLIENTES!G:G,
         MATCH(C314, R_CLIENTES!A:A, 0)
  ),
  ""
)</f>
        <v/>
      </c>
      <c r="F314" s="281"/>
      <c r="G314" s="274" t="str">
        <f t="array" ref="G314">IFERROR(
  INDEX(R_CLIENTES!H:H,
         MATCH(C314, R_CLIENTES!A:A, 0)
  ),
  ""
)</f>
        <v/>
      </c>
      <c r="H314" s="281"/>
      <c r="I314" s="281"/>
      <c r="J314" s="275"/>
      <c r="K314" s="258" t="str">
        <f t="shared" si="1"/>
        <v/>
      </c>
      <c r="L314" s="258" t="str">
        <f t="shared" si="2"/>
        <v/>
      </c>
      <c r="O314" s="281"/>
    </row>
    <row r="315" ht="22.5" customHeight="1">
      <c r="A315" s="274"/>
      <c r="C315" s="281"/>
      <c r="D315" s="258" t="str">
        <f t="array" ref="D315">IFERROR(
  INDEX(R_CLIENTES!B:B,
         MATCH(C315, R_CLIENTES!A:A, 0)
  ),
  ""
)</f>
        <v/>
      </c>
      <c r="E315" s="258" t="str">
        <f t="array" ref="E315">IFERROR(
  INDEX(R_CLIENTES!G:G,
         MATCH(C315, R_CLIENTES!A:A, 0)
  ),
  ""
)</f>
        <v/>
      </c>
      <c r="F315" s="281"/>
      <c r="G315" s="274" t="str">
        <f t="array" ref="G315">IFERROR(
  INDEX(R_CLIENTES!H:H,
         MATCH(C315, R_CLIENTES!A:A, 0)
  ),
  ""
)</f>
        <v/>
      </c>
      <c r="H315" s="281"/>
      <c r="I315" s="281"/>
      <c r="J315" s="275"/>
      <c r="K315" s="258" t="str">
        <f t="shared" si="1"/>
        <v/>
      </c>
      <c r="L315" s="258" t="str">
        <f t="shared" si="2"/>
        <v/>
      </c>
      <c r="O315" s="281"/>
    </row>
    <row r="316" ht="22.5" customHeight="1">
      <c r="A316" s="274"/>
      <c r="C316" s="281"/>
      <c r="D316" s="258" t="str">
        <f t="array" ref="D316">IFERROR(
  INDEX(R_CLIENTES!B:B,
         MATCH(C316, R_CLIENTES!A:A, 0)
  ),
  ""
)</f>
        <v/>
      </c>
      <c r="E316" s="258" t="str">
        <f t="array" ref="E316">IFERROR(
  INDEX(R_CLIENTES!G:G,
         MATCH(C316, R_CLIENTES!A:A, 0)
  ),
  ""
)</f>
        <v/>
      </c>
      <c r="F316" s="281"/>
      <c r="G316" s="274" t="str">
        <f t="array" ref="G316">IFERROR(
  INDEX(R_CLIENTES!H:H,
         MATCH(C316, R_CLIENTES!A:A, 0)
  ),
  ""
)</f>
        <v/>
      </c>
      <c r="H316" s="281"/>
      <c r="I316" s="281"/>
      <c r="J316" s="275"/>
      <c r="K316" s="258" t="str">
        <f t="shared" si="1"/>
        <v/>
      </c>
      <c r="L316" s="258" t="str">
        <f t="shared" si="2"/>
        <v/>
      </c>
      <c r="O316" s="281"/>
    </row>
    <row r="317" ht="22.5" customHeight="1">
      <c r="A317" s="274"/>
      <c r="C317" s="281"/>
      <c r="D317" s="258" t="str">
        <f t="array" ref="D317">IFERROR(
  INDEX(R_CLIENTES!B:B,
         MATCH(C317, R_CLIENTES!A:A, 0)
  ),
  ""
)</f>
        <v/>
      </c>
      <c r="E317" s="258" t="str">
        <f t="array" ref="E317">IFERROR(
  INDEX(R_CLIENTES!G:G,
         MATCH(C317, R_CLIENTES!A:A, 0)
  ),
  ""
)</f>
        <v/>
      </c>
      <c r="F317" s="281"/>
      <c r="G317" s="274" t="str">
        <f t="array" ref="G317">IFERROR(
  INDEX(R_CLIENTES!H:H,
         MATCH(C317, R_CLIENTES!A:A, 0)
  ),
  ""
)</f>
        <v/>
      </c>
      <c r="H317" s="281"/>
      <c r="I317" s="281"/>
      <c r="J317" s="275"/>
      <c r="K317" s="258" t="str">
        <f t="shared" si="1"/>
        <v/>
      </c>
      <c r="L317" s="258" t="str">
        <f t="shared" si="2"/>
        <v/>
      </c>
      <c r="O317" s="281"/>
    </row>
    <row r="318" ht="22.5" customHeight="1">
      <c r="A318" s="274"/>
      <c r="C318" s="281"/>
      <c r="D318" s="258" t="str">
        <f t="array" ref="D318">IFERROR(
  INDEX(R_CLIENTES!B:B,
         MATCH(C318, R_CLIENTES!A:A, 0)
  ),
  ""
)</f>
        <v/>
      </c>
      <c r="E318" s="258" t="str">
        <f t="array" ref="E318">IFERROR(
  INDEX(R_CLIENTES!G:G,
         MATCH(C318, R_CLIENTES!A:A, 0)
  ),
  ""
)</f>
        <v/>
      </c>
      <c r="F318" s="281"/>
      <c r="G318" s="274" t="str">
        <f t="array" ref="G318">IFERROR(
  INDEX(R_CLIENTES!H:H,
         MATCH(C318, R_CLIENTES!A:A, 0)
  ),
  ""
)</f>
        <v/>
      </c>
      <c r="H318" s="281"/>
      <c r="I318" s="281"/>
      <c r="J318" s="275"/>
      <c r="K318" s="258" t="str">
        <f t="shared" si="1"/>
        <v/>
      </c>
      <c r="L318" s="258" t="str">
        <f t="shared" si="2"/>
        <v/>
      </c>
      <c r="O318" s="281"/>
    </row>
    <row r="319" ht="22.5" customHeight="1">
      <c r="A319" s="274"/>
      <c r="C319" s="281"/>
      <c r="D319" s="258" t="str">
        <f t="array" ref="D319">IFERROR(
  INDEX(R_CLIENTES!B:B,
         MATCH(C319, R_CLIENTES!A:A, 0)
  ),
  ""
)</f>
        <v/>
      </c>
      <c r="E319" s="258" t="str">
        <f t="array" ref="E319">IFERROR(
  INDEX(R_CLIENTES!G:G,
         MATCH(C319, R_CLIENTES!A:A, 0)
  ),
  ""
)</f>
        <v/>
      </c>
      <c r="F319" s="281"/>
      <c r="G319" s="274" t="str">
        <f t="array" ref="G319">IFERROR(
  INDEX(R_CLIENTES!H:H,
         MATCH(C319, R_CLIENTES!A:A, 0)
  ),
  ""
)</f>
        <v/>
      </c>
      <c r="H319" s="281"/>
      <c r="I319" s="281"/>
      <c r="J319" s="275"/>
      <c r="K319" s="258" t="str">
        <f t="shared" si="1"/>
        <v/>
      </c>
      <c r="L319" s="258" t="str">
        <f t="shared" si="2"/>
        <v/>
      </c>
      <c r="O319" s="281"/>
    </row>
    <row r="320" ht="22.5" customHeight="1">
      <c r="A320" s="274"/>
      <c r="C320" s="281"/>
      <c r="D320" s="258" t="str">
        <f t="array" ref="D320">IFERROR(
  INDEX(R_CLIENTES!B:B,
         MATCH(C320, R_CLIENTES!A:A, 0)
  ),
  ""
)</f>
        <v/>
      </c>
      <c r="E320" s="258" t="str">
        <f t="array" ref="E320">IFERROR(
  INDEX(R_CLIENTES!G:G,
         MATCH(C320, R_CLIENTES!A:A, 0)
  ),
  ""
)</f>
        <v/>
      </c>
      <c r="F320" s="281"/>
      <c r="G320" s="274" t="str">
        <f t="array" ref="G320">IFERROR(
  INDEX(R_CLIENTES!H:H,
         MATCH(C320, R_CLIENTES!A:A, 0)
  ),
  ""
)</f>
        <v/>
      </c>
      <c r="H320" s="281"/>
      <c r="I320" s="281"/>
      <c r="J320" s="275"/>
      <c r="K320" s="258" t="str">
        <f t="shared" si="1"/>
        <v/>
      </c>
      <c r="L320" s="258" t="str">
        <f t="shared" si="2"/>
        <v/>
      </c>
      <c r="O320" s="281"/>
    </row>
    <row r="321" ht="22.5" customHeight="1">
      <c r="A321" s="274"/>
      <c r="C321" s="281"/>
      <c r="D321" s="258" t="str">
        <f t="array" ref="D321">IFERROR(
  INDEX(R_CLIENTES!B:B,
         MATCH(C321, R_CLIENTES!A:A, 0)
  ),
  ""
)</f>
        <v/>
      </c>
      <c r="E321" s="258" t="str">
        <f t="array" ref="E321">IFERROR(
  INDEX(R_CLIENTES!G:G,
         MATCH(C321, R_CLIENTES!A:A, 0)
  ),
  ""
)</f>
        <v/>
      </c>
      <c r="F321" s="281"/>
      <c r="G321" s="274" t="str">
        <f t="array" ref="G321">IFERROR(
  INDEX(R_CLIENTES!H:H,
         MATCH(C321, R_CLIENTES!A:A, 0)
  ),
  ""
)</f>
        <v/>
      </c>
      <c r="H321" s="281"/>
      <c r="I321" s="281"/>
      <c r="J321" s="275"/>
      <c r="K321" s="258" t="str">
        <f t="shared" si="1"/>
        <v/>
      </c>
      <c r="L321" s="258" t="str">
        <f t="shared" si="2"/>
        <v/>
      </c>
      <c r="O321" s="281"/>
    </row>
    <row r="322" ht="22.5" customHeight="1">
      <c r="A322" s="274"/>
      <c r="C322" s="281"/>
      <c r="D322" s="258" t="str">
        <f t="array" ref="D322">IFERROR(
  INDEX(R_CLIENTES!B:B,
         MATCH(C322, R_CLIENTES!A:A, 0)
  ),
  ""
)</f>
        <v/>
      </c>
      <c r="E322" s="258" t="str">
        <f t="array" ref="E322">IFERROR(
  INDEX(R_CLIENTES!G:G,
         MATCH(C322, R_CLIENTES!A:A, 0)
  ),
  ""
)</f>
        <v/>
      </c>
      <c r="F322" s="281"/>
      <c r="G322" s="274"/>
      <c r="H322" s="281"/>
      <c r="I322" s="281"/>
      <c r="J322" s="275"/>
      <c r="K322" s="258" t="str">
        <f t="shared" si="1"/>
        <v/>
      </c>
      <c r="L322" s="258" t="str">
        <f t="shared" si="2"/>
        <v/>
      </c>
      <c r="O322" s="281"/>
    </row>
    <row r="323" ht="22.5" customHeight="1">
      <c r="A323" s="274"/>
      <c r="C323" s="281"/>
      <c r="D323" s="258" t="str">
        <f t="array" ref="D323">IFERROR(
  INDEX(R_CLIENTES!B:B,
         MATCH(C323, R_CLIENTES!A:A, 0)
  ),
  ""
)</f>
        <v/>
      </c>
      <c r="F323" s="281"/>
      <c r="G323" s="274"/>
      <c r="H323" s="281"/>
      <c r="I323" s="281"/>
      <c r="J323" s="275"/>
      <c r="K323" s="258" t="str">
        <f t="shared" si="1"/>
        <v/>
      </c>
      <c r="L323" s="258" t="str">
        <f t="shared" si="2"/>
        <v/>
      </c>
      <c r="O323" s="281"/>
    </row>
    <row r="324" ht="22.5" customHeight="1">
      <c r="A324" s="274"/>
      <c r="C324" s="281"/>
      <c r="D324" s="258" t="str">
        <f t="array" ref="D324">IFERROR(
  INDEX(R_CLIENTES!B:B,
         MATCH(C324, R_CLIENTES!A:A, 0)
  ),
  ""
)</f>
        <v/>
      </c>
      <c r="F324" s="281"/>
      <c r="G324" s="274"/>
      <c r="H324" s="281"/>
      <c r="I324" s="281"/>
      <c r="J324" s="275"/>
      <c r="K324" s="258" t="str">
        <f t="shared" si="1"/>
        <v/>
      </c>
      <c r="L324" s="258" t="str">
        <f t="shared" si="2"/>
        <v/>
      </c>
      <c r="O324" s="281"/>
    </row>
    <row r="325" ht="22.5" customHeight="1">
      <c r="A325" s="274"/>
      <c r="C325" s="281"/>
      <c r="D325" s="258" t="str">
        <f t="array" ref="D325">IFERROR(
  INDEX(R_CLIENTES!B:B,
         MATCH(C325, R_CLIENTES!A:A, 0)
  ),
  ""
)</f>
        <v/>
      </c>
      <c r="F325" s="281"/>
      <c r="G325" s="274"/>
      <c r="H325" s="281"/>
      <c r="I325" s="281"/>
      <c r="J325" s="275"/>
      <c r="K325" s="258" t="str">
        <f t="shared" si="1"/>
        <v/>
      </c>
      <c r="L325" s="258" t="str">
        <f t="shared" si="2"/>
        <v/>
      </c>
      <c r="O325" s="281"/>
    </row>
    <row r="326" ht="22.5" customHeight="1">
      <c r="A326" s="274"/>
      <c r="C326" s="281"/>
      <c r="D326" s="258" t="str">
        <f t="array" ref="D326">IFERROR(
  INDEX(R_CLIENTES!B:B,
         MATCH(C326, R_CLIENTES!A:A, 0)
  ),
  ""
)</f>
        <v/>
      </c>
      <c r="F326" s="281"/>
      <c r="G326" s="274"/>
      <c r="H326" s="281"/>
      <c r="I326" s="281"/>
      <c r="J326" s="275"/>
      <c r="K326" s="258" t="str">
        <f t="shared" si="1"/>
        <v/>
      </c>
      <c r="L326" s="258" t="str">
        <f t="shared" si="2"/>
        <v/>
      </c>
      <c r="O326" s="281"/>
    </row>
    <row r="327" ht="22.5" customHeight="1">
      <c r="A327" s="274"/>
      <c r="C327" s="281"/>
      <c r="D327" s="258" t="str">
        <f t="array" ref="D327">IFERROR(
  INDEX(R_CLIENTES!B:B,
         MATCH(C327, R_CLIENTES!A:A, 0)
  ),
  ""
)</f>
        <v/>
      </c>
      <c r="F327" s="281"/>
      <c r="G327" s="274"/>
      <c r="H327" s="281"/>
      <c r="I327" s="281"/>
      <c r="J327" s="275"/>
      <c r="K327" s="258" t="str">
        <f t="shared" si="1"/>
        <v/>
      </c>
      <c r="L327" s="258" t="str">
        <f t="shared" si="2"/>
        <v/>
      </c>
      <c r="O327" s="281"/>
    </row>
    <row r="328" ht="22.5" customHeight="1">
      <c r="A328" s="274"/>
      <c r="C328" s="281"/>
      <c r="D328" s="258" t="str">
        <f t="array" ref="D328">IFERROR(
  INDEX(R_CLIENTES!B:B,
         MATCH(C328, R_CLIENTES!A:A, 0)
  ),
  ""
)</f>
        <v/>
      </c>
      <c r="F328" s="281"/>
      <c r="G328" s="274"/>
      <c r="H328" s="281"/>
      <c r="I328" s="281"/>
      <c r="J328" s="275"/>
      <c r="K328" s="258" t="str">
        <f t="shared" si="1"/>
        <v/>
      </c>
      <c r="L328" s="258" t="str">
        <f t="shared" si="2"/>
        <v/>
      </c>
      <c r="O328" s="281"/>
    </row>
    <row r="329" ht="22.5" customHeight="1">
      <c r="A329" s="274"/>
      <c r="C329" s="281"/>
      <c r="D329" s="258" t="str">
        <f t="array" ref="D329">IFERROR(
  INDEX(R_CLIENTES!B:B,
         MATCH(C329, R_CLIENTES!A:A, 0)
  ),
  ""
)</f>
        <v/>
      </c>
      <c r="F329" s="281"/>
      <c r="G329" s="274"/>
      <c r="H329" s="281"/>
      <c r="I329" s="281"/>
      <c r="J329" s="275"/>
      <c r="K329" s="258" t="str">
        <f t="shared" si="1"/>
        <v/>
      </c>
      <c r="L329" s="258" t="str">
        <f t="shared" si="2"/>
        <v/>
      </c>
      <c r="O329" s="281"/>
    </row>
    <row r="330" ht="22.5" customHeight="1">
      <c r="A330" s="274"/>
      <c r="C330" s="281"/>
      <c r="D330" s="258" t="str">
        <f t="array" ref="D330">IFERROR(
  INDEX(R_CLIENTES!B:B,
         MATCH(C330, R_CLIENTES!A:A, 0)
  ),
  ""
)</f>
        <v/>
      </c>
      <c r="F330" s="281"/>
      <c r="G330" s="274"/>
      <c r="H330" s="281"/>
      <c r="I330" s="281"/>
      <c r="J330" s="275"/>
      <c r="K330" s="258" t="str">
        <f t="shared" si="1"/>
        <v/>
      </c>
      <c r="L330" s="258" t="str">
        <f t="shared" si="2"/>
        <v/>
      </c>
      <c r="O330" s="281"/>
    </row>
    <row r="331" ht="22.5" customHeight="1">
      <c r="A331" s="274"/>
      <c r="C331" s="281"/>
      <c r="D331" s="258" t="str">
        <f t="array" ref="D331">IFERROR(
  INDEX(R_CLIENTES!B:B,
         MATCH(C331, R_CLIENTES!A:A, 0)
  ),
  ""
)</f>
        <v/>
      </c>
      <c r="F331" s="281"/>
      <c r="G331" s="274"/>
      <c r="H331" s="281"/>
      <c r="I331" s="281"/>
      <c r="J331" s="275"/>
      <c r="K331" s="258" t="str">
        <f t="shared" si="1"/>
        <v/>
      </c>
      <c r="L331" s="258" t="str">
        <f t="shared" si="2"/>
        <v/>
      </c>
      <c r="O331" s="281"/>
    </row>
    <row r="332" ht="22.5" customHeight="1">
      <c r="A332" s="274"/>
      <c r="C332" s="281"/>
      <c r="D332" s="258" t="str">
        <f t="array" ref="D332">IFERROR(
  INDEX(R_CLIENTES!B:B,
         MATCH(C332, R_CLIENTES!A:A, 0)
  ),
  ""
)</f>
        <v/>
      </c>
      <c r="F332" s="281"/>
      <c r="G332" s="274"/>
      <c r="H332" s="281"/>
      <c r="I332" s="281"/>
      <c r="J332" s="275"/>
      <c r="K332" s="258" t="str">
        <f t="shared" si="1"/>
        <v/>
      </c>
      <c r="L332" s="258" t="str">
        <f t="shared" si="2"/>
        <v/>
      </c>
      <c r="O332" s="281"/>
    </row>
    <row r="333" ht="22.5" customHeight="1">
      <c r="A333" s="274"/>
      <c r="C333" s="281"/>
      <c r="D333" s="258" t="str">
        <f t="array" ref="D333">IFERROR(
  INDEX(R_CLIENTES!B:B,
         MATCH(C333, R_CLIENTES!A:A, 0)
  ),
  ""
)</f>
        <v/>
      </c>
      <c r="F333" s="281"/>
      <c r="G333" s="274"/>
      <c r="H333" s="281"/>
      <c r="I333" s="281"/>
      <c r="J333" s="275"/>
      <c r="K333" s="258" t="str">
        <f t="shared" si="1"/>
        <v/>
      </c>
      <c r="L333" s="258" t="str">
        <f t="shared" si="2"/>
        <v/>
      </c>
      <c r="O333" s="281"/>
    </row>
    <row r="334" ht="22.5" customHeight="1">
      <c r="A334" s="274"/>
      <c r="C334" s="281"/>
      <c r="D334" s="258" t="str">
        <f t="array" ref="D334">IFERROR(
  INDEX(R_CLIENTES!B:B,
         MATCH(C334, R_CLIENTES!A:A, 0)
  ),
  ""
)</f>
        <v/>
      </c>
      <c r="F334" s="281"/>
      <c r="G334" s="274"/>
      <c r="H334" s="281"/>
      <c r="I334" s="281"/>
      <c r="J334" s="275"/>
      <c r="K334" s="258" t="str">
        <f t="shared" si="1"/>
        <v/>
      </c>
      <c r="L334" s="258" t="str">
        <f t="shared" si="2"/>
        <v/>
      </c>
      <c r="O334" s="281"/>
    </row>
    <row r="335" ht="22.5" customHeight="1">
      <c r="A335" s="274"/>
      <c r="C335" s="281"/>
      <c r="D335" s="258" t="str">
        <f t="array" ref="D335">IFERROR(
  INDEX(R_CLIENTES!B:B,
         MATCH(C335, R_CLIENTES!A:A, 0)
  ),
  ""
)</f>
        <v/>
      </c>
      <c r="F335" s="281"/>
      <c r="G335" s="274"/>
      <c r="H335" s="281"/>
      <c r="I335" s="281"/>
      <c r="J335" s="275"/>
      <c r="K335" s="258" t="str">
        <f t="shared" si="1"/>
        <v/>
      </c>
      <c r="L335" s="258" t="str">
        <f t="shared" si="2"/>
        <v/>
      </c>
      <c r="O335" s="281"/>
    </row>
    <row r="336" ht="22.5" customHeight="1">
      <c r="A336" s="274"/>
      <c r="C336" s="281"/>
      <c r="D336" s="258" t="str">
        <f t="array" ref="D336">IFERROR(
  INDEX(R_CLIENTES!B:B,
         MATCH(C336, R_CLIENTES!A:A, 0)
  ),
  ""
)</f>
        <v/>
      </c>
      <c r="F336" s="281"/>
      <c r="G336" s="274"/>
      <c r="H336" s="281"/>
      <c r="I336" s="281"/>
      <c r="J336" s="275"/>
      <c r="K336" s="258" t="str">
        <f t="shared" si="1"/>
        <v/>
      </c>
      <c r="L336" s="258" t="str">
        <f t="shared" si="2"/>
        <v/>
      </c>
      <c r="O336" s="281"/>
    </row>
    <row r="337" ht="22.5" customHeight="1">
      <c r="A337" s="274"/>
      <c r="C337" s="281"/>
      <c r="D337" s="258" t="str">
        <f t="array" ref="D337">IFERROR(
  INDEX(R_CLIENTES!B:B,
         MATCH(C337, R_CLIENTES!A:A, 0)
  ),
  ""
)</f>
        <v/>
      </c>
      <c r="F337" s="281"/>
      <c r="G337" s="274"/>
      <c r="H337" s="281"/>
      <c r="I337" s="281"/>
      <c r="J337" s="275"/>
      <c r="K337" s="258" t="str">
        <f t="shared" si="1"/>
        <v/>
      </c>
      <c r="L337" s="258" t="str">
        <f t="shared" si="2"/>
        <v/>
      </c>
      <c r="O337" s="281"/>
    </row>
    <row r="338" ht="22.5" customHeight="1">
      <c r="A338" s="274"/>
      <c r="C338" s="281"/>
      <c r="D338" s="258" t="str">
        <f t="array" ref="D338">IFERROR(
  INDEX(R_CLIENTES!B:B,
         MATCH(C338, R_CLIENTES!A:A, 0)
  ),
  ""
)</f>
        <v/>
      </c>
      <c r="F338" s="281"/>
      <c r="G338" s="274"/>
      <c r="H338" s="281"/>
      <c r="I338" s="281"/>
      <c r="J338" s="275"/>
      <c r="K338" s="258" t="str">
        <f t="shared" si="1"/>
        <v/>
      </c>
      <c r="L338" s="258" t="str">
        <f t="shared" si="2"/>
        <v/>
      </c>
      <c r="O338" s="281"/>
    </row>
    <row r="339" ht="22.5" customHeight="1">
      <c r="A339" s="274"/>
      <c r="C339" s="281"/>
      <c r="D339" s="258" t="str">
        <f t="array" ref="D339">IFERROR(
  INDEX(R_CLIENTES!B:B,
         MATCH(C339, R_CLIENTES!A:A, 0)
  ),
  ""
)</f>
        <v/>
      </c>
      <c r="F339" s="281"/>
      <c r="G339" s="274"/>
      <c r="H339" s="281"/>
      <c r="I339" s="281"/>
      <c r="J339" s="275"/>
      <c r="K339" s="258" t="str">
        <f t="shared" si="1"/>
        <v/>
      </c>
      <c r="L339" s="258" t="str">
        <f t="shared" si="2"/>
        <v/>
      </c>
      <c r="O339" s="281"/>
    </row>
    <row r="340" ht="22.5" customHeight="1">
      <c r="A340" s="274"/>
      <c r="C340" s="281"/>
      <c r="D340" s="258" t="str">
        <f t="array" ref="D340">IFERROR(
  INDEX(R_CLIENTES!B:B,
         MATCH(C340, R_CLIENTES!A:A, 0)
  ),
  ""
)</f>
        <v/>
      </c>
      <c r="F340" s="281"/>
      <c r="G340" s="274"/>
      <c r="H340" s="281"/>
      <c r="I340" s="281"/>
      <c r="J340" s="275"/>
      <c r="K340" s="258" t="str">
        <f t="shared" si="1"/>
        <v/>
      </c>
      <c r="L340" s="258" t="str">
        <f t="shared" si="2"/>
        <v/>
      </c>
      <c r="O340" s="281"/>
    </row>
    <row r="341" ht="22.5" customHeight="1">
      <c r="A341" s="274"/>
      <c r="C341" s="281"/>
      <c r="D341" s="258" t="str">
        <f t="array" ref="D341">IFERROR(
  INDEX(R_CLIENTES!B:B,
         MATCH(C341, R_CLIENTES!A:A, 0)
  ),
  ""
)</f>
        <v/>
      </c>
      <c r="F341" s="281"/>
      <c r="G341" s="274"/>
      <c r="H341" s="281"/>
      <c r="I341" s="281"/>
      <c r="J341" s="275"/>
      <c r="K341" s="258" t="str">
        <f t="shared" si="1"/>
        <v/>
      </c>
      <c r="L341" s="258" t="str">
        <f t="shared" si="2"/>
        <v/>
      </c>
      <c r="O341" s="281"/>
    </row>
    <row r="342" ht="22.5" customHeight="1">
      <c r="A342" s="274"/>
      <c r="C342" s="281"/>
      <c r="D342" s="258" t="str">
        <f t="array" ref="D342">IFERROR(
  INDEX(R_CLIENTES!B:B,
         MATCH(C342, R_CLIENTES!A:A, 0)
  ),
  ""
)</f>
        <v/>
      </c>
      <c r="F342" s="281"/>
      <c r="G342" s="274"/>
      <c r="H342" s="281"/>
      <c r="I342" s="281"/>
      <c r="J342" s="275"/>
      <c r="K342" s="258" t="str">
        <f t="shared" si="1"/>
        <v/>
      </c>
      <c r="L342" s="258" t="str">
        <f t="shared" si="2"/>
        <v/>
      </c>
      <c r="O342" s="281"/>
    </row>
    <row r="343" ht="22.5" customHeight="1">
      <c r="A343" s="274"/>
      <c r="C343" s="281"/>
      <c r="D343" s="258" t="str">
        <f t="array" ref="D343">IFERROR(
  INDEX(R_CLIENTES!B:B,
         MATCH(C343, R_CLIENTES!A:A, 0)
  ),
  ""
)</f>
        <v/>
      </c>
      <c r="F343" s="281"/>
      <c r="G343" s="274"/>
      <c r="H343" s="281"/>
      <c r="I343" s="281"/>
      <c r="J343" s="275"/>
      <c r="K343" s="258" t="str">
        <f t="shared" si="1"/>
        <v/>
      </c>
      <c r="L343" s="258" t="str">
        <f t="shared" si="2"/>
        <v/>
      </c>
      <c r="O343" s="281"/>
    </row>
    <row r="344" ht="22.5" customHeight="1">
      <c r="A344" s="274"/>
      <c r="C344" s="281"/>
      <c r="D344" s="258" t="str">
        <f t="array" ref="D344">IFERROR(
  INDEX(R_CLIENTES!B:B,
         MATCH(C344, R_CLIENTES!A:A, 0)
  ),
  ""
)</f>
        <v/>
      </c>
      <c r="F344" s="281"/>
      <c r="G344" s="274"/>
      <c r="H344" s="281"/>
      <c r="I344" s="281"/>
      <c r="J344" s="275"/>
      <c r="K344" s="258" t="str">
        <f t="shared" si="1"/>
        <v/>
      </c>
      <c r="L344" s="258" t="str">
        <f t="shared" si="2"/>
        <v/>
      </c>
      <c r="O344" s="281"/>
    </row>
    <row r="345" ht="22.5" customHeight="1">
      <c r="A345" s="274"/>
      <c r="C345" s="281"/>
      <c r="D345" s="258" t="str">
        <f t="array" ref="D345">IFERROR(
  INDEX(R_CLIENTES!B:B,
         MATCH(C345, R_CLIENTES!A:A, 0)
  ),
  ""
)</f>
        <v/>
      </c>
      <c r="F345" s="281"/>
      <c r="G345" s="274"/>
      <c r="H345" s="281"/>
      <c r="I345" s="281"/>
      <c r="J345" s="275"/>
      <c r="K345" s="258" t="str">
        <f t="shared" si="1"/>
        <v/>
      </c>
      <c r="L345" s="258" t="str">
        <f t="shared" si="2"/>
        <v/>
      </c>
      <c r="O345" s="281"/>
    </row>
    <row r="346" ht="22.5" customHeight="1">
      <c r="A346" s="274"/>
      <c r="C346" s="281"/>
      <c r="D346" s="258" t="str">
        <f t="array" ref="D346">IFERROR(
  INDEX(R_CLIENTES!B:B,
         MATCH(C346, R_CLIENTES!A:A, 0)
  ),
  ""
)</f>
        <v/>
      </c>
      <c r="F346" s="281"/>
      <c r="G346" s="274"/>
      <c r="H346" s="281"/>
      <c r="I346" s="281"/>
      <c r="J346" s="275"/>
      <c r="K346" s="258" t="str">
        <f t="shared" si="1"/>
        <v/>
      </c>
      <c r="L346" s="258" t="str">
        <f t="shared" si="2"/>
        <v/>
      </c>
      <c r="O346" s="281"/>
    </row>
    <row r="347" ht="22.5" customHeight="1">
      <c r="A347" s="274"/>
      <c r="C347" s="281"/>
      <c r="D347" s="258" t="str">
        <f t="array" ref="D347">IFERROR(
  INDEX(R_CLIENTES!B:B,
         MATCH(C347, R_CLIENTES!A:A, 0)
  ),
  ""
)</f>
        <v/>
      </c>
      <c r="F347" s="281"/>
      <c r="G347" s="274"/>
      <c r="H347" s="281"/>
      <c r="I347" s="281"/>
      <c r="J347" s="275"/>
      <c r="K347" s="258" t="str">
        <f t="shared" si="1"/>
        <v/>
      </c>
      <c r="L347" s="258" t="str">
        <f t="shared" si="2"/>
        <v/>
      </c>
      <c r="O347" s="281"/>
    </row>
    <row r="348" ht="22.5" customHeight="1">
      <c r="A348" s="274"/>
      <c r="C348" s="281"/>
      <c r="D348" s="258" t="str">
        <f t="array" ref="D348">IFERROR(
  INDEX(R_CLIENTES!B:B,
         MATCH(C348, R_CLIENTES!A:A, 0)
  ),
  ""
)</f>
        <v/>
      </c>
      <c r="F348" s="281"/>
      <c r="G348" s="274"/>
      <c r="H348" s="281"/>
      <c r="I348" s="281"/>
      <c r="J348" s="275"/>
      <c r="K348" s="258" t="str">
        <f t="shared" si="1"/>
        <v/>
      </c>
      <c r="L348" s="258" t="str">
        <f t="shared" si="2"/>
        <v/>
      </c>
      <c r="O348" s="281"/>
    </row>
    <row r="349" ht="22.5" customHeight="1">
      <c r="A349" s="274"/>
      <c r="C349" s="281"/>
      <c r="D349" s="258" t="str">
        <f t="array" ref="D349">IFERROR(
  INDEX(R_CLIENTES!B:B,
         MATCH(C349, R_CLIENTES!A:A, 0)
  ),
  ""
)</f>
        <v/>
      </c>
      <c r="F349" s="281"/>
      <c r="G349" s="274"/>
      <c r="H349" s="281"/>
      <c r="I349" s="281"/>
      <c r="J349" s="275"/>
      <c r="K349" s="258" t="str">
        <f t="shared" si="1"/>
        <v/>
      </c>
      <c r="L349" s="258" t="str">
        <f t="shared" si="2"/>
        <v/>
      </c>
      <c r="O349" s="281"/>
    </row>
    <row r="350" ht="22.5" customHeight="1">
      <c r="A350" s="274"/>
      <c r="C350" s="281"/>
      <c r="D350" s="258" t="str">
        <f t="array" ref="D350">IFERROR(
  INDEX(R_CLIENTES!B:B,
         MATCH(C350, R_CLIENTES!A:A, 0)
  ),
  ""
)</f>
        <v/>
      </c>
      <c r="F350" s="281"/>
      <c r="G350" s="274"/>
      <c r="H350" s="281"/>
      <c r="I350" s="281"/>
      <c r="J350" s="275"/>
      <c r="K350" s="258" t="str">
        <f t="shared" si="1"/>
        <v/>
      </c>
      <c r="L350" s="258" t="str">
        <f t="shared" si="2"/>
        <v/>
      </c>
      <c r="O350" s="281"/>
    </row>
    <row r="351" ht="22.5" customHeight="1">
      <c r="A351" s="274"/>
      <c r="C351" s="281"/>
      <c r="D351" s="258" t="str">
        <f t="array" ref="D351">IFERROR(
  INDEX(R_CLIENTES!B:B,
         MATCH(C351, R_CLIENTES!A:A, 0)
  ),
  ""
)</f>
        <v/>
      </c>
      <c r="F351" s="281"/>
      <c r="G351" s="274"/>
      <c r="H351" s="281"/>
      <c r="I351" s="281"/>
      <c r="J351" s="275"/>
      <c r="K351" s="258" t="str">
        <f t="shared" si="1"/>
        <v/>
      </c>
      <c r="L351" s="258" t="str">
        <f t="shared" si="2"/>
        <v/>
      </c>
      <c r="O351" s="281"/>
    </row>
    <row r="352" ht="22.5" customHeight="1">
      <c r="A352" s="274"/>
      <c r="C352" s="281"/>
      <c r="D352" s="258" t="str">
        <f t="array" ref="D352">IFERROR(
  INDEX(R_CLIENTES!B:B,
         MATCH(C352, R_CLIENTES!A:A, 0)
  ),
  ""
)</f>
        <v/>
      </c>
      <c r="F352" s="281"/>
      <c r="G352" s="274"/>
      <c r="H352" s="281"/>
      <c r="I352" s="281"/>
      <c r="J352" s="275"/>
      <c r="K352" s="258" t="str">
        <f t="shared" si="1"/>
        <v/>
      </c>
      <c r="L352" s="258" t="str">
        <f t="shared" si="2"/>
        <v/>
      </c>
      <c r="O352" s="281"/>
    </row>
    <row r="353" ht="22.5" customHeight="1">
      <c r="A353" s="274"/>
      <c r="C353" s="281"/>
      <c r="D353" s="258" t="str">
        <f t="array" ref="D353">IFERROR(
  INDEX(R_CLIENTES!B:B,
         MATCH(C353, R_CLIENTES!A:A, 0)
  ),
  ""
)</f>
        <v/>
      </c>
      <c r="F353" s="281"/>
      <c r="G353" s="274"/>
      <c r="H353" s="281"/>
      <c r="I353" s="281"/>
      <c r="J353" s="275"/>
      <c r="K353" s="258" t="str">
        <f t="shared" si="1"/>
        <v/>
      </c>
      <c r="L353" s="258" t="str">
        <f t="shared" si="2"/>
        <v/>
      </c>
      <c r="O353" s="281"/>
    </row>
    <row r="354" ht="22.5" customHeight="1">
      <c r="A354" s="274"/>
      <c r="C354" s="281"/>
      <c r="D354" s="258" t="str">
        <f t="array" ref="D354">IFERROR(
  INDEX(R_CLIENTES!B:B,
         MATCH(C354, R_CLIENTES!A:A, 0)
  ),
  ""
)</f>
        <v/>
      </c>
      <c r="F354" s="281"/>
      <c r="G354" s="274"/>
      <c r="H354" s="281"/>
      <c r="I354" s="281"/>
      <c r="J354" s="275"/>
      <c r="K354" s="258" t="str">
        <f t="shared" si="1"/>
        <v/>
      </c>
      <c r="L354" s="258" t="str">
        <f t="shared" si="2"/>
        <v/>
      </c>
      <c r="O354" s="281"/>
    </row>
    <row r="355" ht="22.5" customHeight="1">
      <c r="A355" s="274"/>
      <c r="C355" s="281"/>
      <c r="D355" s="258" t="str">
        <f t="array" ref="D355">IFERROR(
  INDEX(R_CLIENTES!B:B,
         MATCH(C355, R_CLIENTES!A:A, 0)
  ),
  ""
)</f>
        <v/>
      </c>
      <c r="F355" s="281"/>
      <c r="G355" s="274"/>
      <c r="H355" s="281"/>
      <c r="I355" s="281"/>
      <c r="J355" s="275"/>
      <c r="K355" s="258" t="str">
        <f t="shared" si="1"/>
        <v/>
      </c>
      <c r="L355" s="258" t="str">
        <f t="shared" si="2"/>
        <v/>
      </c>
      <c r="O355" s="281"/>
    </row>
    <row r="356" ht="22.5" customHeight="1">
      <c r="A356" s="274"/>
      <c r="C356" s="281"/>
      <c r="D356" s="258" t="str">
        <f t="array" ref="D356">IFERROR(
  INDEX(R_CLIENTES!B:B,
         MATCH(C356, R_CLIENTES!A:A, 0)
  ),
  ""
)</f>
        <v/>
      </c>
      <c r="F356" s="281"/>
      <c r="G356" s="274"/>
      <c r="H356" s="281"/>
      <c r="I356" s="281"/>
      <c r="J356" s="275"/>
      <c r="K356" s="258" t="str">
        <f t="shared" si="1"/>
        <v/>
      </c>
      <c r="L356" s="258" t="str">
        <f t="shared" si="2"/>
        <v/>
      </c>
      <c r="O356" s="281"/>
    </row>
    <row r="357" ht="22.5" customHeight="1">
      <c r="A357" s="274"/>
      <c r="C357" s="281"/>
      <c r="D357" s="258" t="str">
        <f t="array" ref="D357">IFERROR(
  INDEX(R_CLIENTES!B:B,
         MATCH(C357, R_CLIENTES!A:A, 0)
  ),
  ""
)</f>
        <v/>
      </c>
      <c r="F357" s="281"/>
      <c r="G357" s="274"/>
      <c r="H357" s="281"/>
      <c r="I357" s="281"/>
      <c r="J357" s="275"/>
      <c r="K357" s="258" t="str">
        <f t="shared" si="1"/>
        <v/>
      </c>
      <c r="L357" s="258" t="str">
        <f t="shared" si="2"/>
        <v/>
      </c>
      <c r="O357" s="281"/>
    </row>
    <row r="358" ht="22.5" customHeight="1">
      <c r="A358" s="274"/>
      <c r="C358" s="281"/>
      <c r="D358" s="258" t="str">
        <f t="array" ref="D358">IFERROR(
  INDEX(R_CLIENTES!B:B,
         MATCH(C358, R_CLIENTES!A:A, 0)
  ),
  ""
)</f>
        <v/>
      </c>
      <c r="F358" s="281"/>
      <c r="G358" s="274"/>
      <c r="H358" s="281"/>
      <c r="I358" s="281"/>
      <c r="J358" s="275"/>
      <c r="K358" s="258" t="str">
        <f t="shared" si="1"/>
        <v/>
      </c>
      <c r="L358" s="258" t="str">
        <f t="shared" si="2"/>
        <v/>
      </c>
      <c r="O358" s="281"/>
    </row>
    <row r="359" ht="22.5" customHeight="1">
      <c r="A359" s="274"/>
      <c r="C359" s="281"/>
      <c r="D359" s="258" t="str">
        <f t="array" ref="D359">IFERROR(
  INDEX(R_CLIENTES!B:B,
         MATCH(C359, R_CLIENTES!A:A, 0)
  ),
  ""
)</f>
        <v/>
      </c>
      <c r="F359" s="281"/>
      <c r="G359" s="274"/>
      <c r="H359" s="281"/>
      <c r="I359" s="281"/>
      <c r="J359" s="275"/>
      <c r="K359" s="258" t="str">
        <f t="shared" si="1"/>
        <v/>
      </c>
      <c r="L359" s="258" t="str">
        <f t="shared" si="2"/>
        <v/>
      </c>
      <c r="O359" s="281"/>
    </row>
    <row r="360" ht="22.5" customHeight="1">
      <c r="A360" s="274"/>
      <c r="C360" s="281"/>
      <c r="D360" s="258" t="str">
        <f t="array" ref="D360">IFERROR(
  INDEX(R_CLIENTES!B:B,
         MATCH(C360, R_CLIENTES!A:A, 0)
  ),
  ""
)</f>
        <v/>
      </c>
      <c r="F360" s="281"/>
      <c r="G360" s="274"/>
      <c r="H360" s="281"/>
      <c r="I360" s="281"/>
      <c r="J360" s="275"/>
      <c r="K360" s="258" t="str">
        <f t="shared" si="1"/>
        <v/>
      </c>
      <c r="L360" s="258" t="str">
        <f t="shared" si="2"/>
        <v/>
      </c>
      <c r="O360" s="281"/>
    </row>
    <row r="361" ht="22.5" customHeight="1">
      <c r="A361" s="274"/>
      <c r="C361" s="281"/>
      <c r="D361" s="258" t="str">
        <f t="array" ref="D361">IFERROR(
  INDEX(R_CLIENTES!B:B,
         MATCH(C361, R_CLIENTES!A:A, 0)
  ),
  ""
)</f>
        <v/>
      </c>
      <c r="F361" s="281"/>
      <c r="G361" s="274"/>
      <c r="H361" s="281"/>
      <c r="I361" s="281"/>
      <c r="J361" s="275"/>
      <c r="K361" s="258" t="str">
        <f t="shared" si="1"/>
        <v/>
      </c>
      <c r="L361" s="258" t="str">
        <f t="shared" si="2"/>
        <v/>
      </c>
      <c r="O361" s="281"/>
    </row>
    <row r="362" ht="22.5" customHeight="1">
      <c r="A362" s="274"/>
      <c r="C362" s="281"/>
      <c r="D362" s="258" t="str">
        <f t="array" ref="D362">IFERROR(
  INDEX(R_CLIENTES!B:B,
         MATCH(C362, R_CLIENTES!A:A, 0)
  ),
  ""
)</f>
        <v/>
      </c>
      <c r="F362" s="281"/>
      <c r="G362" s="274"/>
      <c r="H362" s="281"/>
      <c r="I362" s="281"/>
      <c r="J362" s="275"/>
      <c r="K362" s="258" t="str">
        <f t="shared" si="1"/>
        <v/>
      </c>
      <c r="L362" s="258" t="str">
        <f t="shared" si="2"/>
        <v/>
      </c>
      <c r="O362" s="281"/>
    </row>
    <row r="363" ht="22.5" customHeight="1">
      <c r="A363" s="274"/>
      <c r="C363" s="281"/>
      <c r="D363" s="258" t="str">
        <f t="array" ref="D363">IFERROR(
  INDEX(R_CLIENTES!B:B,
         MATCH(C363, R_CLIENTES!A:A, 0)
  ),
  ""
)</f>
        <v/>
      </c>
      <c r="F363" s="281"/>
      <c r="G363" s="274"/>
      <c r="H363" s="281"/>
      <c r="I363" s="281"/>
      <c r="J363" s="275"/>
      <c r="K363" s="258" t="str">
        <f t="shared" si="1"/>
        <v/>
      </c>
      <c r="L363" s="258" t="str">
        <f t="shared" si="2"/>
        <v/>
      </c>
      <c r="O363" s="281"/>
    </row>
    <row r="364" ht="22.5" customHeight="1">
      <c r="A364" s="274"/>
      <c r="C364" s="281"/>
      <c r="D364" s="258" t="str">
        <f t="array" ref="D364">IFERROR(
  INDEX(R_CLIENTES!B:B,
         MATCH(C364, R_CLIENTES!A:A, 0)
  ),
  ""
)</f>
        <v/>
      </c>
      <c r="F364" s="281"/>
      <c r="G364" s="274"/>
      <c r="H364" s="281"/>
      <c r="I364" s="281"/>
      <c r="J364" s="275"/>
      <c r="K364" s="258" t="str">
        <f t="shared" si="1"/>
        <v/>
      </c>
      <c r="L364" s="258" t="str">
        <f t="shared" si="2"/>
        <v/>
      </c>
      <c r="O364" s="281"/>
    </row>
    <row r="365" ht="22.5" customHeight="1">
      <c r="A365" s="274"/>
      <c r="C365" s="281"/>
      <c r="D365" s="258" t="str">
        <f t="array" ref="D365">IFERROR(
  INDEX(R_CLIENTES!B:B,
         MATCH(C365, R_CLIENTES!A:A, 0)
  ),
  ""
)</f>
        <v/>
      </c>
      <c r="F365" s="281"/>
      <c r="G365" s="274"/>
      <c r="H365" s="281"/>
      <c r="I365" s="281"/>
      <c r="J365" s="275"/>
      <c r="K365" s="258" t="str">
        <f t="shared" si="1"/>
        <v/>
      </c>
      <c r="L365" s="258" t="str">
        <f t="shared" si="2"/>
        <v/>
      </c>
      <c r="O365" s="281"/>
    </row>
    <row r="366" ht="22.5" customHeight="1">
      <c r="A366" s="274"/>
      <c r="C366" s="281"/>
      <c r="D366" s="258" t="str">
        <f t="array" ref="D366">IFERROR(
  INDEX(R_CLIENTES!B:B,
         MATCH(C366, R_CLIENTES!A:A, 0)
  ),
  ""
)</f>
        <v/>
      </c>
      <c r="F366" s="281"/>
      <c r="G366" s="274"/>
      <c r="H366" s="281"/>
      <c r="I366" s="281"/>
      <c r="J366" s="275"/>
      <c r="K366" s="258" t="str">
        <f t="shared" si="1"/>
        <v/>
      </c>
      <c r="L366" s="258" t="str">
        <f t="shared" si="2"/>
        <v/>
      </c>
      <c r="O366" s="281"/>
    </row>
    <row r="367" ht="22.5" customHeight="1">
      <c r="A367" s="274"/>
      <c r="C367" s="281"/>
      <c r="D367" s="258" t="str">
        <f t="array" ref="D367">IFERROR(
  INDEX(R_CLIENTES!B:B,
         MATCH(C367, R_CLIENTES!A:A, 0)
  ),
  ""
)</f>
        <v/>
      </c>
      <c r="F367" s="281"/>
      <c r="G367" s="274"/>
      <c r="H367" s="281"/>
      <c r="I367" s="281"/>
      <c r="J367" s="275"/>
      <c r="K367" s="258" t="str">
        <f t="shared" si="1"/>
        <v/>
      </c>
      <c r="L367" s="258" t="str">
        <f t="shared" si="2"/>
        <v/>
      </c>
      <c r="O367" s="281"/>
    </row>
    <row r="368" ht="22.5" customHeight="1">
      <c r="A368" s="274"/>
      <c r="C368" s="281"/>
      <c r="D368" s="258" t="str">
        <f t="array" ref="D368">IFERROR(
  INDEX(R_CLIENTES!B:B,
         MATCH(C368, R_CLIENTES!A:A, 0)
  ),
  ""
)</f>
        <v/>
      </c>
      <c r="F368" s="281"/>
      <c r="G368" s="274"/>
      <c r="H368" s="281"/>
      <c r="I368" s="281"/>
      <c r="J368" s="275"/>
      <c r="K368" s="258" t="str">
        <f t="shared" si="1"/>
        <v/>
      </c>
      <c r="L368" s="258" t="str">
        <f t="shared" si="2"/>
        <v/>
      </c>
      <c r="O368" s="281"/>
    </row>
    <row r="369" ht="22.5" customHeight="1">
      <c r="A369" s="274"/>
      <c r="C369" s="281"/>
      <c r="D369" s="258" t="str">
        <f t="array" ref="D369">IFERROR(
  INDEX(R_CLIENTES!B:B,
         MATCH(C369, R_CLIENTES!A:A, 0)
  ),
  ""
)</f>
        <v/>
      </c>
      <c r="F369" s="281"/>
      <c r="G369" s="274"/>
      <c r="H369" s="281"/>
      <c r="I369" s="281"/>
      <c r="J369" s="275"/>
      <c r="K369" s="258" t="str">
        <f t="shared" si="1"/>
        <v/>
      </c>
      <c r="L369" s="258" t="str">
        <f t="shared" si="2"/>
        <v/>
      </c>
      <c r="O369" s="281"/>
    </row>
    <row r="370" ht="22.5" customHeight="1">
      <c r="A370" s="274"/>
      <c r="C370" s="281"/>
      <c r="D370" s="258" t="str">
        <f t="array" ref="D370">IFERROR(
  INDEX(R_CLIENTES!B:B,
         MATCH(C370, R_CLIENTES!A:A, 0)
  ),
  ""
)</f>
        <v/>
      </c>
      <c r="F370" s="281"/>
      <c r="G370" s="274"/>
      <c r="H370" s="281"/>
      <c r="I370" s="281"/>
      <c r="J370" s="275"/>
      <c r="K370" s="258" t="str">
        <f t="shared" si="1"/>
        <v/>
      </c>
      <c r="L370" s="258" t="str">
        <f t="shared" si="2"/>
        <v/>
      </c>
      <c r="O370" s="281"/>
    </row>
    <row r="371" ht="22.5" customHeight="1">
      <c r="A371" s="274"/>
      <c r="C371" s="281"/>
      <c r="D371" s="258" t="str">
        <f t="array" ref="D371">IFERROR(
  INDEX(R_CLIENTES!B:B,
         MATCH(C371, R_CLIENTES!A:A, 0)
  ),
  ""
)</f>
        <v/>
      </c>
      <c r="F371" s="281"/>
      <c r="G371" s="274"/>
      <c r="H371" s="281"/>
      <c r="I371" s="281"/>
      <c r="J371" s="275"/>
      <c r="K371" s="258" t="str">
        <f t="shared" si="1"/>
        <v/>
      </c>
      <c r="L371" s="258" t="str">
        <f t="shared" si="2"/>
        <v/>
      </c>
      <c r="O371" s="281"/>
    </row>
    <row r="372" ht="22.5" customHeight="1">
      <c r="A372" s="274"/>
      <c r="C372" s="281"/>
      <c r="D372" s="258" t="str">
        <f t="array" ref="D372">IFERROR(
  INDEX(R_CLIENTES!B:B,
         MATCH(C372, R_CLIENTES!A:A, 0)
  ),
  ""
)</f>
        <v/>
      </c>
      <c r="F372" s="281"/>
      <c r="G372" s="274"/>
      <c r="H372" s="281"/>
      <c r="I372" s="281"/>
      <c r="J372" s="275"/>
      <c r="K372" s="258" t="str">
        <f t="shared" si="1"/>
        <v/>
      </c>
      <c r="L372" s="258" t="str">
        <f t="shared" si="2"/>
        <v/>
      </c>
      <c r="O372" s="281"/>
    </row>
    <row r="373" ht="22.5" customHeight="1">
      <c r="A373" s="274"/>
      <c r="C373" s="281"/>
      <c r="D373" s="258" t="str">
        <f t="array" ref="D373">IFERROR(
  INDEX(R_CLIENTES!B:B,
         MATCH(C373, R_CLIENTES!A:A, 0)
  ),
  ""
)</f>
        <v/>
      </c>
      <c r="F373" s="281"/>
      <c r="G373" s="274"/>
      <c r="H373" s="281"/>
      <c r="I373" s="281"/>
      <c r="J373" s="275"/>
      <c r="K373" s="258" t="str">
        <f t="shared" si="1"/>
        <v/>
      </c>
      <c r="L373" s="258" t="str">
        <f t="shared" si="2"/>
        <v/>
      </c>
      <c r="O373" s="281"/>
    </row>
    <row r="374" ht="22.5" customHeight="1">
      <c r="A374" s="274"/>
      <c r="C374" s="281"/>
      <c r="D374" s="258" t="str">
        <f t="array" ref="D374">IFERROR(
  INDEX(R_CLIENTES!B:B,
         MATCH(C374, R_CLIENTES!A:A, 0)
  ),
  ""
)</f>
        <v/>
      </c>
      <c r="F374" s="281"/>
      <c r="G374" s="274"/>
      <c r="H374" s="281"/>
      <c r="I374" s="281"/>
      <c r="J374" s="275"/>
      <c r="K374" s="258" t="str">
        <f t="shared" si="1"/>
        <v/>
      </c>
      <c r="L374" s="258" t="str">
        <f t="shared" si="2"/>
        <v/>
      </c>
      <c r="O374" s="281"/>
    </row>
    <row r="375" ht="22.5" customHeight="1">
      <c r="A375" s="274"/>
      <c r="C375" s="281"/>
      <c r="D375" s="258" t="str">
        <f t="array" ref="D375">IFERROR(
  INDEX(R_CLIENTES!B:B,
         MATCH(C375, R_CLIENTES!A:A, 0)
  ),
  ""
)</f>
        <v/>
      </c>
      <c r="F375" s="281"/>
      <c r="G375" s="274"/>
      <c r="H375" s="281"/>
      <c r="I375" s="281"/>
      <c r="J375" s="275"/>
      <c r="K375" s="258" t="str">
        <f t="shared" si="1"/>
        <v/>
      </c>
      <c r="L375" s="258" t="str">
        <f t="shared" si="2"/>
        <v/>
      </c>
      <c r="O375" s="281"/>
    </row>
    <row r="376" ht="22.5" customHeight="1">
      <c r="A376" s="274"/>
      <c r="C376" s="281"/>
      <c r="D376" s="258" t="str">
        <f t="array" ref="D376">IFERROR(
  INDEX(R_CLIENTES!B:B,
         MATCH(C376, R_CLIENTES!A:A, 0)
  ),
  ""
)</f>
        <v/>
      </c>
      <c r="F376" s="281"/>
      <c r="G376" s="274"/>
      <c r="H376" s="281"/>
      <c r="I376" s="281"/>
      <c r="J376" s="275"/>
      <c r="K376" s="258" t="str">
        <f t="shared" si="1"/>
        <v/>
      </c>
      <c r="L376" s="258" t="str">
        <f t="shared" si="2"/>
        <v/>
      </c>
      <c r="O376" s="281"/>
    </row>
    <row r="377" ht="22.5" customHeight="1">
      <c r="A377" s="274"/>
      <c r="C377" s="281"/>
      <c r="D377" s="258" t="str">
        <f t="array" ref="D377">IFERROR(
  INDEX(R_CLIENTES!B:B,
         MATCH(C377, R_CLIENTES!A:A, 0)
  ),
  ""
)</f>
        <v/>
      </c>
      <c r="F377" s="281"/>
      <c r="G377" s="274"/>
      <c r="H377" s="281"/>
      <c r="I377" s="281"/>
      <c r="J377" s="275"/>
      <c r="K377" s="258" t="str">
        <f t="shared" si="1"/>
        <v/>
      </c>
      <c r="L377" s="258" t="str">
        <f t="shared" si="2"/>
        <v/>
      </c>
      <c r="O377" s="281"/>
    </row>
    <row r="378" ht="22.5" customHeight="1">
      <c r="A378" s="274"/>
      <c r="C378" s="281"/>
      <c r="D378" s="258" t="str">
        <f t="array" ref="D378">IFERROR(
  INDEX(R_CLIENTES!B:B,
         MATCH(C378, R_CLIENTES!A:A, 0)
  ),
  ""
)</f>
        <v/>
      </c>
      <c r="F378" s="281"/>
      <c r="G378" s="274"/>
      <c r="H378" s="281"/>
      <c r="I378" s="281"/>
      <c r="J378" s="275"/>
      <c r="K378" s="258" t="str">
        <f t="shared" si="1"/>
        <v/>
      </c>
      <c r="L378" s="258" t="str">
        <f t="shared" si="2"/>
        <v/>
      </c>
      <c r="O378" s="281"/>
    </row>
    <row r="379" ht="22.5" customHeight="1">
      <c r="A379" s="274"/>
      <c r="C379" s="281"/>
      <c r="D379" s="258" t="str">
        <f t="array" ref="D379">IFERROR(
  INDEX(R_CLIENTES!B:B,
         MATCH(C379, R_CLIENTES!A:A, 0)
  ),
  ""
)</f>
        <v/>
      </c>
      <c r="F379" s="281"/>
      <c r="G379" s="274"/>
      <c r="H379" s="281"/>
      <c r="I379" s="281"/>
      <c r="J379" s="275"/>
      <c r="K379" s="258" t="str">
        <f t="shared" si="1"/>
        <v/>
      </c>
      <c r="L379" s="258" t="str">
        <f t="shared" si="2"/>
        <v/>
      </c>
      <c r="O379" s="281"/>
    </row>
    <row r="380" ht="22.5" customHeight="1">
      <c r="A380" s="274"/>
      <c r="C380" s="281"/>
      <c r="D380" s="258" t="str">
        <f t="array" ref="D380">IFERROR(
  INDEX(R_CLIENTES!B:B,
         MATCH(C380, R_CLIENTES!A:A, 0)
  ),
  ""
)</f>
        <v/>
      </c>
      <c r="F380" s="281"/>
      <c r="G380" s="274"/>
      <c r="H380" s="281"/>
      <c r="I380" s="281"/>
      <c r="J380" s="275"/>
      <c r="K380" s="258" t="str">
        <f t="shared" si="1"/>
        <v/>
      </c>
      <c r="L380" s="258" t="str">
        <f t="shared" si="2"/>
        <v/>
      </c>
      <c r="O380" s="281"/>
    </row>
    <row r="381" ht="22.5" customHeight="1">
      <c r="A381" s="274"/>
      <c r="C381" s="281"/>
      <c r="D381" s="258" t="str">
        <f t="array" ref="D381">IFERROR(
  INDEX(R_CLIENTES!B:B,
         MATCH(C381, R_CLIENTES!A:A, 0)
  ),
  ""
)</f>
        <v/>
      </c>
      <c r="F381" s="281"/>
      <c r="G381" s="274"/>
      <c r="H381" s="281"/>
      <c r="I381" s="281"/>
      <c r="J381" s="275"/>
      <c r="K381" s="258" t="str">
        <f t="shared" si="1"/>
        <v/>
      </c>
      <c r="L381" s="258" t="str">
        <f t="shared" si="2"/>
        <v/>
      </c>
      <c r="O381" s="281"/>
    </row>
    <row r="382" ht="22.5" customHeight="1">
      <c r="A382" s="274"/>
      <c r="C382" s="281"/>
      <c r="D382" s="258" t="str">
        <f t="array" ref="D382">IFERROR(
  INDEX(R_CLIENTES!B:B,
         MATCH(C382, R_CLIENTES!A:A, 0)
  ),
  ""
)</f>
        <v/>
      </c>
      <c r="F382" s="281"/>
      <c r="G382" s="274"/>
      <c r="H382" s="281"/>
      <c r="I382" s="281"/>
      <c r="J382" s="275"/>
      <c r="K382" s="258" t="str">
        <f t="shared" si="1"/>
        <v/>
      </c>
      <c r="L382" s="258" t="str">
        <f t="shared" si="2"/>
        <v/>
      </c>
      <c r="O382" s="281"/>
    </row>
    <row r="383" ht="22.5" customHeight="1">
      <c r="A383" s="274"/>
      <c r="C383" s="281"/>
      <c r="D383" s="258" t="str">
        <f t="array" ref="D383">IFERROR(
  INDEX(R_CLIENTES!B:B,
         MATCH(C383, R_CLIENTES!A:A, 0)
  ),
  ""
)</f>
        <v/>
      </c>
      <c r="F383" s="281"/>
      <c r="G383" s="274"/>
      <c r="H383" s="281"/>
      <c r="I383" s="281"/>
      <c r="J383" s="275"/>
      <c r="K383" s="258" t="str">
        <f t="shared" si="1"/>
        <v/>
      </c>
      <c r="L383" s="258" t="str">
        <f t="shared" si="2"/>
        <v/>
      </c>
      <c r="O383" s="281"/>
    </row>
    <row r="384" ht="22.5" customHeight="1">
      <c r="A384" s="274"/>
      <c r="C384" s="281"/>
      <c r="D384" s="258" t="str">
        <f t="array" ref="D384">IFERROR(
  INDEX(R_CLIENTES!B:B,
         MATCH(C384, R_CLIENTES!A:A, 0)
  ),
  ""
)</f>
        <v/>
      </c>
      <c r="F384" s="281"/>
      <c r="G384" s="274"/>
      <c r="H384" s="281"/>
      <c r="I384" s="281"/>
      <c r="J384" s="275"/>
      <c r="K384" s="258" t="str">
        <f t="shared" si="1"/>
        <v/>
      </c>
      <c r="L384" s="258" t="str">
        <f t="shared" si="2"/>
        <v/>
      </c>
      <c r="O384" s="281"/>
    </row>
    <row r="385" ht="22.5" customHeight="1">
      <c r="A385" s="274"/>
      <c r="C385" s="281"/>
      <c r="D385" s="258" t="str">
        <f t="array" ref="D385">IFERROR(
  INDEX(R_CLIENTES!B:B,
         MATCH(C385, R_CLIENTES!A:A, 0)
  ),
  ""
)</f>
        <v/>
      </c>
      <c r="F385" s="281"/>
      <c r="G385" s="274"/>
      <c r="H385" s="281"/>
      <c r="I385" s="281"/>
      <c r="J385" s="275"/>
      <c r="K385" s="258" t="str">
        <f t="shared" si="1"/>
        <v/>
      </c>
      <c r="L385" s="258" t="str">
        <f t="shared" si="2"/>
        <v/>
      </c>
      <c r="O385" s="281"/>
    </row>
    <row r="386" ht="22.5" customHeight="1">
      <c r="A386" s="274"/>
      <c r="C386" s="281"/>
      <c r="D386" s="258" t="str">
        <f t="array" ref="D386">IFERROR(
  INDEX(R_CLIENTES!B:B,
         MATCH(C386, R_CLIENTES!A:A, 0)
  ),
  ""
)</f>
        <v/>
      </c>
      <c r="F386" s="281"/>
      <c r="G386" s="274"/>
      <c r="H386" s="281"/>
      <c r="I386" s="281"/>
      <c r="J386" s="275"/>
      <c r="K386" s="258" t="str">
        <f t="shared" si="1"/>
        <v/>
      </c>
      <c r="L386" s="258" t="str">
        <f t="shared" si="2"/>
        <v/>
      </c>
      <c r="O386" s="281"/>
    </row>
    <row r="387" ht="22.5" customHeight="1">
      <c r="A387" s="274"/>
      <c r="C387" s="281"/>
      <c r="D387" s="258" t="str">
        <f t="array" ref="D387">IFERROR(
  INDEX(R_CLIENTES!B:B,
         MATCH(C387, R_CLIENTES!A:A, 0)
  ),
  ""
)</f>
        <v/>
      </c>
      <c r="F387" s="281"/>
      <c r="G387" s="274"/>
      <c r="H387" s="281"/>
      <c r="I387" s="281"/>
      <c r="J387" s="275"/>
      <c r="K387" s="258" t="str">
        <f t="shared" si="1"/>
        <v/>
      </c>
      <c r="L387" s="258" t="str">
        <f t="shared" si="2"/>
        <v/>
      </c>
      <c r="O387" s="281"/>
    </row>
    <row r="388" ht="22.5" customHeight="1">
      <c r="A388" s="274"/>
      <c r="C388" s="281"/>
      <c r="D388" s="258" t="str">
        <f t="array" ref="D388">IFERROR(
  INDEX(R_CLIENTES!B:B,
         MATCH(C388, R_CLIENTES!A:A, 0)
  ),
  ""
)</f>
        <v/>
      </c>
      <c r="F388" s="281"/>
      <c r="G388" s="274"/>
      <c r="H388" s="281"/>
      <c r="I388" s="281"/>
      <c r="J388" s="275"/>
      <c r="K388" s="258" t="str">
        <f t="shared" si="1"/>
        <v/>
      </c>
      <c r="L388" s="258" t="str">
        <f t="shared" si="2"/>
        <v/>
      </c>
      <c r="O388" s="281"/>
    </row>
    <row r="389" ht="22.5" customHeight="1">
      <c r="A389" s="274"/>
      <c r="C389" s="281"/>
      <c r="D389" s="258" t="str">
        <f t="array" ref="D389">IFERROR(
  INDEX(R_CLIENTES!B:B,
         MATCH(C389, R_CLIENTES!A:A, 0)
  ),
  ""
)</f>
        <v/>
      </c>
      <c r="F389" s="281"/>
      <c r="G389" s="274"/>
      <c r="H389" s="281"/>
      <c r="I389" s="281"/>
      <c r="J389" s="275"/>
      <c r="K389" s="258" t="str">
        <f t="shared" si="1"/>
        <v/>
      </c>
      <c r="L389" s="258" t="str">
        <f t="shared" si="2"/>
        <v/>
      </c>
      <c r="O389" s="281"/>
    </row>
    <row r="390" ht="22.5" customHeight="1">
      <c r="A390" s="274"/>
      <c r="C390" s="281"/>
      <c r="D390" s="258" t="str">
        <f t="array" ref="D390">IFERROR(
  INDEX(R_CLIENTES!B:B,
         MATCH(C390, R_CLIENTES!A:A, 0)
  ),
  ""
)</f>
        <v/>
      </c>
      <c r="F390" s="281"/>
      <c r="G390" s="274"/>
      <c r="H390" s="281"/>
      <c r="I390" s="281"/>
      <c r="J390" s="275"/>
      <c r="K390" s="258" t="str">
        <f t="shared" si="1"/>
        <v/>
      </c>
      <c r="L390" s="258" t="str">
        <f t="shared" si="2"/>
        <v/>
      </c>
      <c r="O390" s="281"/>
    </row>
    <row r="391" ht="22.5" customHeight="1">
      <c r="A391" s="274"/>
      <c r="C391" s="281"/>
      <c r="D391" s="258" t="str">
        <f t="array" ref="D391">IFERROR(
  INDEX(R_CLIENTES!B:B,
         MATCH(C391, R_CLIENTES!A:A, 0)
  ),
  ""
)</f>
        <v/>
      </c>
      <c r="F391" s="281"/>
      <c r="G391" s="274"/>
      <c r="H391" s="281"/>
      <c r="I391" s="281"/>
      <c r="J391" s="275"/>
      <c r="K391" s="258" t="str">
        <f t="shared" si="1"/>
        <v/>
      </c>
      <c r="L391" s="258" t="str">
        <f t="shared" si="2"/>
        <v/>
      </c>
      <c r="O391" s="281"/>
    </row>
    <row r="392" ht="22.5" customHeight="1">
      <c r="A392" s="274"/>
      <c r="C392" s="281"/>
      <c r="D392" s="258" t="str">
        <f t="array" ref="D392">IFERROR(
  INDEX(R_CLIENTES!B:B,
         MATCH(C392, R_CLIENTES!A:A, 0)
  ),
  ""
)</f>
        <v/>
      </c>
      <c r="F392" s="281"/>
      <c r="G392" s="274"/>
      <c r="H392" s="281"/>
      <c r="I392" s="281"/>
      <c r="J392" s="275"/>
      <c r="K392" s="258" t="str">
        <f t="shared" si="1"/>
        <v/>
      </c>
      <c r="L392" s="258" t="str">
        <f t="shared" si="2"/>
        <v/>
      </c>
      <c r="O392" s="281"/>
    </row>
    <row r="393" ht="22.5" customHeight="1">
      <c r="A393" s="274"/>
      <c r="C393" s="281"/>
      <c r="D393" s="258" t="str">
        <f t="array" ref="D393">IFERROR(
  INDEX(R_CLIENTES!B:B,
         MATCH(C393, R_CLIENTES!A:A, 0)
  ),
  ""
)</f>
        <v/>
      </c>
      <c r="F393" s="281"/>
      <c r="G393" s="274"/>
      <c r="H393" s="281"/>
      <c r="I393" s="281"/>
      <c r="J393" s="275"/>
      <c r="K393" s="258" t="str">
        <f t="shared" si="1"/>
        <v/>
      </c>
      <c r="L393" s="258" t="str">
        <f t="shared" si="2"/>
        <v/>
      </c>
      <c r="O393" s="281"/>
    </row>
    <row r="394" ht="22.5" customHeight="1">
      <c r="A394" s="274"/>
      <c r="C394" s="281"/>
      <c r="D394" s="258" t="str">
        <f t="array" ref="D394">IFERROR(
  INDEX(R_CLIENTES!B:B,
         MATCH(C394, R_CLIENTES!A:A, 0)
  ),
  ""
)</f>
        <v/>
      </c>
      <c r="F394" s="281"/>
      <c r="G394" s="274"/>
      <c r="H394" s="281"/>
      <c r="I394" s="281"/>
      <c r="J394" s="275"/>
      <c r="K394" s="258" t="str">
        <f t="shared" si="1"/>
        <v/>
      </c>
      <c r="L394" s="258" t="str">
        <f t="shared" si="2"/>
        <v/>
      </c>
      <c r="O394" s="281"/>
    </row>
    <row r="395" ht="22.5" customHeight="1">
      <c r="A395" s="274"/>
      <c r="C395" s="281"/>
      <c r="D395" s="258" t="str">
        <f t="array" ref="D395">IFERROR(
  INDEX(R_CLIENTES!B:B,
         MATCH(C395, R_CLIENTES!A:A, 0)
  ),
  ""
)</f>
        <v/>
      </c>
      <c r="F395" s="281"/>
      <c r="G395" s="274"/>
      <c r="H395" s="281"/>
      <c r="I395" s="281"/>
      <c r="J395" s="275"/>
      <c r="K395" s="258" t="str">
        <f t="shared" si="1"/>
        <v/>
      </c>
      <c r="L395" s="258" t="str">
        <f t="shared" si="2"/>
        <v/>
      </c>
      <c r="O395" s="281"/>
    </row>
    <row r="396" ht="22.5" customHeight="1">
      <c r="A396" s="274"/>
      <c r="C396" s="281"/>
      <c r="D396" s="258" t="str">
        <f t="array" ref="D396">IFERROR(
  INDEX(R_CLIENTES!B:B,
         MATCH(C396, R_CLIENTES!A:A, 0)
  ),
  ""
)</f>
        <v/>
      </c>
      <c r="F396" s="281"/>
      <c r="G396" s="274"/>
      <c r="H396" s="281"/>
      <c r="I396" s="281"/>
      <c r="J396" s="275"/>
      <c r="K396" s="258" t="str">
        <f t="shared" si="1"/>
        <v/>
      </c>
      <c r="L396" s="258" t="str">
        <f t="shared" si="2"/>
        <v/>
      </c>
      <c r="O396" s="281"/>
    </row>
    <row r="397" ht="22.5" customHeight="1">
      <c r="A397" s="274"/>
      <c r="C397" s="281"/>
      <c r="D397" s="258" t="str">
        <f t="array" ref="D397">IFERROR(
  INDEX(R_CLIENTES!B:B,
         MATCH(C397, R_CLIENTES!A:A, 0)
  ),
  ""
)</f>
        <v/>
      </c>
      <c r="F397" s="281"/>
      <c r="G397" s="274"/>
      <c r="H397" s="281"/>
      <c r="I397" s="281"/>
      <c r="J397" s="275"/>
      <c r="K397" s="258" t="str">
        <f t="shared" si="1"/>
        <v/>
      </c>
      <c r="L397" s="258" t="str">
        <f t="shared" si="2"/>
        <v/>
      </c>
      <c r="O397" s="281"/>
    </row>
    <row r="398" ht="22.5" customHeight="1">
      <c r="A398" s="274"/>
      <c r="C398" s="281"/>
      <c r="D398" s="258" t="str">
        <f t="array" ref="D398">IFERROR(
  INDEX(R_CLIENTES!B:B,
         MATCH(C398, R_CLIENTES!A:A, 0)
  ),
  ""
)</f>
        <v/>
      </c>
      <c r="F398" s="281"/>
      <c r="G398" s="274"/>
      <c r="H398" s="281"/>
      <c r="I398" s="281"/>
      <c r="J398" s="275"/>
      <c r="K398" s="258" t="str">
        <f t="shared" si="1"/>
        <v/>
      </c>
      <c r="L398" s="258" t="str">
        <f t="shared" si="2"/>
        <v/>
      </c>
      <c r="O398" s="281"/>
    </row>
    <row r="399" ht="22.5" customHeight="1">
      <c r="A399" s="274"/>
      <c r="C399" s="281"/>
      <c r="D399" s="258" t="str">
        <f t="array" ref="D399">IFERROR(
  INDEX(R_CLIENTES!B:B,
         MATCH(C399, R_CLIENTES!A:A, 0)
  ),
  ""
)</f>
        <v/>
      </c>
      <c r="F399" s="281"/>
      <c r="G399" s="274"/>
      <c r="H399" s="281"/>
      <c r="I399" s="281"/>
      <c r="J399" s="275"/>
      <c r="K399" s="258" t="str">
        <f t="shared" si="1"/>
        <v/>
      </c>
      <c r="L399" s="258" t="str">
        <f t="shared" si="2"/>
        <v/>
      </c>
      <c r="O399" s="281"/>
    </row>
    <row r="400" ht="22.5" customHeight="1">
      <c r="A400" s="274"/>
      <c r="C400" s="281"/>
      <c r="D400" s="258" t="str">
        <f t="array" ref="D400">IFERROR(
  INDEX(R_CLIENTES!B:B,
         MATCH(C400, R_CLIENTES!A:A, 0)
  ),
  ""
)</f>
        <v/>
      </c>
      <c r="F400" s="281"/>
      <c r="G400" s="274"/>
      <c r="H400" s="281"/>
      <c r="I400" s="281"/>
      <c r="J400" s="275"/>
      <c r="K400" s="258" t="str">
        <f t="shared" si="1"/>
        <v/>
      </c>
      <c r="L400" s="258" t="str">
        <f t="shared" si="2"/>
        <v/>
      </c>
      <c r="O400" s="281"/>
    </row>
    <row r="401" ht="22.5" customHeight="1">
      <c r="A401" s="274"/>
      <c r="C401" s="281"/>
      <c r="D401" s="258" t="str">
        <f t="array" ref="D401">IFERROR(
  INDEX(R_CLIENTES!B:B,
         MATCH(C401, R_CLIENTES!A:A, 0)
  ),
  ""
)</f>
        <v/>
      </c>
      <c r="F401" s="281"/>
      <c r="G401" s="274"/>
      <c r="H401" s="281"/>
      <c r="I401" s="281"/>
      <c r="J401" s="275"/>
      <c r="K401" s="258" t="str">
        <f t="shared" si="1"/>
        <v/>
      </c>
      <c r="L401" s="258" t="str">
        <f t="shared" si="2"/>
        <v/>
      </c>
      <c r="O401" s="281"/>
    </row>
    <row r="402" ht="22.5" customHeight="1">
      <c r="A402" s="274"/>
      <c r="C402" s="281"/>
      <c r="D402" s="258" t="str">
        <f t="array" ref="D402">IFERROR(
  INDEX(R_CLIENTES!B:B,
         MATCH(C402, R_CLIENTES!A:A, 0)
  ),
  ""
)</f>
        <v/>
      </c>
      <c r="F402" s="281"/>
      <c r="G402" s="274"/>
      <c r="H402" s="281"/>
      <c r="I402" s="281"/>
      <c r="J402" s="275"/>
      <c r="K402" s="258" t="str">
        <f t="shared" si="1"/>
        <v/>
      </c>
      <c r="L402" s="258" t="str">
        <f t="shared" si="2"/>
        <v/>
      </c>
      <c r="O402" s="281"/>
    </row>
    <row r="403" ht="22.5" customHeight="1">
      <c r="A403" s="274"/>
      <c r="C403" s="281"/>
      <c r="D403" s="258" t="str">
        <f t="array" ref="D403">IFERROR(
  INDEX(R_CLIENTES!B:B,
         MATCH(C403, R_CLIENTES!A:A, 0)
  ),
  ""
)</f>
        <v/>
      </c>
      <c r="F403" s="281"/>
      <c r="G403" s="274"/>
      <c r="H403" s="281"/>
      <c r="I403" s="281"/>
      <c r="J403" s="275"/>
      <c r="K403" s="258" t="str">
        <f t="shared" si="1"/>
        <v/>
      </c>
      <c r="L403" s="258" t="str">
        <f t="shared" si="2"/>
        <v/>
      </c>
      <c r="O403" s="281"/>
    </row>
    <row r="404" ht="22.5" customHeight="1">
      <c r="A404" s="274"/>
      <c r="C404" s="281"/>
      <c r="D404" s="258" t="str">
        <f t="array" ref="D404">IFERROR(
  INDEX(R_CLIENTES!B:B,
         MATCH(C404, R_CLIENTES!A:A, 0)
  ),
  ""
)</f>
        <v/>
      </c>
      <c r="F404" s="281"/>
      <c r="G404" s="274"/>
      <c r="H404" s="281"/>
      <c r="I404" s="281"/>
      <c r="J404" s="275"/>
      <c r="K404" s="258" t="str">
        <f t="shared" si="1"/>
        <v/>
      </c>
      <c r="L404" s="258" t="str">
        <f t="shared" si="2"/>
        <v/>
      </c>
      <c r="O404" s="281"/>
    </row>
    <row r="405" ht="22.5" customHeight="1">
      <c r="A405" s="274"/>
      <c r="C405" s="281"/>
      <c r="D405" s="258" t="str">
        <f t="array" ref="D405">IFERROR(
  INDEX(R_CLIENTES!B:B,
         MATCH(C405, R_CLIENTES!A:A, 0)
  ),
  ""
)</f>
        <v/>
      </c>
      <c r="F405" s="281"/>
      <c r="G405" s="274"/>
      <c r="H405" s="281"/>
      <c r="I405" s="281"/>
      <c r="J405" s="275"/>
      <c r="K405" s="258" t="str">
        <f t="shared" si="1"/>
        <v/>
      </c>
      <c r="L405" s="258" t="str">
        <f t="shared" si="2"/>
        <v/>
      </c>
      <c r="O405" s="281"/>
    </row>
    <row r="406" ht="22.5" customHeight="1">
      <c r="A406" s="274"/>
      <c r="C406" s="281"/>
      <c r="D406" s="258" t="str">
        <f t="array" ref="D406">IFERROR(
  INDEX(R_CLIENTES!B:B,
         MATCH(C406, R_CLIENTES!A:A, 0)
  ),
  ""
)</f>
        <v/>
      </c>
      <c r="F406" s="281"/>
      <c r="G406" s="274"/>
      <c r="H406" s="281"/>
      <c r="I406" s="281"/>
      <c r="J406" s="275"/>
      <c r="K406" s="258" t="str">
        <f t="shared" si="1"/>
        <v/>
      </c>
      <c r="L406" s="258" t="str">
        <f t="shared" si="2"/>
        <v/>
      </c>
      <c r="O406" s="281"/>
    </row>
    <row r="407" ht="22.5" customHeight="1">
      <c r="A407" s="274"/>
      <c r="C407" s="281"/>
      <c r="D407" s="258" t="str">
        <f t="array" ref="D407">IFERROR(
  INDEX(R_CLIENTES!B:B,
         MATCH(C407, R_CLIENTES!A:A, 0)
  ),
  ""
)</f>
        <v/>
      </c>
      <c r="F407" s="281"/>
      <c r="G407" s="274"/>
      <c r="H407" s="281"/>
      <c r="I407" s="281"/>
      <c r="J407" s="275"/>
      <c r="K407" s="258" t="str">
        <f t="shared" si="1"/>
        <v/>
      </c>
      <c r="L407" s="258" t="str">
        <f t="shared" si="2"/>
        <v/>
      </c>
      <c r="O407" s="281"/>
    </row>
    <row r="408" ht="22.5" customHeight="1">
      <c r="A408" s="274"/>
      <c r="C408" s="281"/>
      <c r="D408" s="258" t="str">
        <f t="array" ref="D408">IFERROR(
  INDEX(R_CLIENTES!B:B,
         MATCH(C408, R_CLIENTES!A:A, 0)
  ),
  ""
)</f>
        <v/>
      </c>
      <c r="F408" s="281"/>
      <c r="G408" s="274"/>
      <c r="H408" s="281"/>
      <c r="I408" s="281"/>
      <c r="J408" s="275"/>
      <c r="K408" s="258" t="str">
        <f t="shared" si="1"/>
        <v/>
      </c>
      <c r="L408" s="258" t="str">
        <f t="shared" si="2"/>
        <v/>
      </c>
      <c r="O408" s="281"/>
    </row>
    <row r="409" ht="22.5" customHeight="1">
      <c r="A409" s="274"/>
      <c r="C409" s="281"/>
      <c r="D409" s="258" t="str">
        <f t="array" ref="D409">IFERROR(
  INDEX(R_CLIENTES!B:B,
         MATCH(C409, R_CLIENTES!A:A, 0)
  ),
  ""
)</f>
        <v/>
      </c>
      <c r="F409" s="281"/>
      <c r="G409" s="274"/>
      <c r="H409" s="281"/>
      <c r="I409" s="281"/>
      <c r="J409" s="275"/>
      <c r="K409" s="258" t="str">
        <f t="shared" si="1"/>
        <v/>
      </c>
      <c r="L409" s="258" t="str">
        <f t="shared" si="2"/>
        <v/>
      </c>
      <c r="O409" s="281"/>
    </row>
    <row r="410" ht="22.5" customHeight="1">
      <c r="A410" s="274"/>
      <c r="C410" s="281"/>
      <c r="D410" s="258" t="str">
        <f t="array" ref="D410">IFERROR(
  INDEX(R_CLIENTES!B:B,
         MATCH(C410, R_CLIENTES!A:A, 0)
  ),
  ""
)</f>
        <v/>
      </c>
      <c r="F410" s="281"/>
      <c r="G410" s="274"/>
      <c r="H410" s="281"/>
      <c r="I410" s="281"/>
      <c r="J410" s="275"/>
      <c r="K410" s="258" t="str">
        <f t="shared" si="1"/>
        <v/>
      </c>
      <c r="L410" s="258" t="str">
        <f t="shared" si="2"/>
        <v/>
      </c>
      <c r="O410" s="281"/>
    </row>
    <row r="411" ht="22.5" customHeight="1">
      <c r="A411" s="274"/>
      <c r="C411" s="281"/>
      <c r="D411" s="258" t="str">
        <f t="array" ref="D411">IFERROR(
  INDEX(R_CLIENTES!B:B,
         MATCH(C411, R_CLIENTES!A:A, 0)
  ),
  ""
)</f>
        <v/>
      </c>
      <c r="F411" s="281"/>
      <c r="G411" s="274"/>
      <c r="H411" s="281"/>
      <c r="I411" s="281"/>
      <c r="J411" s="275"/>
      <c r="K411" s="258" t="str">
        <f t="shared" si="1"/>
        <v/>
      </c>
      <c r="L411" s="258" t="str">
        <f t="shared" si="2"/>
        <v/>
      </c>
      <c r="O411" s="281"/>
    </row>
    <row r="412" ht="22.5" customHeight="1">
      <c r="A412" s="274"/>
      <c r="C412" s="281"/>
      <c r="D412" s="258" t="str">
        <f t="array" ref="D412">IFERROR(
  INDEX(R_CLIENTES!B:B,
         MATCH(C412, R_CLIENTES!A:A, 0)
  ),
  ""
)</f>
        <v/>
      </c>
      <c r="F412" s="281"/>
      <c r="G412" s="274"/>
      <c r="H412" s="281"/>
      <c r="I412" s="281"/>
      <c r="J412" s="275"/>
      <c r="K412" s="258" t="str">
        <f t="shared" si="1"/>
        <v/>
      </c>
      <c r="L412" s="258" t="str">
        <f t="shared" si="2"/>
        <v/>
      </c>
      <c r="O412" s="281"/>
    </row>
    <row r="413" ht="22.5" customHeight="1">
      <c r="A413" s="274"/>
      <c r="C413" s="281"/>
      <c r="D413" s="258" t="str">
        <f t="array" ref="D413">IFERROR(
  INDEX(R_CLIENTES!B:B,
         MATCH(C413, R_CLIENTES!A:A, 0)
  ),
  ""
)</f>
        <v/>
      </c>
      <c r="F413" s="281"/>
      <c r="G413" s="274"/>
      <c r="H413" s="281"/>
      <c r="I413" s="281"/>
      <c r="J413" s="275"/>
      <c r="K413" s="258" t="str">
        <f t="shared" si="1"/>
        <v/>
      </c>
      <c r="L413" s="258" t="str">
        <f t="shared" si="2"/>
        <v/>
      </c>
      <c r="O413" s="281"/>
    </row>
    <row r="414" ht="22.5" customHeight="1">
      <c r="A414" s="274"/>
      <c r="C414" s="281"/>
      <c r="D414" s="258" t="str">
        <f t="array" ref="D414">IFERROR(
  INDEX(R_CLIENTES!B:B,
         MATCH(C414, R_CLIENTES!A:A, 0)
  ),
  ""
)</f>
        <v/>
      </c>
      <c r="F414" s="281"/>
      <c r="G414" s="274"/>
      <c r="H414" s="281"/>
      <c r="I414" s="281"/>
      <c r="J414" s="275"/>
      <c r="K414" s="258" t="str">
        <f t="shared" si="1"/>
        <v/>
      </c>
      <c r="L414" s="258" t="str">
        <f t="shared" si="2"/>
        <v/>
      </c>
      <c r="O414" s="281"/>
    </row>
    <row r="415" ht="22.5" customHeight="1">
      <c r="A415" s="274"/>
      <c r="C415" s="281"/>
      <c r="D415" s="258" t="str">
        <f t="array" ref="D415">IFERROR(
  INDEX(R_CLIENTES!B:B,
         MATCH(C415, R_CLIENTES!A:A, 0)
  ),
  ""
)</f>
        <v/>
      </c>
      <c r="F415" s="281"/>
      <c r="G415" s="274"/>
      <c r="H415" s="281"/>
      <c r="I415" s="281"/>
      <c r="J415" s="275"/>
      <c r="K415" s="258" t="str">
        <f t="shared" si="1"/>
        <v/>
      </c>
      <c r="L415" s="258" t="str">
        <f t="shared" si="2"/>
        <v/>
      </c>
      <c r="O415" s="281"/>
    </row>
    <row r="416" ht="22.5" customHeight="1">
      <c r="A416" s="274"/>
      <c r="C416" s="281"/>
      <c r="D416" s="258" t="str">
        <f t="array" ref="D416">IFERROR(
  INDEX(R_CLIENTES!B:B,
         MATCH(C416, R_CLIENTES!A:A, 0)
  ),
  ""
)</f>
        <v/>
      </c>
      <c r="F416" s="281"/>
      <c r="G416" s="274"/>
      <c r="H416" s="281"/>
      <c r="I416" s="281"/>
      <c r="J416" s="275"/>
      <c r="K416" s="258" t="str">
        <f t="shared" si="1"/>
        <v/>
      </c>
      <c r="L416" s="258" t="str">
        <f t="shared" si="2"/>
        <v/>
      </c>
      <c r="O416" s="281"/>
    </row>
    <row r="417" ht="22.5" customHeight="1">
      <c r="A417" s="274"/>
      <c r="C417" s="281"/>
      <c r="D417" s="258" t="str">
        <f t="array" ref="D417">IFERROR(
  INDEX(R_CLIENTES!B:B,
         MATCH(C417, R_CLIENTES!A:A, 0)
  ),
  ""
)</f>
        <v/>
      </c>
      <c r="F417" s="281"/>
      <c r="G417" s="274"/>
      <c r="H417" s="281"/>
      <c r="I417" s="281"/>
      <c r="J417" s="275"/>
      <c r="K417" s="258" t="str">
        <f t="shared" si="1"/>
        <v/>
      </c>
      <c r="L417" s="258" t="str">
        <f t="shared" si="2"/>
        <v/>
      </c>
      <c r="O417" s="281"/>
    </row>
    <row r="418" ht="22.5" customHeight="1">
      <c r="A418" s="274"/>
      <c r="C418" s="281"/>
      <c r="D418" s="258" t="str">
        <f t="array" ref="D418">IFERROR(
  INDEX(R_CLIENTES!B:B,
         MATCH(C418, R_CLIENTES!A:A, 0)
  ),
  ""
)</f>
        <v/>
      </c>
      <c r="F418" s="281"/>
      <c r="G418" s="274"/>
      <c r="H418" s="281"/>
      <c r="I418" s="281"/>
      <c r="J418" s="275"/>
      <c r="K418" s="258" t="str">
        <f t="shared" si="1"/>
        <v/>
      </c>
      <c r="L418" s="258" t="str">
        <f t="shared" si="2"/>
        <v/>
      </c>
      <c r="O418" s="281"/>
    </row>
    <row r="419" ht="22.5" customHeight="1">
      <c r="A419" s="274"/>
      <c r="C419" s="281"/>
      <c r="D419" s="258" t="str">
        <f t="array" ref="D419">IFERROR(
  INDEX(R_CLIENTES!B:B,
         MATCH(C419, R_CLIENTES!A:A, 0)
  ),
  ""
)</f>
        <v/>
      </c>
      <c r="F419" s="281"/>
      <c r="G419" s="274"/>
      <c r="H419" s="281"/>
      <c r="I419" s="281"/>
      <c r="J419" s="275"/>
      <c r="K419" s="258" t="str">
        <f t="shared" si="1"/>
        <v/>
      </c>
      <c r="L419" s="258" t="str">
        <f t="shared" si="2"/>
        <v/>
      </c>
      <c r="O419" s="281"/>
    </row>
    <row r="420" ht="22.5" customHeight="1">
      <c r="A420" s="274"/>
      <c r="C420" s="281"/>
      <c r="D420" s="258" t="str">
        <f t="array" ref="D420">IFERROR(
  INDEX(R_CLIENTES!B:B,
         MATCH(C420, R_CLIENTES!A:A, 0)
  ),
  ""
)</f>
        <v/>
      </c>
      <c r="F420" s="281"/>
      <c r="G420" s="274"/>
      <c r="H420" s="281"/>
      <c r="I420" s="281"/>
      <c r="J420" s="275"/>
      <c r="K420" s="258" t="str">
        <f t="shared" si="1"/>
        <v/>
      </c>
      <c r="L420" s="258" t="str">
        <f t="shared" si="2"/>
        <v/>
      </c>
      <c r="O420" s="281"/>
    </row>
    <row r="421" ht="22.5" customHeight="1">
      <c r="A421" s="274"/>
      <c r="C421" s="281"/>
      <c r="D421" s="258" t="str">
        <f t="array" ref="D421">IFERROR(
  INDEX(R_CLIENTES!B:B,
         MATCH(C421, R_CLIENTES!A:A, 0)
  ),
  ""
)</f>
        <v/>
      </c>
      <c r="F421" s="281"/>
      <c r="G421" s="274"/>
      <c r="H421" s="281"/>
      <c r="I421" s="281"/>
      <c r="J421" s="275"/>
      <c r="K421" s="258" t="str">
        <f t="shared" si="1"/>
        <v/>
      </c>
      <c r="L421" s="258" t="str">
        <f t="shared" si="2"/>
        <v/>
      </c>
      <c r="O421" s="281"/>
    </row>
    <row r="422" ht="22.5" customHeight="1">
      <c r="A422" s="274"/>
      <c r="C422" s="281"/>
      <c r="D422" s="258" t="str">
        <f t="array" ref="D422">IFERROR(
  INDEX(R_CLIENTES!B:B,
         MATCH(C422, R_CLIENTES!A:A, 0)
  ),
  ""
)</f>
        <v/>
      </c>
      <c r="F422" s="281"/>
      <c r="G422" s="274"/>
      <c r="H422" s="281"/>
      <c r="I422" s="281"/>
      <c r="J422" s="275"/>
      <c r="K422" s="258" t="str">
        <f t="shared" si="1"/>
        <v/>
      </c>
      <c r="L422" s="258" t="str">
        <f t="shared" si="2"/>
        <v/>
      </c>
      <c r="O422" s="281"/>
    </row>
    <row r="423" ht="22.5" customHeight="1">
      <c r="A423" s="274"/>
      <c r="C423" s="281"/>
      <c r="D423" s="258" t="str">
        <f t="array" ref="D423">IFERROR(
  INDEX(R_CLIENTES!B:B,
         MATCH(C423, R_CLIENTES!A:A, 0)
  ),
  ""
)</f>
        <v/>
      </c>
      <c r="F423" s="281"/>
      <c r="G423" s="274"/>
      <c r="H423" s="281"/>
      <c r="I423" s="281"/>
      <c r="J423" s="275"/>
      <c r="K423" s="258" t="str">
        <f t="shared" si="1"/>
        <v/>
      </c>
      <c r="L423" s="258" t="str">
        <f t="shared" si="2"/>
        <v/>
      </c>
      <c r="O423" s="281"/>
    </row>
    <row r="424" ht="22.5" customHeight="1">
      <c r="A424" s="274"/>
      <c r="C424" s="281"/>
      <c r="D424" s="258" t="str">
        <f t="array" ref="D424">IFERROR(
  INDEX(R_CLIENTES!B:B,
         MATCH(C424, R_CLIENTES!A:A, 0)
  ),
  ""
)</f>
        <v/>
      </c>
      <c r="F424" s="281"/>
      <c r="G424" s="274"/>
      <c r="H424" s="281"/>
      <c r="I424" s="281"/>
      <c r="J424" s="275"/>
      <c r="K424" s="258" t="str">
        <f t="shared" si="1"/>
        <v/>
      </c>
      <c r="L424" s="258" t="str">
        <f t="shared" si="2"/>
        <v/>
      </c>
      <c r="O424" s="281"/>
    </row>
    <row r="425" ht="22.5" customHeight="1">
      <c r="A425" s="274"/>
      <c r="C425" s="281"/>
      <c r="D425" s="258" t="str">
        <f t="array" ref="D425">IFERROR(
  INDEX(R_CLIENTES!B:B,
         MATCH(C425, R_CLIENTES!A:A, 0)
  ),
  ""
)</f>
        <v/>
      </c>
      <c r="F425" s="281"/>
      <c r="G425" s="274"/>
      <c r="H425" s="281"/>
      <c r="I425" s="281"/>
      <c r="J425" s="275"/>
      <c r="K425" s="258" t="str">
        <f t="shared" si="1"/>
        <v/>
      </c>
      <c r="L425" s="258" t="str">
        <f t="shared" si="2"/>
        <v/>
      </c>
      <c r="O425" s="281"/>
    </row>
    <row r="426" ht="22.5" customHeight="1">
      <c r="A426" s="274"/>
      <c r="C426" s="281"/>
      <c r="D426" s="258" t="str">
        <f t="array" ref="D426">IFERROR(
  INDEX(R_CLIENTES!B:B,
         MATCH(C426, R_CLIENTES!A:A, 0)
  ),
  ""
)</f>
        <v/>
      </c>
      <c r="F426" s="281"/>
      <c r="G426" s="274"/>
      <c r="H426" s="281"/>
      <c r="I426" s="281"/>
      <c r="J426" s="275"/>
      <c r="K426" s="258" t="str">
        <f t="shared" si="1"/>
        <v/>
      </c>
      <c r="L426" s="258" t="str">
        <f t="shared" si="2"/>
        <v/>
      </c>
      <c r="O426" s="281"/>
    </row>
    <row r="427" ht="22.5" customHeight="1">
      <c r="A427" s="274"/>
      <c r="C427" s="281"/>
      <c r="D427" s="258" t="str">
        <f t="array" ref="D427">IFERROR(
  INDEX(R_CLIENTES!B:B,
         MATCH(C427, R_CLIENTES!A:A, 0)
  ),
  ""
)</f>
        <v/>
      </c>
      <c r="F427" s="281"/>
      <c r="G427" s="274"/>
      <c r="H427" s="281"/>
      <c r="I427" s="281"/>
      <c r="J427" s="275"/>
      <c r="K427" s="258" t="str">
        <f t="shared" si="1"/>
        <v/>
      </c>
      <c r="L427" s="258" t="str">
        <f t="shared" si="2"/>
        <v/>
      </c>
      <c r="O427" s="281"/>
    </row>
    <row r="428" ht="22.5" customHeight="1">
      <c r="A428" s="274"/>
      <c r="C428" s="281"/>
      <c r="D428" s="258" t="str">
        <f t="array" ref="D428">IFERROR(
  INDEX(R_CLIENTES!B:B,
         MATCH(C428, R_CLIENTES!A:A, 0)
  ),
  ""
)</f>
        <v/>
      </c>
      <c r="F428" s="281"/>
      <c r="G428" s="274"/>
      <c r="H428" s="281"/>
      <c r="I428" s="281"/>
      <c r="J428" s="275"/>
      <c r="K428" s="258" t="str">
        <f t="shared" si="1"/>
        <v/>
      </c>
      <c r="L428" s="258" t="str">
        <f t="shared" si="2"/>
        <v/>
      </c>
      <c r="O428" s="281"/>
    </row>
    <row r="429" ht="22.5" customHeight="1">
      <c r="A429" s="274"/>
      <c r="C429" s="281"/>
      <c r="D429" s="258" t="str">
        <f t="array" ref="D429">IFERROR(
  INDEX(R_CLIENTES!B:B,
         MATCH(C429, R_CLIENTES!A:A, 0)
  ),
  ""
)</f>
        <v/>
      </c>
      <c r="F429" s="281"/>
      <c r="G429" s="274"/>
      <c r="H429" s="281"/>
      <c r="I429" s="281"/>
      <c r="J429" s="275"/>
      <c r="K429" s="258" t="str">
        <f t="shared" si="1"/>
        <v/>
      </c>
      <c r="L429" s="258" t="str">
        <f t="shared" si="2"/>
        <v/>
      </c>
      <c r="O429" s="281"/>
    </row>
    <row r="430" ht="22.5" customHeight="1">
      <c r="A430" s="274"/>
      <c r="C430" s="281"/>
      <c r="D430" s="258" t="str">
        <f t="array" ref="D430">IFERROR(
  INDEX(R_CLIENTES!B:B,
         MATCH(C430, R_CLIENTES!A:A, 0)
  ),
  ""
)</f>
        <v/>
      </c>
      <c r="F430" s="281"/>
      <c r="G430" s="274"/>
      <c r="H430" s="281"/>
      <c r="I430" s="281"/>
      <c r="J430" s="275"/>
      <c r="K430" s="258" t="str">
        <f t="shared" si="1"/>
        <v/>
      </c>
      <c r="L430" s="258" t="str">
        <f t="shared" si="2"/>
        <v/>
      </c>
      <c r="O430" s="281"/>
    </row>
    <row r="431" ht="22.5" customHeight="1">
      <c r="A431" s="274"/>
      <c r="C431" s="281"/>
      <c r="D431" s="258" t="str">
        <f t="array" ref="D431">IFERROR(
  INDEX(R_CLIENTES!B:B,
         MATCH(C431, R_CLIENTES!A:A, 0)
  ),
  ""
)</f>
        <v/>
      </c>
      <c r="F431" s="281"/>
      <c r="G431" s="274"/>
      <c r="H431" s="281"/>
      <c r="I431" s="281"/>
      <c r="J431" s="275"/>
      <c r="K431" s="258" t="str">
        <f t="shared" si="1"/>
        <v/>
      </c>
      <c r="L431" s="258" t="str">
        <f t="shared" si="2"/>
        <v/>
      </c>
      <c r="O431" s="281"/>
    </row>
    <row r="432" ht="22.5" customHeight="1">
      <c r="A432" s="274"/>
      <c r="C432" s="281"/>
      <c r="D432" s="258" t="str">
        <f t="array" ref="D432">IFERROR(
  INDEX(R_CLIENTES!B:B,
         MATCH(C432, R_CLIENTES!A:A, 0)
  ),
  ""
)</f>
        <v/>
      </c>
      <c r="F432" s="281"/>
      <c r="G432" s="274"/>
      <c r="H432" s="281"/>
      <c r="I432" s="281"/>
      <c r="J432" s="275"/>
      <c r="K432" s="258" t="str">
        <f t="shared" si="1"/>
        <v/>
      </c>
      <c r="L432" s="258" t="str">
        <f t="shared" si="2"/>
        <v/>
      </c>
      <c r="O432" s="281"/>
    </row>
    <row r="433" ht="22.5" customHeight="1">
      <c r="A433" s="274"/>
      <c r="C433" s="281"/>
      <c r="D433" s="258" t="str">
        <f t="array" ref="D433">IFERROR(
  INDEX(R_CLIENTES!B:B,
         MATCH(C433, R_CLIENTES!A:A, 0)
  ),
  ""
)</f>
        <v/>
      </c>
      <c r="F433" s="281"/>
      <c r="G433" s="274"/>
      <c r="H433" s="281"/>
      <c r="I433" s="281"/>
      <c r="J433" s="275"/>
      <c r="K433" s="258" t="str">
        <f t="shared" si="1"/>
        <v/>
      </c>
      <c r="L433" s="258" t="str">
        <f t="shared" si="2"/>
        <v/>
      </c>
      <c r="O433" s="281"/>
    </row>
    <row r="434" ht="22.5" customHeight="1">
      <c r="A434" s="274"/>
      <c r="C434" s="281"/>
      <c r="D434" s="258" t="str">
        <f t="array" ref="D434">IFERROR(
  INDEX(R_CLIENTES!B:B,
         MATCH(C434, R_CLIENTES!A:A, 0)
  ),
  ""
)</f>
        <v/>
      </c>
      <c r="F434" s="281"/>
      <c r="G434" s="274"/>
      <c r="H434" s="281"/>
      <c r="I434" s="281"/>
      <c r="J434" s="275"/>
      <c r="K434" s="258" t="str">
        <f t="shared" si="1"/>
        <v/>
      </c>
      <c r="L434" s="258" t="str">
        <f t="shared" si="2"/>
        <v/>
      </c>
      <c r="O434" s="281"/>
    </row>
    <row r="435" ht="22.5" customHeight="1">
      <c r="A435" s="274"/>
      <c r="C435" s="281"/>
      <c r="D435" s="258" t="str">
        <f t="array" ref="D435">IFERROR(
  INDEX(R_CLIENTES!B:B,
         MATCH(C435, R_CLIENTES!A:A, 0)
  ),
  ""
)</f>
        <v/>
      </c>
      <c r="F435" s="281"/>
      <c r="G435" s="274"/>
      <c r="H435" s="281"/>
      <c r="I435" s="281"/>
      <c r="J435" s="275"/>
      <c r="K435" s="258" t="str">
        <f t="shared" si="1"/>
        <v/>
      </c>
      <c r="L435" s="258" t="str">
        <f t="shared" si="2"/>
        <v/>
      </c>
      <c r="O435" s="281"/>
    </row>
    <row r="436" ht="22.5" customHeight="1">
      <c r="A436" s="274"/>
      <c r="C436" s="281"/>
      <c r="D436" s="258" t="str">
        <f t="array" ref="D436">IFERROR(
  INDEX(R_CLIENTES!B:B,
         MATCH(C436, R_CLIENTES!A:A, 0)
  ),
  ""
)</f>
        <v/>
      </c>
      <c r="F436" s="281"/>
      <c r="G436" s="274"/>
      <c r="H436" s="281"/>
      <c r="I436" s="281"/>
      <c r="J436" s="275"/>
      <c r="K436" s="258" t="str">
        <f t="shared" si="1"/>
        <v/>
      </c>
      <c r="L436" s="258" t="str">
        <f t="shared" si="2"/>
        <v/>
      </c>
      <c r="O436" s="281"/>
    </row>
    <row r="437" ht="22.5" customHeight="1">
      <c r="A437" s="274"/>
      <c r="C437" s="281"/>
      <c r="D437" s="258" t="str">
        <f t="array" ref="D437">IFERROR(
  INDEX(R_CLIENTES!B:B,
         MATCH(C437, R_CLIENTES!A:A, 0)
  ),
  ""
)</f>
        <v/>
      </c>
      <c r="F437" s="281"/>
      <c r="G437" s="274"/>
      <c r="H437" s="281"/>
      <c r="I437" s="281"/>
      <c r="J437" s="275"/>
      <c r="K437" s="258" t="str">
        <f t="shared" si="1"/>
        <v/>
      </c>
      <c r="L437" s="258" t="str">
        <f t="shared" si="2"/>
        <v/>
      </c>
      <c r="O437" s="281"/>
    </row>
    <row r="438" ht="22.5" customHeight="1">
      <c r="A438" s="274"/>
      <c r="C438" s="281"/>
      <c r="D438" s="258" t="str">
        <f t="array" ref="D438">IFERROR(
  INDEX(R_CLIENTES!B:B,
         MATCH(C438, R_CLIENTES!A:A, 0)
  ),
  ""
)</f>
        <v/>
      </c>
      <c r="F438" s="281"/>
      <c r="G438" s="274"/>
      <c r="H438" s="281"/>
      <c r="I438" s="281"/>
      <c r="J438" s="275"/>
      <c r="K438" s="258" t="str">
        <f t="shared" si="1"/>
        <v/>
      </c>
      <c r="L438" s="258" t="str">
        <f t="shared" si="2"/>
        <v/>
      </c>
      <c r="O438" s="281"/>
    </row>
    <row r="439" ht="22.5" customHeight="1">
      <c r="A439" s="274"/>
      <c r="C439" s="281"/>
      <c r="D439" s="258" t="str">
        <f t="array" ref="D439">IFERROR(
  INDEX(R_CLIENTES!B:B,
         MATCH(C439, R_CLIENTES!A:A, 0)
  ),
  ""
)</f>
        <v/>
      </c>
      <c r="F439" s="281"/>
      <c r="G439" s="274"/>
      <c r="H439" s="281"/>
      <c r="I439" s="281"/>
      <c r="J439" s="275"/>
      <c r="K439" s="258" t="str">
        <f t="shared" si="1"/>
        <v/>
      </c>
      <c r="L439" s="258" t="str">
        <f t="shared" si="2"/>
        <v/>
      </c>
      <c r="O439" s="281"/>
    </row>
    <row r="440" ht="22.5" customHeight="1">
      <c r="A440" s="274"/>
      <c r="C440" s="281"/>
      <c r="F440" s="281"/>
      <c r="G440" s="274"/>
      <c r="H440" s="281"/>
      <c r="I440" s="281"/>
      <c r="J440" s="275"/>
      <c r="K440" s="258" t="str">
        <f t="shared" si="1"/>
        <v/>
      </c>
      <c r="L440" s="258" t="str">
        <f t="shared" si="2"/>
        <v/>
      </c>
      <c r="O440" s="281"/>
    </row>
    <row r="441" ht="22.5" customHeight="1">
      <c r="A441" s="274"/>
      <c r="C441" s="281"/>
      <c r="F441" s="281"/>
      <c r="G441" s="274"/>
      <c r="H441" s="281"/>
      <c r="I441" s="281"/>
      <c r="J441" s="275"/>
      <c r="K441" s="258" t="str">
        <f t="shared" si="1"/>
        <v/>
      </c>
      <c r="L441" s="258" t="str">
        <f t="shared" si="2"/>
        <v/>
      </c>
      <c r="O441" s="281"/>
    </row>
    <row r="442" ht="22.5" customHeight="1">
      <c r="A442" s="274"/>
      <c r="C442" s="281"/>
      <c r="F442" s="281"/>
      <c r="G442" s="274"/>
      <c r="H442" s="281"/>
      <c r="I442" s="281"/>
      <c r="J442" s="275"/>
      <c r="K442" s="258" t="str">
        <f t="shared" si="1"/>
        <v/>
      </c>
      <c r="L442" s="258" t="str">
        <f t="shared" si="2"/>
        <v/>
      </c>
      <c r="O442" s="281"/>
    </row>
    <row r="443" ht="22.5" customHeight="1">
      <c r="A443" s="274"/>
      <c r="C443" s="281"/>
      <c r="F443" s="281"/>
      <c r="G443" s="274"/>
      <c r="H443" s="281"/>
      <c r="I443" s="281"/>
      <c r="J443" s="275"/>
      <c r="K443" s="258" t="str">
        <f t="shared" si="1"/>
        <v/>
      </c>
      <c r="L443" s="258" t="str">
        <f t="shared" si="2"/>
        <v/>
      </c>
      <c r="O443" s="281"/>
    </row>
    <row r="444" ht="22.5" customHeight="1">
      <c r="A444" s="274"/>
      <c r="C444" s="281"/>
      <c r="F444" s="281"/>
      <c r="G444" s="274"/>
      <c r="H444" s="281"/>
      <c r="I444" s="281"/>
      <c r="J444" s="275"/>
      <c r="K444" s="258" t="str">
        <f t="shared" si="1"/>
        <v/>
      </c>
      <c r="L444" s="258" t="str">
        <f t="shared" si="2"/>
        <v/>
      </c>
      <c r="O444" s="281"/>
    </row>
    <row r="445" ht="22.5" customHeight="1">
      <c r="A445" s="274"/>
      <c r="C445" s="281"/>
      <c r="F445" s="281"/>
      <c r="G445" s="274"/>
      <c r="H445" s="281"/>
      <c r="I445" s="281"/>
      <c r="J445" s="275"/>
      <c r="K445" s="258" t="str">
        <f t="shared" si="1"/>
        <v/>
      </c>
      <c r="L445" s="258" t="str">
        <f t="shared" si="2"/>
        <v/>
      </c>
      <c r="O445" s="281"/>
    </row>
    <row r="446" ht="22.5" customHeight="1">
      <c r="A446" s="274"/>
      <c r="C446" s="281"/>
      <c r="F446" s="281"/>
      <c r="G446" s="274"/>
      <c r="H446" s="281"/>
      <c r="I446" s="281"/>
      <c r="J446" s="275"/>
      <c r="K446" s="258" t="str">
        <f t="shared" si="1"/>
        <v/>
      </c>
      <c r="L446" s="258" t="str">
        <f t="shared" si="2"/>
        <v/>
      </c>
      <c r="O446" s="281"/>
    </row>
    <row r="447" ht="22.5" customHeight="1">
      <c r="A447" s="274"/>
      <c r="C447" s="281"/>
      <c r="F447" s="281"/>
      <c r="G447" s="274"/>
      <c r="H447" s="281"/>
      <c r="I447" s="281"/>
      <c r="J447" s="275"/>
      <c r="K447" s="258" t="str">
        <f t="shared" si="1"/>
        <v/>
      </c>
      <c r="L447" s="258" t="str">
        <f t="shared" si="2"/>
        <v/>
      </c>
      <c r="O447" s="281"/>
    </row>
    <row r="448" ht="22.5" customHeight="1">
      <c r="A448" s="274"/>
      <c r="C448" s="281"/>
      <c r="F448" s="281"/>
      <c r="G448" s="274"/>
      <c r="H448" s="281"/>
      <c r="I448" s="281"/>
      <c r="J448" s="275"/>
      <c r="K448" s="258" t="str">
        <f t="shared" si="1"/>
        <v/>
      </c>
      <c r="L448" s="258" t="str">
        <f t="shared" si="2"/>
        <v/>
      </c>
      <c r="O448" s="281"/>
    </row>
    <row r="449" ht="22.5" customHeight="1">
      <c r="A449" s="274"/>
      <c r="C449" s="281"/>
      <c r="F449" s="281"/>
      <c r="G449" s="274"/>
      <c r="H449" s="281"/>
      <c r="I449" s="281"/>
      <c r="J449" s="275"/>
      <c r="K449" s="258" t="str">
        <f t="shared" si="1"/>
        <v/>
      </c>
      <c r="L449" s="258" t="str">
        <f t="shared" si="2"/>
        <v/>
      </c>
      <c r="O449" s="281"/>
    </row>
    <row r="450" ht="22.5" customHeight="1">
      <c r="A450" s="274"/>
      <c r="C450" s="281"/>
      <c r="F450" s="281"/>
      <c r="G450" s="274"/>
      <c r="H450" s="281"/>
      <c r="I450" s="281"/>
      <c r="J450" s="275"/>
      <c r="K450" s="258" t="str">
        <f t="shared" si="1"/>
        <v/>
      </c>
      <c r="L450" s="258" t="str">
        <f t="shared" si="2"/>
        <v/>
      </c>
      <c r="O450" s="281"/>
    </row>
    <row r="451" ht="22.5" customHeight="1">
      <c r="A451" s="274"/>
      <c r="C451" s="281"/>
      <c r="F451" s="281"/>
      <c r="G451" s="274"/>
      <c r="H451" s="281"/>
      <c r="I451" s="281"/>
      <c r="J451" s="275"/>
      <c r="K451" s="258" t="str">
        <f t="shared" si="1"/>
        <v/>
      </c>
      <c r="L451" s="258" t="str">
        <f t="shared" si="2"/>
        <v/>
      </c>
      <c r="O451" s="281"/>
    </row>
    <row r="452" ht="22.5" customHeight="1">
      <c r="A452" s="274"/>
      <c r="C452" s="281"/>
      <c r="F452" s="281"/>
      <c r="G452" s="274"/>
      <c r="H452" s="281"/>
      <c r="I452" s="281"/>
      <c r="J452" s="275"/>
      <c r="K452" s="258" t="str">
        <f t="shared" si="1"/>
        <v/>
      </c>
      <c r="L452" s="258" t="str">
        <f t="shared" si="2"/>
        <v/>
      </c>
      <c r="O452" s="281"/>
    </row>
    <row r="453" ht="22.5" customHeight="1">
      <c r="A453" s="274"/>
      <c r="C453" s="281"/>
      <c r="F453" s="281"/>
      <c r="G453" s="274"/>
      <c r="H453" s="281"/>
      <c r="I453" s="281"/>
      <c r="J453" s="275"/>
      <c r="K453" s="258" t="str">
        <f t="shared" si="1"/>
        <v/>
      </c>
      <c r="L453" s="258" t="str">
        <f t="shared" si="2"/>
        <v/>
      </c>
      <c r="O453" s="281"/>
    </row>
    <row r="454" ht="22.5" customHeight="1">
      <c r="A454" s="274"/>
      <c r="C454" s="281"/>
      <c r="F454" s="281"/>
      <c r="G454" s="274"/>
      <c r="H454" s="281"/>
      <c r="I454" s="281"/>
      <c r="J454" s="275"/>
      <c r="K454" s="258" t="str">
        <f t="shared" si="1"/>
        <v/>
      </c>
      <c r="L454" s="258" t="str">
        <f t="shared" si="2"/>
        <v/>
      </c>
      <c r="O454" s="281"/>
    </row>
    <row r="455" ht="22.5" customHeight="1">
      <c r="A455" s="274"/>
      <c r="C455" s="281"/>
      <c r="F455" s="281"/>
      <c r="G455" s="274"/>
      <c r="H455" s="281"/>
      <c r="I455" s="281"/>
      <c r="J455" s="275"/>
      <c r="K455" s="258" t="str">
        <f t="shared" si="1"/>
        <v/>
      </c>
      <c r="L455" s="258" t="str">
        <f t="shared" si="2"/>
        <v/>
      </c>
      <c r="O455" s="281"/>
    </row>
    <row r="456" ht="22.5" customHeight="1">
      <c r="A456" s="274"/>
      <c r="C456" s="281"/>
      <c r="F456" s="281"/>
      <c r="G456" s="274"/>
      <c r="H456" s="281"/>
      <c r="I456" s="281"/>
      <c r="J456" s="275"/>
      <c r="K456" s="258" t="str">
        <f t="shared" si="1"/>
        <v/>
      </c>
      <c r="L456" s="258" t="str">
        <f t="shared" si="2"/>
        <v/>
      </c>
      <c r="O456" s="281"/>
    </row>
    <row r="457" ht="22.5" customHeight="1">
      <c r="A457" s="274"/>
      <c r="C457" s="281"/>
      <c r="F457" s="281"/>
      <c r="G457" s="274"/>
      <c r="H457" s="281"/>
      <c r="I457" s="281"/>
      <c r="J457" s="275"/>
      <c r="K457" s="258" t="str">
        <f t="shared" si="1"/>
        <v/>
      </c>
      <c r="L457" s="258" t="str">
        <f t="shared" si="2"/>
        <v/>
      </c>
      <c r="O457" s="281"/>
    </row>
    <row r="458" ht="22.5" customHeight="1">
      <c r="A458" s="274"/>
      <c r="C458" s="281"/>
      <c r="F458" s="281"/>
      <c r="G458" s="274"/>
      <c r="H458" s="281"/>
      <c r="I458" s="281"/>
      <c r="J458" s="275"/>
      <c r="K458" s="258" t="str">
        <f t="shared" si="1"/>
        <v/>
      </c>
      <c r="L458" s="258" t="str">
        <f t="shared" si="2"/>
        <v/>
      </c>
      <c r="O458" s="281"/>
    </row>
    <row r="459" ht="22.5" customHeight="1">
      <c r="A459" s="274"/>
      <c r="C459" s="281"/>
      <c r="F459" s="281"/>
      <c r="G459" s="274"/>
      <c r="H459" s="281"/>
      <c r="I459" s="281"/>
      <c r="J459" s="275"/>
      <c r="K459" s="258" t="str">
        <f t="shared" si="1"/>
        <v/>
      </c>
      <c r="L459" s="258" t="str">
        <f t="shared" si="2"/>
        <v/>
      </c>
      <c r="O459" s="281"/>
    </row>
    <row r="460" ht="22.5" customHeight="1">
      <c r="A460" s="274"/>
      <c r="C460" s="281"/>
      <c r="F460" s="281"/>
      <c r="G460" s="274"/>
      <c r="H460" s="281"/>
      <c r="I460" s="281"/>
      <c r="J460" s="275"/>
      <c r="K460" s="258" t="str">
        <f t="shared" si="1"/>
        <v/>
      </c>
      <c r="L460" s="258" t="str">
        <f t="shared" si="2"/>
        <v/>
      </c>
      <c r="O460" s="281"/>
    </row>
    <row r="461" ht="22.5" customHeight="1">
      <c r="A461" s="274"/>
      <c r="C461" s="281"/>
      <c r="F461" s="281"/>
      <c r="G461" s="274"/>
      <c r="H461" s="281"/>
      <c r="I461" s="281"/>
      <c r="J461" s="275"/>
      <c r="K461" s="258" t="str">
        <f t="shared" si="1"/>
        <v/>
      </c>
      <c r="L461" s="258" t="str">
        <f t="shared" si="2"/>
        <v/>
      </c>
      <c r="O461" s="281"/>
    </row>
    <row r="462" ht="22.5" customHeight="1">
      <c r="A462" s="274"/>
      <c r="C462" s="281"/>
      <c r="F462" s="281"/>
      <c r="G462" s="274"/>
      <c r="H462" s="281"/>
      <c r="I462" s="281"/>
      <c r="J462" s="275"/>
      <c r="K462" s="258" t="str">
        <f t="shared" si="1"/>
        <v/>
      </c>
      <c r="L462" s="258" t="str">
        <f t="shared" si="2"/>
        <v/>
      </c>
      <c r="O462" s="281"/>
    </row>
    <row r="463" ht="22.5" customHeight="1">
      <c r="A463" s="274"/>
      <c r="C463" s="281"/>
      <c r="F463" s="281"/>
      <c r="G463" s="274"/>
      <c r="H463" s="281"/>
      <c r="I463" s="281"/>
      <c r="J463" s="275"/>
      <c r="K463" s="258" t="str">
        <f t="shared" si="1"/>
        <v/>
      </c>
      <c r="L463" s="258" t="str">
        <f t="shared" si="2"/>
        <v/>
      </c>
      <c r="O463" s="281"/>
    </row>
    <row r="464" ht="22.5" customHeight="1">
      <c r="A464" s="274"/>
      <c r="C464" s="281"/>
      <c r="F464" s="281"/>
      <c r="G464" s="274"/>
      <c r="H464" s="281"/>
      <c r="I464" s="281"/>
      <c r="J464" s="275"/>
      <c r="K464" s="258" t="str">
        <f t="shared" si="1"/>
        <v/>
      </c>
      <c r="L464" s="258" t="str">
        <f t="shared" si="2"/>
        <v/>
      </c>
      <c r="O464" s="281"/>
    </row>
    <row r="465" ht="22.5" customHeight="1">
      <c r="A465" s="274"/>
      <c r="C465" s="281"/>
      <c r="F465" s="281"/>
      <c r="G465" s="274"/>
      <c r="H465" s="281"/>
      <c r="I465" s="281"/>
      <c r="J465" s="275"/>
      <c r="K465" s="258" t="str">
        <f t="shared" si="1"/>
        <v/>
      </c>
      <c r="L465" s="258" t="str">
        <f t="shared" si="2"/>
        <v/>
      </c>
      <c r="O465" s="281"/>
    </row>
    <row r="466" ht="22.5" customHeight="1">
      <c r="A466" s="274"/>
      <c r="C466" s="281"/>
      <c r="F466" s="281"/>
      <c r="G466" s="274"/>
      <c r="H466" s="281"/>
      <c r="I466" s="281"/>
      <c r="J466" s="275"/>
      <c r="K466" s="258" t="str">
        <f t="shared" si="1"/>
        <v/>
      </c>
      <c r="L466" s="258" t="str">
        <f t="shared" si="2"/>
        <v/>
      </c>
      <c r="O466" s="281"/>
    </row>
    <row r="467" ht="22.5" customHeight="1">
      <c r="A467" s="274"/>
      <c r="C467" s="281"/>
      <c r="F467" s="281"/>
      <c r="G467" s="274"/>
      <c r="H467" s="281"/>
      <c r="I467" s="281"/>
      <c r="J467" s="275"/>
      <c r="K467" s="258" t="str">
        <f t="shared" si="1"/>
        <v/>
      </c>
      <c r="L467" s="258" t="str">
        <f t="shared" si="2"/>
        <v/>
      </c>
      <c r="O467" s="281"/>
    </row>
    <row r="468" ht="22.5" customHeight="1">
      <c r="A468" s="274"/>
      <c r="C468" s="281"/>
      <c r="F468" s="281"/>
      <c r="G468" s="274"/>
      <c r="H468" s="281"/>
      <c r="I468" s="281"/>
      <c r="J468" s="275"/>
      <c r="K468" s="258" t="str">
        <f t="shared" si="1"/>
        <v/>
      </c>
      <c r="L468" s="258" t="str">
        <f t="shared" si="2"/>
        <v/>
      </c>
      <c r="O468" s="281"/>
    </row>
    <row r="469" ht="22.5" customHeight="1">
      <c r="A469" s="274"/>
      <c r="C469" s="281"/>
      <c r="F469" s="281"/>
      <c r="G469" s="274"/>
      <c r="H469" s="281"/>
      <c r="I469" s="281"/>
      <c r="J469" s="275"/>
      <c r="K469" s="258" t="str">
        <f t="shared" si="1"/>
        <v/>
      </c>
      <c r="L469" s="258" t="str">
        <f t="shared" si="2"/>
        <v/>
      </c>
      <c r="O469" s="281"/>
    </row>
    <row r="470" ht="22.5" customHeight="1">
      <c r="A470" s="274"/>
      <c r="C470" s="281"/>
      <c r="F470" s="281"/>
      <c r="G470" s="274"/>
      <c r="H470" s="281"/>
      <c r="I470" s="281"/>
      <c r="J470" s="275"/>
      <c r="K470" s="258" t="str">
        <f t="shared" si="1"/>
        <v/>
      </c>
      <c r="L470" s="258" t="str">
        <f t="shared" si="2"/>
        <v/>
      </c>
      <c r="O470" s="281"/>
    </row>
    <row r="471" ht="22.5" customHeight="1">
      <c r="A471" s="274"/>
      <c r="C471" s="281"/>
      <c r="F471" s="281"/>
      <c r="G471" s="274"/>
      <c r="H471" s="281"/>
      <c r="I471" s="281"/>
      <c r="J471" s="275"/>
      <c r="K471" s="258" t="str">
        <f t="shared" si="1"/>
        <v/>
      </c>
      <c r="L471" s="258" t="str">
        <f t="shared" si="2"/>
        <v/>
      </c>
      <c r="O471" s="281"/>
    </row>
    <row r="472" ht="22.5" customHeight="1">
      <c r="A472" s="274"/>
      <c r="C472" s="281"/>
      <c r="F472" s="281"/>
      <c r="G472" s="274"/>
      <c r="H472" s="281"/>
      <c r="I472" s="281"/>
      <c r="J472" s="275"/>
      <c r="K472" s="258" t="str">
        <f t="shared" si="1"/>
        <v/>
      </c>
      <c r="L472" s="258" t="str">
        <f t="shared" si="2"/>
        <v/>
      </c>
      <c r="O472" s="281"/>
    </row>
    <row r="473" ht="22.5" customHeight="1">
      <c r="A473" s="274"/>
      <c r="C473" s="281"/>
      <c r="F473" s="281"/>
      <c r="G473" s="274"/>
      <c r="H473" s="281"/>
      <c r="I473" s="281"/>
      <c r="J473" s="275"/>
      <c r="K473" s="258" t="str">
        <f t="shared" si="1"/>
        <v/>
      </c>
      <c r="L473" s="258" t="str">
        <f t="shared" si="2"/>
        <v/>
      </c>
      <c r="O473" s="281"/>
    </row>
    <row r="474" ht="22.5" customHeight="1">
      <c r="A474" s="274"/>
      <c r="C474" s="281"/>
      <c r="F474" s="281"/>
      <c r="G474" s="274"/>
      <c r="H474" s="281"/>
      <c r="I474" s="281"/>
      <c r="J474" s="275"/>
      <c r="K474" s="258" t="str">
        <f t="shared" si="1"/>
        <v/>
      </c>
      <c r="L474" s="258" t="str">
        <f t="shared" si="2"/>
        <v/>
      </c>
      <c r="O474" s="281"/>
    </row>
    <row r="475" ht="22.5" customHeight="1">
      <c r="A475" s="274"/>
      <c r="C475" s="281"/>
      <c r="F475" s="281"/>
      <c r="G475" s="274"/>
      <c r="H475" s="281"/>
      <c r="I475" s="281"/>
      <c r="J475" s="275"/>
      <c r="K475" s="258" t="str">
        <f t="shared" si="1"/>
        <v/>
      </c>
      <c r="L475" s="258" t="str">
        <f t="shared" si="2"/>
        <v/>
      </c>
      <c r="O475" s="281"/>
    </row>
    <row r="476" ht="22.5" customHeight="1">
      <c r="A476" s="274"/>
      <c r="C476" s="281"/>
      <c r="F476" s="281"/>
      <c r="G476" s="274"/>
      <c r="H476" s="281"/>
      <c r="I476" s="281"/>
      <c r="J476" s="275"/>
      <c r="K476" s="258" t="str">
        <f t="shared" si="1"/>
        <v/>
      </c>
      <c r="L476" s="258" t="str">
        <f t="shared" si="2"/>
        <v/>
      </c>
      <c r="O476" s="281"/>
    </row>
    <row r="477" ht="22.5" customHeight="1">
      <c r="A477" s="274"/>
      <c r="C477" s="281"/>
      <c r="F477" s="281"/>
      <c r="G477" s="274"/>
      <c r="H477" s="281"/>
      <c r="I477" s="281"/>
      <c r="J477" s="275"/>
      <c r="K477" s="258" t="str">
        <f t="shared" si="1"/>
        <v/>
      </c>
      <c r="L477" s="258" t="str">
        <f t="shared" si="2"/>
        <v/>
      </c>
      <c r="O477" s="281"/>
    </row>
    <row r="478" ht="22.5" customHeight="1">
      <c r="A478" s="274"/>
      <c r="C478" s="281"/>
      <c r="F478" s="281"/>
      <c r="G478" s="274"/>
      <c r="H478" s="281"/>
      <c r="I478" s="281"/>
      <c r="J478" s="275"/>
      <c r="K478" s="258" t="str">
        <f t="shared" si="1"/>
        <v/>
      </c>
      <c r="L478" s="258" t="str">
        <f t="shared" si="2"/>
        <v/>
      </c>
      <c r="O478" s="281"/>
    </row>
    <row r="479" ht="22.5" customHeight="1">
      <c r="A479" s="274"/>
      <c r="C479" s="281"/>
      <c r="F479" s="281"/>
      <c r="G479" s="274"/>
      <c r="H479" s="281"/>
      <c r="I479" s="281"/>
      <c r="J479" s="275"/>
      <c r="K479" s="258" t="str">
        <f t="shared" si="1"/>
        <v/>
      </c>
      <c r="L479" s="258" t="str">
        <f t="shared" si="2"/>
        <v/>
      </c>
      <c r="O479" s="281"/>
    </row>
    <row r="480" ht="22.5" customHeight="1">
      <c r="A480" s="274"/>
      <c r="C480" s="281"/>
      <c r="F480" s="281"/>
      <c r="G480" s="274"/>
      <c r="H480" s="281"/>
      <c r="I480" s="281"/>
      <c r="J480" s="275"/>
      <c r="K480" s="258" t="str">
        <f t="shared" si="1"/>
        <v/>
      </c>
      <c r="L480" s="258" t="str">
        <f t="shared" si="2"/>
        <v/>
      </c>
      <c r="O480" s="281"/>
    </row>
    <row r="481" ht="22.5" customHeight="1">
      <c r="A481" s="274"/>
      <c r="C481" s="281"/>
      <c r="F481" s="281"/>
      <c r="G481" s="274"/>
      <c r="H481" s="281"/>
      <c r="I481" s="281"/>
      <c r="J481" s="275"/>
      <c r="K481" s="258" t="str">
        <f t="shared" si="1"/>
        <v/>
      </c>
      <c r="L481" s="258" t="str">
        <f t="shared" si="2"/>
        <v/>
      </c>
      <c r="O481" s="281"/>
    </row>
    <row r="482" ht="22.5" customHeight="1">
      <c r="A482" s="274"/>
      <c r="C482" s="281"/>
      <c r="F482" s="281"/>
      <c r="G482" s="274"/>
      <c r="H482" s="281"/>
      <c r="I482" s="281"/>
      <c r="J482" s="275"/>
      <c r="K482" s="258" t="str">
        <f t="shared" si="1"/>
        <v/>
      </c>
      <c r="L482" s="258" t="str">
        <f t="shared" si="2"/>
        <v/>
      </c>
      <c r="O482" s="281"/>
    </row>
    <row r="483" ht="22.5" customHeight="1">
      <c r="A483" s="274"/>
      <c r="C483" s="281"/>
      <c r="F483" s="281"/>
      <c r="G483" s="274"/>
      <c r="H483" s="281"/>
      <c r="I483" s="281"/>
      <c r="J483" s="275"/>
      <c r="K483" s="258" t="str">
        <f t="shared" si="1"/>
        <v/>
      </c>
      <c r="L483" s="258" t="str">
        <f t="shared" si="2"/>
        <v/>
      </c>
      <c r="O483" s="281"/>
    </row>
    <row r="484" ht="22.5" customHeight="1">
      <c r="A484" s="274"/>
      <c r="C484" s="281"/>
      <c r="F484" s="281"/>
      <c r="G484" s="274"/>
      <c r="H484" s="281"/>
      <c r="I484" s="281"/>
      <c r="J484" s="275"/>
      <c r="K484" s="258" t="str">
        <f t="shared" si="1"/>
        <v/>
      </c>
      <c r="L484" s="258" t="str">
        <f t="shared" si="2"/>
        <v/>
      </c>
      <c r="O484" s="281"/>
    </row>
    <row r="485" ht="22.5" customHeight="1">
      <c r="A485" s="274"/>
      <c r="C485" s="281"/>
      <c r="F485" s="281"/>
      <c r="G485" s="274"/>
      <c r="H485" s="281"/>
      <c r="I485" s="281"/>
      <c r="J485" s="275"/>
      <c r="K485" s="258" t="str">
        <f t="shared" si="1"/>
        <v/>
      </c>
      <c r="L485" s="258" t="str">
        <f t="shared" si="2"/>
        <v/>
      </c>
      <c r="O485" s="281"/>
    </row>
    <row r="486" ht="22.5" customHeight="1">
      <c r="A486" s="274"/>
      <c r="C486" s="281"/>
      <c r="F486" s="281"/>
      <c r="G486" s="274"/>
      <c r="H486" s="281"/>
      <c r="I486" s="281"/>
      <c r="J486" s="275"/>
      <c r="K486" s="258" t="str">
        <f t="shared" si="1"/>
        <v/>
      </c>
      <c r="L486" s="258" t="str">
        <f t="shared" si="2"/>
        <v/>
      </c>
      <c r="O486" s="281"/>
    </row>
    <row r="487" ht="22.5" customHeight="1">
      <c r="A487" s="274"/>
      <c r="C487" s="281"/>
      <c r="F487" s="281"/>
      <c r="G487" s="274"/>
      <c r="H487" s="281"/>
      <c r="I487" s="281"/>
      <c r="J487" s="275"/>
      <c r="K487" s="258" t="str">
        <f t="shared" si="1"/>
        <v/>
      </c>
      <c r="L487" s="258" t="str">
        <f t="shared" si="2"/>
        <v/>
      </c>
      <c r="O487" s="281"/>
    </row>
    <row r="488" ht="22.5" customHeight="1">
      <c r="A488" s="274"/>
      <c r="C488" s="281"/>
      <c r="F488" s="281"/>
      <c r="G488" s="274"/>
      <c r="H488" s="281"/>
      <c r="I488" s="281"/>
      <c r="J488" s="275"/>
      <c r="K488" s="258" t="str">
        <f t="shared" si="1"/>
        <v/>
      </c>
      <c r="L488" s="258" t="str">
        <f t="shared" si="2"/>
        <v/>
      </c>
      <c r="O488" s="281"/>
    </row>
    <row r="489" ht="22.5" customHeight="1">
      <c r="A489" s="274"/>
      <c r="C489" s="281"/>
      <c r="F489" s="281"/>
      <c r="G489" s="274"/>
      <c r="H489" s="281"/>
      <c r="I489" s="281"/>
      <c r="J489" s="275"/>
      <c r="K489" s="258" t="str">
        <f t="shared" si="1"/>
        <v/>
      </c>
      <c r="L489" s="258" t="str">
        <f t="shared" si="2"/>
        <v/>
      </c>
      <c r="O489" s="281"/>
    </row>
    <row r="490" ht="22.5" customHeight="1">
      <c r="A490" s="274"/>
      <c r="C490" s="281"/>
      <c r="F490" s="281"/>
      <c r="G490" s="274"/>
      <c r="H490" s="281"/>
      <c r="I490" s="281"/>
      <c r="J490" s="275"/>
      <c r="K490" s="258" t="str">
        <f t="shared" si="1"/>
        <v/>
      </c>
      <c r="L490" s="258" t="str">
        <f t="shared" si="2"/>
        <v/>
      </c>
      <c r="O490" s="281"/>
    </row>
    <row r="491" ht="22.5" customHeight="1">
      <c r="A491" s="274"/>
      <c r="C491" s="281"/>
      <c r="F491" s="281"/>
      <c r="G491" s="274"/>
      <c r="H491" s="281"/>
      <c r="I491" s="281"/>
      <c r="J491" s="275"/>
      <c r="K491" s="258" t="str">
        <f t="shared" si="1"/>
        <v/>
      </c>
      <c r="L491" s="258" t="str">
        <f t="shared" si="2"/>
        <v/>
      </c>
      <c r="O491" s="281"/>
    </row>
    <row r="492" ht="22.5" customHeight="1">
      <c r="A492" s="274"/>
      <c r="C492" s="281"/>
      <c r="F492" s="281"/>
      <c r="G492" s="274"/>
      <c r="H492" s="281"/>
      <c r="I492" s="281"/>
      <c r="J492" s="275"/>
      <c r="K492" s="258" t="str">
        <f t="shared" si="1"/>
        <v/>
      </c>
      <c r="L492" s="258" t="str">
        <f t="shared" si="2"/>
        <v/>
      </c>
      <c r="O492" s="281"/>
    </row>
    <row r="493" ht="22.5" customHeight="1">
      <c r="A493" s="274"/>
      <c r="C493" s="281"/>
      <c r="F493" s="281"/>
      <c r="G493" s="274"/>
      <c r="H493" s="281"/>
      <c r="I493" s="281"/>
      <c r="J493" s="275"/>
      <c r="K493" s="258" t="str">
        <f t="shared" si="1"/>
        <v/>
      </c>
      <c r="L493" s="258" t="str">
        <f t="shared" si="2"/>
        <v/>
      </c>
      <c r="O493" s="281"/>
    </row>
    <row r="494" ht="22.5" customHeight="1">
      <c r="A494" s="274"/>
      <c r="C494" s="281"/>
      <c r="F494" s="281"/>
      <c r="G494" s="274"/>
      <c r="H494" s="281"/>
      <c r="I494" s="281"/>
      <c r="J494" s="275"/>
      <c r="K494" s="258" t="str">
        <f t="shared" si="1"/>
        <v/>
      </c>
      <c r="L494" s="258" t="str">
        <f t="shared" si="2"/>
        <v/>
      </c>
      <c r="O494" s="281"/>
    </row>
    <row r="495" ht="22.5" customHeight="1">
      <c r="A495" s="274"/>
      <c r="C495" s="281"/>
      <c r="F495" s="281"/>
      <c r="G495" s="274"/>
      <c r="H495" s="281"/>
      <c r="I495" s="281"/>
      <c r="J495" s="275"/>
      <c r="K495" s="258" t="str">
        <f t="shared" si="1"/>
        <v/>
      </c>
      <c r="L495" s="258" t="str">
        <f t="shared" si="2"/>
        <v/>
      </c>
      <c r="O495" s="281"/>
    </row>
    <row r="496" ht="22.5" customHeight="1">
      <c r="A496" s="274"/>
      <c r="C496" s="281"/>
      <c r="F496" s="281"/>
      <c r="G496" s="274"/>
      <c r="H496" s="281"/>
      <c r="I496" s="281"/>
      <c r="J496" s="275"/>
      <c r="K496" s="258" t="str">
        <f t="shared" si="1"/>
        <v/>
      </c>
      <c r="L496" s="258" t="str">
        <f t="shared" si="2"/>
        <v/>
      </c>
      <c r="O496" s="281"/>
    </row>
    <row r="497" ht="22.5" customHeight="1">
      <c r="A497" s="274"/>
      <c r="C497" s="281"/>
      <c r="F497" s="281"/>
      <c r="G497" s="274"/>
      <c r="H497" s="281"/>
      <c r="I497" s="281"/>
      <c r="J497" s="275"/>
      <c r="K497" s="258" t="str">
        <f t="shared" si="1"/>
        <v/>
      </c>
      <c r="L497" s="258" t="str">
        <f t="shared" si="2"/>
        <v/>
      </c>
      <c r="O497" s="281"/>
    </row>
    <row r="498" ht="22.5" customHeight="1">
      <c r="A498" s="274"/>
      <c r="C498" s="281"/>
      <c r="F498" s="281"/>
      <c r="G498" s="274"/>
      <c r="H498" s="281"/>
      <c r="I498" s="281"/>
      <c r="J498" s="275"/>
      <c r="K498" s="258" t="str">
        <f t="shared" si="1"/>
        <v/>
      </c>
      <c r="L498" s="258" t="str">
        <f t="shared" si="2"/>
        <v/>
      </c>
      <c r="O498" s="281"/>
    </row>
    <row r="499" ht="22.5" customHeight="1">
      <c r="A499" s="274"/>
      <c r="C499" s="281"/>
      <c r="F499" s="281"/>
      <c r="G499" s="274"/>
      <c r="H499" s="281"/>
      <c r="I499" s="281"/>
      <c r="J499" s="275"/>
      <c r="K499" s="258" t="str">
        <f t="shared" si="1"/>
        <v/>
      </c>
      <c r="L499" s="258" t="str">
        <f t="shared" si="2"/>
        <v/>
      </c>
      <c r="O499" s="281"/>
    </row>
    <row r="500" ht="22.5" customHeight="1">
      <c r="A500" s="274"/>
      <c r="C500" s="281"/>
      <c r="F500" s="281"/>
      <c r="G500" s="274"/>
      <c r="H500" s="281"/>
      <c r="I500" s="281"/>
      <c r="J500" s="275"/>
      <c r="K500" s="258" t="str">
        <f t="shared" si="1"/>
        <v/>
      </c>
      <c r="L500" s="258" t="str">
        <f t="shared" si="2"/>
        <v/>
      </c>
      <c r="O500" s="281"/>
    </row>
    <row r="501" ht="22.5" customHeight="1">
      <c r="A501" s="274"/>
      <c r="C501" s="281"/>
      <c r="F501" s="281"/>
      <c r="G501" s="274"/>
      <c r="H501" s="281"/>
      <c r="I501" s="281"/>
      <c r="J501" s="275"/>
      <c r="K501" s="258" t="str">
        <f t="shared" si="1"/>
        <v/>
      </c>
      <c r="L501" s="258" t="str">
        <f t="shared" si="2"/>
        <v/>
      </c>
      <c r="O501" s="281"/>
    </row>
    <row r="502" ht="22.5" customHeight="1">
      <c r="A502" s="274"/>
      <c r="C502" s="281"/>
      <c r="F502" s="281"/>
      <c r="G502" s="274"/>
      <c r="H502" s="281"/>
      <c r="I502" s="281"/>
      <c r="J502" s="275"/>
      <c r="K502" s="258" t="str">
        <f t="shared" si="1"/>
        <v/>
      </c>
      <c r="L502" s="258" t="str">
        <f t="shared" si="2"/>
        <v/>
      </c>
      <c r="O502" s="281"/>
    </row>
    <row r="503" ht="22.5" customHeight="1">
      <c r="A503" s="274"/>
      <c r="C503" s="281"/>
      <c r="F503" s="281"/>
      <c r="G503" s="274"/>
      <c r="H503" s="281"/>
      <c r="I503" s="281"/>
      <c r="J503" s="275"/>
      <c r="K503" s="258" t="str">
        <f t="shared" si="1"/>
        <v/>
      </c>
      <c r="L503" s="258" t="str">
        <f t="shared" si="2"/>
        <v/>
      </c>
      <c r="O503" s="281"/>
    </row>
    <row r="504" ht="22.5" customHeight="1">
      <c r="A504" s="274"/>
      <c r="C504" s="281"/>
      <c r="F504" s="281"/>
      <c r="G504" s="274"/>
      <c r="H504" s="281"/>
      <c r="I504" s="281"/>
      <c r="J504" s="275"/>
      <c r="K504" s="258" t="str">
        <f t="shared" si="1"/>
        <v/>
      </c>
      <c r="L504" s="258" t="str">
        <f t="shared" si="2"/>
        <v/>
      </c>
      <c r="O504" s="281"/>
    </row>
    <row r="505" ht="22.5" customHeight="1">
      <c r="A505" s="274"/>
      <c r="C505" s="281"/>
      <c r="F505" s="281"/>
      <c r="G505" s="274"/>
      <c r="H505" s="281"/>
      <c r="I505" s="281"/>
      <c r="J505" s="275"/>
      <c r="K505" s="258" t="str">
        <f t="shared" si="1"/>
        <v/>
      </c>
      <c r="L505" s="258" t="str">
        <f t="shared" si="2"/>
        <v/>
      </c>
      <c r="O505" s="281"/>
    </row>
    <row r="506" ht="22.5" customHeight="1">
      <c r="A506" s="274"/>
      <c r="C506" s="281"/>
      <c r="F506" s="281"/>
      <c r="G506" s="274"/>
      <c r="H506" s="281"/>
      <c r="I506" s="281"/>
      <c r="J506" s="275"/>
      <c r="K506" s="258" t="str">
        <f t="shared" si="1"/>
        <v/>
      </c>
      <c r="L506" s="258" t="str">
        <f t="shared" si="2"/>
        <v/>
      </c>
      <c r="O506" s="281"/>
    </row>
    <row r="507" ht="22.5" customHeight="1">
      <c r="A507" s="274"/>
      <c r="C507" s="281"/>
      <c r="F507" s="281"/>
      <c r="G507" s="274"/>
      <c r="H507" s="281"/>
      <c r="I507" s="281"/>
      <c r="J507" s="275"/>
      <c r="K507" s="258" t="str">
        <f t="shared" si="1"/>
        <v/>
      </c>
      <c r="L507" s="258" t="str">
        <f t="shared" si="2"/>
        <v/>
      </c>
      <c r="O507" s="281"/>
    </row>
    <row r="508" ht="22.5" customHeight="1">
      <c r="A508" s="274"/>
      <c r="C508" s="281"/>
      <c r="F508" s="281"/>
      <c r="G508" s="274"/>
      <c r="H508" s="281"/>
      <c r="I508" s="281"/>
      <c r="J508" s="275"/>
      <c r="K508" s="258" t="str">
        <f t="shared" si="1"/>
        <v/>
      </c>
      <c r="L508" s="258" t="str">
        <f t="shared" si="2"/>
        <v/>
      </c>
      <c r="O508" s="281"/>
    </row>
    <row r="509" ht="22.5" customHeight="1">
      <c r="A509" s="274"/>
      <c r="C509" s="281"/>
      <c r="F509" s="281"/>
      <c r="G509" s="274"/>
      <c r="H509" s="281"/>
      <c r="I509" s="281"/>
      <c r="J509" s="275"/>
      <c r="K509" s="258" t="str">
        <f t="shared" si="1"/>
        <v/>
      </c>
      <c r="L509" s="258" t="str">
        <f t="shared" si="2"/>
        <v/>
      </c>
      <c r="O509" s="281"/>
    </row>
    <row r="510" ht="22.5" customHeight="1">
      <c r="A510" s="274"/>
      <c r="C510" s="281"/>
      <c r="F510" s="281"/>
      <c r="G510" s="274"/>
      <c r="H510" s="281"/>
      <c r="I510" s="281"/>
      <c r="J510" s="275"/>
      <c r="K510" s="258" t="str">
        <f t="shared" si="1"/>
        <v/>
      </c>
      <c r="L510" s="258" t="str">
        <f t="shared" si="2"/>
        <v/>
      </c>
      <c r="O510" s="281"/>
    </row>
    <row r="511" ht="22.5" customHeight="1">
      <c r="A511" s="274"/>
      <c r="C511" s="281"/>
      <c r="F511" s="281"/>
      <c r="G511" s="274"/>
      <c r="H511" s="281"/>
      <c r="I511" s="281"/>
      <c r="J511" s="275"/>
      <c r="K511" s="258" t="str">
        <f t="shared" si="1"/>
        <v/>
      </c>
      <c r="L511" s="258" t="str">
        <f t="shared" si="2"/>
        <v/>
      </c>
      <c r="O511" s="281"/>
    </row>
    <row r="512" ht="22.5" customHeight="1">
      <c r="A512" s="274"/>
      <c r="C512" s="281"/>
      <c r="F512" s="281"/>
      <c r="G512" s="274"/>
      <c r="H512" s="281"/>
      <c r="I512" s="281"/>
      <c r="J512" s="275"/>
      <c r="K512" s="258" t="str">
        <f t="shared" si="1"/>
        <v/>
      </c>
      <c r="L512" s="258" t="str">
        <f t="shared" si="2"/>
        <v/>
      </c>
      <c r="O512" s="281"/>
    </row>
    <row r="513" ht="22.5" customHeight="1">
      <c r="A513" s="274"/>
      <c r="C513" s="281"/>
      <c r="F513" s="281"/>
      <c r="G513" s="274"/>
      <c r="H513" s="281"/>
      <c r="I513" s="281"/>
      <c r="J513" s="275"/>
      <c r="K513" s="258" t="str">
        <f t="shared" si="1"/>
        <v/>
      </c>
      <c r="L513" s="258" t="str">
        <f t="shared" si="2"/>
        <v/>
      </c>
      <c r="O513" s="281"/>
    </row>
    <row r="514" ht="22.5" customHeight="1">
      <c r="A514" s="274"/>
      <c r="C514" s="281"/>
      <c r="F514" s="281"/>
      <c r="G514" s="274"/>
      <c r="H514" s="281"/>
      <c r="I514" s="281"/>
      <c r="J514" s="275"/>
      <c r="K514" s="258" t="str">
        <f t="shared" si="1"/>
        <v/>
      </c>
      <c r="L514" s="258" t="str">
        <f t="shared" si="2"/>
        <v/>
      </c>
      <c r="O514" s="281"/>
    </row>
    <row r="515" ht="22.5" customHeight="1">
      <c r="A515" s="274"/>
      <c r="C515" s="281"/>
      <c r="F515" s="281"/>
      <c r="G515" s="274"/>
      <c r="H515" s="281"/>
      <c r="I515" s="281"/>
      <c r="J515" s="275"/>
      <c r="K515" s="258" t="str">
        <f t="shared" si="1"/>
        <v/>
      </c>
      <c r="L515" s="258" t="str">
        <f t="shared" si="2"/>
        <v/>
      </c>
      <c r="O515" s="281"/>
    </row>
    <row r="516" ht="22.5" customHeight="1">
      <c r="A516" s="274"/>
      <c r="C516" s="281"/>
      <c r="F516" s="281"/>
      <c r="G516" s="274"/>
      <c r="H516" s="281"/>
      <c r="I516" s="281"/>
      <c r="J516" s="275"/>
      <c r="K516" s="258" t="str">
        <f t="shared" si="1"/>
        <v/>
      </c>
      <c r="L516" s="258" t="str">
        <f t="shared" si="2"/>
        <v/>
      </c>
      <c r="O516" s="281"/>
    </row>
    <row r="517" ht="22.5" customHeight="1">
      <c r="A517" s="274"/>
      <c r="C517" s="281"/>
      <c r="F517" s="281"/>
      <c r="G517" s="274"/>
      <c r="H517" s="281"/>
      <c r="I517" s="281"/>
      <c r="J517" s="275"/>
      <c r="K517" s="258" t="str">
        <f t="shared" si="1"/>
        <v/>
      </c>
      <c r="L517" s="258" t="str">
        <f t="shared" si="2"/>
        <v/>
      </c>
      <c r="O517" s="281"/>
    </row>
    <row r="518" ht="22.5" customHeight="1">
      <c r="A518" s="274"/>
      <c r="C518" s="281"/>
      <c r="F518" s="281"/>
      <c r="G518" s="274"/>
      <c r="H518" s="281"/>
      <c r="I518" s="281"/>
      <c r="J518" s="275"/>
      <c r="K518" s="258" t="str">
        <f t="shared" si="1"/>
        <v/>
      </c>
      <c r="L518" s="258" t="str">
        <f t="shared" si="2"/>
        <v/>
      </c>
      <c r="O518" s="281"/>
    </row>
    <row r="519" ht="22.5" customHeight="1">
      <c r="A519" s="274"/>
      <c r="C519" s="281"/>
      <c r="F519" s="281"/>
      <c r="G519" s="274"/>
      <c r="H519" s="281"/>
      <c r="I519" s="281"/>
      <c r="J519" s="275"/>
      <c r="K519" s="258" t="str">
        <f t="shared" si="1"/>
        <v/>
      </c>
      <c r="L519" s="258" t="str">
        <f t="shared" si="2"/>
        <v/>
      </c>
      <c r="O519" s="281"/>
    </row>
    <row r="520" ht="22.5" customHeight="1">
      <c r="A520" s="274"/>
      <c r="C520" s="281"/>
      <c r="F520" s="281"/>
      <c r="G520" s="274"/>
      <c r="H520" s="281"/>
      <c r="I520" s="281"/>
      <c r="J520" s="275"/>
      <c r="K520" s="258" t="str">
        <f t="shared" si="1"/>
        <v/>
      </c>
      <c r="L520" s="258" t="str">
        <f t="shared" si="2"/>
        <v/>
      </c>
      <c r="O520" s="281"/>
    </row>
    <row r="521" ht="22.5" customHeight="1">
      <c r="A521" s="274"/>
      <c r="C521" s="281"/>
      <c r="F521" s="281"/>
      <c r="G521" s="274"/>
      <c r="H521" s="281"/>
      <c r="I521" s="281"/>
      <c r="J521" s="275"/>
      <c r="K521" s="258" t="str">
        <f t="shared" si="1"/>
        <v/>
      </c>
      <c r="L521" s="258" t="str">
        <f t="shared" si="2"/>
        <v/>
      </c>
      <c r="O521" s="281"/>
    </row>
    <row r="522" ht="22.5" customHeight="1">
      <c r="A522" s="274"/>
      <c r="C522" s="281"/>
      <c r="F522" s="281"/>
      <c r="G522" s="274"/>
      <c r="H522" s="281"/>
      <c r="I522" s="281"/>
      <c r="J522" s="275"/>
      <c r="K522" s="258" t="str">
        <f t="shared" si="1"/>
        <v/>
      </c>
      <c r="L522" s="258" t="str">
        <f t="shared" si="2"/>
        <v/>
      </c>
      <c r="O522" s="281"/>
    </row>
    <row r="523" ht="22.5" customHeight="1">
      <c r="A523" s="274"/>
      <c r="C523" s="281"/>
      <c r="F523" s="281"/>
      <c r="G523" s="274"/>
      <c r="H523" s="281"/>
      <c r="I523" s="281"/>
      <c r="J523" s="275"/>
      <c r="K523" s="258" t="str">
        <f t="shared" si="1"/>
        <v/>
      </c>
      <c r="L523" s="258" t="str">
        <f t="shared" si="2"/>
        <v/>
      </c>
      <c r="O523" s="281"/>
    </row>
    <row r="524" ht="22.5" customHeight="1">
      <c r="A524" s="274"/>
      <c r="C524" s="281"/>
      <c r="F524" s="281"/>
      <c r="G524" s="274"/>
      <c r="H524" s="281"/>
      <c r="I524" s="281"/>
      <c r="J524" s="275"/>
      <c r="K524" s="258" t="str">
        <f t="shared" si="1"/>
        <v/>
      </c>
      <c r="L524" s="258" t="str">
        <f t="shared" si="2"/>
        <v/>
      </c>
      <c r="O524" s="281"/>
    </row>
    <row r="525" ht="22.5" customHeight="1">
      <c r="A525" s="274"/>
      <c r="C525" s="281"/>
      <c r="F525" s="281"/>
      <c r="G525" s="274"/>
      <c r="H525" s="281"/>
      <c r="I525" s="281"/>
      <c r="J525" s="275"/>
      <c r="K525" s="258" t="str">
        <f t="shared" si="1"/>
        <v/>
      </c>
      <c r="L525" s="258" t="str">
        <f t="shared" si="2"/>
        <v/>
      </c>
      <c r="O525" s="281"/>
    </row>
    <row r="526" ht="22.5" customHeight="1">
      <c r="A526" s="274"/>
      <c r="C526" s="281"/>
      <c r="F526" s="281"/>
      <c r="G526" s="274"/>
      <c r="H526" s="281"/>
      <c r="I526" s="281"/>
      <c r="J526" s="275"/>
      <c r="K526" s="258" t="str">
        <f t="shared" si="1"/>
        <v/>
      </c>
      <c r="L526" s="258" t="str">
        <f t="shared" si="2"/>
        <v/>
      </c>
      <c r="O526" s="281"/>
    </row>
    <row r="527" ht="22.5" customHeight="1">
      <c r="A527" s="274"/>
      <c r="C527" s="281"/>
      <c r="F527" s="281"/>
      <c r="G527" s="274"/>
      <c r="H527" s="281"/>
      <c r="I527" s="281"/>
      <c r="J527" s="275"/>
      <c r="K527" s="258" t="str">
        <f t="shared" si="1"/>
        <v/>
      </c>
      <c r="L527" s="258" t="str">
        <f t="shared" si="2"/>
        <v/>
      </c>
      <c r="O527" s="281"/>
    </row>
    <row r="528" ht="22.5" customHeight="1">
      <c r="A528" s="274"/>
      <c r="C528" s="281"/>
      <c r="F528" s="281"/>
      <c r="G528" s="274"/>
      <c r="H528" s="281"/>
      <c r="I528" s="281"/>
      <c r="J528" s="275"/>
      <c r="K528" s="258" t="str">
        <f t="shared" si="1"/>
        <v/>
      </c>
      <c r="L528" s="258" t="str">
        <f t="shared" si="2"/>
        <v/>
      </c>
      <c r="O528" s="281"/>
    </row>
    <row r="529" ht="22.5" customHeight="1">
      <c r="A529" s="274"/>
      <c r="C529" s="281"/>
      <c r="F529" s="281"/>
      <c r="G529" s="274"/>
      <c r="H529" s="281"/>
      <c r="I529" s="281"/>
      <c r="J529" s="275"/>
      <c r="K529" s="258" t="str">
        <f t="shared" si="1"/>
        <v/>
      </c>
      <c r="L529" s="258" t="str">
        <f t="shared" si="2"/>
        <v/>
      </c>
      <c r="O529" s="281"/>
    </row>
    <row r="530" ht="22.5" customHeight="1">
      <c r="A530" s="274"/>
      <c r="C530" s="281"/>
      <c r="F530" s="281"/>
      <c r="G530" s="274"/>
      <c r="H530" s="281"/>
      <c r="I530" s="281"/>
      <c r="J530" s="275"/>
      <c r="K530" s="258" t="str">
        <f t="shared" si="1"/>
        <v/>
      </c>
      <c r="L530" s="258" t="str">
        <f t="shared" si="2"/>
        <v/>
      </c>
      <c r="O530" s="281"/>
    </row>
    <row r="531" ht="22.5" customHeight="1">
      <c r="A531" s="274"/>
      <c r="C531" s="281"/>
      <c r="F531" s="281"/>
      <c r="G531" s="274"/>
      <c r="H531" s="281"/>
      <c r="I531" s="281"/>
      <c r="J531" s="275"/>
      <c r="K531" s="258" t="str">
        <f t="shared" si="1"/>
        <v/>
      </c>
      <c r="L531" s="258" t="str">
        <f t="shared" si="2"/>
        <v/>
      </c>
      <c r="O531" s="281"/>
    </row>
    <row r="532" ht="22.5" customHeight="1">
      <c r="A532" s="274"/>
      <c r="C532" s="281"/>
      <c r="F532" s="281"/>
      <c r="G532" s="274"/>
      <c r="H532" s="281"/>
      <c r="I532" s="281"/>
      <c r="J532" s="275"/>
      <c r="K532" s="258" t="str">
        <f t="shared" si="1"/>
        <v/>
      </c>
      <c r="L532" s="258" t="str">
        <f t="shared" si="2"/>
        <v/>
      </c>
      <c r="O532" s="281"/>
    </row>
    <row r="533" ht="22.5" customHeight="1">
      <c r="A533" s="274"/>
      <c r="C533" s="281"/>
      <c r="F533" s="281"/>
      <c r="G533" s="274"/>
      <c r="H533" s="281"/>
      <c r="I533" s="281"/>
      <c r="J533" s="275"/>
      <c r="K533" s="258" t="str">
        <f t="shared" si="1"/>
        <v/>
      </c>
      <c r="L533" s="258" t="str">
        <f t="shared" si="2"/>
        <v/>
      </c>
      <c r="O533" s="281"/>
    </row>
    <row r="534" ht="22.5" customHeight="1">
      <c r="A534" s="274"/>
      <c r="C534" s="281"/>
      <c r="F534" s="281"/>
      <c r="G534" s="274"/>
      <c r="H534" s="281"/>
      <c r="I534" s="281"/>
      <c r="J534" s="275"/>
      <c r="K534" s="258" t="str">
        <f t="shared" si="1"/>
        <v/>
      </c>
      <c r="L534" s="258" t="str">
        <f t="shared" si="2"/>
        <v/>
      </c>
      <c r="O534" s="281"/>
    </row>
    <row r="535" ht="22.5" customHeight="1">
      <c r="A535" s="274"/>
      <c r="C535" s="281"/>
      <c r="F535" s="281"/>
      <c r="G535" s="274"/>
      <c r="H535" s="281"/>
      <c r="I535" s="281"/>
      <c r="J535" s="275"/>
      <c r="K535" s="258" t="str">
        <f t="shared" si="1"/>
        <v/>
      </c>
      <c r="L535" s="258" t="str">
        <f t="shared" si="2"/>
        <v/>
      </c>
      <c r="O535" s="281"/>
    </row>
    <row r="536" ht="22.5" customHeight="1">
      <c r="A536" s="274"/>
      <c r="C536" s="281"/>
      <c r="F536" s="281"/>
      <c r="G536" s="274"/>
      <c r="H536" s="281"/>
      <c r="I536" s="281"/>
      <c r="J536" s="275"/>
      <c r="K536" s="258" t="str">
        <f t="shared" si="1"/>
        <v/>
      </c>
      <c r="L536" s="258" t="str">
        <f t="shared" si="2"/>
        <v/>
      </c>
      <c r="O536" s="281"/>
    </row>
    <row r="537" ht="22.5" customHeight="1">
      <c r="A537" s="274"/>
      <c r="C537" s="281"/>
      <c r="F537" s="281"/>
      <c r="G537" s="274"/>
      <c r="H537" s="281"/>
      <c r="I537" s="281"/>
      <c r="J537" s="275"/>
      <c r="K537" s="258" t="str">
        <f t="shared" si="1"/>
        <v/>
      </c>
      <c r="L537" s="258" t="str">
        <f t="shared" si="2"/>
        <v/>
      </c>
      <c r="O537" s="281"/>
    </row>
    <row r="538" ht="22.5" customHeight="1">
      <c r="A538" s="274"/>
      <c r="C538" s="281"/>
      <c r="F538" s="281"/>
      <c r="G538" s="274"/>
      <c r="H538" s="281"/>
      <c r="I538" s="281"/>
      <c r="J538" s="275"/>
      <c r="K538" s="258" t="str">
        <f t="shared" si="1"/>
        <v/>
      </c>
      <c r="L538" s="258" t="str">
        <f t="shared" si="2"/>
        <v/>
      </c>
      <c r="O538" s="281"/>
    </row>
    <row r="539" ht="22.5" customHeight="1">
      <c r="A539" s="274"/>
      <c r="C539" s="281"/>
      <c r="F539" s="281"/>
      <c r="G539" s="274"/>
      <c r="H539" s="281"/>
      <c r="I539" s="281"/>
      <c r="J539" s="275"/>
      <c r="K539" s="258" t="str">
        <f t="shared" si="1"/>
        <v/>
      </c>
      <c r="L539" s="258" t="str">
        <f t="shared" si="2"/>
        <v/>
      </c>
      <c r="O539" s="281"/>
    </row>
    <row r="540" ht="22.5" customHeight="1">
      <c r="A540" s="274"/>
      <c r="C540" s="281"/>
      <c r="F540" s="281"/>
      <c r="G540" s="274"/>
      <c r="H540" s="281"/>
      <c r="I540" s="281"/>
      <c r="J540" s="275"/>
      <c r="K540" s="258" t="str">
        <f t="shared" si="1"/>
        <v/>
      </c>
      <c r="L540" s="258" t="str">
        <f t="shared" si="2"/>
        <v/>
      </c>
      <c r="O540" s="281"/>
    </row>
    <row r="541" ht="22.5" customHeight="1">
      <c r="A541" s="274"/>
      <c r="C541" s="281"/>
      <c r="F541" s="281"/>
      <c r="G541" s="274"/>
      <c r="H541" s="281"/>
      <c r="I541" s="281"/>
      <c r="J541" s="275"/>
      <c r="K541" s="258" t="str">
        <f t="shared" si="1"/>
        <v/>
      </c>
      <c r="L541" s="258" t="str">
        <f t="shared" si="2"/>
        <v/>
      </c>
      <c r="O541" s="281"/>
    </row>
    <row r="542" ht="22.5" customHeight="1">
      <c r="A542" s="274"/>
      <c r="C542" s="281"/>
      <c r="F542" s="281"/>
      <c r="G542" s="274"/>
      <c r="H542" s="281"/>
      <c r="I542" s="281"/>
      <c r="J542" s="275"/>
      <c r="K542" s="258" t="str">
        <f t="shared" si="1"/>
        <v/>
      </c>
      <c r="L542" s="258" t="str">
        <f t="shared" si="2"/>
        <v/>
      </c>
      <c r="O542" s="281"/>
    </row>
    <row r="543" ht="22.5" customHeight="1">
      <c r="A543" s="274"/>
      <c r="C543" s="281"/>
      <c r="F543" s="281"/>
      <c r="G543" s="274"/>
      <c r="H543" s="281"/>
      <c r="I543" s="281"/>
      <c r="J543" s="275"/>
      <c r="K543" s="258" t="str">
        <f t="shared" si="1"/>
        <v/>
      </c>
      <c r="L543" s="258" t="str">
        <f t="shared" si="2"/>
        <v/>
      </c>
      <c r="O543" s="281"/>
    </row>
    <row r="544" ht="22.5" customHeight="1">
      <c r="A544" s="274"/>
      <c r="C544" s="281"/>
      <c r="F544" s="281"/>
      <c r="G544" s="274"/>
      <c r="H544" s="281"/>
      <c r="I544" s="281"/>
      <c r="J544" s="275"/>
      <c r="K544" s="258" t="str">
        <f t="shared" si="1"/>
        <v/>
      </c>
      <c r="L544" s="258" t="str">
        <f t="shared" si="2"/>
        <v/>
      </c>
      <c r="O544" s="281"/>
    </row>
    <row r="545" ht="22.5" customHeight="1">
      <c r="A545" s="274"/>
      <c r="C545" s="281"/>
      <c r="F545" s="281"/>
      <c r="G545" s="274"/>
      <c r="H545" s="281"/>
      <c r="I545" s="281"/>
      <c r="J545" s="275"/>
      <c r="K545" s="258" t="str">
        <f t="shared" si="1"/>
        <v/>
      </c>
      <c r="L545" s="258" t="str">
        <f t="shared" si="2"/>
        <v/>
      </c>
      <c r="O545" s="281"/>
    </row>
    <row r="546" ht="22.5" customHeight="1">
      <c r="A546" s="274"/>
      <c r="C546" s="281"/>
      <c r="F546" s="281"/>
      <c r="G546" s="274"/>
      <c r="H546" s="281"/>
      <c r="I546" s="281"/>
      <c r="J546" s="275"/>
      <c r="K546" s="258" t="str">
        <f t="shared" si="1"/>
        <v/>
      </c>
      <c r="L546" s="258" t="str">
        <f t="shared" si="2"/>
        <v/>
      </c>
      <c r="O546" s="281"/>
    </row>
    <row r="547" ht="22.5" customHeight="1">
      <c r="A547" s="274"/>
      <c r="C547" s="281"/>
      <c r="F547" s="281"/>
      <c r="G547" s="274"/>
      <c r="H547" s="281"/>
      <c r="I547" s="281"/>
      <c r="J547" s="275"/>
      <c r="K547" s="258" t="str">
        <f t="shared" si="1"/>
        <v/>
      </c>
      <c r="L547" s="258" t="str">
        <f t="shared" si="2"/>
        <v/>
      </c>
      <c r="O547" s="281"/>
    </row>
    <row r="548" ht="22.5" customHeight="1">
      <c r="A548" s="274"/>
      <c r="C548" s="281"/>
      <c r="F548" s="281"/>
      <c r="G548" s="274"/>
      <c r="H548" s="281"/>
      <c r="I548" s="281"/>
      <c r="J548" s="275"/>
      <c r="K548" s="258" t="str">
        <f t="shared" si="1"/>
        <v/>
      </c>
      <c r="L548" s="258" t="str">
        <f t="shared" si="2"/>
        <v/>
      </c>
      <c r="O548" s="281"/>
    </row>
    <row r="549" ht="22.5" customHeight="1">
      <c r="A549" s="274"/>
      <c r="C549" s="281"/>
      <c r="F549" s="281"/>
      <c r="G549" s="274"/>
      <c r="H549" s="281"/>
      <c r="I549" s="281"/>
      <c r="J549" s="275"/>
      <c r="K549" s="258" t="str">
        <f t="shared" si="1"/>
        <v/>
      </c>
      <c r="L549" s="258" t="str">
        <f t="shared" si="2"/>
        <v/>
      </c>
      <c r="O549" s="281"/>
    </row>
    <row r="550" ht="22.5" customHeight="1">
      <c r="A550" s="274"/>
      <c r="C550" s="281"/>
      <c r="F550" s="281"/>
      <c r="G550" s="274"/>
      <c r="H550" s="281"/>
      <c r="I550" s="281"/>
      <c r="J550" s="275"/>
      <c r="K550" s="258" t="str">
        <f t="shared" si="1"/>
        <v/>
      </c>
      <c r="L550" s="258" t="str">
        <f t="shared" si="2"/>
        <v/>
      </c>
      <c r="O550" s="281"/>
    </row>
    <row r="551" ht="22.5" customHeight="1">
      <c r="A551" s="274"/>
      <c r="C551" s="281"/>
      <c r="F551" s="281"/>
      <c r="G551" s="274"/>
      <c r="H551" s="281"/>
      <c r="I551" s="281"/>
      <c r="J551" s="275"/>
      <c r="K551" s="258" t="str">
        <f t="shared" si="1"/>
        <v/>
      </c>
      <c r="L551" s="258" t="str">
        <f t="shared" si="2"/>
        <v/>
      </c>
      <c r="O551" s="281"/>
    </row>
    <row r="552" ht="22.5" customHeight="1">
      <c r="A552" s="274"/>
      <c r="C552" s="281"/>
      <c r="F552" s="281"/>
      <c r="G552" s="274"/>
      <c r="H552" s="281"/>
      <c r="I552" s="281"/>
      <c r="J552" s="275"/>
      <c r="K552" s="258" t="str">
        <f t="shared" si="1"/>
        <v/>
      </c>
      <c r="L552" s="258" t="str">
        <f t="shared" si="2"/>
        <v/>
      </c>
      <c r="O552" s="281"/>
    </row>
    <row r="553" ht="22.5" customHeight="1">
      <c r="A553" s="274"/>
      <c r="C553" s="281"/>
      <c r="F553" s="281"/>
      <c r="G553" s="274"/>
      <c r="H553" s="281"/>
      <c r="I553" s="281"/>
      <c r="J553" s="275"/>
      <c r="K553" s="258" t="str">
        <f t="shared" si="1"/>
        <v/>
      </c>
      <c r="L553" s="258" t="str">
        <f t="shared" si="2"/>
        <v/>
      </c>
      <c r="O553" s="281"/>
    </row>
    <row r="554" ht="22.5" customHeight="1">
      <c r="A554" s="274"/>
      <c r="C554" s="281"/>
      <c r="F554" s="281"/>
      <c r="G554" s="274"/>
      <c r="H554" s="281"/>
      <c r="I554" s="281"/>
      <c r="J554" s="275"/>
      <c r="K554" s="258" t="str">
        <f t="shared" si="1"/>
        <v/>
      </c>
      <c r="L554" s="258" t="str">
        <f t="shared" si="2"/>
        <v/>
      </c>
      <c r="O554" s="281"/>
    </row>
    <row r="555" ht="22.5" customHeight="1">
      <c r="A555" s="274"/>
      <c r="C555" s="281"/>
      <c r="F555" s="281"/>
      <c r="G555" s="274"/>
      <c r="H555" s="281"/>
      <c r="I555" s="281"/>
      <c r="J555" s="275"/>
      <c r="K555" s="258" t="str">
        <f t="shared" si="1"/>
        <v/>
      </c>
      <c r="L555" s="258" t="str">
        <f t="shared" si="2"/>
        <v/>
      </c>
      <c r="O555" s="281"/>
    </row>
    <row r="556" ht="22.5" customHeight="1">
      <c r="A556" s="274"/>
      <c r="C556" s="281"/>
      <c r="F556" s="281"/>
      <c r="G556" s="274"/>
      <c r="H556" s="281"/>
      <c r="I556" s="281"/>
      <c r="J556" s="275"/>
      <c r="K556" s="258" t="str">
        <f t="shared" si="1"/>
        <v/>
      </c>
      <c r="L556" s="258" t="str">
        <f t="shared" si="2"/>
        <v/>
      </c>
      <c r="O556" s="281"/>
    </row>
    <row r="557" ht="22.5" customHeight="1">
      <c r="A557" s="274"/>
      <c r="C557" s="281"/>
      <c r="F557" s="281"/>
      <c r="G557" s="274"/>
      <c r="H557" s="281"/>
      <c r="I557" s="281"/>
      <c r="J557" s="275"/>
      <c r="K557" s="258" t="str">
        <f t="shared" si="1"/>
        <v/>
      </c>
      <c r="L557" s="258" t="str">
        <f t="shared" si="2"/>
        <v/>
      </c>
      <c r="O557" s="281"/>
    </row>
    <row r="558" ht="22.5" customHeight="1">
      <c r="A558" s="274"/>
      <c r="C558" s="281"/>
      <c r="F558" s="281"/>
      <c r="G558" s="274"/>
      <c r="H558" s="281"/>
      <c r="I558" s="281"/>
      <c r="J558" s="275"/>
      <c r="K558" s="258" t="str">
        <f t="shared" si="1"/>
        <v/>
      </c>
      <c r="L558" s="258" t="str">
        <f t="shared" si="2"/>
        <v/>
      </c>
      <c r="O558" s="281"/>
    </row>
    <row r="559" ht="22.5" customHeight="1">
      <c r="A559" s="274"/>
      <c r="C559" s="281"/>
      <c r="F559" s="281"/>
      <c r="G559" s="274"/>
      <c r="H559" s="281"/>
      <c r="I559" s="281"/>
      <c r="J559" s="275"/>
      <c r="K559" s="258" t="str">
        <f t="shared" si="1"/>
        <v/>
      </c>
      <c r="L559" s="258" t="str">
        <f t="shared" si="2"/>
        <v/>
      </c>
      <c r="O559" s="281"/>
    </row>
    <row r="560" ht="22.5" customHeight="1">
      <c r="A560" s="274"/>
      <c r="C560" s="281"/>
      <c r="F560" s="281"/>
      <c r="G560" s="274"/>
      <c r="H560" s="281"/>
      <c r="I560" s="281"/>
      <c r="J560" s="275"/>
      <c r="K560" s="258" t="str">
        <f t="shared" si="1"/>
        <v/>
      </c>
      <c r="L560" s="258" t="str">
        <f t="shared" si="2"/>
        <v/>
      </c>
      <c r="O560" s="281"/>
    </row>
    <row r="561" ht="22.5" customHeight="1">
      <c r="A561" s="274"/>
      <c r="C561" s="281"/>
      <c r="F561" s="281"/>
      <c r="G561" s="274"/>
      <c r="H561" s="281"/>
      <c r="I561" s="281"/>
      <c r="J561" s="275"/>
      <c r="K561" s="258" t="str">
        <f t="shared" si="1"/>
        <v/>
      </c>
      <c r="L561" s="258" t="str">
        <f t="shared" si="2"/>
        <v/>
      </c>
      <c r="O561" s="281"/>
    </row>
    <row r="562" ht="22.5" customHeight="1">
      <c r="A562" s="274"/>
      <c r="C562" s="281"/>
      <c r="F562" s="281"/>
      <c r="G562" s="274"/>
      <c r="H562" s="281"/>
      <c r="I562" s="281"/>
      <c r="J562" s="275"/>
      <c r="K562" s="258" t="str">
        <f t="shared" si="1"/>
        <v/>
      </c>
      <c r="L562" s="258" t="str">
        <f t="shared" si="2"/>
        <v/>
      </c>
      <c r="O562" s="281"/>
    </row>
    <row r="563" ht="22.5" customHeight="1">
      <c r="A563" s="274"/>
      <c r="C563" s="281"/>
      <c r="F563" s="281"/>
      <c r="G563" s="274"/>
      <c r="H563" s="281"/>
      <c r="I563" s="281"/>
      <c r="J563" s="275"/>
      <c r="K563" s="258" t="str">
        <f t="shared" si="1"/>
        <v/>
      </c>
      <c r="L563" s="258" t="str">
        <f t="shared" si="2"/>
        <v/>
      </c>
      <c r="O563" s="281"/>
    </row>
    <row r="564" ht="22.5" customHeight="1">
      <c r="A564" s="274"/>
      <c r="C564" s="281"/>
      <c r="F564" s="281"/>
      <c r="G564" s="274"/>
      <c r="H564" s="281"/>
      <c r="I564" s="281"/>
      <c r="J564" s="275"/>
      <c r="K564" s="258" t="str">
        <f t="shared" si="1"/>
        <v/>
      </c>
      <c r="L564" s="258" t="str">
        <f t="shared" si="2"/>
        <v/>
      </c>
      <c r="O564" s="281"/>
    </row>
    <row r="565" ht="22.5" customHeight="1">
      <c r="A565" s="274"/>
      <c r="C565" s="281"/>
      <c r="F565" s="281"/>
      <c r="G565" s="274"/>
      <c r="H565" s="281"/>
      <c r="I565" s="281"/>
      <c r="J565" s="275"/>
      <c r="K565" s="258" t="str">
        <f t="shared" si="1"/>
        <v/>
      </c>
      <c r="L565" s="258" t="str">
        <f t="shared" si="2"/>
        <v/>
      </c>
      <c r="O565" s="281"/>
    </row>
    <row r="566" ht="22.5" customHeight="1">
      <c r="A566" s="274"/>
      <c r="C566" s="281"/>
      <c r="F566" s="281"/>
      <c r="G566" s="274"/>
      <c r="H566" s="281"/>
      <c r="I566" s="281"/>
      <c r="J566" s="275"/>
      <c r="K566" s="258" t="str">
        <f t="shared" si="1"/>
        <v/>
      </c>
      <c r="L566" s="258" t="str">
        <f t="shared" si="2"/>
        <v/>
      </c>
      <c r="O566" s="281"/>
    </row>
    <row r="567" ht="22.5" customHeight="1">
      <c r="A567" s="274"/>
      <c r="C567" s="281"/>
      <c r="F567" s="281"/>
      <c r="G567" s="274"/>
      <c r="H567" s="281"/>
      <c r="I567" s="281"/>
      <c r="J567" s="275"/>
      <c r="K567" s="258" t="str">
        <f t="shared" si="1"/>
        <v/>
      </c>
      <c r="L567" s="258" t="str">
        <f t="shared" si="2"/>
        <v/>
      </c>
      <c r="O567" s="281"/>
    </row>
    <row r="568" ht="22.5" customHeight="1">
      <c r="A568" s="274"/>
      <c r="C568" s="281"/>
      <c r="F568" s="281"/>
      <c r="G568" s="274"/>
      <c r="H568" s="281"/>
      <c r="I568" s="281"/>
      <c r="J568" s="275"/>
      <c r="K568" s="258" t="str">
        <f t="shared" si="1"/>
        <v/>
      </c>
      <c r="L568" s="258" t="str">
        <f t="shared" si="2"/>
        <v/>
      </c>
      <c r="O568" s="281"/>
    </row>
    <row r="569" ht="22.5" customHeight="1">
      <c r="A569" s="274"/>
      <c r="C569" s="281"/>
      <c r="F569" s="281"/>
      <c r="G569" s="274"/>
      <c r="H569" s="281"/>
      <c r="I569" s="281"/>
      <c r="J569" s="275"/>
      <c r="K569" s="258" t="str">
        <f t="shared" si="1"/>
        <v/>
      </c>
      <c r="L569" s="258" t="str">
        <f t="shared" si="2"/>
        <v/>
      </c>
      <c r="O569" s="281"/>
    </row>
    <row r="570" ht="22.5" customHeight="1">
      <c r="A570" s="274"/>
      <c r="C570" s="281"/>
      <c r="F570" s="281"/>
      <c r="G570" s="274"/>
      <c r="H570" s="281"/>
      <c r="I570" s="281"/>
      <c r="J570" s="275"/>
      <c r="K570" s="258" t="str">
        <f t="shared" si="1"/>
        <v/>
      </c>
      <c r="L570" s="258" t="str">
        <f t="shared" si="2"/>
        <v/>
      </c>
      <c r="O570" s="281"/>
    </row>
    <row r="571" ht="22.5" customHeight="1">
      <c r="A571" s="274"/>
      <c r="C571" s="281"/>
      <c r="F571" s="281"/>
      <c r="G571" s="274"/>
      <c r="H571" s="281"/>
      <c r="I571" s="281"/>
      <c r="J571" s="275"/>
      <c r="K571" s="258" t="str">
        <f t="shared" si="1"/>
        <v/>
      </c>
      <c r="L571" s="258" t="str">
        <f t="shared" si="2"/>
        <v/>
      </c>
      <c r="O571" s="281"/>
    </row>
    <row r="572" ht="22.5" customHeight="1">
      <c r="A572" s="274"/>
      <c r="C572" s="281"/>
      <c r="F572" s="281"/>
      <c r="G572" s="274"/>
      <c r="H572" s="281"/>
      <c r="I572" s="281"/>
      <c r="J572" s="275"/>
      <c r="K572" s="258" t="str">
        <f t="shared" si="1"/>
        <v/>
      </c>
      <c r="L572" s="258" t="str">
        <f t="shared" si="2"/>
        <v/>
      </c>
      <c r="O572" s="281"/>
    </row>
    <row r="573" ht="22.5" customHeight="1">
      <c r="A573" s="274"/>
      <c r="C573" s="281"/>
      <c r="F573" s="281"/>
      <c r="G573" s="274"/>
      <c r="H573" s="281"/>
      <c r="I573" s="281"/>
      <c r="J573" s="275"/>
      <c r="K573" s="258" t="str">
        <f t="shared" si="1"/>
        <v/>
      </c>
      <c r="L573" s="258" t="str">
        <f t="shared" si="2"/>
        <v/>
      </c>
      <c r="O573" s="281"/>
    </row>
    <row r="574" ht="22.5" customHeight="1">
      <c r="A574" s="274"/>
      <c r="C574" s="281"/>
      <c r="F574" s="281"/>
      <c r="G574" s="274"/>
      <c r="H574" s="281"/>
      <c r="I574" s="281"/>
      <c r="J574" s="275"/>
      <c r="K574" s="258" t="str">
        <f t="shared" si="1"/>
        <v/>
      </c>
      <c r="L574" s="258" t="str">
        <f t="shared" si="2"/>
        <v/>
      </c>
      <c r="O574" s="281"/>
    </row>
    <row r="575" ht="22.5" customHeight="1">
      <c r="A575" s="274"/>
      <c r="C575" s="281"/>
      <c r="F575" s="281"/>
      <c r="G575" s="274"/>
      <c r="H575" s="281"/>
      <c r="I575" s="281"/>
      <c r="J575" s="275"/>
      <c r="K575" s="258" t="str">
        <f t="shared" si="1"/>
        <v/>
      </c>
      <c r="L575" s="258" t="str">
        <f t="shared" si="2"/>
        <v/>
      </c>
      <c r="O575" s="281"/>
    </row>
    <row r="576" ht="22.5" customHeight="1">
      <c r="A576" s="274"/>
      <c r="C576" s="281"/>
      <c r="F576" s="281"/>
      <c r="G576" s="274"/>
      <c r="H576" s="281"/>
      <c r="I576" s="281"/>
      <c r="J576" s="275"/>
      <c r="K576" s="258" t="str">
        <f t="shared" si="1"/>
        <v/>
      </c>
      <c r="L576" s="258" t="str">
        <f t="shared" si="2"/>
        <v/>
      </c>
      <c r="O576" s="281"/>
    </row>
    <row r="577" ht="22.5" customHeight="1">
      <c r="A577" s="274"/>
      <c r="C577" s="281"/>
      <c r="F577" s="281"/>
      <c r="G577" s="274"/>
      <c r="H577" s="281"/>
      <c r="I577" s="281"/>
      <c r="J577" s="275"/>
      <c r="K577" s="258" t="str">
        <f t="shared" si="1"/>
        <v/>
      </c>
      <c r="L577" s="258" t="str">
        <f t="shared" si="2"/>
        <v/>
      </c>
      <c r="O577" s="281"/>
    </row>
    <row r="578" ht="22.5" customHeight="1">
      <c r="A578" s="274"/>
      <c r="C578" s="281"/>
      <c r="F578" s="281"/>
      <c r="G578" s="274"/>
      <c r="H578" s="281"/>
      <c r="I578" s="281"/>
      <c r="J578" s="275"/>
      <c r="K578" s="258" t="str">
        <f t="shared" si="1"/>
        <v/>
      </c>
      <c r="L578" s="258" t="str">
        <f t="shared" si="2"/>
        <v/>
      </c>
      <c r="O578" s="281"/>
    </row>
    <row r="579" ht="22.5" customHeight="1">
      <c r="A579" s="274"/>
      <c r="C579" s="281"/>
      <c r="F579" s="281"/>
      <c r="G579" s="274"/>
      <c r="H579" s="281"/>
      <c r="I579" s="281"/>
      <c r="J579" s="275"/>
      <c r="K579" s="258" t="str">
        <f t="shared" si="1"/>
        <v/>
      </c>
      <c r="L579" s="258" t="str">
        <f t="shared" si="2"/>
        <v/>
      </c>
      <c r="O579" s="281"/>
    </row>
    <row r="580" ht="22.5" customHeight="1">
      <c r="A580" s="274"/>
      <c r="C580" s="281"/>
      <c r="F580" s="281"/>
      <c r="G580" s="274"/>
      <c r="H580" s="281"/>
      <c r="I580" s="281"/>
      <c r="J580" s="275"/>
      <c r="K580" s="258" t="str">
        <f t="shared" si="1"/>
        <v/>
      </c>
      <c r="L580" s="258" t="str">
        <f t="shared" si="2"/>
        <v/>
      </c>
      <c r="O580" s="281"/>
    </row>
    <row r="581" ht="22.5" customHeight="1">
      <c r="A581" s="274"/>
      <c r="C581" s="281"/>
      <c r="F581" s="281"/>
      <c r="G581" s="274"/>
      <c r="H581" s="281"/>
      <c r="I581" s="281"/>
      <c r="J581" s="275"/>
      <c r="K581" s="258" t="str">
        <f t="shared" si="1"/>
        <v/>
      </c>
      <c r="L581" s="258" t="str">
        <f t="shared" si="2"/>
        <v/>
      </c>
      <c r="O581" s="281"/>
    </row>
    <row r="582" ht="22.5" customHeight="1">
      <c r="A582" s="274"/>
      <c r="C582" s="281"/>
      <c r="F582" s="281"/>
      <c r="G582" s="274"/>
      <c r="H582" s="281"/>
      <c r="I582" s="281"/>
      <c r="J582" s="275"/>
      <c r="K582" s="258" t="str">
        <f t="shared" si="1"/>
        <v/>
      </c>
      <c r="L582" s="258" t="str">
        <f t="shared" si="2"/>
        <v/>
      </c>
      <c r="O582" s="281"/>
    </row>
    <row r="583" ht="22.5" customHeight="1">
      <c r="A583" s="274"/>
      <c r="C583" s="281"/>
      <c r="F583" s="281"/>
      <c r="G583" s="274"/>
      <c r="H583" s="281"/>
      <c r="I583" s="281"/>
      <c r="J583" s="275"/>
      <c r="K583" s="258" t="str">
        <f t="shared" si="1"/>
        <v/>
      </c>
      <c r="L583" s="258" t="str">
        <f t="shared" si="2"/>
        <v/>
      </c>
      <c r="O583" s="281"/>
    </row>
    <row r="584" ht="22.5" customHeight="1">
      <c r="A584" s="274"/>
      <c r="C584" s="281"/>
      <c r="F584" s="281"/>
      <c r="G584" s="274"/>
      <c r="H584" s="281"/>
      <c r="I584" s="281"/>
      <c r="J584" s="275"/>
      <c r="K584" s="258" t="str">
        <f t="shared" si="1"/>
        <v/>
      </c>
      <c r="L584" s="258" t="str">
        <f t="shared" si="2"/>
        <v/>
      </c>
      <c r="O584" s="281"/>
    </row>
    <row r="585" ht="22.5" customHeight="1">
      <c r="A585" s="274"/>
      <c r="C585" s="281"/>
      <c r="F585" s="281"/>
      <c r="G585" s="274"/>
      <c r="H585" s="281"/>
      <c r="I585" s="281"/>
      <c r="J585" s="275"/>
      <c r="K585" s="258" t="str">
        <f t="shared" si="1"/>
        <v/>
      </c>
      <c r="L585" s="258" t="str">
        <f t="shared" si="2"/>
        <v/>
      </c>
      <c r="O585" s="281"/>
    </row>
    <row r="586" ht="22.5" customHeight="1">
      <c r="A586" s="274"/>
      <c r="C586" s="281"/>
      <c r="F586" s="281"/>
      <c r="G586" s="274"/>
      <c r="H586" s="281"/>
      <c r="I586" s="281"/>
      <c r="J586" s="275"/>
      <c r="K586" s="258" t="str">
        <f t="shared" si="1"/>
        <v/>
      </c>
      <c r="L586" s="258" t="str">
        <f t="shared" si="2"/>
        <v/>
      </c>
      <c r="O586" s="281"/>
    </row>
    <row r="587" ht="22.5" customHeight="1">
      <c r="A587" s="274"/>
      <c r="C587" s="281"/>
      <c r="F587" s="281"/>
      <c r="G587" s="274"/>
      <c r="H587" s="281"/>
      <c r="I587" s="281"/>
      <c r="J587" s="275"/>
      <c r="K587" s="258" t="str">
        <f t="shared" si="1"/>
        <v/>
      </c>
      <c r="L587" s="258" t="str">
        <f t="shared" si="2"/>
        <v/>
      </c>
      <c r="O587" s="281"/>
    </row>
    <row r="588" ht="22.5" customHeight="1">
      <c r="A588" s="274"/>
      <c r="C588" s="281"/>
      <c r="F588" s="281"/>
      <c r="G588" s="274"/>
      <c r="H588" s="281"/>
      <c r="I588" s="281"/>
      <c r="J588" s="275"/>
      <c r="K588" s="258" t="str">
        <f t="shared" si="1"/>
        <v/>
      </c>
      <c r="L588" s="258" t="str">
        <f t="shared" si="2"/>
        <v/>
      </c>
      <c r="O588" s="281"/>
    </row>
    <row r="589" ht="22.5" customHeight="1">
      <c r="A589" s="274"/>
      <c r="C589" s="281"/>
      <c r="F589" s="281"/>
      <c r="G589" s="274"/>
      <c r="H589" s="281"/>
      <c r="I589" s="281"/>
      <c r="J589" s="275"/>
      <c r="K589" s="258" t="str">
        <f t="shared" si="1"/>
        <v/>
      </c>
      <c r="L589" s="258" t="str">
        <f t="shared" si="2"/>
        <v/>
      </c>
      <c r="O589" s="281"/>
    </row>
    <row r="590" ht="22.5" customHeight="1">
      <c r="A590" s="274"/>
      <c r="C590" s="281"/>
      <c r="F590" s="281"/>
      <c r="G590" s="274"/>
      <c r="H590" s="281"/>
      <c r="I590" s="281"/>
      <c r="J590" s="275"/>
      <c r="K590" s="258" t="str">
        <f t="shared" si="1"/>
        <v/>
      </c>
      <c r="L590" s="258" t="str">
        <f t="shared" si="2"/>
        <v/>
      </c>
      <c r="O590" s="281"/>
    </row>
    <row r="591" ht="22.5" customHeight="1">
      <c r="A591" s="274"/>
      <c r="C591" s="281"/>
      <c r="F591" s="281"/>
      <c r="G591" s="274"/>
      <c r="H591" s="281"/>
      <c r="I591" s="281"/>
      <c r="J591" s="275"/>
      <c r="K591" s="258" t="str">
        <f t="shared" si="1"/>
        <v/>
      </c>
      <c r="L591" s="258" t="str">
        <f t="shared" si="2"/>
        <v/>
      </c>
      <c r="O591" s="281"/>
    </row>
    <row r="592" ht="22.5" customHeight="1">
      <c r="A592" s="274"/>
      <c r="C592" s="281"/>
      <c r="F592" s="281"/>
      <c r="G592" s="274"/>
      <c r="H592" s="281"/>
      <c r="I592" s="281"/>
      <c r="J592" s="275"/>
      <c r="K592" s="258" t="str">
        <f t="shared" si="1"/>
        <v/>
      </c>
      <c r="L592" s="258" t="str">
        <f t="shared" si="2"/>
        <v/>
      </c>
      <c r="O592" s="281"/>
    </row>
    <row r="593" ht="22.5" customHeight="1">
      <c r="A593" s="274"/>
      <c r="C593" s="281"/>
      <c r="F593" s="281"/>
      <c r="G593" s="274"/>
      <c r="H593" s="281"/>
      <c r="I593" s="281"/>
      <c r="J593" s="275"/>
      <c r="K593" s="258" t="str">
        <f t="shared" si="1"/>
        <v/>
      </c>
      <c r="L593" s="258" t="str">
        <f t="shared" si="2"/>
        <v/>
      </c>
      <c r="O593" s="281"/>
    </row>
    <row r="594" ht="22.5" customHeight="1">
      <c r="A594" s="274"/>
      <c r="C594" s="281"/>
      <c r="F594" s="281"/>
      <c r="G594" s="274"/>
      <c r="H594" s="281"/>
      <c r="I594" s="281"/>
      <c r="J594" s="275"/>
      <c r="K594" s="258" t="str">
        <f t="shared" si="1"/>
        <v/>
      </c>
      <c r="L594" s="258" t="str">
        <f t="shared" si="2"/>
        <v/>
      </c>
      <c r="O594" s="281"/>
    </row>
    <row r="595" ht="22.5" customHeight="1">
      <c r="A595" s="274"/>
      <c r="C595" s="281"/>
      <c r="F595" s="281"/>
      <c r="G595" s="274"/>
      <c r="H595" s="281"/>
      <c r="I595" s="281"/>
      <c r="J595" s="275"/>
      <c r="K595" s="258" t="str">
        <f t="shared" si="1"/>
        <v/>
      </c>
      <c r="L595" s="258" t="str">
        <f t="shared" si="2"/>
        <v/>
      </c>
      <c r="O595" s="281"/>
    </row>
    <row r="596" ht="22.5" customHeight="1">
      <c r="A596" s="274"/>
      <c r="C596" s="281"/>
      <c r="F596" s="281"/>
      <c r="G596" s="274"/>
      <c r="H596" s="281"/>
      <c r="I596" s="281"/>
      <c r="J596" s="275"/>
      <c r="K596" s="258" t="str">
        <f t="shared" si="1"/>
        <v/>
      </c>
      <c r="L596" s="258" t="str">
        <f t="shared" si="2"/>
        <v/>
      </c>
      <c r="O596" s="281"/>
    </row>
    <row r="597" ht="22.5" customHeight="1">
      <c r="A597" s="274"/>
      <c r="C597" s="281"/>
      <c r="F597" s="281"/>
      <c r="G597" s="274"/>
      <c r="H597" s="281"/>
      <c r="I597" s="281"/>
      <c r="J597" s="275"/>
      <c r="K597" s="258" t="str">
        <f t="shared" si="1"/>
        <v/>
      </c>
      <c r="L597" s="258" t="str">
        <f t="shared" si="2"/>
        <v/>
      </c>
      <c r="O597" s="281"/>
    </row>
    <row r="598" ht="22.5" customHeight="1">
      <c r="A598" s="274"/>
      <c r="C598" s="281"/>
      <c r="F598" s="281"/>
      <c r="G598" s="274"/>
      <c r="H598" s="281"/>
      <c r="I598" s="281"/>
      <c r="J598" s="275"/>
      <c r="K598" s="258" t="str">
        <f t="shared" si="1"/>
        <v/>
      </c>
      <c r="L598" s="258" t="str">
        <f t="shared" si="2"/>
        <v/>
      </c>
      <c r="O598" s="281"/>
    </row>
    <row r="599" ht="22.5" customHeight="1">
      <c r="A599" s="274"/>
      <c r="C599" s="281"/>
      <c r="F599" s="281"/>
      <c r="G599" s="274"/>
      <c r="H599" s="281"/>
      <c r="I599" s="281"/>
      <c r="J599" s="275"/>
      <c r="K599" s="258" t="str">
        <f t="shared" si="1"/>
        <v/>
      </c>
      <c r="L599" s="258" t="str">
        <f t="shared" si="2"/>
        <v/>
      </c>
      <c r="O599" s="281"/>
    </row>
    <row r="600" ht="22.5" customHeight="1">
      <c r="A600" s="274"/>
      <c r="C600" s="281"/>
      <c r="F600" s="281"/>
      <c r="G600" s="274"/>
      <c r="H600" s="281"/>
      <c r="I600" s="281"/>
      <c r="J600" s="275"/>
      <c r="K600" s="258" t="str">
        <f t="shared" si="1"/>
        <v/>
      </c>
      <c r="L600" s="258" t="str">
        <f t="shared" si="2"/>
        <v/>
      </c>
      <c r="O600" s="281"/>
    </row>
    <row r="601" ht="22.5" customHeight="1">
      <c r="A601" s="274"/>
      <c r="C601" s="281"/>
      <c r="F601" s="281"/>
      <c r="G601" s="274"/>
      <c r="H601" s="281"/>
      <c r="I601" s="281"/>
      <c r="J601" s="275"/>
      <c r="K601" s="258" t="str">
        <f t="shared" si="1"/>
        <v/>
      </c>
      <c r="L601" s="258" t="str">
        <f t="shared" si="2"/>
        <v/>
      </c>
      <c r="O601" s="281"/>
    </row>
    <row r="602" ht="22.5" customHeight="1">
      <c r="A602" s="274"/>
      <c r="C602" s="281"/>
      <c r="F602" s="281"/>
      <c r="G602" s="274"/>
      <c r="H602" s="281"/>
      <c r="I602" s="281"/>
      <c r="J602" s="275"/>
      <c r="K602" s="258" t="str">
        <f t="shared" si="1"/>
        <v/>
      </c>
      <c r="L602" s="258" t="str">
        <f t="shared" si="2"/>
        <v/>
      </c>
      <c r="O602" s="281"/>
    </row>
    <row r="603" ht="22.5" customHeight="1">
      <c r="A603" s="274"/>
      <c r="C603" s="281"/>
      <c r="F603" s="281"/>
      <c r="G603" s="274"/>
      <c r="H603" s="281"/>
      <c r="I603" s="281"/>
      <c r="J603" s="275"/>
      <c r="K603" s="258" t="str">
        <f t="shared" si="1"/>
        <v/>
      </c>
      <c r="L603" s="258" t="str">
        <f t="shared" si="2"/>
        <v/>
      </c>
      <c r="O603" s="281"/>
    </row>
    <row r="604" ht="22.5" customHeight="1">
      <c r="A604" s="274"/>
      <c r="C604" s="281"/>
      <c r="F604" s="281"/>
      <c r="G604" s="274"/>
      <c r="H604" s="281"/>
      <c r="I604" s="281"/>
      <c r="J604" s="275"/>
      <c r="K604" s="258" t="str">
        <f t="shared" si="1"/>
        <v/>
      </c>
      <c r="L604" s="258" t="str">
        <f t="shared" si="2"/>
        <v/>
      </c>
      <c r="O604" s="281"/>
    </row>
    <row r="605" ht="22.5" customHeight="1">
      <c r="A605" s="274"/>
      <c r="C605" s="281"/>
      <c r="F605" s="281"/>
      <c r="G605" s="274"/>
      <c r="H605" s="281"/>
      <c r="I605" s="281"/>
      <c r="J605" s="275"/>
      <c r="K605" s="258" t="str">
        <f t="shared" si="1"/>
        <v/>
      </c>
      <c r="L605" s="258" t="str">
        <f t="shared" si="2"/>
        <v/>
      </c>
      <c r="O605" s="281"/>
    </row>
    <row r="606" ht="22.5" customHeight="1">
      <c r="A606" s="274"/>
      <c r="C606" s="281"/>
      <c r="F606" s="281"/>
      <c r="G606" s="274"/>
      <c r="H606" s="281"/>
      <c r="I606" s="281"/>
      <c r="J606" s="275"/>
      <c r="K606" s="258" t="str">
        <f t="shared" si="1"/>
        <v/>
      </c>
      <c r="L606" s="258" t="str">
        <f t="shared" si="2"/>
        <v/>
      </c>
      <c r="O606" s="281"/>
    </row>
    <row r="607" ht="22.5" customHeight="1">
      <c r="A607" s="274"/>
      <c r="C607" s="281"/>
      <c r="F607" s="281"/>
      <c r="G607" s="274"/>
      <c r="H607" s="281"/>
      <c r="I607" s="281"/>
      <c r="J607" s="275"/>
      <c r="K607" s="258" t="str">
        <f t="shared" si="1"/>
        <v/>
      </c>
      <c r="L607" s="258" t="str">
        <f t="shared" si="2"/>
        <v/>
      </c>
      <c r="O607" s="281"/>
    </row>
    <row r="608" ht="22.5" customHeight="1">
      <c r="A608" s="274"/>
      <c r="C608" s="281"/>
      <c r="F608" s="281"/>
      <c r="G608" s="274"/>
      <c r="H608" s="281"/>
      <c r="I608" s="281"/>
      <c r="J608" s="275"/>
      <c r="K608" s="258" t="str">
        <f t="shared" si="1"/>
        <v/>
      </c>
      <c r="L608" s="258" t="str">
        <f t="shared" si="2"/>
        <v/>
      </c>
      <c r="O608" s="281"/>
    </row>
    <row r="609" ht="22.5" customHeight="1">
      <c r="A609" s="274"/>
      <c r="C609" s="281"/>
      <c r="F609" s="281"/>
      <c r="G609" s="274"/>
      <c r="H609" s="281"/>
      <c r="I609" s="281"/>
      <c r="J609" s="275"/>
      <c r="K609" s="258" t="str">
        <f t="shared" si="1"/>
        <v/>
      </c>
      <c r="L609" s="258" t="str">
        <f t="shared" si="2"/>
        <v/>
      </c>
      <c r="O609" s="281"/>
    </row>
    <row r="610" ht="22.5" customHeight="1">
      <c r="A610" s="274"/>
      <c r="C610" s="281"/>
      <c r="F610" s="281"/>
      <c r="G610" s="274"/>
      <c r="H610" s="281"/>
      <c r="I610" s="281"/>
      <c r="J610" s="275"/>
      <c r="K610" s="258" t="str">
        <f t="shared" si="1"/>
        <v/>
      </c>
      <c r="L610" s="258" t="str">
        <f t="shared" si="2"/>
        <v/>
      </c>
      <c r="O610" s="281"/>
    </row>
    <row r="611" ht="22.5" customHeight="1">
      <c r="A611" s="274"/>
      <c r="C611" s="281"/>
      <c r="F611" s="281"/>
      <c r="G611" s="274"/>
      <c r="H611" s="281"/>
      <c r="I611" s="281"/>
      <c r="J611" s="275"/>
      <c r="K611" s="258" t="str">
        <f t="shared" si="1"/>
        <v/>
      </c>
      <c r="L611" s="258" t="str">
        <f t="shared" si="2"/>
        <v/>
      </c>
      <c r="O611" s="281"/>
    </row>
    <row r="612" ht="22.5" customHeight="1">
      <c r="A612" s="274"/>
      <c r="C612" s="281"/>
      <c r="F612" s="281"/>
      <c r="G612" s="274"/>
      <c r="H612" s="281"/>
      <c r="I612" s="281"/>
      <c r="J612" s="275"/>
      <c r="K612" s="258" t="str">
        <f t="shared" si="1"/>
        <v/>
      </c>
      <c r="L612" s="258" t="str">
        <f t="shared" si="2"/>
        <v/>
      </c>
      <c r="O612" s="281"/>
    </row>
    <row r="613" ht="22.5" customHeight="1">
      <c r="A613" s="274"/>
      <c r="C613" s="281"/>
      <c r="F613" s="281"/>
      <c r="G613" s="274"/>
      <c r="H613" s="281"/>
      <c r="I613" s="281"/>
      <c r="J613" s="275"/>
      <c r="K613" s="258" t="str">
        <f t="shared" si="1"/>
        <v/>
      </c>
      <c r="L613" s="258" t="str">
        <f t="shared" si="2"/>
        <v/>
      </c>
      <c r="O613" s="281"/>
    </row>
    <row r="614" ht="22.5" customHeight="1">
      <c r="A614" s="274"/>
      <c r="C614" s="281"/>
      <c r="F614" s="281"/>
      <c r="G614" s="274"/>
      <c r="H614" s="281"/>
      <c r="I614" s="281"/>
      <c r="J614" s="275"/>
      <c r="K614" s="258" t="str">
        <f t="shared" si="1"/>
        <v/>
      </c>
      <c r="L614" s="258" t="str">
        <f t="shared" si="2"/>
        <v/>
      </c>
      <c r="O614" s="281"/>
    </row>
    <row r="615" ht="22.5" customHeight="1">
      <c r="A615" s="274"/>
      <c r="C615" s="281"/>
      <c r="F615" s="281"/>
      <c r="G615" s="274"/>
      <c r="H615" s="281"/>
      <c r="I615" s="281"/>
      <c r="J615" s="275"/>
      <c r="K615" s="258" t="str">
        <f t="shared" si="1"/>
        <v/>
      </c>
      <c r="L615" s="258" t="str">
        <f t="shared" si="2"/>
        <v/>
      </c>
      <c r="O615" s="281"/>
    </row>
    <row r="616" ht="22.5" customHeight="1">
      <c r="A616" s="274"/>
      <c r="C616" s="281"/>
      <c r="F616" s="281"/>
      <c r="G616" s="274"/>
      <c r="H616" s="281"/>
      <c r="I616" s="281"/>
      <c r="J616" s="275"/>
      <c r="K616" s="258" t="str">
        <f t="shared" si="1"/>
        <v/>
      </c>
      <c r="L616" s="258" t="str">
        <f t="shared" si="2"/>
        <v/>
      </c>
      <c r="O616" s="281"/>
    </row>
    <row r="617" ht="22.5" customHeight="1">
      <c r="A617" s="274"/>
      <c r="C617" s="281"/>
      <c r="F617" s="281"/>
      <c r="G617" s="274"/>
      <c r="H617" s="281"/>
      <c r="I617" s="281"/>
      <c r="J617" s="275"/>
      <c r="K617" s="258" t="str">
        <f t="shared" si="1"/>
        <v/>
      </c>
      <c r="L617" s="258" t="str">
        <f t="shared" si="2"/>
        <v/>
      </c>
      <c r="O617" s="281"/>
    </row>
    <row r="618" ht="22.5" customHeight="1">
      <c r="A618" s="274"/>
      <c r="C618" s="281"/>
      <c r="F618" s="281"/>
      <c r="G618" s="274"/>
      <c r="H618" s="281"/>
      <c r="I618" s="281"/>
      <c r="J618" s="275"/>
      <c r="K618" s="258" t="str">
        <f t="shared" si="1"/>
        <v/>
      </c>
      <c r="L618" s="258" t="str">
        <f t="shared" si="2"/>
        <v/>
      </c>
      <c r="O618" s="281"/>
    </row>
    <row r="619" ht="22.5" customHeight="1">
      <c r="A619" s="274"/>
      <c r="C619" s="281"/>
      <c r="F619" s="281"/>
      <c r="G619" s="274"/>
      <c r="H619" s="281"/>
      <c r="I619" s="281"/>
      <c r="J619" s="275"/>
      <c r="K619" s="258" t="str">
        <f t="shared" si="1"/>
        <v/>
      </c>
      <c r="L619" s="258" t="str">
        <f t="shared" si="2"/>
        <v/>
      </c>
      <c r="O619" s="281"/>
    </row>
    <row r="620" ht="22.5" customHeight="1">
      <c r="A620" s="274"/>
      <c r="C620" s="281"/>
      <c r="F620" s="281"/>
      <c r="G620" s="274"/>
      <c r="H620" s="281"/>
      <c r="I620" s="281"/>
      <c r="J620" s="275"/>
      <c r="K620" s="258" t="str">
        <f t="shared" si="1"/>
        <v/>
      </c>
      <c r="L620" s="258" t="str">
        <f t="shared" si="2"/>
        <v/>
      </c>
      <c r="O620" s="281"/>
    </row>
    <row r="621" ht="22.5" customHeight="1">
      <c r="A621" s="274"/>
      <c r="C621" s="281"/>
      <c r="F621" s="281"/>
      <c r="G621" s="274"/>
      <c r="H621" s="281"/>
      <c r="I621" s="281"/>
      <c r="J621" s="275"/>
      <c r="K621" s="258" t="str">
        <f t="shared" si="1"/>
        <v/>
      </c>
      <c r="L621" s="258" t="str">
        <f t="shared" si="2"/>
        <v/>
      </c>
      <c r="O621" s="281"/>
    </row>
    <row r="622" ht="22.5" customHeight="1">
      <c r="A622" s="274"/>
      <c r="C622" s="281"/>
      <c r="F622" s="281"/>
      <c r="G622" s="274"/>
      <c r="H622" s="281"/>
      <c r="I622" s="281"/>
      <c r="J622" s="275"/>
      <c r="K622" s="258" t="str">
        <f t="shared" si="1"/>
        <v/>
      </c>
      <c r="L622" s="258" t="str">
        <f t="shared" si="2"/>
        <v/>
      </c>
      <c r="O622" s="281"/>
    </row>
    <row r="623" ht="22.5" customHeight="1">
      <c r="A623" s="274"/>
      <c r="C623" s="281"/>
      <c r="F623" s="281"/>
      <c r="G623" s="274"/>
      <c r="H623" s="281"/>
      <c r="I623" s="281"/>
      <c r="J623" s="275"/>
      <c r="K623" s="258" t="str">
        <f t="shared" si="1"/>
        <v/>
      </c>
      <c r="L623" s="258" t="str">
        <f t="shared" si="2"/>
        <v/>
      </c>
      <c r="O623" s="281"/>
    </row>
    <row r="624" ht="22.5" customHeight="1">
      <c r="A624" s="274"/>
      <c r="C624" s="281"/>
      <c r="F624" s="281"/>
      <c r="G624" s="274"/>
      <c r="H624" s="281"/>
      <c r="I624" s="281"/>
      <c r="J624" s="275"/>
      <c r="K624" s="258" t="str">
        <f t="shared" si="1"/>
        <v/>
      </c>
      <c r="L624" s="258" t="str">
        <f t="shared" si="2"/>
        <v/>
      </c>
      <c r="O624" s="281"/>
    </row>
    <row r="625" ht="22.5" customHeight="1">
      <c r="A625" s="274"/>
      <c r="C625" s="281"/>
      <c r="F625" s="281"/>
      <c r="G625" s="274"/>
      <c r="H625" s="281"/>
      <c r="I625" s="281"/>
      <c r="J625" s="275"/>
      <c r="K625" s="258" t="str">
        <f t="shared" si="1"/>
        <v/>
      </c>
      <c r="L625" s="258" t="str">
        <f t="shared" si="2"/>
        <v/>
      </c>
      <c r="O625" s="281"/>
    </row>
    <row r="626" ht="22.5" customHeight="1">
      <c r="A626" s="274"/>
      <c r="C626" s="281"/>
      <c r="F626" s="281"/>
      <c r="G626" s="274"/>
      <c r="H626" s="281"/>
      <c r="I626" s="281"/>
      <c r="J626" s="275"/>
      <c r="K626" s="258" t="str">
        <f t="shared" si="1"/>
        <v/>
      </c>
      <c r="L626" s="258" t="str">
        <f t="shared" si="2"/>
        <v/>
      </c>
      <c r="O626" s="281"/>
    </row>
    <row r="627" ht="22.5" customHeight="1">
      <c r="A627" s="274"/>
      <c r="C627" s="281"/>
      <c r="F627" s="281"/>
      <c r="G627" s="274"/>
      <c r="H627" s="281"/>
      <c r="I627" s="281"/>
      <c r="J627" s="275"/>
      <c r="K627" s="258" t="str">
        <f t="shared" si="1"/>
        <v/>
      </c>
      <c r="L627" s="258" t="str">
        <f t="shared" si="2"/>
        <v/>
      </c>
      <c r="O627" s="281"/>
    </row>
    <row r="628" ht="22.5" customHeight="1">
      <c r="A628" s="274"/>
      <c r="C628" s="281"/>
      <c r="F628" s="281"/>
      <c r="G628" s="274"/>
      <c r="H628" s="281"/>
      <c r="I628" s="281"/>
      <c r="J628" s="275"/>
      <c r="K628" s="258" t="str">
        <f t="shared" si="1"/>
        <v/>
      </c>
      <c r="L628" s="258" t="str">
        <f t="shared" si="2"/>
        <v/>
      </c>
      <c r="O628" s="281"/>
    </row>
    <row r="629" ht="22.5" customHeight="1">
      <c r="A629" s="274"/>
      <c r="C629" s="281"/>
      <c r="F629" s="281"/>
      <c r="G629" s="274"/>
      <c r="H629" s="281"/>
      <c r="I629" s="281"/>
      <c r="J629" s="275"/>
      <c r="K629" s="258" t="str">
        <f t="shared" si="1"/>
        <v/>
      </c>
      <c r="L629" s="258" t="str">
        <f t="shared" si="2"/>
        <v/>
      </c>
      <c r="O629" s="281"/>
    </row>
    <row r="630" ht="22.5" customHeight="1">
      <c r="A630" s="274"/>
      <c r="C630" s="281"/>
      <c r="F630" s="281"/>
      <c r="G630" s="274"/>
      <c r="H630" s="281"/>
      <c r="I630" s="281"/>
      <c r="J630" s="275"/>
      <c r="K630" s="258" t="str">
        <f t="shared" si="1"/>
        <v/>
      </c>
      <c r="L630" s="258" t="str">
        <f t="shared" si="2"/>
        <v/>
      </c>
      <c r="O630" s="281"/>
    </row>
    <row r="631" ht="22.5" customHeight="1">
      <c r="A631" s="274"/>
      <c r="C631" s="281"/>
      <c r="F631" s="281"/>
      <c r="G631" s="274"/>
      <c r="H631" s="281"/>
      <c r="I631" s="281"/>
      <c r="J631" s="275"/>
      <c r="K631" s="258" t="str">
        <f t="shared" si="1"/>
        <v/>
      </c>
      <c r="L631" s="258" t="str">
        <f t="shared" si="2"/>
        <v/>
      </c>
      <c r="O631" s="281"/>
    </row>
    <row r="632" ht="22.5" customHeight="1">
      <c r="A632" s="274"/>
      <c r="C632" s="281"/>
      <c r="F632" s="281"/>
      <c r="G632" s="274"/>
      <c r="H632" s="281"/>
      <c r="I632" s="281"/>
      <c r="J632" s="275"/>
      <c r="K632" s="258" t="str">
        <f t="shared" si="1"/>
        <v/>
      </c>
      <c r="L632" s="258" t="str">
        <f t="shared" si="2"/>
        <v/>
      </c>
      <c r="O632" s="281"/>
    </row>
    <row r="633" ht="22.5" customHeight="1">
      <c r="A633" s="274"/>
      <c r="C633" s="281"/>
      <c r="F633" s="281"/>
      <c r="G633" s="274"/>
      <c r="H633" s="281"/>
      <c r="I633" s="281"/>
      <c r="J633" s="275"/>
      <c r="K633" s="258" t="str">
        <f t="shared" si="1"/>
        <v/>
      </c>
      <c r="L633" s="258" t="str">
        <f t="shared" si="2"/>
        <v/>
      </c>
      <c r="O633" s="281"/>
    </row>
    <row r="634" ht="22.5" customHeight="1">
      <c r="A634" s="274"/>
      <c r="C634" s="281"/>
      <c r="F634" s="281"/>
      <c r="G634" s="274"/>
      <c r="H634" s="281"/>
      <c r="I634" s="281"/>
      <c r="J634" s="275"/>
      <c r="K634" s="258" t="str">
        <f t="shared" si="1"/>
        <v/>
      </c>
      <c r="L634" s="258" t="str">
        <f t="shared" si="2"/>
        <v/>
      </c>
      <c r="O634" s="281"/>
    </row>
    <row r="635" ht="22.5" customHeight="1">
      <c r="A635" s="274"/>
      <c r="C635" s="281"/>
      <c r="F635" s="281"/>
      <c r="G635" s="274"/>
      <c r="H635" s="281"/>
      <c r="I635" s="281"/>
      <c r="J635" s="275"/>
      <c r="K635" s="258" t="str">
        <f t="shared" si="1"/>
        <v/>
      </c>
      <c r="L635" s="258" t="str">
        <f t="shared" si="2"/>
        <v/>
      </c>
      <c r="O635" s="281"/>
    </row>
    <row r="636" ht="22.5" customHeight="1">
      <c r="A636" s="274"/>
      <c r="C636" s="281"/>
      <c r="F636" s="281"/>
      <c r="G636" s="274"/>
      <c r="H636" s="281"/>
      <c r="I636" s="281"/>
      <c r="J636" s="275"/>
      <c r="K636" s="258" t="str">
        <f t="shared" si="1"/>
        <v/>
      </c>
      <c r="L636" s="258" t="str">
        <f t="shared" si="2"/>
        <v/>
      </c>
      <c r="O636" s="281"/>
    </row>
    <row r="637" ht="22.5" customHeight="1">
      <c r="A637" s="274"/>
      <c r="C637" s="281"/>
      <c r="F637" s="281"/>
      <c r="G637" s="274"/>
      <c r="H637" s="281"/>
      <c r="I637" s="281"/>
      <c r="J637" s="275"/>
      <c r="K637" s="258" t="str">
        <f t="shared" si="1"/>
        <v/>
      </c>
      <c r="L637" s="258" t="str">
        <f t="shared" si="2"/>
        <v/>
      </c>
      <c r="O637" s="281"/>
    </row>
    <row r="638" ht="22.5" customHeight="1">
      <c r="A638" s="274"/>
      <c r="C638" s="281"/>
      <c r="F638" s="281"/>
      <c r="G638" s="274"/>
      <c r="H638" s="281"/>
      <c r="I638" s="281"/>
      <c r="J638" s="275"/>
      <c r="K638" s="258" t="str">
        <f t="shared" si="1"/>
        <v/>
      </c>
      <c r="L638" s="258" t="str">
        <f t="shared" si="2"/>
        <v/>
      </c>
      <c r="O638" s="281"/>
    </row>
    <row r="639" ht="22.5" customHeight="1">
      <c r="A639" s="274"/>
      <c r="C639" s="281"/>
      <c r="F639" s="281"/>
      <c r="G639" s="274"/>
      <c r="H639" s="281"/>
      <c r="I639" s="281"/>
      <c r="J639" s="275"/>
      <c r="K639" s="258" t="str">
        <f t="shared" si="1"/>
        <v/>
      </c>
      <c r="L639" s="258" t="str">
        <f t="shared" si="2"/>
        <v/>
      </c>
      <c r="O639" s="281"/>
    </row>
    <row r="640" ht="22.5" customHeight="1">
      <c r="A640" s="274"/>
      <c r="C640" s="281"/>
      <c r="F640" s="281"/>
      <c r="G640" s="274"/>
      <c r="H640" s="281"/>
      <c r="I640" s="281"/>
      <c r="J640" s="275"/>
      <c r="K640" s="258" t="str">
        <f t="shared" si="1"/>
        <v/>
      </c>
      <c r="L640" s="258" t="str">
        <f t="shared" si="2"/>
        <v/>
      </c>
      <c r="O640" s="281"/>
    </row>
    <row r="641" ht="22.5" customHeight="1">
      <c r="A641" s="274"/>
      <c r="C641" s="281"/>
      <c r="F641" s="281"/>
      <c r="G641" s="274"/>
      <c r="H641" s="281"/>
      <c r="I641" s="281"/>
      <c r="J641" s="275"/>
      <c r="K641" s="258" t="str">
        <f t="shared" si="1"/>
        <v/>
      </c>
      <c r="L641" s="258" t="str">
        <f t="shared" si="2"/>
        <v/>
      </c>
      <c r="O641" s="281"/>
    </row>
    <row r="642" ht="22.5" customHeight="1">
      <c r="A642" s="274"/>
      <c r="C642" s="281"/>
      <c r="F642" s="281"/>
      <c r="G642" s="274"/>
      <c r="H642" s="281"/>
      <c r="I642" s="281"/>
      <c r="J642" s="275"/>
      <c r="K642" s="258" t="str">
        <f t="shared" si="1"/>
        <v/>
      </c>
      <c r="L642" s="258" t="str">
        <f t="shared" si="2"/>
        <v/>
      </c>
      <c r="O642" s="281"/>
    </row>
    <row r="643" ht="22.5" customHeight="1">
      <c r="A643" s="274"/>
      <c r="C643" s="281"/>
      <c r="F643" s="281"/>
      <c r="G643" s="274"/>
      <c r="H643" s="281"/>
      <c r="I643" s="281"/>
      <c r="J643" s="275"/>
      <c r="K643" s="258" t="str">
        <f t="shared" si="1"/>
        <v/>
      </c>
      <c r="L643" s="258" t="str">
        <f t="shared" si="2"/>
        <v/>
      </c>
      <c r="O643" s="281"/>
    </row>
    <row r="644" ht="22.5" customHeight="1">
      <c r="A644" s="274"/>
      <c r="C644" s="281"/>
      <c r="F644" s="281"/>
      <c r="G644" s="274"/>
      <c r="H644" s="281"/>
      <c r="I644" s="281"/>
      <c r="J644" s="275"/>
      <c r="K644" s="258" t="str">
        <f t="shared" si="1"/>
        <v/>
      </c>
      <c r="L644" s="258" t="str">
        <f t="shared" si="2"/>
        <v/>
      </c>
      <c r="O644" s="281"/>
    </row>
    <row r="645" ht="22.5" customHeight="1">
      <c r="A645" s="274"/>
      <c r="C645" s="281"/>
      <c r="F645" s="281"/>
      <c r="G645" s="274"/>
      <c r="H645" s="281"/>
      <c r="I645" s="281"/>
      <c r="J645" s="275"/>
      <c r="K645" s="258" t="str">
        <f t="shared" si="1"/>
        <v/>
      </c>
      <c r="L645" s="258" t="str">
        <f t="shared" si="2"/>
        <v/>
      </c>
      <c r="O645" s="281"/>
    </row>
    <row r="646" ht="22.5" customHeight="1">
      <c r="A646" s="274"/>
      <c r="C646" s="281"/>
      <c r="F646" s="281"/>
      <c r="G646" s="274"/>
      <c r="H646" s="281"/>
      <c r="I646" s="281"/>
      <c r="J646" s="275"/>
      <c r="K646" s="258" t="str">
        <f t="shared" si="1"/>
        <v/>
      </c>
      <c r="L646" s="258" t="str">
        <f t="shared" si="2"/>
        <v/>
      </c>
      <c r="O646" s="281"/>
    </row>
    <row r="647" ht="22.5" customHeight="1">
      <c r="A647" s="274"/>
      <c r="C647" s="281"/>
      <c r="F647" s="281"/>
      <c r="G647" s="274"/>
      <c r="H647" s="281"/>
      <c r="I647" s="281"/>
      <c r="J647" s="275"/>
      <c r="K647" s="258" t="str">
        <f t="shared" si="1"/>
        <v/>
      </c>
      <c r="L647" s="258" t="str">
        <f t="shared" si="2"/>
        <v/>
      </c>
      <c r="O647" s="281"/>
    </row>
    <row r="648" ht="22.5" customHeight="1">
      <c r="A648" s="274"/>
      <c r="C648" s="281"/>
      <c r="F648" s="281"/>
      <c r="G648" s="274"/>
      <c r="H648" s="281"/>
      <c r="I648" s="281"/>
      <c r="J648" s="275"/>
      <c r="K648" s="258" t="str">
        <f t="shared" si="1"/>
        <v/>
      </c>
      <c r="L648" s="258" t="str">
        <f t="shared" si="2"/>
        <v/>
      </c>
      <c r="O648" s="281"/>
    </row>
    <row r="649" ht="22.5" customHeight="1">
      <c r="A649" s="274"/>
      <c r="C649" s="281"/>
      <c r="F649" s="281"/>
      <c r="G649" s="274"/>
      <c r="H649" s="281"/>
      <c r="I649" s="281"/>
      <c r="J649" s="275"/>
      <c r="K649" s="258" t="str">
        <f t="shared" si="1"/>
        <v/>
      </c>
      <c r="L649" s="258" t="str">
        <f t="shared" si="2"/>
        <v/>
      </c>
      <c r="O649" s="281"/>
    </row>
    <row r="650" ht="22.5" customHeight="1">
      <c r="A650" s="274"/>
      <c r="C650" s="281"/>
      <c r="F650" s="281"/>
      <c r="G650" s="274"/>
      <c r="H650" s="281"/>
      <c r="I650" s="281"/>
      <c r="J650" s="275"/>
      <c r="K650" s="258" t="str">
        <f t="shared" si="1"/>
        <v/>
      </c>
      <c r="L650" s="258" t="str">
        <f t="shared" si="2"/>
        <v/>
      </c>
      <c r="O650" s="281"/>
    </row>
    <row r="651" ht="22.5" customHeight="1">
      <c r="A651" s="274"/>
      <c r="C651" s="281"/>
      <c r="F651" s="281"/>
      <c r="G651" s="274"/>
      <c r="H651" s="281"/>
      <c r="I651" s="281"/>
      <c r="J651" s="275"/>
      <c r="K651" s="258" t="str">
        <f t="shared" si="1"/>
        <v/>
      </c>
      <c r="L651" s="258" t="str">
        <f t="shared" si="2"/>
        <v/>
      </c>
      <c r="O651" s="281"/>
    </row>
    <row r="652" ht="22.5" customHeight="1">
      <c r="A652" s="274"/>
      <c r="C652" s="281"/>
      <c r="F652" s="281"/>
      <c r="G652" s="274"/>
      <c r="H652" s="281"/>
      <c r="I652" s="281"/>
      <c r="J652" s="275"/>
      <c r="K652" s="258" t="str">
        <f t="shared" si="1"/>
        <v/>
      </c>
      <c r="L652" s="258" t="str">
        <f t="shared" si="2"/>
        <v/>
      </c>
      <c r="O652" s="281"/>
    </row>
    <row r="653" ht="22.5" customHeight="1">
      <c r="A653" s="274"/>
      <c r="C653" s="281"/>
      <c r="F653" s="281"/>
      <c r="G653" s="274"/>
      <c r="H653" s="281"/>
      <c r="I653" s="281"/>
      <c r="J653" s="275"/>
      <c r="K653" s="258" t="str">
        <f t="shared" si="1"/>
        <v/>
      </c>
      <c r="L653" s="258" t="str">
        <f t="shared" si="2"/>
        <v/>
      </c>
      <c r="O653" s="281"/>
    </row>
    <row r="654" ht="22.5" customHeight="1">
      <c r="A654" s="274"/>
      <c r="C654" s="281"/>
      <c r="F654" s="281"/>
      <c r="G654" s="274"/>
      <c r="H654" s="281"/>
      <c r="I654" s="281"/>
      <c r="J654" s="275"/>
      <c r="K654" s="258" t="str">
        <f t="shared" si="1"/>
        <v/>
      </c>
      <c r="L654" s="258" t="str">
        <f t="shared" si="2"/>
        <v/>
      </c>
      <c r="O654" s="281"/>
    </row>
    <row r="655" ht="22.5" customHeight="1">
      <c r="A655" s="274"/>
      <c r="C655" s="281"/>
      <c r="F655" s="281"/>
      <c r="G655" s="274"/>
      <c r="H655" s="281"/>
      <c r="I655" s="281"/>
      <c r="J655" s="275"/>
      <c r="K655" s="258" t="str">
        <f t="shared" si="1"/>
        <v/>
      </c>
      <c r="L655" s="258" t="str">
        <f t="shared" si="2"/>
        <v/>
      </c>
      <c r="O655" s="281"/>
    </row>
    <row r="656" ht="22.5" customHeight="1">
      <c r="A656" s="274"/>
      <c r="C656" s="281"/>
      <c r="F656" s="281"/>
      <c r="G656" s="274"/>
      <c r="H656" s="281"/>
      <c r="I656" s="281"/>
      <c r="J656" s="275"/>
      <c r="K656" s="258" t="str">
        <f t="shared" si="1"/>
        <v/>
      </c>
      <c r="L656" s="258" t="str">
        <f t="shared" si="2"/>
        <v/>
      </c>
      <c r="O656" s="281"/>
    </row>
    <row r="657" ht="22.5" customHeight="1">
      <c r="A657" s="274"/>
      <c r="C657" s="281"/>
      <c r="F657" s="281"/>
      <c r="G657" s="274"/>
      <c r="H657" s="281"/>
      <c r="I657" s="281"/>
      <c r="J657" s="275"/>
      <c r="K657" s="258" t="str">
        <f t="shared" si="1"/>
        <v/>
      </c>
      <c r="L657" s="258" t="str">
        <f t="shared" si="2"/>
        <v/>
      </c>
      <c r="O657" s="281"/>
    </row>
    <row r="658" ht="22.5" customHeight="1">
      <c r="A658" s="274"/>
      <c r="C658" s="281"/>
      <c r="F658" s="281"/>
      <c r="G658" s="274"/>
      <c r="H658" s="281"/>
      <c r="I658" s="281"/>
      <c r="J658" s="275"/>
      <c r="K658" s="258" t="str">
        <f t="shared" si="1"/>
        <v/>
      </c>
      <c r="L658" s="258" t="str">
        <f t="shared" si="2"/>
        <v/>
      </c>
      <c r="O658" s="281"/>
    </row>
    <row r="659" ht="22.5" customHeight="1">
      <c r="A659" s="274"/>
      <c r="C659" s="281"/>
      <c r="F659" s="281"/>
      <c r="G659" s="274"/>
      <c r="H659" s="281"/>
      <c r="I659" s="281"/>
      <c r="J659" s="275"/>
      <c r="K659" s="258" t="str">
        <f t="shared" si="1"/>
        <v/>
      </c>
      <c r="L659" s="258" t="str">
        <f t="shared" si="2"/>
        <v/>
      </c>
      <c r="O659" s="281"/>
    </row>
    <row r="660" ht="22.5" customHeight="1">
      <c r="A660" s="274"/>
      <c r="C660" s="281"/>
      <c r="F660" s="281"/>
      <c r="G660" s="274"/>
      <c r="H660" s="281"/>
      <c r="I660" s="281"/>
      <c r="J660" s="275"/>
      <c r="K660" s="258" t="str">
        <f t="shared" si="1"/>
        <v/>
      </c>
      <c r="L660" s="258" t="str">
        <f t="shared" si="2"/>
        <v/>
      </c>
      <c r="O660" s="281"/>
    </row>
    <row r="661" ht="22.5" customHeight="1">
      <c r="A661" s="274"/>
      <c r="C661" s="281"/>
      <c r="F661" s="281"/>
      <c r="G661" s="274"/>
      <c r="H661" s="281"/>
      <c r="I661" s="281"/>
      <c r="J661" s="275"/>
      <c r="K661" s="258" t="str">
        <f t="shared" si="1"/>
        <v/>
      </c>
      <c r="L661" s="258" t="str">
        <f t="shared" si="2"/>
        <v/>
      </c>
      <c r="O661" s="281"/>
    </row>
    <row r="662" ht="22.5" customHeight="1">
      <c r="A662" s="274"/>
      <c r="C662" s="281"/>
      <c r="F662" s="281"/>
      <c r="G662" s="274"/>
      <c r="H662" s="281"/>
      <c r="I662" s="281"/>
      <c r="J662" s="275"/>
      <c r="K662" s="258" t="str">
        <f t="shared" si="1"/>
        <v/>
      </c>
      <c r="L662" s="258" t="str">
        <f t="shared" si="2"/>
        <v/>
      </c>
      <c r="O662" s="281"/>
    </row>
    <row r="663" ht="22.5" customHeight="1">
      <c r="A663" s="274"/>
      <c r="C663" s="281"/>
      <c r="F663" s="281"/>
      <c r="G663" s="274"/>
      <c r="H663" s="281"/>
      <c r="I663" s="281"/>
      <c r="J663" s="275"/>
      <c r="K663" s="258" t="str">
        <f t="shared" si="1"/>
        <v/>
      </c>
      <c r="L663" s="258" t="str">
        <f t="shared" si="2"/>
        <v/>
      </c>
      <c r="O663" s="281"/>
    </row>
    <row r="664" ht="22.5" customHeight="1">
      <c r="A664" s="274"/>
      <c r="C664" s="281"/>
      <c r="F664" s="281"/>
      <c r="G664" s="274"/>
      <c r="H664" s="281"/>
      <c r="I664" s="281"/>
      <c r="J664" s="275"/>
      <c r="K664" s="258" t="str">
        <f t="shared" si="1"/>
        <v/>
      </c>
      <c r="L664" s="258" t="str">
        <f t="shared" si="2"/>
        <v/>
      </c>
      <c r="O664" s="281"/>
    </row>
    <row r="665" ht="22.5" customHeight="1">
      <c r="A665" s="274"/>
      <c r="C665" s="281"/>
      <c r="F665" s="281"/>
      <c r="G665" s="274"/>
      <c r="H665" s="281"/>
      <c r="I665" s="281"/>
      <c r="J665" s="275"/>
      <c r="K665" s="258" t="str">
        <f t="shared" si="1"/>
        <v/>
      </c>
      <c r="L665" s="258" t="str">
        <f t="shared" si="2"/>
        <v/>
      </c>
      <c r="O665" s="281"/>
    </row>
    <row r="666" ht="22.5" customHeight="1">
      <c r="A666" s="274"/>
      <c r="C666" s="281"/>
      <c r="F666" s="281"/>
      <c r="G666" s="274"/>
      <c r="H666" s="281"/>
      <c r="I666" s="281"/>
      <c r="J666" s="275"/>
      <c r="K666" s="258" t="str">
        <f t="shared" si="1"/>
        <v/>
      </c>
      <c r="L666" s="258" t="str">
        <f t="shared" si="2"/>
        <v/>
      </c>
      <c r="O666" s="281"/>
    </row>
    <row r="667" ht="22.5" customHeight="1">
      <c r="A667" s="274"/>
      <c r="C667" s="281"/>
      <c r="F667" s="281"/>
      <c r="G667" s="274"/>
      <c r="H667" s="281"/>
      <c r="I667" s="281"/>
      <c r="J667" s="275"/>
      <c r="K667" s="258" t="str">
        <f t="shared" si="1"/>
        <v/>
      </c>
      <c r="L667" s="258" t="str">
        <f t="shared" si="2"/>
        <v/>
      </c>
      <c r="O667" s="281"/>
    </row>
    <row r="668" ht="22.5" customHeight="1">
      <c r="A668" s="274"/>
      <c r="C668" s="281"/>
      <c r="F668" s="281"/>
      <c r="G668" s="274"/>
      <c r="H668" s="281"/>
      <c r="I668" s="281"/>
      <c r="J668" s="275"/>
      <c r="K668" s="258" t="str">
        <f t="shared" si="1"/>
        <v/>
      </c>
      <c r="L668" s="258" t="str">
        <f t="shared" si="2"/>
        <v/>
      </c>
      <c r="O668" s="281"/>
    </row>
    <row r="669" ht="22.5" customHeight="1">
      <c r="A669" s="274"/>
      <c r="C669" s="281"/>
      <c r="F669" s="281"/>
      <c r="G669" s="274"/>
      <c r="H669" s="281"/>
      <c r="I669" s="281"/>
      <c r="J669" s="275"/>
      <c r="K669" s="258" t="str">
        <f t="shared" si="1"/>
        <v/>
      </c>
      <c r="L669" s="258" t="str">
        <f t="shared" si="2"/>
        <v/>
      </c>
      <c r="O669" s="281"/>
    </row>
    <row r="670" ht="22.5" customHeight="1">
      <c r="A670" s="274"/>
      <c r="C670" s="281"/>
      <c r="F670" s="281"/>
      <c r="G670" s="274"/>
      <c r="H670" s="281"/>
      <c r="I670" s="281"/>
      <c r="J670" s="275"/>
      <c r="K670" s="258" t="str">
        <f t="shared" si="1"/>
        <v/>
      </c>
      <c r="L670" s="258" t="str">
        <f t="shared" si="2"/>
        <v/>
      </c>
      <c r="O670" s="281"/>
    </row>
    <row r="671" ht="22.5" customHeight="1">
      <c r="A671" s="274"/>
      <c r="C671" s="281"/>
      <c r="F671" s="281"/>
      <c r="G671" s="274"/>
      <c r="H671" s="281"/>
      <c r="I671" s="281"/>
      <c r="J671" s="275"/>
      <c r="K671" s="258" t="str">
        <f t="shared" si="1"/>
        <v/>
      </c>
      <c r="L671" s="258" t="str">
        <f t="shared" si="2"/>
        <v/>
      </c>
      <c r="O671" s="281"/>
    </row>
    <row r="672" ht="22.5" customHeight="1">
      <c r="A672" s="274"/>
      <c r="C672" s="281"/>
      <c r="F672" s="281"/>
      <c r="G672" s="274"/>
      <c r="H672" s="281"/>
      <c r="I672" s="281"/>
      <c r="J672" s="275"/>
      <c r="K672" s="258" t="str">
        <f t="shared" si="1"/>
        <v/>
      </c>
      <c r="L672" s="258" t="str">
        <f t="shared" si="2"/>
        <v/>
      </c>
      <c r="O672" s="281"/>
    </row>
    <row r="673" ht="22.5" customHeight="1">
      <c r="A673" s="274"/>
      <c r="C673" s="281"/>
      <c r="F673" s="281"/>
      <c r="G673" s="274"/>
      <c r="H673" s="281"/>
      <c r="I673" s="281"/>
      <c r="J673" s="275"/>
      <c r="K673" s="258" t="str">
        <f t="shared" si="1"/>
        <v/>
      </c>
      <c r="L673" s="258" t="str">
        <f t="shared" si="2"/>
        <v/>
      </c>
      <c r="O673" s="281"/>
    </row>
    <row r="674" ht="22.5" customHeight="1">
      <c r="A674" s="274"/>
      <c r="C674" s="281"/>
      <c r="F674" s="281"/>
      <c r="G674" s="274"/>
      <c r="H674" s="281"/>
      <c r="I674" s="281"/>
      <c r="J674" s="275"/>
      <c r="K674" s="258" t="str">
        <f t="shared" si="1"/>
        <v/>
      </c>
      <c r="L674" s="258" t="str">
        <f t="shared" si="2"/>
        <v/>
      </c>
      <c r="O674" s="281"/>
    </row>
    <row r="675" ht="22.5" customHeight="1">
      <c r="A675" s="274"/>
      <c r="C675" s="281"/>
      <c r="F675" s="281"/>
      <c r="G675" s="274"/>
      <c r="H675" s="281"/>
      <c r="I675" s="281"/>
      <c r="J675" s="275"/>
      <c r="K675" s="258" t="str">
        <f t="shared" si="1"/>
        <v/>
      </c>
      <c r="L675" s="258" t="str">
        <f t="shared" si="2"/>
        <v/>
      </c>
      <c r="O675" s="281"/>
    </row>
    <row r="676" ht="22.5" customHeight="1">
      <c r="A676" s="274"/>
      <c r="C676" s="281"/>
      <c r="F676" s="281"/>
      <c r="G676" s="274"/>
      <c r="H676" s="281"/>
      <c r="I676" s="281"/>
      <c r="J676" s="275"/>
      <c r="K676" s="258" t="str">
        <f t="shared" si="1"/>
        <v/>
      </c>
      <c r="L676" s="258" t="str">
        <f t="shared" si="2"/>
        <v/>
      </c>
      <c r="O676" s="281"/>
    </row>
    <row r="677" ht="22.5" customHeight="1">
      <c r="A677" s="274"/>
      <c r="C677" s="281"/>
      <c r="F677" s="281"/>
      <c r="G677" s="274"/>
      <c r="H677" s="281"/>
      <c r="I677" s="281"/>
      <c r="J677" s="275"/>
      <c r="K677" s="258" t="str">
        <f t="shared" si="1"/>
        <v/>
      </c>
      <c r="L677" s="258" t="str">
        <f t="shared" si="2"/>
        <v/>
      </c>
      <c r="O677" s="281"/>
    </row>
    <row r="678" ht="22.5" customHeight="1">
      <c r="A678" s="274"/>
      <c r="C678" s="281"/>
      <c r="F678" s="281"/>
      <c r="G678" s="274"/>
      <c r="H678" s="281"/>
      <c r="I678" s="281"/>
      <c r="J678" s="275"/>
      <c r="K678" s="258" t="str">
        <f t="shared" si="1"/>
        <v/>
      </c>
      <c r="L678" s="258" t="str">
        <f t="shared" si="2"/>
        <v/>
      </c>
      <c r="O678" s="281"/>
    </row>
    <row r="679" ht="22.5" customHeight="1">
      <c r="A679" s="274"/>
      <c r="C679" s="281"/>
      <c r="F679" s="281"/>
      <c r="G679" s="274"/>
      <c r="H679" s="281"/>
      <c r="I679" s="281"/>
      <c r="J679" s="275"/>
      <c r="K679" s="258" t="str">
        <f t="shared" si="1"/>
        <v/>
      </c>
      <c r="L679" s="258" t="str">
        <f t="shared" si="2"/>
        <v/>
      </c>
      <c r="O679" s="281"/>
    </row>
    <row r="680" ht="22.5" customHeight="1">
      <c r="A680" s="274"/>
      <c r="C680" s="281"/>
      <c r="F680" s="281"/>
      <c r="G680" s="274"/>
      <c r="H680" s="281"/>
      <c r="I680" s="281"/>
      <c r="J680" s="275"/>
      <c r="K680" s="258" t="str">
        <f t="shared" si="1"/>
        <v/>
      </c>
      <c r="L680" s="258" t="str">
        <f t="shared" si="2"/>
        <v/>
      </c>
      <c r="O680" s="281"/>
    </row>
    <row r="681" ht="22.5" customHeight="1">
      <c r="A681" s="274"/>
      <c r="C681" s="281"/>
      <c r="F681" s="281"/>
      <c r="G681" s="274"/>
      <c r="H681" s="281"/>
      <c r="I681" s="281"/>
      <c r="J681" s="275"/>
      <c r="K681" s="258" t="str">
        <f t="shared" si="1"/>
        <v/>
      </c>
      <c r="L681" s="258" t="str">
        <f t="shared" si="2"/>
        <v/>
      </c>
      <c r="O681" s="281"/>
    </row>
    <row r="682" ht="22.5" customHeight="1">
      <c r="A682" s="274"/>
      <c r="C682" s="281"/>
      <c r="F682" s="281"/>
      <c r="G682" s="274"/>
      <c r="H682" s="281"/>
      <c r="I682" s="281"/>
      <c r="J682" s="275"/>
      <c r="K682" s="258" t="str">
        <f t="shared" si="1"/>
        <v/>
      </c>
      <c r="L682" s="258" t="str">
        <f t="shared" si="2"/>
        <v/>
      </c>
      <c r="O682" s="281"/>
    </row>
    <row r="683" ht="22.5" customHeight="1">
      <c r="A683" s="274"/>
      <c r="C683" s="281"/>
      <c r="F683" s="281"/>
      <c r="G683" s="274"/>
      <c r="H683" s="281"/>
      <c r="I683" s="281"/>
      <c r="J683" s="275"/>
      <c r="K683" s="258" t="str">
        <f t="shared" si="1"/>
        <v/>
      </c>
      <c r="L683" s="258" t="str">
        <f t="shared" si="2"/>
        <v/>
      </c>
      <c r="O683" s="281"/>
    </row>
    <row r="684" ht="22.5" customHeight="1">
      <c r="A684" s="274"/>
      <c r="C684" s="281"/>
      <c r="F684" s="281"/>
      <c r="G684" s="274"/>
      <c r="H684" s="281"/>
      <c r="I684" s="281"/>
      <c r="J684" s="275"/>
      <c r="K684" s="258" t="str">
        <f t="shared" si="1"/>
        <v/>
      </c>
      <c r="L684" s="258" t="str">
        <f t="shared" si="2"/>
        <v/>
      </c>
      <c r="O684" s="281"/>
    </row>
    <row r="685" ht="22.5" customHeight="1">
      <c r="A685" s="274"/>
      <c r="C685" s="281"/>
      <c r="F685" s="281"/>
      <c r="G685" s="274"/>
      <c r="H685" s="281"/>
      <c r="I685" s="281"/>
      <c r="J685" s="275"/>
      <c r="K685" s="258" t="str">
        <f t="shared" si="1"/>
        <v/>
      </c>
      <c r="L685" s="258" t="str">
        <f t="shared" si="2"/>
        <v/>
      </c>
      <c r="O685" s="281"/>
    </row>
    <row r="686" ht="22.5" customHeight="1">
      <c r="A686" s="274"/>
      <c r="C686" s="281"/>
      <c r="F686" s="281"/>
      <c r="G686" s="274"/>
      <c r="H686" s="281"/>
      <c r="I686" s="281"/>
      <c r="J686" s="275"/>
      <c r="K686" s="258" t="str">
        <f t="shared" si="1"/>
        <v/>
      </c>
      <c r="L686" s="258" t="str">
        <f t="shared" si="2"/>
        <v/>
      </c>
      <c r="O686" s="281"/>
    </row>
    <row r="687" ht="22.5" customHeight="1">
      <c r="A687" s="274"/>
      <c r="C687" s="281"/>
      <c r="F687" s="281"/>
      <c r="G687" s="274"/>
      <c r="H687" s="281"/>
      <c r="I687" s="281"/>
      <c r="J687" s="275"/>
      <c r="K687" s="258" t="str">
        <f t="shared" si="1"/>
        <v/>
      </c>
      <c r="L687" s="258" t="str">
        <f t="shared" si="2"/>
        <v/>
      </c>
      <c r="O687" s="281"/>
    </row>
    <row r="688" ht="22.5" customHeight="1">
      <c r="A688" s="274"/>
      <c r="C688" s="281"/>
      <c r="F688" s="281"/>
      <c r="G688" s="274"/>
      <c r="H688" s="281"/>
      <c r="I688" s="281"/>
      <c r="J688" s="275"/>
      <c r="K688" s="258" t="str">
        <f t="shared" si="1"/>
        <v/>
      </c>
      <c r="L688" s="258" t="str">
        <f t="shared" si="2"/>
        <v/>
      </c>
      <c r="O688" s="281"/>
    </row>
    <row r="689" ht="22.5" customHeight="1">
      <c r="A689" s="274"/>
      <c r="C689" s="281"/>
      <c r="F689" s="281"/>
      <c r="G689" s="274"/>
      <c r="H689" s="281"/>
      <c r="I689" s="281"/>
      <c r="J689" s="275"/>
      <c r="K689" s="258" t="str">
        <f t="shared" si="1"/>
        <v/>
      </c>
      <c r="L689" s="258" t="str">
        <f t="shared" si="2"/>
        <v/>
      </c>
      <c r="O689" s="281"/>
    </row>
    <row r="690" ht="22.5" customHeight="1">
      <c r="A690" s="274"/>
      <c r="C690" s="281"/>
      <c r="F690" s="281"/>
      <c r="G690" s="274"/>
      <c r="H690" s="281"/>
      <c r="I690" s="281"/>
      <c r="J690" s="275"/>
      <c r="K690" s="258" t="str">
        <f t="shared" si="1"/>
        <v/>
      </c>
      <c r="L690" s="258" t="str">
        <f t="shared" si="2"/>
        <v/>
      </c>
      <c r="O690" s="281"/>
    </row>
    <row r="691" ht="22.5" customHeight="1">
      <c r="A691" s="274"/>
      <c r="C691" s="281"/>
      <c r="F691" s="281"/>
      <c r="G691" s="274"/>
      <c r="H691" s="281"/>
      <c r="I691" s="281"/>
      <c r="J691" s="275"/>
      <c r="K691" s="258" t="str">
        <f t="shared" si="1"/>
        <v/>
      </c>
      <c r="L691" s="258" t="str">
        <f t="shared" si="2"/>
        <v/>
      </c>
      <c r="O691" s="281"/>
    </row>
    <row r="692" ht="22.5" customHeight="1">
      <c r="A692" s="274"/>
      <c r="C692" s="281"/>
      <c r="F692" s="281"/>
      <c r="G692" s="274"/>
      <c r="H692" s="281"/>
      <c r="I692" s="281"/>
      <c r="J692" s="275"/>
      <c r="K692" s="258" t="str">
        <f t="shared" si="1"/>
        <v/>
      </c>
      <c r="L692" s="258" t="str">
        <f t="shared" si="2"/>
        <v/>
      </c>
      <c r="O692" s="281"/>
    </row>
    <row r="693" ht="22.5" customHeight="1">
      <c r="A693" s="274"/>
      <c r="C693" s="281"/>
      <c r="F693" s="281"/>
      <c r="G693" s="274"/>
      <c r="H693" s="281"/>
      <c r="I693" s="281"/>
      <c r="J693" s="275"/>
      <c r="K693" s="258" t="str">
        <f t="shared" si="1"/>
        <v/>
      </c>
      <c r="L693" s="258" t="str">
        <f t="shared" si="2"/>
        <v/>
      </c>
      <c r="O693" s="281"/>
    </row>
    <row r="694" ht="22.5" customHeight="1">
      <c r="A694" s="274"/>
      <c r="C694" s="281"/>
      <c r="F694" s="281"/>
      <c r="G694" s="274"/>
      <c r="H694" s="281"/>
      <c r="I694" s="281"/>
      <c r="J694" s="275"/>
      <c r="K694" s="258" t="str">
        <f t="shared" si="1"/>
        <v/>
      </c>
      <c r="L694" s="258" t="str">
        <f t="shared" si="2"/>
        <v/>
      </c>
      <c r="O694" s="281"/>
    </row>
    <row r="695" ht="22.5" customHeight="1">
      <c r="A695" s="274"/>
      <c r="C695" s="281"/>
      <c r="F695" s="281"/>
      <c r="G695" s="274"/>
      <c r="H695" s="281"/>
      <c r="I695" s="281"/>
      <c r="J695" s="275"/>
      <c r="K695" s="258" t="str">
        <f t="shared" si="1"/>
        <v/>
      </c>
      <c r="L695" s="258" t="str">
        <f t="shared" si="2"/>
        <v/>
      </c>
      <c r="O695" s="281"/>
    </row>
    <row r="696" ht="22.5" customHeight="1">
      <c r="A696" s="274"/>
      <c r="C696" s="281"/>
      <c r="F696" s="281"/>
      <c r="G696" s="274"/>
      <c r="H696" s="281"/>
      <c r="I696" s="281"/>
      <c r="J696" s="275"/>
      <c r="K696" s="258" t="str">
        <f t="shared" si="1"/>
        <v/>
      </c>
      <c r="L696" s="258" t="str">
        <f t="shared" si="2"/>
        <v/>
      </c>
      <c r="O696" s="281"/>
    </row>
    <row r="697" ht="22.5" customHeight="1">
      <c r="A697" s="274"/>
      <c r="C697" s="281"/>
      <c r="F697" s="281"/>
      <c r="G697" s="274"/>
      <c r="H697" s="281"/>
      <c r="I697" s="281"/>
      <c r="J697" s="275"/>
      <c r="K697" s="258" t="str">
        <f t="shared" si="1"/>
        <v/>
      </c>
      <c r="L697" s="258" t="str">
        <f t="shared" si="2"/>
        <v/>
      </c>
      <c r="O697" s="281"/>
    </row>
    <row r="698" ht="22.5" customHeight="1">
      <c r="A698" s="274"/>
      <c r="C698" s="281"/>
      <c r="F698" s="281"/>
      <c r="G698" s="274"/>
      <c r="H698" s="281"/>
      <c r="I698" s="281"/>
      <c r="J698" s="275"/>
      <c r="K698" s="258" t="str">
        <f t="shared" si="1"/>
        <v/>
      </c>
      <c r="L698" s="258" t="str">
        <f t="shared" si="2"/>
        <v/>
      </c>
      <c r="O698" s="281"/>
    </row>
    <row r="699" ht="22.5" customHeight="1">
      <c r="A699" s="274"/>
      <c r="C699" s="281"/>
      <c r="F699" s="281"/>
      <c r="G699" s="274"/>
      <c r="H699" s="281"/>
      <c r="I699" s="281"/>
      <c r="J699" s="275"/>
      <c r="K699" s="258" t="str">
        <f t="shared" si="1"/>
        <v/>
      </c>
      <c r="L699" s="258" t="str">
        <f t="shared" si="2"/>
        <v/>
      </c>
      <c r="O699" s="281"/>
    </row>
    <row r="700" ht="22.5" customHeight="1">
      <c r="A700" s="274"/>
      <c r="C700" s="281"/>
      <c r="F700" s="281"/>
      <c r="G700" s="274"/>
      <c r="H700" s="281"/>
      <c r="I700" s="281"/>
      <c r="J700" s="275"/>
      <c r="K700" s="258" t="str">
        <f t="shared" si="1"/>
        <v/>
      </c>
      <c r="L700" s="258" t="str">
        <f t="shared" si="2"/>
        <v/>
      </c>
      <c r="O700" s="281"/>
    </row>
    <row r="701" ht="22.5" customHeight="1">
      <c r="A701" s="274"/>
      <c r="C701" s="281"/>
      <c r="F701" s="281"/>
      <c r="G701" s="274"/>
      <c r="H701" s="281"/>
      <c r="I701" s="281"/>
      <c r="J701" s="275"/>
      <c r="K701" s="258" t="str">
        <f t="shared" si="1"/>
        <v/>
      </c>
      <c r="L701" s="258" t="str">
        <f t="shared" si="2"/>
        <v/>
      </c>
      <c r="O701" s="281"/>
    </row>
    <row r="702" ht="22.5" customHeight="1">
      <c r="A702" s="274"/>
      <c r="C702" s="281"/>
      <c r="F702" s="281"/>
      <c r="G702" s="274"/>
      <c r="H702" s="281"/>
      <c r="I702" s="281"/>
      <c r="J702" s="275"/>
      <c r="K702" s="258" t="str">
        <f t="shared" si="1"/>
        <v/>
      </c>
      <c r="L702" s="258" t="str">
        <f t="shared" si="2"/>
        <v/>
      </c>
      <c r="O702" s="281"/>
    </row>
    <row r="703" ht="22.5" customHeight="1">
      <c r="A703" s="274"/>
      <c r="C703" s="281"/>
      <c r="F703" s="281"/>
      <c r="G703" s="274"/>
      <c r="H703" s="281"/>
      <c r="I703" s="281"/>
      <c r="J703" s="275"/>
      <c r="K703" s="258" t="str">
        <f t="shared" si="1"/>
        <v/>
      </c>
      <c r="L703" s="258" t="str">
        <f t="shared" si="2"/>
        <v/>
      </c>
      <c r="O703" s="281"/>
    </row>
    <row r="704" ht="22.5" customHeight="1">
      <c r="A704" s="274"/>
      <c r="C704" s="281"/>
      <c r="F704" s="281"/>
      <c r="G704" s="274"/>
      <c r="H704" s="281"/>
      <c r="I704" s="281"/>
      <c r="J704" s="275"/>
      <c r="K704" s="258" t="str">
        <f t="shared" si="1"/>
        <v/>
      </c>
      <c r="L704" s="258" t="str">
        <f t="shared" si="2"/>
        <v/>
      </c>
      <c r="O704" s="281"/>
    </row>
    <row r="705" ht="22.5" customHeight="1">
      <c r="A705" s="274"/>
      <c r="C705" s="281"/>
      <c r="F705" s="281"/>
      <c r="G705" s="274"/>
      <c r="H705" s="281"/>
      <c r="I705" s="281"/>
      <c r="J705" s="275"/>
      <c r="K705" s="258" t="str">
        <f t="shared" si="1"/>
        <v/>
      </c>
      <c r="L705" s="258" t="str">
        <f t="shared" si="2"/>
        <v/>
      </c>
      <c r="O705" s="281"/>
    </row>
    <row r="706" ht="22.5" customHeight="1">
      <c r="A706" s="274"/>
      <c r="C706" s="281"/>
      <c r="F706" s="281"/>
      <c r="G706" s="274"/>
      <c r="H706" s="281"/>
      <c r="I706" s="281"/>
      <c r="J706" s="275"/>
      <c r="K706" s="258" t="str">
        <f t="shared" si="1"/>
        <v/>
      </c>
      <c r="L706" s="258" t="str">
        <f t="shared" si="2"/>
        <v/>
      </c>
      <c r="O706" s="281"/>
    </row>
    <row r="707" ht="22.5" customHeight="1">
      <c r="A707" s="274"/>
      <c r="C707" s="281"/>
      <c r="F707" s="281"/>
      <c r="G707" s="274"/>
      <c r="H707" s="281"/>
      <c r="I707" s="281"/>
      <c r="J707" s="275"/>
      <c r="K707" s="258" t="str">
        <f t="shared" si="1"/>
        <v/>
      </c>
      <c r="L707" s="258" t="str">
        <f t="shared" si="2"/>
        <v/>
      </c>
      <c r="O707" s="281"/>
    </row>
    <row r="708" ht="22.5" customHeight="1">
      <c r="A708" s="274"/>
      <c r="C708" s="281"/>
      <c r="F708" s="281"/>
      <c r="G708" s="274"/>
      <c r="H708" s="281"/>
      <c r="I708" s="281"/>
      <c r="J708" s="275"/>
      <c r="K708" s="258" t="str">
        <f t="shared" si="1"/>
        <v/>
      </c>
      <c r="L708" s="258" t="str">
        <f t="shared" si="2"/>
        <v/>
      </c>
      <c r="O708" s="281"/>
    </row>
    <row r="709" ht="22.5" customHeight="1">
      <c r="A709" s="274"/>
      <c r="C709" s="281"/>
      <c r="F709" s="281"/>
      <c r="G709" s="274"/>
      <c r="H709" s="281"/>
      <c r="I709" s="281"/>
      <c r="J709" s="275"/>
      <c r="K709" s="258" t="str">
        <f t="shared" si="1"/>
        <v/>
      </c>
      <c r="L709" s="258" t="str">
        <f t="shared" si="2"/>
        <v/>
      </c>
      <c r="O709" s="281"/>
    </row>
    <row r="710" ht="22.5" customHeight="1">
      <c r="A710" s="274"/>
      <c r="C710" s="281"/>
      <c r="F710" s="281"/>
      <c r="G710" s="274"/>
      <c r="H710" s="281"/>
      <c r="I710" s="281"/>
      <c r="J710" s="275"/>
      <c r="K710" s="258" t="str">
        <f t="shared" si="1"/>
        <v/>
      </c>
      <c r="L710" s="258" t="str">
        <f t="shared" si="2"/>
        <v/>
      </c>
      <c r="O710" s="281"/>
    </row>
    <row r="711" ht="22.5" customHeight="1">
      <c r="A711" s="274"/>
      <c r="C711" s="281"/>
      <c r="F711" s="281"/>
      <c r="G711" s="274"/>
      <c r="H711" s="281"/>
      <c r="I711" s="281"/>
      <c r="J711" s="275"/>
      <c r="K711" s="258" t="str">
        <f t="shared" si="1"/>
        <v/>
      </c>
      <c r="L711" s="258" t="str">
        <f t="shared" si="2"/>
        <v/>
      </c>
      <c r="O711" s="281"/>
    </row>
    <row r="712" ht="22.5" customHeight="1">
      <c r="A712" s="274"/>
      <c r="C712" s="281"/>
      <c r="F712" s="281"/>
      <c r="G712" s="274"/>
      <c r="H712" s="281"/>
      <c r="I712" s="281"/>
      <c r="J712" s="275"/>
      <c r="K712" s="258" t="str">
        <f t="shared" si="1"/>
        <v/>
      </c>
      <c r="L712" s="258" t="str">
        <f t="shared" si="2"/>
        <v/>
      </c>
      <c r="O712" s="281"/>
    </row>
    <row r="713" ht="22.5" customHeight="1">
      <c r="A713" s="274"/>
      <c r="C713" s="281"/>
      <c r="F713" s="281"/>
      <c r="G713" s="274"/>
      <c r="H713" s="281"/>
      <c r="I713" s="281"/>
      <c r="J713" s="275"/>
      <c r="K713" s="258" t="str">
        <f t="shared" si="1"/>
        <v/>
      </c>
      <c r="L713" s="258" t="str">
        <f t="shared" si="2"/>
        <v/>
      </c>
      <c r="O713" s="281"/>
    </row>
    <row r="714" ht="22.5" customHeight="1">
      <c r="A714" s="274"/>
      <c r="C714" s="281"/>
      <c r="F714" s="281"/>
      <c r="G714" s="274"/>
      <c r="H714" s="281"/>
      <c r="I714" s="281"/>
      <c r="J714" s="275"/>
      <c r="K714" s="258" t="str">
        <f t="shared" si="1"/>
        <v/>
      </c>
      <c r="L714" s="258" t="str">
        <f t="shared" si="2"/>
        <v/>
      </c>
      <c r="O714" s="281"/>
    </row>
    <row r="715" ht="22.5" customHeight="1">
      <c r="A715" s="274"/>
      <c r="C715" s="281"/>
      <c r="F715" s="281"/>
      <c r="G715" s="274"/>
      <c r="H715" s="281"/>
      <c r="I715" s="281"/>
      <c r="J715" s="275"/>
      <c r="K715" s="258" t="str">
        <f t="shared" si="1"/>
        <v/>
      </c>
      <c r="L715" s="258" t="str">
        <f t="shared" si="2"/>
        <v/>
      </c>
      <c r="O715" s="281"/>
    </row>
    <row r="716" ht="22.5" customHeight="1">
      <c r="A716" s="274"/>
      <c r="C716" s="281"/>
      <c r="F716" s="281"/>
      <c r="G716" s="274"/>
      <c r="H716" s="281"/>
      <c r="I716" s="281"/>
      <c r="J716" s="275"/>
      <c r="K716" s="258" t="str">
        <f t="shared" si="1"/>
        <v/>
      </c>
      <c r="L716" s="258" t="str">
        <f t="shared" si="2"/>
        <v/>
      </c>
      <c r="O716" s="281"/>
    </row>
    <row r="717" ht="22.5" customHeight="1">
      <c r="A717" s="274"/>
      <c r="C717" s="281"/>
      <c r="F717" s="281"/>
      <c r="G717" s="274"/>
      <c r="H717" s="281"/>
      <c r="I717" s="281"/>
      <c r="J717" s="275"/>
      <c r="K717" s="258" t="str">
        <f t="shared" si="1"/>
        <v/>
      </c>
      <c r="L717" s="258" t="str">
        <f t="shared" si="2"/>
        <v/>
      </c>
      <c r="O717" s="281"/>
    </row>
    <row r="718" ht="22.5" customHeight="1">
      <c r="A718" s="274"/>
      <c r="C718" s="281"/>
      <c r="F718" s="281"/>
      <c r="G718" s="274"/>
      <c r="H718" s="281"/>
      <c r="I718" s="281"/>
      <c r="J718" s="275"/>
      <c r="K718" s="258" t="str">
        <f t="shared" si="1"/>
        <v/>
      </c>
      <c r="L718" s="258" t="str">
        <f t="shared" si="2"/>
        <v/>
      </c>
      <c r="O718" s="281"/>
    </row>
    <row r="719" ht="22.5" customHeight="1">
      <c r="A719" s="274"/>
      <c r="C719" s="281"/>
      <c r="F719" s="281"/>
      <c r="G719" s="274"/>
      <c r="H719" s="281"/>
      <c r="I719" s="281"/>
      <c r="J719" s="275"/>
      <c r="K719" s="258" t="str">
        <f t="shared" si="1"/>
        <v/>
      </c>
      <c r="L719" s="258" t="str">
        <f t="shared" si="2"/>
        <v/>
      </c>
      <c r="O719" s="281"/>
    </row>
    <row r="720" ht="22.5" customHeight="1">
      <c r="A720" s="274"/>
      <c r="C720" s="281"/>
      <c r="F720" s="281"/>
      <c r="G720" s="274"/>
      <c r="H720" s="281"/>
      <c r="I720" s="281"/>
      <c r="J720" s="275"/>
      <c r="K720" s="258" t="str">
        <f t="shared" si="1"/>
        <v/>
      </c>
      <c r="L720" s="258" t="str">
        <f t="shared" si="2"/>
        <v/>
      </c>
      <c r="O720" s="281"/>
    </row>
    <row r="721" ht="22.5" customHeight="1">
      <c r="A721" s="274"/>
      <c r="C721" s="281"/>
      <c r="F721" s="281"/>
      <c r="G721" s="274"/>
      <c r="H721" s="281"/>
      <c r="I721" s="281"/>
      <c r="J721" s="275"/>
      <c r="K721" s="258" t="str">
        <f t="shared" si="1"/>
        <v/>
      </c>
      <c r="L721" s="258" t="str">
        <f t="shared" si="2"/>
        <v/>
      </c>
      <c r="O721" s="281"/>
    </row>
    <row r="722" ht="22.5" customHeight="1">
      <c r="A722" s="274"/>
      <c r="C722" s="281"/>
      <c r="F722" s="281"/>
      <c r="G722" s="274"/>
      <c r="H722" s="281"/>
      <c r="I722" s="281"/>
      <c r="J722" s="275"/>
      <c r="K722" s="258" t="str">
        <f t="shared" si="1"/>
        <v/>
      </c>
      <c r="L722" s="258" t="str">
        <f t="shared" si="2"/>
        <v/>
      </c>
      <c r="O722" s="281"/>
    </row>
    <row r="723" ht="22.5" customHeight="1">
      <c r="A723" s="274"/>
      <c r="C723" s="281"/>
      <c r="F723" s="281"/>
      <c r="G723" s="274"/>
      <c r="H723" s="281"/>
      <c r="I723" s="281"/>
      <c r="J723" s="275"/>
      <c r="K723" s="258" t="str">
        <f t="shared" si="1"/>
        <v/>
      </c>
      <c r="L723" s="258" t="str">
        <f t="shared" si="2"/>
        <v/>
      </c>
      <c r="O723" s="281"/>
    </row>
    <row r="724" ht="22.5" customHeight="1">
      <c r="A724" s="274"/>
      <c r="C724" s="281"/>
      <c r="F724" s="281"/>
      <c r="G724" s="274"/>
      <c r="H724" s="281"/>
      <c r="I724" s="281"/>
      <c r="J724" s="275"/>
      <c r="K724" s="258" t="str">
        <f t="shared" si="1"/>
        <v/>
      </c>
      <c r="L724" s="258" t="str">
        <f t="shared" si="2"/>
        <v/>
      </c>
      <c r="O724" s="281"/>
    </row>
    <row r="725" ht="22.5" customHeight="1">
      <c r="A725" s="274"/>
      <c r="C725" s="281"/>
      <c r="F725" s="281"/>
      <c r="G725" s="274"/>
      <c r="H725" s="281"/>
      <c r="I725" s="281"/>
      <c r="J725" s="275"/>
      <c r="K725" s="258" t="str">
        <f t="shared" si="1"/>
        <v/>
      </c>
      <c r="L725" s="258" t="str">
        <f t="shared" si="2"/>
        <v/>
      </c>
      <c r="O725" s="281"/>
    </row>
    <row r="726" ht="22.5" customHeight="1">
      <c r="A726" s="274"/>
      <c r="C726" s="281"/>
      <c r="F726" s="281"/>
      <c r="G726" s="274"/>
      <c r="H726" s="281"/>
      <c r="I726" s="281"/>
      <c r="J726" s="275"/>
      <c r="K726" s="258" t="str">
        <f t="shared" si="1"/>
        <v/>
      </c>
      <c r="L726" s="258" t="str">
        <f t="shared" si="2"/>
        <v/>
      </c>
      <c r="O726" s="281"/>
    </row>
    <row r="727" ht="22.5" customHeight="1">
      <c r="A727" s="274"/>
      <c r="C727" s="281"/>
      <c r="F727" s="281"/>
      <c r="G727" s="274"/>
      <c r="H727" s="281"/>
      <c r="I727" s="281"/>
      <c r="J727" s="275"/>
      <c r="K727" s="258" t="str">
        <f t="shared" si="1"/>
        <v/>
      </c>
      <c r="L727" s="258" t="str">
        <f t="shared" si="2"/>
        <v/>
      </c>
      <c r="O727" s="281"/>
    </row>
    <row r="728" ht="22.5" customHeight="1">
      <c r="A728" s="274"/>
      <c r="C728" s="281"/>
      <c r="F728" s="281"/>
      <c r="G728" s="274"/>
      <c r="H728" s="281"/>
      <c r="I728" s="281"/>
      <c r="J728" s="275"/>
      <c r="K728" s="258" t="str">
        <f t="shared" si="1"/>
        <v/>
      </c>
      <c r="L728" s="258" t="str">
        <f t="shared" si="2"/>
        <v/>
      </c>
      <c r="O728" s="281"/>
    </row>
    <row r="729" ht="22.5" customHeight="1">
      <c r="A729" s="274"/>
      <c r="C729" s="281"/>
      <c r="F729" s="281"/>
      <c r="G729" s="274"/>
      <c r="H729" s="281"/>
      <c r="I729" s="281"/>
      <c r="J729" s="275"/>
      <c r="K729" s="258" t="str">
        <f t="shared" si="1"/>
        <v/>
      </c>
      <c r="L729" s="258" t="str">
        <f t="shared" si="2"/>
        <v/>
      </c>
      <c r="O729" s="281"/>
    </row>
    <row r="730" ht="22.5" customHeight="1">
      <c r="A730" s="274"/>
      <c r="C730" s="281"/>
      <c r="F730" s="281"/>
      <c r="G730" s="274"/>
      <c r="H730" s="281"/>
      <c r="I730" s="281"/>
      <c r="J730" s="275"/>
      <c r="K730" s="258" t="str">
        <f t="shared" si="1"/>
        <v/>
      </c>
      <c r="L730" s="258" t="str">
        <f t="shared" si="2"/>
        <v/>
      </c>
      <c r="O730" s="281"/>
    </row>
    <row r="731" ht="22.5" customHeight="1">
      <c r="A731" s="274"/>
      <c r="C731" s="281"/>
      <c r="F731" s="281"/>
      <c r="G731" s="274"/>
      <c r="H731" s="281"/>
      <c r="I731" s="281"/>
      <c r="J731" s="275"/>
      <c r="K731" s="258" t="str">
        <f t="shared" si="1"/>
        <v/>
      </c>
      <c r="L731" s="258" t="str">
        <f t="shared" si="2"/>
        <v/>
      </c>
      <c r="O731" s="281"/>
    </row>
    <row r="732" ht="22.5" customHeight="1">
      <c r="A732" s="274"/>
      <c r="C732" s="281"/>
      <c r="F732" s="281"/>
      <c r="G732" s="274"/>
      <c r="H732" s="281"/>
      <c r="I732" s="281"/>
      <c r="J732" s="275"/>
      <c r="K732" s="258" t="str">
        <f t="shared" si="1"/>
        <v/>
      </c>
      <c r="L732" s="258" t="str">
        <f t="shared" si="2"/>
        <v/>
      </c>
      <c r="O732" s="281"/>
    </row>
    <row r="733" ht="22.5" customHeight="1">
      <c r="A733" s="274"/>
      <c r="C733" s="281"/>
      <c r="F733" s="281"/>
      <c r="G733" s="274"/>
      <c r="H733" s="281"/>
      <c r="I733" s="281"/>
      <c r="J733" s="275"/>
      <c r="K733" s="258" t="str">
        <f t="shared" si="1"/>
        <v/>
      </c>
      <c r="L733" s="258" t="str">
        <f t="shared" si="2"/>
        <v/>
      </c>
      <c r="O733" s="281"/>
    </row>
    <row r="734" ht="22.5" customHeight="1">
      <c r="A734" s="274"/>
      <c r="C734" s="281"/>
      <c r="F734" s="281"/>
      <c r="G734" s="274"/>
      <c r="H734" s="281"/>
      <c r="I734" s="281"/>
      <c r="J734" s="275"/>
      <c r="K734" s="258" t="str">
        <f t="shared" si="1"/>
        <v/>
      </c>
      <c r="L734" s="258" t="str">
        <f t="shared" si="2"/>
        <v/>
      </c>
      <c r="O734" s="281"/>
    </row>
    <row r="735" ht="22.5" customHeight="1">
      <c r="A735" s="274"/>
      <c r="C735" s="281"/>
      <c r="F735" s="281"/>
      <c r="G735" s="274"/>
      <c r="H735" s="281"/>
      <c r="I735" s="281"/>
      <c r="J735" s="275"/>
      <c r="K735" s="258" t="str">
        <f t="shared" si="1"/>
        <v/>
      </c>
      <c r="L735" s="258" t="str">
        <f t="shared" si="2"/>
        <v/>
      </c>
      <c r="O735" s="281"/>
    </row>
    <row r="736" ht="22.5" customHeight="1">
      <c r="A736" s="274"/>
      <c r="C736" s="281"/>
      <c r="F736" s="281"/>
      <c r="G736" s="274"/>
      <c r="H736" s="281"/>
      <c r="I736" s="281"/>
      <c r="J736" s="275"/>
      <c r="K736" s="258" t="str">
        <f t="shared" si="1"/>
        <v/>
      </c>
      <c r="L736" s="258" t="str">
        <f t="shared" si="2"/>
        <v/>
      </c>
      <c r="O736" s="281"/>
    </row>
    <row r="737" ht="22.5" customHeight="1">
      <c r="A737" s="274"/>
      <c r="C737" s="281"/>
      <c r="F737" s="281"/>
      <c r="G737" s="274"/>
      <c r="H737" s="281"/>
      <c r="I737" s="281"/>
      <c r="J737" s="275"/>
      <c r="K737" s="258" t="str">
        <f t="shared" si="1"/>
        <v/>
      </c>
      <c r="L737" s="258" t="str">
        <f t="shared" si="2"/>
        <v/>
      </c>
      <c r="O737" s="281"/>
    </row>
    <row r="738" ht="22.5" customHeight="1">
      <c r="A738" s="274"/>
      <c r="C738" s="281"/>
      <c r="F738" s="281"/>
      <c r="G738" s="274"/>
      <c r="H738" s="281"/>
      <c r="I738" s="281"/>
      <c r="J738" s="275"/>
      <c r="K738" s="258" t="str">
        <f t="shared" si="1"/>
        <v/>
      </c>
      <c r="L738" s="258" t="str">
        <f t="shared" si="2"/>
        <v/>
      </c>
      <c r="O738" s="281"/>
    </row>
    <row r="739" ht="22.5" customHeight="1">
      <c r="A739" s="274"/>
      <c r="C739" s="281"/>
      <c r="F739" s="281"/>
      <c r="G739" s="274"/>
      <c r="H739" s="281"/>
      <c r="I739" s="281"/>
      <c r="J739" s="275"/>
      <c r="K739" s="258" t="str">
        <f t="shared" si="1"/>
        <v/>
      </c>
      <c r="L739" s="258" t="str">
        <f t="shared" si="2"/>
        <v/>
      </c>
      <c r="O739" s="281"/>
    </row>
    <row r="740" ht="22.5" customHeight="1">
      <c r="A740" s="274"/>
      <c r="C740" s="281"/>
      <c r="F740" s="281"/>
      <c r="G740" s="274"/>
      <c r="H740" s="281"/>
      <c r="I740" s="281"/>
      <c r="J740" s="275"/>
      <c r="K740" s="258" t="str">
        <f t="shared" si="1"/>
        <v/>
      </c>
      <c r="L740" s="258" t="str">
        <f t="shared" si="2"/>
        <v/>
      </c>
      <c r="O740" s="281"/>
    </row>
    <row r="741" ht="22.5" customHeight="1">
      <c r="A741" s="274"/>
      <c r="C741" s="281"/>
      <c r="F741" s="281"/>
      <c r="G741" s="274"/>
      <c r="H741" s="281"/>
      <c r="I741" s="281"/>
      <c r="J741" s="275"/>
      <c r="K741" s="258" t="str">
        <f t="shared" si="1"/>
        <v/>
      </c>
      <c r="L741" s="258" t="str">
        <f t="shared" si="2"/>
        <v/>
      </c>
      <c r="O741" s="281"/>
    </row>
    <row r="742" ht="22.5" customHeight="1">
      <c r="A742" s="274"/>
      <c r="C742" s="281"/>
      <c r="F742" s="281"/>
      <c r="G742" s="274"/>
      <c r="H742" s="281"/>
      <c r="I742" s="281"/>
      <c r="J742" s="275"/>
      <c r="K742" s="258" t="str">
        <f t="shared" si="1"/>
        <v/>
      </c>
      <c r="L742" s="258" t="str">
        <f t="shared" si="2"/>
        <v/>
      </c>
      <c r="O742" s="281"/>
    </row>
    <row r="743" ht="22.5" customHeight="1">
      <c r="A743" s="274"/>
      <c r="C743" s="281"/>
      <c r="F743" s="281"/>
      <c r="G743" s="274"/>
      <c r="H743" s="281"/>
      <c r="I743" s="281"/>
      <c r="J743" s="275"/>
      <c r="K743" s="258" t="str">
        <f t="shared" si="1"/>
        <v/>
      </c>
      <c r="L743" s="258" t="str">
        <f t="shared" si="2"/>
        <v/>
      </c>
      <c r="O743" s="281"/>
    </row>
    <row r="744" ht="22.5" customHeight="1">
      <c r="A744" s="274"/>
      <c r="C744" s="281"/>
      <c r="F744" s="281"/>
      <c r="G744" s="274"/>
      <c r="H744" s="281"/>
      <c r="I744" s="281"/>
      <c r="J744" s="275"/>
      <c r="K744" s="258" t="str">
        <f t="shared" si="1"/>
        <v/>
      </c>
      <c r="L744" s="258" t="str">
        <f t="shared" si="2"/>
        <v/>
      </c>
      <c r="O744" s="281"/>
    </row>
    <row r="745" ht="22.5" customHeight="1">
      <c r="A745" s="274"/>
      <c r="C745" s="281"/>
      <c r="F745" s="281"/>
      <c r="G745" s="274"/>
      <c r="H745" s="281"/>
      <c r="I745" s="281"/>
      <c r="J745" s="275"/>
      <c r="K745" s="258" t="str">
        <f t="shared" si="1"/>
        <v/>
      </c>
      <c r="L745" s="258" t="str">
        <f t="shared" si="2"/>
        <v/>
      </c>
      <c r="O745" s="281"/>
    </row>
    <row r="746" ht="22.5" customHeight="1">
      <c r="A746" s="274"/>
      <c r="C746" s="281"/>
      <c r="F746" s="281"/>
      <c r="G746" s="274"/>
      <c r="H746" s="281"/>
      <c r="I746" s="281"/>
      <c r="J746" s="275"/>
      <c r="K746" s="258" t="str">
        <f t="shared" si="1"/>
        <v/>
      </c>
      <c r="L746" s="258" t="str">
        <f t="shared" si="2"/>
        <v/>
      </c>
      <c r="O746" s="281"/>
    </row>
    <row r="747" ht="22.5" customHeight="1">
      <c r="A747" s="274"/>
      <c r="C747" s="281"/>
      <c r="F747" s="281"/>
      <c r="G747" s="274"/>
      <c r="H747" s="281"/>
      <c r="I747" s="281"/>
      <c r="J747" s="275"/>
      <c r="K747" s="258" t="str">
        <f t="shared" si="1"/>
        <v/>
      </c>
      <c r="L747" s="258" t="str">
        <f t="shared" si="2"/>
        <v/>
      </c>
      <c r="O747" s="281"/>
    </row>
    <row r="748" ht="22.5" customHeight="1">
      <c r="A748" s="274"/>
      <c r="C748" s="281"/>
      <c r="F748" s="281"/>
      <c r="G748" s="274"/>
      <c r="H748" s="281"/>
      <c r="I748" s="281"/>
      <c r="J748" s="275"/>
      <c r="K748" s="258" t="str">
        <f t="shared" si="1"/>
        <v/>
      </c>
      <c r="L748" s="258" t="str">
        <f t="shared" si="2"/>
        <v/>
      </c>
      <c r="O748" s="281"/>
    </row>
    <row r="749" ht="22.5" customHeight="1">
      <c r="A749" s="274"/>
      <c r="C749" s="281"/>
      <c r="F749" s="281"/>
      <c r="G749" s="274"/>
      <c r="H749" s="281"/>
      <c r="I749" s="281"/>
      <c r="J749" s="275"/>
      <c r="K749" s="258" t="str">
        <f t="shared" si="1"/>
        <v/>
      </c>
      <c r="L749" s="258" t="str">
        <f t="shared" si="2"/>
        <v/>
      </c>
      <c r="O749" s="281"/>
    </row>
    <row r="750" ht="22.5" customHeight="1">
      <c r="A750" s="274"/>
      <c r="C750" s="281"/>
      <c r="F750" s="281"/>
      <c r="G750" s="274"/>
      <c r="H750" s="281"/>
      <c r="I750" s="281"/>
      <c r="J750" s="275"/>
      <c r="K750" s="258" t="str">
        <f t="shared" si="1"/>
        <v/>
      </c>
      <c r="L750" s="258" t="str">
        <f t="shared" si="2"/>
        <v/>
      </c>
      <c r="O750" s="281"/>
    </row>
    <row r="751" ht="22.5" customHeight="1">
      <c r="A751" s="274"/>
      <c r="C751" s="281"/>
      <c r="F751" s="281"/>
      <c r="G751" s="274"/>
      <c r="H751" s="281"/>
      <c r="I751" s="281"/>
      <c r="J751" s="275"/>
      <c r="K751" s="258" t="str">
        <f t="shared" si="1"/>
        <v/>
      </c>
      <c r="L751" s="258" t="str">
        <f t="shared" si="2"/>
        <v/>
      </c>
      <c r="O751" s="281"/>
    </row>
    <row r="752" ht="22.5" customHeight="1">
      <c r="A752" s="274"/>
      <c r="C752" s="281"/>
      <c r="F752" s="281"/>
      <c r="G752" s="274"/>
      <c r="H752" s="281"/>
      <c r="I752" s="281"/>
      <c r="J752" s="275"/>
      <c r="K752" s="258" t="str">
        <f t="shared" si="1"/>
        <v/>
      </c>
      <c r="L752" s="258" t="str">
        <f t="shared" si="2"/>
        <v/>
      </c>
      <c r="O752" s="281"/>
    </row>
    <row r="753" ht="22.5" customHeight="1">
      <c r="A753" s="274"/>
      <c r="C753" s="281"/>
      <c r="F753" s="281"/>
      <c r="G753" s="274"/>
      <c r="H753" s="281"/>
      <c r="I753" s="281"/>
      <c r="J753" s="275"/>
      <c r="K753" s="258" t="str">
        <f t="shared" si="1"/>
        <v/>
      </c>
      <c r="L753" s="258" t="str">
        <f t="shared" si="2"/>
        <v/>
      </c>
      <c r="O753" s="281"/>
    </row>
    <row r="754" ht="22.5" customHeight="1">
      <c r="A754" s="274"/>
      <c r="C754" s="281"/>
      <c r="F754" s="281"/>
      <c r="G754" s="274"/>
      <c r="H754" s="281"/>
      <c r="I754" s="281"/>
      <c r="J754" s="275"/>
      <c r="K754" s="258" t="str">
        <f t="shared" si="1"/>
        <v/>
      </c>
      <c r="L754" s="258" t="str">
        <f t="shared" si="2"/>
        <v/>
      </c>
      <c r="O754" s="281"/>
    </row>
    <row r="755" ht="22.5" customHeight="1">
      <c r="A755" s="274"/>
      <c r="C755" s="281"/>
      <c r="F755" s="281"/>
      <c r="G755" s="274"/>
      <c r="H755" s="281"/>
      <c r="I755" s="281"/>
      <c r="J755" s="275"/>
      <c r="K755" s="258" t="str">
        <f t="shared" si="1"/>
        <v/>
      </c>
      <c r="L755" s="258" t="str">
        <f t="shared" si="2"/>
        <v/>
      </c>
      <c r="O755" s="281"/>
    </row>
    <row r="756" ht="22.5" customHeight="1">
      <c r="A756" s="274"/>
      <c r="C756" s="281"/>
      <c r="F756" s="281"/>
      <c r="G756" s="274"/>
      <c r="H756" s="281"/>
      <c r="I756" s="281"/>
      <c r="J756" s="275"/>
      <c r="K756" s="258" t="str">
        <f t="shared" si="1"/>
        <v/>
      </c>
      <c r="L756" s="258" t="str">
        <f t="shared" si="2"/>
        <v/>
      </c>
      <c r="O756" s="281"/>
    </row>
    <row r="757" ht="22.5" customHeight="1">
      <c r="A757" s="274"/>
      <c r="C757" s="281"/>
      <c r="F757" s="281"/>
      <c r="G757" s="274"/>
      <c r="H757" s="281"/>
      <c r="I757" s="281"/>
      <c r="J757" s="275"/>
      <c r="K757" s="258" t="str">
        <f t="shared" si="1"/>
        <v/>
      </c>
      <c r="L757" s="258" t="str">
        <f t="shared" si="2"/>
        <v/>
      </c>
      <c r="O757" s="281"/>
    </row>
    <row r="758" ht="22.5" customHeight="1">
      <c r="A758" s="274"/>
      <c r="C758" s="281"/>
      <c r="F758" s="281"/>
      <c r="G758" s="274"/>
      <c r="H758" s="281"/>
      <c r="I758" s="281"/>
      <c r="J758" s="275"/>
      <c r="K758" s="258" t="str">
        <f t="shared" si="1"/>
        <v/>
      </c>
      <c r="L758" s="258" t="str">
        <f t="shared" si="2"/>
        <v/>
      </c>
      <c r="O758" s="281"/>
    </row>
    <row r="759" ht="22.5" customHeight="1">
      <c r="A759" s="274"/>
      <c r="C759" s="281"/>
      <c r="F759" s="281"/>
      <c r="G759" s="274"/>
      <c r="H759" s="281"/>
      <c r="I759" s="281"/>
      <c r="J759" s="275"/>
      <c r="K759" s="258" t="str">
        <f t="shared" si="1"/>
        <v/>
      </c>
      <c r="L759" s="258" t="str">
        <f t="shared" si="2"/>
        <v/>
      </c>
      <c r="O759" s="281"/>
    </row>
    <row r="760" ht="22.5" customHeight="1">
      <c r="A760" s="274"/>
      <c r="C760" s="281"/>
      <c r="F760" s="281"/>
      <c r="G760" s="274"/>
      <c r="H760" s="281"/>
      <c r="I760" s="281"/>
      <c r="J760" s="275"/>
      <c r="K760" s="258" t="str">
        <f t="shared" si="1"/>
        <v/>
      </c>
      <c r="L760" s="258" t="str">
        <f t="shared" si="2"/>
        <v/>
      </c>
      <c r="O760" s="281"/>
    </row>
    <row r="761" ht="22.5" customHeight="1">
      <c r="A761" s="274"/>
      <c r="C761" s="281"/>
      <c r="F761" s="281"/>
      <c r="G761" s="274"/>
      <c r="H761" s="281"/>
      <c r="I761" s="281"/>
      <c r="J761" s="275"/>
      <c r="K761" s="258" t="str">
        <f t="shared" si="1"/>
        <v/>
      </c>
      <c r="L761" s="258" t="str">
        <f t="shared" si="2"/>
        <v/>
      </c>
      <c r="O761" s="281"/>
    </row>
    <row r="762" ht="22.5" customHeight="1">
      <c r="A762" s="274"/>
      <c r="C762" s="281"/>
      <c r="F762" s="281"/>
      <c r="G762" s="274"/>
      <c r="H762" s="281"/>
      <c r="I762" s="281"/>
      <c r="J762" s="275"/>
      <c r="K762" s="258" t="str">
        <f t="shared" si="1"/>
        <v/>
      </c>
      <c r="L762" s="258" t="str">
        <f t="shared" si="2"/>
        <v/>
      </c>
      <c r="O762" s="281"/>
    </row>
    <row r="763" ht="22.5" customHeight="1">
      <c r="A763" s="274"/>
      <c r="C763" s="281"/>
      <c r="F763" s="281"/>
      <c r="G763" s="274"/>
      <c r="H763" s="281"/>
      <c r="I763" s="281"/>
      <c r="J763" s="275"/>
      <c r="K763" s="258" t="str">
        <f t="shared" si="1"/>
        <v/>
      </c>
      <c r="L763" s="258" t="str">
        <f t="shared" si="2"/>
        <v/>
      </c>
      <c r="O763" s="281"/>
    </row>
    <row r="764" ht="22.5" customHeight="1">
      <c r="A764" s="274"/>
      <c r="C764" s="281"/>
      <c r="F764" s="281"/>
      <c r="G764" s="274"/>
      <c r="H764" s="281"/>
      <c r="I764" s="281"/>
      <c r="J764" s="275"/>
      <c r="K764" s="258" t="str">
        <f t="shared" si="1"/>
        <v/>
      </c>
      <c r="L764" s="258" t="str">
        <f t="shared" si="2"/>
        <v/>
      </c>
      <c r="O764" s="281"/>
    </row>
    <row r="765" ht="22.5" customHeight="1">
      <c r="A765" s="274"/>
      <c r="C765" s="281"/>
      <c r="F765" s="281"/>
      <c r="G765" s="274"/>
      <c r="H765" s="281"/>
      <c r="I765" s="281"/>
      <c r="J765" s="275"/>
      <c r="K765" s="258" t="str">
        <f t="shared" si="1"/>
        <v/>
      </c>
      <c r="L765" s="258" t="str">
        <f t="shared" si="2"/>
        <v/>
      </c>
      <c r="O765" s="281"/>
    </row>
    <row r="766" ht="22.5" customHeight="1">
      <c r="A766" s="274"/>
      <c r="C766" s="281"/>
      <c r="F766" s="281"/>
      <c r="G766" s="274"/>
      <c r="H766" s="281"/>
      <c r="I766" s="281"/>
      <c r="J766" s="275"/>
      <c r="K766" s="258" t="str">
        <f t="shared" si="1"/>
        <v/>
      </c>
      <c r="L766" s="258" t="str">
        <f t="shared" si="2"/>
        <v/>
      </c>
      <c r="O766" s="281"/>
    </row>
    <row r="767" ht="22.5" customHeight="1">
      <c r="A767" s="274"/>
      <c r="C767" s="281"/>
      <c r="F767" s="281"/>
      <c r="G767" s="274"/>
      <c r="H767" s="281"/>
      <c r="I767" s="281"/>
      <c r="J767" s="275"/>
      <c r="K767" s="258" t="str">
        <f t="shared" si="1"/>
        <v/>
      </c>
      <c r="L767" s="258" t="str">
        <f t="shared" si="2"/>
        <v/>
      </c>
      <c r="O767" s="281"/>
    </row>
    <row r="768" ht="22.5" customHeight="1">
      <c r="A768" s="274"/>
      <c r="C768" s="281"/>
      <c r="F768" s="281"/>
      <c r="G768" s="274"/>
      <c r="H768" s="281"/>
      <c r="I768" s="281"/>
      <c r="J768" s="275"/>
      <c r="K768" s="258" t="str">
        <f t="shared" si="1"/>
        <v/>
      </c>
      <c r="L768" s="258" t="str">
        <f t="shared" si="2"/>
        <v/>
      </c>
      <c r="O768" s="281"/>
    </row>
    <row r="769" ht="22.5" customHeight="1">
      <c r="A769" s="274"/>
      <c r="C769" s="281"/>
      <c r="F769" s="281"/>
      <c r="G769" s="274"/>
      <c r="H769" s="281"/>
      <c r="I769" s="281"/>
      <c r="J769" s="275"/>
      <c r="K769" s="258" t="str">
        <f t="shared" si="1"/>
        <v/>
      </c>
      <c r="L769" s="258" t="str">
        <f t="shared" si="2"/>
        <v/>
      </c>
      <c r="O769" s="281"/>
    </row>
    <row r="770" ht="22.5" customHeight="1">
      <c r="A770" s="274"/>
      <c r="C770" s="281"/>
      <c r="F770" s="281"/>
      <c r="G770" s="274"/>
      <c r="H770" s="281"/>
      <c r="I770" s="281"/>
      <c r="J770" s="275"/>
      <c r="K770" s="258" t="str">
        <f t="shared" si="1"/>
        <v/>
      </c>
      <c r="L770" s="258" t="str">
        <f t="shared" si="2"/>
        <v/>
      </c>
      <c r="O770" s="281"/>
    </row>
    <row r="771" ht="22.5" customHeight="1">
      <c r="A771" s="274"/>
      <c r="C771" s="281"/>
      <c r="F771" s="281"/>
      <c r="G771" s="274"/>
      <c r="H771" s="281"/>
      <c r="I771" s="281"/>
      <c r="J771" s="275"/>
      <c r="K771" s="258" t="str">
        <f t="shared" si="1"/>
        <v/>
      </c>
      <c r="L771" s="258" t="str">
        <f t="shared" si="2"/>
        <v/>
      </c>
      <c r="O771" s="281"/>
    </row>
    <row r="772" ht="22.5" customHeight="1">
      <c r="A772" s="274"/>
      <c r="C772" s="281"/>
      <c r="F772" s="281"/>
      <c r="G772" s="274"/>
      <c r="H772" s="281"/>
      <c r="I772" s="281"/>
      <c r="J772" s="275"/>
      <c r="K772" s="258" t="str">
        <f t="shared" si="1"/>
        <v/>
      </c>
      <c r="L772" s="258" t="str">
        <f t="shared" si="2"/>
        <v/>
      </c>
      <c r="O772" s="281"/>
    </row>
    <row r="773" ht="22.5" customHeight="1">
      <c r="A773" s="274"/>
      <c r="C773" s="281"/>
      <c r="F773" s="281"/>
      <c r="G773" s="274"/>
      <c r="H773" s="281"/>
      <c r="I773" s="281"/>
      <c r="J773" s="275"/>
      <c r="K773" s="258" t="str">
        <f t="shared" si="1"/>
        <v/>
      </c>
      <c r="L773" s="258" t="str">
        <f t="shared" si="2"/>
        <v/>
      </c>
      <c r="O773" s="281"/>
    </row>
    <row r="774" ht="22.5" customHeight="1">
      <c r="A774" s="274"/>
      <c r="C774" s="281"/>
      <c r="F774" s="281"/>
      <c r="G774" s="274"/>
      <c r="H774" s="281"/>
      <c r="I774" s="281"/>
      <c r="J774" s="275"/>
      <c r="K774" s="258" t="str">
        <f t="shared" si="1"/>
        <v/>
      </c>
      <c r="L774" s="258" t="str">
        <f t="shared" si="2"/>
        <v/>
      </c>
      <c r="O774" s="281"/>
    </row>
    <row r="775" ht="22.5" customHeight="1">
      <c r="A775" s="274"/>
      <c r="C775" s="281"/>
      <c r="F775" s="281"/>
      <c r="G775" s="274"/>
      <c r="H775" s="281"/>
      <c r="I775" s="281"/>
      <c r="J775" s="275"/>
      <c r="K775" s="258" t="str">
        <f t="shared" si="1"/>
        <v/>
      </c>
      <c r="L775" s="258" t="str">
        <f t="shared" si="2"/>
        <v/>
      </c>
      <c r="O775" s="281"/>
    </row>
    <row r="776" ht="22.5" customHeight="1">
      <c r="A776" s="274"/>
      <c r="C776" s="281"/>
      <c r="F776" s="281"/>
      <c r="G776" s="274"/>
      <c r="H776" s="281"/>
      <c r="I776" s="281"/>
      <c r="J776" s="275"/>
      <c r="K776" s="258" t="str">
        <f t="shared" si="1"/>
        <v/>
      </c>
      <c r="L776" s="258" t="str">
        <f t="shared" si="2"/>
        <v/>
      </c>
      <c r="O776" s="281"/>
    </row>
    <row r="777" ht="22.5" customHeight="1">
      <c r="A777" s="274"/>
      <c r="C777" s="281"/>
      <c r="F777" s="281"/>
      <c r="G777" s="274"/>
      <c r="H777" s="281"/>
      <c r="I777" s="281"/>
      <c r="J777" s="275"/>
      <c r="K777" s="258" t="str">
        <f t="shared" si="1"/>
        <v/>
      </c>
      <c r="L777" s="258" t="str">
        <f t="shared" si="2"/>
        <v/>
      </c>
      <c r="O777" s="281"/>
    </row>
    <row r="778" ht="22.5" customHeight="1">
      <c r="A778" s="274"/>
      <c r="C778" s="281"/>
      <c r="F778" s="281"/>
      <c r="G778" s="274"/>
      <c r="H778" s="281"/>
      <c r="I778" s="281"/>
      <c r="J778" s="275"/>
      <c r="K778" s="258" t="str">
        <f t="shared" si="1"/>
        <v/>
      </c>
      <c r="L778" s="258" t="str">
        <f t="shared" si="2"/>
        <v/>
      </c>
      <c r="O778" s="281"/>
    </row>
    <row r="779" ht="22.5" customHeight="1">
      <c r="A779" s="274"/>
      <c r="C779" s="281"/>
      <c r="F779" s="281"/>
      <c r="G779" s="274"/>
      <c r="H779" s="281"/>
      <c r="I779" s="281"/>
      <c r="J779" s="275"/>
      <c r="K779" s="258" t="str">
        <f t="shared" si="1"/>
        <v/>
      </c>
      <c r="L779" s="258" t="str">
        <f t="shared" si="2"/>
        <v/>
      </c>
      <c r="O779" s="281"/>
    </row>
    <row r="780" ht="22.5" customHeight="1">
      <c r="A780" s="274"/>
      <c r="C780" s="281"/>
      <c r="F780" s="281"/>
      <c r="G780" s="274"/>
      <c r="H780" s="281"/>
      <c r="I780" s="281"/>
      <c r="J780" s="275"/>
      <c r="K780" s="258" t="str">
        <f t="shared" si="1"/>
        <v/>
      </c>
      <c r="L780" s="258" t="str">
        <f t="shared" si="2"/>
        <v/>
      </c>
      <c r="O780" s="281"/>
    </row>
    <row r="781" ht="22.5" customHeight="1">
      <c r="A781" s="274"/>
      <c r="C781" s="281"/>
      <c r="F781" s="281"/>
      <c r="G781" s="274"/>
      <c r="H781" s="281"/>
      <c r="I781" s="281"/>
      <c r="J781" s="275"/>
      <c r="K781" s="258" t="str">
        <f t="shared" si="1"/>
        <v/>
      </c>
      <c r="L781" s="258" t="str">
        <f t="shared" si="2"/>
        <v/>
      </c>
      <c r="O781" s="281"/>
    </row>
    <row r="782" ht="22.5" customHeight="1">
      <c r="A782" s="274"/>
      <c r="C782" s="281"/>
      <c r="F782" s="281"/>
      <c r="G782" s="274"/>
      <c r="H782" s="281"/>
      <c r="I782" s="281"/>
      <c r="J782" s="275"/>
      <c r="K782" s="258" t="str">
        <f t="shared" si="1"/>
        <v/>
      </c>
      <c r="L782" s="258" t="str">
        <f t="shared" si="2"/>
        <v/>
      </c>
      <c r="O782" s="281"/>
    </row>
    <row r="783" ht="22.5" customHeight="1">
      <c r="A783" s="274"/>
      <c r="C783" s="281"/>
      <c r="F783" s="281"/>
      <c r="G783" s="274"/>
      <c r="H783" s="281"/>
      <c r="I783" s="281"/>
      <c r="J783" s="275"/>
      <c r="K783" s="258" t="str">
        <f t="shared" si="1"/>
        <v/>
      </c>
      <c r="L783" s="258" t="str">
        <f t="shared" si="2"/>
        <v/>
      </c>
      <c r="O783" s="281"/>
    </row>
    <row r="784" ht="22.5" customHeight="1">
      <c r="A784" s="274"/>
      <c r="C784" s="281"/>
      <c r="F784" s="281"/>
      <c r="G784" s="274"/>
      <c r="H784" s="281"/>
      <c r="I784" s="281"/>
      <c r="J784" s="275"/>
      <c r="K784" s="258" t="str">
        <f t="shared" si="1"/>
        <v/>
      </c>
      <c r="L784" s="258" t="str">
        <f t="shared" si="2"/>
        <v/>
      </c>
      <c r="O784" s="281"/>
    </row>
    <row r="785" ht="22.5" customHeight="1">
      <c r="A785" s="274"/>
      <c r="C785" s="281"/>
      <c r="F785" s="281"/>
      <c r="G785" s="274"/>
      <c r="H785" s="281"/>
      <c r="I785" s="281"/>
      <c r="J785" s="275"/>
      <c r="K785" s="258" t="str">
        <f t="shared" si="1"/>
        <v/>
      </c>
      <c r="L785" s="258" t="str">
        <f t="shared" si="2"/>
        <v/>
      </c>
      <c r="O785" s="281"/>
    </row>
    <row r="786" ht="22.5" customHeight="1">
      <c r="A786" s="274"/>
      <c r="C786" s="281"/>
      <c r="F786" s="281"/>
      <c r="G786" s="274"/>
      <c r="H786" s="281"/>
      <c r="I786" s="281"/>
      <c r="J786" s="275"/>
      <c r="K786" s="258" t="str">
        <f t="shared" si="1"/>
        <v/>
      </c>
      <c r="L786" s="258" t="str">
        <f t="shared" si="2"/>
        <v/>
      </c>
      <c r="O786" s="281"/>
    </row>
    <row r="787" ht="22.5" customHeight="1">
      <c r="A787" s="274"/>
      <c r="C787" s="281"/>
      <c r="F787" s="281"/>
      <c r="G787" s="274"/>
      <c r="H787" s="281"/>
      <c r="I787" s="281"/>
      <c r="J787" s="275"/>
      <c r="K787" s="258" t="str">
        <f t="shared" si="1"/>
        <v/>
      </c>
      <c r="L787" s="258" t="str">
        <f t="shared" si="2"/>
        <v/>
      </c>
      <c r="O787" s="281"/>
    </row>
    <row r="788" ht="22.5" customHeight="1">
      <c r="A788" s="274"/>
      <c r="C788" s="281"/>
      <c r="F788" s="281"/>
      <c r="G788" s="274"/>
      <c r="H788" s="281"/>
      <c r="I788" s="281"/>
      <c r="J788" s="275"/>
      <c r="K788" s="258" t="str">
        <f t="shared" si="1"/>
        <v/>
      </c>
      <c r="L788" s="258" t="str">
        <f t="shared" si="2"/>
        <v/>
      </c>
      <c r="O788" s="281"/>
    </row>
    <row r="789" ht="22.5" customHeight="1">
      <c r="A789" s="274"/>
      <c r="C789" s="281"/>
      <c r="F789" s="281"/>
      <c r="G789" s="274"/>
      <c r="H789" s="281"/>
      <c r="I789" s="281"/>
      <c r="J789" s="275"/>
      <c r="K789" s="258" t="str">
        <f t="shared" si="1"/>
        <v/>
      </c>
      <c r="L789" s="258" t="str">
        <f t="shared" si="2"/>
        <v/>
      </c>
      <c r="O789" s="281"/>
    </row>
    <row r="790" ht="22.5" customHeight="1">
      <c r="A790" s="274"/>
      <c r="C790" s="281"/>
      <c r="F790" s="281"/>
      <c r="G790" s="274"/>
      <c r="H790" s="281"/>
      <c r="I790" s="281"/>
      <c r="J790" s="275"/>
      <c r="K790" s="258" t="str">
        <f t="shared" si="1"/>
        <v/>
      </c>
      <c r="L790" s="258" t="str">
        <f t="shared" si="2"/>
        <v/>
      </c>
      <c r="O790" s="281"/>
    </row>
    <row r="791" ht="22.5" customHeight="1">
      <c r="A791" s="274"/>
      <c r="C791" s="281"/>
      <c r="F791" s="281"/>
      <c r="G791" s="274"/>
      <c r="H791" s="281"/>
      <c r="I791" s="281"/>
      <c r="J791" s="275"/>
      <c r="K791" s="258" t="str">
        <f t="shared" si="1"/>
        <v/>
      </c>
      <c r="L791" s="258" t="str">
        <f t="shared" si="2"/>
        <v/>
      </c>
      <c r="O791" s="281"/>
    </row>
    <row r="792" ht="22.5" customHeight="1">
      <c r="A792" s="274"/>
      <c r="C792" s="281"/>
      <c r="F792" s="281"/>
      <c r="G792" s="274"/>
      <c r="H792" s="281"/>
      <c r="I792" s="281"/>
      <c r="J792" s="275"/>
      <c r="K792" s="258" t="str">
        <f t="shared" si="1"/>
        <v/>
      </c>
      <c r="L792" s="258" t="str">
        <f t="shared" si="2"/>
        <v/>
      </c>
      <c r="O792" s="281"/>
    </row>
    <row r="793" ht="22.5" customHeight="1">
      <c r="A793" s="274"/>
      <c r="C793" s="281"/>
      <c r="F793" s="281"/>
      <c r="G793" s="274"/>
      <c r="H793" s="281"/>
      <c r="I793" s="281"/>
      <c r="J793" s="275"/>
      <c r="K793" s="258" t="str">
        <f t="shared" si="1"/>
        <v/>
      </c>
      <c r="L793" s="258" t="str">
        <f t="shared" si="2"/>
        <v/>
      </c>
      <c r="O793" s="281"/>
    </row>
    <row r="794" ht="22.5" customHeight="1">
      <c r="A794" s="274"/>
      <c r="C794" s="281"/>
      <c r="F794" s="281"/>
      <c r="G794" s="274"/>
      <c r="H794" s="281"/>
      <c r="I794" s="281"/>
      <c r="J794" s="275"/>
      <c r="K794" s="258" t="str">
        <f t="shared" si="1"/>
        <v/>
      </c>
      <c r="L794" s="258" t="str">
        <f t="shared" si="2"/>
        <v/>
      </c>
      <c r="O794" s="281"/>
    </row>
    <row r="795" ht="22.5" customHeight="1">
      <c r="A795" s="274"/>
      <c r="C795" s="281"/>
      <c r="F795" s="281"/>
      <c r="G795" s="274"/>
      <c r="H795" s="281"/>
      <c r="I795" s="281"/>
      <c r="J795" s="275"/>
      <c r="K795" s="258" t="str">
        <f t="shared" si="1"/>
        <v/>
      </c>
      <c r="L795" s="258" t="str">
        <f t="shared" si="2"/>
        <v/>
      </c>
      <c r="O795" s="281"/>
    </row>
    <row r="796" ht="22.5" customHeight="1">
      <c r="A796" s="274"/>
      <c r="C796" s="281"/>
      <c r="F796" s="281"/>
      <c r="G796" s="274"/>
      <c r="H796" s="281"/>
      <c r="I796" s="281"/>
      <c r="J796" s="275"/>
      <c r="K796" s="258" t="str">
        <f t="shared" si="1"/>
        <v/>
      </c>
      <c r="L796" s="258" t="str">
        <f t="shared" si="2"/>
        <v/>
      </c>
      <c r="O796" s="281"/>
    </row>
    <row r="797" ht="22.5" customHeight="1">
      <c r="A797" s="274"/>
      <c r="C797" s="281"/>
      <c r="F797" s="281"/>
      <c r="G797" s="274"/>
      <c r="H797" s="281"/>
      <c r="I797" s="281"/>
      <c r="J797" s="275"/>
      <c r="K797" s="258" t="str">
        <f t="shared" si="1"/>
        <v/>
      </c>
      <c r="L797" s="258" t="str">
        <f t="shared" si="2"/>
        <v/>
      </c>
      <c r="O797" s="281"/>
    </row>
    <row r="798" ht="22.5" customHeight="1">
      <c r="A798" s="274"/>
      <c r="C798" s="281"/>
      <c r="F798" s="281"/>
      <c r="G798" s="274"/>
      <c r="H798" s="281"/>
      <c r="I798" s="281"/>
      <c r="J798" s="275"/>
      <c r="K798" s="258" t="str">
        <f t="shared" si="1"/>
        <v/>
      </c>
      <c r="L798" s="258" t="str">
        <f t="shared" si="2"/>
        <v/>
      </c>
      <c r="O798" s="281"/>
    </row>
    <row r="799" ht="22.5" customHeight="1">
      <c r="A799" s="274"/>
      <c r="C799" s="281"/>
      <c r="F799" s="281"/>
      <c r="G799" s="274"/>
      <c r="H799" s="281"/>
      <c r="I799" s="281"/>
      <c r="J799" s="275"/>
      <c r="K799" s="258" t="str">
        <f t="shared" si="1"/>
        <v/>
      </c>
      <c r="L799" s="258" t="str">
        <f t="shared" si="2"/>
        <v/>
      </c>
      <c r="O799" s="281"/>
    </row>
    <row r="800" ht="22.5" customHeight="1">
      <c r="A800" s="274"/>
      <c r="C800" s="281"/>
      <c r="F800" s="281"/>
      <c r="G800" s="274"/>
      <c r="H800" s="281"/>
      <c r="I800" s="281"/>
      <c r="J800" s="275"/>
      <c r="K800" s="258" t="str">
        <f t="shared" si="1"/>
        <v/>
      </c>
      <c r="L800" s="258" t="str">
        <f t="shared" si="2"/>
        <v/>
      </c>
      <c r="O800" s="281"/>
    </row>
    <row r="801" ht="22.5" customHeight="1">
      <c r="A801" s="274"/>
      <c r="C801" s="281"/>
      <c r="F801" s="281"/>
      <c r="G801" s="274"/>
      <c r="H801" s="281"/>
      <c r="I801" s="281"/>
      <c r="J801" s="275"/>
      <c r="K801" s="258" t="str">
        <f t="shared" si="1"/>
        <v/>
      </c>
      <c r="L801" s="258" t="str">
        <f t="shared" si="2"/>
        <v/>
      </c>
      <c r="O801" s="281"/>
    </row>
    <row r="802" ht="22.5" customHeight="1">
      <c r="A802" s="274"/>
      <c r="C802" s="281"/>
      <c r="F802" s="281"/>
      <c r="G802" s="274"/>
      <c r="H802" s="281"/>
      <c r="I802" s="281"/>
      <c r="J802" s="275"/>
      <c r="K802" s="258" t="str">
        <f t="shared" si="1"/>
        <v/>
      </c>
      <c r="L802" s="258" t="str">
        <f t="shared" si="2"/>
        <v/>
      </c>
      <c r="O802" s="281"/>
    </row>
    <row r="803" ht="22.5" customHeight="1">
      <c r="A803" s="274"/>
      <c r="C803" s="281"/>
      <c r="F803" s="281"/>
      <c r="G803" s="274"/>
      <c r="H803" s="281"/>
      <c r="I803" s="281"/>
      <c r="J803" s="275"/>
      <c r="K803" s="258" t="str">
        <f t="shared" si="1"/>
        <v/>
      </c>
      <c r="L803" s="258" t="str">
        <f t="shared" si="2"/>
        <v/>
      </c>
      <c r="O803" s="281"/>
    </row>
    <row r="804" ht="22.5" customHeight="1">
      <c r="A804" s="274"/>
      <c r="C804" s="281"/>
      <c r="F804" s="281"/>
      <c r="G804" s="274"/>
      <c r="H804" s="281"/>
      <c r="I804" s="281"/>
      <c r="J804" s="275"/>
      <c r="K804" s="258" t="str">
        <f t="shared" si="1"/>
        <v/>
      </c>
      <c r="L804" s="258" t="str">
        <f t="shared" si="2"/>
        <v/>
      </c>
      <c r="O804" s="281"/>
    </row>
    <row r="805" ht="22.5" customHeight="1">
      <c r="A805" s="274"/>
      <c r="C805" s="281"/>
      <c r="F805" s="281"/>
      <c r="G805" s="274"/>
      <c r="H805" s="281"/>
      <c r="I805" s="281"/>
      <c r="J805" s="275"/>
      <c r="K805" s="258" t="str">
        <f t="shared" si="1"/>
        <v/>
      </c>
      <c r="L805" s="258" t="str">
        <f t="shared" si="2"/>
        <v/>
      </c>
      <c r="O805" s="281"/>
    </row>
    <row r="806" ht="22.5" customHeight="1">
      <c r="A806" s="274"/>
      <c r="C806" s="281"/>
      <c r="F806" s="281"/>
      <c r="G806" s="274"/>
      <c r="H806" s="281"/>
      <c r="I806" s="281"/>
      <c r="J806" s="275"/>
      <c r="K806" s="258" t="str">
        <f t="shared" si="1"/>
        <v/>
      </c>
      <c r="L806" s="258" t="str">
        <f t="shared" si="2"/>
        <v/>
      </c>
      <c r="O806" s="281"/>
    </row>
    <row r="807" ht="22.5" customHeight="1">
      <c r="A807" s="274"/>
      <c r="C807" s="281"/>
      <c r="F807" s="281"/>
      <c r="G807" s="274"/>
      <c r="H807" s="281"/>
      <c r="I807" s="281"/>
      <c r="J807" s="275"/>
      <c r="K807" s="258" t="str">
        <f t="shared" si="1"/>
        <v/>
      </c>
      <c r="L807" s="258" t="str">
        <f t="shared" si="2"/>
        <v/>
      </c>
      <c r="O807" s="281"/>
    </row>
    <row r="808" ht="22.5" customHeight="1">
      <c r="A808" s="274"/>
      <c r="C808" s="281"/>
      <c r="F808" s="281"/>
      <c r="G808" s="274"/>
      <c r="H808" s="281"/>
      <c r="I808" s="281"/>
      <c r="J808" s="275"/>
      <c r="K808" s="258" t="str">
        <f t="shared" si="1"/>
        <v/>
      </c>
      <c r="L808" s="258" t="str">
        <f t="shared" si="2"/>
        <v/>
      </c>
      <c r="O808" s="281"/>
    </row>
    <row r="809" ht="22.5" customHeight="1">
      <c r="A809" s="274"/>
      <c r="C809" s="281"/>
      <c r="F809" s="281"/>
      <c r="G809" s="274"/>
      <c r="H809" s="281"/>
      <c r="I809" s="281"/>
      <c r="J809" s="275"/>
      <c r="K809" s="258" t="str">
        <f t="shared" si="1"/>
        <v/>
      </c>
      <c r="L809" s="258" t="str">
        <f t="shared" si="2"/>
        <v/>
      </c>
      <c r="O809" s="281"/>
    </row>
    <row r="810" ht="22.5" customHeight="1">
      <c r="A810" s="274"/>
      <c r="C810" s="281"/>
      <c r="F810" s="281"/>
      <c r="G810" s="274"/>
      <c r="H810" s="281"/>
      <c r="I810" s="281"/>
      <c r="J810" s="275"/>
      <c r="K810" s="258" t="str">
        <f t="shared" si="1"/>
        <v/>
      </c>
      <c r="L810" s="258" t="str">
        <f t="shared" si="2"/>
        <v/>
      </c>
      <c r="O810" s="281"/>
    </row>
    <row r="811" ht="22.5" customHeight="1">
      <c r="A811" s="274"/>
      <c r="C811" s="281"/>
      <c r="F811" s="281"/>
      <c r="G811" s="274"/>
      <c r="H811" s="281"/>
      <c r="I811" s="281"/>
      <c r="J811" s="275"/>
      <c r="K811" s="258" t="str">
        <f t="shared" si="1"/>
        <v/>
      </c>
      <c r="L811" s="258" t="str">
        <f t="shared" si="2"/>
        <v/>
      </c>
      <c r="O811" s="281"/>
    </row>
    <row r="812" ht="22.5" customHeight="1">
      <c r="A812" s="274"/>
      <c r="C812" s="281"/>
      <c r="F812" s="281"/>
      <c r="G812" s="274"/>
      <c r="H812" s="281"/>
      <c r="I812" s="281"/>
      <c r="J812" s="275"/>
      <c r="K812" s="258" t="str">
        <f t="shared" si="1"/>
        <v/>
      </c>
      <c r="L812" s="258" t="str">
        <f t="shared" si="2"/>
        <v/>
      </c>
      <c r="O812" s="281"/>
    </row>
    <row r="813" ht="22.5" customHeight="1">
      <c r="A813" s="274"/>
      <c r="C813" s="281"/>
      <c r="F813" s="281"/>
      <c r="G813" s="274"/>
      <c r="H813" s="281"/>
      <c r="I813" s="281"/>
      <c r="J813" s="275"/>
      <c r="K813" s="258" t="str">
        <f t="shared" si="1"/>
        <v/>
      </c>
      <c r="L813" s="258" t="str">
        <f t="shared" si="2"/>
        <v/>
      </c>
      <c r="O813" s="281"/>
    </row>
    <row r="814" ht="22.5" customHeight="1">
      <c r="A814" s="274"/>
      <c r="C814" s="281"/>
      <c r="F814" s="281"/>
      <c r="G814" s="274"/>
      <c r="H814" s="281"/>
      <c r="I814" s="281"/>
      <c r="J814" s="275"/>
      <c r="K814" s="258" t="str">
        <f t="shared" si="1"/>
        <v/>
      </c>
      <c r="L814" s="258" t="str">
        <f t="shared" si="2"/>
        <v/>
      </c>
      <c r="O814" s="281"/>
    </row>
    <row r="815" ht="22.5" customHeight="1">
      <c r="A815" s="274"/>
      <c r="C815" s="281"/>
      <c r="F815" s="281"/>
      <c r="G815" s="274"/>
      <c r="H815" s="281"/>
      <c r="I815" s="281"/>
      <c r="J815" s="275"/>
      <c r="K815" s="258" t="str">
        <f t="shared" si="1"/>
        <v/>
      </c>
      <c r="L815" s="258" t="str">
        <f t="shared" si="2"/>
        <v/>
      </c>
      <c r="O815" s="281"/>
    </row>
    <row r="816" ht="22.5" customHeight="1">
      <c r="A816" s="274"/>
      <c r="C816" s="281"/>
      <c r="F816" s="281"/>
      <c r="G816" s="274"/>
      <c r="H816" s="281"/>
      <c r="I816" s="281"/>
      <c r="J816" s="275"/>
      <c r="K816" s="258" t="str">
        <f t="shared" si="1"/>
        <v/>
      </c>
      <c r="L816" s="258" t="str">
        <f t="shared" si="2"/>
        <v/>
      </c>
      <c r="O816" s="281"/>
    </row>
    <row r="817" ht="22.5" customHeight="1">
      <c r="A817" s="274"/>
      <c r="C817" s="281"/>
      <c r="F817" s="281"/>
      <c r="G817" s="274"/>
      <c r="H817" s="281"/>
      <c r="I817" s="281"/>
      <c r="J817" s="275"/>
      <c r="K817" s="258" t="str">
        <f t="shared" si="1"/>
        <v/>
      </c>
      <c r="L817" s="258" t="str">
        <f t="shared" si="2"/>
        <v/>
      </c>
      <c r="O817" s="281"/>
    </row>
    <row r="818" ht="22.5" customHeight="1">
      <c r="A818" s="274"/>
      <c r="C818" s="281"/>
      <c r="F818" s="281"/>
      <c r="G818" s="274"/>
      <c r="H818" s="281"/>
      <c r="I818" s="281"/>
      <c r="J818" s="275"/>
      <c r="K818" s="258" t="str">
        <f t="shared" si="1"/>
        <v/>
      </c>
      <c r="L818" s="258" t="str">
        <f t="shared" si="2"/>
        <v/>
      </c>
      <c r="O818" s="281"/>
    </row>
    <row r="819" ht="22.5" customHeight="1">
      <c r="A819" s="274"/>
      <c r="C819" s="281"/>
      <c r="F819" s="281"/>
      <c r="G819" s="274"/>
      <c r="H819" s="281"/>
      <c r="I819" s="281"/>
      <c r="J819" s="275"/>
      <c r="K819" s="258" t="str">
        <f t="shared" si="1"/>
        <v/>
      </c>
      <c r="L819" s="258" t="str">
        <f t="shared" si="2"/>
        <v/>
      </c>
      <c r="O819" s="281"/>
    </row>
    <row r="820" ht="22.5" customHeight="1">
      <c r="A820" s="274"/>
      <c r="C820" s="281"/>
      <c r="F820" s="281"/>
      <c r="G820" s="274"/>
      <c r="H820" s="281"/>
      <c r="I820" s="281"/>
      <c r="J820" s="275"/>
      <c r="K820" s="258" t="str">
        <f t="shared" si="1"/>
        <v/>
      </c>
      <c r="L820" s="258" t="str">
        <f t="shared" si="2"/>
        <v/>
      </c>
      <c r="O820" s="281"/>
    </row>
    <row r="821" ht="22.5" customHeight="1">
      <c r="A821" s="274"/>
      <c r="C821" s="281"/>
      <c r="F821" s="281"/>
      <c r="G821" s="274"/>
      <c r="H821" s="281"/>
      <c r="I821" s="281"/>
      <c r="J821" s="275"/>
      <c r="K821" s="258" t="str">
        <f t="shared" si="1"/>
        <v/>
      </c>
      <c r="L821" s="258" t="str">
        <f t="shared" si="2"/>
        <v/>
      </c>
      <c r="O821" s="281"/>
    </row>
    <row r="822" ht="22.5" customHeight="1">
      <c r="A822" s="274"/>
      <c r="C822" s="281"/>
      <c r="F822" s="281"/>
      <c r="G822" s="274"/>
      <c r="H822" s="281"/>
      <c r="I822" s="281"/>
      <c r="J822" s="275"/>
      <c r="K822" s="258" t="str">
        <f t="shared" si="1"/>
        <v/>
      </c>
      <c r="L822" s="258" t="str">
        <f t="shared" si="2"/>
        <v/>
      </c>
      <c r="O822" s="281"/>
    </row>
    <row r="823" ht="22.5" customHeight="1">
      <c r="A823" s="274"/>
      <c r="C823" s="281"/>
      <c r="F823" s="281"/>
      <c r="G823" s="274"/>
      <c r="H823" s="281"/>
      <c r="I823" s="281"/>
      <c r="J823" s="275"/>
      <c r="K823" s="258" t="str">
        <f t="shared" si="1"/>
        <v/>
      </c>
      <c r="L823" s="258" t="str">
        <f t="shared" si="2"/>
        <v/>
      </c>
      <c r="O823" s="281"/>
    </row>
    <row r="824" ht="22.5" customHeight="1">
      <c r="A824" s="274"/>
      <c r="C824" s="281"/>
      <c r="F824" s="281"/>
      <c r="G824" s="274"/>
      <c r="H824" s="281"/>
      <c r="I824" s="281"/>
      <c r="J824" s="275"/>
      <c r="K824" s="258" t="str">
        <f t="shared" si="1"/>
        <v/>
      </c>
      <c r="L824" s="258" t="str">
        <f t="shared" si="2"/>
        <v/>
      </c>
      <c r="O824" s="281"/>
    </row>
    <row r="825" ht="22.5" customHeight="1">
      <c r="A825" s="274"/>
      <c r="C825" s="281"/>
      <c r="F825" s="281"/>
      <c r="G825" s="274"/>
      <c r="H825" s="281"/>
      <c r="I825" s="281"/>
      <c r="J825" s="275"/>
      <c r="K825" s="258" t="str">
        <f t="shared" si="1"/>
        <v/>
      </c>
      <c r="L825" s="258" t="str">
        <f t="shared" si="2"/>
        <v/>
      </c>
      <c r="O825" s="281"/>
    </row>
    <row r="826" ht="22.5" customHeight="1">
      <c r="A826" s="274"/>
      <c r="C826" s="281"/>
      <c r="F826" s="281"/>
      <c r="G826" s="274"/>
      <c r="H826" s="281"/>
      <c r="I826" s="281"/>
      <c r="J826" s="275"/>
      <c r="K826" s="258" t="str">
        <f t="shared" si="1"/>
        <v/>
      </c>
      <c r="L826" s="258" t="str">
        <f t="shared" si="2"/>
        <v/>
      </c>
      <c r="O826" s="281"/>
    </row>
    <row r="827" ht="22.5" customHeight="1">
      <c r="A827" s="274"/>
      <c r="C827" s="281"/>
      <c r="F827" s="281"/>
      <c r="G827" s="274"/>
      <c r="H827" s="281"/>
      <c r="I827" s="281"/>
      <c r="J827" s="275"/>
      <c r="K827" s="258" t="str">
        <f t="shared" si="1"/>
        <v/>
      </c>
      <c r="L827" s="258" t="str">
        <f t="shared" si="2"/>
        <v/>
      </c>
      <c r="O827" s="281"/>
    </row>
    <row r="828" ht="22.5" customHeight="1">
      <c r="A828" s="274"/>
      <c r="C828" s="281"/>
      <c r="F828" s="281"/>
      <c r="G828" s="274"/>
      <c r="H828" s="281"/>
      <c r="I828" s="281"/>
      <c r="J828" s="275"/>
      <c r="K828" s="258" t="str">
        <f t="shared" si="1"/>
        <v/>
      </c>
      <c r="L828" s="258" t="str">
        <f t="shared" si="2"/>
        <v/>
      </c>
      <c r="O828" s="281"/>
    </row>
    <row r="829" ht="22.5" customHeight="1">
      <c r="A829" s="274"/>
      <c r="C829" s="281"/>
      <c r="F829" s="281"/>
      <c r="G829" s="274"/>
      <c r="H829" s="281"/>
      <c r="I829" s="281"/>
      <c r="J829" s="275"/>
      <c r="K829" s="258" t="str">
        <f t="shared" si="1"/>
        <v/>
      </c>
      <c r="L829" s="258" t="str">
        <f t="shared" si="2"/>
        <v/>
      </c>
      <c r="O829" s="281"/>
    </row>
    <row r="830" ht="22.5" customHeight="1">
      <c r="A830" s="274"/>
      <c r="C830" s="281"/>
      <c r="F830" s="281"/>
      <c r="G830" s="274"/>
      <c r="H830" s="281"/>
      <c r="I830" s="281"/>
      <c r="J830" s="275"/>
      <c r="K830" s="258" t="str">
        <f t="shared" si="1"/>
        <v/>
      </c>
      <c r="L830" s="258" t="str">
        <f t="shared" si="2"/>
        <v/>
      </c>
      <c r="O830" s="281"/>
    </row>
    <row r="831" ht="22.5" customHeight="1">
      <c r="A831" s="274"/>
      <c r="C831" s="281"/>
      <c r="F831" s="281"/>
      <c r="G831" s="274"/>
      <c r="H831" s="281"/>
      <c r="I831" s="281"/>
      <c r="J831" s="275"/>
      <c r="K831" s="258" t="str">
        <f t="shared" si="1"/>
        <v/>
      </c>
      <c r="L831" s="258" t="str">
        <f t="shared" si="2"/>
        <v/>
      </c>
      <c r="O831" s="281"/>
    </row>
    <row r="832" ht="22.5" customHeight="1">
      <c r="A832" s="274"/>
      <c r="C832" s="281"/>
      <c r="F832" s="281"/>
      <c r="G832" s="274"/>
      <c r="H832" s="281"/>
      <c r="I832" s="281"/>
      <c r="J832" s="275"/>
      <c r="K832" s="258" t="str">
        <f t="shared" si="1"/>
        <v/>
      </c>
      <c r="L832" s="258" t="str">
        <f t="shared" si="2"/>
        <v/>
      </c>
      <c r="O832" s="281"/>
    </row>
    <row r="833" ht="22.5" customHeight="1">
      <c r="A833" s="274"/>
      <c r="C833" s="281"/>
      <c r="F833" s="281"/>
      <c r="G833" s="274"/>
      <c r="H833" s="281"/>
      <c r="I833" s="281"/>
      <c r="J833" s="275"/>
      <c r="K833" s="258" t="str">
        <f t="shared" si="1"/>
        <v/>
      </c>
      <c r="L833" s="258" t="str">
        <f t="shared" si="2"/>
        <v/>
      </c>
      <c r="O833" s="281"/>
    </row>
    <row r="834" ht="22.5" customHeight="1">
      <c r="A834" s="274"/>
      <c r="C834" s="281"/>
      <c r="F834" s="281"/>
      <c r="G834" s="274"/>
      <c r="H834" s="281"/>
      <c r="I834" s="281"/>
      <c r="J834" s="275"/>
      <c r="K834" s="258" t="str">
        <f t="shared" si="1"/>
        <v/>
      </c>
      <c r="L834" s="258" t="str">
        <f t="shared" si="2"/>
        <v/>
      </c>
      <c r="O834" s="281"/>
    </row>
    <row r="835" ht="22.5" customHeight="1">
      <c r="A835" s="274"/>
      <c r="C835" s="281"/>
      <c r="F835" s="281"/>
      <c r="G835" s="274"/>
      <c r="H835" s="281"/>
      <c r="I835" s="281"/>
      <c r="J835" s="275"/>
      <c r="K835" s="258" t="str">
        <f t="shared" si="1"/>
        <v/>
      </c>
      <c r="L835" s="258" t="str">
        <f t="shared" si="2"/>
        <v/>
      </c>
      <c r="O835" s="281"/>
    </row>
    <row r="836" ht="22.5" customHeight="1">
      <c r="A836" s="274"/>
      <c r="C836" s="281"/>
      <c r="F836" s="281"/>
      <c r="G836" s="274"/>
      <c r="H836" s="281"/>
      <c r="I836" s="281"/>
      <c r="J836" s="275"/>
      <c r="K836" s="258" t="str">
        <f t="shared" si="1"/>
        <v/>
      </c>
      <c r="L836" s="258" t="str">
        <f t="shared" si="2"/>
        <v/>
      </c>
      <c r="O836" s="281"/>
    </row>
    <row r="837" ht="22.5" customHeight="1">
      <c r="A837" s="274"/>
      <c r="C837" s="281"/>
      <c r="F837" s="281"/>
      <c r="G837" s="274"/>
      <c r="H837" s="281"/>
      <c r="I837" s="281"/>
      <c r="J837" s="275"/>
      <c r="K837" s="258" t="str">
        <f t="shared" si="1"/>
        <v/>
      </c>
      <c r="L837" s="258" t="str">
        <f t="shared" si="2"/>
        <v/>
      </c>
      <c r="O837" s="281"/>
    </row>
    <row r="838" ht="22.5" customHeight="1">
      <c r="A838" s="274"/>
      <c r="C838" s="281"/>
      <c r="F838" s="281"/>
      <c r="G838" s="274"/>
      <c r="H838" s="281"/>
      <c r="I838" s="281"/>
      <c r="J838" s="275"/>
      <c r="K838" s="258" t="str">
        <f t="shared" si="1"/>
        <v/>
      </c>
      <c r="L838" s="258" t="str">
        <f t="shared" si="2"/>
        <v/>
      </c>
      <c r="O838" s="281"/>
    </row>
    <row r="839" ht="22.5" customHeight="1">
      <c r="A839" s="274"/>
      <c r="C839" s="281"/>
      <c r="F839" s="281"/>
      <c r="G839" s="274"/>
      <c r="H839" s="281"/>
      <c r="I839" s="281"/>
      <c r="J839" s="275"/>
      <c r="K839" s="258" t="str">
        <f t="shared" si="1"/>
        <v/>
      </c>
      <c r="L839" s="258" t="str">
        <f t="shared" si="2"/>
        <v/>
      </c>
      <c r="O839" s="281"/>
    </row>
    <row r="840" ht="22.5" customHeight="1">
      <c r="A840" s="274"/>
      <c r="C840" s="281"/>
      <c r="F840" s="281"/>
      <c r="G840" s="274"/>
      <c r="H840" s="281"/>
      <c r="I840" s="281"/>
      <c r="J840" s="275"/>
      <c r="K840" s="258" t="str">
        <f t="shared" si="1"/>
        <v/>
      </c>
      <c r="L840" s="258" t="str">
        <f t="shared" si="2"/>
        <v/>
      </c>
      <c r="O840" s="281"/>
    </row>
    <row r="841" ht="22.5" customHeight="1">
      <c r="A841" s="274"/>
      <c r="C841" s="281"/>
      <c r="F841" s="281"/>
      <c r="G841" s="274"/>
      <c r="H841" s="281"/>
      <c r="I841" s="281"/>
      <c r="J841" s="275"/>
      <c r="K841" s="258" t="str">
        <f t="shared" si="1"/>
        <v/>
      </c>
      <c r="L841" s="258" t="str">
        <f t="shared" si="2"/>
        <v/>
      </c>
      <c r="O841" s="281"/>
    </row>
    <row r="842" ht="22.5" customHeight="1">
      <c r="A842" s="274"/>
      <c r="C842" s="281"/>
      <c r="F842" s="281"/>
      <c r="G842" s="274"/>
      <c r="H842" s="281"/>
      <c r="I842" s="281"/>
      <c r="J842" s="275"/>
      <c r="K842" s="258" t="str">
        <f t="shared" si="1"/>
        <v/>
      </c>
      <c r="L842" s="258" t="str">
        <f t="shared" si="2"/>
        <v/>
      </c>
      <c r="O842" s="281"/>
    </row>
    <row r="843" ht="22.5" customHeight="1">
      <c r="A843" s="274"/>
      <c r="C843" s="281"/>
      <c r="F843" s="281"/>
      <c r="G843" s="274"/>
      <c r="H843" s="281"/>
      <c r="I843" s="281"/>
      <c r="J843" s="275"/>
      <c r="K843" s="258" t="str">
        <f t="shared" si="1"/>
        <v/>
      </c>
      <c r="L843" s="258" t="str">
        <f t="shared" si="2"/>
        <v/>
      </c>
      <c r="O843" s="281"/>
    </row>
    <row r="844" ht="22.5" customHeight="1">
      <c r="A844" s="274"/>
      <c r="C844" s="281"/>
      <c r="F844" s="281"/>
      <c r="G844" s="274"/>
      <c r="H844" s="281"/>
      <c r="I844" s="281"/>
      <c r="J844" s="275"/>
      <c r="K844" s="258" t="str">
        <f t="shared" si="1"/>
        <v/>
      </c>
      <c r="L844" s="258" t="str">
        <f t="shared" si="2"/>
        <v/>
      </c>
      <c r="O844" s="281"/>
    </row>
    <row r="845" ht="22.5" customHeight="1">
      <c r="A845" s="274"/>
      <c r="C845" s="281"/>
      <c r="F845" s="281"/>
      <c r="G845" s="274"/>
      <c r="H845" s="281"/>
      <c r="I845" s="281"/>
      <c r="J845" s="275"/>
      <c r="K845" s="258" t="str">
        <f t="shared" si="1"/>
        <v/>
      </c>
      <c r="L845" s="258" t="str">
        <f t="shared" si="2"/>
        <v/>
      </c>
      <c r="O845" s="281"/>
    </row>
    <row r="846" ht="22.5" customHeight="1">
      <c r="A846" s="274"/>
      <c r="C846" s="281"/>
      <c r="F846" s="281"/>
      <c r="G846" s="274"/>
      <c r="H846" s="281"/>
      <c r="I846" s="281"/>
      <c r="J846" s="275"/>
      <c r="K846" s="258" t="str">
        <f t="shared" si="1"/>
        <v/>
      </c>
      <c r="L846" s="258" t="str">
        <f t="shared" si="2"/>
        <v/>
      </c>
      <c r="O846" s="281"/>
    </row>
    <row r="847" ht="22.5" customHeight="1">
      <c r="A847" s="274"/>
      <c r="C847" s="281"/>
      <c r="F847" s="281"/>
      <c r="G847" s="274"/>
      <c r="H847" s="281"/>
      <c r="I847" s="281"/>
      <c r="J847" s="275"/>
      <c r="K847" s="258" t="str">
        <f t="shared" si="1"/>
        <v/>
      </c>
      <c r="L847" s="258" t="str">
        <f t="shared" si="2"/>
        <v/>
      </c>
      <c r="O847" s="281"/>
    </row>
    <row r="848" ht="22.5" customHeight="1">
      <c r="A848" s="274"/>
      <c r="C848" s="281"/>
      <c r="F848" s="281"/>
      <c r="G848" s="274"/>
      <c r="H848" s="281"/>
      <c r="I848" s="281"/>
      <c r="J848" s="275"/>
      <c r="K848" s="258" t="str">
        <f t="shared" si="1"/>
        <v/>
      </c>
      <c r="L848" s="258" t="str">
        <f t="shared" si="2"/>
        <v/>
      </c>
      <c r="O848" s="281"/>
    </row>
    <row r="849" ht="22.5" customHeight="1">
      <c r="A849" s="274"/>
      <c r="C849" s="281"/>
      <c r="F849" s="281"/>
      <c r="G849" s="274"/>
      <c r="H849" s="281"/>
      <c r="I849" s="281"/>
      <c r="J849" s="275"/>
      <c r="K849" s="258" t="str">
        <f t="shared" si="1"/>
        <v/>
      </c>
      <c r="L849" s="258" t="str">
        <f t="shared" si="2"/>
        <v/>
      </c>
      <c r="O849" s="281"/>
    </row>
    <row r="850" ht="22.5" customHeight="1">
      <c r="A850" s="274"/>
      <c r="C850" s="281"/>
      <c r="F850" s="281"/>
      <c r="G850" s="274"/>
      <c r="H850" s="281"/>
      <c r="I850" s="281"/>
      <c r="J850" s="275"/>
      <c r="K850" s="258" t="str">
        <f t="shared" si="1"/>
        <v/>
      </c>
      <c r="L850" s="258" t="str">
        <f t="shared" si="2"/>
        <v/>
      </c>
      <c r="O850" s="281"/>
    </row>
    <row r="851" ht="22.5" customHeight="1">
      <c r="A851" s="274"/>
      <c r="C851" s="281"/>
      <c r="F851" s="281"/>
      <c r="G851" s="274"/>
      <c r="H851" s="281"/>
      <c r="I851" s="281"/>
      <c r="J851" s="275"/>
      <c r="K851" s="258" t="str">
        <f t="shared" si="1"/>
        <v/>
      </c>
      <c r="L851" s="258" t="str">
        <f t="shared" si="2"/>
        <v/>
      </c>
      <c r="O851" s="281"/>
    </row>
    <row r="852" ht="22.5" customHeight="1">
      <c r="A852" s="274"/>
      <c r="C852" s="281"/>
      <c r="F852" s="281"/>
      <c r="G852" s="274"/>
      <c r="H852" s="281"/>
      <c r="I852" s="281"/>
      <c r="J852" s="275"/>
      <c r="K852" s="258" t="str">
        <f t="shared" si="1"/>
        <v/>
      </c>
      <c r="L852" s="258" t="str">
        <f t="shared" si="2"/>
        <v/>
      </c>
      <c r="O852" s="281"/>
    </row>
    <row r="853" ht="22.5" customHeight="1">
      <c r="A853" s="274"/>
      <c r="C853" s="281"/>
      <c r="F853" s="281"/>
      <c r="G853" s="274"/>
      <c r="H853" s="281"/>
      <c r="I853" s="281"/>
      <c r="J853" s="275"/>
      <c r="K853" s="258" t="str">
        <f t="shared" si="1"/>
        <v/>
      </c>
      <c r="L853" s="258" t="str">
        <f t="shared" si="2"/>
        <v/>
      </c>
      <c r="O853" s="281"/>
    </row>
    <row r="854" ht="22.5" customHeight="1">
      <c r="A854" s="274"/>
      <c r="C854" s="281"/>
      <c r="F854" s="281"/>
      <c r="G854" s="274"/>
      <c r="H854" s="281"/>
      <c r="I854" s="281"/>
      <c r="J854" s="275"/>
      <c r="K854" s="258" t="str">
        <f t="shared" si="1"/>
        <v/>
      </c>
      <c r="L854" s="258" t="str">
        <f t="shared" si="2"/>
        <v/>
      </c>
      <c r="O854" s="281"/>
    </row>
    <row r="855" ht="22.5" customHeight="1">
      <c r="A855" s="274"/>
      <c r="C855" s="281"/>
      <c r="F855" s="281"/>
      <c r="G855" s="274"/>
      <c r="H855" s="281"/>
      <c r="I855" s="281"/>
      <c r="J855" s="275"/>
      <c r="K855" s="258" t="str">
        <f t="shared" si="1"/>
        <v/>
      </c>
      <c r="L855" s="258" t="str">
        <f t="shared" si="2"/>
        <v/>
      </c>
      <c r="O855" s="281"/>
    </row>
    <row r="856" ht="22.5" customHeight="1">
      <c r="A856" s="274"/>
      <c r="C856" s="281"/>
      <c r="F856" s="281"/>
      <c r="G856" s="274"/>
      <c r="H856" s="281"/>
      <c r="I856" s="281"/>
      <c r="J856" s="275"/>
      <c r="K856" s="258" t="str">
        <f t="shared" si="1"/>
        <v/>
      </c>
      <c r="L856" s="258" t="str">
        <f t="shared" si="2"/>
        <v/>
      </c>
      <c r="O856" s="281"/>
    </row>
    <row r="857" ht="22.5" customHeight="1">
      <c r="A857" s="274"/>
      <c r="C857" s="281"/>
      <c r="F857" s="281"/>
      <c r="G857" s="274"/>
      <c r="H857" s="281"/>
      <c r="I857" s="281"/>
      <c r="J857" s="275"/>
      <c r="K857" s="258" t="str">
        <f t="shared" si="1"/>
        <v/>
      </c>
      <c r="L857" s="258" t="str">
        <f t="shared" si="2"/>
        <v/>
      </c>
      <c r="O857" s="281"/>
    </row>
    <row r="858" ht="22.5" customHeight="1">
      <c r="A858" s="274"/>
      <c r="C858" s="281"/>
      <c r="F858" s="281"/>
      <c r="G858" s="274"/>
      <c r="H858" s="281"/>
      <c r="I858" s="281"/>
      <c r="J858" s="275"/>
      <c r="K858" s="258" t="str">
        <f t="shared" si="1"/>
        <v/>
      </c>
      <c r="L858" s="258" t="str">
        <f t="shared" si="2"/>
        <v/>
      </c>
      <c r="O858" s="281"/>
    </row>
    <row r="859" ht="22.5" customHeight="1">
      <c r="A859" s="274"/>
      <c r="C859" s="281"/>
      <c r="F859" s="281"/>
      <c r="G859" s="274"/>
      <c r="H859" s="281"/>
      <c r="I859" s="281"/>
      <c r="J859" s="275"/>
      <c r="K859" s="258" t="str">
        <f t="shared" si="1"/>
        <v/>
      </c>
      <c r="L859" s="258" t="str">
        <f t="shared" si="2"/>
        <v/>
      </c>
      <c r="O859" s="281"/>
    </row>
    <row r="860" ht="22.5" customHeight="1">
      <c r="A860" s="274"/>
      <c r="C860" s="281"/>
      <c r="F860" s="281"/>
      <c r="G860" s="274"/>
      <c r="H860" s="281"/>
      <c r="I860" s="281"/>
      <c r="J860" s="275"/>
      <c r="K860" s="258" t="str">
        <f t="shared" si="1"/>
        <v/>
      </c>
      <c r="L860" s="258" t="str">
        <f t="shared" si="2"/>
        <v/>
      </c>
      <c r="O860" s="281"/>
    </row>
    <row r="861" ht="22.5" customHeight="1">
      <c r="A861" s="274"/>
      <c r="C861" s="281"/>
      <c r="F861" s="281"/>
      <c r="G861" s="274"/>
      <c r="H861" s="281"/>
      <c r="I861" s="281"/>
      <c r="J861" s="275"/>
      <c r="K861" s="258" t="str">
        <f t="shared" si="1"/>
        <v/>
      </c>
      <c r="L861" s="258" t="str">
        <f t="shared" si="2"/>
        <v/>
      </c>
      <c r="O861" s="281"/>
    </row>
    <row r="862" ht="22.5" customHeight="1">
      <c r="A862" s="274"/>
      <c r="C862" s="281"/>
      <c r="F862" s="281"/>
      <c r="G862" s="274"/>
      <c r="H862" s="281"/>
      <c r="I862" s="281"/>
      <c r="J862" s="275"/>
      <c r="K862" s="258" t="str">
        <f t="shared" si="1"/>
        <v/>
      </c>
      <c r="L862" s="258" t="str">
        <f t="shared" si="2"/>
        <v/>
      </c>
      <c r="O862" s="281"/>
    </row>
    <row r="863" ht="22.5" customHeight="1">
      <c r="A863" s="274"/>
      <c r="C863" s="281"/>
      <c r="F863" s="281"/>
      <c r="G863" s="274"/>
      <c r="H863" s="281"/>
      <c r="I863" s="281"/>
      <c r="J863" s="275"/>
      <c r="K863" s="258" t="str">
        <f t="shared" si="1"/>
        <v/>
      </c>
      <c r="L863" s="258" t="str">
        <f t="shared" si="2"/>
        <v/>
      </c>
      <c r="O863" s="281"/>
    </row>
    <row r="864" ht="22.5" customHeight="1">
      <c r="A864" s="274"/>
      <c r="C864" s="281"/>
      <c r="F864" s="281"/>
      <c r="G864" s="274"/>
      <c r="H864" s="281"/>
      <c r="I864" s="281"/>
      <c r="J864" s="275"/>
      <c r="K864" s="258" t="str">
        <f t="shared" si="1"/>
        <v/>
      </c>
      <c r="L864" s="258" t="str">
        <f t="shared" si="2"/>
        <v/>
      </c>
      <c r="O864" s="281"/>
    </row>
    <row r="865" ht="22.5" customHeight="1">
      <c r="A865" s="274"/>
      <c r="C865" s="281"/>
      <c r="F865" s="281"/>
      <c r="G865" s="274"/>
      <c r="H865" s="281"/>
      <c r="I865" s="281"/>
      <c r="J865" s="275"/>
      <c r="K865" s="258" t="str">
        <f t="shared" si="1"/>
        <v/>
      </c>
      <c r="L865" s="258" t="str">
        <f t="shared" si="2"/>
        <v/>
      </c>
      <c r="O865" s="281"/>
    </row>
    <row r="866" ht="22.5" customHeight="1">
      <c r="A866" s="274"/>
      <c r="C866" s="281"/>
      <c r="F866" s="281"/>
      <c r="G866" s="274"/>
      <c r="H866" s="281"/>
      <c r="I866" s="281"/>
      <c r="J866" s="275"/>
      <c r="K866" s="258" t="str">
        <f t="shared" si="1"/>
        <v/>
      </c>
      <c r="L866" s="258" t="str">
        <f t="shared" si="2"/>
        <v/>
      </c>
      <c r="O866" s="281"/>
    </row>
    <row r="867" ht="22.5" customHeight="1">
      <c r="A867" s="274"/>
      <c r="C867" s="281"/>
      <c r="F867" s="281"/>
      <c r="G867" s="274"/>
      <c r="H867" s="281"/>
      <c r="I867" s="281"/>
      <c r="J867" s="275"/>
      <c r="K867" s="258" t="str">
        <f t="shared" si="1"/>
        <v/>
      </c>
      <c r="L867" s="258" t="str">
        <f t="shared" si="2"/>
        <v/>
      </c>
      <c r="O867" s="281"/>
    </row>
    <row r="868" ht="22.5" customHeight="1">
      <c r="A868" s="274"/>
      <c r="C868" s="281"/>
      <c r="F868" s="281"/>
      <c r="G868" s="274"/>
      <c r="H868" s="281"/>
      <c r="I868" s="281"/>
      <c r="J868" s="275"/>
      <c r="K868" s="258" t="str">
        <f t="shared" si="1"/>
        <v/>
      </c>
      <c r="L868" s="258" t="str">
        <f t="shared" si="2"/>
        <v/>
      </c>
      <c r="O868" s="281"/>
    </row>
    <row r="869" ht="22.5" customHeight="1">
      <c r="A869" s="274"/>
      <c r="C869" s="281"/>
      <c r="F869" s="281"/>
      <c r="G869" s="274"/>
      <c r="H869" s="281"/>
      <c r="I869" s="281"/>
      <c r="J869" s="275"/>
      <c r="K869" s="258" t="str">
        <f t="shared" si="1"/>
        <v/>
      </c>
      <c r="L869" s="258" t="str">
        <f t="shared" si="2"/>
        <v/>
      </c>
      <c r="O869" s="281"/>
    </row>
    <row r="870" ht="22.5" customHeight="1">
      <c r="A870" s="274"/>
      <c r="C870" s="281"/>
      <c r="F870" s="281"/>
      <c r="G870" s="274"/>
      <c r="H870" s="281"/>
      <c r="I870" s="281"/>
      <c r="J870" s="275"/>
      <c r="K870" s="258" t="str">
        <f t="shared" si="1"/>
        <v/>
      </c>
      <c r="L870" s="258" t="str">
        <f t="shared" si="2"/>
        <v/>
      </c>
      <c r="O870" s="281"/>
    </row>
    <row r="871" ht="22.5" customHeight="1">
      <c r="A871" s="274"/>
      <c r="C871" s="281"/>
      <c r="F871" s="281"/>
      <c r="G871" s="274"/>
      <c r="H871" s="281"/>
      <c r="I871" s="281"/>
      <c r="J871" s="275"/>
      <c r="K871" s="258" t="str">
        <f t="shared" si="1"/>
        <v/>
      </c>
      <c r="L871" s="258" t="str">
        <f t="shared" si="2"/>
        <v/>
      </c>
      <c r="O871" s="281"/>
    </row>
    <row r="872" ht="22.5" customHeight="1">
      <c r="A872" s="274"/>
      <c r="C872" s="281"/>
      <c r="F872" s="281"/>
      <c r="G872" s="274"/>
      <c r="H872" s="281"/>
      <c r="I872" s="281"/>
      <c r="J872" s="275"/>
      <c r="K872" s="258" t="str">
        <f t="shared" si="1"/>
        <v/>
      </c>
      <c r="L872" s="258" t="str">
        <f t="shared" si="2"/>
        <v/>
      </c>
      <c r="O872" s="281"/>
    </row>
    <row r="873" ht="22.5" customHeight="1">
      <c r="A873" s="274"/>
      <c r="C873" s="281"/>
      <c r="F873" s="281"/>
      <c r="G873" s="274"/>
      <c r="H873" s="281"/>
      <c r="I873" s="281"/>
      <c r="J873" s="275"/>
      <c r="K873" s="258" t="str">
        <f t="shared" si="1"/>
        <v/>
      </c>
      <c r="L873" s="258" t="str">
        <f t="shared" si="2"/>
        <v/>
      </c>
      <c r="O873" s="281"/>
    </row>
    <row r="874" ht="22.5" customHeight="1">
      <c r="A874" s="274"/>
      <c r="C874" s="281"/>
      <c r="F874" s="281"/>
      <c r="G874" s="274"/>
      <c r="H874" s="281"/>
      <c r="I874" s="281"/>
      <c r="J874" s="275"/>
      <c r="K874" s="258" t="str">
        <f t="shared" si="1"/>
        <v/>
      </c>
      <c r="L874" s="258" t="str">
        <f t="shared" si="2"/>
        <v/>
      </c>
      <c r="O874" s="281"/>
    </row>
    <row r="875" ht="22.5" customHeight="1">
      <c r="A875" s="274"/>
      <c r="C875" s="281"/>
      <c r="F875" s="281"/>
      <c r="G875" s="274"/>
      <c r="H875" s="281"/>
      <c r="I875" s="281"/>
      <c r="J875" s="275"/>
      <c r="K875" s="258" t="str">
        <f t="shared" si="1"/>
        <v/>
      </c>
      <c r="L875" s="258" t="str">
        <f t="shared" si="2"/>
        <v/>
      </c>
      <c r="O875" s="281"/>
    </row>
    <row r="876" ht="22.5" customHeight="1">
      <c r="A876" s="274"/>
      <c r="C876" s="281"/>
      <c r="F876" s="281"/>
      <c r="G876" s="274"/>
      <c r="H876" s="281"/>
      <c r="I876" s="281"/>
      <c r="J876" s="275"/>
      <c r="K876" s="258" t="str">
        <f t="shared" si="1"/>
        <v/>
      </c>
      <c r="L876" s="258" t="str">
        <f t="shared" si="2"/>
        <v/>
      </c>
      <c r="O876" s="281"/>
    </row>
    <row r="877" ht="22.5" customHeight="1">
      <c r="A877" s="274"/>
      <c r="C877" s="281"/>
      <c r="F877" s="281"/>
      <c r="G877" s="274"/>
      <c r="H877" s="281"/>
      <c r="I877" s="281"/>
      <c r="J877" s="275"/>
      <c r="K877" s="258" t="str">
        <f t="shared" si="1"/>
        <v/>
      </c>
      <c r="L877" s="258" t="str">
        <f t="shared" si="2"/>
        <v/>
      </c>
      <c r="O877" s="281"/>
    </row>
    <row r="878" ht="22.5" customHeight="1">
      <c r="A878" s="274"/>
      <c r="C878" s="281"/>
      <c r="F878" s="281"/>
      <c r="G878" s="274"/>
      <c r="H878" s="281"/>
      <c r="I878" s="281"/>
      <c r="J878" s="275"/>
      <c r="K878" s="258" t="str">
        <f t="shared" si="1"/>
        <v/>
      </c>
      <c r="L878" s="258" t="str">
        <f t="shared" si="2"/>
        <v/>
      </c>
      <c r="O878" s="281"/>
    </row>
    <row r="879" ht="22.5" customHeight="1">
      <c r="A879" s="274"/>
      <c r="C879" s="281"/>
      <c r="F879" s="281"/>
      <c r="G879" s="274"/>
      <c r="H879" s="281"/>
      <c r="I879" s="281"/>
      <c r="J879" s="275"/>
      <c r="K879" s="258" t="str">
        <f t="shared" si="1"/>
        <v/>
      </c>
      <c r="L879" s="258" t="str">
        <f t="shared" si="2"/>
        <v/>
      </c>
      <c r="O879" s="281"/>
    </row>
    <row r="880" ht="22.5" customHeight="1">
      <c r="A880" s="274"/>
      <c r="C880" s="281"/>
      <c r="F880" s="281"/>
      <c r="G880" s="274"/>
      <c r="H880" s="281"/>
      <c r="I880" s="281"/>
      <c r="J880" s="275"/>
      <c r="K880" s="258" t="str">
        <f t="shared" si="1"/>
        <v/>
      </c>
      <c r="L880" s="258" t="str">
        <f t="shared" si="2"/>
        <v/>
      </c>
      <c r="O880" s="281"/>
    </row>
    <row r="881" ht="22.5" customHeight="1">
      <c r="A881" s="274"/>
      <c r="C881" s="281"/>
      <c r="F881" s="281"/>
      <c r="G881" s="274"/>
      <c r="H881" s="281"/>
      <c r="I881" s="281"/>
      <c r="J881" s="275"/>
      <c r="K881" s="258" t="str">
        <f t="shared" si="1"/>
        <v/>
      </c>
      <c r="L881" s="258" t="str">
        <f t="shared" si="2"/>
        <v/>
      </c>
      <c r="O881" s="281"/>
    </row>
    <row r="882" ht="22.5" customHeight="1">
      <c r="A882" s="274"/>
      <c r="C882" s="281"/>
      <c r="F882" s="281"/>
      <c r="G882" s="274"/>
      <c r="H882" s="281"/>
      <c r="I882" s="281"/>
      <c r="J882" s="275"/>
      <c r="K882" s="258" t="str">
        <f t="shared" si="1"/>
        <v/>
      </c>
      <c r="L882" s="258" t="str">
        <f t="shared" si="2"/>
        <v/>
      </c>
      <c r="O882" s="281"/>
    </row>
    <row r="883" ht="22.5" customHeight="1">
      <c r="A883" s="274"/>
      <c r="C883" s="281"/>
      <c r="F883" s="281"/>
      <c r="G883" s="274"/>
      <c r="H883" s="281"/>
      <c r="I883" s="281"/>
      <c r="J883" s="275"/>
      <c r="K883" s="258" t="str">
        <f t="shared" si="1"/>
        <v/>
      </c>
      <c r="L883" s="258" t="str">
        <f t="shared" si="2"/>
        <v/>
      </c>
      <c r="O883" s="281"/>
    </row>
    <row r="884" ht="22.5" customHeight="1">
      <c r="A884" s="274"/>
      <c r="C884" s="281"/>
      <c r="F884" s="281"/>
      <c r="G884" s="274"/>
      <c r="H884" s="281"/>
      <c r="I884" s="281"/>
      <c r="J884" s="275"/>
      <c r="K884" s="258" t="str">
        <f t="shared" si="1"/>
        <v/>
      </c>
      <c r="L884" s="258" t="str">
        <f t="shared" si="2"/>
        <v/>
      </c>
      <c r="O884" s="281"/>
    </row>
    <row r="885" ht="22.5" customHeight="1">
      <c r="A885" s="274"/>
      <c r="C885" s="281"/>
      <c r="F885" s="281"/>
      <c r="G885" s="274"/>
      <c r="H885" s="281"/>
      <c r="I885" s="281"/>
      <c r="J885" s="275"/>
      <c r="K885" s="258" t="str">
        <f t="shared" si="1"/>
        <v/>
      </c>
      <c r="L885" s="258" t="str">
        <f t="shared" si="2"/>
        <v/>
      </c>
      <c r="O885" s="281"/>
    </row>
    <row r="886" ht="22.5" customHeight="1">
      <c r="A886" s="274"/>
      <c r="C886" s="281"/>
      <c r="F886" s="281"/>
      <c r="G886" s="274"/>
      <c r="H886" s="281"/>
      <c r="I886" s="281"/>
      <c r="J886" s="275"/>
      <c r="K886" s="258" t="str">
        <f t="shared" si="1"/>
        <v/>
      </c>
      <c r="L886" s="258" t="str">
        <f t="shared" si="2"/>
        <v/>
      </c>
      <c r="O886" s="281"/>
    </row>
    <row r="887" ht="22.5" customHeight="1">
      <c r="A887" s="274"/>
      <c r="C887" s="281"/>
      <c r="F887" s="281"/>
      <c r="G887" s="274"/>
      <c r="H887" s="281"/>
      <c r="I887" s="281"/>
      <c r="J887" s="275"/>
      <c r="K887" s="258" t="str">
        <f t="shared" si="1"/>
        <v/>
      </c>
      <c r="L887" s="258" t="str">
        <f t="shared" si="2"/>
        <v/>
      </c>
      <c r="O887" s="281"/>
    </row>
    <row r="888" ht="22.5" customHeight="1">
      <c r="A888" s="274"/>
      <c r="C888" s="281"/>
      <c r="F888" s="281"/>
      <c r="G888" s="274"/>
      <c r="H888" s="281"/>
      <c r="I888" s="281"/>
      <c r="J888" s="275"/>
      <c r="K888" s="258" t="str">
        <f t="shared" si="1"/>
        <v/>
      </c>
      <c r="L888" s="258" t="str">
        <f t="shared" si="2"/>
        <v/>
      </c>
      <c r="O888" s="281"/>
    </row>
    <row r="889" ht="22.5" customHeight="1">
      <c r="A889" s="274"/>
      <c r="C889" s="281"/>
      <c r="F889" s="281"/>
      <c r="G889" s="274"/>
      <c r="H889" s="281"/>
      <c r="I889" s="281"/>
      <c r="J889" s="275"/>
      <c r="K889" s="258" t="str">
        <f t="shared" si="1"/>
        <v/>
      </c>
      <c r="L889" s="258" t="str">
        <f t="shared" si="2"/>
        <v/>
      </c>
      <c r="O889" s="281"/>
    </row>
    <row r="890" ht="22.5" customHeight="1">
      <c r="A890" s="274"/>
      <c r="C890" s="281"/>
      <c r="F890" s="281"/>
      <c r="G890" s="274"/>
      <c r="H890" s="281"/>
      <c r="I890" s="281"/>
      <c r="J890" s="275"/>
      <c r="K890" s="258" t="str">
        <f t="shared" si="1"/>
        <v/>
      </c>
      <c r="L890" s="258" t="str">
        <f t="shared" si="2"/>
        <v/>
      </c>
      <c r="O890" s="281"/>
    </row>
    <row r="891" ht="22.5" customHeight="1">
      <c r="A891" s="274"/>
      <c r="C891" s="281"/>
      <c r="F891" s="281"/>
      <c r="G891" s="274"/>
      <c r="H891" s="281"/>
      <c r="I891" s="281"/>
      <c r="J891" s="275"/>
      <c r="K891" s="258" t="str">
        <f t="shared" si="1"/>
        <v/>
      </c>
      <c r="L891" s="258" t="str">
        <f t="shared" si="2"/>
        <v/>
      </c>
      <c r="O891" s="281"/>
    </row>
    <row r="892" ht="22.5" customHeight="1">
      <c r="A892" s="274"/>
      <c r="C892" s="281"/>
      <c r="F892" s="281"/>
      <c r="G892" s="274"/>
      <c r="H892" s="281"/>
      <c r="I892" s="281"/>
      <c r="J892" s="275"/>
      <c r="K892" s="258" t="str">
        <f t="shared" si="1"/>
        <v/>
      </c>
      <c r="L892" s="258" t="str">
        <f t="shared" si="2"/>
        <v/>
      </c>
      <c r="O892" s="281"/>
    </row>
    <row r="893" ht="22.5" customHeight="1">
      <c r="A893" s="274"/>
      <c r="C893" s="281"/>
      <c r="F893" s="281"/>
      <c r="G893" s="274"/>
      <c r="H893" s="281"/>
      <c r="I893" s="281"/>
      <c r="J893" s="275"/>
      <c r="K893" s="258" t="str">
        <f t="shared" si="1"/>
        <v/>
      </c>
      <c r="L893" s="258" t="str">
        <f t="shared" si="2"/>
        <v/>
      </c>
      <c r="O893" s="281"/>
    </row>
    <row r="894" ht="22.5" customHeight="1">
      <c r="A894" s="274"/>
      <c r="C894" s="281"/>
      <c r="F894" s="281"/>
      <c r="G894" s="274"/>
      <c r="H894" s="281"/>
      <c r="I894" s="281"/>
      <c r="J894" s="275"/>
      <c r="K894" s="258" t="str">
        <f t="shared" si="1"/>
        <v/>
      </c>
      <c r="L894" s="258" t="str">
        <f t="shared" si="2"/>
        <v/>
      </c>
      <c r="O894" s="281"/>
    </row>
    <row r="895" ht="22.5" customHeight="1">
      <c r="A895" s="274"/>
      <c r="C895" s="281"/>
      <c r="F895" s="281"/>
      <c r="G895" s="274"/>
      <c r="H895" s="281"/>
      <c r="I895" s="281"/>
      <c r="J895" s="275"/>
      <c r="K895" s="258" t="str">
        <f t="shared" si="1"/>
        <v/>
      </c>
      <c r="L895" s="258" t="str">
        <f t="shared" si="2"/>
        <v/>
      </c>
      <c r="O895" s="281"/>
    </row>
    <row r="896" ht="22.5" customHeight="1">
      <c r="A896" s="274"/>
      <c r="C896" s="281"/>
      <c r="F896" s="281"/>
      <c r="G896" s="274"/>
      <c r="H896" s="281"/>
      <c r="I896" s="281"/>
      <c r="J896" s="275"/>
      <c r="K896" s="258" t="str">
        <f t="shared" si="1"/>
        <v/>
      </c>
      <c r="L896" s="258" t="str">
        <f t="shared" si="2"/>
        <v/>
      </c>
      <c r="O896" s="281"/>
    </row>
    <row r="897" ht="22.5" customHeight="1">
      <c r="A897" s="274"/>
      <c r="C897" s="281"/>
      <c r="F897" s="281"/>
      <c r="G897" s="274"/>
      <c r="H897" s="281"/>
      <c r="I897" s="281"/>
      <c r="J897" s="275"/>
      <c r="K897" s="258" t="str">
        <f t="shared" si="1"/>
        <v/>
      </c>
      <c r="L897" s="258" t="str">
        <f t="shared" si="2"/>
        <v/>
      </c>
      <c r="O897" s="281"/>
    </row>
    <row r="898" ht="22.5" customHeight="1">
      <c r="A898" s="274"/>
      <c r="C898" s="281"/>
      <c r="F898" s="281"/>
      <c r="G898" s="274"/>
      <c r="H898" s="281"/>
      <c r="I898" s="281"/>
      <c r="J898" s="275"/>
      <c r="K898" s="258" t="str">
        <f t="shared" si="1"/>
        <v/>
      </c>
      <c r="L898" s="258" t="str">
        <f t="shared" si="2"/>
        <v/>
      </c>
      <c r="O898" s="281"/>
    </row>
    <row r="899" ht="22.5" customHeight="1">
      <c r="A899" s="274"/>
      <c r="C899" s="281"/>
      <c r="F899" s="281"/>
      <c r="G899" s="274"/>
      <c r="H899" s="281"/>
      <c r="I899" s="281"/>
      <c r="J899" s="275"/>
      <c r="K899" s="258" t="str">
        <f t="shared" si="1"/>
        <v/>
      </c>
      <c r="L899" s="258" t="str">
        <f t="shared" si="2"/>
        <v/>
      </c>
      <c r="O899" s="281"/>
    </row>
    <row r="900" ht="22.5" customHeight="1">
      <c r="A900" s="274"/>
      <c r="C900" s="281"/>
      <c r="F900" s="281"/>
      <c r="G900" s="274"/>
      <c r="H900" s="281"/>
      <c r="I900" s="281"/>
      <c r="J900" s="275"/>
      <c r="K900" s="258" t="str">
        <f t="shared" si="1"/>
        <v/>
      </c>
      <c r="L900" s="258" t="str">
        <f t="shared" si="2"/>
        <v/>
      </c>
      <c r="O900" s="281"/>
    </row>
    <row r="901" ht="22.5" customHeight="1">
      <c r="A901" s="274"/>
      <c r="C901" s="281"/>
      <c r="F901" s="281"/>
      <c r="G901" s="274"/>
      <c r="H901" s="281"/>
      <c r="I901" s="281"/>
      <c r="J901" s="275"/>
      <c r="K901" s="258" t="str">
        <f t="shared" si="1"/>
        <v/>
      </c>
      <c r="L901" s="258" t="str">
        <f t="shared" si="2"/>
        <v/>
      </c>
      <c r="O901" s="281"/>
    </row>
    <row r="902" ht="22.5" customHeight="1">
      <c r="A902" s="274"/>
      <c r="C902" s="281"/>
      <c r="F902" s="281"/>
      <c r="G902" s="274"/>
      <c r="H902" s="281"/>
      <c r="I902" s="281"/>
      <c r="J902" s="275"/>
      <c r="K902" s="258" t="str">
        <f t="shared" si="1"/>
        <v/>
      </c>
      <c r="L902" s="258" t="str">
        <f t="shared" si="2"/>
        <v/>
      </c>
      <c r="O902" s="281"/>
    </row>
    <row r="903" ht="22.5" customHeight="1">
      <c r="A903" s="274"/>
      <c r="C903" s="281"/>
      <c r="F903" s="281"/>
      <c r="G903" s="274"/>
      <c r="H903" s="281"/>
      <c r="I903" s="281"/>
      <c r="J903" s="275"/>
      <c r="K903" s="258" t="str">
        <f t="shared" si="1"/>
        <v/>
      </c>
      <c r="L903" s="258" t="str">
        <f t="shared" si="2"/>
        <v/>
      </c>
      <c r="O903" s="281"/>
    </row>
    <row r="904" ht="22.5" customHeight="1">
      <c r="A904" s="274"/>
      <c r="C904" s="281"/>
      <c r="F904" s="281"/>
      <c r="G904" s="274"/>
      <c r="H904" s="281"/>
      <c r="I904" s="281"/>
      <c r="J904" s="275"/>
      <c r="K904" s="258" t="str">
        <f t="shared" si="1"/>
        <v/>
      </c>
      <c r="L904" s="258" t="str">
        <f t="shared" si="2"/>
        <v/>
      </c>
      <c r="O904" s="281"/>
    </row>
    <row r="905" ht="22.5" customHeight="1">
      <c r="A905" s="274"/>
      <c r="C905" s="281"/>
      <c r="F905" s="281"/>
      <c r="G905" s="274"/>
      <c r="H905" s="281"/>
      <c r="I905" s="281"/>
      <c r="J905" s="275"/>
      <c r="K905" s="258" t="str">
        <f t="shared" si="1"/>
        <v/>
      </c>
      <c r="L905" s="258" t="str">
        <f t="shared" si="2"/>
        <v/>
      </c>
      <c r="O905" s="281"/>
    </row>
    <row r="906" ht="22.5" customHeight="1">
      <c r="A906" s="274"/>
      <c r="C906" s="281"/>
      <c r="F906" s="281"/>
      <c r="G906" s="274"/>
      <c r="H906" s="281"/>
      <c r="I906" s="281"/>
      <c r="J906" s="275"/>
      <c r="K906" s="258" t="str">
        <f t="shared" si="1"/>
        <v/>
      </c>
      <c r="L906" s="258" t="str">
        <f t="shared" si="2"/>
        <v/>
      </c>
      <c r="O906" s="281"/>
    </row>
    <row r="907" ht="22.5" customHeight="1">
      <c r="A907" s="274"/>
      <c r="C907" s="281"/>
      <c r="F907" s="281"/>
      <c r="G907" s="274"/>
      <c r="H907" s="281"/>
      <c r="I907" s="281"/>
      <c r="J907" s="275"/>
      <c r="K907" s="258" t="str">
        <f t="shared" si="1"/>
        <v/>
      </c>
      <c r="L907" s="258" t="str">
        <f t="shared" si="2"/>
        <v/>
      </c>
      <c r="O907" s="281"/>
    </row>
    <row r="908" ht="22.5" customHeight="1">
      <c r="A908" s="274"/>
      <c r="C908" s="281"/>
      <c r="F908" s="281"/>
      <c r="G908" s="274"/>
      <c r="H908" s="281"/>
      <c r="I908" s="281"/>
      <c r="J908" s="275"/>
      <c r="K908" s="258" t="str">
        <f t="shared" si="1"/>
        <v/>
      </c>
      <c r="L908" s="258" t="str">
        <f t="shared" si="2"/>
        <v/>
      </c>
      <c r="O908" s="281"/>
    </row>
    <row r="909" ht="22.5" customHeight="1">
      <c r="A909" s="274"/>
      <c r="C909" s="281"/>
      <c r="F909" s="281"/>
      <c r="G909" s="274"/>
      <c r="H909" s="281"/>
      <c r="I909" s="281"/>
      <c r="J909" s="275"/>
      <c r="K909" s="258" t="str">
        <f t="shared" si="1"/>
        <v/>
      </c>
      <c r="L909" s="258" t="str">
        <f t="shared" si="2"/>
        <v/>
      </c>
      <c r="O909" s="281"/>
    </row>
    <row r="910" ht="22.5" customHeight="1">
      <c r="A910" s="274"/>
      <c r="C910" s="281"/>
      <c r="F910" s="281"/>
      <c r="G910" s="274"/>
      <c r="H910" s="281"/>
      <c r="I910" s="281"/>
      <c r="J910" s="275"/>
      <c r="K910" s="258" t="str">
        <f t="shared" si="1"/>
        <v/>
      </c>
      <c r="L910" s="258" t="str">
        <f t="shared" si="2"/>
        <v/>
      </c>
      <c r="O910" s="281"/>
    </row>
    <row r="911" ht="22.5" customHeight="1">
      <c r="A911" s="274"/>
      <c r="C911" s="281"/>
      <c r="F911" s="281"/>
      <c r="G911" s="274"/>
      <c r="H911" s="281"/>
      <c r="I911" s="281"/>
      <c r="J911" s="275"/>
      <c r="K911" s="258" t="str">
        <f t="shared" si="1"/>
        <v/>
      </c>
      <c r="L911" s="258" t="str">
        <f t="shared" si="2"/>
        <v/>
      </c>
      <c r="O911" s="281"/>
    </row>
    <row r="912" ht="22.5" customHeight="1">
      <c r="A912" s="274"/>
      <c r="C912" s="281"/>
      <c r="F912" s="281"/>
      <c r="G912" s="274"/>
      <c r="H912" s="281"/>
      <c r="I912" s="281"/>
      <c r="J912" s="275"/>
      <c r="K912" s="258" t="str">
        <f t="shared" si="1"/>
        <v/>
      </c>
      <c r="L912" s="258" t="str">
        <f t="shared" si="2"/>
        <v/>
      </c>
      <c r="O912" s="281"/>
    </row>
    <row r="913" ht="22.5" customHeight="1">
      <c r="A913" s="274"/>
      <c r="C913" s="281"/>
      <c r="F913" s="281"/>
      <c r="G913" s="274"/>
      <c r="H913" s="281"/>
      <c r="I913" s="281"/>
      <c r="J913" s="275"/>
      <c r="K913" s="258" t="str">
        <f t="shared" si="1"/>
        <v/>
      </c>
      <c r="L913" s="258" t="str">
        <f t="shared" si="2"/>
        <v/>
      </c>
      <c r="O913" s="281"/>
    </row>
    <row r="914" ht="22.5" customHeight="1">
      <c r="A914" s="274"/>
      <c r="C914" s="281"/>
      <c r="F914" s="281"/>
      <c r="G914" s="274"/>
      <c r="H914" s="281"/>
      <c r="I914" s="281"/>
      <c r="J914" s="275"/>
      <c r="K914" s="258" t="str">
        <f t="shared" si="1"/>
        <v/>
      </c>
      <c r="L914" s="258" t="str">
        <f t="shared" si="2"/>
        <v/>
      </c>
      <c r="O914" s="281"/>
    </row>
    <row r="915" ht="22.5" customHeight="1">
      <c r="A915" s="274"/>
      <c r="C915" s="281"/>
      <c r="F915" s="281"/>
      <c r="G915" s="274"/>
      <c r="H915" s="281"/>
      <c r="I915" s="281"/>
      <c r="J915" s="275"/>
      <c r="K915" s="258" t="str">
        <f t="shared" si="1"/>
        <v/>
      </c>
      <c r="L915" s="258" t="str">
        <f t="shared" si="2"/>
        <v/>
      </c>
      <c r="O915" s="281"/>
    </row>
    <row r="916" ht="22.5" customHeight="1">
      <c r="A916" s="274"/>
      <c r="C916" s="281"/>
      <c r="F916" s="281"/>
      <c r="G916" s="274"/>
      <c r="H916" s="281"/>
      <c r="I916" s="281"/>
      <c r="J916" s="275"/>
      <c r="K916" s="258" t="str">
        <f t="shared" si="1"/>
        <v/>
      </c>
      <c r="L916" s="258" t="str">
        <f t="shared" si="2"/>
        <v/>
      </c>
      <c r="O916" s="281"/>
    </row>
    <row r="917" ht="22.5" customHeight="1">
      <c r="A917" s="274"/>
      <c r="C917" s="281"/>
      <c r="F917" s="281"/>
      <c r="G917" s="274"/>
      <c r="H917" s="281"/>
      <c r="I917" s="281"/>
      <c r="J917" s="275"/>
      <c r="K917" s="258" t="str">
        <f t="shared" si="1"/>
        <v/>
      </c>
      <c r="L917" s="258" t="str">
        <f t="shared" si="2"/>
        <v/>
      </c>
      <c r="O917" s="281"/>
    </row>
    <row r="918" ht="22.5" customHeight="1">
      <c r="A918" s="274"/>
      <c r="C918" s="281"/>
      <c r="F918" s="281"/>
      <c r="G918" s="274"/>
      <c r="H918" s="281"/>
      <c r="I918" s="281"/>
      <c r="J918" s="275"/>
      <c r="K918" s="258" t="str">
        <f t="shared" si="1"/>
        <v/>
      </c>
      <c r="L918" s="258" t="str">
        <f t="shared" si="2"/>
        <v/>
      </c>
      <c r="O918" s="281"/>
    </row>
    <row r="919" ht="22.5" customHeight="1">
      <c r="A919" s="274"/>
      <c r="C919" s="281"/>
      <c r="F919" s="281"/>
      <c r="G919" s="274"/>
      <c r="H919" s="281"/>
      <c r="I919" s="281"/>
      <c r="J919" s="275"/>
      <c r="K919" s="258" t="str">
        <f t="shared" si="1"/>
        <v/>
      </c>
      <c r="L919" s="258" t="str">
        <f t="shared" si="2"/>
        <v/>
      </c>
      <c r="O919" s="281"/>
    </row>
    <row r="920" ht="22.5" customHeight="1">
      <c r="A920" s="274"/>
      <c r="C920" s="281"/>
      <c r="F920" s="281"/>
      <c r="G920" s="274"/>
      <c r="H920" s="281"/>
      <c r="I920" s="281"/>
      <c r="J920" s="275"/>
      <c r="K920" s="258" t="str">
        <f t="shared" si="1"/>
        <v/>
      </c>
      <c r="L920" s="258" t="str">
        <f t="shared" si="2"/>
        <v/>
      </c>
      <c r="O920" s="281"/>
    </row>
    <row r="921" ht="22.5" customHeight="1">
      <c r="A921" s="274"/>
      <c r="C921" s="281"/>
      <c r="F921" s="281"/>
      <c r="G921" s="274"/>
      <c r="H921" s="281"/>
      <c r="I921" s="281"/>
      <c r="J921" s="275"/>
      <c r="K921" s="258" t="str">
        <f t="shared" si="1"/>
        <v/>
      </c>
      <c r="L921" s="258" t="str">
        <f t="shared" si="2"/>
        <v/>
      </c>
      <c r="O921" s="281"/>
    </row>
    <row r="922" ht="22.5" customHeight="1">
      <c r="A922" s="274"/>
      <c r="C922" s="281"/>
      <c r="F922" s="281"/>
      <c r="G922" s="274"/>
      <c r="H922" s="281"/>
      <c r="I922" s="281"/>
      <c r="J922" s="275"/>
      <c r="K922" s="258" t="str">
        <f t="shared" si="1"/>
        <v/>
      </c>
      <c r="L922" s="258" t="str">
        <f t="shared" si="2"/>
        <v/>
      </c>
      <c r="O922" s="281"/>
    </row>
    <row r="923" ht="22.5" customHeight="1">
      <c r="A923" s="274"/>
      <c r="C923" s="281"/>
      <c r="F923" s="281"/>
      <c r="G923" s="274"/>
      <c r="H923" s="281"/>
      <c r="I923" s="281"/>
      <c r="J923" s="275"/>
      <c r="K923" s="258" t="str">
        <f t="shared" si="1"/>
        <v/>
      </c>
      <c r="L923" s="258" t="str">
        <f t="shared" si="2"/>
        <v/>
      </c>
      <c r="O923" s="281"/>
    </row>
    <row r="924" ht="22.5" customHeight="1">
      <c r="A924" s="274"/>
      <c r="C924" s="281"/>
      <c r="F924" s="281"/>
      <c r="G924" s="274"/>
      <c r="H924" s="281"/>
      <c r="I924" s="281"/>
      <c r="J924" s="275"/>
      <c r="K924" s="258" t="str">
        <f t="shared" si="1"/>
        <v/>
      </c>
      <c r="L924" s="258" t="str">
        <f t="shared" si="2"/>
        <v/>
      </c>
      <c r="O924" s="281"/>
    </row>
    <row r="925" ht="22.5" customHeight="1">
      <c r="A925" s="274"/>
      <c r="C925" s="281"/>
      <c r="F925" s="281"/>
      <c r="G925" s="274"/>
      <c r="H925" s="281"/>
      <c r="I925" s="281"/>
      <c r="J925" s="275"/>
      <c r="K925" s="258" t="str">
        <f t="shared" si="1"/>
        <v/>
      </c>
      <c r="L925" s="258" t="str">
        <f t="shared" si="2"/>
        <v/>
      </c>
      <c r="O925" s="281"/>
    </row>
    <row r="926" ht="22.5" customHeight="1">
      <c r="A926" s="274"/>
      <c r="C926" s="281"/>
      <c r="F926" s="281"/>
      <c r="G926" s="274"/>
      <c r="H926" s="281"/>
      <c r="I926" s="281"/>
      <c r="J926" s="275"/>
      <c r="K926" s="258" t="str">
        <f t="shared" si="1"/>
        <v/>
      </c>
      <c r="L926" s="258" t="str">
        <f t="shared" si="2"/>
        <v/>
      </c>
      <c r="O926" s="281"/>
    </row>
    <row r="927" ht="22.5" customHeight="1">
      <c r="A927" s="274"/>
      <c r="C927" s="281"/>
      <c r="F927" s="281"/>
      <c r="G927" s="274"/>
      <c r="H927" s="281"/>
      <c r="I927" s="281"/>
      <c r="J927" s="275"/>
      <c r="K927" s="258" t="str">
        <f t="shared" si="1"/>
        <v/>
      </c>
      <c r="L927" s="258" t="str">
        <f t="shared" si="2"/>
        <v/>
      </c>
      <c r="O927" s="281"/>
    </row>
    <row r="928" ht="22.5" customHeight="1">
      <c r="A928" s="274"/>
      <c r="C928" s="281"/>
      <c r="F928" s="281"/>
      <c r="G928" s="274"/>
      <c r="H928" s="281"/>
      <c r="I928" s="281"/>
      <c r="J928" s="275"/>
      <c r="K928" s="258" t="str">
        <f t="shared" si="1"/>
        <v/>
      </c>
      <c r="L928" s="258" t="str">
        <f t="shared" si="2"/>
        <v/>
      </c>
      <c r="O928" s="281"/>
    </row>
    <row r="929" ht="22.5" customHeight="1">
      <c r="A929" s="274"/>
      <c r="C929" s="281"/>
      <c r="F929" s="281"/>
      <c r="G929" s="274"/>
      <c r="H929" s="281"/>
      <c r="I929" s="281"/>
      <c r="J929" s="275"/>
      <c r="K929" s="258" t="str">
        <f t="shared" si="1"/>
        <v/>
      </c>
      <c r="L929" s="258" t="str">
        <f t="shared" si="2"/>
        <v/>
      </c>
      <c r="O929" s="281"/>
    </row>
    <row r="930" ht="22.5" customHeight="1">
      <c r="A930" s="274"/>
      <c r="C930" s="281"/>
      <c r="F930" s="281"/>
      <c r="G930" s="274"/>
      <c r="H930" s="281"/>
      <c r="I930" s="281"/>
      <c r="J930" s="275"/>
      <c r="K930" s="258" t="str">
        <f t="shared" si="1"/>
        <v/>
      </c>
      <c r="L930" s="258" t="str">
        <f t="shared" si="2"/>
        <v/>
      </c>
      <c r="O930" s="281"/>
    </row>
    <row r="931" ht="22.5" customHeight="1">
      <c r="A931" s="274"/>
      <c r="C931" s="281"/>
      <c r="F931" s="281"/>
      <c r="G931" s="274"/>
      <c r="H931" s="281"/>
      <c r="I931" s="281"/>
      <c r="J931" s="275"/>
      <c r="K931" s="258" t="str">
        <f t="shared" si="1"/>
        <v/>
      </c>
      <c r="L931" s="258" t="str">
        <f t="shared" si="2"/>
        <v/>
      </c>
      <c r="O931" s="281"/>
    </row>
    <row r="932" ht="22.5" customHeight="1">
      <c r="A932" s="274"/>
      <c r="C932" s="281"/>
      <c r="F932" s="281"/>
      <c r="G932" s="274"/>
      <c r="H932" s="281"/>
      <c r="I932" s="281"/>
      <c r="J932" s="275"/>
      <c r="K932" s="258" t="str">
        <f t="shared" si="1"/>
        <v/>
      </c>
      <c r="L932" s="258" t="str">
        <f t="shared" si="2"/>
        <v/>
      </c>
      <c r="O932" s="281"/>
    </row>
    <row r="933" ht="22.5" customHeight="1">
      <c r="A933" s="274"/>
      <c r="C933" s="281"/>
      <c r="F933" s="281"/>
      <c r="G933" s="274"/>
      <c r="H933" s="281"/>
      <c r="I933" s="281"/>
      <c r="J933" s="275"/>
      <c r="K933" s="258" t="str">
        <f t="shared" si="1"/>
        <v/>
      </c>
      <c r="L933" s="258" t="str">
        <f t="shared" si="2"/>
        <v/>
      </c>
      <c r="O933" s="281"/>
    </row>
    <row r="934" ht="22.5" customHeight="1">
      <c r="A934" s="274"/>
      <c r="C934" s="281"/>
      <c r="F934" s="281"/>
      <c r="G934" s="274"/>
      <c r="H934" s="281"/>
      <c r="I934" s="281"/>
      <c r="J934" s="275"/>
      <c r="K934" s="258" t="str">
        <f t="shared" si="1"/>
        <v/>
      </c>
      <c r="L934" s="258" t="str">
        <f t="shared" si="2"/>
        <v/>
      </c>
      <c r="O934" s="281"/>
    </row>
    <row r="935" ht="22.5" customHeight="1">
      <c r="A935" s="274"/>
      <c r="C935" s="281"/>
      <c r="F935" s="281"/>
      <c r="G935" s="274"/>
      <c r="H935" s="281"/>
      <c r="I935" s="281"/>
      <c r="J935" s="275"/>
      <c r="K935" s="258" t="str">
        <f t="shared" si="1"/>
        <v/>
      </c>
      <c r="L935" s="258" t="str">
        <f t="shared" si="2"/>
        <v/>
      </c>
      <c r="O935" s="281"/>
    </row>
    <row r="936" ht="22.5" customHeight="1">
      <c r="A936" s="274"/>
      <c r="C936" s="281"/>
      <c r="F936" s="281"/>
      <c r="G936" s="274"/>
      <c r="H936" s="281"/>
      <c r="I936" s="281"/>
      <c r="J936" s="275"/>
      <c r="K936" s="258" t="str">
        <f t="shared" si="1"/>
        <v/>
      </c>
      <c r="L936" s="258" t="str">
        <f t="shared" si="2"/>
        <v/>
      </c>
      <c r="O936" s="281"/>
    </row>
    <row r="937" ht="22.5" customHeight="1">
      <c r="A937" s="274"/>
      <c r="C937" s="281"/>
      <c r="F937" s="281"/>
      <c r="G937" s="274"/>
      <c r="H937" s="281"/>
      <c r="I937" s="281"/>
      <c r="J937" s="275"/>
      <c r="K937" s="258" t="str">
        <f t="shared" si="1"/>
        <v/>
      </c>
      <c r="L937" s="258" t="str">
        <f t="shared" si="2"/>
        <v/>
      </c>
      <c r="O937" s="281"/>
    </row>
    <row r="938" ht="22.5" customHeight="1">
      <c r="A938" s="274"/>
      <c r="C938" s="281"/>
      <c r="F938" s="281"/>
      <c r="G938" s="274"/>
      <c r="H938" s="281"/>
      <c r="I938" s="281"/>
      <c r="J938" s="275"/>
      <c r="K938" s="258" t="str">
        <f t="shared" si="1"/>
        <v/>
      </c>
      <c r="L938" s="258" t="str">
        <f t="shared" si="2"/>
        <v/>
      </c>
      <c r="O938" s="281"/>
    </row>
    <row r="939" ht="22.5" customHeight="1">
      <c r="A939" s="274"/>
      <c r="C939" s="281"/>
      <c r="F939" s="281"/>
      <c r="G939" s="274"/>
      <c r="H939" s="281"/>
      <c r="I939" s="281"/>
      <c r="J939" s="275"/>
      <c r="K939" s="258" t="str">
        <f t="shared" si="1"/>
        <v/>
      </c>
      <c r="L939" s="258" t="str">
        <f t="shared" si="2"/>
        <v/>
      </c>
      <c r="O939" s="281"/>
    </row>
    <row r="940" ht="22.5" customHeight="1">
      <c r="A940" s="274"/>
      <c r="C940" s="281"/>
      <c r="F940" s="281"/>
      <c r="G940" s="274"/>
      <c r="H940" s="281"/>
      <c r="I940" s="281"/>
      <c r="J940" s="275"/>
      <c r="K940" s="258" t="str">
        <f t="shared" si="1"/>
        <v/>
      </c>
      <c r="L940" s="258" t="str">
        <f t="shared" si="2"/>
        <v/>
      </c>
      <c r="O940" s="281"/>
    </row>
    <row r="941" ht="22.5" customHeight="1">
      <c r="A941" s="274"/>
      <c r="C941" s="281"/>
      <c r="F941" s="281"/>
      <c r="G941" s="274"/>
      <c r="H941" s="281"/>
      <c r="I941" s="281"/>
      <c r="J941" s="275"/>
      <c r="K941" s="258" t="str">
        <f t="shared" si="1"/>
        <v/>
      </c>
      <c r="L941" s="258" t="str">
        <f t="shared" si="2"/>
        <v/>
      </c>
      <c r="O941" s="281"/>
    </row>
    <row r="942" ht="22.5" customHeight="1">
      <c r="A942" s="274"/>
      <c r="C942" s="281"/>
      <c r="F942" s="281"/>
      <c r="G942" s="274"/>
      <c r="H942" s="281"/>
      <c r="I942" s="281"/>
      <c r="J942" s="275"/>
      <c r="K942" s="258" t="str">
        <f t="shared" si="1"/>
        <v/>
      </c>
      <c r="L942" s="258" t="str">
        <f t="shared" si="2"/>
        <v/>
      </c>
      <c r="O942" s="281"/>
    </row>
    <row r="943" ht="22.5" customHeight="1">
      <c r="A943" s="274"/>
      <c r="C943" s="281"/>
      <c r="F943" s="281"/>
      <c r="G943" s="274"/>
      <c r="H943" s="281"/>
      <c r="I943" s="281"/>
      <c r="J943" s="275"/>
      <c r="K943" s="258" t="str">
        <f t="shared" si="1"/>
        <v/>
      </c>
      <c r="L943" s="258" t="str">
        <f t="shared" si="2"/>
        <v/>
      </c>
      <c r="O943" s="281"/>
    </row>
    <row r="944" ht="22.5" customHeight="1">
      <c r="A944" s="274"/>
      <c r="C944" s="281"/>
      <c r="F944" s="281"/>
      <c r="G944" s="274"/>
      <c r="H944" s="281"/>
      <c r="I944" s="281"/>
      <c r="J944" s="275"/>
      <c r="K944" s="258" t="str">
        <f t="shared" si="1"/>
        <v/>
      </c>
      <c r="L944" s="258" t="str">
        <f t="shared" si="2"/>
        <v/>
      </c>
      <c r="O944" s="281"/>
    </row>
    <row r="945" ht="22.5" customHeight="1">
      <c r="A945" s="274"/>
      <c r="C945" s="281"/>
      <c r="F945" s="281"/>
      <c r="G945" s="274"/>
      <c r="H945" s="281"/>
      <c r="I945" s="281"/>
      <c r="J945" s="275"/>
      <c r="K945" s="258" t="str">
        <f t="shared" si="1"/>
        <v/>
      </c>
      <c r="L945" s="258" t="str">
        <f t="shared" si="2"/>
        <v/>
      </c>
      <c r="O945" s="281"/>
    </row>
    <row r="946" ht="22.5" customHeight="1">
      <c r="A946" s="274"/>
      <c r="C946" s="281"/>
      <c r="F946" s="281"/>
      <c r="G946" s="274"/>
      <c r="H946" s="281"/>
      <c r="I946" s="281"/>
      <c r="J946" s="275"/>
      <c r="K946" s="258" t="str">
        <f t="shared" si="1"/>
        <v/>
      </c>
      <c r="L946" s="258" t="str">
        <f t="shared" si="2"/>
        <v/>
      </c>
      <c r="O946" s="281"/>
    </row>
    <row r="947" ht="22.5" customHeight="1">
      <c r="A947" s="274"/>
      <c r="C947" s="281"/>
      <c r="F947" s="281"/>
      <c r="G947" s="274"/>
      <c r="H947" s="281"/>
      <c r="I947" s="281"/>
      <c r="J947" s="275"/>
      <c r="K947" s="258" t="str">
        <f t="shared" si="1"/>
        <v/>
      </c>
      <c r="L947" s="258" t="str">
        <f t="shared" si="2"/>
        <v/>
      </c>
      <c r="O947" s="281"/>
    </row>
    <row r="948" ht="22.5" customHeight="1">
      <c r="A948" s="274"/>
      <c r="C948" s="281"/>
      <c r="F948" s="281"/>
      <c r="G948" s="274"/>
      <c r="H948" s="281"/>
      <c r="I948" s="281"/>
      <c r="J948" s="275"/>
      <c r="K948" s="258" t="str">
        <f t="shared" si="1"/>
        <v/>
      </c>
      <c r="L948" s="258" t="str">
        <f t="shared" si="2"/>
        <v/>
      </c>
      <c r="O948" s="281"/>
    </row>
    <row r="949" ht="22.5" customHeight="1">
      <c r="A949" s="274"/>
      <c r="C949" s="281"/>
      <c r="F949" s="281"/>
      <c r="G949" s="274"/>
      <c r="H949" s="281"/>
      <c r="I949" s="281"/>
      <c r="J949" s="275"/>
      <c r="K949" s="258" t="str">
        <f t="shared" si="1"/>
        <v/>
      </c>
      <c r="L949" s="258" t="str">
        <f t="shared" si="2"/>
        <v/>
      </c>
      <c r="O949" s="281"/>
    </row>
    <row r="950" ht="22.5" customHeight="1">
      <c r="A950" s="274"/>
      <c r="C950" s="281"/>
      <c r="F950" s="281"/>
      <c r="G950" s="274"/>
      <c r="H950" s="281"/>
      <c r="I950" s="281"/>
      <c r="J950" s="275"/>
      <c r="K950" s="258" t="str">
        <f t="shared" si="1"/>
        <v/>
      </c>
      <c r="L950" s="258" t="str">
        <f t="shared" si="2"/>
        <v/>
      </c>
      <c r="O950" s="281"/>
    </row>
    <row r="951" ht="22.5" customHeight="1">
      <c r="A951" s="274"/>
      <c r="C951" s="281"/>
      <c r="F951" s="281"/>
      <c r="G951" s="274"/>
      <c r="H951" s="281"/>
      <c r="I951" s="281"/>
      <c r="J951" s="275"/>
      <c r="K951" s="258" t="str">
        <f t="shared" si="1"/>
        <v/>
      </c>
      <c r="L951" s="258" t="str">
        <f t="shared" si="2"/>
        <v/>
      </c>
      <c r="O951" s="281"/>
    </row>
    <row r="952" ht="22.5" customHeight="1">
      <c r="A952" s="274"/>
      <c r="C952" s="281"/>
      <c r="F952" s="281"/>
      <c r="G952" s="274"/>
      <c r="H952" s="281"/>
      <c r="I952" s="281"/>
      <c r="J952" s="275"/>
      <c r="K952" s="258" t="str">
        <f t="shared" si="1"/>
        <v/>
      </c>
      <c r="L952" s="258" t="str">
        <f t="shared" si="2"/>
        <v/>
      </c>
      <c r="O952" s="281"/>
    </row>
    <row r="953" ht="22.5" customHeight="1">
      <c r="A953" s="274"/>
      <c r="C953" s="281"/>
      <c r="F953" s="281"/>
      <c r="G953" s="274"/>
      <c r="H953" s="281"/>
      <c r="I953" s="281"/>
      <c r="J953" s="275"/>
      <c r="K953" s="258" t="str">
        <f t="shared" si="1"/>
        <v/>
      </c>
      <c r="L953" s="258" t="str">
        <f t="shared" si="2"/>
        <v/>
      </c>
      <c r="O953" s="281"/>
    </row>
    <row r="954" ht="22.5" customHeight="1">
      <c r="A954" s="274"/>
      <c r="C954" s="281"/>
      <c r="F954" s="281"/>
      <c r="G954" s="274"/>
      <c r="H954" s="281"/>
      <c r="I954" s="281"/>
      <c r="J954" s="275"/>
      <c r="K954" s="258" t="str">
        <f t="shared" si="1"/>
        <v/>
      </c>
      <c r="L954" s="258" t="str">
        <f t="shared" si="2"/>
        <v/>
      </c>
      <c r="O954" s="281"/>
    </row>
    <row r="955" ht="22.5" customHeight="1">
      <c r="A955" s="274"/>
      <c r="C955" s="281"/>
      <c r="F955" s="281"/>
      <c r="G955" s="274"/>
      <c r="H955" s="281"/>
      <c r="I955" s="281"/>
      <c r="J955" s="275"/>
      <c r="K955" s="258" t="str">
        <f t="shared" si="1"/>
        <v/>
      </c>
      <c r="L955" s="258" t="str">
        <f t="shared" si="2"/>
        <v/>
      </c>
      <c r="O955" s="281"/>
    </row>
    <row r="956" ht="22.5" customHeight="1">
      <c r="A956" s="274"/>
      <c r="C956" s="281"/>
      <c r="F956" s="281"/>
      <c r="G956" s="274"/>
      <c r="H956" s="281"/>
      <c r="I956" s="281"/>
      <c r="J956" s="275"/>
      <c r="K956" s="258" t="str">
        <f t="shared" si="1"/>
        <v/>
      </c>
      <c r="L956" s="258" t="str">
        <f t="shared" si="2"/>
        <v/>
      </c>
      <c r="O956" s="281"/>
    </row>
    <row r="957" ht="22.5" customHeight="1">
      <c r="A957" s="274"/>
      <c r="C957" s="281"/>
      <c r="F957" s="281"/>
      <c r="G957" s="274"/>
      <c r="H957" s="281"/>
      <c r="I957" s="281"/>
      <c r="J957" s="275"/>
      <c r="K957" s="258" t="str">
        <f t="shared" si="1"/>
        <v/>
      </c>
      <c r="L957" s="258" t="str">
        <f t="shared" si="2"/>
        <v/>
      </c>
      <c r="O957" s="281"/>
    </row>
    <row r="958" ht="22.5" customHeight="1">
      <c r="A958" s="274"/>
      <c r="C958" s="281"/>
      <c r="F958" s="281"/>
      <c r="G958" s="274"/>
      <c r="H958" s="281"/>
      <c r="I958" s="281"/>
      <c r="J958" s="275"/>
      <c r="K958" s="258" t="str">
        <f t="shared" si="1"/>
        <v/>
      </c>
      <c r="L958" s="258" t="str">
        <f t="shared" si="2"/>
        <v/>
      </c>
      <c r="O958" s="281"/>
    </row>
    <row r="959" ht="22.5" customHeight="1">
      <c r="A959" s="274"/>
      <c r="C959" s="281"/>
      <c r="F959" s="281"/>
      <c r="G959" s="274"/>
      <c r="H959" s="281"/>
      <c r="I959" s="281"/>
      <c r="J959" s="275"/>
      <c r="K959" s="258" t="str">
        <f t="shared" si="1"/>
        <v/>
      </c>
      <c r="L959" s="258" t="str">
        <f t="shared" si="2"/>
        <v/>
      </c>
      <c r="O959" s="281"/>
    </row>
    <row r="960" ht="22.5" customHeight="1">
      <c r="A960" s="274"/>
      <c r="C960" s="281"/>
      <c r="F960" s="281"/>
      <c r="G960" s="274"/>
      <c r="H960" s="281"/>
      <c r="I960" s="281"/>
      <c r="J960" s="275"/>
      <c r="K960" s="258" t="str">
        <f t="shared" si="1"/>
        <v/>
      </c>
      <c r="L960" s="258" t="str">
        <f t="shared" si="2"/>
        <v/>
      </c>
      <c r="O960" s="281"/>
    </row>
    <row r="961" ht="22.5" customHeight="1">
      <c r="A961" s="274"/>
      <c r="C961" s="281"/>
      <c r="F961" s="281"/>
      <c r="G961" s="274"/>
      <c r="H961" s="281"/>
      <c r="I961" s="281"/>
      <c r="J961" s="275"/>
      <c r="K961" s="258" t="str">
        <f t="shared" si="1"/>
        <v/>
      </c>
      <c r="L961" s="258" t="str">
        <f t="shared" si="2"/>
        <v/>
      </c>
      <c r="O961" s="281"/>
    </row>
    <row r="962" ht="22.5" customHeight="1">
      <c r="A962" s="274"/>
      <c r="C962" s="281"/>
      <c r="F962" s="281"/>
      <c r="G962" s="274"/>
      <c r="H962" s="281"/>
      <c r="I962" s="281"/>
      <c r="J962" s="275"/>
      <c r="K962" s="258" t="str">
        <f t="shared" si="1"/>
        <v/>
      </c>
      <c r="L962" s="258" t="str">
        <f t="shared" si="2"/>
        <v/>
      </c>
      <c r="O962" s="281"/>
    </row>
    <row r="963" ht="22.5" customHeight="1">
      <c r="A963" s="274"/>
      <c r="C963" s="281"/>
      <c r="F963" s="281"/>
      <c r="G963" s="274"/>
      <c r="H963" s="281"/>
      <c r="I963" s="281"/>
      <c r="J963" s="275"/>
      <c r="K963" s="258" t="str">
        <f t="shared" si="1"/>
        <v/>
      </c>
      <c r="L963" s="258" t="str">
        <f t="shared" si="2"/>
        <v/>
      </c>
      <c r="O963" s="281"/>
    </row>
    <row r="964" ht="22.5" customHeight="1">
      <c r="A964" s="274"/>
      <c r="C964" s="281"/>
      <c r="F964" s="281"/>
      <c r="G964" s="274"/>
      <c r="H964" s="281"/>
      <c r="I964" s="281"/>
      <c r="J964" s="275"/>
      <c r="K964" s="258" t="str">
        <f t="shared" si="1"/>
        <v/>
      </c>
      <c r="L964" s="258" t="str">
        <f t="shared" si="2"/>
        <v/>
      </c>
      <c r="O964" s="281"/>
    </row>
    <row r="965" ht="22.5" customHeight="1">
      <c r="A965" s="274"/>
      <c r="C965" s="281"/>
      <c r="F965" s="281"/>
      <c r="G965" s="274"/>
      <c r="H965" s="281"/>
      <c r="I965" s="281"/>
      <c r="J965" s="275"/>
      <c r="K965" s="258" t="str">
        <f t="shared" si="1"/>
        <v/>
      </c>
      <c r="L965" s="258" t="str">
        <f t="shared" si="2"/>
        <v/>
      </c>
      <c r="O965" s="281"/>
    </row>
    <row r="966" ht="22.5" customHeight="1">
      <c r="A966" s="274"/>
      <c r="C966" s="281"/>
      <c r="F966" s="281"/>
      <c r="G966" s="274"/>
      <c r="H966" s="281"/>
      <c r="I966" s="281"/>
      <c r="J966" s="275"/>
      <c r="K966" s="258" t="str">
        <f t="shared" si="1"/>
        <v/>
      </c>
      <c r="L966" s="258" t="str">
        <f t="shared" si="2"/>
        <v/>
      </c>
      <c r="O966" s="281"/>
    </row>
    <row r="967" ht="22.5" customHeight="1">
      <c r="A967" s="274"/>
      <c r="C967" s="281"/>
      <c r="F967" s="281"/>
      <c r="G967" s="274"/>
      <c r="H967" s="281"/>
      <c r="I967" s="281"/>
      <c r="J967" s="275"/>
      <c r="K967" s="258" t="str">
        <f t="shared" si="1"/>
        <v/>
      </c>
      <c r="L967" s="258" t="str">
        <f t="shared" si="2"/>
        <v/>
      </c>
      <c r="O967" s="281"/>
    </row>
    <row r="968" ht="22.5" customHeight="1">
      <c r="A968" s="274"/>
      <c r="C968" s="281"/>
      <c r="F968" s="281"/>
      <c r="G968" s="274"/>
      <c r="H968" s="281"/>
      <c r="I968" s="281"/>
      <c r="J968" s="275"/>
      <c r="K968" s="258" t="str">
        <f t="shared" si="1"/>
        <v/>
      </c>
      <c r="L968" s="258" t="str">
        <f t="shared" si="2"/>
        <v/>
      </c>
      <c r="O968" s="281"/>
    </row>
    <row r="969" ht="22.5" customHeight="1">
      <c r="A969" s="274"/>
      <c r="C969" s="281"/>
      <c r="F969" s="281"/>
      <c r="G969" s="274"/>
      <c r="H969" s="281"/>
      <c r="I969" s="281"/>
      <c r="J969" s="275"/>
      <c r="K969" s="258" t="str">
        <f t="shared" si="1"/>
        <v/>
      </c>
      <c r="L969" s="258" t="str">
        <f t="shared" si="2"/>
        <v/>
      </c>
      <c r="O969" s="281"/>
    </row>
    <row r="970" ht="22.5" customHeight="1">
      <c r="A970" s="274"/>
      <c r="C970" s="281"/>
      <c r="F970" s="281"/>
      <c r="G970" s="274"/>
      <c r="H970" s="281"/>
      <c r="I970" s="281"/>
      <c r="J970" s="275"/>
      <c r="K970" s="258" t="str">
        <f t="shared" si="1"/>
        <v/>
      </c>
      <c r="L970" s="258" t="str">
        <f t="shared" si="2"/>
        <v/>
      </c>
      <c r="O970" s="281"/>
    </row>
    <row r="971" ht="22.5" customHeight="1">
      <c r="A971" s="274"/>
      <c r="C971" s="281"/>
      <c r="F971" s="281"/>
      <c r="G971" s="274"/>
      <c r="H971" s="281"/>
      <c r="I971" s="281"/>
      <c r="J971" s="275"/>
      <c r="K971" s="258" t="str">
        <f t="shared" si="1"/>
        <v/>
      </c>
      <c r="L971" s="258" t="str">
        <f t="shared" si="2"/>
        <v/>
      </c>
      <c r="O971" s="281"/>
    </row>
    <row r="972" ht="22.5" customHeight="1">
      <c r="A972" s="274"/>
      <c r="C972" s="281"/>
      <c r="F972" s="281"/>
      <c r="G972" s="274"/>
      <c r="H972" s="281"/>
      <c r="I972" s="281"/>
      <c r="J972" s="275"/>
      <c r="K972" s="258" t="str">
        <f t="shared" si="1"/>
        <v/>
      </c>
      <c r="L972" s="258" t="str">
        <f t="shared" si="2"/>
        <v/>
      </c>
      <c r="O972" s="281"/>
    </row>
    <row r="973" ht="22.5" customHeight="1">
      <c r="A973" s="274"/>
      <c r="C973" s="281"/>
      <c r="F973" s="281"/>
      <c r="G973" s="274"/>
      <c r="H973" s="281"/>
      <c r="I973" s="281"/>
      <c r="J973" s="275"/>
      <c r="K973" s="258" t="str">
        <f t="shared" si="1"/>
        <v/>
      </c>
      <c r="L973" s="258" t="str">
        <f t="shared" si="2"/>
        <v/>
      </c>
      <c r="O973" s="281"/>
    </row>
    <row r="974" ht="22.5" customHeight="1">
      <c r="A974" s="274"/>
      <c r="C974" s="281"/>
      <c r="F974" s="281"/>
      <c r="G974" s="274"/>
      <c r="H974" s="281"/>
      <c r="I974" s="281"/>
      <c r="J974" s="275"/>
      <c r="K974" s="258" t="str">
        <f t="shared" si="1"/>
        <v/>
      </c>
      <c r="L974" s="258" t="str">
        <f t="shared" si="2"/>
        <v/>
      </c>
      <c r="O974" s="281"/>
    </row>
    <row r="975" ht="22.5" customHeight="1">
      <c r="A975" s="274"/>
      <c r="C975" s="281"/>
      <c r="F975" s="281"/>
      <c r="G975" s="274"/>
      <c r="H975" s="281"/>
      <c r="I975" s="281"/>
      <c r="J975" s="275"/>
      <c r="K975" s="258" t="str">
        <f t="shared" si="1"/>
        <v/>
      </c>
      <c r="L975" s="258" t="str">
        <f t="shared" si="2"/>
        <v/>
      </c>
      <c r="O975" s="281"/>
    </row>
    <row r="976" ht="22.5" customHeight="1">
      <c r="A976" s="274"/>
      <c r="C976" s="281"/>
      <c r="F976" s="281"/>
      <c r="G976" s="274"/>
      <c r="H976" s="281"/>
      <c r="I976" s="281"/>
      <c r="J976" s="275"/>
      <c r="K976" s="258" t="str">
        <f t="shared" si="1"/>
        <v/>
      </c>
      <c r="L976" s="258" t="str">
        <f t="shared" si="2"/>
        <v/>
      </c>
      <c r="O976" s="281"/>
    </row>
    <row r="977" ht="22.5" customHeight="1">
      <c r="A977" s="274"/>
      <c r="C977" s="281"/>
      <c r="F977" s="281"/>
      <c r="G977" s="274"/>
      <c r="H977" s="281"/>
      <c r="I977" s="281"/>
      <c r="J977" s="275"/>
      <c r="K977" s="258" t="str">
        <f t="shared" si="1"/>
        <v/>
      </c>
      <c r="L977" s="258" t="str">
        <f t="shared" si="2"/>
        <v/>
      </c>
      <c r="O977" s="281"/>
    </row>
    <row r="978" ht="22.5" customHeight="1">
      <c r="A978" s="274"/>
      <c r="C978" s="281"/>
      <c r="F978" s="281"/>
      <c r="G978" s="274"/>
      <c r="H978" s="281"/>
      <c r="I978" s="281"/>
      <c r="J978" s="275"/>
      <c r="K978" s="258" t="str">
        <f t="shared" si="1"/>
        <v/>
      </c>
      <c r="L978" s="258" t="str">
        <f t="shared" si="2"/>
        <v/>
      </c>
      <c r="O978" s="281"/>
    </row>
    <row r="979" ht="22.5" customHeight="1">
      <c r="A979" s="274"/>
      <c r="C979" s="281"/>
      <c r="F979" s="281"/>
      <c r="G979" s="274"/>
      <c r="H979" s="281"/>
      <c r="I979" s="281"/>
      <c r="J979" s="275"/>
      <c r="K979" s="258" t="str">
        <f t="shared" si="1"/>
        <v/>
      </c>
      <c r="L979" s="258" t="str">
        <f t="shared" si="2"/>
        <v/>
      </c>
      <c r="O979" s="281"/>
    </row>
    <row r="980" ht="22.5" customHeight="1">
      <c r="A980" s="274"/>
      <c r="C980" s="281"/>
      <c r="F980" s="281"/>
      <c r="G980" s="274"/>
      <c r="H980" s="281"/>
      <c r="I980" s="281"/>
      <c r="J980" s="275"/>
      <c r="K980" s="258" t="str">
        <f t="shared" si="1"/>
        <v/>
      </c>
      <c r="L980" s="258" t="str">
        <f t="shared" si="2"/>
        <v/>
      </c>
      <c r="O980" s="281"/>
    </row>
    <row r="981" ht="22.5" customHeight="1">
      <c r="A981" s="274"/>
      <c r="C981" s="281"/>
      <c r="F981" s="281"/>
      <c r="G981" s="274"/>
      <c r="H981" s="281"/>
      <c r="I981" s="281"/>
      <c r="J981" s="275"/>
      <c r="K981" s="258" t="str">
        <f t="shared" si="1"/>
        <v/>
      </c>
      <c r="L981" s="258" t="str">
        <f t="shared" si="2"/>
        <v/>
      </c>
      <c r="O981" s="281"/>
    </row>
    <row r="982" ht="22.5" customHeight="1">
      <c r="A982" s="274"/>
      <c r="C982" s="281"/>
      <c r="F982" s="281"/>
      <c r="G982" s="274"/>
      <c r="H982" s="281"/>
      <c r="I982" s="281"/>
      <c r="J982" s="275"/>
      <c r="K982" s="258" t="str">
        <f t="shared" si="1"/>
        <v/>
      </c>
      <c r="L982" s="258" t="str">
        <f t="shared" si="2"/>
        <v/>
      </c>
      <c r="O982" s="281"/>
    </row>
    <row r="983" ht="22.5" customHeight="1">
      <c r="A983" s="274"/>
      <c r="C983" s="281"/>
      <c r="F983" s="281"/>
      <c r="G983" s="274"/>
      <c r="H983" s="281"/>
      <c r="I983" s="281"/>
      <c r="J983" s="275"/>
      <c r="K983" s="258" t="str">
        <f t="shared" si="1"/>
        <v/>
      </c>
      <c r="L983" s="258" t="str">
        <f t="shared" si="2"/>
        <v/>
      </c>
      <c r="O983" s="281"/>
    </row>
    <row r="984" ht="22.5" customHeight="1">
      <c r="A984" s="274"/>
      <c r="C984" s="281"/>
      <c r="F984" s="281"/>
      <c r="G984" s="274"/>
      <c r="H984" s="281"/>
      <c r="I984" s="281"/>
      <c r="J984" s="275"/>
      <c r="K984" s="258" t="str">
        <f t="shared" si="1"/>
        <v/>
      </c>
      <c r="L984" s="258" t="str">
        <f t="shared" si="2"/>
        <v/>
      </c>
      <c r="O984" s="281"/>
    </row>
    <row r="985" ht="22.5" customHeight="1">
      <c r="A985" s="274"/>
      <c r="C985" s="281"/>
      <c r="F985" s="281"/>
      <c r="G985" s="274"/>
      <c r="H985" s="281"/>
      <c r="I985" s="281"/>
      <c r="J985" s="275"/>
      <c r="K985" s="258" t="str">
        <f t="shared" si="1"/>
        <v/>
      </c>
      <c r="L985" s="258" t="str">
        <f t="shared" si="2"/>
        <v/>
      </c>
      <c r="O985" s="281"/>
    </row>
    <row r="986" ht="22.5" customHeight="1">
      <c r="A986" s="274"/>
      <c r="C986" s="281"/>
      <c r="F986" s="281"/>
      <c r="G986" s="274"/>
      <c r="H986" s="281"/>
      <c r="I986" s="281"/>
      <c r="J986" s="275"/>
      <c r="K986" s="258" t="str">
        <f t="shared" si="1"/>
        <v/>
      </c>
      <c r="L986" s="258" t="str">
        <f t="shared" si="2"/>
        <v/>
      </c>
      <c r="O986" s="281"/>
    </row>
    <row r="987" ht="22.5" customHeight="1">
      <c r="A987" s="274"/>
      <c r="C987" s="281"/>
      <c r="F987" s="281"/>
      <c r="G987" s="274"/>
      <c r="H987" s="281"/>
      <c r="I987" s="281"/>
      <c r="J987" s="275"/>
      <c r="K987" s="258" t="str">
        <f t="shared" si="1"/>
        <v/>
      </c>
      <c r="L987" s="258" t="str">
        <f t="shared" si="2"/>
        <v/>
      </c>
      <c r="O987" s="281"/>
    </row>
    <row r="988" ht="22.5" customHeight="1">
      <c r="A988" s="274"/>
      <c r="C988" s="281"/>
      <c r="F988" s="281"/>
      <c r="G988" s="274"/>
      <c r="H988" s="281"/>
      <c r="I988" s="281"/>
      <c r="J988" s="275"/>
      <c r="K988" s="258" t="str">
        <f t="shared" si="1"/>
        <v/>
      </c>
      <c r="L988" s="258" t="str">
        <f t="shared" si="2"/>
        <v/>
      </c>
      <c r="O988" s="281"/>
    </row>
    <row r="989" ht="22.5" customHeight="1">
      <c r="A989" s="274"/>
      <c r="C989" s="281"/>
      <c r="F989" s="281"/>
      <c r="G989" s="274"/>
      <c r="H989" s="281"/>
      <c r="I989" s="281"/>
      <c r="J989" s="275"/>
      <c r="K989" s="258" t="str">
        <f t="shared" si="1"/>
        <v/>
      </c>
      <c r="L989" s="258" t="str">
        <f t="shared" si="2"/>
        <v/>
      </c>
      <c r="O989" s="281"/>
    </row>
    <row r="990" ht="22.5" customHeight="1">
      <c r="A990" s="274"/>
      <c r="C990" s="281"/>
      <c r="F990" s="281"/>
      <c r="G990" s="274"/>
      <c r="H990" s="281"/>
      <c r="I990" s="281"/>
      <c r="J990" s="275"/>
      <c r="K990" s="258" t="str">
        <f t="shared" si="1"/>
        <v/>
      </c>
      <c r="L990" s="258" t="str">
        <f t="shared" si="2"/>
        <v/>
      </c>
      <c r="O990" s="281"/>
    </row>
    <row r="991" ht="22.5" customHeight="1">
      <c r="A991" s="274"/>
      <c r="C991" s="281"/>
      <c r="F991" s="281"/>
      <c r="G991" s="274"/>
      <c r="H991" s="281"/>
      <c r="I991" s="281"/>
      <c r="J991" s="275"/>
      <c r="K991" s="258" t="str">
        <f t="shared" si="1"/>
        <v/>
      </c>
      <c r="L991" s="258" t="str">
        <f t="shared" si="2"/>
        <v/>
      </c>
      <c r="O991" s="281"/>
    </row>
    <row r="992" ht="22.5" customHeight="1">
      <c r="A992" s="274"/>
      <c r="C992" s="281"/>
      <c r="F992" s="281"/>
      <c r="G992" s="274"/>
      <c r="H992" s="281"/>
      <c r="I992" s="281"/>
      <c r="J992" s="275"/>
      <c r="K992" s="258" t="str">
        <f t="shared" si="1"/>
        <v/>
      </c>
      <c r="L992" s="258" t="str">
        <f t="shared" si="2"/>
        <v/>
      </c>
      <c r="O992" s="281"/>
    </row>
    <row r="993" ht="22.5" customHeight="1">
      <c r="A993" s="274"/>
      <c r="C993" s="281"/>
      <c r="F993" s="281"/>
      <c r="G993" s="274"/>
      <c r="H993" s="281"/>
      <c r="I993" s="281"/>
      <c r="J993" s="275"/>
      <c r="K993" s="258" t="str">
        <f t="shared" si="1"/>
        <v/>
      </c>
      <c r="L993" s="258" t="str">
        <f t="shared" si="2"/>
        <v/>
      </c>
      <c r="O993" s="281"/>
    </row>
    <row r="994" ht="22.5" customHeight="1">
      <c r="A994" s="274"/>
      <c r="C994" s="281"/>
      <c r="F994" s="281"/>
      <c r="G994" s="274"/>
      <c r="H994" s="281"/>
      <c r="I994" s="281"/>
      <c r="J994" s="275"/>
      <c r="K994" s="258" t="str">
        <f t="shared" si="1"/>
        <v/>
      </c>
      <c r="L994" s="258" t="str">
        <f t="shared" si="2"/>
        <v/>
      </c>
      <c r="O994" s="281"/>
    </row>
    <row r="995" ht="22.5" customHeight="1">
      <c r="A995" s="274"/>
      <c r="C995" s="281"/>
      <c r="F995" s="281"/>
      <c r="G995" s="274"/>
      <c r="H995" s="281"/>
      <c r="I995" s="281"/>
      <c r="J995" s="275"/>
      <c r="K995" s="258" t="str">
        <f t="shared" si="1"/>
        <v/>
      </c>
      <c r="L995" s="258" t="str">
        <f t="shared" si="2"/>
        <v/>
      </c>
      <c r="O995" s="281"/>
    </row>
    <row r="996" ht="22.5" customHeight="1">
      <c r="A996" s="274"/>
      <c r="C996" s="281"/>
      <c r="F996" s="281"/>
      <c r="G996" s="274"/>
      <c r="H996" s="281"/>
      <c r="I996" s="281"/>
      <c r="J996" s="275"/>
      <c r="K996" s="258" t="str">
        <f t="shared" si="1"/>
        <v/>
      </c>
      <c r="L996" s="258" t="str">
        <f t="shared" si="2"/>
        <v/>
      </c>
      <c r="O996" s="281"/>
    </row>
    <row r="997" ht="22.5" customHeight="1">
      <c r="A997" s="274"/>
      <c r="C997" s="281"/>
      <c r="F997" s="281"/>
      <c r="G997" s="274"/>
      <c r="H997" s="281"/>
      <c r="I997" s="281"/>
      <c r="J997" s="275"/>
      <c r="K997" s="258" t="str">
        <f t="shared" si="1"/>
        <v/>
      </c>
      <c r="L997" s="258" t="str">
        <f t="shared" si="2"/>
        <v/>
      </c>
      <c r="O997" s="281"/>
    </row>
    <row r="998" ht="22.5" customHeight="1">
      <c r="A998" s="274"/>
      <c r="C998" s="281"/>
      <c r="F998" s="281"/>
      <c r="G998" s="274"/>
      <c r="H998" s="281"/>
      <c r="I998" s="281"/>
      <c r="J998" s="275"/>
      <c r="K998" s="258" t="str">
        <f t="shared" si="1"/>
        <v/>
      </c>
      <c r="L998" s="258" t="str">
        <f t="shared" si="2"/>
        <v/>
      </c>
      <c r="O998" s="281"/>
    </row>
    <row r="999" ht="22.5" customHeight="1">
      <c r="A999" s="274"/>
      <c r="C999" s="281"/>
      <c r="F999" s="281"/>
      <c r="G999" s="274"/>
      <c r="H999" s="281"/>
      <c r="I999" s="281"/>
      <c r="J999" s="275"/>
      <c r="K999" s="258" t="str">
        <f t="shared" si="1"/>
        <v/>
      </c>
      <c r="L999" s="258" t="str">
        <f t="shared" si="2"/>
        <v/>
      </c>
      <c r="O999" s="281"/>
    </row>
    <row r="1000" ht="22.5" customHeight="1">
      <c r="A1000" s="274"/>
      <c r="C1000" s="281"/>
      <c r="F1000" s="281"/>
      <c r="G1000" s="274"/>
      <c r="H1000" s="281"/>
      <c r="I1000" s="281"/>
      <c r="J1000" s="275"/>
      <c r="K1000" s="258" t="str">
        <f t="shared" si="1"/>
        <v/>
      </c>
      <c r="L1000" s="258" t="str">
        <f t="shared" si="2"/>
        <v/>
      </c>
      <c r="O1000" s="281"/>
    </row>
    <row r="1001" ht="22.5" customHeight="1">
      <c r="A1001" s="274"/>
      <c r="C1001" s="281"/>
      <c r="F1001" s="281"/>
      <c r="G1001" s="274"/>
      <c r="H1001" s="281"/>
      <c r="I1001" s="281"/>
      <c r="J1001" s="275"/>
      <c r="K1001" s="258" t="str">
        <f t="shared" si="1"/>
        <v/>
      </c>
      <c r="L1001" s="258" t="str">
        <f t="shared" si="2"/>
        <v/>
      </c>
      <c r="O1001" s="281"/>
    </row>
    <row r="1002" ht="22.5" customHeight="1">
      <c r="A1002" s="274"/>
      <c r="C1002" s="281"/>
      <c r="F1002" s="281"/>
      <c r="G1002" s="274"/>
      <c r="H1002" s="281"/>
      <c r="I1002" s="281"/>
      <c r="J1002" s="275"/>
      <c r="K1002" s="258" t="str">
        <f t="shared" si="1"/>
        <v/>
      </c>
      <c r="L1002" s="258" t="str">
        <f t="shared" si="2"/>
        <v/>
      </c>
      <c r="O1002" s="281"/>
    </row>
    <row r="1003" ht="22.5" customHeight="1">
      <c r="A1003" s="274"/>
      <c r="C1003" s="281"/>
      <c r="F1003" s="281"/>
      <c r="G1003" s="274"/>
      <c r="H1003" s="281"/>
      <c r="I1003" s="281"/>
      <c r="J1003" s="275"/>
      <c r="K1003" s="258" t="str">
        <f t="shared" si="1"/>
        <v/>
      </c>
      <c r="L1003" s="258" t="str">
        <f t="shared" si="2"/>
        <v/>
      </c>
      <c r="O1003" s="281"/>
    </row>
  </sheetData>
  <dataValidations>
    <dataValidation type="list" allowBlank="1" sqref="O4:O1003">
      <formula1>#REF!</formula1>
    </dataValidation>
    <dataValidation type="custom" allowBlank="1" showDropDown="1" sqref="J4:J1003">
      <formula1>AND(ISNUMBER(J4),(NOT(OR(NOT(ISERROR(DATEVALUE(J4))), AND(ISNUMBER(J4), LEFT(CELL("format", J4))="D")))))</formula1>
    </dataValidation>
    <dataValidation type="list" allowBlank="1" sqref="C4:C1003 F4:F1003 H4:I1003">
      <formula1>#REF!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43"/>
    <col customWidth="1" min="2" max="2" width="11.29"/>
    <col customWidth="1" min="3" max="3" width="12.29"/>
    <col customWidth="1" min="4" max="4" width="27.57"/>
    <col customWidth="1" min="5" max="5" width="16.29"/>
    <col customWidth="1" min="6" max="6" width="14.0"/>
    <col customWidth="1" min="7" max="7" width="19.71"/>
    <col customWidth="1" min="8" max="8" width="16.29"/>
    <col customWidth="1" min="9" max="9" width="25.86"/>
    <col customWidth="1" min="10" max="10" width="14.43"/>
    <col customWidth="1" min="11" max="11" width="21.14"/>
    <col customWidth="1" min="12" max="12" width="15.57"/>
    <col customWidth="1" min="13" max="15" width="17.57"/>
    <col customWidth="1" min="16" max="16" width="25.57"/>
    <col customWidth="1" min="17" max="17" width="17.57"/>
    <col customWidth="1" min="18" max="18" width="20.43"/>
    <col customWidth="1" min="19" max="19" width="17.57"/>
  </cols>
  <sheetData>
    <row r="1">
      <c r="A1" s="283" t="s">
        <v>655</v>
      </c>
    </row>
    <row r="2">
      <c r="A2" s="267"/>
      <c r="B2" s="284"/>
      <c r="C2" s="284"/>
      <c r="D2" s="267"/>
      <c r="E2" s="267"/>
      <c r="F2" s="267"/>
      <c r="G2" s="267"/>
      <c r="H2" s="267"/>
      <c r="I2" s="284"/>
      <c r="J2" s="284"/>
      <c r="K2" s="267"/>
      <c r="L2" s="267"/>
      <c r="M2" s="267"/>
      <c r="N2" s="267"/>
      <c r="O2" s="267"/>
      <c r="P2" s="267"/>
      <c r="Q2" s="267"/>
      <c r="R2" s="267"/>
      <c r="S2" s="267"/>
    </row>
    <row r="3" ht="28.5" customHeight="1">
      <c r="A3" s="171" t="s">
        <v>317</v>
      </c>
      <c r="B3" s="285" t="s">
        <v>656</v>
      </c>
      <c r="C3" s="285" t="s">
        <v>657</v>
      </c>
      <c r="D3" s="286" t="s">
        <v>658</v>
      </c>
      <c r="E3" s="286" t="s">
        <v>308</v>
      </c>
      <c r="F3" s="286" t="s">
        <v>47</v>
      </c>
      <c r="G3" s="286" t="s">
        <v>43</v>
      </c>
      <c r="H3" s="286" t="s">
        <v>40</v>
      </c>
      <c r="I3" s="287" t="s">
        <v>659</v>
      </c>
      <c r="J3" s="287" t="s">
        <v>660</v>
      </c>
      <c r="K3" s="288" t="s">
        <v>661</v>
      </c>
      <c r="L3" s="288" t="s">
        <v>662</v>
      </c>
      <c r="M3" s="289" t="s">
        <v>663</v>
      </c>
      <c r="N3" s="286" t="s">
        <v>664</v>
      </c>
      <c r="O3" s="286" t="s">
        <v>665</v>
      </c>
      <c r="P3" s="286" t="s">
        <v>666</v>
      </c>
      <c r="Q3" s="289" t="s">
        <v>667</v>
      </c>
      <c r="R3" s="289" t="s">
        <v>668</v>
      </c>
      <c r="S3" s="290" t="s">
        <v>318</v>
      </c>
    </row>
    <row r="4" ht="22.5" customHeight="1">
      <c r="A4" s="258" t="str">
        <f t="shared" ref="A4:A901" si="1">B4&amp;"-"&amp;C4</f>
        <v>1-1</v>
      </c>
      <c r="B4" s="291">
        <f>IF(R_COTIZACIONES!A4="","",R_COTIZACIONES!A4)</f>
        <v>1</v>
      </c>
      <c r="C4" s="269">
        <f t="shared" ref="C4:C125" si="2">IF(B4="","",COUNTIF($B$4:B4,B4))</f>
        <v>1</v>
      </c>
      <c r="D4" s="258" t="str">
        <f t="array" ref="D4">IF(B4="","",IFERROR(
  INDEX(R_COTIZACIONES!D:D,MATCH(B4,R_COTIZACIONES!A:A,0)),
""))</f>
        <v>Condominio Mirador Los Clarines</v>
      </c>
      <c r="E4" s="258" t="str">
        <f t="array" ref="E4">IF(B4="","",IFERROR(
  INDEX(R_COTIZACIONES!C:C,MATCH(B4,R_COTIZACIONES!A:A,0)),
""))</f>
        <v>53334332-5</v>
      </c>
      <c r="F4" s="273" t="s">
        <v>34</v>
      </c>
      <c r="G4" s="273" t="s">
        <v>181</v>
      </c>
      <c r="H4" s="273" t="s">
        <v>267</v>
      </c>
      <c r="I4" s="292" t="str">
        <f>IF(H4="","",VLOOKUP(H4,'Base de datos'!$E:$G,3,FALSE))</f>
        <v>Mantención programada</v>
      </c>
      <c r="J4" s="269">
        <v>1.0</v>
      </c>
      <c r="K4" s="275">
        <f>IF(H4="","",VLOOKUP(H4,'Base de datos'!E:N,10,FALSE))</f>
        <v>200000</v>
      </c>
      <c r="L4" s="269">
        <v>0.0</v>
      </c>
      <c r="M4" s="275">
        <f t="shared" ref="M4:M143" si="3">IF(K4="","",J4*K4*(1-IFERROR(L4,0)))</f>
        <v>200000</v>
      </c>
      <c r="N4" s="275">
        <f t="shared" ref="N4:N88" si="4">IF(M4="","",IF(F4="SI",M4*0.19,0))</f>
        <v>38000</v>
      </c>
      <c r="O4" s="275">
        <f t="shared" ref="O4:O143" si="5">IF(K4="","",M4+N4)</f>
        <v>238000</v>
      </c>
      <c r="P4" s="275">
        <f t="shared" ref="P4:P88" si="6">IF(K4="","",SUMIF($B:$B,B4,$O:$O))</f>
        <v>238000</v>
      </c>
      <c r="Q4" s="293">
        <f>IF(H4="","",VLOOKUP(H4,'Base de datos'!E:M,9,FALSE))</f>
        <v>100000</v>
      </c>
      <c r="R4" s="275">
        <f t="shared" ref="R4:R88" si="7">IF(Q4="","",SUMIF($B:$B,B4,$Q:$Q))</f>
        <v>100000</v>
      </c>
      <c r="S4" s="294"/>
    </row>
    <row r="5" ht="22.5" customHeight="1">
      <c r="A5" s="258" t="str">
        <f t="shared" si="1"/>
        <v>2-1</v>
      </c>
      <c r="B5" s="269">
        <v>2.0</v>
      </c>
      <c r="C5" s="269">
        <f t="shared" si="2"/>
        <v>1</v>
      </c>
      <c r="D5" s="258" t="str">
        <f t="array" ref="D5">IF(B5="","",IFERROR(
  INDEX(R_COTIZACIONES!D:D,MATCH(B5,R_COTIZACIONES!A:A,0)),
""))</f>
        <v>Condominio Colinas del Milagro</v>
      </c>
      <c r="E5" s="258" t="str">
        <f t="array" ref="E5">IF(B5="","",IFERROR(
  INDEX(R_COTIZACIONES!C:C,MATCH(B5,R_COTIZACIONES!A:A,0)),
""))</f>
        <v>53333086-k</v>
      </c>
      <c r="F5" s="273" t="s">
        <v>34</v>
      </c>
      <c r="G5" s="273" t="s">
        <v>181</v>
      </c>
      <c r="H5" s="273" t="s">
        <v>267</v>
      </c>
      <c r="I5" s="292" t="str">
        <f>IF(H5="","",VLOOKUP(H5,'Base de datos'!$E:$G,3,FALSE))</f>
        <v>Mantención programada</v>
      </c>
      <c r="J5" s="269">
        <v>1.0</v>
      </c>
      <c r="K5" s="275">
        <f>IF(H5="","",VLOOKUP(H5,'Base de datos'!E:N,10,FALSE))</f>
        <v>200000</v>
      </c>
      <c r="L5" s="269">
        <v>0.0</v>
      </c>
      <c r="M5" s="275">
        <f t="shared" si="3"/>
        <v>200000</v>
      </c>
      <c r="N5" s="275">
        <f t="shared" si="4"/>
        <v>38000</v>
      </c>
      <c r="O5" s="275">
        <f t="shared" si="5"/>
        <v>238000</v>
      </c>
      <c r="P5" s="275">
        <f t="shared" si="6"/>
        <v>238000</v>
      </c>
      <c r="Q5" s="293">
        <f>IF(H5="","",VLOOKUP(H5,'Base de datos'!E:M,9,FALSE))</f>
        <v>100000</v>
      </c>
      <c r="R5" s="275">
        <f t="shared" si="7"/>
        <v>100000</v>
      </c>
      <c r="S5" s="294"/>
    </row>
    <row r="6" ht="22.5" customHeight="1">
      <c r="A6" s="258" t="str">
        <f t="shared" si="1"/>
        <v>3-1</v>
      </c>
      <c r="B6" s="269">
        <v>3.0</v>
      </c>
      <c r="C6" s="269">
        <f t="shared" si="2"/>
        <v>1</v>
      </c>
      <c r="D6" s="258" t="str">
        <f t="array" ref="D6">IF(B6="","",IFERROR(
  INDEX(R_COTIZACIONES!D:D,MATCH(B6,R_COTIZACIONES!A:A,0)),
""))</f>
        <v>Comunidad Edificio Florencia</v>
      </c>
      <c r="E6" s="258" t="str">
        <f t="array" ref="E6">IF(B6="","",IFERROR(
  INDEX(R_COTIZACIONES!C:C,MATCH(B6,R_COTIZACIONES!A:A,0)),
""))</f>
        <v>56047780-5</v>
      </c>
      <c r="F6" s="273" t="s">
        <v>34</v>
      </c>
      <c r="G6" s="273" t="s">
        <v>156</v>
      </c>
      <c r="H6" s="273" t="s">
        <v>193</v>
      </c>
      <c r="I6" s="292" t="str">
        <f>IF(H6="","",VLOOKUP(H6,'Base de datos'!$E:$G,3,FALSE))</f>
        <v>Controlador Wifi WP17</v>
      </c>
      <c r="J6" s="269">
        <v>1.0</v>
      </c>
      <c r="K6" s="277">
        <v>220000.0</v>
      </c>
      <c r="L6" s="269">
        <v>0.0</v>
      </c>
      <c r="M6" s="275">
        <f t="shared" si="3"/>
        <v>220000</v>
      </c>
      <c r="N6" s="275">
        <f t="shared" si="4"/>
        <v>41800</v>
      </c>
      <c r="O6" s="275">
        <f t="shared" si="5"/>
        <v>261800</v>
      </c>
      <c r="P6" s="275">
        <f t="shared" si="6"/>
        <v>261800</v>
      </c>
      <c r="Q6" s="293">
        <f>IF(H6="","",VLOOKUP(H6,'Base de datos'!E:M,9,FALSE))</f>
        <v>161840</v>
      </c>
      <c r="R6" s="275">
        <f t="shared" si="7"/>
        <v>161840</v>
      </c>
      <c r="S6" s="294"/>
    </row>
    <row r="7" ht="22.5" customHeight="1">
      <c r="A7" s="258" t="str">
        <f t="shared" si="1"/>
        <v>4-1</v>
      </c>
      <c r="B7" s="269">
        <v>4.0</v>
      </c>
      <c r="C7" s="269">
        <f t="shared" si="2"/>
        <v>1</v>
      </c>
      <c r="D7" s="258" t="str">
        <f t="array" ref="D7">IF(B7="","",IFERROR(
  INDEX(R_COTIZACIONES!D:D,MATCH(B7,R_COTIZACIONES!A:A,0)),
""))</f>
        <v>CONDOMINIO V.I.V.E LA FLORIDA ORIENTE</v>
      </c>
      <c r="E7" s="258" t="str">
        <f t="array" ref="E7">IF(B7="","",IFERROR(
  INDEX(R_COTIZACIONES!C:C,MATCH(B7,R_COTIZACIONES!A:A,0)),
""))</f>
        <v>53322672-8 </v>
      </c>
      <c r="F7" s="273" t="s">
        <v>34</v>
      </c>
      <c r="G7" s="273" t="s">
        <v>181</v>
      </c>
      <c r="H7" s="273" t="s">
        <v>259</v>
      </c>
      <c r="I7" s="292" t="str">
        <f>IF(H7="","",VLOOKUP(H7,'Base de datos'!$E:$G,3,FALSE))</f>
        <v>Instalación de ruedas (Unidad)</v>
      </c>
      <c r="J7" s="269">
        <v>1.0</v>
      </c>
      <c r="K7" s="277">
        <v>200000.0</v>
      </c>
      <c r="L7" s="269">
        <v>0.0</v>
      </c>
      <c r="M7" s="275">
        <f t="shared" si="3"/>
        <v>200000</v>
      </c>
      <c r="N7" s="275">
        <f t="shared" si="4"/>
        <v>38000</v>
      </c>
      <c r="O7" s="275">
        <f t="shared" si="5"/>
        <v>238000</v>
      </c>
      <c r="P7" s="275">
        <f t="shared" si="6"/>
        <v>357000</v>
      </c>
      <c r="Q7" s="293">
        <f>IF(H7="","",VLOOKUP(H7,'Base de datos'!E:M,9,FALSE))</f>
        <v>22500</v>
      </c>
      <c r="R7" s="275">
        <f t="shared" si="7"/>
        <v>45000</v>
      </c>
      <c r="S7" s="294"/>
    </row>
    <row r="8" ht="22.5" customHeight="1">
      <c r="A8" s="258" t="str">
        <f t="shared" si="1"/>
        <v>4-2</v>
      </c>
      <c r="B8" s="269">
        <v>4.0</v>
      </c>
      <c r="C8" s="269">
        <f t="shared" si="2"/>
        <v>2</v>
      </c>
      <c r="D8" s="258" t="str">
        <f t="array" ref="D8">IF(B8="","",IFERROR(
  INDEX(R_COTIZACIONES!D:D,MATCH(B8,R_COTIZACIONES!A:A,0)),
""))</f>
        <v>CONDOMINIO V.I.V.E LA FLORIDA ORIENTE</v>
      </c>
      <c r="E8" s="258" t="str">
        <f t="array" ref="E8">IF(B8="","",IFERROR(
  INDEX(R_COTIZACIONES!C:C,MATCH(B8,R_COTIZACIONES!A:A,0)),
""))</f>
        <v>53322672-8 </v>
      </c>
      <c r="F8" s="273" t="s">
        <v>34</v>
      </c>
      <c r="G8" s="273" t="s">
        <v>181</v>
      </c>
      <c r="H8" s="273" t="s">
        <v>259</v>
      </c>
      <c r="I8" s="292" t="str">
        <f>IF(H8="","",VLOOKUP(H8,'Base de datos'!$E:$G,3,FALSE))</f>
        <v>Instalación de ruedas (Unidad)</v>
      </c>
      <c r="J8" s="269">
        <v>1.0</v>
      </c>
      <c r="K8" s="277">
        <v>100000.0</v>
      </c>
      <c r="L8" s="269">
        <v>0.0</v>
      </c>
      <c r="M8" s="275">
        <f t="shared" si="3"/>
        <v>100000</v>
      </c>
      <c r="N8" s="275">
        <f t="shared" si="4"/>
        <v>19000</v>
      </c>
      <c r="O8" s="275">
        <f t="shared" si="5"/>
        <v>119000</v>
      </c>
      <c r="P8" s="275">
        <f t="shared" si="6"/>
        <v>357000</v>
      </c>
      <c r="Q8" s="293">
        <f>IF(H8="","",VLOOKUP(H8,'Base de datos'!E:M,9,FALSE))</f>
        <v>22500</v>
      </c>
      <c r="R8" s="275">
        <f t="shared" si="7"/>
        <v>45000</v>
      </c>
      <c r="S8" s="294"/>
    </row>
    <row r="9" ht="22.5" customHeight="1">
      <c r="A9" s="258" t="str">
        <f t="shared" si="1"/>
        <v>5-1</v>
      </c>
      <c r="B9" s="269">
        <v>5.0</v>
      </c>
      <c r="C9" s="269">
        <f t="shared" si="2"/>
        <v>1</v>
      </c>
      <c r="D9" s="258" t="str">
        <f t="array" ref="D9">IF(B9="","",IFERROR(
  INDEX(R_COTIZACIONES!D:D,MATCH(B9,R_COTIZACIONES!A:A,0)),
""))</f>
        <v>Condominio Lomas de San Joaquin</v>
      </c>
      <c r="E9" s="258" t="str">
        <f t="array" ref="E9">IF(B9="","",IFERROR(
  INDEX(R_COTIZACIONES!C:C,MATCH(B9,R_COTIZACIONES!A:A,0)),
""))</f>
        <v>50.000.001-0</v>
      </c>
      <c r="F9" s="273" t="s">
        <v>34</v>
      </c>
      <c r="G9" s="273" t="s">
        <v>159</v>
      </c>
      <c r="H9" s="273" t="s">
        <v>166</v>
      </c>
      <c r="I9" s="292" t="str">
        <f>IF(H9="","",VLOOKUP(H9,'Base de datos'!$E:$G,3,FALSE))</f>
        <v>D10 Turbo (6 crem y 2 controles)</v>
      </c>
      <c r="J9" s="269">
        <v>1.0</v>
      </c>
      <c r="K9" s="277">
        <v>1400000.0</v>
      </c>
      <c r="L9" s="269">
        <v>0.0</v>
      </c>
      <c r="M9" s="275">
        <f t="shared" si="3"/>
        <v>1400000</v>
      </c>
      <c r="N9" s="275">
        <f t="shared" si="4"/>
        <v>266000</v>
      </c>
      <c r="O9" s="275">
        <f t="shared" si="5"/>
        <v>1666000</v>
      </c>
      <c r="P9" s="275">
        <f t="shared" si="6"/>
        <v>1666000</v>
      </c>
      <c r="Q9" s="293">
        <f>IF(H9="","",VLOOKUP(H9,'Base de datos'!E:M,9,FALSE))</f>
        <v>450483.6</v>
      </c>
      <c r="R9" s="275">
        <f t="shared" si="7"/>
        <v>450483.6</v>
      </c>
      <c r="S9" s="294"/>
    </row>
    <row r="10" ht="22.5" customHeight="1">
      <c r="A10" s="258" t="str">
        <f t="shared" si="1"/>
        <v>6-1</v>
      </c>
      <c r="B10" s="269">
        <v>6.0</v>
      </c>
      <c r="C10" s="269">
        <f t="shared" si="2"/>
        <v>1</v>
      </c>
      <c r="D10" s="258" t="str">
        <f t="array" ref="D10">IF(B10="","",IFERROR(
  INDEX(R_COTIZACIONES!D:D,MATCH(B10,R_COTIZACIONES!A:A,0)),
""))</f>
        <v>Comunidad Edificio Florencia</v>
      </c>
      <c r="E10" s="258" t="str">
        <f t="array" ref="E10">IF(B10="","",IFERROR(
  INDEX(R_COTIZACIONES!C:C,MATCH(B10,R_COTIZACIONES!A:A,0)),
""))</f>
        <v>56047780-5</v>
      </c>
      <c r="F10" s="273" t="s">
        <v>34</v>
      </c>
      <c r="G10" s="273" t="s">
        <v>181</v>
      </c>
      <c r="H10" s="273" t="s">
        <v>267</v>
      </c>
      <c r="I10" s="292" t="str">
        <f>IF(H10="","",VLOOKUP(H10,'Base de datos'!$E:$G,3,FALSE))</f>
        <v>Mantención programada</v>
      </c>
      <c r="J10" s="269">
        <v>1.0</v>
      </c>
      <c r="K10" s="277">
        <v>230000.0</v>
      </c>
      <c r="L10" s="269">
        <v>0.0</v>
      </c>
      <c r="M10" s="275">
        <f t="shared" si="3"/>
        <v>230000</v>
      </c>
      <c r="N10" s="275">
        <f t="shared" si="4"/>
        <v>43700</v>
      </c>
      <c r="O10" s="275">
        <f t="shared" si="5"/>
        <v>273700</v>
      </c>
      <c r="P10" s="275">
        <f t="shared" si="6"/>
        <v>273700</v>
      </c>
      <c r="Q10" s="293">
        <f>IF(H10="","",VLOOKUP(H10,'Base de datos'!E:M,9,FALSE))</f>
        <v>100000</v>
      </c>
      <c r="R10" s="275">
        <f t="shared" si="7"/>
        <v>100000</v>
      </c>
      <c r="S10" s="294"/>
    </row>
    <row r="11" ht="22.5" customHeight="1">
      <c r="A11" s="258" t="str">
        <f t="shared" si="1"/>
        <v>7-1</v>
      </c>
      <c r="B11" s="269">
        <v>7.0</v>
      </c>
      <c r="C11" s="269">
        <f t="shared" si="2"/>
        <v>1</v>
      </c>
      <c r="D11" s="258" t="str">
        <f t="array" ref="D11">IF(B11="","",IFERROR(
  INDEX(R_COTIZACIONES!D:D,MATCH(B11,R_COTIZACIONES!A:A,0)),
""))</f>
        <v>Condominio Los Tamarindos I</v>
      </c>
      <c r="E11" s="258" t="str">
        <f t="array" ref="E11">IF(B11="","",IFERROR(
  INDEX(R_COTIZACIONES!C:C,MATCH(B11,R_COTIZACIONES!A:A,0)),
""))</f>
        <v>53.322.860-7</v>
      </c>
      <c r="F11" s="273" t="s">
        <v>38</v>
      </c>
      <c r="G11" s="273" t="s">
        <v>156</v>
      </c>
      <c r="H11" s="273" t="s">
        <v>161</v>
      </c>
      <c r="I11" s="292" t="str">
        <f>IF(H11="","",VLOOKUP(H11,'Base de datos'!$E:$G,3,FALSE))</f>
        <v>D10 Standard Kit 1(6 crem y 2 controles)</v>
      </c>
      <c r="J11" s="269">
        <v>1.0</v>
      </c>
      <c r="K11" s="277">
        <v>1500000.0</v>
      </c>
      <c r="L11" s="269">
        <v>0.0</v>
      </c>
      <c r="M11" s="275">
        <f t="shared" si="3"/>
        <v>1500000</v>
      </c>
      <c r="N11" s="258">
        <f t="shared" si="4"/>
        <v>0</v>
      </c>
      <c r="O11" s="275">
        <f t="shared" si="5"/>
        <v>1500000</v>
      </c>
      <c r="P11" s="275">
        <f t="shared" si="6"/>
        <v>1500000</v>
      </c>
      <c r="Q11" s="293">
        <f>IF(H11="","",VLOOKUP(H11,'Base de datos'!E:M,9,FALSE))</f>
        <v>420000</v>
      </c>
      <c r="R11" s="275">
        <f t="shared" si="7"/>
        <v>420000</v>
      </c>
      <c r="S11" s="294"/>
    </row>
    <row r="12" ht="22.5" customHeight="1">
      <c r="A12" s="258" t="str">
        <f t="shared" si="1"/>
        <v>8-1</v>
      </c>
      <c r="B12" s="269">
        <v>8.0</v>
      </c>
      <c r="C12" s="269">
        <f t="shared" si="2"/>
        <v>1</v>
      </c>
      <c r="D12" s="258" t="str">
        <f t="array" ref="D12">IF(B12="","",IFERROR(
  INDEX(R_COTIZACIONES!D:D,MATCH(B12,R_COTIZACIONES!A:A,0)),
""))</f>
        <v>Condominio Los Tamarindos I</v>
      </c>
      <c r="E12" s="258" t="str">
        <f t="array" ref="E12">IF(B12="","",IFERROR(
  INDEX(R_COTIZACIONES!C:C,MATCH(B12,R_COTIZACIONES!A:A,0)),
""))</f>
        <v>53.322.860-7</v>
      </c>
      <c r="F12" s="273" t="s">
        <v>38</v>
      </c>
      <c r="G12" s="273" t="s">
        <v>156</v>
      </c>
      <c r="H12" s="273" t="s">
        <v>193</v>
      </c>
      <c r="I12" s="292" t="str">
        <f>IF(H12="","",VLOOKUP(H12,'Base de datos'!$E:$G,3,FALSE))</f>
        <v>Controlador Wifi WP17</v>
      </c>
      <c r="J12" s="269">
        <v>1.0</v>
      </c>
      <c r="K12" s="277">
        <v>220000.0</v>
      </c>
      <c r="L12" s="269">
        <v>0.0</v>
      </c>
      <c r="M12" s="275">
        <f t="shared" si="3"/>
        <v>220000</v>
      </c>
      <c r="N12" s="258">
        <f t="shared" si="4"/>
        <v>0</v>
      </c>
      <c r="O12" s="275">
        <f t="shared" si="5"/>
        <v>220000</v>
      </c>
      <c r="P12" s="275">
        <f t="shared" si="6"/>
        <v>220000</v>
      </c>
      <c r="Q12" s="293">
        <f>IF(H12="","",VLOOKUP(H12,'Base de datos'!E:M,9,FALSE))</f>
        <v>161840</v>
      </c>
      <c r="R12" s="275">
        <f t="shared" si="7"/>
        <v>161840</v>
      </c>
      <c r="S12" s="294"/>
    </row>
    <row r="13" ht="22.5" customHeight="1">
      <c r="A13" s="258" t="str">
        <f t="shared" si="1"/>
        <v>9-1</v>
      </c>
      <c r="B13" s="269">
        <v>9.0</v>
      </c>
      <c r="C13" s="269">
        <f t="shared" si="2"/>
        <v>1</v>
      </c>
      <c r="D13" s="258" t="str">
        <f t="array" ref="D13">IF(B13="","",IFERROR(
  INDEX(R_COTIZACIONES!D:D,MATCH(B13,R_COTIZACIONES!A:A,0)),
""))</f>
        <v>Condominio Jardin Central</v>
      </c>
      <c r="E13" s="258" t="str">
        <f t="array" ref="E13">IF(B13="","",IFERROR(
  INDEX(R_COTIZACIONES!C:C,MATCH(B13,R_COTIZACIONES!A:A,0)),
""))</f>
        <v>53.332.075-9 </v>
      </c>
      <c r="F13" s="273" t="s">
        <v>38</v>
      </c>
      <c r="G13" s="273" t="s">
        <v>181</v>
      </c>
      <c r="H13" s="273" t="s">
        <v>267</v>
      </c>
      <c r="I13" s="292" t="str">
        <f>IF(H13="","",VLOOKUP(H13,'Base de datos'!$E:$G,3,FALSE))</f>
        <v>Mantención programada</v>
      </c>
      <c r="J13" s="269">
        <v>1.0</v>
      </c>
      <c r="K13" s="277">
        <v>170000.0</v>
      </c>
      <c r="L13" s="269">
        <v>0.0</v>
      </c>
      <c r="M13" s="275">
        <f t="shared" si="3"/>
        <v>170000</v>
      </c>
      <c r="N13" s="258">
        <f t="shared" si="4"/>
        <v>0</v>
      </c>
      <c r="O13" s="275">
        <f t="shared" si="5"/>
        <v>170000</v>
      </c>
      <c r="P13" s="275">
        <f t="shared" si="6"/>
        <v>170000</v>
      </c>
      <c r="Q13" s="293">
        <f>IF(H13="","",VLOOKUP(H13,'Base de datos'!E:M,9,FALSE))</f>
        <v>100000</v>
      </c>
      <c r="R13" s="275">
        <f t="shared" si="7"/>
        <v>100000</v>
      </c>
      <c r="S13" s="294"/>
    </row>
    <row r="14" ht="22.5" customHeight="1">
      <c r="A14" s="258" t="str">
        <f t="shared" si="1"/>
        <v>10-1</v>
      </c>
      <c r="B14" s="269">
        <v>10.0</v>
      </c>
      <c r="C14" s="269">
        <f t="shared" si="2"/>
        <v>1</v>
      </c>
      <c r="D14" s="258" t="str">
        <f t="array" ref="D14">IF(B14="","",IFERROR(
  INDEX(R_COTIZACIONES!D:D,MATCH(B14,R_COTIZACIONES!A:A,0)),
""))</f>
        <v>Edificio Puerta Centro</v>
      </c>
      <c r="E14" s="258" t="str">
        <f t="array" ref="E14">IF(B14="","",IFERROR(
  INDEX(R_COTIZACIONES!C:C,MATCH(B14,R_COTIZACIONES!A:A,0)),
""))</f>
        <v>50.000.000-0</v>
      </c>
      <c r="F14" s="273" t="s">
        <v>38</v>
      </c>
      <c r="G14" s="273" t="s">
        <v>181</v>
      </c>
      <c r="H14" s="273" t="s">
        <v>267</v>
      </c>
      <c r="I14" s="292" t="str">
        <f>IF(H14="","",VLOOKUP(H14,'Base de datos'!$E:$G,3,FALSE))</f>
        <v>Mantención programada</v>
      </c>
      <c r="J14" s="269">
        <v>1.0</v>
      </c>
      <c r="K14" s="277">
        <v>170000.0</v>
      </c>
      <c r="L14" s="269">
        <v>0.0</v>
      </c>
      <c r="M14" s="275">
        <f t="shared" si="3"/>
        <v>170000</v>
      </c>
      <c r="N14" s="258">
        <f t="shared" si="4"/>
        <v>0</v>
      </c>
      <c r="O14" s="275">
        <f t="shared" si="5"/>
        <v>170000</v>
      </c>
      <c r="P14" s="275">
        <f t="shared" si="6"/>
        <v>170000</v>
      </c>
      <c r="Q14" s="293">
        <f>IF(H14="","",VLOOKUP(H14,'Base de datos'!E:M,9,FALSE))</f>
        <v>100000</v>
      </c>
      <c r="R14" s="275">
        <f t="shared" si="7"/>
        <v>100000</v>
      </c>
      <c r="S14" s="294"/>
    </row>
    <row r="15" ht="22.5" customHeight="1">
      <c r="A15" s="258" t="str">
        <f t="shared" si="1"/>
        <v>11-1</v>
      </c>
      <c r="B15" s="269">
        <v>11.0</v>
      </c>
      <c r="C15" s="269">
        <f t="shared" si="2"/>
        <v>1</v>
      </c>
      <c r="D15" s="258" t="str">
        <f t="array" ref="D15">IF(B15="","",IFERROR(
  INDEX(R_COTIZACIONES!D:D,MATCH(B15,R_COTIZACIONES!A:A,0)),
""))</f>
        <v>Condominio Neo Spazio</v>
      </c>
      <c r="E15" s="258" t="str">
        <f t="array" ref="E15">IF(B15="","",IFERROR(
  INDEX(R_COTIZACIONES!C:C,MATCH(B15,R_COTIZACIONES!A:A,0)),
""))</f>
        <v>65.095.336-2</v>
      </c>
      <c r="F15" s="273" t="s">
        <v>34</v>
      </c>
      <c r="G15" s="273" t="s">
        <v>185</v>
      </c>
      <c r="H15" s="273" t="s">
        <v>267</v>
      </c>
      <c r="I15" s="292" t="str">
        <f>IF(H15="","",VLOOKUP(H15,'Base de datos'!$E:$G,3,FALSE))</f>
        <v>Mantención programada</v>
      </c>
      <c r="J15" s="269">
        <v>1.0</v>
      </c>
      <c r="K15" s="277">
        <v>1250000.0</v>
      </c>
      <c r="L15" s="269">
        <v>0.0</v>
      </c>
      <c r="M15" s="275">
        <f t="shared" si="3"/>
        <v>1250000</v>
      </c>
      <c r="N15" s="275">
        <f t="shared" si="4"/>
        <v>237500</v>
      </c>
      <c r="O15" s="275">
        <f t="shared" si="5"/>
        <v>1487500</v>
      </c>
      <c r="P15" s="275">
        <f t="shared" si="6"/>
        <v>1487500</v>
      </c>
      <c r="Q15" s="293">
        <f>IF(H15="","",VLOOKUP(H15,'Base de datos'!E:M,9,FALSE))</f>
        <v>100000</v>
      </c>
      <c r="R15" s="275">
        <f t="shared" si="7"/>
        <v>100000</v>
      </c>
      <c r="S15" s="294"/>
    </row>
    <row r="16" ht="22.5" customHeight="1">
      <c r="A16" s="258" t="str">
        <f t="shared" si="1"/>
        <v>12-1</v>
      </c>
      <c r="B16" s="269">
        <v>12.0</v>
      </c>
      <c r="C16" s="269">
        <f t="shared" si="2"/>
        <v>1</v>
      </c>
      <c r="D16" s="258" t="str">
        <f t="array" ref="D16">IF(B16="","",IFERROR(
  INDEX(R_COTIZACIONES!D:D,MATCH(B16,R_COTIZACIONES!A:A,0)),
""))</f>
        <v>Condominio Mirador El Milagro</v>
      </c>
      <c r="E16" s="258" t="str">
        <f t="array" ref="E16">IF(B16="","",IFERROR(
  INDEX(R_COTIZACIONES!C:C,MATCH(B16,R_COTIZACIONES!A:A,0)),
""))</f>
        <v>65216508-7</v>
      </c>
      <c r="F16" s="273" t="s">
        <v>34</v>
      </c>
      <c r="G16" s="273" t="s">
        <v>156</v>
      </c>
      <c r="H16" s="273" t="s">
        <v>161</v>
      </c>
      <c r="I16" s="292" t="str">
        <f>IF(H16="","",VLOOKUP(H16,'Base de datos'!$E:$G,3,FALSE))</f>
        <v>D10 Standard Kit 1(6 crem y 2 controles)</v>
      </c>
      <c r="J16" s="269">
        <v>1.0</v>
      </c>
      <c r="K16" s="277">
        <v>1435990.0</v>
      </c>
      <c r="L16" s="269">
        <v>0.0</v>
      </c>
      <c r="M16" s="275">
        <f t="shared" si="3"/>
        <v>1435990</v>
      </c>
      <c r="N16" s="275">
        <f t="shared" si="4"/>
        <v>272838.1</v>
      </c>
      <c r="O16" s="275">
        <f t="shared" si="5"/>
        <v>1708828.1</v>
      </c>
      <c r="P16" s="275">
        <f t="shared" si="6"/>
        <v>1708828.1</v>
      </c>
      <c r="Q16" s="293">
        <f>IF(H16="","",VLOOKUP(H16,'Base de datos'!E:M,9,FALSE))</f>
        <v>420000</v>
      </c>
      <c r="R16" s="275">
        <f t="shared" si="7"/>
        <v>420000</v>
      </c>
      <c r="S16" s="294"/>
    </row>
    <row r="17" ht="22.5" customHeight="1">
      <c r="A17" s="258" t="str">
        <f t="shared" si="1"/>
        <v>13-1</v>
      </c>
      <c r="B17" s="269">
        <v>13.0</v>
      </c>
      <c r="C17" s="269">
        <f t="shared" si="2"/>
        <v>1</v>
      </c>
      <c r="D17" s="258" t="str">
        <f t="array" ref="D17">IF(B17="","",IFERROR(
  INDEX(R_COTIZACIONES!D:D,MATCH(B17,R_COTIZACIONES!A:A,0)),
""))</f>
        <v>Condominio Colinas del Milagro</v>
      </c>
      <c r="E17" s="258" t="str">
        <f t="array" ref="E17">IF(B17="","",IFERROR(
  INDEX(R_COTIZACIONES!C:C,MATCH(B17,R_COTIZACIONES!A:A,0)),
""))</f>
        <v>53333086-k</v>
      </c>
      <c r="F17" s="273" t="s">
        <v>34</v>
      </c>
      <c r="G17" s="273" t="s">
        <v>156</v>
      </c>
      <c r="H17" s="273" t="s">
        <v>161</v>
      </c>
      <c r="I17" s="292" t="str">
        <f>IF(H17="","",VLOOKUP(H17,'Base de datos'!$E:$G,3,FALSE))</f>
        <v>D10 Standard Kit 1(6 crem y 2 controles)</v>
      </c>
      <c r="J17" s="269">
        <v>1.0</v>
      </c>
      <c r="K17" s="277">
        <v>1340000.0</v>
      </c>
      <c r="L17" s="269">
        <v>0.0</v>
      </c>
      <c r="M17" s="275">
        <f t="shared" si="3"/>
        <v>1340000</v>
      </c>
      <c r="N17" s="275">
        <f t="shared" si="4"/>
        <v>254600</v>
      </c>
      <c r="O17" s="275">
        <f t="shared" si="5"/>
        <v>1594600</v>
      </c>
      <c r="P17" s="275">
        <f t="shared" si="6"/>
        <v>1594600</v>
      </c>
      <c r="Q17" s="293">
        <f>IF(H17="","",VLOOKUP(H17,'Base de datos'!E:M,9,FALSE))</f>
        <v>420000</v>
      </c>
      <c r="R17" s="275">
        <f t="shared" si="7"/>
        <v>420000</v>
      </c>
      <c r="S17" s="294"/>
    </row>
    <row r="18" ht="22.5" customHeight="1">
      <c r="A18" s="258" t="str">
        <f t="shared" si="1"/>
        <v>14-1</v>
      </c>
      <c r="B18" s="269">
        <v>14.0</v>
      </c>
      <c r="C18" s="269">
        <f t="shared" si="2"/>
        <v>1</v>
      </c>
      <c r="D18" s="258" t="str">
        <f t="array" ref="D18">IF(B18="","",IFERROR(
  INDEX(R_COTIZACIONES!D:D,MATCH(B18,R_COTIZACIONES!A:A,0)),
""))</f>
        <v>Condominio Colinas del Milagro</v>
      </c>
      <c r="E18" s="258" t="str">
        <f t="array" ref="E18">IF(B18="","",IFERROR(
  INDEX(R_COTIZACIONES!C:C,MATCH(B18,R_COTIZACIONES!A:A,0)),
""))</f>
        <v>53333086-k</v>
      </c>
      <c r="F18" s="273" t="s">
        <v>34</v>
      </c>
      <c r="G18" s="273" t="s">
        <v>185</v>
      </c>
      <c r="H18" s="273" t="s">
        <v>246</v>
      </c>
      <c r="I18" s="292" t="str">
        <f>IF(H18="","",VLOOKUP(H18,'Base de datos'!$E:$G,3,FALSE))</f>
        <v>Cerradura Eléctrica Poli Estándar 3010 Color Gris</v>
      </c>
      <c r="J18" s="269">
        <v>2.0</v>
      </c>
      <c r="K18" s="277">
        <v>100000.0</v>
      </c>
      <c r="L18" s="269">
        <v>0.0</v>
      </c>
      <c r="M18" s="275">
        <f t="shared" si="3"/>
        <v>200000</v>
      </c>
      <c r="N18" s="275">
        <f t="shared" si="4"/>
        <v>38000</v>
      </c>
      <c r="O18" s="275">
        <f t="shared" si="5"/>
        <v>238000</v>
      </c>
      <c r="P18" s="275">
        <f t="shared" si="6"/>
        <v>440300</v>
      </c>
      <c r="Q18" s="293">
        <f>IF(H18="","",VLOOKUP(H18,'Base de datos'!E:M,9,FALSE))</f>
        <v>45144</v>
      </c>
      <c r="R18" s="275">
        <f t="shared" si="7"/>
        <v>95144</v>
      </c>
      <c r="S18" s="294"/>
    </row>
    <row r="19" ht="22.5" customHeight="1">
      <c r="A19" s="258" t="str">
        <f t="shared" si="1"/>
        <v>14-2</v>
      </c>
      <c r="B19" s="269">
        <v>14.0</v>
      </c>
      <c r="C19" s="269">
        <f t="shared" si="2"/>
        <v>2</v>
      </c>
      <c r="D19" s="258" t="str">
        <f t="array" ref="D19">IF(B19="","",IFERROR(
  INDEX(R_COTIZACIONES!D:D,MATCH(B19,R_COTIZACIONES!A:A,0)),
""))</f>
        <v>Condominio Colinas del Milagro</v>
      </c>
      <c r="E19" s="258" t="str">
        <f t="array" ref="E19">IF(B19="","",IFERROR(
  INDEX(R_COTIZACIONES!C:C,MATCH(B19,R_COTIZACIONES!A:A,0)),
""))</f>
        <v>53333086-k</v>
      </c>
      <c r="F19" s="273" t="s">
        <v>34</v>
      </c>
      <c r="G19" s="273" t="s">
        <v>181</v>
      </c>
      <c r="H19" s="273" t="s">
        <v>269</v>
      </c>
      <c r="I19" s="292" t="str">
        <f>IF(H19="","",VLOOKUP(H19,'Base de datos'!$E:$G,3,FALSE))</f>
        <v>Instalación de chapa Exteriores</v>
      </c>
      <c r="J19" s="269">
        <v>2.0</v>
      </c>
      <c r="K19" s="277">
        <v>85000.0</v>
      </c>
      <c r="L19" s="269">
        <v>0.0</v>
      </c>
      <c r="M19" s="275">
        <f t="shared" si="3"/>
        <v>170000</v>
      </c>
      <c r="N19" s="275">
        <f t="shared" si="4"/>
        <v>32300</v>
      </c>
      <c r="O19" s="275">
        <f t="shared" si="5"/>
        <v>202300</v>
      </c>
      <c r="P19" s="275">
        <f t="shared" si="6"/>
        <v>440300</v>
      </c>
      <c r="Q19" s="293">
        <f>IF(H19="","",VLOOKUP(H19,'Base de datos'!E:M,9,FALSE))</f>
        <v>50000</v>
      </c>
      <c r="R19" s="275">
        <f t="shared" si="7"/>
        <v>95144</v>
      </c>
      <c r="S19" s="294"/>
    </row>
    <row r="20" ht="22.5" customHeight="1">
      <c r="A20" s="258" t="str">
        <f t="shared" si="1"/>
        <v>15-1</v>
      </c>
      <c r="B20" s="269">
        <v>15.0</v>
      </c>
      <c r="C20" s="269">
        <f t="shared" si="2"/>
        <v>1</v>
      </c>
      <c r="D20" s="258" t="str">
        <f t="array" ref="D20">IF(B20="","",IFERROR(
  INDEX(R_COTIZACIONES!D:D,MATCH(B20,R_COTIZACIONES!A:A,0)),
""))</f>
        <v>Cond Artes 1</v>
      </c>
      <c r="E20" s="258" t="str">
        <f t="array" ref="E20">IF(B20="","",IFERROR(
  INDEX(R_COTIZACIONES!C:C,MATCH(B20,R_COTIZACIONES!A:A,0)),
""))</f>
        <v>76.324.502- 0</v>
      </c>
      <c r="F20" s="273" t="s">
        <v>34</v>
      </c>
      <c r="G20" s="273" t="s">
        <v>156</v>
      </c>
      <c r="H20" s="273" t="s">
        <v>166</v>
      </c>
      <c r="I20" s="292" t="str">
        <f>IF(H20="","",VLOOKUP(H20,'Base de datos'!$E:$G,3,FALSE))</f>
        <v>D10 Turbo (6 crem y 2 controles)</v>
      </c>
      <c r="J20" s="269">
        <v>1.0</v>
      </c>
      <c r="K20" s="277">
        <v>1660000.0</v>
      </c>
      <c r="L20" s="269">
        <v>0.0</v>
      </c>
      <c r="M20" s="275">
        <f t="shared" si="3"/>
        <v>1660000</v>
      </c>
      <c r="N20" s="275">
        <f t="shared" si="4"/>
        <v>315400</v>
      </c>
      <c r="O20" s="275">
        <f t="shared" si="5"/>
        <v>1975400</v>
      </c>
      <c r="P20" s="275">
        <f t="shared" si="6"/>
        <v>1975400</v>
      </c>
      <c r="Q20" s="293">
        <f>IF(H20="","",VLOOKUP(H20,'Base de datos'!E:M,9,FALSE))</f>
        <v>450483.6</v>
      </c>
      <c r="R20" s="275">
        <f t="shared" si="7"/>
        <v>450483.6</v>
      </c>
      <c r="S20" s="294"/>
    </row>
    <row r="21" ht="22.5" customHeight="1">
      <c r="A21" s="258" t="str">
        <f t="shared" si="1"/>
        <v>16-1</v>
      </c>
      <c r="B21" s="269">
        <v>16.0</v>
      </c>
      <c r="C21" s="269">
        <f t="shared" si="2"/>
        <v>1</v>
      </c>
      <c r="D21" s="258" t="str">
        <f t="array" ref="D21">IF(B21="","",IFERROR(
  INDEX(R_COTIZACIONES!D:D,MATCH(B21,R_COTIZACIONES!A:A,0)),
""))</f>
        <v>Sociedad Educacional Shalom SpA</v>
      </c>
      <c r="E21" s="258" t="str">
        <f t="array" ref="E21">IF(B21="","",IFERROR(
  INDEX(R_COTIZACIONES!C:C,MATCH(B21,R_COTIZACIONES!A:A,0)),
""))</f>
        <v>76470822-9</v>
      </c>
      <c r="F21" s="273" t="s">
        <v>34</v>
      </c>
      <c r="G21" s="273" t="s">
        <v>156</v>
      </c>
      <c r="H21" s="273" t="s">
        <v>166</v>
      </c>
      <c r="I21" s="292" t="str">
        <f>IF(H21="","",VLOOKUP(H21,'Base de datos'!$E:$G,3,FALSE))</f>
        <v>D10 Turbo (6 crem y 2 controles)</v>
      </c>
      <c r="J21" s="269">
        <v>1.0</v>
      </c>
      <c r="K21" s="277">
        <v>1490000.0</v>
      </c>
      <c r="L21" s="269">
        <v>0.0</v>
      </c>
      <c r="M21" s="275">
        <f t="shared" si="3"/>
        <v>1490000</v>
      </c>
      <c r="N21" s="275">
        <f t="shared" si="4"/>
        <v>283100</v>
      </c>
      <c r="O21" s="275">
        <f t="shared" si="5"/>
        <v>1773100</v>
      </c>
      <c r="P21" s="275">
        <f t="shared" si="6"/>
        <v>1773100</v>
      </c>
      <c r="Q21" s="293">
        <f>IF(H21="","",VLOOKUP(H21,'Base de datos'!E:M,9,FALSE))</f>
        <v>450483.6</v>
      </c>
      <c r="R21" s="275">
        <f t="shared" si="7"/>
        <v>450483.6</v>
      </c>
      <c r="S21" s="294"/>
    </row>
    <row r="22" ht="22.5" customHeight="1">
      <c r="A22" s="258" t="str">
        <f t="shared" si="1"/>
        <v>17-1</v>
      </c>
      <c r="B22" s="269">
        <v>17.0</v>
      </c>
      <c r="C22" s="269">
        <f t="shared" si="2"/>
        <v>1</v>
      </c>
      <c r="D22" s="258" t="str">
        <f t="array" ref="D22">IF(B22="","",IFERROR(
  INDEX(R_COTIZACIONES!D:D,MATCH(B22,R_COTIZACIONES!A:A,0)),
""))</f>
        <v>Sociedad Educacional Basaldiaz S.A</v>
      </c>
      <c r="E22" s="258" t="str">
        <f t="array" ref="E22">IF(B22="","",IFERROR(
  INDEX(R_COTIZACIONES!C:C,MATCH(B22,R_COTIZACIONES!A:A,0)),
""))</f>
        <v>76.179.872-3</v>
      </c>
      <c r="F22" s="273" t="s">
        <v>34</v>
      </c>
      <c r="G22" s="273" t="s">
        <v>156</v>
      </c>
      <c r="H22" s="273" t="s">
        <v>171</v>
      </c>
      <c r="I22" s="292" t="str">
        <f>IF(H22="","",VLOOKUP(H22,'Base de datos'!$E:$G,3,FALSE))</f>
        <v>D6  (6 crem y 2 controles)</v>
      </c>
      <c r="J22" s="269">
        <v>1.0</v>
      </c>
      <c r="K22" s="277">
        <v>1110000.0</v>
      </c>
      <c r="L22" s="269">
        <v>0.0</v>
      </c>
      <c r="M22" s="275">
        <f t="shared" si="3"/>
        <v>1110000</v>
      </c>
      <c r="N22" s="275">
        <f t="shared" si="4"/>
        <v>210900</v>
      </c>
      <c r="O22" s="275">
        <f t="shared" si="5"/>
        <v>1320900</v>
      </c>
      <c r="P22" s="275">
        <f t="shared" si="6"/>
        <v>1320900</v>
      </c>
      <c r="Q22" s="293">
        <f>IF(H22="","",VLOOKUP(H22,'Base de datos'!E:M,9,FALSE))</f>
        <v>311967</v>
      </c>
      <c r="R22" s="275">
        <f t="shared" si="7"/>
        <v>311967</v>
      </c>
      <c r="S22" s="294"/>
    </row>
    <row r="23" ht="22.5" customHeight="1">
      <c r="A23" s="258" t="str">
        <f t="shared" si="1"/>
        <v>18-1</v>
      </c>
      <c r="B23" s="269">
        <v>18.0</v>
      </c>
      <c r="C23" s="269">
        <f t="shared" si="2"/>
        <v>1</v>
      </c>
      <c r="D23" s="258" t="str">
        <f t="array" ref="D23">IF(B23="","",IFERROR(
  INDEX(R_COTIZACIONES!D:D,MATCH(B23,R_COTIZACIONES!A:A,0)),
""))</f>
        <v>Sociedad Educacional Basaldiaz S.A</v>
      </c>
      <c r="E23" s="258" t="str">
        <f t="array" ref="E23">IF(B23="","",IFERROR(
  INDEX(R_COTIZACIONES!C:C,MATCH(B23,R_COTIZACIONES!A:A,0)),
""))</f>
        <v>76.179.872-3</v>
      </c>
      <c r="F23" s="273" t="s">
        <v>34</v>
      </c>
      <c r="G23" s="273" t="s">
        <v>156</v>
      </c>
      <c r="H23" s="273" t="s">
        <v>161</v>
      </c>
      <c r="I23" s="292" t="str">
        <f>IF(H23="","",VLOOKUP(H23,'Base de datos'!$E:$G,3,FALSE))</f>
        <v>D10 Standard Kit 1(6 crem y 2 controles)</v>
      </c>
      <c r="J23" s="269">
        <v>1.0</v>
      </c>
      <c r="K23" s="277">
        <v>1300000.0</v>
      </c>
      <c r="L23" s="269">
        <v>0.0</v>
      </c>
      <c r="M23" s="275">
        <f t="shared" si="3"/>
        <v>1300000</v>
      </c>
      <c r="N23" s="275">
        <f t="shared" si="4"/>
        <v>247000</v>
      </c>
      <c r="O23" s="275">
        <f t="shared" si="5"/>
        <v>1547000</v>
      </c>
      <c r="P23" s="275">
        <f t="shared" si="6"/>
        <v>1547000</v>
      </c>
      <c r="Q23" s="293">
        <f>IF(H23="","",VLOOKUP(H23,'Base de datos'!E:M,9,FALSE))</f>
        <v>420000</v>
      </c>
      <c r="R23" s="275">
        <f t="shared" si="7"/>
        <v>420000</v>
      </c>
      <c r="S23" s="294"/>
    </row>
    <row r="24" ht="22.5" customHeight="1">
      <c r="A24" s="258" t="str">
        <f t="shared" si="1"/>
        <v>19-1</v>
      </c>
      <c r="B24" s="269">
        <v>19.0</v>
      </c>
      <c r="C24" s="269">
        <f t="shared" si="2"/>
        <v>1</v>
      </c>
      <c r="D24" s="258" t="str">
        <f t="array" ref="D24">IF(B24="","",IFERROR(
  INDEX(R_COTIZACIONES!D:D,MATCH(B24,R_COTIZACIONES!A:A,0)),
""))</f>
        <v>Portal del Valle II </v>
      </c>
      <c r="E24" s="258" t="str">
        <f t="array" ref="E24">IF(B24="","",IFERROR(
  INDEX(R_COTIZACIONES!C:C,MATCH(B24,R_COTIZACIONES!A:A,0)),
""))</f>
        <v>53332414-2</v>
      </c>
      <c r="F24" s="273" t="s">
        <v>34</v>
      </c>
      <c r="G24" s="273" t="s">
        <v>156</v>
      </c>
      <c r="H24" s="273" t="s">
        <v>161</v>
      </c>
      <c r="I24" s="292" t="str">
        <f>IF(H24="","",VLOOKUP(H24,'Base de datos'!$E:$G,3,FALSE))</f>
        <v>D10 Standard Kit 1(6 crem y 2 controles)</v>
      </c>
      <c r="J24" s="269">
        <v>1.0</v>
      </c>
      <c r="K24" s="277">
        <v>1000000.0</v>
      </c>
      <c r="L24" s="269">
        <v>0.0</v>
      </c>
      <c r="M24" s="275">
        <f t="shared" si="3"/>
        <v>1000000</v>
      </c>
      <c r="N24" s="275">
        <f t="shared" si="4"/>
        <v>190000</v>
      </c>
      <c r="O24" s="275">
        <f t="shared" si="5"/>
        <v>1190000</v>
      </c>
      <c r="P24" s="275">
        <f t="shared" si="6"/>
        <v>1958517.47</v>
      </c>
      <c r="Q24" s="293">
        <f>IF(H24="","",VLOOKUP(H24,'Base de datos'!E:M,9,FALSE))</f>
        <v>420000</v>
      </c>
      <c r="R24" s="275">
        <f t="shared" si="7"/>
        <v>600000</v>
      </c>
      <c r="S24" s="294"/>
    </row>
    <row r="25" ht="22.5" customHeight="1">
      <c r="A25" s="258" t="str">
        <f t="shared" si="1"/>
        <v>19-2</v>
      </c>
      <c r="B25" s="269">
        <v>19.0</v>
      </c>
      <c r="C25" s="269">
        <f t="shared" si="2"/>
        <v>2</v>
      </c>
      <c r="D25" s="258" t="str">
        <f t="array" ref="D25">IF(B25="","",IFERROR(
  INDEX(R_COTIZACIONES!D:D,MATCH(B25,R_COTIZACIONES!A:A,0)),
""))</f>
        <v>Portal del Valle II </v>
      </c>
      <c r="E25" s="258" t="str">
        <f t="array" ref="E25">IF(B25="","",IFERROR(
  INDEX(R_COTIZACIONES!C:C,MATCH(B25,R_COTIZACIONES!A:A,0)),
""))</f>
        <v>53332414-2</v>
      </c>
      <c r="F25" s="273" t="s">
        <v>34</v>
      </c>
      <c r="G25" s="273" t="s">
        <v>181</v>
      </c>
      <c r="H25" s="273" t="s">
        <v>257</v>
      </c>
      <c r="I25" s="292" t="str">
        <f>IF(H25="","",VLOOKUP(H25,'Base de datos'!$E:$G,3,FALSE))</f>
        <v>Instalación de motor (Kit)</v>
      </c>
      <c r="J25" s="269">
        <v>1.0</v>
      </c>
      <c r="K25" s="277">
        <v>645813.0</v>
      </c>
      <c r="L25" s="269">
        <v>0.0</v>
      </c>
      <c r="M25" s="275">
        <f t="shared" si="3"/>
        <v>645813</v>
      </c>
      <c r="N25" s="275">
        <f t="shared" si="4"/>
        <v>122704.47</v>
      </c>
      <c r="O25" s="275">
        <f t="shared" si="5"/>
        <v>768517.47</v>
      </c>
      <c r="P25" s="275">
        <f t="shared" si="6"/>
        <v>1958517.47</v>
      </c>
      <c r="Q25" s="293">
        <f>IF(H25="","",VLOOKUP(H25,'Base de datos'!E:M,9,FALSE))</f>
        <v>180000</v>
      </c>
      <c r="R25" s="275">
        <f t="shared" si="7"/>
        <v>600000</v>
      </c>
      <c r="S25" s="294"/>
    </row>
    <row r="26" ht="22.5" customHeight="1">
      <c r="A26" s="258" t="str">
        <f t="shared" si="1"/>
        <v>20-1</v>
      </c>
      <c r="B26" s="269">
        <v>20.0</v>
      </c>
      <c r="C26" s="269">
        <f t="shared" si="2"/>
        <v>1</v>
      </c>
      <c r="D26" s="258" t="str">
        <f t="array" ref="D26">IF(B26="","",IFERROR(
  INDEX(R_COTIZACIONES!D:D,MATCH(B26,R_COTIZACIONES!A:A,0)),
""))</f>
        <v>Comunidad Edificio Florencia</v>
      </c>
      <c r="E26" s="258" t="str">
        <f t="array" ref="E26">IF(B26="","",IFERROR(
  INDEX(R_COTIZACIONES!C:C,MATCH(B26,R_COTIZACIONES!A:A,0)),
""))</f>
        <v>56047780-5</v>
      </c>
      <c r="F26" s="273" t="s">
        <v>38</v>
      </c>
      <c r="G26" s="273" t="s">
        <v>181</v>
      </c>
      <c r="H26" s="273" t="s">
        <v>250</v>
      </c>
      <c r="I26" s="292" t="str">
        <f>IF(H26="","",VLOOKUP(H26,'Base de datos'!$E:$G,3,FALSE))</f>
        <v>Instalación de motor (Solo)</v>
      </c>
      <c r="J26" s="269">
        <v>1.0</v>
      </c>
      <c r="K26" s="277">
        <v>140000.0</v>
      </c>
      <c r="L26" s="269">
        <v>0.0</v>
      </c>
      <c r="M26" s="275">
        <f t="shared" si="3"/>
        <v>140000</v>
      </c>
      <c r="N26" s="258">
        <f t="shared" si="4"/>
        <v>0</v>
      </c>
      <c r="O26" s="275">
        <f t="shared" si="5"/>
        <v>140000</v>
      </c>
      <c r="P26" s="275">
        <f t="shared" si="6"/>
        <v>140000</v>
      </c>
      <c r="Q26" s="293">
        <f>IF(H26="","",VLOOKUP(H26,'Base de datos'!E:M,9,FALSE))</f>
        <v>60000</v>
      </c>
      <c r="R26" s="275">
        <f t="shared" si="7"/>
        <v>60000</v>
      </c>
      <c r="S26" s="294"/>
    </row>
    <row r="27" ht="22.5" customHeight="1">
      <c r="A27" s="258" t="str">
        <f t="shared" si="1"/>
        <v>21-1</v>
      </c>
      <c r="B27" s="269">
        <v>21.0</v>
      </c>
      <c r="C27" s="269">
        <f t="shared" si="2"/>
        <v>1</v>
      </c>
      <c r="D27" s="258" t="str">
        <f t="array" ref="D27">IF(B27="","",IFERROR(
  INDEX(R_COTIZACIONES!D:D,MATCH(B27,R_COTIZACIONES!A:A,0)),
""))</f>
        <v>Condominio Vicenza II</v>
      </c>
      <c r="E27" s="258" t="str">
        <f t="array" ref="E27">IF(B27="","",IFERROR(
  INDEX(R_COTIZACIONES!C:C,MATCH(B27,R_COTIZACIONES!A:A,0)),
""))</f>
        <v>65198585-4</v>
      </c>
      <c r="F27" s="273" t="s">
        <v>34</v>
      </c>
      <c r="G27" s="273" t="s">
        <v>156</v>
      </c>
      <c r="H27" s="273" t="s">
        <v>166</v>
      </c>
      <c r="I27" s="292" t="str">
        <f>IF(H27="","",VLOOKUP(H27,'Base de datos'!$E:$G,3,FALSE))</f>
        <v>D10 Turbo (6 crem y 2 controles)</v>
      </c>
      <c r="J27" s="269">
        <v>1.0</v>
      </c>
      <c r="K27" s="277">
        <v>1000000.0</v>
      </c>
      <c r="L27" s="269">
        <v>0.0</v>
      </c>
      <c r="M27" s="275">
        <f t="shared" si="3"/>
        <v>1000000</v>
      </c>
      <c r="N27" s="275">
        <f t="shared" si="4"/>
        <v>190000</v>
      </c>
      <c r="O27" s="275">
        <f t="shared" si="5"/>
        <v>1190000</v>
      </c>
      <c r="P27" s="275">
        <f t="shared" si="6"/>
        <v>1190000</v>
      </c>
      <c r="Q27" s="293">
        <f>IF(H27="","",VLOOKUP(H27,'Base de datos'!E:M,9,FALSE))</f>
        <v>450483.6</v>
      </c>
      <c r="R27" s="275">
        <f t="shared" si="7"/>
        <v>450483.6</v>
      </c>
      <c r="S27" s="294"/>
    </row>
    <row r="28" ht="22.5" customHeight="1">
      <c r="A28" s="258" t="str">
        <f t="shared" si="1"/>
        <v>22-1</v>
      </c>
      <c r="B28" s="269">
        <v>22.0</v>
      </c>
      <c r="C28" s="269">
        <f t="shared" si="2"/>
        <v>1</v>
      </c>
      <c r="D28" s="258" t="str">
        <f t="array" ref="D28">IF(B28="","",IFERROR(
  INDEX(R_COTIZACIONES!D:D,MATCH(B28,R_COTIZACIONES!A:A,0)),
""))</f>
        <v>Condominio Vicenza II</v>
      </c>
      <c r="E28" s="258" t="str">
        <f t="array" ref="E28">IF(B28="","",IFERROR(
  INDEX(R_COTIZACIONES!C:C,MATCH(B28,R_COTIZACIONES!A:A,0)),
""))</f>
        <v>65198585-4</v>
      </c>
      <c r="F28" s="273" t="s">
        <v>34</v>
      </c>
      <c r="G28" s="273" t="s">
        <v>181</v>
      </c>
      <c r="H28" s="273" t="s">
        <v>250</v>
      </c>
      <c r="I28" s="292" t="str">
        <f>IF(H28="","",VLOOKUP(H28,'Base de datos'!$E:$G,3,FALSE))</f>
        <v>Instalación de motor (Solo)</v>
      </c>
      <c r="J28" s="269">
        <v>1.0</v>
      </c>
      <c r="K28" s="277">
        <v>670000.0</v>
      </c>
      <c r="L28" s="269">
        <v>0.0</v>
      </c>
      <c r="M28" s="275">
        <f t="shared" si="3"/>
        <v>670000</v>
      </c>
      <c r="N28" s="275">
        <f t="shared" si="4"/>
        <v>127300</v>
      </c>
      <c r="O28" s="275">
        <f t="shared" si="5"/>
        <v>797300</v>
      </c>
      <c r="P28" s="275">
        <f t="shared" si="6"/>
        <v>797300</v>
      </c>
      <c r="Q28" s="293">
        <f>IF(H28="","",VLOOKUP(H28,'Base de datos'!E:M,9,FALSE))</f>
        <v>60000</v>
      </c>
      <c r="R28" s="275">
        <f t="shared" si="7"/>
        <v>60000</v>
      </c>
      <c r="S28" s="294"/>
    </row>
    <row r="29" ht="22.5" customHeight="1">
      <c r="A29" s="258" t="str">
        <f t="shared" si="1"/>
        <v>23-1</v>
      </c>
      <c r="B29" s="269">
        <v>23.0</v>
      </c>
      <c r="C29" s="269">
        <f t="shared" si="2"/>
        <v>1</v>
      </c>
      <c r="D29" s="258" t="str">
        <f t="array" ref="D29">IF(B29="","",IFERROR(
  INDEX(R_COTIZACIONES!D:D,MATCH(B29,R_COTIZACIONES!A:A,0)),
""))</f>
        <v>Condominio Vicenza II</v>
      </c>
      <c r="E29" s="258" t="str">
        <f t="array" ref="E29">IF(B29="","",IFERROR(
  INDEX(R_COTIZACIONES!C:C,MATCH(B29,R_COTIZACIONES!A:A,0)),
""))</f>
        <v>65198585-4</v>
      </c>
      <c r="F29" s="273" t="s">
        <v>34</v>
      </c>
      <c r="G29" s="273" t="s">
        <v>181</v>
      </c>
      <c r="H29" s="273" t="s">
        <v>274</v>
      </c>
      <c r="I29" s="292" t="str">
        <f>IF(H29="","",VLOOKUP(H29,'Base de datos'!$E:$G,3,FALSE))</f>
        <v>Servicio de recuperación post colisión Motor Centurion</v>
      </c>
      <c r="J29" s="269">
        <v>1.0</v>
      </c>
      <c r="K29" s="277">
        <v>200000.0</v>
      </c>
      <c r="L29" s="269">
        <v>0.0</v>
      </c>
      <c r="M29" s="275">
        <f t="shared" si="3"/>
        <v>200000</v>
      </c>
      <c r="N29" s="275">
        <f t="shared" si="4"/>
        <v>38000</v>
      </c>
      <c r="O29" s="275">
        <f t="shared" si="5"/>
        <v>238000</v>
      </c>
      <c r="P29" s="275">
        <f t="shared" si="6"/>
        <v>238000</v>
      </c>
      <c r="Q29" s="293">
        <f>IF(H29="","",VLOOKUP(H29,'Base de datos'!E:M,9,FALSE))</f>
        <v>100000</v>
      </c>
      <c r="R29" s="275">
        <f t="shared" si="7"/>
        <v>100000</v>
      </c>
      <c r="S29" s="294"/>
    </row>
    <row r="30" ht="22.5" customHeight="1">
      <c r="A30" s="258" t="str">
        <f t="shared" si="1"/>
        <v>24-1</v>
      </c>
      <c r="B30" s="269">
        <v>24.0</v>
      </c>
      <c r="C30" s="269">
        <f t="shared" si="2"/>
        <v>1</v>
      </c>
      <c r="D30" s="258" t="str">
        <f t="array" ref="D30">IF(B30="","",IFERROR(
  INDEX(R_COTIZACIONES!D:D,MATCH(B30,R_COTIZACIONES!A:A,0)),
""))</f>
        <v>Paseo San Carlos VII</v>
      </c>
      <c r="E30" s="258" t="str">
        <f t="array" ref="E30">IF(B30="","",IFERROR(
  INDEX(R_COTIZACIONES!C:C,MATCH(B30,R_COTIZACIONES!A:A,0)),
""))</f>
        <v>76866075-1</v>
      </c>
      <c r="F30" s="273" t="s">
        <v>34</v>
      </c>
      <c r="G30" s="273" t="s">
        <v>156</v>
      </c>
      <c r="H30" s="273" t="s">
        <v>166</v>
      </c>
      <c r="I30" s="292" t="str">
        <f>IF(H30="","",VLOOKUP(H30,'Base de datos'!$E:$G,3,FALSE))</f>
        <v>D10 Turbo (6 crem y 2 controles)</v>
      </c>
      <c r="J30" s="269">
        <v>1.0</v>
      </c>
      <c r="K30" s="277">
        <v>1600000.0</v>
      </c>
      <c r="L30" s="269">
        <v>0.0</v>
      </c>
      <c r="M30" s="275">
        <f t="shared" si="3"/>
        <v>1600000</v>
      </c>
      <c r="N30" s="275">
        <f t="shared" si="4"/>
        <v>304000</v>
      </c>
      <c r="O30" s="275">
        <f t="shared" si="5"/>
        <v>1904000</v>
      </c>
      <c r="P30" s="275">
        <f t="shared" si="6"/>
        <v>1904000</v>
      </c>
      <c r="Q30" s="293">
        <f>IF(H30="","",VLOOKUP(H30,'Base de datos'!E:M,9,FALSE))</f>
        <v>450483.6</v>
      </c>
      <c r="R30" s="275">
        <f t="shared" si="7"/>
        <v>450483.6</v>
      </c>
      <c r="S30" s="294"/>
    </row>
    <row r="31" ht="22.5" customHeight="1">
      <c r="A31" s="258" t="str">
        <f t="shared" si="1"/>
        <v>25-1</v>
      </c>
      <c r="B31" s="269">
        <v>25.0</v>
      </c>
      <c r="C31" s="269">
        <f t="shared" si="2"/>
        <v>1</v>
      </c>
      <c r="D31" s="258" t="str">
        <f t="array" ref="D31">IF(B31="","",IFERROR(
  INDEX(R_COTIZACIONES!D:D,MATCH(B31,R_COTIZACIONES!A:A,0)),
""))</f>
        <v>Condominio Altos del Parque</v>
      </c>
      <c r="E31" s="258" t="str">
        <f t="array" ref="E31">IF(B31="","",IFERROR(
  INDEX(R_COTIZACIONES!C:C,MATCH(B31,R_COTIZACIONES!A:A,0)),
""))</f>
        <v>65203446-2</v>
      </c>
      <c r="F31" s="273" t="s">
        <v>34</v>
      </c>
      <c r="G31" s="273" t="s">
        <v>156</v>
      </c>
      <c r="H31" s="273" t="s">
        <v>166</v>
      </c>
      <c r="I31" s="292" t="str">
        <f>IF(H31="","",VLOOKUP(H31,'Base de datos'!$E:$G,3,FALSE))</f>
        <v>D10 Turbo (6 crem y 2 controles)</v>
      </c>
      <c r="J31" s="269">
        <v>1.0</v>
      </c>
      <c r="K31" s="277">
        <v>1310833.0</v>
      </c>
      <c r="L31" s="269">
        <v>0.0</v>
      </c>
      <c r="M31" s="275">
        <f t="shared" si="3"/>
        <v>1310833</v>
      </c>
      <c r="N31" s="275">
        <f t="shared" si="4"/>
        <v>249058.27</v>
      </c>
      <c r="O31" s="275">
        <f t="shared" si="5"/>
        <v>1559891.27</v>
      </c>
      <c r="P31" s="275">
        <f t="shared" si="6"/>
        <v>1559891.27</v>
      </c>
      <c r="Q31" s="293">
        <f>IF(H31="","",VLOOKUP(H31,'Base de datos'!E:M,9,FALSE))</f>
        <v>450483.6</v>
      </c>
      <c r="R31" s="275">
        <f t="shared" si="7"/>
        <v>450483.6</v>
      </c>
      <c r="S31" s="294"/>
    </row>
    <row r="32" ht="22.5" customHeight="1">
      <c r="A32" s="258" t="str">
        <f t="shared" si="1"/>
        <v>26-1</v>
      </c>
      <c r="B32" s="269">
        <v>26.0</v>
      </c>
      <c r="C32" s="269">
        <f t="shared" si="2"/>
        <v>1</v>
      </c>
      <c r="D32" s="258" t="str">
        <f t="array" ref="D32">IF(B32="","",IFERROR(
  INDEX(R_COTIZACIONES!D:D,MATCH(B32,R_COTIZACIONES!A:A,0)),
""))</f>
        <v>Distrito Verde I</v>
      </c>
      <c r="E32" s="258" t="str">
        <f t="array" ref="E32">IF(B32="","",IFERROR(
  INDEX(R_COTIZACIONES!C:C,MATCH(B32,R_COTIZACIONES!A:A,0)),
""))</f>
        <v>65.229.898-2</v>
      </c>
      <c r="F32" s="273" t="s">
        <v>34</v>
      </c>
      <c r="G32" s="273" t="s">
        <v>181</v>
      </c>
      <c r="H32" s="273" t="s">
        <v>250</v>
      </c>
      <c r="I32" s="292" t="str">
        <f>IF(H32="","",VLOOKUP(H32,'Base de datos'!$E:$G,3,FALSE))</f>
        <v>Instalación de motor (Solo)</v>
      </c>
      <c r="J32" s="269">
        <v>1.0</v>
      </c>
      <c r="K32" s="277">
        <v>545000.0</v>
      </c>
      <c r="L32" s="269">
        <v>0.0</v>
      </c>
      <c r="M32" s="275">
        <f t="shared" si="3"/>
        <v>545000</v>
      </c>
      <c r="N32" s="275">
        <f t="shared" si="4"/>
        <v>103550</v>
      </c>
      <c r="O32" s="275">
        <f t="shared" si="5"/>
        <v>648550</v>
      </c>
      <c r="P32" s="275">
        <f t="shared" si="6"/>
        <v>648550</v>
      </c>
      <c r="Q32" s="293">
        <f>IF(H32="","",VLOOKUP(H32,'Base de datos'!E:M,9,FALSE))</f>
        <v>60000</v>
      </c>
      <c r="R32" s="275">
        <f t="shared" si="7"/>
        <v>60000</v>
      </c>
      <c r="S32" s="294"/>
    </row>
    <row r="33" ht="22.5" customHeight="1">
      <c r="A33" s="258" t="str">
        <f t="shared" si="1"/>
        <v>27-1</v>
      </c>
      <c r="B33" s="269">
        <v>27.0</v>
      </c>
      <c r="C33" s="269">
        <f t="shared" si="2"/>
        <v>1</v>
      </c>
      <c r="D33" s="258" t="str">
        <f t="array" ref="D33">IF(B33="","",IFERROR(
  INDEX(R_COTIZACIONES!D:D,MATCH(B33,R_COTIZACIONES!A:A,0)),
""))</f>
        <v>Distrito Verde  II</v>
      </c>
      <c r="E33" s="258" t="str">
        <f t="array" ref="E33">IF(B33="","",IFERROR(
  INDEX(R_COTIZACIONES!C:C,MATCH(B33,R_COTIZACIONES!A:A,0)),
""))</f>
        <v>65.244.656- 6</v>
      </c>
      <c r="F33" s="273" t="s">
        <v>34</v>
      </c>
      <c r="G33" s="273" t="s">
        <v>181</v>
      </c>
      <c r="H33" s="273" t="s">
        <v>250</v>
      </c>
      <c r="I33" s="292" t="str">
        <f>IF(H33="","",VLOOKUP(H33,'Base de datos'!$E:$G,3,FALSE))</f>
        <v>Instalación de motor (Solo)</v>
      </c>
      <c r="J33" s="269">
        <v>1.0</v>
      </c>
      <c r="K33" s="277">
        <v>840000.0</v>
      </c>
      <c r="L33" s="269">
        <v>0.0</v>
      </c>
      <c r="M33" s="275">
        <f t="shared" si="3"/>
        <v>840000</v>
      </c>
      <c r="N33" s="275">
        <f t="shared" si="4"/>
        <v>159600</v>
      </c>
      <c r="O33" s="275">
        <f t="shared" si="5"/>
        <v>999600</v>
      </c>
      <c r="P33" s="275">
        <f t="shared" si="6"/>
        <v>999600</v>
      </c>
      <c r="Q33" s="293">
        <f>IF(H33="","",VLOOKUP(H33,'Base de datos'!E:M,9,FALSE))</f>
        <v>60000</v>
      </c>
      <c r="R33" s="275">
        <f t="shared" si="7"/>
        <v>60000</v>
      </c>
      <c r="S33" s="294"/>
    </row>
    <row r="34" ht="22.5" customHeight="1">
      <c r="A34" s="258" t="str">
        <f t="shared" si="1"/>
        <v>28-1</v>
      </c>
      <c r="B34" s="269">
        <v>28.0</v>
      </c>
      <c r="C34" s="269">
        <f t="shared" si="2"/>
        <v>1</v>
      </c>
      <c r="D34" s="258" t="str">
        <f t="array" ref="D34">IF(B34="","",IFERROR(
  INDEX(R_COTIZACIONES!D:D,MATCH(B34,R_COTIZACIONES!A:A,0)),
""))</f>
        <v>Cond Doña Anita</v>
      </c>
      <c r="E34" s="258" t="str">
        <f t="array" ref="E34">IF(B34="","",IFERROR(
  INDEX(R_COTIZACIONES!C:C,MATCH(B34,R_COTIZACIONES!A:A,0)),
""))</f>
        <v>79866075-1</v>
      </c>
      <c r="F34" s="273" t="s">
        <v>38</v>
      </c>
      <c r="G34" s="273" t="s">
        <v>181</v>
      </c>
      <c r="H34" s="273" t="s">
        <v>250</v>
      </c>
      <c r="I34" s="292" t="str">
        <f>IF(H34="","",VLOOKUP(H34,'Base de datos'!$E:$G,3,FALSE))</f>
        <v>Instalación de motor (Solo)</v>
      </c>
      <c r="J34" s="269">
        <v>1.0</v>
      </c>
      <c r="K34" s="277">
        <v>3950000.0</v>
      </c>
      <c r="L34" s="269">
        <v>0.0</v>
      </c>
      <c r="M34" s="275">
        <f t="shared" si="3"/>
        <v>3950000</v>
      </c>
      <c r="N34" s="258">
        <f t="shared" si="4"/>
        <v>0</v>
      </c>
      <c r="O34" s="275">
        <f t="shared" si="5"/>
        <v>3950000</v>
      </c>
      <c r="P34" s="275">
        <f t="shared" si="6"/>
        <v>3950000</v>
      </c>
      <c r="Q34" s="293">
        <f>IF(H34="","",VLOOKUP(H34,'Base de datos'!E:M,9,FALSE))</f>
        <v>60000</v>
      </c>
      <c r="R34" s="275">
        <f t="shared" si="7"/>
        <v>60000</v>
      </c>
      <c r="S34" s="294"/>
    </row>
    <row r="35" ht="22.5" customHeight="1">
      <c r="A35" s="258" t="str">
        <f t="shared" si="1"/>
        <v>29-1</v>
      </c>
      <c r="B35" s="269">
        <v>29.0</v>
      </c>
      <c r="C35" s="269">
        <f t="shared" si="2"/>
        <v>1</v>
      </c>
      <c r="D35" s="258" t="str">
        <f t="array" ref="D35">IF(B35="","",IFERROR(
  INDEX(R_COTIZACIONES!D:D,MATCH(B35,R_COTIZACIONES!A:A,0)),
""))</f>
        <v>Condominio Paseo Peñuelas</v>
      </c>
      <c r="E35" s="258" t="str">
        <f t="array" ref="E35">IF(B35="","",IFERROR(
  INDEX(R_COTIZACIONES!C:C,MATCH(B35,R_COTIZACIONES!A:A,0)),
""))</f>
        <v>53320939-4</v>
      </c>
      <c r="F35" s="273" t="s">
        <v>34</v>
      </c>
      <c r="G35" s="273" t="s">
        <v>159</v>
      </c>
      <c r="H35" s="273" t="s">
        <v>161</v>
      </c>
      <c r="I35" s="292" t="str">
        <f>IF(H35="","",VLOOKUP(H35,'Base de datos'!$E:$G,3,FALSE))</f>
        <v>D10 Standard Kit 1(6 crem y 2 controles)</v>
      </c>
      <c r="J35" s="269">
        <v>1.0</v>
      </c>
      <c r="K35" s="277">
        <v>1180000.0</v>
      </c>
      <c r="L35" s="269">
        <v>0.0</v>
      </c>
      <c r="M35" s="275">
        <f t="shared" si="3"/>
        <v>1180000</v>
      </c>
      <c r="N35" s="275">
        <f t="shared" si="4"/>
        <v>224200</v>
      </c>
      <c r="O35" s="275">
        <f t="shared" si="5"/>
        <v>1404200</v>
      </c>
      <c r="P35" s="275">
        <f t="shared" si="6"/>
        <v>1774200</v>
      </c>
      <c r="Q35" s="293">
        <f>IF(H35="","",VLOOKUP(H35,'Base de datos'!E:M,9,FALSE))</f>
        <v>420000</v>
      </c>
      <c r="R35" s="275">
        <f t="shared" si="7"/>
        <v>480000</v>
      </c>
      <c r="S35" s="294"/>
    </row>
    <row r="36" ht="22.5" customHeight="1">
      <c r="A36" s="258" t="str">
        <f t="shared" si="1"/>
        <v>29-2</v>
      </c>
      <c r="B36" s="269">
        <v>29.0</v>
      </c>
      <c r="C36" s="269">
        <f t="shared" si="2"/>
        <v>2</v>
      </c>
      <c r="D36" s="258" t="str">
        <f t="array" ref="D36">IF(B36="","",IFERROR(
  INDEX(R_COTIZACIONES!D:D,MATCH(B36,R_COTIZACIONES!A:A,0)),
""))</f>
        <v>Condominio Paseo Peñuelas</v>
      </c>
      <c r="E36" s="258" t="str">
        <f t="array" ref="E36">IF(B36="","",IFERROR(
  INDEX(R_COTIZACIONES!C:C,MATCH(B36,R_COTIZACIONES!A:A,0)),
""))</f>
        <v>53320939-4</v>
      </c>
      <c r="F36" s="273" t="s">
        <v>38</v>
      </c>
      <c r="G36" s="273" t="s">
        <v>181</v>
      </c>
      <c r="H36" s="273" t="s">
        <v>250</v>
      </c>
      <c r="I36" s="292" t="str">
        <f>IF(H36="","",VLOOKUP(H36,'Base de datos'!$E:$G,3,FALSE))</f>
        <v>Instalación de motor (Solo)</v>
      </c>
      <c r="J36" s="269">
        <v>1.0</v>
      </c>
      <c r="K36" s="277">
        <v>370000.0</v>
      </c>
      <c r="L36" s="269">
        <v>0.0</v>
      </c>
      <c r="M36" s="275">
        <f t="shared" si="3"/>
        <v>370000</v>
      </c>
      <c r="N36" s="258">
        <f t="shared" si="4"/>
        <v>0</v>
      </c>
      <c r="O36" s="275">
        <f t="shared" si="5"/>
        <v>370000</v>
      </c>
      <c r="P36" s="275">
        <f t="shared" si="6"/>
        <v>1774200</v>
      </c>
      <c r="Q36" s="293">
        <f>IF(H36="","",VLOOKUP(H36,'Base de datos'!E:M,9,FALSE))</f>
        <v>60000</v>
      </c>
      <c r="R36" s="275">
        <f t="shared" si="7"/>
        <v>480000</v>
      </c>
      <c r="S36" s="294"/>
    </row>
    <row r="37" ht="22.5" customHeight="1">
      <c r="A37" s="258" t="str">
        <f t="shared" si="1"/>
        <v>30-1</v>
      </c>
      <c r="B37" s="269">
        <v>30.0</v>
      </c>
      <c r="C37" s="269">
        <f t="shared" si="2"/>
        <v>1</v>
      </c>
      <c r="D37" s="258" t="str">
        <f t="array" ref="D37">IF(B37="","",IFERROR(
  INDEX(R_COTIZACIONES!D:D,MATCH(B37,R_COTIZACIONES!A:A,0)),
""))</f>
        <v>Condominio Paseo Peñuelas</v>
      </c>
      <c r="E37" s="258" t="str">
        <f t="array" ref="E37">IF(B37="","",IFERROR(
  INDEX(R_COTIZACIONES!C:C,MATCH(B37,R_COTIZACIONES!A:A,0)),
""))</f>
        <v>53320939-4</v>
      </c>
      <c r="F37" s="273" t="s">
        <v>38</v>
      </c>
      <c r="G37" s="273" t="s">
        <v>181</v>
      </c>
      <c r="H37" s="273" t="s">
        <v>267</v>
      </c>
      <c r="I37" s="292" t="str">
        <f>IF(H37="","",VLOOKUP(H37,'Base de datos'!$E:$G,3,FALSE))</f>
        <v>Mantención programada</v>
      </c>
      <c r="J37" s="269">
        <v>1.0</v>
      </c>
      <c r="K37" s="277">
        <v>200000.0</v>
      </c>
      <c r="L37" s="269">
        <v>0.0</v>
      </c>
      <c r="M37" s="275">
        <f t="shared" si="3"/>
        <v>200000</v>
      </c>
      <c r="N37" s="258">
        <f t="shared" si="4"/>
        <v>0</v>
      </c>
      <c r="O37" s="275">
        <f t="shared" si="5"/>
        <v>200000</v>
      </c>
      <c r="P37" s="275">
        <f t="shared" si="6"/>
        <v>200000</v>
      </c>
      <c r="Q37" s="293">
        <f>IF(H37="","",VLOOKUP(H37,'Base de datos'!E:M,9,FALSE))</f>
        <v>100000</v>
      </c>
      <c r="R37" s="275">
        <f t="shared" si="7"/>
        <v>100000</v>
      </c>
      <c r="S37" s="294"/>
    </row>
    <row r="38" ht="22.5" customHeight="1">
      <c r="A38" s="258" t="str">
        <f t="shared" si="1"/>
        <v>31-1</v>
      </c>
      <c r="B38" s="269">
        <v>31.0</v>
      </c>
      <c r="C38" s="269">
        <f t="shared" si="2"/>
        <v>1</v>
      </c>
      <c r="D38" s="258" t="str">
        <f t="array" ref="D38">IF(B38="","",IFERROR(
  INDEX(R_COTIZACIONES!D:D,MATCH(B38,R_COTIZACIONES!A:A,0)),
""))</f>
        <v>Condominio Mirador El Milagro</v>
      </c>
      <c r="E38" s="258" t="str">
        <f t="array" ref="E38">IF(B38="","",IFERROR(
  INDEX(R_COTIZACIONES!C:C,MATCH(B38,R_COTIZACIONES!A:A,0)),
""))</f>
        <v>65216508-7</v>
      </c>
      <c r="F38" s="273" t="s">
        <v>34</v>
      </c>
      <c r="G38" s="273" t="s">
        <v>181</v>
      </c>
      <c r="H38" s="273" t="s">
        <v>267</v>
      </c>
      <c r="I38" s="292" t="str">
        <f>IF(H38="","",VLOOKUP(H38,'Base de datos'!$E:$G,3,FALSE))</f>
        <v>Mantención programada</v>
      </c>
      <c r="J38" s="269">
        <v>1.0</v>
      </c>
      <c r="K38" s="275">
        <f>IF(H38="","",VLOOKUP(H38,'Base de datos'!E:N,10,FALSE))</f>
        <v>200000</v>
      </c>
      <c r="L38" s="269">
        <v>0.0</v>
      </c>
      <c r="M38" s="275">
        <f t="shared" si="3"/>
        <v>200000</v>
      </c>
      <c r="N38" s="275">
        <f t="shared" si="4"/>
        <v>38000</v>
      </c>
      <c r="O38" s="275">
        <f t="shared" si="5"/>
        <v>238000</v>
      </c>
      <c r="P38" s="275">
        <f t="shared" si="6"/>
        <v>238000</v>
      </c>
      <c r="Q38" s="293">
        <f>IF(H38="","",VLOOKUP(H38,'Base de datos'!E:M,9,FALSE))</f>
        <v>100000</v>
      </c>
      <c r="R38" s="275">
        <f t="shared" si="7"/>
        <v>100000</v>
      </c>
      <c r="S38" s="294"/>
    </row>
    <row r="39" ht="22.5" customHeight="1">
      <c r="A39" s="258" t="str">
        <f t="shared" si="1"/>
        <v>32-1</v>
      </c>
      <c r="B39" s="269">
        <v>32.0</v>
      </c>
      <c r="C39" s="269">
        <f t="shared" si="2"/>
        <v>1</v>
      </c>
      <c r="D39" s="258" t="str">
        <f t="array" ref="D39">IF(B39="","",IFERROR(
  INDEX(R_COTIZACIONES!D:D,MATCH(B39,R_COTIZACIONES!A:A,0)),
""))</f>
        <v>Condominio Mirador El Milagro</v>
      </c>
      <c r="E39" s="258" t="str">
        <f t="array" ref="E39">IF(B39="","",IFERROR(
  INDEX(R_COTIZACIONES!C:C,MATCH(B39,R_COTIZACIONES!A:A,0)),
""))</f>
        <v>65216508-7</v>
      </c>
      <c r="F39" s="273" t="s">
        <v>38</v>
      </c>
      <c r="G39" s="273" t="s">
        <v>156</v>
      </c>
      <c r="H39" s="273" t="s">
        <v>190</v>
      </c>
      <c r="I39" s="292" t="str">
        <f>IF(H39="","",VLOOKUP(H39,'Base de datos'!$E:$G,3,FALSE))</f>
        <v>Control NOVA 2CH</v>
      </c>
      <c r="J39" s="269">
        <v>9.0</v>
      </c>
      <c r="K39" s="277">
        <v>17000.0</v>
      </c>
      <c r="L39" s="269">
        <v>0.0</v>
      </c>
      <c r="M39" s="275">
        <f t="shared" si="3"/>
        <v>153000</v>
      </c>
      <c r="N39" s="258">
        <f t="shared" si="4"/>
        <v>0</v>
      </c>
      <c r="O39" s="275">
        <f t="shared" si="5"/>
        <v>153000</v>
      </c>
      <c r="P39" s="275">
        <f t="shared" si="6"/>
        <v>153000</v>
      </c>
      <c r="Q39" s="293">
        <f>IF(H39="","",VLOOKUP(H39,'Base de datos'!E:M,9,FALSE))</f>
        <v>8021.7</v>
      </c>
      <c r="R39" s="275">
        <f t="shared" si="7"/>
        <v>8021.7</v>
      </c>
      <c r="S39" s="294"/>
    </row>
    <row r="40" ht="22.5" customHeight="1">
      <c r="A40" s="258" t="str">
        <f t="shared" si="1"/>
        <v>33-1</v>
      </c>
      <c r="B40" s="269">
        <v>33.0</v>
      </c>
      <c r="C40" s="269">
        <f t="shared" si="2"/>
        <v>1</v>
      </c>
      <c r="D40" s="258" t="str">
        <f t="array" ref="D40">IF(B40="","",IFERROR(
  INDEX(R_COTIZACIONES!D:D,MATCH(B40,R_COTIZACIONES!A:A,0)),
""))</f>
        <v>Condominio Colinas del Milagro</v>
      </c>
      <c r="E40" s="258" t="str">
        <f t="array" ref="E40">IF(B40="","",IFERROR(
  INDEX(R_COTIZACIONES!C:C,MATCH(B40,R_COTIZACIONES!A:A,0)),
""))</f>
        <v>53333086-k</v>
      </c>
      <c r="F40" s="273" t="s">
        <v>34</v>
      </c>
      <c r="G40" s="273" t="s">
        <v>181</v>
      </c>
      <c r="H40" s="273" t="s">
        <v>267</v>
      </c>
      <c r="I40" s="292" t="str">
        <f>IF(H40="","",VLOOKUP(H40,'Base de datos'!$E:$G,3,FALSE))</f>
        <v>Mantención programada</v>
      </c>
      <c r="J40" s="269">
        <v>1.0</v>
      </c>
      <c r="K40" s="275">
        <f>IF(H40="","",VLOOKUP(H40,'Base de datos'!E:N,10,FALSE))</f>
        <v>200000</v>
      </c>
      <c r="L40" s="269">
        <v>0.0</v>
      </c>
      <c r="M40" s="275">
        <f t="shared" si="3"/>
        <v>200000</v>
      </c>
      <c r="N40" s="275">
        <f t="shared" si="4"/>
        <v>38000</v>
      </c>
      <c r="O40" s="275">
        <f t="shared" si="5"/>
        <v>238000</v>
      </c>
      <c r="P40" s="275">
        <f t="shared" si="6"/>
        <v>238000</v>
      </c>
      <c r="Q40" s="293">
        <f>IF(H40="","",VLOOKUP(H40,'Base de datos'!E:M,9,FALSE))</f>
        <v>100000</v>
      </c>
      <c r="R40" s="275">
        <f t="shared" si="7"/>
        <v>100000</v>
      </c>
      <c r="S40" s="294"/>
    </row>
    <row r="41" ht="22.5" customHeight="1">
      <c r="A41" s="258" t="str">
        <f t="shared" si="1"/>
        <v>34-1</v>
      </c>
      <c r="B41" s="269">
        <v>34.0</v>
      </c>
      <c r="C41" s="269">
        <f t="shared" si="2"/>
        <v>1</v>
      </c>
      <c r="D41" s="258" t="str">
        <f t="array" ref="D41">IF(B41="","",IFERROR(
  INDEX(R_COTIZACIONES!D:D,MATCH(B41,R_COTIZACIONES!A:A,0)),
""))</f>
        <v>Condominio Vicenza II</v>
      </c>
      <c r="E41" s="258" t="str">
        <f t="array" ref="E41">IF(B41="","",IFERROR(
  INDEX(R_COTIZACIONES!C:C,MATCH(B41,R_COTIZACIONES!A:A,0)),
""))</f>
        <v>65198585-4</v>
      </c>
      <c r="F41" s="273" t="s">
        <v>34</v>
      </c>
      <c r="G41" s="273" t="s">
        <v>181</v>
      </c>
      <c r="H41" s="273" t="s">
        <v>267</v>
      </c>
      <c r="I41" s="292" t="str">
        <f>IF(H41="","",VLOOKUP(H41,'Base de datos'!$E:$G,3,FALSE))</f>
        <v>Mantención programada</v>
      </c>
      <c r="J41" s="269">
        <v>1.0</v>
      </c>
      <c r="K41" s="275">
        <f>IF(H41="","",VLOOKUP(H41,'Base de datos'!E:N,10,FALSE))</f>
        <v>200000</v>
      </c>
      <c r="L41" s="269">
        <v>0.0</v>
      </c>
      <c r="M41" s="275">
        <f t="shared" si="3"/>
        <v>200000</v>
      </c>
      <c r="N41" s="275">
        <f t="shared" si="4"/>
        <v>38000</v>
      </c>
      <c r="O41" s="275">
        <f t="shared" si="5"/>
        <v>238000</v>
      </c>
      <c r="P41" s="275">
        <f t="shared" si="6"/>
        <v>238000</v>
      </c>
      <c r="Q41" s="293">
        <f>IF(H41="","",VLOOKUP(H41,'Base de datos'!E:M,9,FALSE))</f>
        <v>100000</v>
      </c>
      <c r="R41" s="275">
        <f t="shared" si="7"/>
        <v>100000</v>
      </c>
      <c r="S41" s="294"/>
    </row>
    <row r="42" ht="22.5" customHeight="1">
      <c r="A42" s="258" t="str">
        <f t="shared" si="1"/>
        <v>35-1</v>
      </c>
      <c r="B42" s="269">
        <v>35.0</v>
      </c>
      <c r="C42" s="269">
        <f t="shared" si="2"/>
        <v>1</v>
      </c>
      <c r="D42" s="258" t="str">
        <f t="array" ref="D42">IF(B42="","",IFERROR(
  INDEX(R_COTIZACIONES!D:D,MATCH(B42,R_COTIZACIONES!A:A,0)),
""))</f>
        <v>Condominio Vicenza II</v>
      </c>
      <c r="E42" s="258" t="str">
        <f t="array" ref="E42">IF(B42="","",IFERROR(
  INDEX(R_COTIZACIONES!C:C,MATCH(B42,R_COTIZACIONES!A:A,0)),
""))</f>
        <v>65198585-4</v>
      </c>
      <c r="F42" s="273" t="s">
        <v>34</v>
      </c>
      <c r="G42" s="273" t="s">
        <v>163</v>
      </c>
      <c r="H42" s="273" t="s">
        <v>233</v>
      </c>
      <c r="I42" s="292" t="str">
        <f>IF(H42="","",VLOOKUP(H42,'Base de datos'!$E:$G,3,FALSE))</f>
        <v>Control Acceso ASI1201E-D</v>
      </c>
      <c r="J42" s="269">
        <v>1.0</v>
      </c>
      <c r="K42" s="277">
        <v>100000.0</v>
      </c>
      <c r="L42" s="269">
        <v>0.0</v>
      </c>
      <c r="M42" s="275">
        <f t="shared" si="3"/>
        <v>100000</v>
      </c>
      <c r="N42" s="275">
        <f t="shared" si="4"/>
        <v>19000</v>
      </c>
      <c r="O42" s="275">
        <f t="shared" si="5"/>
        <v>119000</v>
      </c>
      <c r="P42" s="275">
        <f t="shared" si="6"/>
        <v>238000</v>
      </c>
      <c r="Q42" s="293">
        <f>IF(H42="","",VLOOKUP(H42,'Base de datos'!E:M,9,FALSE))</f>
        <v>73047</v>
      </c>
      <c r="R42" s="275">
        <f t="shared" si="7"/>
        <v>83047</v>
      </c>
      <c r="S42" s="294"/>
    </row>
    <row r="43" ht="22.5" customHeight="1">
      <c r="A43" s="258" t="str">
        <f t="shared" si="1"/>
        <v>35-2</v>
      </c>
      <c r="B43" s="269">
        <v>35.0</v>
      </c>
      <c r="C43" s="269">
        <f t="shared" si="2"/>
        <v>2</v>
      </c>
      <c r="D43" s="258" t="str">
        <f t="array" ref="D43">IF(B43="","",IFERROR(
  INDEX(R_COTIZACIONES!D:D,MATCH(B43,R_COTIZACIONES!A:A,0)),
""))</f>
        <v>Condominio Vicenza II</v>
      </c>
      <c r="E43" s="258" t="str">
        <f t="array" ref="E43">IF(B43="","",IFERROR(
  INDEX(R_COTIZACIONES!C:C,MATCH(B43,R_COTIZACIONES!A:A,0)),
""))</f>
        <v>65198585-4</v>
      </c>
      <c r="F43" s="273" t="s">
        <v>34</v>
      </c>
      <c r="G43" s="273" t="s">
        <v>181</v>
      </c>
      <c r="H43" s="273" t="s">
        <v>278</v>
      </c>
      <c r="I43" s="292" t="str">
        <f>IF(H43="","",VLOOKUP(H43,'Base de datos'!$E:$G,3,FALSE))</f>
        <v>Servicio de instalación digitador de acceso</v>
      </c>
      <c r="J43" s="269">
        <v>1.0</v>
      </c>
      <c r="K43" s="277">
        <v>100000.0</v>
      </c>
      <c r="L43" s="269">
        <v>0.0</v>
      </c>
      <c r="M43" s="275">
        <f t="shared" si="3"/>
        <v>100000</v>
      </c>
      <c r="N43" s="275">
        <f t="shared" si="4"/>
        <v>19000</v>
      </c>
      <c r="O43" s="275">
        <f t="shared" si="5"/>
        <v>119000</v>
      </c>
      <c r="P43" s="275">
        <f t="shared" si="6"/>
        <v>238000</v>
      </c>
      <c r="Q43" s="293">
        <f>IF(H43="","",VLOOKUP(H43,'Base de datos'!E:M,9,FALSE))</f>
        <v>10000</v>
      </c>
      <c r="R43" s="275">
        <f t="shared" si="7"/>
        <v>83047</v>
      </c>
      <c r="S43" s="294"/>
    </row>
    <row r="44" ht="22.5" customHeight="1">
      <c r="A44" s="258" t="str">
        <f t="shared" si="1"/>
        <v>36-1</v>
      </c>
      <c r="B44" s="269">
        <v>36.0</v>
      </c>
      <c r="C44" s="269">
        <f t="shared" si="2"/>
        <v>1</v>
      </c>
      <c r="D44" s="258" t="str">
        <f t="array" ref="D44">IF(B44="","",IFERROR(
  INDEX(R_COTIZACIONES!D:D,MATCH(B44,R_COTIZACIONES!A:A,0)),
""))</f>
        <v>Portal del Valle II </v>
      </c>
      <c r="E44" s="258" t="str">
        <f t="array" ref="E44">IF(B44="","",IFERROR(
  INDEX(R_COTIZACIONES!C:C,MATCH(B44,R_COTIZACIONES!A:A,0)),
""))</f>
        <v>53332414-2</v>
      </c>
      <c r="F44" s="273" t="s">
        <v>34</v>
      </c>
      <c r="G44" s="273" t="s">
        <v>181</v>
      </c>
      <c r="H44" s="273" t="s">
        <v>280</v>
      </c>
      <c r="I44" s="292" t="str">
        <f>IF(H44="","",VLOOKUP(H44,'Base de datos'!$E:$G,3,FALSE))</f>
        <v>Fabricación de perfil 100x100 c/ pintura y polines</v>
      </c>
      <c r="J44" s="269">
        <v>1.0</v>
      </c>
      <c r="K44" s="277">
        <v>290000.0</v>
      </c>
      <c r="L44" s="269">
        <v>0.0</v>
      </c>
      <c r="M44" s="275">
        <f t="shared" si="3"/>
        <v>290000</v>
      </c>
      <c r="N44" s="275">
        <f t="shared" si="4"/>
        <v>55100</v>
      </c>
      <c r="O44" s="275">
        <f t="shared" si="5"/>
        <v>345100</v>
      </c>
      <c r="P44" s="275">
        <f t="shared" si="6"/>
        <v>345100</v>
      </c>
      <c r="Q44" s="293">
        <f>IF(H44="","",VLOOKUP(H44,'Base de datos'!E:M,9,FALSE))</f>
        <v>151260.5042</v>
      </c>
      <c r="R44" s="275">
        <f t="shared" si="7"/>
        <v>151260.5042</v>
      </c>
      <c r="S44" s="294"/>
    </row>
    <row r="45" ht="22.5" customHeight="1">
      <c r="A45" s="258" t="str">
        <f t="shared" si="1"/>
        <v>37-1</v>
      </c>
      <c r="B45" s="269">
        <v>37.0</v>
      </c>
      <c r="C45" s="269">
        <f t="shared" si="2"/>
        <v>1</v>
      </c>
      <c r="D45" s="258" t="str">
        <f t="array" ref="D45">IF(B45="","",IFERROR(
  INDEX(R_COTIZACIONES!D:D,MATCH(B45,R_COTIZACIONES!A:A,0)),
""))</f>
        <v>Condominio Gabriela Mistral</v>
      </c>
      <c r="E45" s="258" t="str">
        <f t="array" ref="E45">IF(B45="","",IFERROR(
  INDEX(R_COTIZACIONES!C:C,MATCH(B45,R_COTIZACIONES!A:A,0)),
""))</f>
        <v>90000000-1</v>
      </c>
      <c r="F45" s="273" t="s">
        <v>38</v>
      </c>
      <c r="G45" s="273" t="s">
        <v>185</v>
      </c>
      <c r="H45" s="273" t="s">
        <v>246</v>
      </c>
      <c r="I45" s="292" t="str">
        <f>IF(H45="","",VLOOKUP(H45,'Base de datos'!$E:$G,3,FALSE))</f>
        <v>Cerradura Eléctrica Poli Estándar 3010 Color Gris</v>
      </c>
      <c r="J45" s="269">
        <v>1.0</v>
      </c>
      <c r="K45" s="277">
        <v>250000.0</v>
      </c>
      <c r="L45" s="269">
        <v>0.0</v>
      </c>
      <c r="M45" s="275">
        <f t="shared" si="3"/>
        <v>250000</v>
      </c>
      <c r="N45" s="258">
        <f t="shared" si="4"/>
        <v>0</v>
      </c>
      <c r="O45" s="275">
        <f t="shared" si="5"/>
        <v>250000</v>
      </c>
      <c r="P45" s="275">
        <f t="shared" si="6"/>
        <v>250000</v>
      </c>
      <c r="Q45" s="293">
        <f>IF(H45="","",VLOOKUP(H45,'Base de datos'!E:M,9,FALSE))</f>
        <v>45144</v>
      </c>
      <c r="R45" s="275">
        <f t="shared" si="7"/>
        <v>45144</v>
      </c>
      <c r="S45" s="294"/>
    </row>
    <row r="46" ht="22.5" customHeight="1">
      <c r="A46" s="258" t="str">
        <f t="shared" si="1"/>
        <v>38-1</v>
      </c>
      <c r="B46" s="269">
        <v>38.0</v>
      </c>
      <c r="C46" s="269">
        <f t="shared" si="2"/>
        <v>1</v>
      </c>
      <c r="D46" s="258" t="str">
        <f t="array" ref="D46">IF(B46="","",IFERROR(
  INDEX(R_COTIZACIONES!D:D,MATCH(B46,R_COTIZACIONES!A:A,0)),
""))</f>
        <v>Cond Aires de La Florida 4</v>
      </c>
      <c r="E46" s="258" t="str">
        <f t="array" ref="E46">IF(B46="","",IFERROR(
  INDEX(R_COTIZACIONES!C:C,MATCH(B46,R_COTIZACIONES!A:A,0)),
""))</f>
        <v>53332351-0</v>
      </c>
      <c r="F46" s="273" t="s">
        <v>34</v>
      </c>
      <c r="G46" s="273" t="s">
        <v>156</v>
      </c>
      <c r="H46" s="273" t="s">
        <v>166</v>
      </c>
      <c r="I46" s="292" t="str">
        <f>IF(H46="","",VLOOKUP(H46,'Base de datos'!$E:$G,3,FALSE))</f>
        <v>D10 Turbo (6 crem y 2 controles)</v>
      </c>
      <c r="J46" s="269">
        <v>1.0</v>
      </c>
      <c r="K46" s="277">
        <v>1290000.0</v>
      </c>
      <c r="L46" s="269">
        <v>0.0</v>
      </c>
      <c r="M46" s="275">
        <f t="shared" si="3"/>
        <v>1290000</v>
      </c>
      <c r="N46" s="275">
        <f t="shared" si="4"/>
        <v>245100</v>
      </c>
      <c r="O46" s="275">
        <f t="shared" si="5"/>
        <v>1535100</v>
      </c>
      <c r="P46" s="275">
        <f t="shared" si="6"/>
        <v>2225300</v>
      </c>
      <c r="Q46" s="293">
        <f>IF(H46="","",VLOOKUP(H46,'Base de datos'!E:M,9,FALSE))</f>
        <v>450483.6</v>
      </c>
      <c r="R46" s="275">
        <f t="shared" si="7"/>
        <v>710203.8</v>
      </c>
      <c r="S46" s="294"/>
    </row>
    <row r="47" ht="22.5" customHeight="1">
      <c r="A47" s="258" t="str">
        <f t="shared" si="1"/>
        <v>38-2</v>
      </c>
      <c r="B47" s="269">
        <v>38.0</v>
      </c>
      <c r="C47" s="269">
        <f t="shared" si="2"/>
        <v>2</v>
      </c>
      <c r="D47" s="258" t="str">
        <f t="array" ref="D47">IF(B47="","",IFERROR(
  INDEX(R_COTIZACIONES!D:D,MATCH(B47,R_COTIZACIONES!A:A,0)),
""))</f>
        <v>Cond Aires de La Florida 4</v>
      </c>
      <c r="E47" s="258" t="str">
        <f t="array" ref="E47">IF(B47="","",IFERROR(
  INDEX(R_COTIZACIONES!C:C,MATCH(B47,R_COTIZACIONES!A:A,0)),
""))</f>
        <v>53332351-0</v>
      </c>
      <c r="F47" s="273" t="s">
        <v>34</v>
      </c>
      <c r="G47" s="273" t="s">
        <v>156</v>
      </c>
      <c r="H47" s="273" t="s">
        <v>187</v>
      </c>
      <c r="I47" s="292" t="str">
        <f>IF(H47="","",VLOOKUP(H47,'Base de datos'!$E:$G,3,FALSE))</f>
        <v>Photon Smart (par)</v>
      </c>
      <c r="J47" s="269">
        <v>1.0</v>
      </c>
      <c r="K47" s="277">
        <v>100000.0</v>
      </c>
      <c r="L47" s="269">
        <v>0.0</v>
      </c>
      <c r="M47" s="275">
        <f t="shared" si="3"/>
        <v>100000</v>
      </c>
      <c r="N47" s="275">
        <f t="shared" si="4"/>
        <v>19000</v>
      </c>
      <c r="O47" s="275">
        <f t="shared" si="5"/>
        <v>119000</v>
      </c>
      <c r="P47" s="275">
        <f t="shared" si="6"/>
        <v>2225300</v>
      </c>
      <c r="Q47" s="293">
        <f>IF(H47="","",VLOOKUP(H47,'Base de datos'!E:M,9,FALSE))</f>
        <v>35692.8</v>
      </c>
      <c r="R47" s="275">
        <f t="shared" si="7"/>
        <v>710203.8</v>
      </c>
      <c r="S47" s="294"/>
    </row>
    <row r="48" ht="22.5" customHeight="1">
      <c r="A48" s="258" t="str">
        <f t="shared" si="1"/>
        <v>38-3</v>
      </c>
      <c r="B48" s="269">
        <v>38.0</v>
      </c>
      <c r="C48" s="269">
        <f t="shared" si="2"/>
        <v>3</v>
      </c>
      <c r="D48" s="258" t="str">
        <f t="array" ref="D48">IF(B48="","",IFERROR(
  INDEX(R_COTIZACIONES!D:D,MATCH(B48,R_COTIZACIONES!A:A,0)),
""))</f>
        <v>Cond Aires de La Florida 4</v>
      </c>
      <c r="E48" s="258" t="str">
        <f t="array" ref="E48">IF(B48="","",IFERROR(
  INDEX(R_COTIZACIONES!C:C,MATCH(B48,R_COTIZACIONES!A:A,0)),
""))</f>
        <v>53332351-0</v>
      </c>
      <c r="F48" s="273" t="s">
        <v>34</v>
      </c>
      <c r="G48" s="273" t="s">
        <v>174</v>
      </c>
      <c r="H48" s="273" t="s">
        <v>200</v>
      </c>
      <c r="I48" s="292" t="str">
        <f>IF(H48="","",VLOOKUP(H48,'Base de datos'!$E:$G,3,FALSE))</f>
        <v>Set de Guias 40x60</v>
      </c>
      <c r="J48" s="269">
        <v>1.0</v>
      </c>
      <c r="K48" s="277">
        <v>30000.0</v>
      </c>
      <c r="L48" s="269">
        <v>0.0</v>
      </c>
      <c r="M48" s="275">
        <f t="shared" si="3"/>
        <v>30000</v>
      </c>
      <c r="N48" s="275">
        <f t="shared" si="4"/>
        <v>5700</v>
      </c>
      <c r="O48" s="275">
        <f t="shared" si="5"/>
        <v>35700</v>
      </c>
      <c r="P48" s="275">
        <f t="shared" si="6"/>
        <v>2225300</v>
      </c>
      <c r="Q48" s="293">
        <f>IF(H48="","",VLOOKUP(H48,'Base de datos'!E:M,9,FALSE))</f>
        <v>10019.4</v>
      </c>
      <c r="R48" s="275">
        <f t="shared" si="7"/>
        <v>710203.8</v>
      </c>
      <c r="S48" s="294"/>
    </row>
    <row r="49" ht="22.5" customHeight="1">
      <c r="A49" s="258" t="str">
        <f t="shared" si="1"/>
        <v>38-4</v>
      </c>
      <c r="B49" s="269">
        <v>38.0</v>
      </c>
      <c r="C49" s="269">
        <f t="shared" si="2"/>
        <v>4</v>
      </c>
      <c r="D49" s="258" t="str">
        <f t="array" ref="D49">IF(B49="","",IFERROR(
  INDEX(R_COTIZACIONES!D:D,MATCH(B49,R_COTIZACIONES!A:A,0)),
""))</f>
        <v>Cond Aires de La Florida 4</v>
      </c>
      <c r="E49" s="258" t="str">
        <f t="array" ref="E49">IF(B49="","",IFERROR(
  INDEX(R_COTIZACIONES!C:C,MATCH(B49,R_COTIZACIONES!A:A,0)),
""))</f>
        <v>53332351-0</v>
      </c>
      <c r="F49" s="273" t="s">
        <v>34</v>
      </c>
      <c r="G49" s="273" t="s">
        <v>156</v>
      </c>
      <c r="H49" s="273" t="s">
        <v>199</v>
      </c>
      <c r="I49" s="292" t="str">
        <f>IF(H49="","",VLOOKUP(H49,'Base de datos'!$E:$G,3,FALSE))</f>
        <v>Baliza NICE  12-38V</v>
      </c>
      <c r="J49" s="269">
        <v>1.0</v>
      </c>
      <c r="K49" s="277">
        <v>60000.0</v>
      </c>
      <c r="L49" s="269">
        <v>0.0</v>
      </c>
      <c r="M49" s="275">
        <f t="shared" si="3"/>
        <v>60000</v>
      </c>
      <c r="N49" s="275">
        <f t="shared" si="4"/>
        <v>11400</v>
      </c>
      <c r="O49" s="275">
        <f t="shared" si="5"/>
        <v>71400</v>
      </c>
      <c r="P49" s="275">
        <f t="shared" si="6"/>
        <v>2225300</v>
      </c>
      <c r="Q49" s="293">
        <f>IF(H49="","",VLOOKUP(H49,'Base de datos'!E:M,9,FALSE))</f>
        <v>34008</v>
      </c>
      <c r="R49" s="275">
        <f t="shared" si="7"/>
        <v>710203.8</v>
      </c>
      <c r="S49" s="294"/>
    </row>
    <row r="50" ht="22.5" customHeight="1">
      <c r="A50" s="258" t="str">
        <f t="shared" si="1"/>
        <v>38-5</v>
      </c>
      <c r="B50" s="269">
        <v>38.0</v>
      </c>
      <c r="C50" s="269">
        <f t="shared" si="2"/>
        <v>5</v>
      </c>
      <c r="D50" s="258" t="str">
        <f t="array" ref="D50">IF(B50="","",IFERROR(
  INDEX(R_COTIZACIONES!D:D,MATCH(B50,R_COTIZACIONES!A:A,0)),
""))</f>
        <v>Cond Aires de La Florida 4</v>
      </c>
      <c r="E50" s="258" t="str">
        <f t="array" ref="E50">IF(B50="","",IFERROR(
  INDEX(R_COTIZACIONES!C:C,MATCH(B50,R_COTIZACIONES!A:A,0)),
""))</f>
        <v>53332351-0</v>
      </c>
      <c r="F50" s="273" t="s">
        <v>34</v>
      </c>
      <c r="G50" s="273" t="s">
        <v>181</v>
      </c>
      <c r="H50" s="273" t="s">
        <v>257</v>
      </c>
      <c r="I50" s="292" t="str">
        <f>IF(H50="","",VLOOKUP(H50,'Base de datos'!$E:$G,3,FALSE))</f>
        <v>Instalación de motor (Kit)</v>
      </c>
      <c r="J50" s="269">
        <v>1.0</v>
      </c>
      <c r="K50" s="277">
        <v>390000.0</v>
      </c>
      <c r="L50" s="269">
        <v>0.0</v>
      </c>
      <c r="M50" s="275">
        <f t="shared" si="3"/>
        <v>390000</v>
      </c>
      <c r="N50" s="275">
        <f t="shared" si="4"/>
        <v>74100</v>
      </c>
      <c r="O50" s="275">
        <f t="shared" si="5"/>
        <v>464100</v>
      </c>
      <c r="P50" s="275">
        <f t="shared" si="6"/>
        <v>2225300</v>
      </c>
      <c r="Q50" s="293">
        <f>IF(H50="","",VLOOKUP(H50,'Base de datos'!E:M,9,FALSE))</f>
        <v>180000</v>
      </c>
      <c r="R50" s="275">
        <f t="shared" si="7"/>
        <v>710203.8</v>
      </c>
      <c r="S50" s="294"/>
    </row>
    <row r="51" ht="22.5" customHeight="1">
      <c r="A51" s="258" t="str">
        <f t="shared" si="1"/>
        <v>39-1</v>
      </c>
      <c r="B51" s="269">
        <v>39.0</v>
      </c>
      <c r="C51" s="269">
        <f t="shared" si="2"/>
        <v>1</v>
      </c>
      <c r="D51" s="258" t="str">
        <f t="array" ref="D51">IF(B51="","",IFERROR(
  INDEX(R_COTIZACIONES!D:D,MATCH(B51,R_COTIZACIONES!A:A,0)),
""))</f>
        <v>Comunidad Edificio Florencia</v>
      </c>
      <c r="E51" s="258" t="str">
        <f t="array" ref="E51">IF(B51="","",IFERROR(
  INDEX(R_COTIZACIONES!C:C,MATCH(B51,R_COTIZACIONES!A:A,0)),
""))</f>
        <v>56047780-5</v>
      </c>
      <c r="F51" s="273" t="s">
        <v>38</v>
      </c>
      <c r="G51" s="273" t="s">
        <v>181</v>
      </c>
      <c r="H51" s="273" t="s">
        <v>253</v>
      </c>
      <c r="I51" s="292" t="str">
        <f>IF(H51="","",VLOOKUP(H51,'Base de datos'!$E:$G,3,FALSE))</f>
        <v>Servicio de recuperación IP de cámara asociada a NVR</v>
      </c>
      <c r="J51" s="269">
        <v>8.0</v>
      </c>
      <c r="K51" s="277">
        <v>48750.0</v>
      </c>
      <c r="L51" s="269">
        <v>0.0</v>
      </c>
      <c r="M51" s="275">
        <f t="shared" si="3"/>
        <v>390000</v>
      </c>
      <c r="N51" s="258">
        <f t="shared" si="4"/>
        <v>0</v>
      </c>
      <c r="O51" s="275">
        <f t="shared" si="5"/>
        <v>390000</v>
      </c>
      <c r="P51" s="275">
        <f t="shared" si="6"/>
        <v>430000</v>
      </c>
      <c r="Q51" s="293">
        <f>IF(H51="","",VLOOKUP(H51,'Base de datos'!E:M,9,FALSE))</f>
        <v>0</v>
      </c>
      <c r="R51" s="275">
        <f t="shared" si="7"/>
        <v>0</v>
      </c>
      <c r="S51" s="294"/>
    </row>
    <row r="52" ht="22.5" customHeight="1">
      <c r="A52" s="258" t="str">
        <f t="shared" si="1"/>
        <v>39-2</v>
      </c>
      <c r="B52" s="269">
        <v>39.0</v>
      </c>
      <c r="C52" s="269">
        <f t="shared" si="2"/>
        <v>2</v>
      </c>
      <c r="D52" s="258" t="str">
        <f t="array" ref="D52">IF(B52="","",IFERROR(
  INDEX(R_COTIZACIONES!D:D,MATCH(B52,R_COTIZACIONES!A:A,0)),
""))</f>
        <v>Comunidad Edificio Florencia</v>
      </c>
      <c r="E52" s="258" t="str">
        <f t="array" ref="E52">IF(B52="","",IFERROR(
  INDEX(R_COTIZACIONES!C:C,MATCH(B52,R_COTIZACIONES!A:A,0)),
""))</f>
        <v>56047780-5</v>
      </c>
      <c r="F52" s="273" t="s">
        <v>38</v>
      </c>
      <c r="G52" s="273" t="s">
        <v>181</v>
      </c>
      <c r="H52" s="273" t="s">
        <v>255</v>
      </c>
      <c r="I52" s="292" t="str">
        <f>IF(H52="","",VLOOKUP(H52,'Base de datos'!$E:$G,3,FALSE))</f>
        <v>Servicio de recuperación de dispositivo Protegus 2</v>
      </c>
      <c r="J52" s="269">
        <v>1.0</v>
      </c>
      <c r="K52" s="277">
        <v>40000.0</v>
      </c>
      <c r="L52" s="269">
        <v>0.0</v>
      </c>
      <c r="M52" s="275">
        <f t="shared" si="3"/>
        <v>40000</v>
      </c>
      <c r="N52" s="258">
        <f t="shared" si="4"/>
        <v>0</v>
      </c>
      <c r="O52" s="275">
        <f t="shared" si="5"/>
        <v>40000</v>
      </c>
      <c r="P52" s="275">
        <f t="shared" si="6"/>
        <v>430000</v>
      </c>
      <c r="Q52" s="293">
        <f>IF(H52="","",VLOOKUP(H52,'Base de datos'!E:M,9,FALSE))</f>
        <v>0</v>
      </c>
      <c r="R52" s="275">
        <f t="shared" si="7"/>
        <v>0</v>
      </c>
      <c r="S52" s="294"/>
    </row>
    <row r="53" ht="22.5" customHeight="1">
      <c r="A53" s="258" t="str">
        <f t="shared" si="1"/>
        <v>40-1</v>
      </c>
      <c r="B53" s="269">
        <v>40.0</v>
      </c>
      <c r="C53" s="269">
        <f t="shared" si="2"/>
        <v>1</v>
      </c>
      <c r="D53" s="258" t="str">
        <f t="array" ref="D53">IF(B53="","",IFERROR(
  INDEX(R_COTIZACIONES!D:D,MATCH(B53,R_COTIZACIONES!A:A,0)),
""))</f>
        <v>Condominio Golf III</v>
      </c>
      <c r="E53" s="258" t="str">
        <f t="array" ref="E53">IF(B53="","",IFERROR(
  INDEX(R_COTIZACIONES!C:C,MATCH(B53,R_COTIZACIONES!A:A,0)),
""))</f>
        <v>90000002-1</v>
      </c>
      <c r="F53" s="273" t="s">
        <v>34</v>
      </c>
      <c r="G53" s="273" t="s">
        <v>181</v>
      </c>
      <c r="H53" s="273" t="s">
        <v>305</v>
      </c>
      <c r="I53" s="292" t="str">
        <f>IF(H53="","",VLOOKUP(H53,'Base de datos'!$E:$G,3,FALSE))</f>
        <v>Proyecto asociado a propuesta (revisar adjuntos)</v>
      </c>
      <c r="J53" s="269">
        <v>1.0</v>
      </c>
      <c r="K53" s="277">
        <v>8215000.0</v>
      </c>
      <c r="L53" s="269">
        <v>0.0</v>
      </c>
      <c r="M53" s="275">
        <f t="shared" si="3"/>
        <v>8215000</v>
      </c>
      <c r="N53" s="275">
        <f t="shared" si="4"/>
        <v>1560850</v>
      </c>
      <c r="O53" s="275">
        <f t="shared" si="5"/>
        <v>9775850</v>
      </c>
      <c r="P53" s="275">
        <f t="shared" si="6"/>
        <v>9775850</v>
      </c>
      <c r="Q53" s="293">
        <f>IF(H53="","",VLOOKUP(H53,'Base de datos'!E:M,9,FALSE))</f>
        <v>0</v>
      </c>
      <c r="R53" s="275">
        <f t="shared" si="7"/>
        <v>0</v>
      </c>
      <c r="S53" s="294"/>
    </row>
    <row r="54" ht="22.5" customHeight="1">
      <c r="A54" s="258" t="str">
        <f t="shared" si="1"/>
        <v>41-1</v>
      </c>
      <c r="B54" s="269">
        <v>41.0</v>
      </c>
      <c r="C54" s="269">
        <f t="shared" si="2"/>
        <v>1</v>
      </c>
      <c r="D54" s="258" t="str">
        <f t="array" ref="D54">IF(B54="","",IFERROR(
  INDEX(R_COTIZACIONES!D:D,MATCH(B54,R_COTIZACIONES!A:A,0)),
""))</f>
        <v>Sociedad Educacional Shalom SpA</v>
      </c>
      <c r="E54" s="258" t="str">
        <f t="array" ref="E54">IF(B54="","",IFERROR(
  INDEX(R_COTIZACIONES!C:C,MATCH(B54,R_COTIZACIONES!A:A,0)),
""))</f>
        <v>76470822-9</v>
      </c>
      <c r="F54" s="273" t="s">
        <v>34</v>
      </c>
      <c r="G54" s="273" t="s">
        <v>181</v>
      </c>
      <c r="H54" s="273" t="s">
        <v>267</v>
      </c>
      <c r="I54" s="292" t="str">
        <f>IF(H54="","",VLOOKUP(H54,'Base de datos'!$E:$G,3,FALSE))</f>
        <v>Mantención programada</v>
      </c>
      <c r="J54" s="269">
        <v>1.0</v>
      </c>
      <c r="K54" s="277">
        <v>200000.0</v>
      </c>
      <c r="L54" s="269">
        <v>0.0</v>
      </c>
      <c r="M54" s="275">
        <f t="shared" si="3"/>
        <v>200000</v>
      </c>
      <c r="N54" s="275">
        <f t="shared" si="4"/>
        <v>38000</v>
      </c>
      <c r="O54" s="275">
        <f t="shared" si="5"/>
        <v>238000</v>
      </c>
      <c r="P54" s="275">
        <f t="shared" si="6"/>
        <v>238000</v>
      </c>
      <c r="Q54" s="293">
        <f>IF(H54="","",VLOOKUP(H54,'Base de datos'!E:M,9,FALSE))</f>
        <v>100000</v>
      </c>
      <c r="R54" s="275">
        <f t="shared" si="7"/>
        <v>100000</v>
      </c>
      <c r="S54" s="294"/>
    </row>
    <row r="55" ht="22.5" customHeight="1">
      <c r="A55" s="258" t="str">
        <f t="shared" si="1"/>
        <v>42-1</v>
      </c>
      <c r="B55" s="269">
        <v>42.0</v>
      </c>
      <c r="C55" s="269">
        <f t="shared" si="2"/>
        <v>1</v>
      </c>
      <c r="D55" s="258" t="str">
        <f t="array" ref="D55">IF(B55="","",IFERROR(
  INDEX(R_COTIZACIONES!D:D,MATCH(B55,R_COTIZACIONES!A:A,0)),
""))</f>
        <v>Condominio Mirador El Milagro</v>
      </c>
      <c r="E55" s="258" t="str">
        <f t="array" ref="E55">IF(B55="","",IFERROR(
  INDEX(R_COTIZACIONES!C:C,MATCH(B55,R_COTIZACIONES!A:A,0)),
""))</f>
        <v>65216508-7</v>
      </c>
      <c r="F55" s="273" t="s">
        <v>38</v>
      </c>
      <c r="G55" s="273" t="s">
        <v>181</v>
      </c>
      <c r="H55" s="273" t="s">
        <v>190</v>
      </c>
      <c r="I55" s="292" t="str">
        <f>IF(H55="","",VLOOKUP(H55,'Base de datos'!$E:$G,3,FALSE))</f>
        <v>Control NOVA 2CH</v>
      </c>
      <c r="J55" s="269">
        <v>8.0</v>
      </c>
      <c r="K55" s="277">
        <v>17000.0</v>
      </c>
      <c r="L55" s="269">
        <v>0.0</v>
      </c>
      <c r="M55" s="275">
        <f t="shared" si="3"/>
        <v>136000</v>
      </c>
      <c r="N55" s="258">
        <f t="shared" si="4"/>
        <v>0</v>
      </c>
      <c r="O55" s="275">
        <f t="shared" si="5"/>
        <v>136000</v>
      </c>
      <c r="P55" s="275">
        <f t="shared" si="6"/>
        <v>136000</v>
      </c>
      <c r="Q55" s="293">
        <f>IF(H55="","",VLOOKUP(H55,'Base de datos'!E:M,9,FALSE))</f>
        <v>8021.7</v>
      </c>
      <c r="R55" s="275">
        <f t="shared" si="7"/>
        <v>8021.7</v>
      </c>
      <c r="S55" s="294"/>
    </row>
    <row r="56" ht="22.5" customHeight="1">
      <c r="A56" s="258" t="str">
        <f t="shared" si="1"/>
        <v>43-1</v>
      </c>
      <c r="B56" s="269">
        <v>43.0</v>
      </c>
      <c r="C56" s="269">
        <f t="shared" si="2"/>
        <v>1</v>
      </c>
      <c r="D56" s="258" t="str">
        <f t="array" ref="D56">IF(B56="","",IFERROR(
  INDEX(R_COTIZACIONES!D:D,MATCH(B56,R_COTIZACIONES!A:A,0)),
""))</f>
        <v>Comunidad Edificio Florencia</v>
      </c>
      <c r="E56" s="258" t="str">
        <f t="array" ref="E56">IF(B56="","",IFERROR(
  INDEX(R_COTIZACIONES!C:C,MATCH(B56,R_COTIZACIONES!A:A,0)),
""))</f>
        <v>56047780-5</v>
      </c>
      <c r="F56" s="273" t="s">
        <v>38</v>
      </c>
      <c r="G56" s="273" t="s">
        <v>181</v>
      </c>
      <c r="H56" s="273" t="s">
        <v>253</v>
      </c>
      <c r="I56" s="292" t="str">
        <f>IF(H56="","",VLOOKUP(H56,'Base de datos'!$E:$G,3,FALSE))</f>
        <v>Servicio de recuperación IP de cámara asociada a NVR</v>
      </c>
      <c r="J56" s="269">
        <v>3.0</v>
      </c>
      <c r="K56" s="277">
        <v>40000.0</v>
      </c>
      <c r="L56" s="269">
        <v>0.0</v>
      </c>
      <c r="M56" s="275">
        <f t="shared" si="3"/>
        <v>120000</v>
      </c>
      <c r="N56" s="258">
        <f t="shared" si="4"/>
        <v>0</v>
      </c>
      <c r="O56" s="275">
        <f t="shared" si="5"/>
        <v>120000</v>
      </c>
      <c r="P56" s="275">
        <f t="shared" si="6"/>
        <v>120000</v>
      </c>
      <c r="Q56" s="293">
        <f>IF(H56="","",VLOOKUP(H56,'Base de datos'!E:M,9,FALSE))</f>
        <v>0</v>
      </c>
      <c r="R56" s="275">
        <f t="shared" si="7"/>
        <v>0</v>
      </c>
      <c r="S56" s="294"/>
    </row>
    <row r="57" ht="22.5" customHeight="1">
      <c r="A57" s="258" t="str">
        <f t="shared" si="1"/>
        <v>44-1</v>
      </c>
      <c r="B57" s="269">
        <v>44.0</v>
      </c>
      <c r="C57" s="269">
        <f t="shared" si="2"/>
        <v>1</v>
      </c>
      <c r="D57" s="258" t="str">
        <f t="array" ref="D57">IF(B57="","",IFERROR(
  INDEX(R_COTIZACIONES!D:D,MATCH(B57,R_COTIZACIONES!A:A,0)),
""))</f>
        <v>Juan Fernando Mancilla</v>
      </c>
      <c r="E57" s="258" t="str">
        <f t="array" ref="E57">IF(B57="","",IFERROR(
  INDEX(R_COTIZACIONES!C:C,MATCH(B57,R_COTIZACIONES!A:A,0)),
""))</f>
        <v>90000003-1</v>
      </c>
      <c r="F57" s="273" t="s">
        <v>38</v>
      </c>
      <c r="G57" s="273" t="s">
        <v>181</v>
      </c>
      <c r="H57" s="273" t="s">
        <v>238</v>
      </c>
      <c r="I57" s="292" t="str">
        <f>IF(H57="","",VLOOKUP(H57,'Base de datos'!$E:$G,3,FALSE))</f>
        <v>Cerradura digital  App TUYA, teclado, huella y tarjeta c Cámara</v>
      </c>
      <c r="J57" s="269">
        <v>1.0</v>
      </c>
      <c r="K57" s="277">
        <v>140000.0</v>
      </c>
      <c r="L57" s="269">
        <v>0.0</v>
      </c>
      <c r="M57" s="275">
        <f t="shared" si="3"/>
        <v>140000</v>
      </c>
      <c r="N57" s="258">
        <f t="shared" si="4"/>
        <v>0</v>
      </c>
      <c r="O57" s="275">
        <f t="shared" si="5"/>
        <v>140000</v>
      </c>
      <c r="P57" s="275">
        <f t="shared" si="6"/>
        <v>240000</v>
      </c>
      <c r="Q57" s="293">
        <f>IF(H57="","",VLOOKUP(H57,'Base de datos'!E:M,9,FALSE))</f>
        <v>180000</v>
      </c>
      <c r="R57" s="275">
        <f t="shared" si="7"/>
        <v>208000</v>
      </c>
      <c r="S57" s="294"/>
    </row>
    <row r="58" ht="22.5" customHeight="1">
      <c r="A58" s="258" t="str">
        <f t="shared" si="1"/>
        <v>44-2</v>
      </c>
      <c r="B58" s="269">
        <v>44.0</v>
      </c>
      <c r="C58" s="269">
        <f t="shared" si="2"/>
        <v>2</v>
      </c>
      <c r="D58" s="258" t="str">
        <f t="array" ref="D58">IF(B58="","",IFERROR(
  INDEX(R_COTIZACIONES!D:D,MATCH(B58,R_COTIZACIONES!A:A,0)),
""))</f>
        <v>Juan Fernando Mancilla</v>
      </c>
      <c r="E58" s="258" t="str">
        <f t="array" ref="E58">IF(B58="","",IFERROR(
  INDEX(R_COTIZACIONES!C:C,MATCH(B58,R_COTIZACIONES!A:A,0)),
""))</f>
        <v>90000003-1</v>
      </c>
      <c r="F58" s="273" t="s">
        <v>38</v>
      </c>
      <c r="G58" s="273" t="s">
        <v>181</v>
      </c>
      <c r="H58" s="273" t="s">
        <v>271</v>
      </c>
      <c r="I58" s="292" t="str">
        <f>IF(H58="","",VLOOKUP(H58,'Base de datos'!$E:$G,3,FALSE))</f>
        <v>Servicio de instalación y configuración de chapas digitales</v>
      </c>
      <c r="J58" s="269">
        <v>1.0</v>
      </c>
      <c r="K58" s="277">
        <v>100000.0</v>
      </c>
      <c r="L58" s="269">
        <v>0.0</v>
      </c>
      <c r="M58" s="275">
        <f t="shared" si="3"/>
        <v>100000</v>
      </c>
      <c r="N58" s="258">
        <f t="shared" si="4"/>
        <v>0</v>
      </c>
      <c r="O58" s="275">
        <f t="shared" si="5"/>
        <v>100000</v>
      </c>
      <c r="P58" s="275">
        <f t="shared" si="6"/>
        <v>240000</v>
      </c>
      <c r="Q58" s="293">
        <f>IF(H58="","",VLOOKUP(H58,'Base de datos'!E:M,9,FALSE))</f>
        <v>28000</v>
      </c>
      <c r="R58" s="275">
        <f t="shared" si="7"/>
        <v>208000</v>
      </c>
      <c r="S58" s="294"/>
    </row>
    <row r="59" ht="22.5" customHeight="1">
      <c r="A59" s="258" t="str">
        <f t="shared" si="1"/>
        <v>45-1</v>
      </c>
      <c r="B59" s="269">
        <v>45.0</v>
      </c>
      <c r="C59" s="269">
        <f t="shared" si="2"/>
        <v>1</v>
      </c>
      <c r="D59" s="258" t="str">
        <f t="array" ref="D59">IF(B59="","",IFERROR(
  INDEX(R_COTIZACIONES!D:D,MATCH(B59,R_COTIZACIONES!A:A,0)),
""))</f>
        <v>Comunidad Edificio Florencia</v>
      </c>
      <c r="E59" s="258" t="str">
        <f t="array" ref="E59">IF(B59="","",IFERROR(
  INDEX(R_COTIZACIONES!C:C,MATCH(B59,R_COTIZACIONES!A:A,0)),
""))</f>
        <v>56047780-5</v>
      </c>
      <c r="F59" s="273" t="s">
        <v>38</v>
      </c>
      <c r="G59" s="273" t="s">
        <v>159</v>
      </c>
      <c r="H59" s="273" t="s">
        <v>164</v>
      </c>
      <c r="I59" s="292" t="str">
        <f>IF(H59="","",VLOOKUP(H59,'Base de datos'!$E:$G,3,FALSE))</f>
        <v>D10 Turbo </v>
      </c>
      <c r="J59" s="269">
        <v>1.0</v>
      </c>
      <c r="K59" s="277">
        <v>950000.0</v>
      </c>
      <c r="L59" s="269">
        <v>0.0</v>
      </c>
      <c r="M59" s="275">
        <f t="shared" si="3"/>
        <v>950000</v>
      </c>
      <c r="N59" s="258">
        <f t="shared" si="4"/>
        <v>0</v>
      </c>
      <c r="O59" s="275">
        <f t="shared" si="5"/>
        <v>950000</v>
      </c>
      <c r="P59" s="275">
        <f t="shared" si="6"/>
        <v>1130000</v>
      </c>
      <c r="Q59" s="293">
        <f>IF(H59="","",VLOOKUP(H59,'Base de datos'!E:M,9,FALSE))</f>
        <v>423376.8</v>
      </c>
      <c r="R59" s="275">
        <f t="shared" si="7"/>
        <v>483376.8</v>
      </c>
      <c r="S59" s="294"/>
    </row>
    <row r="60" ht="22.5" customHeight="1">
      <c r="A60" s="258" t="str">
        <f t="shared" si="1"/>
        <v>45-2</v>
      </c>
      <c r="B60" s="269">
        <v>45.0</v>
      </c>
      <c r="C60" s="269">
        <f t="shared" si="2"/>
        <v>2</v>
      </c>
      <c r="D60" s="258" t="str">
        <f t="array" ref="D60">IF(B60="","",IFERROR(
  INDEX(R_COTIZACIONES!D:D,MATCH(B60,R_COTIZACIONES!A:A,0)),
""))</f>
        <v>Comunidad Edificio Florencia</v>
      </c>
      <c r="E60" s="258" t="str">
        <f t="array" ref="E60">IF(B60="","",IFERROR(
  INDEX(R_COTIZACIONES!C:C,MATCH(B60,R_COTIZACIONES!A:A,0)),
""))</f>
        <v>56047780-5</v>
      </c>
      <c r="F60" s="273" t="s">
        <v>38</v>
      </c>
      <c r="G60" s="273" t="s">
        <v>181</v>
      </c>
      <c r="H60" s="273" t="s">
        <v>250</v>
      </c>
      <c r="I60" s="292" t="str">
        <f>IF(H60="","",VLOOKUP(H60,'Base de datos'!$E:$G,3,FALSE))</f>
        <v>Instalación de motor (Solo)</v>
      </c>
      <c r="J60" s="269">
        <v>1.0</v>
      </c>
      <c r="K60" s="277">
        <v>180000.0</v>
      </c>
      <c r="L60" s="269">
        <v>0.0</v>
      </c>
      <c r="M60" s="275">
        <f t="shared" si="3"/>
        <v>180000</v>
      </c>
      <c r="N60" s="258">
        <f t="shared" si="4"/>
        <v>0</v>
      </c>
      <c r="O60" s="275">
        <f t="shared" si="5"/>
        <v>180000</v>
      </c>
      <c r="P60" s="275">
        <f t="shared" si="6"/>
        <v>1130000</v>
      </c>
      <c r="Q60" s="293">
        <f>IF(H60="","",VLOOKUP(H60,'Base de datos'!E:M,9,FALSE))</f>
        <v>60000</v>
      </c>
      <c r="R60" s="275">
        <f t="shared" si="7"/>
        <v>483376.8</v>
      </c>
      <c r="S60" s="294"/>
    </row>
    <row r="61" ht="22.5" customHeight="1">
      <c r="A61" s="258" t="str">
        <f t="shared" si="1"/>
        <v>46-1</v>
      </c>
      <c r="B61" s="269">
        <v>46.0</v>
      </c>
      <c r="C61" s="269">
        <f t="shared" si="2"/>
        <v>1</v>
      </c>
      <c r="D61" s="258" t="str">
        <f t="array" ref="D61">IF(B61="","",IFERROR(
  INDEX(R_COTIZACIONES!D:D,MATCH(B61,R_COTIZACIONES!A:A,0)),
""))</f>
        <v>Condominio Alto Bellavista</v>
      </c>
      <c r="E61" s="258" t="str">
        <f t="array" ref="E61">IF(B61="","",IFERROR(
  INDEX(R_COTIZACIONES!C:C,MATCH(B61,R_COTIZACIONES!A:A,0)),
""))</f>
        <v>65242132-6</v>
      </c>
      <c r="F61" s="273" t="s">
        <v>34</v>
      </c>
      <c r="G61" s="273" t="s">
        <v>181</v>
      </c>
      <c r="H61" s="273" t="s">
        <v>276</v>
      </c>
      <c r="I61" s="292" t="str">
        <f>IF(H61="","",VLOOKUP(H61,'Base de datos'!$E:$G,3,FALSE))</f>
        <v>Servicio de recuperación estructural </v>
      </c>
      <c r="J61" s="269">
        <v>1.0</v>
      </c>
      <c r="K61" s="277">
        <v>750000.0</v>
      </c>
      <c r="L61" s="295">
        <v>0.0</v>
      </c>
      <c r="M61" s="275">
        <f t="shared" si="3"/>
        <v>750000</v>
      </c>
      <c r="N61" s="275">
        <f t="shared" si="4"/>
        <v>142500</v>
      </c>
      <c r="O61" s="275">
        <f t="shared" si="5"/>
        <v>892500</v>
      </c>
      <c r="P61" s="275">
        <f t="shared" si="6"/>
        <v>892500</v>
      </c>
      <c r="Q61" s="293">
        <f>IF(H61="","",VLOOKUP(H61,'Base de datos'!E:M,9,FALSE))</f>
        <v>0</v>
      </c>
      <c r="R61" s="275">
        <f t="shared" si="7"/>
        <v>0</v>
      </c>
      <c r="S61" s="294"/>
    </row>
    <row r="62" ht="22.5" customHeight="1">
      <c r="A62" s="258" t="str">
        <f t="shared" si="1"/>
        <v>47-1</v>
      </c>
      <c r="B62" s="269">
        <v>47.0</v>
      </c>
      <c r="C62" s="269">
        <f t="shared" si="2"/>
        <v>1</v>
      </c>
      <c r="D62" s="258" t="str">
        <f t="array" ref="D62">IF(B62="","",IFERROR(
  INDEX(R_COTIZACIONES!D:D,MATCH(B62,R_COTIZACIONES!A:A,0)),
""))</f>
        <v>Condominio Paseo Peñuelas</v>
      </c>
      <c r="E62" s="258" t="str">
        <f t="array" ref="E62">IF(B62="","",IFERROR(
  INDEX(R_COTIZACIONES!C:C,MATCH(B62,R_COTIZACIONES!A:A,0)),
""))</f>
        <v>53320939-4</v>
      </c>
      <c r="F62" s="273" t="s">
        <v>34</v>
      </c>
      <c r="G62" s="273" t="s">
        <v>163</v>
      </c>
      <c r="H62" s="273" t="s">
        <v>305</v>
      </c>
      <c r="I62" s="292" t="s">
        <v>669</v>
      </c>
      <c r="J62" s="269">
        <v>1.0</v>
      </c>
      <c r="K62" s="277">
        <v>3304000.0</v>
      </c>
      <c r="L62" s="295">
        <v>0.0</v>
      </c>
      <c r="M62" s="275">
        <f t="shared" si="3"/>
        <v>3304000</v>
      </c>
      <c r="N62" s="275">
        <f t="shared" si="4"/>
        <v>627760</v>
      </c>
      <c r="O62" s="275">
        <f t="shared" si="5"/>
        <v>3931760</v>
      </c>
      <c r="P62" s="275">
        <f t="shared" si="6"/>
        <v>3931760</v>
      </c>
      <c r="Q62" s="293">
        <f>IF(H62="","",VLOOKUP(H62,'Base de datos'!E:M,9,FALSE))</f>
        <v>0</v>
      </c>
      <c r="R62" s="275">
        <f t="shared" si="7"/>
        <v>0</v>
      </c>
      <c r="S62" s="294"/>
    </row>
    <row r="63" ht="22.5" customHeight="1">
      <c r="A63" s="258" t="str">
        <f t="shared" si="1"/>
        <v>48-1</v>
      </c>
      <c r="B63" s="269">
        <v>48.0</v>
      </c>
      <c r="C63" s="269">
        <f t="shared" si="2"/>
        <v>1</v>
      </c>
      <c r="D63" s="258" t="str">
        <f t="array" ref="D63">IF(B63="","",IFERROR(
  INDEX(R_COTIZACIONES!D:D,MATCH(B63,R_COTIZACIONES!A:A,0)),
""))</f>
        <v>Condominio Paseo Peñuelas</v>
      </c>
      <c r="E63" s="258" t="str">
        <f t="array" ref="E63">IF(B63="","",IFERROR(
  INDEX(R_COTIZACIONES!C:C,MATCH(B63,R_COTIZACIONES!A:A,0)),
""))</f>
        <v>53320939-4</v>
      </c>
      <c r="F63" s="273" t="s">
        <v>34</v>
      </c>
      <c r="G63" s="273" t="s">
        <v>163</v>
      </c>
      <c r="H63" s="273" t="s">
        <v>305</v>
      </c>
      <c r="I63" s="292" t="s">
        <v>670</v>
      </c>
      <c r="J63" s="269">
        <v>1.0</v>
      </c>
      <c r="K63" s="277">
        <v>4825000.0</v>
      </c>
      <c r="L63" s="295">
        <v>0.0</v>
      </c>
      <c r="M63" s="275">
        <f t="shared" si="3"/>
        <v>4825000</v>
      </c>
      <c r="N63" s="275">
        <f t="shared" si="4"/>
        <v>916750</v>
      </c>
      <c r="O63" s="275">
        <f t="shared" si="5"/>
        <v>5741750</v>
      </c>
      <c r="P63" s="275">
        <f t="shared" si="6"/>
        <v>5741750</v>
      </c>
      <c r="Q63" s="293">
        <f>IF(H63="","",VLOOKUP(H63,'Base de datos'!E:M,9,FALSE))</f>
        <v>0</v>
      </c>
      <c r="R63" s="275">
        <f t="shared" si="7"/>
        <v>0</v>
      </c>
      <c r="S63" s="294"/>
    </row>
    <row r="64" ht="22.5" customHeight="1">
      <c r="A64" s="258" t="str">
        <f t="shared" si="1"/>
        <v>49-1</v>
      </c>
      <c r="B64" s="269">
        <v>49.0</v>
      </c>
      <c r="C64" s="269">
        <f t="shared" si="2"/>
        <v>1</v>
      </c>
      <c r="D64" s="258" t="str">
        <f t="array" ref="D64">IF(B64="","",IFERROR(
  INDEX(R_COTIZACIONES!D:D,MATCH(B64,R_COTIZACIONES!A:A,0)),
""))</f>
        <v>Condominio Paseo Peñuelas</v>
      </c>
      <c r="E64" s="258" t="str">
        <f t="array" ref="E64">IF(B64="","",IFERROR(
  INDEX(R_COTIZACIONES!C:C,MATCH(B64,R_COTIZACIONES!A:A,0)),
""))</f>
        <v>53320939-4</v>
      </c>
      <c r="F64" s="273" t="s">
        <v>34</v>
      </c>
      <c r="G64" s="273" t="s">
        <v>163</v>
      </c>
      <c r="H64" s="273" t="s">
        <v>305</v>
      </c>
      <c r="I64" s="292" t="s">
        <v>671</v>
      </c>
      <c r="J64" s="269">
        <v>1.0</v>
      </c>
      <c r="K64" s="277">
        <v>1.0871E7</v>
      </c>
      <c r="L64" s="295">
        <v>0.0</v>
      </c>
      <c r="M64" s="275">
        <f t="shared" si="3"/>
        <v>10871000</v>
      </c>
      <c r="N64" s="275">
        <f t="shared" si="4"/>
        <v>2065490</v>
      </c>
      <c r="O64" s="275">
        <f t="shared" si="5"/>
        <v>12936490</v>
      </c>
      <c r="P64" s="275">
        <f t="shared" si="6"/>
        <v>12936490</v>
      </c>
      <c r="Q64" s="293">
        <f>IF(H64="","",VLOOKUP(H64,'Base de datos'!E:M,9,FALSE))</f>
        <v>0</v>
      </c>
      <c r="R64" s="275">
        <f t="shared" si="7"/>
        <v>0</v>
      </c>
      <c r="S64" s="294"/>
    </row>
    <row r="65" ht="22.5" customHeight="1">
      <c r="A65" s="258" t="str">
        <f t="shared" si="1"/>
        <v>50-1</v>
      </c>
      <c r="B65" s="269">
        <v>50.0</v>
      </c>
      <c r="C65" s="269">
        <f t="shared" si="2"/>
        <v>1</v>
      </c>
      <c r="D65" s="258" t="str">
        <f t="array" ref="D65">IF(B65="","",IFERROR(
  INDEX(R_COTIZACIONES!D:D,MATCH(B65,R_COTIZACIONES!A:A,0)),
""))</f>
        <v>Comunidad Edificio Florencia</v>
      </c>
      <c r="E65" s="258" t="str">
        <f t="array" ref="E65">IF(B65="","",IFERROR(
  INDEX(R_COTIZACIONES!C:C,MATCH(B65,R_COTIZACIONES!A:A,0)),
""))</f>
        <v>56047780-5</v>
      </c>
      <c r="F65" s="273" t="s">
        <v>38</v>
      </c>
      <c r="G65" s="273" t="s">
        <v>156</v>
      </c>
      <c r="H65" s="273" t="s">
        <v>190</v>
      </c>
      <c r="I65" s="292" t="str">
        <f>IF(H65="","",VLOOKUP(H65,'Base de datos'!$E:$G,3,FALSE))</f>
        <v>Control NOVA 2CH</v>
      </c>
      <c r="J65" s="269">
        <v>10.0</v>
      </c>
      <c r="K65" s="277">
        <v>170000.0</v>
      </c>
      <c r="L65" s="295">
        <v>0.0</v>
      </c>
      <c r="M65" s="275">
        <f t="shared" si="3"/>
        <v>1700000</v>
      </c>
      <c r="N65" s="258">
        <f t="shared" si="4"/>
        <v>0</v>
      </c>
      <c r="O65" s="275">
        <f t="shared" si="5"/>
        <v>1700000</v>
      </c>
      <c r="P65" s="275">
        <f t="shared" si="6"/>
        <v>1700000</v>
      </c>
      <c r="Q65" s="293">
        <f>IF(H65="","",VLOOKUP(H65,'Base de datos'!E:M,9,FALSE))</f>
        <v>8021.7</v>
      </c>
      <c r="R65" s="275">
        <f t="shared" si="7"/>
        <v>8021.7</v>
      </c>
      <c r="S65" s="294"/>
    </row>
    <row r="66" ht="22.5" customHeight="1">
      <c r="A66" s="258" t="str">
        <f t="shared" si="1"/>
        <v>51-1</v>
      </c>
      <c r="B66" s="269">
        <v>51.0</v>
      </c>
      <c r="C66" s="269">
        <f t="shared" si="2"/>
        <v>1</v>
      </c>
      <c r="D66" s="258" t="str">
        <f t="array" ref="D66">IF(B66="","",IFERROR(
  INDEX(R_COTIZACIONES!D:D,MATCH(B66,R_COTIZACIONES!A:A,0)),
""))</f>
        <v>Condominio Capri</v>
      </c>
      <c r="E66" s="258" t="str">
        <f t="array" ref="E66">IF(B66="","",IFERROR(
  INDEX(R_COTIZACIONES!C:C,MATCH(B66,R_COTIZACIONES!A:A,0)),
""))</f>
        <v>65106948-3</v>
      </c>
      <c r="F66" s="273" t="s">
        <v>38</v>
      </c>
      <c r="G66" s="273" t="s">
        <v>159</v>
      </c>
      <c r="H66" s="273" t="s">
        <v>161</v>
      </c>
      <c r="I66" s="292" t="str">
        <f>IF(H66="","",VLOOKUP(H66,'Base de datos'!$E:$G,3,FALSE))</f>
        <v>D10 Standard Kit 1(6 crem y 2 controles)</v>
      </c>
      <c r="J66" s="269">
        <v>1.0</v>
      </c>
      <c r="K66" s="277">
        <v>1050000.0</v>
      </c>
      <c r="L66" s="295">
        <v>0.0</v>
      </c>
      <c r="M66" s="275">
        <f t="shared" si="3"/>
        <v>1050000</v>
      </c>
      <c r="N66" s="258">
        <f t="shared" si="4"/>
        <v>0</v>
      </c>
      <c r="O66" s="275">
        <f t="shared" si="5"/>
        <v>1050000</v>
      </c>
      <c r="P66" s="275">
        <f t="shared" si="6"/>
        <v>1550000</v>
      </c>
      <c r="Q66" s="293">
        <f>IF(H66="","",VLOOKUP(H66,'Base de datos'!E:M,9,FALSE))</f>
        <v>420000</v>
      </c>
      <c r="R66" s="275">
        <f t="shared" si="7"/>
        <v>664983</v>
      </c>
      <c r="S66" s="294"/>
    </row>
    <row r="67" ht="22.5" customHeight="1">
      <c r="A67" s="258" t="str">
        <f t="shared" si="1"/>
        <v>51-2</v>
      </c>
      <c r="B67" s="269">
        <v>51.0</v>
      </c>
      <c r="C67" s="269">
        <f t="shared" si="2"/>
        <v>2</v>
      </c>
      <c r="D67" s="258" t="str">
        <f t="array" ref="D67">IF(B67="","",IFERROR(
  INDEX(R_COTIZACIONES!D:D,MATCH(B67,R_COTIZACIONES!A:A,0)),
""))</f>
        <v>Condominio Capri</v>
      </c>
      <c r="E67" s="258" t="str">
        <f t="array" ref="E67">IF(B67="","",IFERROR(
  INDEX(R_COTIZACIONES!C:C,MATCH(B67,R_COTIZACIONES!A:A,0)),
""))</f>
        <v>65106948-3</v>
      </c>
      <c r="F67" s="273" t="s">
        <v>38</v>
      </c>
      <c r="G67" s="273" t="s">
        <v>159</v>
      </c>
      <c r="H67" s="273" t="s">
        <v>187</v>
      </c>
      <c r="I67" s="292" t="str">
        <f>IF(H67="","",VLOOKUP(H67,'Base de datos'!$E:$G,3,FALSE))</f>
        <v>Photon Smart (par)</v>
      </c>
      <c r="J67" s="269">
        <v>1.0</v>
      </c>
      <c r="K67" s="277">
        <v>95000.0</v>
      </c>
      <c r="L67" s="295">
        <v>0.0</v>
      </c>
      <c r="M67" s="275">
        <f t="shared" si="3"/>
        <v>95000</v>
      </c>
      <c r="N67" s="258">
        <f t="shared" si="4"/>
        <v>0</v>
      </c>
      <c r="O67" s="275">
        <f t="shared" si="5"/>
        <v>95000</v>
      </c>
      <c r="P67" s="275">
        <f t="shared" si="6"/>
        <v>1550000</v>
      </c>
      <c r="Q67" s="293">
        <f>IF(H67="","",VLOOKUP(H67,'Base de datos'!E:M,9,FALSE))</f>
        <v>35692.8</v>
      </c>
      <c r="R67" s="275">
        <f t="shared" si="7"/>
        <v>664983</v>
      </c>
      <c r="S67" s="294"/>
    </row>
    <row r="68" ht="22.5" customHeight="1">
      <c r="A68" s="258" t="str">
        <f t="shared" si="1"/>
        <v>51-3</v>
      </c>
      <c r="B68" s="269">
        <v>51.0</v>
      </c>
      <c r="C68" s="269">
        <f t="shared" si="2"/>
        <v>3</v>
      </c>
      <c r="D68" s="258" t="str">
        <f t="array" ref="D68">IF(B68="","",IFERROR(
  INDEX(R_COTIZACIONES!D:D,MATCH(B68,R_COTIZACIONES!A:A,0)),
""))</f>
        <v>Condominio Capri</v>
      </c>
      <c r="E68" s="258" t="str">
        <f t="array" ref="E68">IF(B68="","",IFERROR(
  INDEX(R_COTIZACIONES!C:C,MATCH(B68,R_COTIZACIONES!A:A,0)),
""))</f>
        <v>65106948-3</v>
      </c>
      <c r="F68" s="273" t="s">
        <v>38</v>
      </c>
      <c r="G68" s="273" t="s">
        <v>174</v>
      </c>
      <c r="H68" s="273" t="s">
        <v>200</v>
      </c>
      <c r="I68" s="292" t="str">
        <f>IF(H68="","",VLOOKUP(H68,'Base de datos'!$E:$G,3,FALSE))</f>
        <v>Set de Guias 40x60</v>
      </c>
      <c r="J68" s="269">
        <v>1.0</v>
      </c>
      <c r="K68" s="277">
        <v>25000.0</v>
      </c>
      <c r="L68" s="295">
        <v>0.0</v>
      </c>
      <c r="M68" s="275">
        <f t="shared" si="3"/>
        <v>25000</v>
      </c>
      <c r="N68" s="258">
        <f t="shared" si="4"/>
        <v>0</v>
      </c>
      <c r="O68" s="275">
        <f t="shared" si="5"/>
        <v>25000</v>
      </c>
      <c r="P68" s="275">
        <f t="shared" si="6"/>
        <v>1550000</v>
      </c>
      <c r="Q68" s="293">
        <f>IF(H68="","",VLOOKUP(H68,'Base de datos'!E:M,9,FALSE))</f>
        <v>10019.4</v>
      </c>
      <c r="R68" s="275">
        <f t="shared" si="7"/>
        <v>664983</v>
      </c>
      <c r="S68" s="294"/>
    </row>
    <row r="69" ht="22.5" customHeight="1">
      <c r="A69" s="258" t="str">
        <f t="shared" si="1"/>
        <v>51-4</v>
      </c>
      <c r="B69" s="269">
        <v>51.0</v>
      </c>
      <c r="C69" s="269">
        <f t="shared" si="2"/>
        <v>4</v>
      </c>
      <c r="D69" s="258" t="str">
        <f t="array" ref="D69">IF(B69="","",IFERROR(
  INDEX(R_COTIZACIONES!D:D,MATCH(B69,R_COTIZACIONES!A:A,0)),
""))</f>
        <v>Condominio Capri</v>
      </c>
      <c r="E69" s="258" t="str">
        <f t="array" ref="E69">IF(B69="","",IFERROR(
  INDEX(R_COTIZACIONES!C:C,MATCH(B69,R_COTIZACIONES!A:A,0)),
""))</f>
        <v>65106948-3</v>
      </c>
      <c r="F69" s="273" t="s">
        <v>38</v>
      </c>
      <c r="G69" s="273" t="s">
        <v>159</v>
      </c>
      <c r="H69" s="273" t="s">
        <v>196</v>
      </c>
      <c r="I69" s="292" t="str">
        <f>IF(H69="","",VLOOKUP(H69,'Base de datos'!$E:$G,3,FALSE))</f>
        <v>Baliza NICE  12-38V</v>
      </c>
      <c r="J69" s="269">
        <v>1.0</v>
      </c>
      <c r="K69" s="277">
        <v>80000.0</v>
      </c>
      <c r="L69" s="295">
        <v>0.0</v>
      </c>
      <c r="M69" s="275">
        <f t="shared" si="3"/>
        <v>80000</v>
      </c>
      <c r="N69" s="258">
        <f t="shared" si="4"/>
        <v>0</v>
      </c>
      <c r="O69" s="275">
        <f t="shared" si="5"/>
        <v>80000</v>
      </c>
      <c r="P69" s="275">
        <f t="shared" si="6"/>
        <v>1550000</v>
      </c>
      <c r="Q69" s="293">
        <f>IF(H69="","",VLOOKUP(H69,'Base de datos'!E:M,9,FALSE))</f>
        <v>19270.8</v>
      </c>
      <c r="R69" s="275">
        <f t="shared" si="7"/>
        <v>664983</v>
      </c>
      <c r="S69" s="294"/>
    </row>
    <row r="70" ht="22.5" customHeight="1">
      <c r="A70" s="258" t="str">
        <f t="shared" si="1"/>
        <v>51-5</v>
      </c>
      <c r="B70" s="269">
        <v>51.0</v>
      </c>
      <c r="C70" s="269">
        <f t="shared" si="2"/>
        <v>5</v>
      </c>
      <c r="D70" s="258" t="str">
        <f t="array" ref="D70">IF(B70="","",IFERROR(
  INDEX(R_COTIZACIONES!D:D,MATCH(B70,R_COTIZACIONES!A:A,0)),
""))</f>
        <v>Condominio Capri</v>
      </c>
      <c r="E70" s="258" t="str">
        <f t="array" ref="E70">IF(B70="","",IFERROR(
  INDEX(R_COTIZACIONES!C:C,MATCH(B70,R_COTIZACIONES!A:A,0)),
""))</f>
        <v>65106948-3</v>
      </c>
      <c r="F70" s="273" t="s">
        <v>38</v>
      </c>
      <c r="G70" s="273" t="s">
        <v>181</v>
      </c>
      <c r="H70" s="273" t="s">
        <v>257</v>
      </c>
      <c r="I70" s="292" t="str">
        <f>IF(H70="","",VLOOKUP(H70,'Base de datos'!$E:$G,3,FALSE))</f>
        <v>Instalación de motor (Kit)</v>
      </c>
      <c r="J70" s="269">
        <v>1.0</v>
      </c>
      <c r="K70" s="277">
        <v>300000.0</v>
      </c>
      <c r="L70" s="295">
        <v>0.0</v>
      </c>
      <c r="M70" s="275">
        <f t="shared" si="3"/>
        <v>300000</v>
      </c>
      <c r="N70" s="258">
        <f t="shared" si="4"/>
        <v>0</v>
      </c>
      <c r="O70" s="275">
        <f t="shared" si="5"/>
        <v>300000</v>
      </c>
      <c r="P70" s="275">
        <f t="shared" si="6"/>
        <v>1550000</v>
      </c>
      <c r="Q70" s="293">
        <f>IF(H70="","",VLOOKUP(H70,'Base de datos'!E:M,9,FALSE))</f>
        <v>180000</v>
      </c>
      <c r="R70" s="275">
        <f t="shared" si="7"/>
        <v>664983</v>
      </c>
      <c r="S70" s="294"/>
    </row>
    <row r="71" ht="22.5" customHeight="1">
      <c r="A71" s="258" t="str">
        <f t="shared" si="1"/>
        <v>52-1</v>
      </c>
      <c r="B71" s="269">
        <v>52.0</v>
      </c>
      <c r="C71" s="269">
        <f t="shared" si="2"/>
        <v>1</v>
      </c>
      <c r="D71" s="258" t="str">
        <f t="array" ref="D71">IF(B71="","",IFERROR(
  INDEX(R_COTIZACIONES!D:D,MATCH(B71,R_COTIZACIONES!A:A,0)),
""))</f>
        <v>Espacio Norte La Serena</v>
      </c>
      <c r="E71" s="258" t="str">
        <f t="array" ref="E71">IF(B71="","",IFERROR(
  INDEX(R_COTIZACIONES!C:C,MATCH(B71,R_COTIZACIONES!A:A,0)),
""))</f>
        <v>76785900-7</v>
      </c>
      <c r="F71" s="273" t="s">
        <v>38</v>
      </c>
      <c r="G71" s="273" t="s">
        <v>159</v>
      </c>
      <c r="H71" s="273" t="s">
        <v>166</v>
      </c>
      <c r="I71" s="292" t="str">
        <f>IF(H71="","",VLOOKUP(H71,'Base de datos'!$E:$G,3,FALSE))</f>
        <v>D10 Turbo (6 crem y 2 controles)</v>
      </c>
      <c r="J71" s="269">
        <v>1.0</v>
      </c>
      <c r="K71" s="277">
        <v>1200000.0</v>
      </c>
      <c r="L71" s="295">
        <v>0.0</v>
      </c>
      <c r="M71" s="275">
        <f t="shared" si="3"/>
        <v>1200000</v>
      </c>
      <c r="N71" s="258">
        <f t="shared" si="4"/>
        <v>0</v>
      </c>
      <c r="O71" s="275">
        <f t="shared" si="5"/>
        <v>1200000</v>
      </c>
      <c r="P71" s="275">
        <f t="shared" si="6"/>
        <v>1710000</v>
      </c>
      <c r="Q71" s="293">
        <f>IF(H71="","",VLOOKUP(H71,'Base de datos'!E:M,9,FALSE))</f>
        <v>450483.6</v>
      </c>
      <c r="R71" s="275">
        <f t="shared" si="7"/>
        <v>731195.8</v>
      </c>
      <c r="S71" s="294"/>
    </row>
    <row r="72" ht="22.5" customHeight="1">
      <c r="A72" s="258" t="str">
        <f t="shared" si="1"/>
        <v>52-2</v>
      </c>
      <c r="B72" s="269">
        <v>52.0</v>
      </c>
      <c r="C72" s="269">
        <f t="shared" si="2"/>
        <v>2</v>
      </c>
      <c r="D72" s="258" t="str">
        <f t="array" ref="D72">IF(B72="","",IFERROR(
  INDEX(R_COTIZACIONES!D:D,MATCH(B72,R_COTIZACIONES!A:A,0)),
""))</f>
        <v>Espacio Norte La Serena</v>
      </c>
      <c r="E72" s="258" t="str">
        <f t="array" ref="E72">IF(B72="","",IFERROR(
  INDEX(R_COTIZACIONES!C:C,MATCH(B72,R_COTIZACIONES!A:A,0)),
""))</f>
        <v>76785900-7</v>
      </c>
      <c r="F72" s="273" t="s">
        <v>38</v>
      </c>
      <c r="G72" s="273" t="s">
        <v>159</v>
      </c>
      <c r="H72" s="273" t="s">
        <v>187</v>
      </c>
      <c r="I72" s="292" t="str">
        <f>IF(H72="","",VLOOKUP(H72,'Base de datos'!$E:$G,3,FALSE))</f>
        <v>Photon Smart (par)</v>
      </c>
      <c r="J72" s="269">
        <v>1.0</v>
      </c>
      <c r="K72" s="277">
        <v>95000.0</v>
      </c>
      <c r="L72" s="295">
        <v>0.0</v>
      </c>
      <c r="M72" s="275">
        <f t="shared" si="3"/>
        <v>95000</v>
      </c>
      <c r="N72" s="258">
        <f t="shared" si="4"/>
        <v>0</v>
      </c>
      <c r="O72" s="275">
        <f t="shared" si="5"/>
        <v>95000</v>
      </c>
      <c r="P72" s="275">
        <f t="shared" si="6"/>
        <v>1710000</v>
      </c>
      <c r="Q72" s="293">
        <f>IF(H72="","",VLOOKUP(H72,'Base de datos'!E:M,9,FALSE))</f>
        <v>35692.8</v>
      </c>
      <c r="R72" s="275">
        <f t="shared" si="7"/>
        <v>731195.8</v>
      </c>
      <c r="S72" s="294"/>
    </row>
    <row r="73" ht="22.5" customHeight="1">
      <c r="A73" s="258" t="str">
        <f t="shared" si="1"/>
        <v>52-3</v>
      </c>
      <c r="B73" s="269">
        <v>52.0</v>
      </c>
      <c r="C73" s="269">
        <f t="shared" si="2"/>
        <v>3</v>
      </c>
      <c r="D73" s="258" t="str">
        <f t="array" ref="D73">IF(B73="","",IFERROR(
  INDEX(R_COTIZACIONES!D:D,MATCH(B73,R_COTIZACIONES!A:A,0)),
""))</f>
        <v>Espacio Norte La Serena</v>
      </c>
      <c r="E73" s="258" t="str">
        <f t="array" ref="E73">IF(B73="","",IFERROR(
  INDEX(R_COTIZACIONES!C:C,MATCH(B73,R_COTIZACIONES!A:A,0)),
""))</f>
        <v>76785900-7</v>
      </c>
      <c r="F73" s="273" t="s">
        <v>38</v>
      </c>
      <c r="G73" s="273" t="s">
        <v>181</v>
      </c>
      <c r="H73" s="273" t="s">
        <v>303</v>
      </c>
      <c r="I73" s="292" t="str">
        <f>IF(H73="","",VLOOKUP(H73,'Base de datos'!$E:$G,3,FALSE))</f>
        <v>Servicio de instalación de punto eléctrico x mt</v>
      </c>
      <c r="J73" s="269">
        <v>2.0</v>
      </c>
      <c r="K73" s="275">
        <f>IF(H73="","",VLOOKUP(H73,'Base de datos'!E:N,10,FALSE))</f>
        <v>20000</v>
      </c>
      <c r="L73" s="295">
        <v>0.0</v>
      </c>
      <c r="M73" s="275">
        <f t="shared" si="3"/>
        <v>40000</v>
      </c>
      <c r="N73" s="258">
        <f t="shared" si="4"/>
        <v>0</v>
      </c>
      <c r="O73" s="275">
        <f t="shared" si="5"/>
        <v>40000</v>
      </c>
      <c r="P73" s="275">
        <f t="shared" si="6"/>
        <v>1710000</v>
      </c>
      <c r="Q73" s="293">
        <f>IF(H73="","",VLOOKUP(H73,'Base de datos'!E:M,9,FALSE))</f>
        <v>0</v>
      </c>
      <c r="R73" s="275">
        <f t="shared" si="7"/>
        <v>731195.8</v>
      </c>
      <c r="S73" s="294"/>
    </row>
    <row r="74" ht="22.5" customHeight="1">
      <c r="A74" s="258" t="str">
        <f t="shared" si="1"/>
        <v>52-4</v>
      </c>
      <c r="B74" s="269">
        <v>52.0</v>
      </c>
      <c r="C74" s="269">
        <f t="shared" si="2"/>
        <v>4</v>
      </c>
      <c r="D74" s="258" t="str">
        <f t="array" ref="D74">IF(B74="","",IFERROR(
  INDEX(R_COTIZACIONES!D:D,MATCH(B74,R_COTIZACIONES!A:A,0)),
""))</f>
        <v>Espacio Norte La Serena</v>
      </c>
      <c r="E74" s="258" t="str">
        <f t="array" ref="E74">IF(B74="","",IFERROR(
  INDEX(R_COTIZACIONES!C:C,MATCH(B74,R_COTIZACIONES!A:A,0)),
""))</f>
        <v>76785900-7</v>
      </c>
      <c r="F74" s="273" t="s">
        <v>38</v>
      </c>
      <c r="G74" s="273" t="s">
        <v>185</v>
      </c>
      <c r="H74" s="273" t="s">
        <v>208</v>
      </c>
      <c r="I74" s="292" t="str">
        <f>IF(H74="","",VLOOKUP(H74,'Base de datos'!$E:$G,3,FALSE))</f>
        <v>Ferreterías varias</v>
      </c>
      <c r="J74" s="269">
        <v>1.0</v>
      </c>
      <c r="K74" s="277">
        <v>50000.0</v>
      </c>
      <c r="L74" s="295">
        <v>0.0</v>
      </c>
      <c r="M74" s="275">
        <f t="shared" si="3"/>
        <v>50000</v>
      </c>
      <c r="N74" s="258">
        <f t="shared" si="4"/>
        <v>0</v>
      </c>
      <c r="O74" s="275">
        <f t="shared" si="5"/>
        <v>50000</v>
      </c>
      <c r="P74" s="275">
        <f t="shared" si="6"/>
        <v>1710000</v>
      </c>
      <c r="Q74" s="293">
        <f>IF(H74="","",VLOOKUP(H74,'Base de datos'!E:M,9,FALSE))</f>
        <v>55000</v>
      </c>
      <c r="R74" s="275">
        <f t="shared" si="7"/>
        <v>731195.8</v>
      </c>
      <c r="S74" s="294"/>
    </row>
    <row r="75" ht="22.5" customHeight="1">
      <c r="A75" s="258" t="str">
        <f t="shared" si="1"/>
        <v>52-5</v>
      </c>
      <c r="B75" s="269">
        <v>52.0</v>
      </c>
      <c r="C75" s="269">
        <f t="shared" si="2"/>
        <v>5</v>
      </c>
      <c r="D75" s="258" t="str">
        <f t="array" ref="D75">IF(B75="","",IFERROR(
  INDEX(R_COTIZACIONES!D:D,MATCH(B75,R_COTIZACIONES!A:A,0)),
""))</f>
        <v>Espacio Norte La Serena</v>
      </c>
      <c r="E75" s="258" t="str">
        <f t="array" ref="E75">IF(B75="","",IFERROR(
  INDEX(R_COTIZACIONES!C:C,MATCH(B75,R_COTIZACIONES!A:A,0)),
""))</f>
        <v>76785900-7</v>
      </c>
      <c r="F75" s="273" t="s">
        <v>38</v>
      </c>
      <c r="G75" s="273" t="s">
        <v>181</v>
      </c>
      <c r="H75" s="273" t="s">
        <v>257</v>
      </c>
      <c r="I75" s="292" t="str">
        <f>IF(H75="","",VLOOKUP(H75,'Base de datos'!$E:$G,3,FALSE))</f>
        <v>Instalación de motor (Kit)</v>
      </c>
      <c r="J75" s="269">
        <v>1.0</v>
      </c>
      <c r="K75" s="277">
        <v>300000.0</v>
      </c>
      <c r="L75" s="295">
        <v>0.0</v>
      </c>
      <c r="M75" s="275">
        <f t="shared" si="3"/>
        <v>300000</v>
      </c>
      <c r="N75" s="258">
        <f t="shared" si="4"/>
        <v>0</v>
      </c>
      <c r="O75" s="275">
        <f t="shared" si="5"/>
        <v>300000</v>
      </c>
      <c r="P75" s="275">
        <f t="shared" si="6"/>
        <v>1710000</v>
      </c>
      <c r="Q75" s="293">
        <f>IF(H75="","",VLOOKUP(H75,'Base de datos'!E:M,9,FALSE))</f>
        <v>180000</v>
      </c>
      <c r="R75" s="275">
        <f t="shared" si="7"/>
        <v>731195.8</v>
      </c>
      <c r="S75" s="294"/>
    </row>
    <row r="76" ht="22.5" customHeight="1">
      <c r="A76" s="258" t="str">
        <f t="shared" si="1"/>
        <v>52-6</v>
      </c>
      <c r="B76" s="269">
        <v>52.0</v>
      </c>
      <c r="C76" s="269">
        <f t="shared" si="2"/>
        <v>6</v>
      </c>
      <c r="D76" s="258" t="str">
        <f t="array" ref="D76">IF(B76="","",IFERROR(
  INDEX(R_COTIZACIONES!D:D,MATCH(B76,R_COTIZACIONES!A:A,0)),
""))</f>
        <v>Espacio Norte La Serena</v>
      </c>
      <c r="E76" s="258" t="str">
        <f t="array" ref="E76">IF(B76="","",IFERROR(
  INDEX(R_COTIZACIONES!C:C,MATCH(B76,R_COTIZACIONES!A:A,0)),
""))</f>
        <v>76785900-7</v>
      </c>
      <c r="F76" s="273" t="s">
        <v>38</v>
      </c>
      <c r="G76" s="273" t="s">
        <v>174</v>
      </c>
      <c r="H76" s="273" t="s">
        <v>200</v>
      </c>
      <c r="I76" s="292" t="str">
        <f>IF(H76="","",VLOOKUP(H76,'Base de datos'!$E:$G,3,FALSE))</f>
        <v>Set de Guias 40x60</v>
      </c>
      <c r="J76" s="269">
        <v>1.0</v>
      </c>
      <c r="K76" s="277">
        <v>25000.0</v>
      </c>
      <c r="L76" s="295">
        <v>0.0</v>
      </c>
      <c r="M76" s="275">
        <f t="shared" si="3"/>
        <v>25000</v>
      </c>
      <c r="N76" s="258">
        <f t="shared" si="4"/>
        <v>0</v>
      </c>
      <c r="O76" s="275">
        <f t="shared" si="5"/>
        <v>25000</v>
      </c>
      <c r="P76" s="275">
        <f t="shared" si="6"/>
        <v>1710000</v>
      </c>
      <c r="Q76" s="293">
        <f>IF(H76="","",VLOOKUP(H76,'Base de datos'!E:M,9,FALSE))</f>
        <v>10019.4</v>
      </c>
      <c r="R76" s="275">
        <f t="shared" si="7"/>
        <v>731195.8</v>
      </c>
      <c r="S76" s="294"/>
    </row>
    <row r="77" ht="22.5" customHeight="1">
      <c r="A77" s="258" t="str">
        <f t="shared" si="1"/>
        <v>53-1</v>
      </c>
      <c r="B77" s="269">
        <v>53.0</v>
      </c>
      <c r="C77" s="269">
        <f t="shared" si="2"/>
        <v>1</v>
      </c>
      <c r="D77" s="258" t="str">
        <f t="array" ref="D77">IF(B77="","",IFERROR(
  INDEX(R_COTIZACIONES!D:D,MATCH(B77,R_COTIZACIONES!A:A,0)),
""))</f>
        <v>Espacio Norte La Serena</v>
      </c>
      <c r="E77" s="258" t="str">
        <f t="array" ref="E77">IF(B77="","",IFERROR(
  INDEX(R_COTIZACIONES!C:C,MATCH(B77,R_COTIZACIONES!A:A,0)),
""))</f>
        <v>76785900-7</v>
      </c>
      <c r="F77" s="273" t="s">
        <v>38</v>
      </c>
      <c r="G77" s="273" t="s">
        <v>159</v>
      </c>
      <c r="H77" s="273" t="s">
        <v>171</v>
      </c>
      <c r="I77" s="292" t="str">
        <f>IF(H77="","",VLOOKUP(H77,'Base de datos'!$E:$G,3,FALSE))</f>
        <v>D6  (6 crem y 2 controles)</v>
      </c>
      <c r="J77" s="269">
        <v>1.0</v>
      </c>
      <c r="K77" s="277">
        <v>850000.0</v>
      </c>
      <c r="L77" s="295">
        <v>0.0</v>
      </c>
      <c r="M77" s="275">
        <f t="shared" si="3"/>
        <v>850000</v>
      </c>
      <c r="N77" s="258">
        <f t="shared" si="4"/>
        <v>0</v>
      </c>
      <c r="O77" s="275">
        <f t="shared" si="5"/>
        <v>850000</v>
      </c>
      <c r="P77" s="275">
        <f t="shared" si="6"/>
        <v>990000</v>
      </c>
      <c r="Q77" s="293">
        <f>IF(H77="","",VLOOKUP(H77,'Base de datos'!E:M,9,FALSE))</f>
        <v>311967</v>
      </c>
      <c r="R77" s="275">
        <f t="shared" si="7"/>
        <v>376986.4</v>
      </c>
      <c r="S77" s="294"/>
    </row>
    <row r="78" ht="22.5" customHeight="1">
      <c r="A78" s="258" t="str">
        <f t="shared" si="1"/>
        <v>53-2</v>
      </c>
      <c r="B78" s="269">
        <v>53.0</v>
      </c>
      <c r="C78" s="269">
        <f t="shared" si="2"/>
        <v>2</v>
      </c>
      <c r="D78" s="258" t="str">
        <f t="array" ref="D78">IF(B78="","",IFERROR(
  INDEX(R_COTIZACIONES!D:D,MATCH(B78,R_COTIZACIONES!A:A,0)),
""))</f>
        <v>Espacio Norte La Serena</v>
      </c>
      <c r="E78" s="258" t="str">
        <f t="array" ref="E78">IF(B78="","",IFERROR(
  INDEX(R_COTIZACIONES!C:C,MATCH(B78,R_COTIZACIONES!A:A,0)),
""))</f>
        <v>76785900-7</v>
      </c>
      <c r="F78" s="273" t="s">
        <v>38</v>
      </c>
      <c r="G78" s="273" t="s">
        <v>174</v>
      </c>
      <c r="H78" s="273" t="s">
        <v>200</v>
      </c>
      <c r="I78" s="292" t="str">
        <f>IF(H78="","",VLOOKUP(H78,'Base de datos'!$E:$G,3,FALSE))</f>
        <v>Set de Guias 40x60</v>
      </c>
      <c r="J78" s="269">
        <v>1.0</v>
      </c>
      <c r="K78" s="277">
        <v>50000.0</v>
      </c>
      <c r="L78" s="295">
        <v>0.0</v>
      </c>
      <c r="M78" s="275">
        <f t="shared" si="3"/>
        <v>50000</v>
      </c>
      <c r="N78" s="258">
        <f t="shared" si="4"/>
        <v>0</v>
      </c>
      <c r="O78" s="275">
        <f t="shared" si="5"/>
        <v>50000</v>
      </c>
      <c r="P78" s="275">
        <f t="shared" si="6"/>
        <v>990000</v>
      </c>
      <c r="Q78" s="293">
        <f>IF(H78="","",VLOOKUP(H78,'Base de datos'!E:M,9,FALSE))</f>
        <v>10019.4</v>
      </c>
      <c r="R78" s="275">
        <f t="shared" si="7"/>
        <v>376986.4</v>
      </c>
      <c r="S78" s="294"/>
    </row>
    <row r="79" ht="22.5" customHeight="1">
      <c r="A79" s="258" t="str">
        <f t="shared" si="1"/>
        <v>53-3</v>
      </c>
      <c r="B79" s="269">
        <v>53.0</v>
      </c>
      <c r="C79" s="269">
        <f t="shared" si="2"/>
        <v>3</v>
      </c>
      <c r="D79" s="258" t="str">
        <f t="array" ref="D79">IF(B79="","",IFERROR(
  INDEX(R_COTIZACIONES!D:D,MATCH(B79,R_COTIZACIONES!A:A,0)),
""))</f>
        <v>Espacio Norte La Serena</v>
      </c>
      <c r="E79" s="258" t="str">
        <f t="array" ref="E79">IF(B79="","",IFERROR(
  INDEX(R_COTIZACIONES!C:C,MATCH(B79,R_COTIZACIONES!A:A,0)),
""))</f>
        <v>76785900-7</v>
      </c>
      <c r="F79" s="273" t="s">
        <v>38</v>
      </c>
      <c r="G79" s="273" t="s">
        <v>181</v>
      </c>
      <c r="H79" s="273" t="s">
        <v>303</v>
      </c>
      <c r="I79" s="292" t="str">
        <f>IF(H79="","",VLOOKUP(H79,'Base de datos'!$E:$G,3,FALSE))</f>
        <v>Servicio de instalación de punto eléctrico x mt</v>
      </c>
      <c r="J79" s="269">
        <v>2.0</v>
      </c>
      <c r="K79" s="275">
        <f>IF(H79="","",VLOOKUP(H79,'Base de datos'!E:N,10,FALSE))</f>
        <v>20000</v>
      </c>
      <c r="L79" s="295">
        <v>0.0</v>
      </c>
      <c r="M79" s="275">
        <f t="shared" si="3"/>
        <v>40000</v>
      </c>
      <c r="N79" s="258">
        <f t="shared" si="4"/>
        <v>0</v>
      </c>
      <c r="O79" s="275">
        <f t="shared" si="5"/>
        <v>40000</v>
      </c>
      <c r="P79" s="275">
        <f t="shared" si="6"/>
        <v>990000</v>
      </c>
      <c r="Q79" s="293">
        <f>IF(H79="","",VLOOKUP(H79,'Base de datos'!E:M,9,FALSE))</f>
        <v>0</v>
      </c>
      <c r="R79" s="275">
        <f t="shared" si="7"/>
        <v>376986.4</v>
      </c>
      <c r="S79" s="294"/>
    </row>
    <row r="80" ht="22.5" customHeight="1">
      <c r="A80" s="258" t="str">
        <f t="shared" si="1"/>
        <v>53-4</v>
      </c>
      <c r="B80" s="269">
        <v>53.0</v>
      </c>
      <c r="C80" s="269">
        <f t="shared" si="2"/>
        <v>4</v>
      </c>
      <c r="D80" s="258" t="str">
        <f t="array" ref="D80">IF(B80="","",IFERROR(
  INDEX(R_COTIZACIONES!D:D,MATCH(B80,R_COTIZACIONES!A:A,0)),
""))</f>
        <v>Espacio Norte La Serena</v>
      </c>
      <c r="E80" s="258" t="str">
        <f t="array" ref="E80">IF(B80="","",IFERROR(
  INDEX(R_COTIZACIONES!C:C,MATCH(B80,R_COTIZACIONES!A:A,0)),
""))</f>
        <v>76785900-7</v>
      </c>
      <c r="F80" s="273" t="s">
        <v>38</v>
      </c>
      <c r="G80" s="273" t="s">
        <v>185</v>
      </c>
      <c r="H80" s="273" t="s">
        <v>208</v>
      </c>
      <c r="I80" s="292" t="str">
        <f>IF(H80="","",VLOOKUP(H80,'Base de datos'!$E:$G,3,FALSE))</f>
        <v>Ferreterías varias</v>
      </c>
      <c r="J80" s="269">
        <v>1.0</v>
      </c>
      <c r="K80" s="277">
        <v>50000.0</v>
      </c>
      <c r="L80" s="295">
        <v>0.0</v>
      </c>
      <c r="M80" s="275">
        <f t="shared" si="3"/>
        <v>50000</v>
      </c>
      <c r="N80" s="258">
        <f t="shared" si="4"/>
        <v>0</v>
      </c>
      <c r="O80" s="275">
        <f t="shared" si="5"/>
        <v>50000</v>
      </c>
      <c r="P80" s="275">
        <f t="shared" si="6"/>
        <v>990000</v>
      </c>
      <c r="Q80" s="293">
        <f>IF(H80="","",VLOOKUP(H80,'Base de datos'!E:M,9,FALSE))</f>
        <v>55000</v>
      </c>
      <c r="R80" s="275">
        <f t="shared" si="7"/>
        <v>376986.4</v>
      </c>
      <c r="S80" s="294"/>
    </row>
    <row r="81" ht="22.5" customHeight="1">
      <c r="A81" s="258" t="str">
        <f t="shared" si="1"/>
        <v>54-1</v>
      </c>
      <c r="B81" s="269">
        <v>54.0</v>
      </c>
      <c r="C81" s="269">
        <f t="shared" si="2"/>
        <v>1</v>
      </c>
      <c r="D81" s="258" t="str">
        <f t="array" ref="D81">IF(B81="","",IFERROR(
  INDEX(R_COTIZACIONES!D:D,MATCH(B81,R_COTIZACIONES!A:A,0)),
""))</f>
        <v>Condominio Parque Libertad</v>
      </c>
      <c r="E81" s="258" t="str">
        <f t="array" ref="E81">IF(B81="","",IFERROR(
  INDEX(R_COTIZACIONES!C:C,MATCH(B81,R_COTIZACIONES!A:A,0)),
""))</f>
        <v>53318313-1</v>
      </c>
      <c r="F81" s="273" t="s">
        <v>38</v>
      </c>
      <c r="G81" s="273" t="s">
        <v>156</v>
      </c>
      <c r="H81" s="273" t="s">
        <v>193</v>
      </c>
      <c r="I81" s="292" t="str">
        <f>IF(H81="","",VLOOKUP(H81,'Base de datos'!$E:$G,3,FALSE))</f>
        <v>Controlador Wifi WP17</v>
      </c>
      <c r="J81" s="269">
        <v>1.0</v>
      </c>
      <c r="K81" s="277">
        <v>260000.0</v>
      </c>
      <c r="L81" s="295">
        <v>0.0</v>
      </c>
      <c r="M81" s="275">
        <f t="shared" si="3"/>
        <v>260000</v>
      </c>
      <c r="N81" s="258">
        <f t="shared" si="4"/>
        <v>0</v>
      </c>
      <c r="O81" s="275">
        <f t="shared" si="5"/>
        <v>260000</v>
      </c>
      <c r="P81" s="275">
        <f t="shared" si="6"/>
        <v>260000</v>
      </c>
      <c r="Q81" s="293">
        <f>IF(H81="","",VLOOKUP(H81,'Base de datos'!E:M,9,FALSE))</f>
        <v>161840</v>
      </c>
      <c r="R81" s="275">
        <f t="shared" si="7"/>
        <v>161840</v>
      </c>
      <c r="S81" s="294"/>
    </row>
    <row r="82" ht="22.5" customHeight="1">
      <c r="A82" s="258" t="str">
        <f t="shared" si="1"/>
        <v>55-1</v>
      </c>
      <c r="B82" s="269">
        <v>55.0</v>
      </c>
      <c r="C82" s="269">
        <f t="shared" si="2"/>
        <v>1</v>
      </c>
      <c r="D82" s="258" t="str">
        <f t="array" ref="D82">IF(B82="","",IFERROR(
  INDEX(R_COTIZACIONES!D:D,MATCH(B82,R_COTIZACIONES!A:A,0)),
""))</f>
        <v>Cond Marina Horizonte </v>
      </c>
      <c r="E82" s="258" t="str">
        <f t="array" ref="E82">IF(B82="","",IFERROR(
  INDEX(R_COTIZACIONES!C:C,MATCH(B82,R_COTIZACIONES!A:A,0)),
""))</f>
        <v>65094027-K</v>
      </c>
      <c r="F82" s="273" t="s">
        <v>38</v>
      </c>
      <c r="G82" s="273" t="s">
        <v>163</v>
      </c>
      <c r="H82" s="273" t="s">
        <v>220</v>
      </c>
      <c r="I82" s="292" t="str">
        <f>IF(H82="","",VLOOKUP(H82,'Base de datos'!$E:$G,3,FALSE))</f>
        <v>ZK Teco CM-180H Retenedor electromagnético para puertas batientes</v>
      </c>
      <c r="J82" s="269">
        <v>2.0</v>
      </c>
      <c r="K82" s="277">
        <v>60000.0</v>
      </c>
      <c r="L82" s="295">
        <v>0.0</v>
      </c>
      <c r="M82" s="275">
        <f t="shared" si="3"/>
        <v>120000</v>
      </c>
      <c r="N82" s="258">
        <f t="shared" si="4"/>
        <v>0</v>
      </c>
      <c r="O82" s="275">
        <f t="shared" si="5"/>
        <v>120000</v>
      </c>
      <c r="P82" s="275">
        <f t="shared" si="6"/>
        <v>310400</v>
      </c>
      <c r="Q82" s="293">
        <f>IF(H82="","",VLOOKUP(H82,'Base de datos'!E:M,9,FALSE))</f>
        <v>39041.2</v>
      </c>
      <c r="R82" s="275">
        <f t="shared" si="7"/>
        <v>79541.2</v>
      </c>
      <c r="S82" s="294"/>
    </row>
    <row r="83" ht="22.5" customHeight="1">
      <c r="A83" s="258" t="str">
        <f t="shared" si="1"/>
        <v>55-2</v>
      </c>
      <c r="B83" s="269">
        <v>55.0</v>
      </c>
      <c r="C83" s="269">
        <f t="shared" si="2"/>
        <v>2</v>
      </c>
      <c r="D83" s="258" t="str">
        <f t="array" ref="D83">IF(B83="","",IFERROR(
  INDEX(R_COTIZACIONES!D:D,MATCH(B83,R_COTIZACIONES!A:A,0)),
""))</f>
        <v>Cond Marina Horizonte </v>
      </c>
      <c r="E83" s="258" t="str">
        <f t="array" ref="E83">IF(B83="","",IFERROR(
  INDEX(R_COTIZACIONES!C:C,MATCH(B83,R_COTIZACIONES!A:A,0)),
""))</f>
        <v>65094027-K</v>
      </c>
      <c r="F83" s="273" t="s">
        <v>34</v>
      </c>
      <c r="G83" s="273" t="s">
        <v>181</v>
      </c>
      <c r="H83" s="273" t="s">
        <v>263</v>
      </c>
      <c r="I83" s="292" t="str">
        <f>IF(H83="","",VLOOKUP(H83,'Base de datos'!$E:$G,3,FALSE))</f>
        <v>Instalación Retenedor</v>
      </c>
      <c r="J83" s="269">
        <v>2.0</v>
      </c>
      <c r="K83" s="277">
        <v>80000.0</v>
      </c>
      <c r="L83" s="295">
        <v>0.0</v>
      </c>
      <c r="M83" s="275">
        <f t="shared" si="3"/>
        <v>160000</v>
      </c>
      <c r="N83" s="275">
        <f t="shared" si="4"/>
        <v>30400</v>
      </c>
      <c r="O83" s="275">
        <f t="shared" si="5"/>
        <v>190400</v>
      </c>
      <c r="P83" s="275">
        <f t="shared" si="6"/>
        <v>310400</v>
      </c>
      <c r="Q83" s="293">
        <f>IF(H83="","",VLOOKUP(H83,'Base de datos'!E:M,9,FALSE))</f>
        <v>40500</v>
      </c>
      <c r="R83" s="275">
        <f t="shared" si="7"/>
        <v>79541.2</v>
      </c>
      <c r="S83" s="294"/>
    </row>
    <row r="84" ht="22.5" customHeight="1">
      <c r="A84" s="258" t="str">
        <f t="shared" si="1"/>
        <v>56-1</v>
      </c>
      <c r="B84" s="269">
        <v>56.0</v>
      </c>
      <c r="C84" s="269">
        <f t="shared" si="2"/>
        <v>1</v>
      </c>
      <c r="D84" s="258" t="str">
        <f t="array" ref="D84">IF(B84="","",IFERROR(
  INDEX(R_COTIZACIONES!D:D,MATCH(B84,R_COTIZACIONES!A:A,0)),
""))</f>
        <v>Condominio Pacífico</v>
      </c>
      <c r="E84" s="258" t="str">
        <f t="array" ref="E84">IF(B84="","",IFERROR(
  INDEX(R_COTIZACIONES!C:C,MATCH(B84,R_COTIZACIONES!A:A,0)),
""))</f>
        <v>76866075-2</v>
      </c>
      <c r="F84" s="273" t="s">
        <v>34</v>
      </c>
      <c r="G84" s="273" t="s">
        <v>163</v>
      </c>
      <c r="H84" s="273" t="s">
        <v>220</v>
      </c>
      <c r="I84" s="292" t="str">
        <f>IF(H84="","",VLOOKUP(H84,'Base de datos'!$E:$G,3,FALSE))</f>
        <v>ZK Teco CM-180H Retenedor electromagnético para puertas batientes</v>
      </c>
      <c r="J84" s="269">
        <v>1.0</v>
      </c>
      <c r="K84" s="277">
        <v>60000.0</v>
      </c>
      <c r="L84" s="295">
        <v>0.0</v>
      </c>
      <c r="M84" s="275">
        <f t="shared" si="3"/>
        <v>60000</v>
      </c>
      <c r="N84" s="275">
        <f t="shared" si="4"/>
        <v>11400</v>
      </c>
      <c r="O84" s="275">
        <f t="shared" si="5"/>
        <v>71400</v>
      </c>
      <c r="P84" s="275">
        <f t="shared" si="6"/>
        <v>90440</v>
      </c>
      <c r="Q84" s="293">
        <f>IF(H84="","",VLOOKUP(H84,'Base de datos'!E:M,9,FALSE))</f>
        <v>39041.2</v>
      </c>
      <c r="R84" s="275">
        <f t="shared" si="7"/>
        <v>55549.2</v>
      </c>
      <c r="S84" s="294"/>
    </row>
    <row r="85" ht="22.5" customHeight="1">
      <c r="A85" s="258" t="str">
        <f t="shared" si="1"/>
        <v>56-2</v>
      </c>
      <c r="B85" s="269">
        <v>56.0</v>
      </c>
      <c r="C85" s="269">
        <f t="shared" si="2"/>
        <v>2</v>
      </c>
      <c r="D85" s="258" t="str">
        <f t="array" ref="D85">IF(B85="","",IFERROR(
  INDEX(R_COTIZACIONES!D:D,MATCH(B85,R_COTIZACIONES!A:A,0)),
""))</f>
        <v>Condominio Pacífico</v>
      </c>
      <c r="E85" s="258" t="str">
        <f t="array" ref="E85">IF(B85="","",IFERROR(
  INDEX(R_COTIZACIONES!C:C,MATCH(B85,R_COTIZACIONES!A:A,0)),
""))</f>
        <v>76866075-2</v>
      </c>
      <c r="F85" s="273" t="s">
        <v>34</v>
      </c>
      <c r="G85" s="273" t="s">
        <v>163</v>
      </c>
      <c r="H85" s="273" t="s">
        <v>227</v>
      </c>
      <c r="I85" s="292" t="str">
        <f>IF(H85="","",VLOOKUP(H85,'Base de datos'!$E:$G,3,FALSE))</f>
        <v>Soporte retenedor tipo L</v>
      </c>
      <c r="J85" s="269">
        <v>1.0</v>
      </c>
      <c r="K85" s="277">
        <v>16000.0</v>
      </c>
      <c r="L85" s="295">
        <v>0.0</v>
      </c>
      <c r="M85" s="275">
        <f t="shared" si="3"/>
        <v>16000</v>
      </c>
      <c r="N85" s="275">
        <f t="shared" si="4"/>
        <v>3040</v>
      </c>
      <c r="O85" s="275">
        <f t="shared" si="5"/>
        <v>19040</v>
      </c>
      <c r="P85" s="275">
        <f t="shared" si="6"/>
        <v>90440</v>
      </c>
      <c r="Q85" s="293">
        <f>IF(H85="","",VLOOKUP(H85,'Base de datos'!E:M,9,FALSE))</f>
        <v>16508</v>
      </c>
      <c r="R85" s="275">
        <f t="shared" si="7"/>
        <v>55549.2</v>
      </c>
      <c r="S85" s="294"/>
    </row>
    <row r="86" ht="22.5" customHeight="1">
      <c r="A86" s="296" t="str">
        <f t="shared" si="1"/>
        <v>57-1</v>
      </c>
      <c r="B86" s="297">
        <v>57.0</v>
      </c>
      <c r="C86" s="298">
        <f t="shared" si="2"/>
        <v>1</v>
      </c>
      <c r="D86" s="299" t="str">
        <f t="array" ref="D86">IF(B86="","",IFERROR(
  INDEX(R_COTIZACIONES!D:D,MATCH(B86,R_COTIZACIONES!A:A,0)),
""))</f>
        <v>Condominio Vicenza II</v>
      </c>
      <c r="E86" s="299" t="str">
        <f t="array" ref="E86">IF(B86="","",IFERROR(
  INDEX(R_COTIZACIONES!C:C,MATCH(B86,R_COTIZACIONES!A:A,0)),
""))</f>
        <v>65198585-4</v>
      </c>
      <c r="F86" s="300" t="s">
        <v>34</v>
      </c>
      <c r="G86" s="301" t="s">
        <v>163</v>
      </c>
      <c r="H86" s="301" t="s">
        <v>220</v>
      </c>
      <c r="I86" s="302" t="str">
        <f>IF(H86="","",VLOOKUP(H86,'Base de datos'!$E:$G,3,FALSE))</f>
        <v>ZK Teco CM-180H Retenedor electromagnético para puertas batientes</v>
      </c>
      <c r="J86" s="297">
        <v>1.0</v>
      </c>
      <c r="K86" s="303">
        <v>70000.0</v>
      </c>
      <c r="L86" s="304">
        <v>0.0</v>
      </c>
      <c r="M86" s="305">
        <f t="shared" si="3"/>
        <v>70000</v>
      </c>
      <c r="N86" s="305">
        <f t="shared" si="4"/>
        <v>13300</v>
      </c>
      <c r="O86" s="275">
        <f t="shared" si="5"/>
        <v>83300</v>
      </c>
      <c r="P86" s="305">
        <f t="shared" si="6"/>
        <v>130900</v>
      </c>
      <c r="Q86" s="306">
        <f>IF(H86="","",VLOOKUP(H86,'Base de datos'!E:M,9,FALSE))</f>
        <v>39041.2</v>
      </c>
      <c r="R86" s="305">
        <f t="shared" si="7"/>
        <v>79541.2</v>
      </c>
      <c r="S86" s="307"/>
    </row>
    <row r="87" ht="22.5" customHeight="1">
      <c r="A87" s="296" t="str">
        <f t="shared" si="1"/>
        <v>57-2</v>
      </c>
      <c r="B87" s="297">
        <v>57.0</v>
      </c>
      <c r="C87" s="298">
        <f t="shared" si="2"/>
        <v>2</v>
      </c>
      <c r="D87" s="299" t="str">
        <f t="array" ref="D87">IF(B87="","",IFERROR(
  INDEX(R_COTIZACIONES!D:D,MATCH(B87,R_COTIZACIONES!A:A,0)),
""))</f>
        <v>Condominio Vicenza II</v>
      </c>
      <c r="E87" s="299" t="str">
        <f t="array" ref="E87">IF(B87="","",IFERROR(
  INDEX(R_COTIZACIONES!C:C,MATCH(B87,R_COTIZACIONES!A:A,0)),
""))</f>
        <v>65198585-4</v>
      </c>
      <c r="F87" s="300" t="s">
        <v>34</v>
      </c>
      <c r="G87" s="301" t="s">
        <v>181</v>
      </c>
      <c r="H87" s="301" t="s">
        <v>263</v>
      </c>
      <c r="I87" s="302" t="str">
        <f>IF(H87="","",VLOOKUP(H87,'Base de datos'!$E:$G,3,FALSE))</f>
        <v>Instalación Retenedor</v>
      </c>
      <c r="J87" s="297">
        <v>1.0</v>
      </c>
      <c r="K87" s="303">
        <v>40000.0</v>
      </c>
      <c r="L87" s="304">
        <v>0.0</v>
      </c>
      <c r="M87" s="305">
        <f t="shared" si="3"/>
        <v>40000</v>
      </c>
      <c r="N87" s="305">
        <f t="shared" si="4"/>
        <v>7600</v>
      </c>
      <c r="O87" s="275">
        <f t="shared" si="5"/>
        <v>47600</v>
      </c>
      <c r="P87" s="305">
        <f t="shared" si="6"/>
        <v>130900</v>
      </c>
      <c r="Q87" s="306">
        <f>IF(H87="","",VLOOKUP(H87,'Base de datos'!E:M,9,FALSE))</f>
        <v>40500</v>
      </c>
      <c r="R87" s="305">
        <f t="shared" si="7"/>
        <v>79541.2</v>
      </c>
      <c r="S87" s="307"/>
    </row>
    <row r="88" ht="22.5" customHeight="1">
      <c r="A88" s="296" t="str">
        <f t="shared" si="1"/>
        <v>58-1</v>
      </c>
      <c r="B88" s="297">
        <v>58.0</v>
      </c>
      <c r="C88" s="298">
        <f t="shared" si="2"/>
        <v>1</v>
      </c>
      <c r="D88" s="299" t="str">
        <f t="array" ref="D88">IF(B88="","",IFERROR(
  INDEX(R_COTIZACIONES!D:D,MATCH(B88,R_COTIZACIONES!A:A,0)),
""))</f>
        <v>Portal del Valle II </v>
      </c>
      <c r="E88" s="299" t="str">
        <f t="array" ref="E88">IF(B88="","",IFERROR(
  INDEX(R_COTIZACIONES!C:C,MATCH(B88,R_COTIZACIONES!A:A,0)),
""))</f>
        <v>53332414-2</v>
      </c>
      <c r="F88" s="300" t="s">
        <v>34</v>
      </c>
      <c r="G88" s="301" t="s">
        <v>181</v>
      </c>
      <c r="H88" s="301" t="s">
        <v>274</v>
      </c>
      <c r="I88" s="302" t="str">
        <f>IF(H88="","",VLOOKUP(H88,'Base de datos'!$E:$G,3,FALSE))</f>
        <v>Servicio de recuperación post colisión Motor Centurion</v>
      </c>
      <c r="J88" s="297">
        <v>1.0</v>
      </c>
      <c r="K88" s="303">
        <v>200000.0</v>
      </c>
      <c r="L88" s="304">
        <v>0.0</v>
      </c>
      <c r="M88" s="305">
        <f t="shared" si="3"/>
        <v>200000</v>
      </c>
      <c r="N88" s="305">
        <f t="shared" si="4"/>
        <v>38000</v>
      </c>
      <c r="O88" s="275">
        <f t="shared" si="5"/>
        <v>238000</v>
      </c>
      <c r="P88" s="305">
        <f t="shared" si="6"/>
        <v>238000</v>
      </c>
      <c r="Q88" s="306">
        <f>IF(H88="","",VLOOKUP(H88,'Base de datos'!E:M,9,FALSE))</f>
        <v>100000</v>
      </c>
      <c r="R88" s="305">
        <f t="shared" si="7"/>
        <v>100000</v>
      </c>
      <c r="S88" s="307"/>
    </row>
    <row r="89" ht="22.5" customHeight="1">
      <c r="A89" s="296" t="str">
        <f t="shared" si="1"/>
        <v>59-1</v>
      </c>
      <c r="B89" s="297">
        <v>59.0</v>
      </c>
      <c r="C89" s="298">
        <f t="shared" si="2"/>
        <v>1</v>
      </c>
      <c r="D89" s="299" t="str">
        <f t="array" ref="D89">IF(B89="","",IFERROR(
  INDEX(R_COTIZACIONES!D:D,MATCH(B89,R_COTIZACIONES!A:A,0)),
""))</f>
        <v>Condominio Vicenza II</v>
      </c>
      <c r="E89" s="299" t="str">
        <f t="array" ref="E89">IF(B89="","",IFERROR(
  INDEX(R_COTIZACIONES!C:C,MATCH(B89,R_COTIZACIONES!A:A,0)),
""))</f>
        <v>65198585-4</v>
      </c>
      <c r="F89" s="300" t="s">
        <v>34</v>
      </c>
      <c r="G89" s="301" t="s">
        <v>181</v>
      </c>
      <c r="H89" s="301" t="s">
        <v>253</v>
      </c>
      <c r="I89" s="302" t="str">
        <f>IF(H89="","",VLOOKUP(H89,'Base de datos'!$E:$G,3,FALSE))</f>
        <v>Servicio de recuperación IP de cámara asociada a NVR</v>
      </c>
      <c r="J89" s="297">
        <v>1.0</v>
      </c>
      <c r="K89" s="303">
        <v>250000.0</v>
      </c>
      <c r="L89" s="304">
        <v>0.0</v>
      </c>
      <c r="M89" s="305">
        <f t="shared" si="3"/>
        <v>250000</v>
      </c>
      <c r="N89" s="305">
        <f t="shared" ref="N89:N130" si="8">IF(M89="","",IF(F89="SI",M89*0.19,0))</f>
        <v>47500</v>
      </c>
      <c r="O89" s="275">
        <f t="shared" si="5"/>
        <v>297500</v>
      </c>
      <c r="P89" s="305"/>
      <c r="Q89" s="306"/>
      <c r="R89" s="305"/>
      <c r="S89" s="307"/>
    </row>
    <row r="90" ht="22.5" customHeight="1">
      <c r="A90" s="296" t="str">
        <f t="shared" si="1"/>
        <v>60-1</v>
      </c>
      <c r="B90" s="297">
        <v>60.0</v>
      </c>
      <c r="C90" s="298">
        <f t="shared" si="2"/>
        <v>1</v>
      </c>
      <c r="D90" s="299" t="str">
        <f t="array" ref="D90">IF(B90="","",IFERROR(
  INDEX(R_COTIZACIONES!D:D,MATCH(B90,R_COTIZACIONES!A:A,0)),
""))</f>
        <v>Condominio Vicenza II</v>
      </c>
      <c r="E90" s="299" t="str">
        <f t="array" ref="E90">IF(B90="","",IFERROR(
  INDEX(R_COTIZACIONES!C:C,MATCH(B90,R_COTIZACIONES!A:A,0)),
""))</f>
        <v>65198585-4</v>
      </c>
      <c r="F90" s="300" t="s">
        <v>34</v>
      </c>
      <c r="G90" s="301" t="s">
        <v>163</v>
      </c>
      <c r="H90" s="301" t="s">
        <v>220</v>
      </c>
      <c r="I90" s="302" t="str">
        <f>IF(H90="","",VLOOKUP(H90,'Base de datos'!$E:$G,3,FALSE))</f>
        <v>ZK Teco CM-180H Retenedor electromagnético para puertas batientes</v>
      </c>
      <c r="J90" s="297">
        <v>1.0</v>
      </c>
      <c r="K90" s="303">
        <v>70000.0</v>
      </c>
      <c r="L90" s="304">
        <v>0.0</v>
      </c>
      <c r="M90" s="305">
        <f t="shared" si="3"/>
        <v>70000</v>
      </c>
      <c r="N90" s="305">
        <f t="shared" si="8"/>
        <v>13300</v>
      </c>
      <c r="O90" s="275">
        <f t="shared" si="5"/>
        <v>83300</v>
      </c>
      <c r="P90" s="305">
        <f t="shared" ref="P90:P110" si="9">IF(K90="","",SUMIF($B:$B,B90,$O:$O))</f>
        <v>386750</v>
      </c>
      <c r="Q90" s="306"/>
      <c r="R90" s="305"/>
      <c r="S90" s="307"/>
    </row>
    <row r="91" ht="22.5" customHeight="1">
      <c r="A91" s="296" t="str">
        <f t="shared" si="1"/>
        <v>60-2</v>
      </c>
      <c r="B91" s="297">
        <v>60.0</v>
      </c>
      <c r="C91" s="298">
        <f t="shared" si="2"/>
        <v>2</v>
      </c>
      <c r="D91" s="299" t="str">
        <f t="array" ref="D91">IF(B91="","",IFERROR(
  INDEX(R_COTIZACIONES!D:D,MATCH(B91,R_COTIZACIONES!A:A,0)),
""))</f>
        <v>Condominio Vicenza II</v>
      </c>
      <c r="E91" s="299" t="str">
        <f t="array" ref="E91">IF(B91="","",IFERROR(
  INDEX(R_COTIZACIONES!C:C,MATCH(B91,R_COTIZACIONES!A:A,0)),
""))</f>
        <v>65198585-4</v>
      </c>
      <c r="F91" s="300" t="s">
        <v>34</v>
      </c>
      <c r="G91" s="301" t="s">
        <v>163</v>
      </c>
      <c r="H91" s="301" t="s">
        <v>230</v>
      </c>
      <c r="I91" s="302" t="str">
        <f>IF(H91="","",VLOOKUP(H91,'Base de datos'!$E:$G,3,FALSE))</f>
        <v>Control Acceso DHI-ASI1201E</v>
      </c>
      <c r="J91" s="297">
        <v>1.0</v>
      </c>
      <c r="K91" s="303">
        <v>110000.0</v>
      </c>
      <c r="L91" s="304">
        <v>0.0</v>
      </c>
      <c r="M91" s="305">
        <f t="shared" si="3"/>
        <v>110000</v>
      </c>
      <c r="N91" s="305">
        <f t="shared" si="8"/>
        <v>20900</v>
      </c>
      <c r="O91" s="275">
        <f t="shared" si="5"/>
        <v>130900</v>
      </c>
      <c r="P91" s="305">
        <f t="shared" si="9"/>
        <v>386750</v>
      </c>
      <c r="Q91" s="306"/>
      <c r="R91" s="305"/>
      <c r="S91" s="307"/>
    </row>
    <row r="92" ht="22.5" customHeight="1">
      <c r="A92" s="296" t="str">
        <f t="shared" si="1"/>
        <v>60-3</v>
      </c>
      <c r="B92" s="297">
        <v>60.0</v>
      </c>
      <c r="C92" s="298">
        <f t="shared" si="2"/>
        <v>3</v>
      </c>
      <c r="D92" s="299" t="str">
        <f t="array" ref="D92">IF(B92="","",IFERROR(
  INDEX(R_COTIZACIONES!D:D,MATCH(B92,R_COTIZACIONES!A:A,0)),
""))</f>
        <v>Condominio Vicenza II</v>
      </c>
      <c r="E92" s="299" t="str">
        <f t="array" ref="E92">IF(B92="","",IFERROR(
  INDEX(R_COTIZACIONES!C:C,MATCH(B92,R_COTIZACIONES!A:A,0)),
""))</f>
        <v>65198585-4</v>
      </c>
      <c r="F92" s="300" t="s">
        <v>34</v>
      </c>
      <c r="G92" s="301" t="s">
        <v>181</v>
      </c>
      <c r="H92" s="301" t="s">
        <v>263</v>
      </c>
      <c r="I92" s="302" t="str">
        <f>IF(H92="","",VLOOKUP(H92,'Base de datos'!$E:$G,3,FALSE))</f>
        <v>Instalación Retenedor</v>
      </c>
      <c r="J92" s="297">
        <v>1.0</v>
      </c>
      <c r="K92" s="303">
        <v>45000.0</v>
      </c>
      <c r="L92" s="304">
        <v>0.0</v>
      </c>
      <c r="M92" s="305">
        <f t="shared" si="3"/>
        <v>45000</v>
      </c>
      <c r="N92" s="305">
        <f t="shared" si="8"/>
        <v>8550</v>
      </c>
      <c r="O92" s="275">
        <f t="shared" si="5"/>
        <v>53550</v>
      </c>
      <c r="P92" s="305">
        <f t="shared" si="9"/>
        <v>386750</v>
      </c>
      <c r="Q92" s="306"/>
      <c r="R92" s="305"/>
      <c r="S92" s="307"/>
    </row>
    <row r="93" ht="22.5" customHeight="1">
      <c r="A93" s="296" t="str">
        <f t="shared" si="1"/>
        <v>60-4</v>
      </c>
      <c r="B93" s="297">
        <v>60.0</v>
      </c>
      <c r="C93" s="298">
        <f t="shared" si="2"/>
        <v>4</v>
      </c>
      <c r="D93" s="299" t="str">
        <f t="array" ref="D93">IF(B93="","",IFERROR(
  INDEX(R_COTIZACIONES!D:D,MATCH(B93,R_COTIZACIONES!A:A,0)),
""))</f>
        <v>Condominio Vicenza II</v>
      </c>
      <c r="E93" s="299" t="str">
        <f t="array" ref="E93">IF(B93="","",IFERROR(
  INDEX(R_COTIZACIONES!C:C,MATCH(B93,R_COTIZACIONES!A:A,0)),
""))</f>
        <v>65198585-4</v>
      </c>
      <c r="F93" s="300" t="s">
        <v>34</v>
      </c>
      <c r="G93" s="301" t="s">
        <v>181</v>
      </c>
      <c r="H93" s="301" t="s">
        <v>278</v>
      </c>
      <c r="I93" s="302" t="str">
        <f>IF(H93="","",VLOOKUP(H93,'Base de datos'!$E:$G,3,FALSE))</f>
        <v>Servicio de instalación digitador de acceso</v>
      </c>
      <c r="J93" s="297">
        <v>1.0</v>
      </c>
      <c r="K93" s="303">
        <v>100000.0</v>
      </c>
      <c r="L93" s="304">
        <v>0.0</v>
      </c>
      <c r="M93" s="305">
        <f t="shared" si="3"/>
        <v>100000</v>
      </c>
      <c r="N93" s="305">
        <f t="shared" si="8"/>
        <v>19000</v>
      </c>
      <c r="O93" s="275">
        <f t="shared" si="5"/>
        <v>119000</v>
      </c>
      <c r="P93" s="305">
        <f t="shared" si="9"/>
        <v>386750</v>
      </c>
      <c r="Q93" s="306">
        <f>IF(H93="","",VLOOKUP(H93,'Base de datos'!E:M,9,FALSE))</f>
        <v>10000</v>
      </c>
      <c r="R93" s="305">
        <f t="shared" ref="R93:R152" si="10">IF(Q93="","",SUMIF($B:$B,B93,$Q:$Q))</f>
        <v>10000</v>
      </c>
      <c r="S93" s="307"/>
    </row>
    <row r="94" ht="22.5" customHeight="1">
      <c r="A94" s="296" t="str">
        <f t="shared" si="1"/>
        <v>61-1</v>
      </c>
      <c r="B94" s="297">
        <v>61.0</v>
      </c>
      <c r="C94" s="298">
        <f t="shared" si="2"/>
        <v>1</v>
      </c>
      <c r="D94" s="299" t="str">
        <f t="array" ref="D94">IF(B94="","",IFERROR(
  INDEX(R_COTIZACIONES!D:D,MATCH(B94,R_COTIZACIONES!A:A,0)),
""))</f>
        <v>Condominio Vicenza II</v>
      </c>
      <c r="E94" s="299" t="str">
        <f t="array" ref="E94">IF(B94="","",IFERROR(
  INDEX(R_COTIZACIONES!C:C,MATCH(B94,R_COTIZACIONES!A:A,0)),
""))</f>
        <v>65198585-4</v>
      </c>
      <c r="F94" s="301" t="s">
        <v>38</v>
      </c>
      <c r="G94" s="301" t="s">
        <v>163</v>
      </c>
      <c r="H94" s="301" t="s">
        <v>220</v>
      </c>
      <c r="I94" s="302" t="str">
        <f>IF(H94="","",VLOOKUP(H94,'Base de datos'!$E:$G,3,FALSE))</f>
        <v>ZK Teco CM-180H Retenedor electromagnético para puertas batientes</v>
      </c>
      <c r="J94" s="297">
        <v>1.0</v>
      </c>
      <c r="K94" s="303">
        <v>70000.0</v>
      </c>
      <c r="L94" s="304">
        <v>0.0</v>
      </c>
      <c r="M94" s="305">
        <f t="shared" si="3"/>
        <v>70000</v>
      </c>
      <c r="N94" s="305">
        <f t="shared" si="8"/>
        <v>0</v>
      </c>
      <c r="O94" s="275">
        <f t="shared" si="5"/>
        <v>70000</v>
      </c>
      <c r="P94" s="305">
        <f t="shared" si="9"/>
        <v>325000</v>
      </c>
      <c r="Q94" s="306">
        <f>IF(H94="","",VLOOKUP(H94,'Base de datos'!E:M,9,FALSE))</f>
        <v>39041.2</v>
      </c>
      <c r="R94" s="305">
        <f t="shared" si="10"/>
        <v>175594.7</v>
      </c>
      <c r="S94" s="307"/>
    </row>
    <row r="95" ht="22.5" customHeight="1">
      <c r="A95" s="296" t="str">
        <f t="shared" si="1"/>
        <v>61-2</v>
      </c>
      <c r="B95" s="297">
        <v>61.0</v>
      </c>
      <c r="C95" s="298">
        <f t="shared" si="2"/>
        <v>2</v>
      </c>
      <c r="D95" s="299" t="str">
        <f t="array" ref="D95">IF(B95="","",IFERROR(
  INDEX(R_COTIZACIONES!D:D,MATCH(B95,R_COTIZACIONES!A:A,0)),
""))</f>
        <v>Condominio Vicenza II</v>
      </c>
      <c r="E95" s="299" t="str">
        <f t="array" ref="E95">IF(B95="","",IFERROR(
  INDEX(R_COTIZACIONES!C:C,MATCH(B95,R_COTIZACIONES!A:A,0)),
""))</f>
        <v>65198585-4</v>
      </c>
      <c r="F95" s="301" t="s">
        <v>38</v>
      </c>
      <c r="G95" s="301" t="s">
        <v>163</v>
      </c>
      <c r="H95" s="301" t="s">
        <v>230</v>
      </c>
      <c r="I95" s="302" t="str">
        <f>IF(H95="","",VLOOKUP(H95,'Base de datos'!$E:$G,3,FALSE))</f>
        <v>Control Acceso DHI-ASI1201E</v>
      </c>
      <c r="J95" s="297">
        <v>1.0</v>
      </c>
      <c r="K95" s="303">
        <v>110000.0</v>
      </c>
      <c r="L95" s="304">
        <v>0.0</v>
      </c>
      <c r="M95" s="305">
        <f t="shared" si="3"/>
        <v>110000</v>
      </c>
      <c r="N95" s="305">
        <f t="shared" si="8"/>
        <v>0</v>
      </c>
      <c r="O95" s="275">
        <f t="shared" si="5"/>
        <v>110000</v>
      </c>
      <c r="P95" s="305">
        <f t="shared" si="9"/>
        <v>325000</v>
      </c>
      <c r="Q95" s="306">
        <f>IF(H95="","",VLOOKUP(H95,'Base de datos'!E:M,9,FALSE))</f>
        <v>86053.5</v>
      </c>
      <c r="R95" s="305">
        <f t="shared" si="10"/>
        <v>175594.7</v>
      </c>
      <c r="S95" s="307"/>
    </row>
    <row r="96" ht="22.5" customHeight="1">
      <c r="A96" s="296" t="str">
        <f t="shared" si="1"/>
        <v>61-3</v>
      </c>
      <c r="B96" s="297">
        <v>61.0</v>
      </c>
      <c r="C96" s="298">
        <f t="shared" si="2"/>
        <v>3</v>
      </c>
      <c r="D96" s="299" t="str">
        <f t="array" ref="D96">IF(B96="","",IFERROR(
  INDEX(R_COTIZACIONES!D:D,MATCH(B96,R_COTIZACIONES!A:A,0)),
""))</f>
        <v>Condominio Vicenza II</v>
      </c>
      <c r="E96" s="299" t="str">
        <f t="array" ref="E96">IF(B96="","",IFERROR(
  INDEX(R_COTIZACIONES!C:C,MATCH(B96,R_COTIZACIONES!A:A,0)),
""))</f>
        <v>65198585-4</v>
      </c>
      <c r="F96" s="301" t="s">
        <v>38</v>
      </c>
      <c r="G96" s="301" t="s">
        <v>181</v>
      </c>
      <c r="H96" s="301" t="s">
        <v>263</v>
      </c>
      <c r="I96" s="302" t="str">
        <f>IF(H96="","",VLOOKUP(H96,'Base de datos'!$E:$G,3,FALSE))</f>
        <v>Instalación Retenedor</v>
      </c>
      <c r="J96" s="297">
        <v>1.0</v>
      </c>
      <c r="K96" s="303">
        <v>45000.0</v>
      </c>
      <c r="L96" s="304">
        <v>0.0</v>
      </c>
      <c r="M96" s="305">
        <f t="shared" si="3"/>
        <v>45000</v>
      </c>
      <c r="N96" s="305">
        <f t="shared" si="8"/>
        <v>0</v>
      </c>
      <c r="O96" s="275">
        <f t="shared" si="5"/>
        <v>45000</v>
      </c>
      <c r="P96" s="305">
        <f t="shared" si="9"/>
        <v>325000</v>
      </c>
      <c r="Q96" s="306">
        <f>IF(H96="","",VLOOKUP(H96,'Base de datos'!E:M,9,FALSE))</f>
        <v>40500</v>
      </c>
      <c r="R96" s="305">
        <f t="shared" si="10"/>
        <v>175594.7</v>
      </c>
      <c r="S96" s="307"/>
    </row>
    <row r="97" ht="22.5" customHeight="1">
      <c r="A97" s="296" t="str">
        <f t="shared" si="1"/>
        <v>61-4</v>
      </c>
      <c r="B97" s="297">
        <v>61.0</v>
      </c>
      <c r="C97" s="298">
        <f t="shared" si="2"/>
        <v>4</v>
      </c>
      <c r="D97" s="299" t="str">
        <f t="array" ref="D97">IF(B97="","",IFERROR(
  INDEX(R_COTIZACIONES!D:D,MATCH(B97,R_COTIZACIONES!A:A,0)),
""))</f>
        <v>Condominio Vicenza II</v>
      </c>
      <c r="E97" s="299" t="str">
        <f t="array" ref="E97">IF(B97="","",IFERROR(
  INDEX(R_COTIZACIONES!C:C,MATCH(B97,R_COTIZACIONES!A:A,0)),
""))</f>
        <v>65198585-4</v>
      </c>
      <c r="F97" s="301" t="s">
        <v>38</v>
      </c>
      <c r="G97" s="301" t="s">
        <v>181</v>
      </c>
      <c r="H97" s="301" t="s">
        <v>278</v>
      </c>
      <c r="I97" s="302" t="str">
        <f>IF(H97="","",VLOOKUP(H97,'Base de datos'!$E:$G,3,FALSE))</f>
        <v>Servicio de instalación digitador de acceso</v>
      </c>
      <c r="J97" s="297">
        <v>1.0</v>
      </c>
      <c r="K97" s="303">
        <v>100000.0</v>
      </c>
      <c r="L97" s="304">
        <v>0.0</v>
      </c>
      <c r="M97" s="305">
        <f t="shared" si="3"/>
        <v>100000</v>
      </c>
      <c r="N97" s="305">
        <f t="shared" si="8"/>
        <v>0</v>
      </c>
      <c r="O97" s="275">
        <f t="shared" si="5"/>
        <v>100000</v>
      </c>
      <c r="P97" s="305">
        <f t="shared" si="9"/>
        <v>325000</v>
      </c>
      <c r="Q97" s="306">
        <f>IF(H97="","",VLOOKUP(H97,'Base de datos'!E:M,9,FALSE))</f>
        <v>10000</v>
      </c>
      <c r="R97" s="305">
        <f t="shared" si="10"/>
        <v>175594.7</v>
      </c>
      <c r="S97" s="307"/>
    </row>
    <row r="98" ht="22.5" customHeight="1">
      <c r="A98" s="296" t="str">
        <f t="shared" si="1"/>
        <v>62-1</v>
      </c>
      <c r="B98" s="297">
        <v>62.0</v>
      </c>
      <c r="C98" s="298">
        <f t="shared" si="2"/>
        <v>1</v>
      </c>
      <c r="D98" s="299" t="str">
        <f t="array" ref="D98">IF(B98="","",IFERROR(
  INDEX(R_COTIZACIONES!D:D,MATCH(B98,R_COTIZACIONES!A:A,0)),
""))</f>
        <v>Distrito Verde I</v>
      </c>
      <c r="E98" s="299" t="str">
        <f t="array" ref="E98">IF(B98="","",IFERROR(
  INDEX(R_COTIZACIONES!C:C,MATCH(B98,R_COTIZACIONES!A:A,0)),
""))</f>
        <v>65.229.898-2</v>
      </c>
      <c r="F98" s="300" t="s">
        <v>34</v>
      </c>
      <c r="G98" s="301" t="s">
        <v>181</v>
      </c>
      <c r="H98" s="301" t="s">
        <v>267</v>
      </c>
      <c r="I98" s="302" t="str">
        <f>IF(H98="","",VLOOKUP(H98,'Base de datos'!$E:$G,3,FALSE))</f>
        <v>Mantención programada</v>
      </c>
      <c r="J98" s="297">
        <v>1.0</v>
      </c>
      <c r="K98" s="303">
        <v>200000.0</v>
      </c>
      <c r="L98" s="304">
        <v>0.0</v>
      </c>
      <c r="M98" s="305">
        <f t="shared" si="3"/>
        <v>200000</v>
      </c>
      <c r="N98" s="305">
        <f t="shared" si="8"/>
        <v>38000</v>
      </c>
      <c r="O98" s="275">
        <f t="shared" si="5"/>
        <v>238000</v>
      </c>
      <c r="P98" s="305">
        <f t="shared" si="9"/>
        <v>238000</v>
      </c>
      <c r="Q98" s="306">
        <f>IF(H98="","",VLOOKUP(H98,'Base de datos'!E:M,9,FALSE))</f>
        <v>100000</v>
      </c>
      <c r="R98" s="305">
        <f t="shared" si="10"/>
        <v>100000</v>
      </c>
      <c r="S98" s="307"/>
    </row>
    <row r="99" ht="22.5" customHeight="1">
      <c r="A99" s="296" t="str">
        <f t="shared" si="1"/>
        <v>63-1</v>
      </c>
      <c r="B99" s="297">
        <v>63.0</v>
      </c>
      <c r="C99" s="298">
        <f t="shared" si="2"/>
        <v>1</v>
      </c>
      <c r="D99" s="299" t="str">
        <f t="array" ref="D99">IF(B99="","",IFERROR(
  INDEX(R_COTIZACIONES!D:D,MATCH(B99,R_COTIZACIONES!A:A,0)),
""))</f>
        <v>Condominio Palermo</v>
      </c>
      <c r="E99" s="299" t="str">
        <f t="array" ref="E99">IF(B99="","",IFERROR(
  INDEX(R_COTIZACIONES!C:C,MATCH(B99,R_COTIZACIONES!A:A,0)),
""))</f>
        <v>53.312.705-3</v>
      </c>
      <c r="F99" s="300" t="s">
        <v>34</v>
      </c>
      <c r="G99" s="301" t="s">
        <v>156</v>
      </c>
      <c r="H99" s="301" t="s">
        <v>161</v>
      </c>
      <c r="I99" s="302" t="str">
        <f>IF(H99="","",VLOOKUP(H99,'Base de datos'!$E:$G,3,FALSE))</f>
        <v>D10 Standard Kit 1(6 crem y 2 controles)</v>
      </c>
      <c r="J99" s="297">
        <v>1.0</v>
      </c>
      <c r="K99" s="303">
        <v>1050000.0</v>
      </c>
      <c r="L99" s="308">
        <v>0.05</v>
      </c>
      <c r="M99" s="305">
        <f t="shared" si="3"/>
        <v>997500</v>
      </c>
      <c r="N99" s="305">
        <f t="shared" si="8"/>
        <v>189525</v>
      </c>
      <c r="O99" s="275">
        <f t="shared" si="5"/>
        <v>1187025</v>
      </c>
      <c r="P99" s="305">
        <f t="shared" si="9"/>
        <v>1854020</v>
      </c>
      <c r="Q99" s="306">
        <f>IF(H99="","",VLOOKUP(H99,'Base de datos'!E:M,9,FALSE))</f>
        <v>420000</v>
      </c>
      <c r="R99" s="305">
        <f t="shared" si="10"/>
        <v>668433.1</v>
      </c>
      <c r="S99" s="307"/>
    </row>
    <row r="100" ht="22.5" customHeight="1">
      <c r="A100" s="296" t="str">
        <f t="shared" si="1"/>
        <v>63-2</v>
      </c>
      <c r="B100" s="297">
        <v>63.0</v>
      </c>
      <c r="C100" s="298">
        <f t="shared" si="2"/>
        <v>2</v>
      </c>
      <c r="D100" s="299" t="str">
        <f t="array" ref="D100">IF(B100="","",IFERROR(
  INDEX(R_COTIZACIONES!D:D,MATCH(B100,R_COTIZACIONES!A:A,0)),
""))</f>
        <v>Condominio Palermo</v>
      </c>
      <c r="E100" s="299" t="str">
        <f t="array" ref="E100">IF(B100="","",IFERROR(
  INDEX(R_COTIZACIONES!C:C,MATCH(B100,R_COTIZACIONES!A:A,0)),
""))</f>
        <v>53.312.705-3</v>
      </c>
      <c r="F100" s="300" t="s">
        <v>34</v>
      </c>
      <c r="G100" s="301" t="s">
        <v>156</v>
      </c>
      <c r="H100" s="301" t="s">
        <v>187</v>
      </c>
      <c r="I100" s="302" t="str">
        <f>IF(H100="","",VLOOKUP(H100,'Base de datos'!$E:$G,3,FALSE))</f>
        <v>Photon Smart (par)</v>
      </c>
      <c r="J100" s="297">
        <v>1.0</v>
      </c>
      <c r="K100" s="303">
        <v>100000.0</v>
      </c>
      <c r="L100" s="308">
        <v>0.05</v>
      </c>
      <c r="M100" s="305">
        <f t="shared" si="3"/>
        <v>95000</v>
      </c>
      <c r="N100" s="305">
        <f t="shared" si="8"/>
        <v>18050</v>
      </c>
      <c r="O100" s="275">
        <f t="shared" si="5"/>
        <v>113050</v>
      </c>
      <c r="P100" s="305">
        <f t="shared" si="9"/>
        <v>1854020</v>
      </c>
      <c r="Q100" s="306">
        <f>IF(H100="","",VLOOKUP(H100,'Base de datos'!E:M,9,FALSE))</f>
        <v>35692.8</v>
      </c>
      <c r="R100" s="305">
        <f t="shared" si="10"/>
        <v>668433.1</v>
      </c>
      <c r="S100" s="307"/>
    </row>
    <row r="101" ht="22.5" customHeight="1">
      <c r="A101" s="296" t="str">
        <f t="shared" si="1"/>
        <v>63-3</v>
      </c>
      <c r="B101" s="297">
        <v>63.0</v>
      </c>
      <c r="C101" s="298">
        <f t="shared" si="2"/>
        <v>3</v>
      </c>
      <c r="D101" s="299" t="str">
        <f t="array" ref="D101">IF(B101="","",IFERROR(
  INDEX(R_COTIZACIONES!D:D,MATCH(B101,R_COTIZACIONES!A:A,0)),
""))</f>
        <v>Condominio Palermo</v>
      </c>
      <c r="E101" s="299" t="str">
        <f t="array" ref="E101">IF(B101="","",IFERROR(
  INDEX(R_COTIZACIONES!C:C,MATCH(B101,R_COTIZACIONES!A:A,0)),
""))</f>
        <v>53.312.705-3</v>
      </c>
      <c r="F101" s="300" t="s">
        <v>34</v>
      </c>
      <c r="G101" s="301" t="s">
        <v>174</v>
      </c>
      <c r="H101" s="301" t="s">
        <v>211</v>
      </c>
      <c r="I101" s="302" t="str">
        <f>IF(H101="","",VLOOKUP(H101,'Base de datos'!$E:$G,3,FALSE))</f>
        <v>Ruedas c/ Pasador 100 mm</v>
      </c>
      <c r="J101" s="297">
        <v>2.0</v>
      </c>
      <c r="K101" s="303">
        <v>30000.0</v>
      </c>
      <c r="L101" s="308">
        <v>0.05</v>
      </c>
      <c r="M101" s="305">
        <f t="shared" si="3"/>
        <v>57000</v>
      </c>
      <c r="N101" s="305">
        <f t="shared" si="8"/>
        <v>10830</v>
      </c>
      <c r="O101" s="275">
        <f t="shared" si="5"/>
        <v>67830</v>
      </c>
      <c r="P101" s="305">
        <f t="shared" si="9"/>
        <v>1854020</v>
      </c>
      <c r="Q101" s="306">
        <f>IF(H101="","",VLOOKUP(H101,'Base de datos'!E:M,9,FALSE))</f>
        <v>13469.5</v>
      </c>
      <c r="R101" s="305">
        <f t="shared" si="10"/>
        <v>668433.1</v>
      </c>
      <c r="S101" s="307"/>
    </row>
    <row r="102" ht="22.5" customHeight="1">
      <c r="A102" s="296" t="str">
        <f t="shared" si="1"/>
        <v>63-4</v>
      </c>
      <c r="B102" s="297">
        <v>63.0</v>
      </c>
      <c r="C102" s="298">
        <f t="shared" si="2"/>
        <v>4</v>
      </c>
      <c r="D102" s="299" t="str">
        <f t="array" ref="D102">IF(B102="","",IFERROR(
  INDEX(R_COTIZACIONES!D:D,MATCH(B102,R_COTIZACIONES!A:A,0)),
""))</f>
        <v>Condominio Palermo</v>
      </c>
      <c r="E102" s="299" t="str">
        <f t="array" ref="E102">IF(B102="","",IFERROR(
  INDEX(R_COTIZACIONES!C:C,MATCH(B102,R_COTIZACIONES!A:A,0)),
""))</f>
        <v>53.312.705-3</v>
      </c>
      <c r="F102" s="300" t="s">
        <v>34</v>
      </c>
      <c r="G102" s="301" t="s">
        <v>159</v>
      </c>
      <c r="H102" s="301" t="s">
        <v>196</v>
      </c>
      <c r="I102" s="302" t="str">
        <f>IF(H102="","",VLOOKUP(H102,'Base de datos'!$E:$G,3,FALSE))</f>
        <v>Baliza NICE  12-38V</v>
      </c>
      <c r="J102" s="297">
        <v>1.0</v>
      </c>
      <c r="K102" s="303">
        <v>50000.0</v>
      </c>
      <c r="L102" s="308">
        <v>0.05</v>
      </c>
      <c r="M102" s="305">
        <f t="shared" si="3"/>
        <v>47500</v>
      </c>
      <c r="N102" s="305">
        <f t="shared" si="8"/>
        <v>9025</v>
      </c>
      <c r="O102" s="275">
        <f t="shared" si="5"/>
        <v>56525</v>
      </c>
      <c r="P102" s="305">
        <f t="shared" si="9"/>
        <v>1854020</v>
      </c>
      <c r="Q102" s="306">
        <f>IF(H102="","",VLOOKUP(H102,'Base de datos'!E:M,9,FALSE))</f>
        <v>19270.8</v>
      </c>
      <c r="R102" s="305">
        <f t="shared" si="10"/>
        <v>668433.1</v>
      </c>
      <c r="S102" s="307"/>
    </row>
    <row r="103" ht="22.5" customHeight="1">
      <c r="A103" s="296" t="str">
        <f t="shared" si="1"/>
        <v>63-5</v>
      </c>
      <c r="B103" s="297">
        <v>63.0</v>
      </c>
      <c r="C103" s="298">
        <f t="shared" si="2"/>
        <v>5</v>
      </c>
      <c r="D103" s="299" t="str">
        <f t="array" ref="D103">IF(B103="","",IFERROR(
  INDEX(R_COTIZACIONES!D:D,MATCH(B103,R_COTIZACIONES!A:A,0)),
""))</f>
        <v>Condominio Palermo</v>
      </c>
      <c r="E103" s="299" t="str">
        <f t="array" ref="E103">IF(B103="","",IFERROR(
  INDEX(R_COTIZACIONES!C:C,MATCH(B103,R_COTIZACIONES!A:A,0)),
""))</f>
        <v>53.312.705-3</v>
      </c>
      <c r="F103" s="300" t="s">
        <v>34</v>
      </c>
      <c r="G103" s="301" t="s">
        <v>181</v>
      </c>
      <c r="H103" s="301" t="s">
        <v>257</v>
      </c>
      <c r="I103" s="302" t="str">
        <f>IF(H103="","",VLOOKUP(H103,'Base de datos'!$E:$G,3,FALSE))</f>
        <v>Instalación de motor (Kit)</v>
      </c>
      <c r="J103" s="297">
        <v>1.0</v>
      </c>
      <c r="K103" s="303">
        <v>380000.0</v>
      </c>
      <c r="L103" s="308">
        <v>0.05</v>
      </c>
      <c r="M103" s="305">
        <f t="shared" si="3"/>
        <v>361000</v>
      </c>
      <c r="N103" s="305">
        <f t="shared" si="8"/>
        <v>68590</v>
      </c>
      <c r="O103" s="275">
        <f t="shared" si="5"/>
        <v>429590</v>
      </c>
      <c r="P103" s="305">
        <f t="shared" si="9"/>
        <v>1854020</v>
      </c>
      <c r="Q103" s="306">
        <f>IF(H103="","",VLOOKUP(H103,'Base de datos'!E:M,9,FALSE))</f>
        <v>180000</v>
      </c>
      <c r="R103" s="305">
        <f t="shared" si="10"/>
        <v>668433.1</v>
      </c>
      <c r="S103" s="307"/>
    </row>
    <row r="104" ht="22.5" customHeight="1">
      <c r="A104" s="296" t="str">
        <f t="shared" si="1"/>
        <v>64-1</v>
      </c>
      <c r="B104" s="297">
        <v>64.0</v>
      </c>
      <c r="C104" s="298">
        <f t="shared" si="2"/>
        <v>1</v>
      </c>
      <c r="D104" s="299" t="str">
        <f t="array" ref="D104">IF(B104="","",IFERROR(
  INDEX(R_COTIZACIONES!D:D,MATCH(B104,R_COTIZACIONES!A:A,0)),
""))</f>
        <v>Condominio Palermo</v>
      </c>
      <c r="E104" s="299" t="str">
        <f t="array" ref="E104">IF(B104="","",IFERROR(
  INDEX(R_COTIZACIONES!C:C,MATCH(B104,R_COTIZACIONES!A:A,0)),
""))</f>
        <v>53.312.705-3</v>
      </c>
      <c r="F104" s="300" t="s">
        <v>34</v>
      </c>
      <c r="G104" s="301" t="s">
        <v>156</v>
      </c>
      <c r="H104" s="301" t="s">
        <v>166</v>
      </c>
      <c r="I104" s="302" t="str">
        <f>IF(H104="","",VLOOKUP(H104,'Base de datos'!$E:$G,3,FALSE))</f>
        <v>D10 Turbo (6 crem y 2 controles)</v>
      </c>
      <c r="J104" s="297">
        <v>1.0</v>
      </c>
      <c r="K104" s="303">
        <v>1150000.0</v>
      </c>
      <c r="L104" s="308">
        <v>0.05</v>
      </c>
      <c r="M104" s="305">
        <f t="shared" si="3"/>
        <v>1092500</v>
      </c>
      <c r="N104" s="305">
        <f t="shared" si="8"/>
        <v>207575</v>
      </c>
      <c r="O104" s="275">
        <f t="shared" si="5"/>
        <v>1300075</v>
      </c>
      <c r="P104" s="305">
        <f t="shared" si="9"/>
        <v>1967070</v>
      </c>
      <c r="Q104" s="306">
        <f>IF(H104="","",VLOOKUP(H104,'Base de datos'!E:M,9,FALSE))</f>
        <v>450483.6</v>
      </c>
      <c r="R104" s="305">
        <f t="shared" si="10"/>
        <v>713653.9</v>
      </c>
      <c r="S104" s="307"/>
    </row>
    <row r="105" ht="22.5" customHeight="1">
      <c r="A105" s="296" t="str">
        <f t="shared" si="1"/>
        <v>64-2</v>
      </c>
      <c r="B105" s="297">
        <v>64.0</v>
      </c>
      <c r="C105" s="298">
        <f t="shared" si="2"/>
        <v>2</v>
      </c>
      <c r="D105" s="299" t="str">
        <f t="array" ref="D105">IF(B105="","",IFERROR(
  INDEX(R_COTIZACIONES!D:D,MATCH(B105,R_COTIZACIONES!A:A,0)),
""))</f>
        <v>Condominio Palermo</v>
      </c>
      <c r="E105" s="299" t="str">
        <f t="array" ref="E105">IF(B105="","",IFERROR(
  INDEX(R_COTIZACIONES!C:C,MATCH(B105,R_COTIZACIONES!A:A,0)),
""))</f>
        <v>53.312.705-3</v>
      </c>
      <c r="F105" s="300" t="s">
        <v>34</v>
      </c>
      <c r="G105" s="301" t="s">
        <v>156</v>
      </c>
      <c r="H105" s="301" t="s">
        <v>187</v>
      </c>
      <c r="I105" s="302" t="str">
        <f>IF(H105="","",VLOOKUP(H105,'Base de datos'!$E:$G,3,FALSE))</f>
        <v>Photon Smart (par)</v>
      </c>
      <c r="J105" s="297">
        <v>1.0</v>
      </c>
      <c r="K105" s="303">
        <v>100000.0</v>
      </c>
      <c r="L105" s="308">
        <v>0.05</v>
      </c>
      <c r="M105" s="305">
        <f t="shared" si="3"/>
        <v>95000</v>
      </c>
      <c r="N105" s="305">
        <f t="shared" si="8"/>
        <v>18050</v>
      </c>
      <c r="O105" s="275">
        <f t="shared" si="5"/>
        <v>113050</v>
      </c>
      <c r="P105" s="305">
        <f t="shared" si="9"/>
        <v>1967070</v>
      </c>
      <c r="Q105" s="306">
        <f>IF(H105="","",VLOOKUP(H105,'Base de datos'!E:M,9,FALSE))</f>
        <v>35692.8</v>
      </c>
      <c r="R105" s="305">
        <f t="shared" si="10"/>
        <v>713653.9</v>
      </c>
      <c r="S105" s="307"/>
    </row>
    <row r="106" ht="22.5" customHeight="1">
      <c r="A106" s="296" t="str">
        <f t="shared" si="1"/>
        <v>64-3</v>
      </c>
      <c r="B106" s="297">
        <v>64.0</v>
      </c>
      <c r="C106" s="298">
        <f t="shared" si="2"/>
        <v>3</v>
      </c>
      <c r="D106" s="299" t="str">
        <f t="array" ref="D106">IF(B106="","",IFERROR(
  INDEX(R_COTIZACIONES!D:D,MATCH(B106,R_COTIZACIONES!A:A,0)),
""))</f>
        <v>Condominio Palermo</v>
      </c>
      <c r="E106" s="299" t="str">
        <f t="array" ref="E106">IF(B106="","",IFERROR(
  INDEX(R_COTIZACIONES!C:C,MATCH(B106,R_COTIZACIONES!A:A,0)),
""))</f>
        <v>53.312.705-3</v>
      </c>
      <c r="F106" s="300" t="s">
        <v>34</v>
      </c>
      <c r="G106" s="301" t="s">
        <v>156</v>
      </c>
      <c r="H106" s="301" t="s">
        <v>211</v>
      </c>
      <c r="I106" s="302" t="str">
        <f>IF(H106="","",VLOOKUP(H106,'Base de datos'!$E:$G,3,FALSE))</f>
        <v>Ruedas c/ Pasador 100 mm</v>
      </c>
      <c r="J106" s="297">
        <v>2.0</v>
      </c>
      <c r="K106" s="303">
        <v>30000.0</v>
      </c>
      <c r="L106" s="308">
        <v>0.05</v>
      </c>
      <c r="M106" s="305">
        <f t="shared" si="3"/>
        <v>57000</v>
      </c>
      <c r="N106" s="305">
        <f t="shared" si="8"/>
        <v>10830</v>
      </c>
      <c r="O106" s="275">
        <f t="shared" si="5"/>
        <v>67830</v>
      </c>
      <c r="P106" s="305">
        <f t="shared" si="9"/>
        <v>1967070</v>
      </c>
      <c r="Q106" s="306">
        <f>IF(H106="","",VLOOKUP(H106,'Base de datos'!E:M,9,FALSE))</f>
        <v>13469.5</v>
      </c>
      <c r="R106" s="305">
        <f t="shared" si="10"/>
        <v>713653.9</v>
      </c>
      <c r="S106" s="307"/>
    </row>
    <row r="107" ht="22.5" customHeight="1">
      <c r="A107" s="296" t="str">
        <f t="shared" si="1"/>
        <v>64-4</v>
      </c>
      <c r="B107" s="297">
        <v>64.0</v>
      </c>
      <c r="C107" s="298">
        <f t="shared" si="2"/>
        <v>4</v>
      </c>
      <c r="D107" s="299" t="str">
        <f t="array" ref="D107">IF(B107="","",IFERROR(
  INDEX(R_COTIZACIONES!D:D,MATCH(B107,R_COTIZACIONES!A:A,0)),
""))</f>
        <v>Condominio Palermo</v>
      </c>
      <c r="E107" s="299" t="str">
        <f t="array" ref="E107">IF(B107="","",IFERROR(
  INDEX(R_COTIZACIONES!C:C,MATCH(B107,R_COTIZACIONES!A:A,0)),
""))</f>
        <v>53.312.705-3</v>
      </c>
      <c r="F107" s="300" t="s">
        <v>34</v>
      </c>
      <c r="G107" s="301" t="s">
        <v>159</v>
      </c>
      <c r="H107" s="301" t="s">
        <v>199</v>
      </c>
      <c r="I107" s="302" t="str">
        <f>IF(H107="","",VLOOKUP(H107,'Base de datos'!$E:$G,3,FALSE))</f>
        <v>Baliza NICE  12-38V</v>
      </c>
      <c r="J107" s="297">
        <v>1.0</v>
      </c>
      <c r="K107" s="303">
        <v>50000.0</v>
      </c>
      <c r="L107" s="308">
        <v>0.05</v>
      </c>
      <c r="M107" s="305">
        <f t="shared" si="3"/>
        <v>47500</v>
      </c>
      <c r="N107" s="305">
        <f t="shared" si="8"/>
        <v>9025</v>
      </c>
      <c r="O107" s="275">
        <f t="shared" si="5"/>
        <v>56525</v>
      </c>
      <c r="P107" s="305">
        <f t="shared" si="9"/>
        <v>1967070</v>
      </c>
      <c r="Q107" s="306">
        <f>IF(H107="","",VLOOKUP(H107,'Base de datos'!E:M,9,FALSE))</f>
        <v>34008</v>
      </c>
      <c r="R107" s="305">
        <f t="shared" si="10"/>
        <v>713653.9</v>
      </c>
      <c r="S107" s="307"/>
    </row>
    <row r="108" ht="22.5" customHeight="1">
      <c r="A108" s="296" t="str">
        <f t="shared" si="1"/>
        <v>64-5</v>
      </c>
      <c r="B108" s="297">
        <v>64.0</v>
      </c>
      <c r="C108" s="298">
        <f t="shared" si="2"/>
        <v>5</v>
      </c>
      <c r="D108" s="299" t="str">
        <f t="array" ref="D108">IF(B108="","",IFERROR(
  INDEX(R_COTIZACIONES!D:D,MATCH(B108,R_COTIZACIONES!A:A,0)),
""))</f>
        <v>Condominio Palermo</v>
      </c>
      <c r="E108" s="299" t="str">
        <f t="array" ref="E108">IF(B108="","",IFERROR(
  INDEX(R_COTIZACIONES!C:C,MATCH(B108,R_COTIZACIONES!A:A,0)),
""))</f>
        <v>53.312.705-3</v>
      </c>
      <c r="F108" s="300" t="s">
        <v>34</v>
      </c>
      <c r="G108" s="301" t="s">
        <v>181</v>
      </c>
      <c r="H108" s="301" t="s">
        <v>257</v>
      </c>
      <c r="I108" s="302" t="str">
        <f>IF(H108="","",VLOOKUP(H108,'Base de datos'!$E:$G,3,FALSE))</f>
        <v>Instalación de motor (Kit)</v>
      </c>
      <c r="J108" s="297">
        <v>1.0</v>
      </c>
      <c r="K108" s="303">
        <v>380000.0</v>
      </c>
      <c r="L108" s="308">
        <v>0.05</v>
      </c>
      <c r="M108" s="305">
        <f t="shared" si="3"/>
        <v>361000</v>
      </c>
      <c r="N108" s="305">
        <f t="shared" si="8"/>
        <v>68590</v>
      </c>
      <c r="O108" s="275">
        <f t="shared" si="5"/>
        <v>429590</v>
      </c>
      <c r="P108" s="305">
        <f t="shared" si="9"/>
        <v>1967070</v>
      </c>
      <c r="Q108" s="306">
        <f>IF(H108="","",VLOOKUP(H108,'Base de datos'!E:M,9,FALSE))</f>
        <v>180000</v>
      </c>
      <c r="R108" s="305">
        <f t="shared" si="10"/>
        <v>713653.9</v>
      </c>
      <c r="S108" s="307"/>
    </row>
    <row r="109" ht="22.5" customHeight="1">
      <c r="A109" s="296" t="str">
        <f t="shared" si="1"/>
        <v>65-1</v>
      </c>
      <c r="B109" s="297">
        <v>65.0</v>
      </c>
      <c r="C109" s="298">
        <f t="shared" si="2"/>
        <v>1</v>
      </c>
      <c r="D109" s="299" t="str">
        <f t="array" ref="D109">IF(B109="","",IFERROR(
  INDEX(R_COTIZACIONES!D:D,MATCH(B109,R_COTIZACIONES!A:A,0)),
""))</f>
        <v>Condominio Neo Spazio</v>
      </c>
      <c r="E109" s="299" t="str">
        <f t="array" ref="E109">IF(B109="","",IFERROR(
  INDEX(R_COTIZACIONES!C:C,MATCH(B109,R_COTIZACIONES!A:A,0)),
""))</f>
        <v>65.095.336-2</v>
      </c>
      <c r="F109" s="300" t="s">
        <v>34</v>
      </c>
      <c r="G109" s="301" t="s">
        <v>156</v>
      </c>
      <c r="H109" s="301" t="s">
        <v>178</v>
      </c>
      <c r="I109" s="302" t="str">
        <f>IF(H109="","",VLOOKUP(H109,'Base de datos'!$E:$G,3,FALSE))</f>
        <v>Cremallera Mt 1 mt</v>
      </c>
      <c r="J109" s="297">
        <v>4.0</v>
      </c>
      <c r="K109" s="303">
        <v>15000.0</v>
      </c>
      <c r="L109" s="297">
        <v>0.0</v>
      </c>
      <c r="M109" s="305">
        <f t="shared" si="3"/>
        <v>60000</v>
      </c>
      <c r="N109" s="305">
        <f t="shared" si="8"/>
        <v>11400</v>
      </c>
      <c r="O109" s="275">
        <f t="shared" si="5"/>
        <v>71400</v>
      </c>
      <c r="P109" s="305">
        <f t="shared" si="9"/>
        <v>428400</v>
      </c>
      <c r="Q109" s="306">
        <f>IF(H109="","",VLOOKUP(H109,'Base de datos'!E:M,9,FALSE))</f>
        <v>4633.8</v>
      </c>
      <c r="R109" s="305">
        <f t="shared" si="10"/>
        <v>4633.8</v>
      </c>
      <c r="S109" s="307"/>
    </row>
    <row r="110" ht="22.5" customHeight="1">
      <c r="A110" s="296" t="str">
        <f t="shared" si="1"/>
        <v>65-2</v>
      </c>
      <c r="B110" s="297">
        <v>65.0</v>
      </c>
      <c r="C110" s="298">
        <f t="shared" si="2"/>
        <v>2</v>
      </c>
      <c r="D110" s="299" t="str">
        <f t="array" ref="D110">IF(B110="","",IFERROR(
  INDEX(R_COTIZACIONES!D:D,MATCH(B110,R_COTIZACIONES!A:A,0)),
""))</f>
        <v>Condominio Neo Spazio</v>
      </c>
      <c r="E110" s="299" t="str">
        <f t="array" ref="E110">IF(B110="","",IFERROR(
  INDEX(R_COTIZACIONES!C:C,MATCH(B110,R_COTIZACIONES!A:A,0)),
""))</f>
        <v>65.095.336-2</v>
      </c>
      <c r="F110" s="300" t="s">
        <v>34</v>
      </c>
      <c r="G110" s="301" t="s">
        <v>181</v>
      </c>
      <c r="H110" s="301" t="s">
        <v>276</v>
      </c>
      <c r="I110" s="302" t="str">
        <f>IF(H110="","",VLOOKUP(H110,'Base de datos'!$E:$G,3,FALSE))</f>
        <v>Servicio de recuperación estructural </v>
      </c>
      <c r="J110" s="297">
        <v>1.0</v>
      </c>
      <c r="K110" s="303">
        <v>300000.0</v>
      </c>
      <c r="L110" s="297">
        <v>0.0</v>
      </c>
      <c r="M110" s="305">
        <f t="shared" si="3"/>
        <v>300000</v>
      </c>
      <c r="N110" s="305">
        <f t="shared" si="8"/>
        <v>57000</v>
      </c>
      <c r="O110" s="275">
        <f t="shared" si="5"/>
        <v>357000</v>
      </c>
      <c r="P110" s="305">
        <f t="shared" si="9"/>
        <v>428400</v>
      </c>
      <c r="Q110" s="306">
        <f>IF(H110="","",VLOOKUP(H110,'Base de datos'!E:M,9,FALSE))</f>
        <v>0</v>
      </c>
      <c r="R110" s="305">
        <f t="shared" si="10"/>
        <v>4633.8</v>
      </c>
      <c r="S110" s="307"/>
    </row>
    <row r="111" ht="22.5" customHeight="1">
      <c r="A111" s="296" t="str">
        <f t="shared" si="1"/>
        <v>66-1</v>
      </c>
      <c r="B111" s="297">
        <v>66.0</v>
      </c>
      <c r="C111" s="298">
        <f t="shared" si="2"/>
        <v>1</v>
      </c>
      <c r="D111" s="299" t="str">
        <f t="array" ref="D111">IF(B111="","",IFERROR(
  INDEX(R_COTIZACIONES!D:D,MATCH(B111,R_COTIZACIONES!A:A,0)),
""))</f>
        <v>Comunidad Edificio Florencia</v>
      </c>
      <c r="E111" s="299" t="str">
        <f t="array" ref="E111">IF(B111="","",IFERROR(
  INDEX(R_COTIZACIONES!C:C,MATCH(B111,R_COTIZACIONES!A:A,0)),
""))</f>
        <v>56047780-5</v>
      </c>
      <c r="F111" s="301" t="s">
        <v>38</v>
      </c>
      <c r="G111" s="301" t="s">
        <v>156</v>
      </c>
      <c r="H111" s="301" t="s">
        <v>190</v>
      </c>
      <c r="I111" s="302" t="str">
        <f>IF(H111="","",VLOOKUP(H111,'Base de datos'!$E:$G,3,FALSE))</f>
        <v>Control NOVA 2CH</v>
      </c>
      <c r="J111" s="297">
        <v>10.0</v>
      </c>
      <c r="K111" s="303">
        <v>17000.0</v>
      </c>
      <c r="L111" s="297">
        <v>0.0</v>
      </c>
      <c r="M111" s="305">
        <f t="shared" si="3"/>
        <v>170000</v>
      </c>
      <c r="N111" s="305">
        <f t="shared" si="8"/>
        <v>0</v>
      </c>
      <c r="O111" s="275">
        <f t="shared" si="5"/>
        <v>170000</v>
      </c>
      <c r="P111" s="303"/>
      <c r="Q111" s="306">
        <f>IF(H111="","",VLOOKUP(H111,'Base de datos'!E:M,9,FALSE))</f>
        <v>8021.7</v>
      </c>
      <c r="R111" s="305">
        <f t="shared" si="10"/>
        <v>8021.7</v>
      </c>
      <c r="S111" s="307"/>
    </row>
    <row r="112" ht="22.5" customHeight="1">
      <c r="A112" s="296" t="str">
        <f t="shared" si="1"/>
        <v>67-1</v>
      </c>
      <c r="B112" s="297">
        <v>67.0</v>
      </c>
      <c r="C112" s="298">
        <f t="shared" si="2"/>
        <v>1</v>
      </c>
      <c r="D112" s="299" t="str">
        <f t="array" ref="D112">IF(B112="","",IFERROR(
  INDEX(R_COTIZACIONES!D:D,MATCH(B112,R_COTIZACIONES!A:A,0)),
""))</f>
        <v>Espacio Urbano</v>
      </c>
      <c r="E112" s="299" t="str">
        <f t="array" ref="E112">IF(B112="","",IFERROR(
  INDEX(R_COTIZACIONES!C:C,MATCH(B112,R_COTIZACIONES!A:A,0)),
""))</f>
        <v>65.049.582-9</v>
      </c>
      <c r="F112" s="300" t="s">
        <v>34</v>
      </c>
      <c r="G112" s="301" t="s">
        <v>159</v>
      </c>
      <c r="H112" s="301" t="s">
        <v>171</v>
      </c>
      <c r="I112" s="302" t="str">
        <f>IF(H112="","",VLOOKUP(H112,'Base de datos'!$E:$G,3,FALSE))</f>
        <v>D6  (6 crem y 2 controles)</v>
      </c>
      <c r="J112" s="297">
        <v>1.0</v>
      </c>
      <c r="K112" s="303">
        <v>750000.0</v>
      </c>
      <c r="L112" s="308">
        <v>0.1</v>
      </c>
      <c r="M112" s="305">
        <f t="shared" si="3"/>
        <v>675000</v>
      </c>
      <c r="N112" s="305">
        <f t="shared" si="8"/>
        <v>128250</v>
      </c>
      <c r="O112" s="275">
        <f t="shared" si="5"/>
        <v>803250</v>
      </c>
      <c r="P112" s="305"/>
      <c r="Q112" s="306">
        <f>IF(H112="","",VLOOKUP(H112,'Base de datos'!E:M,9,FALSE))</f>
        <v>311967</v>
      </c>
      <c r="R112" s="305">
        <f t="shared" si="10"/>
        <v>527659.8</v>
      </c>
      <c r="S112" s="307"/>
    </row>
    <row r="113" ht="22.5" customHeight="1">
      <c r="A113" s="296" t="str">
        <f t="shared" si="1"/>
        <v>67-2</v>
      </c>
      <c r="B113" s="297">
        <v>67.0</v>
      </c>
      <c r="C113" s="298">
        <f t="shared" si="2"/>
        <v>2</v>
      </c>
      <c r="D113" s="299" t="str">
        <f t="array" ref="D113">IF(B113="","",IFERROR(
  INDEX(R_COTIZACIONES!D:D,MATCH(B113,R_COTIZACIONES!A:A,0)),
""))</f>
        <v>Espacio Urbano</v>
      </c>
      <c r="E113" s="299" t="str">
        <f t="array" ref="E113">IF(B113="","",IFERROR(
  INDEX(R_COTIZACIONES!C:C,MATCH(B113,R_COTIZACIONES!A:A,0)),
""))</f>
        <v>65.049.582-9</v>
      </c>
      <c r="F113" s="300" t="s">
        <v>34</v>
      </c>
      <c r="G113" s="301" t="s">
        <v>159</v>
      </c>
      <c r="H113" s="301" t="s">
        <v>187</v>
      </c>
      <c r="I113" s="302" t="str">
        <f>IF(H113="","",VLOOKUP(H113,'Base de datos'!$E:$G,3,FALSE))</f>
        <v>Photon Smart (par)</v>
      </c>
      <c r="J113" s="297">
        <v>1.0</v>
      </c>
      <c r="K113" s="303">
        <v>100000.0</v>
      </c>
      <c r="L113" s="308">
        <v>0.1</v>
      </c>
      <c r="M113" s="305">
        <f t="shared" si="3"/>
        <v>90000</v>
      </c>
      <c r="N113" s="305">
        <f t="shared" si="8"/>
        <v>17100</v>
      </c>
      <c r="O113" s="275">
        <f t="shared" si="5"/>
        <v>107100</v>
      </c>
      <c r="P113" s="305"/>
      <c r="Q113" s="306">
        <f>IF(H113="","",VLOOKUP(H113,'Base de datos'!E:M,9,FALSE))</f>
        <v>35692.8</v>
      </c>
      <c r="R113" s="305">
        <f t="shared" si="10"/>
        <v>527659.8</v>
      </c>
      <c r="S113" s="307"/>
    </row>
    <row r="114" ht="22.5" customHeight="1">
      <c r="A114" s="296" t="str">
        <f t="shared" si="1"/>
        <v>67-3</v>
      </c>
      <c r="B114" s="297">
        <v>67.0</v>
      </c>
      <c r="C114" s="298">
        <f t="shared" si="2"/>
        <v>3</v>
      </c>
      <c r="D114" s="299" t="str">
        <f t="array" ref="D114">IF(B114="","",IFERROR(
  INDEX(R_COTIZACIONES!D:D,MATCH(B114,R_COTIZACIONES!A:A,0)),
""))</f>
        <v>Espacio Urbano</v>
      </c>
      <c r="E114" s="299" t="str">
        <f t="array" ref="E114">IF(B114="","",IFERROR(
  INDEX(R_COTIZACIONES!C:C,MATCH(B114,R_COTIZACIONES!A:A,0)),
""))</f>
        <v>65.049.582-9</v>
      </c>
      <c r="F114" s="300" t="s">
        <v>34</v>
      </c>
      <c r="G114" s="301" t="s">
        <v>181</v>
      </c>
      <c r="H114" s="301" t="s">
        <v>257</v>
      </c>
      <c r="I114" s="302" t="str">
        <f>IF(H114="","",VLOOKUP(H114,'Base de datos'!$E:$G,3,FALSE))</f>
        <v>Instalación de motor (Kit)</v>
      </c>
      <c r="J114" s="297">
        <v>1.0</v>
      </c>
      <c r="K114" s="303">
        <v>300000.0</v>
      </c>
      <c r="L114" s="308">
        <v>0.05</v>
      </c>
      <c r="M114" s="305">
        <f t="shared" si="3"/>
        <v>285000</v>
      </c>
      <c r="N114" s="305">
        <f t="shared" si="8"/>
        <v>54150</v>
      </c>
      <c r="O114" s="275">
        <f t="shared" si="5"/>
        <v>339150</v>
      </c>
      <c r="P114" s="305"/>
      <c r="Q114" s="306">
        <f>IF(H114="","",VLOOKUP(H114,'Base de datos'!E:M,9,FALSE))</f>
        <v>180000</v>
      </c>
      <c r="R114" s="305">
        <f t="shared" si="10"/>
        <v>527659.8</v>
      </c>
      <c r="S114" s="307"/>
    </row>
    <row r="115" ht="22.5" customHeight="1">
      <c r="A115" s="296" t="str">
        <f t="shared" si="1"/>
        <v>68-1</v>
      </c>
      <c r="B115" s="297">
        <v>68.0</v>
      </c>
      <c r="C115" s="298">
        <f t="shared" si="2"/>
        <v>1</v>
      </c>
      <c r="D115" s="299" t="str">
        <f t="array" ref="D115">IF(B115="","",IFERROR(
  INDEX(R_COTIZACIONES!D:D,MATCH(B115,R_COTIZACIONES!A:A,0)),
""))</f>
        <v>Paseo San Carlos VII</v>
      </c>
      <c r="E115" s="299" t="str">
        <f t="array" ref="E115">IF(B115="","",IFERROR(
  INDEX(R_COTIZACIONES!C:C,MATCH(B115,R_COTIZACIONES!A:A,0)),
""))</f>
        <v>76866075-1</v>
      </c>
      <c r="F115" s="300" t="s">
        <v>34</v>
      </c>
      <c r="G115" s="301" t="s">
        <v>174</v>
      </c>
      <c r="H115" s="301" t="s">
        <v>211</v>
      </c>
      <c r="I115" s="302" t="str">
        <f>IF(H115="","",VLOOKUP(H115,'Base de datos'!$E:$G,3,FALSE))</f>
        <v>Ruedas c/ Pasador 100 mm</v>
      </c>
      <c r="J115" s="297">
        <v>2.0</v>
      </c>
      <c r="K115" s="303">
        <v>25000.0</v>
      </c>
      <c r="L115" s="308">
        <v>0.0</v>
      </c>
      <c r="M115" s="305">
        <f t="shared" si="3"/>
        <v>50000</v>
      </c>
      <c r="N115" s="305">
        <f t="shared" si="8"/>
        <v>9500</v>
      </c>
      <c r="O115" s="275">
        <f t="shared" si="5"/>
        <v>59500</v>
      </c>
      <c r="P115" s="305"/>
      <c r="Q115" s="306">
        <f>IF(H115="","",VLOOKUP(H115,'Base de datos'!E:M,9,FALSE))</f>
        <v>13469.5</v>
      </c>
      <c r="R115" s="305">
        <f t="shared" si="10"/>
        <v>35969.5</v>
      </c>
      <c r="S115" s="307"/>
    </row>
    <row r="116" ht="22.5" customHeight="1">
      <c r="A116" s="296" t="str">
        <f t="shared" si="1"/>
        <v>68-2</v>
      </c>
      <c r="B116" s="297">
        <v>68.0</v>
      </c>
      <c r="C116" s="298">
        <f t="shared" si="2"/>
        <v>2</v>
      </c>
      <c r="D116" s="299" t="str">
        <f t="array" ref="D116">IF(B116="","",IFERROR(
  INDEX(R_COTIZACIONES!D:D,MATCH(B116,R_COTIZACIONES!A:A,0)),
""))</f>
        <v>Paseo San Carlos VII</v>
      </c>
      <c r="E116" s="299" t="str">
        <f t="array" ref="E116">IF(B116="","",IFERROR(
  INDEX(R_COTIZACIONES!C:C,MATCH(B116,R_COTIZACIONES!A:A,0)),
""))</f>
        <v>76866075-1</v>
      </c>
      <c r="F116" s="300" t="s">
        <v>34</v>
      </c>
      <c r="G116" s="301" t="s">
        <v>181</v>
      </c>
      <c r="H116" s="301" t="s">
        <v>259</v>
      </c>
      <c r="I116" s="302" t="str">
        <f>IF(H116="","",VLOOKUP(H116,'Base de datos'!$E:$G,3,FALSE))</f>
        <v>Instalación de ruedas (Unidad)</v>
      </c>
      <c r="J116" s="297">
        <v>2.0</v>
      </c>
      <c r="K116" s="303">
        <v>40000.0</v>
      </c>
      <c r="L116" s="308">
        <v>0.0</v>
      </c>
      <c r="M116" s="305">
        <f t="shared" si="3"/>
        <v>80000</v>
      </c>
      <c r="N116" s="305">
        <f t="shared" si="8"/>
        <v>15200</v>
      </c>
      <c r="O116" s="275">
        <f t="shared" si="5"/>
        <v>95200</v>
      </c>
      <c r="P116" s="305"/>
      <c r="Q116" s="306">
        <f>IF(H116="","",VLOOKUP(H116,'Base de datos'!E:M,9,FALSE))</f>
        <v>22500</v>
      </c>
      <c r="R116" s="305">
        <f t="shared" si="10"/>
        <v>35969.5</v>
      </c>
      <c r="S116" s="307"/>
    </row>
    <row r="117" ht="22.5" customHeight="1">
      <c r="A117" s="296" t="str">
        <f t="shared" si="1"/>
        <v>69-1</v>
      </c>
      <c r="B117" s="297">
        <v>69.0</v>
      </c>
      <c r="C117" s="298">
        <f t="shared" si="2"/>
        <v>1</v>
      </c>
      <c r="D117" s="299" t="str">
        <f t="array" ref="D117">IF(B117="","",IFERROR(
  INDEX(R_COTIZACIONES!D:D,MATCH(B117,R_COTIZACIONES!A:A,0)),
""))</f>
        <v>Condominio Ossandon</v>
      </c>
      <c r="E117" s="299" t="str">
        <f t="array" ref="E117">IF(B117="","",IFERROR(
  INDEX(R_COTIZACIONES!C:C,MATCH(B117,R_COTIZACIONES!A:A,0)),
""))</f>
        <v>65.066.845-6 </v>
      </c>
      <c r="F117" s="301" t="s">
        <v>38</v>
      </c>
      <c r="G117" s="301" t="s">
        <v>156</v>
      </c>
      <c r="H117" s="301" t="s">
        <v>193</v>
      </c>
      <c r="I117" s="302" t="str">
        <f>IF(H117="","",VLOOKUP(H117,'Base de datos'!$E:$G,3,FALSE))</f>
        <v>Controlador Wifi WP17</v>
      </c>
      <c r="J117" s="297">
        <v>1.0</v>
      </c>
      <c r="K117" s="303">
        <v>220000.0</v>
      </c>
      <c r="L117" s="308">
        <v>0.0</v>
      </c>
      <c r="M117" s="305">
        <f t="shared" si="3"/>
        <v>220000</v>
      </c>
      <c r="N117" s="305">
        <f t="shared" si="8"/>
        <v>0</v>
      </c>
      <c r="O117" s="275">
        <f t="shared" si="5"/>
        <v>220000</v>
      </c>
      <c r="P117" s="305"/>
      <c r="Q117" s="306">
        <f>IF(H117="","",VLOOKUP(H117,'Base de datos'!E:M,9,FALSE))</f>
        <v>161840</v>
      </c>
      <c r="R117" s="305">
        <f t="shared" si="10"/>
        <v>161840</v>
      </c>
      <c r="S117" s="307"/>
    </row>
    <row r="118" ht="22.5" customHeight="1">
      <c r="A118" s="296" t="str">
        <f t="shared" si="1"/>
        <v>70-1</v>
      </c>
      <c r="B118" s="297">
        <v>70.0</v>
      </c>
      <c r="C118" s="298">
        <f t="shared" si="2"/>
        <v>1</v>
      </c>
      <c r="D118" s="299" t="str">
        <f t="array" ref="D118">IF(B118="","",IFERROR(
  INDEX(R_COTIZACIONES!D:D,MATCH(B118,R_COTIZACIONES!A:A,0)),
""))</f>
        <v>Condominio Ossandon</v>
      </c>
      <c r="E118" s="299" t="str">
        <f t="array" ref="E118">IF(B118="","",IFERROR(
  INDEX(R_COTIZACIONES!C:C,MATCH(B118,R_COTIZACIONES!A:A,0)),
""))</f>
        <v>65.066.845-6 </v>
      </c>
      <c r="F118" s="300" t="s">
        <v>34</v>
      </c>
      <c r="G118" s="301" t="s">
        <v>181</v>
      </c>
      <c r="H118" s="301" t="s">
        <v>267</v>
      </c>
      <c r="I118" s="302" t="str">
        <f>IF(H118="","",VLOOKUP(H118,'Base de datos'!$E:$G,3,FALSE))</f>
        <v>Mantención programada</v>
      </c>
      <c r="J118" s="297">
        <v>2.0</v>
      </c>
      <c r="K118" s="303">
        <v>150000.0</v>
      </c>
      <c r="L118" s="308">
        <v>0.0</v>
      </c>
      <c r="M118" s="305">
        <f t="shared" si="3"/>
        <v>300000</v>
      </c>
      <c r="N118" s="305">
        <f t="shared" si="8"/>
        <v>57000</v>
      </c>
      <c r="O118" s="275">
        <f t="shared" si="5"/>
        <v>357000</v>
      </c>
      <c r="P118" s="305"/>
      <c r="Q118" s="306">
        <f>IF(H118="","",VLOOKUP(H118,'Base de datos'!E:M,9,FALSE))</f>
        <v>100000</v>
      </c>
      <c r="R118" s="305">
        <f t="shared" si="10"/>
        <v>100000</v>
      </c>
      <c r="S118" s="307"/>
    </row>
    <row r="119" ht="22.5" customHeight="1">
      <c r="A119" s="296" t="str">
        <f t="shared" si="1"/>
        <v>71-1</v>
      </c>
      <c r="B119" s="297">
        <v>71.0</v>
      </c>
      <c r="C119" s="298">
        <f t="shared" si="2"/>
        <v>1</v>
      </c>
      <c r="D119" s="299" t="str">
        <f t="array" ref="D119">IF(B119="","",IFERROR(
  INDEX(R_COTIZACIONES!D:D,MATCH(B119,R_COTIZACIONES!A:A,0)),
""))</f>
        <v>Condominio Bahia Horizonte</v>
      </c>
      <c r="E119" s="299" t="str">
        <f t="array" ref="E119">IF(B119="","",IFERROR(
  INDEX(R_COTIZACIONES!C:C,MATCH(B119,R_COTIZACIONES!A:A,0)),
""))</f>
        <v>65.110.744-K</v>
      </c>
      <c r="F119" s="300" t="s">
        <v>34</v>
      </c>
      <c r="G119" s="301" t="s">
        <v>159</v>
      </c>
      <c r="H119" s="301" t="s">
        <v>175</v>
      </c>
      <c r="I119" s="302" t="str">
        <f>IF(H119="","",VLOOKUP(H119,'Base de datos'!$E:$G,3,FALSE))</f>
        <v>D6  (6 crem, 2 controles 1 par de Photosmart Fotoceldas Inalámbricas)</v>
      </c>
      <c r="J119" s="297">
        <v>1.0</v>
      </c>
      <c r="K119" s="303">
        <v>850000.0</v>
      </c>
      <c r="L119" s="308">
        <v>0.1</v>
      </c>
      <c r="M119" s="305">
        <f t="shared" si="3"/>
        <v>765000</v>
      </c>
      <c r="N119" s="305">
        <f t="shared" si="8"/>
        <v>145350</v>
      </c>
      <c r="O119" s="275">
        <f t="shared" si="5"/>
        <v>910350</v>
      </c>
      <c r="P119" s="305"/>
      <c r="Q119" s="306">
        <f>IF(H119="","",VLOOKUP(H119,'Base de datos'!E:M,9,FALSE))</f>
        <v>346968</v>
      </c>
      <c r="R119" s="305">
        <f t="shared" si="10"/>
        <v>688808</v>
      </c>
      <c r="S119" s="307"/>
    </row>
    <row r="120" ht="22.5" customHeight="1">
      <c r="A120" s="296" t="str">
        <f t="shared" si="1"/>
        <v>71-2</v>
      </c>
      <c r="B120" s="297">
        <v>71.0</v>
      </c>
      <c r="C120" s="298">
        <f t="shared" si="2"/>
        <v>2</v>
      </c>
      <c r="D120" s="299" t="str">
        <f t="array" ref="D120">IF(B120="","",IFERROR(
  INDEX(R_COTIZACIONES!D:D,MATCH(B120,R_COTIZACIONES!A:A,0)),
""))</f>
        <v>Condominio Bahia Horizonte</v>
      </c>
      <c r="E120" s="299" t="str">
        <f t="array" ref="E120">IF(B120="","",IFERROR(
  INDEX(R_COTIZACIONES!C:C,MATCH(B120,R_COTIZACIONES!A:A,0)),
""))</f>
        <v>65.110.744-K</v>
      </c>
      <c r="F120" s="300" t="s">
        <v>34</v>
      </c>
      <c r="G120" s="301" t="s">
        <v>181</v>
      </c>
      <c r="H120" s="301" t="s">
        <v>257</v>
      </c>
      <c r="I120" s="302" t="str">
        <f>IF(H120="","",VLOOKUP(H120,'Base de datos'!$E:$G,3,FALSE))</f>
        <v>Instalación de motor (Kit)</v>
      </c>
      <c r="J120" s="297">
        <v>1.0</v>
      </c>
      <c r="K120" s="303">
        <v>300000.0</v>
      </c>
      <c r="L120" s="308">
        <v>0.05</v>
      </c>
      <c r="M120" s="305">
        <f t="shared" si="3"/>
        <v>285000</v>
      </c>
      <c r="N120" s="305">
        <f t="shared" si="8"/>
        <v>54150</v>
      </c>
      <c r="O120" s="275">
        <f t="shared" si="5"/>
        <v>339150</v>
      </c>
      <c r="P120" s="305"/>
      <c r="Q120" s="306">
        <f>IF(H120="","",VLOOKUP(H120,'Base de datos'!E:M,9,FALSE))</f>
        <v>180000</v>
      </c>
      <c r="R120" s="305">
        <f t="shared" si="10"/>
        <v>688808</v>
      </c>
      <c r="S120" s="307"/>
    </row>
    <row r="121" ht="22.5" customHeight="1">
      <c r="A121" s="296" t="str">
        <f t="shared" si="1"/>
        <v>71-3</v>
      </c>
      <c r="B121" s="297">
        <v>71.0</v>
      </c>
      <c r="C121" s="298">
        <f t="shared" si="2"/>
        <v>3</v>
      </c>
      <c r="D121" s="299" t="str">
        <f t="array" ref="D121">IF(B121="","",IFERROR(
  INDEX(R_COTIZACIONES!D:D,MATCH(B121,R_COTIZACIONES!A:A,0)),
""))</f>
        <v>Condominio Bahia Horizonte</v>
      </c>
      <c r="E121" s="299" t="str">
        <f t="array" ref="E121">IF(B121="","",IFERROR(
  INDEX(R_COTIZACIONES!C:C,MATCH(B121,R_COTIZACIONES!A:A,0)),
""))</f>
        <v>65.110.744-K</v>
      </c>
      <c r="F121" s="301" t="s">
        <v>34</v>
      </c>
      <c r="G121" s="301" t="s">
        <v>156</v>
      </c>
      <c r="H121" s="301" t="s">
        <v>193</v>
      </c>
      <c r="I121" s="302" t="str">
        <f>IF(H121="","",VLOOKUP(H121,'Base de datos'!$E:$G,3,FALSE))</f>
        <v>Controlador Wifi WP17</v>
      </c>
      <c r="J121" s="297">
        <v>1.0</v>
      </c>
      <c r="K121" s="303">
        <v>220000.0</v>
      </c>
      <c r="L121" s="308">
        <v>0.05</v>
      </c>
      <c r="M121" s="305">
        <f t="shared" si="3"/>
        <v>209000</v>
      </c>
      <c r="N121" s="305">
        <f t="shared" si="8"/>
        <v>39710</v>
      </c>
      <c r="O121" s="275">
        <f t="shared" si="5"/>
        <v>248710</v>
      </c>
      <c r="P121" s="305"/>
      <c r="Q121" s="306">
        <f>IF(H121="","",VLOOKUP(H121,'Base de datos'!E:M,9,FALSE))</f>
        <v>161840</v>
      </c>
      <c r="R121" s="305">
        <f t="shared" si="10"/>
        <v>688808</v>
      </c>
      <c r="S121" s="307"/>
    </row>
    <row r="122" ht="22.5" customHeight="1">
      <c r="A122" s="296" t="str">
        <f t="shared" si="1"/>
        <v>72-1</v>
      </c>
      <c r="B122" s="297">
        <v>72.0</v>
      </c>
      <c r="C122" s="298">
        <f t="shared" si="2"/>
        <v>1</v>
      </c>
      <c r="D122" s="299" t="str">
        <f t="array" ref="D122">IF(B122="","",IFERROR(
  INDEX(R_COTIZACIONES!D:D,MATCH(B122,R_COTIZACIONES!A:A,0)),
""))</f>
        <v>Condominio Bahia Horizonte</v>
      </c>
      <c r="E122" s="299" t="str">
        <f t="array" ref="E122">IF(B122="","",IFERROR(
  INDEX(R_COTIZACIONES!C:C,MATCH(B122,R_COTIZACIONES!A:A,0)),
""))</f>
        <v>65.110.744-K</v>
      </c>
      <c r="F122" s="300" t="s">
        <v>34</v>
      </c>
      <c r="G122" s="301" t="s">
        <v>159</v>
      </c>
      <c r="H122" s="301" t="s">
        <v>169</v>
      </c>
      <c r="I122" s="302" t="str">
        <f>IF(H122="","",VLOOKUP(H122,'Base de datos'!$E:$G,3,FALSE))</f>
        <v>D10  (6 crem, 2 controles 1 par de Photosmart Fotoceldas Inalámbricas)</v>
      </c>
      <c r="J122" s="297">
        <v>1.0</v>
      </c>
      <c r="K122" s="303">
        <v>1250000.0</v>
      </c>
      <c r="L122" s="308">
        <v>0.05</v>
      </c>
      <c r="M122" s="305">
        <f t="shared" si="3"/>
        <v>1187500</v>
      </c>
      <c r="N122" s="305">
        <f t="shared" si="8"/>
        <v>225625</v>
      </c>
      <c r="O122" s="275">
        <f t="shared" si="5"/>
        <v>1413125</v>
      </c>
      <c r="P122" s="305"/>
      <c r="Q122" s="306">
        <f>IF(H122="","",VLOOKUP(H122,'Base de datos'!E:M,9,FALSE))</f>
        <v>406788.5</v>
      </c>
      <c r="R122" s="305">
        <f t="shared" si="10"/>
        <v>748628.5</v>
      </c>
      <c r="S122" s="307"/>
    </row>
    <row r="123" ht="22.5" customHeight="1">
      <c r="A123" s="296" t="str">
        <f t="shared" si="1"/>
        <v>72-2</v>
      </c>
      <c r="B123" s="297">
        <v>72.0</v>
      </c>
      <c r="C123" s="298">
        <f t="shared" si="2"/>
        <v>2</v>
      </c>
      <c r="D123" s="299" t="str">
        <f t="array" ref="D123">IF(B123="","",IFERROR(
  INDEX(R_COTIZACIONES!D:D,MATCH(B123,R_COTIZACIONES!A:A,0)),
""))</f>
        <v>Condominio Bahia Horizonte</v>
      </c>
      <c r="E123" s="299" t="str">
        <f t="array" ref="E123">IF(B123="","",IFERROR(
  INDEX(R_COTIZACIONES!C:C,MATCH(B123,R_COTIZACIONES!A:A,0)),
""))</f>
        <v>65.110.744-K</v>
      </c>
      <c r="F123" s="300" t="s">
        <v>34</v>
      </c>
      <c r="G123" s="301" t="s">
        <v>181</v>
      </c>
      <c r="H123" s="301" t="s">
        <v>257</v>
      </c>
      <c r="I123" s="302" t="str">
        <f>IF(H123="","",VLOOKUP(H123,'Base de datos'!$E:$G,3,FALSE))</f>
        <v>Instalación de motor (Kit)</v>
      </c>
      <c r="J123" s="297">
        <v>1.0</v>
      </c>
      <c r="K123" s="303">
        <v>300000.0</v>
      </c>
      <c r="L123" s="308">
        <v>0.05</v>
      </c>
      <c r="M123" s="305">
        <f t="shared" si="3"/>
        <v>285000</v>
      </c>
      <c r="N123" s="305">
        <f t="shared" si="8"/>
        <v>54150</v>
      </c>
      <c r="O123" s="275">
        <f t="shared" si="5"/>
        <v>339150</v>
      </c>
      <c r="P123" s="305"/>
      <c r="Q123" s="306">
        <f>IF(H123="","",VLOOKUP(H123,'Base de datos'!E:M,9,FALSE))</f>
        <v>180000</v>
      </c>
      <c r="R123" s="305">
        <f t="shared" si="10"/>
        <v>748628.5</v>
      </c>
      <c r="S123" s="307"/>
    </row>
    <row r="124" ht="22.5" customHeight="1">
      <c r="A124" s="296" t="str">
        <f t="shared" si="1"/>
        <v>72-3</v>
      </c>
      <c r="B124" s="297">
        <v>72.0</v>
      </c>
      <c r="C124" s="298">
        <f t="shared" si="2"/>
        <v>3</v>
      </c>
      <c r="D124" s="299" t="str">
        <f t="array" ref="D124">IF(B124="","",IFERROR(
  INDEX(R_COTIZACIONES!D:D,MATCH(B124,R_COTIZACIONES!A:A,0)),
""))</f>
        <v>Condominio Bahia Horizonte</v>
      </c>
      <c r="E124" s="299" t="str">
        <f t="array" ref="E124">IF(B124="","",IFERROR(
  INDEX(R_COTIZACIONES!C:C,MATCH(B124,R_COTIZACIONES!A:A,0)),
""))</f>
        <v>65.110.744-K</v>
      </c>
      <c r="F124" s="300" t="s">
        <v>34</v>
      </c>
      <c r="G124" s="301" t="s">
        <v>156</v>
      </c>
      <c r="H124" s="301" t="s">
        <v>193</v>
      </c>
      <c r="I124" s="302" t="str">
        <f>IF(H124="","",VLOOKUP(H124,'Base de datos'!$E:$G,3,FALSE))</f>
        <v>Controlador Wifi WP17</v>
      </c>
      <c r="J124" s="297">
        <v>1.0</v>
      </c>
      <c r="K124" s="303">
        <v>220000.0</v>
      </c>
      <c r="L124" s="308">
        <v>0.05</v>
      </c>
      <c r="M124" s="305">
        <f t="shared" si="3"/>
        <v>209000</v>
      </c>
      <c r="N124" s="305">
        <f t="shared" si="8"/>
        <v>39710</v>
      </c>
      <c r="O124" s="275">
        <f t="shared" si="5"/>
        <v>248710</v>
      </c>
      <c r="P124" s="305"/>
      <c r="Q124" s="306">
        <f>IF(H124="","",VLOOKUP(H124,'Base de datos'!E:M,9,FALSE))</f>
        <v>161840</v>
      </c>
      <c r="R124" s="305">
        <f t="shared" si="10"/>
        <v>748628.5</v>
      </c>
      <c r="S124" s="307"/>
    </row>
    <row r="125" ht="22.5" customHeight="1">
      <c r="A125" s="296" t="str">
        <f t="shared" si="1"/>
        <v>73-1</v>
      </c>
      <c r="B125" s="297">
        <v>73.0</v>
      </c>
      <c r="C125" s="298">
        <f t="shared" si="2"/>
        <v>1</v>
      </c>
      <c r="D125" s="299" t="str">
        <f t="array" ref="D125">IF(B125="","",IFERROR(
  INDEX(R_COTIZACIONES!D:D,MATCH(B125,R_COTIZACIONES!A:A,0)),
""))</f>
        <v>Condominio Ossandon</v>
      </c>
      <c r="E125" s="299" t="str">
        <f t="array" ref="E125">IF(B125="","",IFERROR(
  INDEX(R_COTIZACIONES!C:C,MATCH(B125,R_COTIZACIONES!A:A,0)),
""))</f>
        <v>65.066.845-6 </v>
      </c>
      <c r="F125" s="301" t="s">
        <v>38</v>
      </c>
      <c r="G125" s="301" t="s">
        <v>156</v>
      </c>
      <c r="H125" s="301" t="s">
        <v>153</v>
      </c>
      <c r="I125" s="302" t="str">
        <f>IF(H125="","",VLOOKUP(H125,'Base de datos'!$E:$G,3,FALSE))</f>
        <v>D10 Standard</v>
      </c>
      <c r="J125" s="297">
        <v>1.0</v>
      </c>
      <c r="K125" s="303">
        <v>1000000.0</v>
      </c>
      <c r="L125" s="308">
        <v>0.0</v>
      </c>
      <c r="M125" s="305">
        <f t="shared" si="3"/>
        <v>1000000</v>
      </c>
      <c r="N125" s="305">
        <f t="shared" si="8"/>
        <v>0</v>
      </c>
      <c r="O125" s="275">
        <f t="shared" si="5"/>
        <v>1000000</v>
      </c>
      <c r="P125" s="305"/>
      <c r="Q125" s="306">
        <f>IF(H125="","",VLOOKUP(H125,'Base de datos'!E:M,9,FALSE))</f>
        <v>383410.8</v>
      </c>
      <c r="R125" s="305">
        <f t="shared" si="10"/>
        <v>705250.8</v>
      </c>
      <c r="S125" s="307"/>
    </row>
    <row r="126" ht="22.5" customHeight="1">
      <c r="A126" s="296" t="str">
        <f t="shared" si="1"/>
        <v>73-2</v>
      </c>
      <c r="B126" s="297">
        <v>73.0</v>
      </c>
      <c r="C126" s="297">
        <v>2.0</v>
      </c>
      <c r="D126" s="299" t="str">
        <f t="array" ref="D126">IF(B126="","",IFERROR(
  INDEX(R_COTIZACIONES!D:D,MATCH(B126,R_COTIZACIONES!A:A,0)),
""))</f>
        <v>Condominio Ossandon</v>
      </c>
      <c r="E126" s="299" t="str">
        <f t="array" ref="E126">IF(B126="","",IFERROR(
  INDEX(R_COTIZACIONES!C:C,MATCH(B126,R_COTIZACIONES!A:A,0)),
""))</f>
        <v>65.066.845-6 </v>
      </c>
      <c r="F126" s="301" t="s">
        <v>38</v>
      </c>
      <c r="G126" s="301" t="s">
        <v>156</v>
      </c>
      <c r="H126" s="301" t="s">
        <v>193</v>
      </c>
      <c r="I126" s="302" t="str">
        <f>IF(H126="","",VLOOKUP(H126,'Base de datos'!$E:$G,3,FALSE))</f>
        <v>Controlador Wifi WP17</v>
      </c>
      <c r="J126" s="297">
        <v>1.0</v>
      </c>
      <c r="K126" s="303">
        <v>200000.0</v>
      </c>
      <c r="L126" s="308">
        <v>0.0</v>
      </c>
      <c r="M126" s="305">
        <f t="shared" si="3"/>
        <v>200000</v>
      </c>
      <c r="N126" s="305">
        <f t="shared" si="8"/>
        <v>0</v>
      </c>
      <c r="O126" s="275">
        <f t="shared" si="5"/>
        <v>200000</v>
      </c>
      <c r="P126" s="305"/>
      <c r="Q126" s="306">
        <f>IF(H126="","",VLOOKUP(H126,'Base de datos'!E:M,9,FALSE))</f>
        <v>161840</v>
      </c>
      <c r="R126" s="305">
        <f t="shared" si="10"/>
        <v>705250.8</v>
      </c>
      <c r="S126" s="307"/>
    </row>
    <row r="127" ht="22.5" customHeight="1">
      <c r="A127" s="296" t="str">
        <f t="shared" si="1"/>
        <v>73-3</v>
      </c>
      <c r="B127" s="297">
        <v>73.0</v>
      </c>
      <c r="C127" s="298">
        <f t="shared" ref="C127:C152" si="11">IF(B127="","",COUNTIF($B$4:B127,B127))</f>
        <v>3</v>
      </c>
      <c r="D127" s="299" t="str">
        <f t="array" ref="D127">IF(B127="","",IFERROR(
  INDEX(R_COTIZACIONES!D:D,MATCH(B127,R_COTIZACIONES!A:A,0)),
""))</f>
        <v>Condominio Ossandon</v>
      </c>
      <c r="E127" s="299" t="str">
        <f t="array" ref="E127">IF(B127="","",IFERROR(
  INDEX(R_COTIZACIONES!C:C,MATCH(B127,R_COTIZACIONES!A:A,0)),
""))</f>
        <v>65.066.845-6 </v>
      </c>
      <c r="F127" s="300" t="s">
        <v>34</v>
      </c>
      <c r="G127" s="301" t="s">
        <v>181</v>
      </c>
      <c r="H127" s="301" t="s">
        <v>250</v>
      </c>
      <c r="I127" s="302" t="str">
        <f>IF(H127="","",VLOOKUP(H127,'Base de datos'!$E:$G,3,FALSE))</f>
        <v>Instalación de motor (Solo)</v>
      </c>
      <c r="J127" s="297">
        <v>1.0</v>
      </c>
      <c r="K127" s="303">
        <v>100000.0</v>
      </c>
      <c r="L127" s="308">
        <v>0.0</v>
      </c>
      <c r="M127" s="305">
        <f t="shared" si="3"/>
        <v>100000</v>
      </c>
      <c r="N127" s="305">
        <f t="shared" si="8"/>
        <v>19000</v>
      </c>
      <c r="O127" s="275">
        <f t="shared" si="5"/>
        <v>119000</v>
      </c>
      <c r="P127" s="305"/>
      <c r="Q127" s="306">
        <f>IF(H127="","",VLOOKUP(H127,'Base de datos'!E:M,9,FALSE))</f>
        <v>60000</v>
      </c>
      <c r="R127" s="305">
        <f t="shared" si="10"/>
        <v>705250.8</v>
      </c>
      <c r="S127" s="307"/>
    </row>
    <row r="128" ht="22.5" customHeight="1">
      <c r="A128" s="296" t="str">
        <f t="shared" si="1"/>
        <v>73-4</v>
      </c>
      <c r="B128" s="297">
        <v>73.0</v>
      </c>
      <c r="C128" s="298">
        <f t="shared" si="11"/>
        <v>4</v>
      </c>
      <c r="D128" s="299" t="str">
        <f t="array" ref="D128">IF(B128="","",IFERROR(
  INDEX(R_COTIZACIONES!D:D,MATCH(B128,R_COTIZACIONES!A:A,0)),
""))</f>
        <v>Condominio Ossandon</v>
      </c>
      <c r="E128" s="299" t="str">
        <f t="array" ref="E128">IF(B128="","",IFERROR(
  INDEX(R_COTIZACIONES!C:C,MATCH(B128,R_COTIZACIONES!A:A,0)),
""))</f>
        <v>65.066.845-6 </v>
      </c>
      <c r="F128" s="300" t="s">
        <v>34</v>
      </c>
      <c r="G128" s="301" t="s">
        <v>181</v>
      </c>
      <c r="H128" s="301" t="s">
        <v>267</v>
      </c>
      <c r="I128" s="302" t="str">
        <f>IF(H128="","",VLOOKUP(H128,'Base de datos'!$E:$G,3,FALSE))</f>
        <v>Mantención programada</v>
      </c>
      <c r="J128" s="297">
        <v>1.0</v>
      </c>
      <c r="K128" s="303">
        <v>150000.0</v>
      </c>
      <c r="L128" s="308">
        <v>0.0</v>
      </c>
      <c r="M128" s="305">
        <f t="shared" si="3"/>
        <v>150000</v>
      </c>
      <c r="N128" s="305">
        <f t="shared" si="8"/>
        <v>28500</v>
      </c>
      <c r="O128" s="275">
        <f t="shared" si="5"/>
        <v>178500</v>
      </c>
      <c r="P128" s="305"/>
      <c r="Q128" s="306">
        <f>IF(H128="","",VLOOKUP(H128,'Base de datos'!E:M,9,FALSE))</f>
        <v>100000</v>
      </c>
      <c r="R128" s="305">
        <f t="shared" si="10"/>
        <v>705250.8</v>
      </c>
      <c r="S128" s="307"/>
    </row>
    <row r="129" ht="22.5" customHeight="1">
      <c r="A129" s="296" t="str">
        <f t="shared" si="1"/>
        <v>74-1</v>
      </c>
      <c r="B129" s="297">
        <v>74.0</v>
      </c>
      <c r="C129" s="298">
        <f t="shared" si="11"/>
        <v>1</v>
      </c>
      <c r="D129" s="299" t="str">
        <f t="array" ref="D129">IF(B129="","",IFERROR(
  INDEX(R_COTIZACIONES!D:D,MATCH(B129,R_COTIZACIONES!A:A,0)),
""))</f>
        <v>Condominio Jardines del Pacífico</v>
      </c>
      <c r="E129" s="299" t="str">
        <f t="array" ref="E129">IF(B129="","",IFERROR(
  INDEX(R_COTIZACIONES!C:C,MATCH(B129,R_COTIZACIONES!A:A,0)),
""))</f>
        <v>53.330.222-K</v>
      </c>
      <c r="F129" s="301" t="s">
        <v>38</v>
      </c>
      <c r="G129" s="301" t="s">
        <v>181</v>
      </c>
      <c r="H129" s="301" t="s">
        <v>282</v>
      </c>
      <c r="I129" s="302" t="str">
        <f>IF(H129="","",VLOOKUP(H129,'Base de datos'!$E:$G,3,FALSE))</f>
        <v>Servicio de mantenimiento CCTV central.</v>
      </c>
      <c r="J129" s="297">
        <v>1.0</v>
      </c>
      <c r="K129" s="303">
        <v>200000.0</v>
      </c>
      <c r="L129" s="308"/>
      <c r="M129" s="305">
        <f t="shared" si="3"/>
        <v>200000</v>
      </c>
      <c r="N129" s="305">
        <f t="shared" si="8"/>
        <v>0</v>
      </c>
      <c r="O129" s="275">
        <f t="shared" si="5"/>
        <v>200000</v>
      </c>
      <c r="P129" s="305"/>
      <c r="Q129" s="306">
        <f>IF(H129="","",VLOOKUP(H129,'Base de datos'!E:M,9,FALSE))</f>
        <v>252100.8403</v>
      </c>
      <c r="R129" s="305">
        <f t="shared" si="10"/>
        <v>252100.8403</v>
      </c>
      <c r="S129" s="307"/>
    </row>
    <row r="130" ht="22.5" customHeight="1">
      <c r="A130" s="296" t="str">
        <f t="shared" si="1"/>
        <v>75-1</v>
      </c>
      <c r="B130" s="297">
        <v>75.0</v>
      </c>
      <c r="C130" s="298">
        <f t="shared" si="11"/>
        <v>1</v>
      </c>
      <c r="D130" s="299" t="str">
        <f t="array" ref="D130">IF(B130="","",IFERROR(
  INDEX(R_COTIZACIONES!D:D,MATCH(B130,R_COTIZACIONES!A:A,0)),
""))</f>
        <v>Condominio Ossandon</v>
      </c>
      <c r="E130" s="299" t="str">
        <f t="array" ref="E130">IF(B130="","",IFERROR(
  INDEX(R_COTIZACIONES!C:C,MATCH(B130,R_COTIZACIONES!A:A,0)),
""))</f>
        <v>65.066.845-6 </v>
      </c>
      <c r="F130" s="301" t="s">
        <v>38</v>
      </c>
      <c r="G130" s="301" t="s">
        <v>185</v>
      </c>
      <c r="H130" s="301" t="s">
        <v>92</v>
      </c>
      <c r="I130" s="302" t="str">
        <f>IF(H130="","",VLOOKUP(H130,'Base de datos'!$E:$G,3,FALSE))</f>
        <v>Archer C20</v>
      </c>
      <c r="J130" s="297">
        <v>1.0</v>
      </c>
      <c r="K130" s="303">
        <v>30000.0</v>
      </c>
      <c r="L130" s="308">
        <v>0.0</v>
      </c>
      <c r="M130" s="305">
        <f t="shared" si="3"/>
        <v>30000</v>
      </c>
      <c r="N130" s="305">
        <f t="shared" si="8"/>
        <v>0</v>
      </c>
      <c r="O130" s="275">
        <f t="shared" si="5"/>
        <v>30000</v>
      </c>
      <c r="P130" s="305"/>
      <c r="Q130" s="306">
        <f>IF(H130="","",VLOOKUP(H130,'Base de datos'!E:M,9,FALSE))</f>
        <v>15220.8</v>
      </c>
      <c r="R130" s="305">
        <f t="shared" si="10"/>
        <v>15220.8</v>
      </c>
      <c r="S130" s="307"/>
    </row>
    <row r="131" ht="22.5" customHeight="1">
      <c r="A131" s="296" t="str">
        <f t="shared" si="1"/>
        <v>75-2</v>
      </c>
      <c r="B131" s="297">
        <v>75.0</v>
      </c>
      <c r="C131" s="298">
        <f t="shared" si="11"/>
        <v>2</v>
      </c>
      <c r="D131" s="299" t="str">
        <f t="array" ref="D131">IF(B131="","",IFERROR(
  INDEX(R_COTIZACIONES!D:D,MATCH(B131,R_COTIZACIONES!A:A,0)),
""))</f>
        <v>Condominio Ossandon</v>
      </c>
      <c r="E131" s="299" t="str">
        <f t="array" ref="E131">IF(B131="","",IFERROR(
  INDEX(R_COTIZACIONES!C:C,MATCH(B131,R_COTIZACIONES!A:A,0)),
""))</f>
        <v>65.066.845-6 </v>
      </c>
      <c r="F131" s="300" t="s">
        <v>34</v>
      </c>
      <c r="G131" s="301" t="s">
        <v>181</v>
      </c>
      <c r="H131" s="301" t="s">
        <v>303</v>
      </c>
      <c r="I131" s="302" t="str">
        <f>IF(H131="","",VLOOKUP(H131,'Base de datos'!$E:$G,3,FALSE))</f>
        <v>Servicio de instalación de punto eléctrico x mt</v>
      </c>
      <c r="J131" s="297">
        <v>1.0</v>
      </c>
      <c r="K131" s="303">
        <v>60000.0</v>
      </c>
      <c r="L131" s="308">
        <v>0.0</v>
      </c>
      <c r="M131" s="305">
        <f t="shared" si="3"/>
        <v>60000</v>
      </c>
      <c r="N131" s="305"/>
      <c r="O131" s="275">
        <f t="shared" si="5"/>
        <v>60000</v>
      </c>
      <c r="P131" s="305"/>
      <c r="Q131" s="306">
        <f>IF(H131="","",VLOOKUP(H131,'Base de datos'!E:M,9,FALSE))</f>
        <v>0</v>
      </c>
      <c r="R131" s="305">
        <f t="shared" si="10"/>
        <v>15220.8</v>
      </c>
      <c r="S131" s="307"/>
    </row>
    <row r="132" ht="22.5" customHeight="1">
      <c r="A132" s="296" t="str">
        <f t="shared" si="1"/>
        <v>76-1</v>
      </c>
      <c r="B132" s="297">
        <v>76.0</v>
      </c>
      <c r="C132" s="298">
        <f t="shared" si="11"/>
        <v>1</v>
      </c>
      <c r="D132" s="299" t="str">
        <f t="array" ref="D132">IF(B132="","",IFERROR(
  INDEX(R_COTIZACIONES!D:D,MATCH(B132,R_COTIZACIONES!A:A,0)),
""))</f>
        <v>Condominio Bahia Horizonte</v>
      </c>
      <c r="E132" s="299" t="str">
        <f t="array" ref="E132">IF(B132="","",IFERROR(
  INDEX(R_COTIZACIONES!C:C,MATCH(B132,R_COTIZACIONES!A:A,0)),
""))</f>
        <v>65.110.744-K</v>
      </c>
      <c r="F132" s="300" t="s">
        <v>34</v>
      </c>
      <c r="G132" s="301" t="s">
        <v>181</v>
      </c>
      <c r="H132" s="301" t="s">
        <v>285</v>
      </c>
      <c r="I132" s="302" t="str">
        <f>IF(H132="","",VLOOKUP(H132,'Base de datos'!$E:$G,3,FALSE))</f>
        <v>Servicio de mantenimiento y renovacion/acondicionamiento de central CCTV Fase I</v>
      </c>
      <c r="J132" s="297">
        <v>1.0</v>
      </c>
      <c r="K132" s="303">
        <v>680000.0</v>
      </c>
      <c r="L132" s="308">
        <v>0.0</v>
      </c>
      <c r="M132" s="305">
        <f t="shared" si="3"/>
        <v>680000</v>
      </c>
      <c r="N132" s="305"/>
      <c r="O132" s="275">
        <f t="shared" si="5"/>
        <v>680000</v>
      </c>
      <c r="P132" s="305"/>
      <c r="Q132" s="306">
        <f>IF(H132="","",VLOOKUP(H132,'Base de datos'!E:M,9,FALSE))</f>
        <v>857142.8571</v>
      </c>
      <c r="R132" s="305">
        <f t="shared" si="10"/>
        <v>857142.8571</v>
      </c>
      <c r="S132" s="307"/>
    </row>
    <row r="133" ht="22.5" customHeight="1">
      <c r="A133" s="296" t="str">
        <f t="shared" si="1"/>
        <v>77-1</v>
      </c>
      <c r="B133" s="297">
        <v>77.0</v>
      </c>
      <c r="C133" s="298">
        <f t="shared" si="11"/>
        <v>1</v>
      </c>
      <c r="D133" s="299" t="str">
        <f t="array" ref="D133">IF(B133="","",IFERROR(
  INDEX(R_COTIZACIONES!D:D,MATCH(B133,R_COTIZACIONES!A:A,0)),
""))</f>
        <v>Condominio Bahia Horizonte</v>
      </c>
      <c r="E133" s="299" t="str">
        <f t="array" ref="E133">IF(B133="","",IFERROR(
  INDEX(R_COTIZACIONES!C:C,MATCH(B133,R_COTIZACIONES!A:A,0)),
""))</f>
        <v>65.110.744-K</v>
      </c>
      <c r="F133" s="300" t="s">
        <v>34</v>
      </c>
      <c r="G133" s="301" t="s">
        <v>181</v>
      </c>
      <c r="H133" s="301" t="s">
        <v>287</v>
      </c>
      <c r="I133" s="302" t="str">
        <f>IF(H133="","",VLOOKUP(H133,'Base de datos'!$E:$G,3,FALSE))</f>
        <v>Servicio de implementación de infraestructura base y plataforma CCTV IP Fase II</v>
      </c>
      <c r="J133" s="297">
        <v>1.0</v>
      </c>
      <c r="K133" s="303">
        <v>3334000.0</v>
      </c>
      <c r="L133" s="308">
        <v>0.0</v>
      </c>
      <c r="M133" s="305">
        <f t="shared" si="3"/>
        <v>3334000</v>
      </c>
      <c r="N133" s="305"/>
      <c r="O133" s="275">
        <f t="shared" si="5"/>
        <v>3334000</v>
      </c>
      <c r="P133" s="305"/>
      <c r="Q133" s="306">
        <f>IF(H133="","",VLOOKUP(H133,'Base de datos'!E:M,9,FALSE))</f>
        <v>4202521.008</v>
      </c>
      <c r="R133" s="305">
        <f t="shared" si="10"/>
        <v>4202521.008</v>
      </c>
      <c r="S133" s="307"/>
    </row>
    <row r="134" ht="22.5" customHeight="1">
      <c r="A134" s="296" t="str">
        <f t="shared" si="1"/>
        <v>78-1</v>
      </c>
      <c r="B134" s="297">
        <v>78.0</v>
      </c>
      <c r="C134" s="298">
        <f t="shared" si="11"/>
        <v>1</v>
      </c>
      <c r="D134" s="299" t="str">
        <f t="array" ref="D134">IF(B134="","",IFERROR(
  INDEX(R_COTIZACIONES!D:D,MATCH(B134,R_COTIZACIONES!A:A,0)),
""))</f>
        <v>Condominio Bahia Horizonte</v>
      </c>
      <c r="E134" s="299" t="str">
        <f t="array" ref="E134">IF(B134="","",IFERROR(
  INDEX(R_COTIZACIONES!C:C,MATCH(B134,R_COTIZACIONES!A:A,0)),
""))</f>
        <v>65.110.744-K</v>
      </c>
      <c r="F134" s="300" t="s">
        <v>34</v>
      </c>
      <c r="G134" s="301" t="s">
        <v>181</v>
      </c>
      <c r="H134" s="301" t="s">
        <v>289</v>
      </c>
      <c r="I134" s="302" t="str">
        <f>IF(H134="","",VLOOKUP(H134,'Base de datos'!$E:$G,3,FALSE))</f>
        <v>Servicio de instalación CCTV IP en acccesos peatonales a las torres y piscina Fase III</v>
      </c>
      <c r="J134" s="297">
        <v>1.0</v>
      </c>
      <c r="K134" s="303">
        <v>1590000.0</v>
      </c>
      <c r="L134" s="308">
        <v>0.0</v>
      </c>
      <c r="M134" s="305">
        <f t="shared" si="3"/>
        <v>1590000</v>
      </c>
      <c r="N134" s="305"/>
      <c r="O134" s="275">
        <f t="shared" si="5"/>
        <v>1590000</v>
      </c>
      <c r="P134" s="305"/>
      <c r="Q134" s="306">
        <f>IF(H134="","",VLOOKUP(H134,'Base de datos'!E:M,9,FALSE))</f>
        <v>2004201.681</v>
      </c>
      <c r="R134" s="305">
        <f t="shared" si="10"/>
        <v>2004201.681</v>
      </c>
      <c r="S134" s="307"/>
    </row>
    <row r="135" ht="22.5" customHeight="1">
      <c r="A135" s="296" t="str">
        <f t="shared" si="1"/>
        <v>79-1</v>
      </c>
      <c r="B135" s="297">
        <v>79.0</v>
      </c>
      <c r="C135" s="298">
        <f t="shared" si="11"/>
        <v>1</v>
      </c>
      <c r="D135" s="299" t="str">
        <f t="array" ref="D135">IF(B135="","",IFERROR(
  INDEX(R_COTIZACIONES!D:D,MATCH(B135,R_COTIZACIONES!A:A,0)),
""))</f>
        <v>Condominio Bahia Horizonte</v>
      </c>
      <c r="E135" s="299" t="str">
        <f t="array" ref="E135">IF(B135="","",IFERROR(
  INDEX(R_COTIZACIONES!C:C,MATCH(B135,R_COTIZACIONES!A:A,0)),
""))</f>
        <v>65.110.744-K</v>
      </c>
      <c r="F135" s="300" t="s">
        <v>34</v>
      </c>
      <c r="G135" s="301" t="s">
        <v>181</v>
      </c>
      <c r="H135" s="301" t="s">
        <v>291</v>
      </c>
      <c r="I135" s="302" t="str">
        <f>IF(H135="","",VLOOKUP(H135,'Base de datos'!$E:$G,3,FALSE))</f>
        <v>Servicio de instalación CCTV en áreas a acceso a la playa, piscina, quincho Fase IV</v>
      </c>
      <c r="J135" s="297">
        <v>1.0</v>
      </c>
      <c r="K135" s="303">
        <v>2665000.0</v>
      </c>
      <c r="L135" s="308">
        <v>0.0</v>
      </c>
      <c r="M135" s="305">
        <f t="shared" si="3"/>
        <v>2665000</v>
      </c>
      <c r="N135" s="305"/>
      <c r="O135" s="275">
        <f t="shared" si="5"/>
        <v>2665000</v>
      </c>
      <c r="P135" s="305"/>
      <c r="Q135" s="306">
        <f>IF(H135="","",VLOOKUP(H135,'Base de datos'!E:M,9,FALSE))</f>
        <v>3359243.697</v>
      </c>
      <c r="R135" s="305">
        <f t="shared" si="10"/>
        <v>3359243.697</v>
      </c>
      <c r="S135" s="307"/>
    </row>
    <row r="136" ht="22.5" customHeight="1">
      <c r="A136" s="296" t="str">
        <f t="shared" si="1"/>
        <v>80-1</v>
      </c>
      <c r="B136" s="297">
        <v>80.0</v>
      </c>
      <c r="C136" s="298">
        <f t="shared" si="11"/>
        <v>1</v>
      </c>
      <c r="D136" s="299" t="str">
        <f t="array" ref="D136">IF(B136="","",IFERROR(
  INDEX(R_COTIZACIONES!D:D,MATCH(B136,R_COTIZACIONES!A:A,0)),
""))</f>
        <v>Condominio Ossandon</v>
      </c>
      <c r="E136" s="299" t="str">
        <f t="array" ref="E136">IF(B136="","",IFERROR(
  INDEX(R_COTIZACIONES!C:C,MATCH(B136,R_COTIZACIONES!A:A,0)),
""))</f>
        <v>65.066.845-6 </v>
      </c>
      <c r="F136" s="300" t="s">
        <v>34</v>
      </c>
      <c r="G136" s="301" t="s">
        <v>181</v>
      </c>
      <c r="H136" s="301" t="s">
        <v>293</v>
      </c>
      <c r="I136" s="302" t="str">
        <f>IF(H136="","",VLOOKUP(H136,'Base de datos'!$E:$G,3,FALSE))</f>
        <v>Servicio CCTV e Infraestrcutura para exteriores y 2 cámaras en poste.</v>
      </c>
      <c r="J136" s="297">
        <v>1.0</v>
      </c>
      <c r="K136" s="303">
        <v>2770800.0</v>
      </c>
      <c r="L136" s="308">
        <v>0.0</v>
      </c>
      <c r="M136" s="305">
        <f t="shared" si="3"/>
        <v>2770800</v>
      </c>
      <c r="N136" s="305"/>
      <c r="O136" s="275">
        <f t="shared" si="5"/>
        <v>2770800</v>
      </c>
      <c r="P136" s="305"/>
      <c r="Q136" s="306">
        <f>IF(H136="","",VLOOKUP(H136,'Base de datos'!E:M,9,FALSE))</f>
        <v>3492605.042</v>
      </c>
      <c r="R136" s="305">
        <f t="shared" si="10"/>
        <v>3492605.042</v>
      </c>
      <c r="S136" s="307"/>
    </row>
    <row r="137" ht="22.5" customHeight="1">
      <c r="A137" s="296" t="str">
        <f t="shared" si="1"/>
        <v>81-1</v>
      </c>
      <c r="B137" s="297">
        <v>81.0</v>
      </c>
      <c r="C137" s="298">
        <f t="shared" si="11"/>
        <v>1</v>
      </c>
      <c r="D137" s="299" t="str">
        <f t="array" ref="D137">IF(B137="","",IFERROR(
  INDEX(R_COTIZACIONES!D:D,MATCH(B137,R_COTIZACIONES!A:A,0)),
""))</f>
        <v>Condominio Ossandon</v>
      </c>
      <c r="E137" s="299" t="str">
        <f t="array" ref="E137">IF(B137="","",IFERROR(
  INDEX(R_COTIZACIONES!C:C,MATCH(B137,R_COTIZACIONES!A:A,0)),
""))</f>
        <v>65.066.845-6 </v>
      </c>
      <c r="F137" s="300" t="s">
        <v>34</v>
      </c>
      <c r="G137" s="301" t="s">
        <v>181</v>
      </c>
      <c r="H137" s="301" t="s">
        <v>295</v>
      </c>
      <c r="I137" s="302" t="str">
        <f>IF(H137="","",VLOOKUP(H137,'Base de datos'!$E:$G,3,FALSE))</f>
        <v>Servicio CCTV de instalación Piso 18 (6 cámaras) con bajada de cables por troncal de edificio a NVR piso 1.</v>
      </c>
      <c r="J137" s="297">
        <v>1.0</v>
      </c>
      <c r="K137" s="303">
        <v>2530000.0</v>
      </c>
      <c r="L137" s="308">
        <v>0.0</v>
      </c>
      <c r="M137" s="305">
        <f t="shared" si="3"/>
        <v>2530000</v>
      </c>
      <c r="N137" s="305"/>
      <c r="O137" s="275">
        <f t="shared" si="5"/>
        <v>2530000</v>
      </c>
      <c r="P137" s="305"/>
      <c r="Q137" s="306">
        <f>IF(H137="","",VLOOKUP(H137,'Base de datos'!E:M,9,FALSE))</f>
        <v>3189075.63</v>
      </c>
      <c r="R137" s="305">
        <f t="shared" si="10"/>
        <v>3189075.63</v>
      </c>
      <c r="S137" s="307"/>
    </row>
    <row r="138" ht="22.5" customHeight="1">
      <c r="A138" s="296" t="str">
        <f t="shared" si="1"/>
        <v>82-1</v>
      </c>
      <c r="B138" s="297">
        <v>82.0</v>
      </c>
      <c r="C138" s="298">
        <f t="shared" si="11"/>
        <v>1</v>
      </c>
      <c r="D138" s="299" t="str">
        <f t="array" ref="D138">IF(B138="","",IFERROR(
  INDEX(R_COTIZACIONES!D:D,MATCH(B138,R_COTIZACIONES!A:A,0)),
""))</f>
        <v>Condominio Ossandon</v>
      </c>
      <c r="E138" s="299" t="str">
        <f t="array" ref="E138">IF(B138="","",IFERROR(
  INDEX(R_COTIZACIONES!C:C,MATCH(B138,R_COTIZACIONES!A:A,0)),
""))</f>
        <v>65.066.845-6 </v>
      </c>
      <c r="F138" s="300" t="s">
        <v>34</v>
      </c>
      <c r="G138" s="301" t="s">
        <v>181</v>
      </c>
      <c r="H138" s="301" t="s">
        <v>293</v>
      </c>
      <c r="I138" s="302" t="str">
        <f>IF(H138="","",VLOOKUP(H138,'Base de datos'!$E:$G,3,FALSE))</f>
        <v>Servicio CCTV e Infraestrcutura para exteriores y 2 cámaras en poste.</v>
      </c>
      <c r="J138" s="297">
        <v>1.0</v>
      </c>
      <c r="K138" s="303">
        <v>3640000.0</v>
      </c>
      <c r="L138" s="308">
        <v>0.0</v>
      </c>
      <c r="M138" s="305">
        <f t="shared" si="3"/>
        <v>3640000</v>
      </c>
      <c r="N138" s="305">
        <f t="shared" ref="N138:N143" si="12">IF(M138="","",IF(F138="SI",M138*0.19,0))</f>
        <v>691600</v>
      </c>
      <c r="O138" s="275">
        <f t="shared" si="5"/>
        <v>4331600</v>
      </c>
      <c r="P138" s="305"/>
      <c r="Q138" s="306">
        <f>IF(H138="","",VLOOKUP(H138,'Base de datos'!E:M,9,FALSE))</f>
        <v>3492605.042</v>
      </c>
      <c r="R138" s="305">
        <f t="shared" si="10"/>
        <v>3492605.042</v>
      </c>
      <c r="S138" s="307"/>
    </row>
    <row r="139" ht="22.5" customHeight="1">
      <c r="A139" s="296" t="str">
        <f t="shared" si="1"/>
        <v>83-1</v>
      </c>
      <c r="B139" s="297">
        <v>83.0</v>
      </c>
      <c r="C139" s="298">
        <f t="shared" si="11"/>
        <v>1</v>
      </c>
      <c r="D139" s="299" t="str">
        <f t="array" ref="D139">IF(B139="","",IFERROR(
  INDEX(R_COTIZACIONES!D:D,MATCH(B139,R_COTIZACIONES!A:A,0)),
""))</f>
        <v>Condominio Ossandon</v>
      </c>
      <c r="E139" s="299" t="str">
        <f t="array" ref="E139">IF(B139="","",IFERROR(
  INDEX(R_COTIZACIONES!C:C,MATCH(B139,R_COTIZACIONES!A:A,0)),
""))</f>
        <v>65.066.845-6 </v>
      </c>
      <c r="F139" s="300" t="s">
        <v>34</v>
      </c>
      <c r="G139" s="301" t="s">
        <v>181</v>
      </c>
      <c r="H139" s="301" t="s">
        <v>295</v>
      </c>
      <c r="I139" s="302" t="str">
        <f>IF(H139="","",VLOOKUP(H139,'Base de datos'!$E:$G,3,FALSE))</f>
        <v>Servicio CCTV de instalación Piso 18 (6 cámaras) con bajada de cables por troncal de edificio a NVR piso 1.</v>
      </c>
      <c r="J139" s="297">
        <v>1.0</v>
      </c>
      <c r="K139" s="303">
        <v>2530000.0</v>
      </c>
      <c r="L139" s="308">
        <v>0.0</v>
      </c>
      <c r="M139" s="305">
        <f t="shared" si="3"/>
        <v>2530000</v>
      </c>
      <c r="N139" s="305">
        <f t="shared" si="12"/>
        <v>480700</v>
      </c>
      <c r="O139" s="275">
        <f t="shared" si="5"/>
        <v>3010700</v>
      </c>
      <c r="P139" s="305"/>
      <c r="Q139" s="306">
        <f>IF(H139="","",VLOOKUP(H139,'Base de datos'!E:M,9,FALSE))</f>
        <v>3189075.63</v>
      </c>
      <c r="R139" s="305">
        <f t="shared" si="10"/>
        <v>3189075.63</v>
      </c>
      <c r="S139" s="307"/>
    </row>
    <row r="140" ht="22.5" customHeight="1">
      <c r="A140" s="296" t="str">
        <f t="shared" si="1"/>
        <v>84-1</v>
      </c>
      <c r="B140" s="297">
        <v>84.0</v>
      </c>
      <c r="C140" s="298">
        <f t="shared" si="11"/>
        <v>1</v>
      </c>
      <c r="D140" s="299" t="str">
        <f t="array" ref="D140">IF(B140="","",IFERROR(
  INDEX(R_COTIZACIONES!D:D,MATCH(B140,R_COTIZACIONES!A:A,0)),
""))</f>
        <v>Condominio Ossandon</v>
      </c>
      <c r="E140" s="299" t="str">
        <f t="array" ref="E140">IF(B140="","",IFERROR(
  INDEX(R_COTIZACIONES!C:C,MATCH(B140,R_COTIZACIONES!A:A,0)),
""))</f>
        <v>65.066.845-6 </v>
      </c>
      <c r="F140" s="300" t="s">
        <v>34</v>
      </c>
      <c r="G140" s="301" t="s">
        <v>181</v>
      </c>
      <c r="H140" s="301" t="s">
        <v>297</v>
      </c>
      <c r="I140" s="302" t="str">
        <f>IF(H140="","",VLOOKUP(H140,'Base de datos'!$E:$G,3,FALSE))</f>
        <v>Servicio de instalación nodo de 8 cámaras N1 y N2.</v>
      </c>
      <c r="J140" s="297">
        <v>1.0</v>
      </c>
      <c r="K140" s="303">
        <v>1675000.0</v>
      </c>
      <c r="L140" s="308">
        <v>0.0</v>
      </c>
      <c r="M140" s="305">
        <f t="shared" si="3"/>
        <v>1675000</v>
      </c>
      <c r="N140" s="305">
        <f t="shared" si="12"/>
        <v>318250</v>
      </c>
      <c r="O140" s="275">
        <f t="shared" si="5"/>
        <v>1993250</v>
      </c>
      <c r="P140" s="305"/>
      <c r="Q140" s="306">
        <f>IF(H140="","",VLOOKUP(H140,'Base de datos'!E:M,9,FALSE))</f>
        <v>2111344.538</v>
      </c>
      <c r="R140" s="305">
        <f t="shared" si="10"/>
        <v>2111344.538</v>
      </c>
      <c r="S140" s="307"/>
    </row>
    <row r="141" ht="22.5" customHeight="1">
      <c r="A141" s="296" t="str">
        <f t="shared" si="1"/>
        <v>85-1</v>
      </c>
      <c r="B141" s="297">
        <v>85.0</v>
      </c>
      <c r="C141" s="298">
        <f t="shared" si="11"/>
        <v>1</v>
      </c>
      <c r="D141" s="299" t="str">
        <f t="array" ref="D141">IF(B141="","",IFERROR(
  INDEX(R_COTIZACIONES!D:D,MATCH(B141,R_COTIZACIONES!A:A,0)),
""))</f>
        <v>Condominio Ossandon</v>
      </c>
      <c r="E141" s="299" t="str">
        <f t="array" ref="E141">IF(B141="","",IFERROR(
  INDEX(R_COTIZACIONES!C:C,MATCH(B141,R_COTIZACIONES!A:A,0)),
""))</f>
        <v>65.066.845-6 </v>
      </c>
      <c r="F141" s="300" t="s">
        <v>34</v>
      </c>
      <c r="G141" s="301" t="s">
        <v>181</v>
      </c>
      <c r="H141" s="301" t="s">
        <v>297</v>
      </c>
      <c r="I141" s="302" t="str">
        <f>IF(H141="","",VLOOKUP(H141,'Base de datos'!$E:$G,3,FALSE))</f>
        <v>Servicio de instalación nodo de 8 cámaras N1 y N2.</v>
      </c>
      <c r="J141" s="297">
        <v>1.0</v>
      </c>
      <c r="K141" s="303">
        <v>1675000.0</v>
      </c>
      <c r="L141" s="308">
        <v>0.0</v>
      </c>
      <c r="M141" s="305">
        <f t="shared" si="3"/>
        <v>1675000</v>
      </c>
      <c r="N141" s="305">
        <f t="shared" si="12"/>
        <v>318250</v>
      </c>
      <c r="O141" s="275">
        <f t="shared" si="5"/>
        <v>1993250</v>
      </c>
      <c r="P141" s="305"/>
      <c r="Q141" s="306">
        <f>IF(H141="","",VLOOKUP(H141,'Base de datos'!E:M,9,FALSE))</f>
        <v>2111344.538</v>
      </c>
      <c r="R141" s="305">
        <f t="shared" si="10"/>
        <v>2111344.538</v>
      </c>
      <c r="S141" s="307"/>
    </row>
    <row r="142" ht="22.5" customHeight="1">
      <c r="A142" s="296" t="str">
        <f t="shared" si="1"/>
        <v>86-1</v>
      </c>
      <c r="B142" s="297">
        <v>86.0</v>
      </c>
      <c r="C142" s="298">
        <f t="shared" si="11"/>
        <v>1</v>
      </c>
      <c r="D142" s="299" t="str">
        <f t="array" ref="D142">IF(B142="","",IFERROR(
  INDEX(R_COTIZACIONES!D:D,MATCH(B142,R_COTIZACIONES!A:A,0)),
""))</f>
        <v>Condominio Ossandon</v>
      </c>
      <c r="E142" s="299" t="str">
        <f t="array" ref="E142">IF(B142="","",IFERROR(
  INDEX(R_COTIZACIONES!C:C,MATCH(B142,R_COTIZACIONES!A:A,0)),
""))</f>
        <v>65.066.845-6 </v>
      </c>
      <c r="F142" s="300" t="s">
        <v>34</v>
      </c>
      <c r="G142" s="301" t="s">
        <v>181</v>
      </c>
      <c r="H142" s="301" t="s">
        <v>299</v>
      </c>
      <c r="I142" s="302" t="str">
        <f>IF(H142="","",VLOOKUP(H142,'Base de datos'!$E:$G,3,FALSE))</f>
        <v>Servicio de instalación nodo de 8 cámaras N3 y N4.</v>
      </c>
      <c r="J142" s="297">
        <v>1.0</v>
      </c>
      <c r="K142" s="303">
        <v>1595000.0</v>
      </c>
      <c r="L142" s="308">
        <v>0.0</v>
      </c>
      <c r="M142" s="305">
        <f t="shared" si="3"/>
        <v>1595000</v>
      </c>
      <c r="N142" s="305">
        <f t="shared" si="12"/>
        <v>303050</v>
      </c>
      <c r="O142" s="275">
        <f t="shared" si="5"/>
        <v>1898050</v>
      </c>
      <c r="P142" s="305"/>
      <c r="Q142" s="306">
        <f>IF(H142="","",VLOOKUP(H142,'Base de datos'!E:M,9,FALSE))</f>
        <v>2010504.202</v>
      </c>
      <c r="R142" s="305">
        <f t="shared" si="10"/>
        <v>2010504.202</v>
      </c>
      <c r="S142" s="307"/>
    </row>
    <row r="143" ht="22.5" customHeight="1">
      <c r="A143" s="296" t="str">
        <f t="shared" si="1"/>
        <v>87-1</v>
      </c>
      <c r="B143" s="297">
        <v>87.0</v>
      </c>
      <c r="C143" s="298">
        <f t="shared" si="11"/>
        <v>1</v>
      </c>
      <c r="D143" s="299" t="str">
        <f t="array" ref="D143">IF(B143="","",IFERROR(
  INDEX(R_COTIZACIONES!D:D,MATCH(B143,R_COTIZACIONES!A:A,0)),
""))</f>
        <v>Condominio Ossandon</v>
      </c>
      <c r="E143" s="299" t="str">
        <f t="array" ref="E143">IF(B143="","",IFERROR(
  INDEX(R_COTIZACIONES!C:C,MATCH(B143,R_COTIZACIONES!A:A,0)),
""))</f>
        <v>65.066.845-6 </v>
      </c>
      <c r="F143" s="300" t="s">
        <v>34</v>
      </c>
      <c r="G143" s="301" t="s">
        <v>181</v>
      </c>
      <c r="H143" s="301" t="s">
        <v>299</v>
      </c>
      <c r="I143" s="302" t="str">
        <f>IF(H143="","",VLOOKUP(H143,'Base de datos'!$E:$G,3,FALSE))</f>
        <v>Servicio de instalación nodo de 8 cámaras N3 y N4.</v>
      </c>
      <c r="J143" s="297">
        <v>1.0</v>
      </c>
      <c r="K143" s="303">
        <v>1595000.0</v>
      </c>
      <c r="L143" s="308">
        <v>0.0</v>
      </c>
      <c r="M143" s="305">
        <f t="shared" si="3"/>
        <v>1595000</v>
      </c>
      <c r="N143" s="305">
        <f t="shared" si="12"/>
        <v>303050</v>
      </c>
      <c r="O143" s="275">
        <f t="shared" si="5"/>
        <v>1898050</v>
      </c>
      <c r="P143" s="305"/>
      <c r="Q143" s="306">
        <f>IF(H143="","",VLOOKUP(H143,'Base de datos'!E:M,9,FALSE))</f>
        <v>2010504.202</v>
      </c>
      <c r="R143" s="305">
        <f t="shared" si="10"/>
        <v>2010504.202</v>
      </c>
      <c r="S143" s="307"/>
    </row>
    <row r="144" ht="22.5" customHeight="1">
      <c r="A144" s="296" t="str">
        <f t="shared" si="1"/>
        <v>-</v>
      </c>
      <c r="B144" s="297"/>
      <c r="C144" s="298" t="str">
        <f t="shared" si="11"/>
        <v/>
      </c>
      <c r="D144" s="299" t="str">
        <f t="array" ref="D144">IF(B144="","",IFERROR(
  INDEX(R_COTIZACIONES!D:D,MATCH(B144,R_COTIZACIONES!A:A,0)),
""))</f>
        <v/>
      </c>
      <c r="E144" s="299" t="str">
        <f t="array" ref="E144">IF(B144="","",IFERROR(
  INDEX(R_COTIZACIONES!C:C,MATCH(B144,R_COTIZACIONES!A:A,0)),
""))</f>
        <v/>
      </c>
      <c r="F144" s="300" t="s">
        <v>34</v>
      </c>
      <c r="G144" s="301"/>
      <c r="H144" s="300"/>
      <c r="I144" s="302" t="str">
        <f>IF(H144="","",VLOOKUP(H144,'Base de datos'!$E:$G,3,FALSE))</f>
        <v/>
      </c>
      <c r="J144" s="297"/>
      <c r="K144" s="305"/>
      <c r="L144" s="304"/>
      <c r="M144" s="305"/>
      <c r="N144" s="305"/>
      <c r="O144" s="305"/>
      <c r="P144" s="305"/>
      <c r="Q144" s="306" t="str">
        <f>IF(H144="","",VLOOKUP(H144,'Base de datos'!E:M,9,FALSE))</f>
        <v/>
      </c>
      <c r="R144" s="305" t="str">
        <f t="shared" si="10"/>
        <v/>
      </c>
      <c r="S144" s="307"/>
    </row>
    <row r="145" ht="22.5" customHeight="1">
      <c r="A145" s="296" t="str">
        <f t="shared" si="1"/>
        <v>-</v>
      </c>
      <c r="B145" s="297"/>
      <c r="C145" s="298" t="str">
        <f t="shared" si="11"/>
        <v/>
      </c>
      <c r="D145" s="299" t="str">
        <f t="array" ref="D145">IF(B145="","",IFERROR(
  INDEX(R_COTIZACIONES!D:D,MATCH(B145,R_COTIZACIONES!A:A,0)),
""))</f>
        <v/>
      </c>
      <c r="E145" s="299" t="str">
        <f t="array" ref="E145">IF(B145="","",IFERROR(
  INDEX(R_COTIZACIONES!C:C,MATCH(B145,R_COTIZACIONES!A:A,0)),
""))</f>
        <v/>
      </c>
      <c r="F145" s="300" t="s">
        <v>34</v>
      </c>
      <c r="G145" s="301"/>
      <c r="H145" s="300"/>
      <c r="I145" s="302" t="str">
        <f>IF(H145="","",VLOOKUP(H145,'Base de datos'!$E:$G,3,FALSE))</f>
        <v/>
      </c>
      <c r="J145" s="297"/>
      <c r="K145" s="305"/>
      <c r="L145" s="304"/>
      <c r="M145" s="305"/>
      <c r="N145" s="305"/>
      <c r="O145" s="305"/>
      <c r="P145" s="305"/>
      <c r="Q145" s="306" t="str">
        <f>IF(H145="","",VLOOKUP(H145,'Base de datos'!E:M,9,FALSE))</f>
        <v/>
      </c>
      <c r="R145" s="305" t="str">
        <f t="shared" si="10"/>
        <v/>
      </c>
      <c r="S145" s="307"/>
    </row>
    <row r="146" ht="22.5" customHeight="1">
      <c r="A146" s="296" t="str">
        <f t="shared" si="1"/>
        <v>-</v>
      </c>
      <c r="B146" s="297"/>
      <c r="C146" s="298" t="str">
        <f t="shared" si="11"/>
        <v/>
      </c>
      <c r="D146" s="299" t="str">
        <f t="array" ref="D146">IF(B146="","",IFERROR(
  INDEX(R_COTIZACIONES!D:D,MATCH(B146,R_COTIZACIONES!A:A,0)),
""))</f>
        <v/>
      </c>
      <c r="E146" s="299" t="str">
        <f t="array" ref="E146">IF(B146="","",IFERROR(
  INDEX(R_COTIZACIONES!C:C,MATCH(B146,R_COTIZACIONES!A:A,0)),
""))</f>
        <v/>
      </c>
      <c r="F146" s="300" t="s">
        <v>34</v>
      </c>
      <c r="G146" s="301"/>
      <c r="H146" s="300"/>
      <c r="I146" s="302" t="str">
        <f>IF(H146="","",VLOOKUP(H146,'Base de datos'!$E:$G,3,FALSE))</f>
        <v/>
      </c>
      <c r="J146" s="297"/>
      <c r="K146" s="305"/>
      <c r="L146" s="304"/>
      <c r="M146" s="305"/>
      <c r="N146" s="305"/>
      <c r="O146" s="305"/>
      <c r="P146" s="305"/>
      <c r="Q146" s="306" t="str">
        <f>IF(H146="","",VLOOKUP(H146,'Base de datos'!E:M,9,FALSE))</f>
        <v/>
      </c>
      <c r="R146" s="305" t="str">
        <f t="shared" si="10"/>
        <v/>
      </c>
      <c r="S146" s="307"/>
    </row>
    <row r="147" ht="22.5" customHeight="1">
      <c r="A147" s="296" t="str">
        <f t="shared" si="1"/>
        <v>-</v>
      </c>
      <c r="B147" s="297"/>
      <c r="C147" s="298" t="str">
        <f t="shared" si="11"/>
        <v/>
      </c>
      <c r="D147" s="299" t="str">
        <f t="array" ref="D147">IF(B147="","",IFERROR(
  INDEX(R_COTIZACIONES!D:D,MATCH(B147,R_COTIZACIONES!A:A,0)),
""))</f>
        <v/>
      </c>
      <c r="E147" s="299" t="str">
        <f t="array" ref="E147">IF(B147="","",IFERROR(
  INDEX(R_COTIZACIONES!C:C,MATCH(B147,R_COTIZACIONES!A:A,0)),
""))</f>
        <v/>
      </c>
      <c r="F147" s="300" t="s">
        <v>34</v>
      </c>
      <c r="G147" s="301"/>
      <c r="H147" s="300"/>
      <c r="I147" s="302" t="str">
        <f>IF(H147="","",VLOOKUP(H147,'Base de datos'!$E:$G,3,FALSE))</f>
        <v/>
      </c>
      <c r="J147" s="297"/>
      <c r="K147" s="305"/>
      <c r="L147" s="304"/>
      <c r="M147" s="305"/>
      <c r="N147" s="305"/>
      <c r="O147" s="305"/>
      <c r="P147" s="305"/>
      <c r="Q147" s="306" t="str">
        <f>IF(H147="","",VLOOKUP(H147,'Base de datos'!E:M,9,FALSE))</f>
        <v/>
      </c>
      <c r="R147" s="305" t="str">
        <f t="shared" si="10"/>
        <v/>
      </c>
      <c r="S147" s="307"/>
    </row>
    <row r="148" ht="22.5" customHeight="1">
      <c r="A148" s="296" t="str">
        <f t="shared" si="1"/>
        <v>-</v>
      </c>
      <c r="B148" s="297"/>
      <c r="C148" s="298" t="str">
        <f t="shared" si="11"/>
        <v/>
      </c>
      <c r="D148" s="299" t="str">
        <f t="array" ref="D148">IF(B148="","",IFERROR(
  INDEX(R_COTIZACIONES!D:D,MATCH(B148,R_COTIZACIONES!A:A,0)),
""))</f>
        <v/>
      </c>
      <c r="E148" s="299" t="str">
        <f t="array" ref="E148">IF(B148="","",IFERROR(
  INDEX(R_COTIZACIONES!C:C,MATCH(B148,R_COTIZACIONES!A:A,0)),
""))</f>
        <v/>
      </c>
      <c r="F148" s="300" t="s">
        <v>34</v>
      </c>
      <c r="G148" s="301"/>
      <c r="H148" s="300"/>
      <c r="I148" s="302" t="str">
        <f>IF(H148="","",VLOOKUP(H148,'Base de datos'!$E:$G,3,FALSE))</f>
        <v/>
      </c>
      <c r="J148" s="297"/>
      <c r="K148" s="305"/>
      <c r="L148" s="304"/>
      <c r="M148" s="305"/>
      <c r="N148" s="305"/>
      <c r="O148" s="305"/>
      <c r="P148" s="305"/>
      <c r="Q148" s="306" t="str">
        <f>IF(H148="","",VLOOKUP(H148,'Base de datos'!E:M,9,FALSE))</f>
        <v/>
      </c>
      <c r="R148" s="305" t="str">
        <f t="shared" si="10"/>
        <v/>
      </c>
      <c r="S148" s="307"/>
    </row>
    <row r="149" ht="22.5" customHeight="1">
      <c r="A149" s="296" t="str">
        <f t="shared" si="1"/>
        <v>-</v>
      </c>
      <c r="B149" s="297"/>
      <c r="C149" s="298" t="str">
        <f t="shared" si="11"/>
        <v/>
      </c>
      <c r="D149" s="299" t="str">
        <f t="array" ref="D149">IF(B149="","",IFERROR(
  INDEX(R_COTIZACIONES!D:D,MATCH(B149,R_COTIZACIONES!A:A,0)),
""))</f>
        <v/>
      </c>
      <c r="E149" s="299" t="str">
        <f t="array" ref="E149">IF(B149="","",IFERROR(
  INDEX(R_COTIZACIONES!C:C,MATCH(B149,R_COTIZACIONES!A:A,0)),
""))</f>
        <v/>
      </c>
      <c r="F149" s="300" t="s">
        <v>34</v>
      </c>
      <c r="G149" s="301"/>
      <c r="H149" s="300"/>
      <c r="I149" s="302" t="str">
        <f>IF(H149="","",VLOOKUP(H149,'Base de datos'!$E:$G,3,FALSE))</f>
        <v/>
      </c>
      <c r="J149" s="297"/>
      <c r="K149" s="305"/>
      <c r="L149" s="304"/>
      <c r="M149" s="305"/>
      <c r="N149" s="305"/>
      <c r="O149" s="305"/>
      <c r="P149" s="305"/>
      <c r="Q149" s="306" t="str">
        <f>IF(H149="","",VLOOKUP(H149,'Base de datos'!E:M,9,FALSE))</f>
        <v/>
      </c>
      <c r="R149" s="305" t="str">
        <f t="shared" si="10"/>
        <v/>
      </c>
      <c r="S149" s="307"/>
    </row>
    <row r="150" ht="22.5" customHeight="1">
      <c r="A150" s="296" t="str">
        <f t="shared" si="1"/>
        <v>-</v>
      </c>
      <c r="B150" s="297"/>
      <c r="C150" s="298" t="str">
        <f t="shared" si="11"/>
        <v/>
      </c>
      <c r="D150" s="299" t="str">
        <f t="array" ref="D150">IF(B150="","",IFERROR(
  INDEX(R_COTIZACIONES!D:D,MATCH(B150,R_COTIZACIONES!A:A,0)),
""))</f>
        <v/>
      </c>
      <c r="E150" s="299" t="str">
        <f t="array" ref="E150">IF(B150="","",IFERROR(
  INDEX(R_COTIZACIONES!C:C,MATCH(B150,R_COTIZACIONES!A:A,0)),
""))</f>
        <v/>
      </c>
      <c r="F150" s="300" t="s">
        <v>34</v>
      </c>
      <c r="G150" s="301"/>
      <c r="H150" s="300"/>
      <c r="I150" s="302" t="str">
        <f>IF(H150="","",VLOOKUP(H150,'Base de datos'!$E:$G,3,FALSE))</f>
        <v/>
      </c>
      <c r="J150" s="297"/>
      <c r="K150" s="305"/>
      <c r="L150" s="304"/>
      <c r="M150" s="305"/>
      <c r="N150" s="305"/>
      <c r="O150" s="305"/>
      <c r="P150" s="305"/>
      <c r="Q150" s="306" t="str">
        <f>IF(H150="","",VLOOKUP(H150,'Base de datos'!E:M,9,FALSE))</f>
        <v/>
      </c>
      <c r="R150" s="305" t="str">
        <f t="shared" si="10"/>
        <v/>
      </c>
      <c r="S150" s="307"/>
    </row>
    <row r="151" ht="22.5" customHeight="1">
      <c r="A151" s="296" t="str">
        <f t="shared" si="1"/>
        <v>-</v>
      </c>
      <c r="B151" s="297"/>
      <c r="C151" s="298" t="str">
        <f t="shared" si="11"/>
        <v/>
      </c>
      <c r="D151" s="299" t="str">
        <f t="array" ref="D151">IF(B151="","",IFERROR(
  INDEX(R_COTIZACIONES!D:D,MATCH(B151,R_COTIZACIONES!A:A,0)),
""))</f>
        <v/>
      </c>
      <c r="E151" s="299" t="str">
        <f t="array" ref="E151">IF(B151="","",IFERROR(
  INDEX(R_COTIZACIONES!C:C,MATCH(B151,R_COTIZACIONES!A:A,0)),
""))</f>
        <v/>
      </c>
      <c r="F151" s="300" t="s">
        <v>34</v>
      </c>
      <c r="G151" s="301"/>
      <c r="H151" s="300"/>
      <c r="I151" s="302" t="str">
        <f>IF(H151="","",VLOOKUP(H151,'Base de datos'!$E:$G,3,FALSE))</f>
        <v/>
      </c>
      <c r="J151" s="297"/>
      <c r="K151" s="305"/>
      <c r="L151" s="304"/>
      <c r="M151" s="305"/>
      <c r="N151" s="305"/>
      <c r="O151" s="305"/>
      <c r="P151" s="305"/>
      <c r="Q151" s="306" t="str">
        <f>IF(H151="","",VLOOKUP(H151,'Base de datos'!E:M,9,FALSE))</f>
        <v/>
      </c>
      <c r="R151" s="305" t="str">
        <f t="shared" si="10"/>
        <v/>
      </c>
      <c r="S151" s="307"/>
    </row>
    <row r="152" ht="22.5" customHeight="1">
      <c r="A152" s="296" t="str">
        <f t="shared" si="1"/>
        <v>-</v>
      </c>
      <c r="B152" s="297"/>
      <c r="C152" s="298" t="str">
        <f t="shared" si="11"/>
        <v/>
      </c>
      <c r="D152" s="299" t="str">
        <f t="array" ref="D152">IF(B152="","",IFERROR(
  INDEX(R_COTIZACIONES!D:D,MATCH(B152,R_COTIZACIONES!A:A,0)),
""))</f>
        <v/>
      </c>
      <c r="E152" s="299" t="str">
        <f t="array" ref="E152">IF(B152="","",IFERROR(
  INDEX(R_COTIZACIONES!C:C,MATCH(B152,R_COTIZACIONES!A:A,0)),
""))</f>
        <v/>
      </c>
      <c r="F152" s="300" t="s">
        <v>34</v>
      </c>
      <c r="G152" s="301"/>
      <c r="H152" s="300"/>
      <c r="I152" s="302" t="str">
        <f>IF(H152="","",VLOOKUP(H152,'Base de datos'!$E:$G,3,FALSE))</f>
        <v/>
      </c>
      <c r="J152" s="297"/>
      <c r="K152" s="305"/>
      <c r="L152" s="304"/>
      <c r="M152" s="305"/>
      <c r="N152" s="305"/>
      <c r="O152" s="305"/>
      <c r="P152" s="305"/>
      <c r="Q152" s="306" t="str">
        <f>IF(H152="","",VLOOKUP(H152,'Base de datos'!E:M,9,FALSE))</f>
        <v/>
      </c>
      <c r="R152" s="305" t="str">
        <f t="shared" si="10"/>
        <v/>
      </c>
      <c r="S152" s="307"/>
    </row>
    <row r="153" ht="22.5" customHeight="1">
      <c r="A153" s="258" t="str">
        <f t="shared" si="1"/>
        <v>-</v>
      </c>
      <c r="B153" s="274"/>
      <c r="C153" s="274"/>
      <c r="F153" s="281"/>
      <c r="G153" s="281"/>
      <c r="H153" s="281"/>
      <c r="I153" s="302" t="str">
        <f>IF(H153="","",VLOOKUP(H153,'Base de datos'!$E:$G,3,FALSE))</f>
        <v/>
      </c>
      <c r="J153" s="274"/>
      <c r="K153" s="275"/>
      <c r="P153" s="275"/>
      <c r="R153" s="275"/>
    </row>
    <row r="154" ht="22.5" customHeight="1">
      <c r="A154" s="258" t="str">
        <f t="shared" si="1"/>
        <v>-</v>
      </c>
      <c r="B154" s="274"/>
      <c r="C154" s="274"/>
      <c r="F154" s="281"/>
      <c r="G154" s="281"/>
      <c r="H154" s="281"/>
      <c r="I154" s="302" t="str">
        <f>IF(H154="","",VLOOKUP(H154,'Base de datos'!$E:$G,3,FALSE))</f>
        <v/>
      </c>
      <c r="J154" s="274"/>
      <c r="K154" s="275"/>
      <c r="P154" s="275"/>
      <c r="R154" s="275"/>
    </row>
    <row r="155" ht="22.5" customHeight="1">
      <c r="A155" s="258" t="str">
        <f t="shared" si="1"/>
        <v>-</v>
      </c>
      <c r="B155" s="274"/>
      <c r="C155" s="274"/>
      <c r="F155" s="281"/>
      <c r="G155" s="281"/>
      <c r="H155" s="281"/>
      <c r="I155" s="302" t="str">
        <f>IF(H155="","",VLOOKUP(H155,'Base de datos'!$E:$G,3,FALSE))</f>
        <v/>
      </c>
      <c r="J155" s="274"/>
      <c r="K155" s="275"/>
      <c r="P155" s="275"/>
      <c r="R155" s="275"/>
    </row>
    <row r="156" ht="22.5" customHeight="1">
      <c r="A156" s="258" t="str">
        <f t="shared" si="1"/>
        <v>-</v>
      </c>
      <c r="B156" s="274"/>
      <c r="C156" s="274"/>
      <c r="F156" s="281"/>
      <c r="G156" s="281"/>
      <c r="H156" s="281"/>
      <c r="I156" s="302" t="str">
        <f>IF(H156="","",VLOOKUP(H156,'Base de datos'!$E:$G,3,FALSE))</f>
        <v/>
      </c>
      <c r="J156" s="274"/>
      <c r="K156" s="275"/>
      <c r="P156" s="275"/>
      <c r="R156" s="275"/>
    </row>
    <row r="157" ht="22.5" customHeight="1">
      <c r="A157" s="258" t="str">
        <f t="shared" si="1"/>
        <v>-</v>
      </c>
      <c r="B157" s="274"/>
      <c r="C157" s="274"/>
      <c r="F157" s="281"/>
      <c r="G157" s="281"/>
      <c r="H157" s="281"/>
      <c r="I157" s="302" t="str">
        <f>IF(H157="","",VLOOKUP(H157,'Base de datos'!$E:$G,3,FALSE))</f>
        <v/>
      </c>
      <c r="J157" s="274"/>
      <c r="K157" s="275"/>
      <c r="P157" s="275"/>
      <c r="R157" s="275"/>
    </row>
    <row r="158" ht="22.5" customHeight="1">
      <c r="A158" s="258" t="str">
        <f t="shared" si="1"/>
        <v>-</v>
      </c>
      <c r="B158" s="274"/>
      <c r="C158" s="274"/>
      <c r="F158" s="281"/>
      <c r="G158" s="281"/>
      <c r="H158" s="281"/>
      <c r="I158" s="302" t="str">
        <f>IF(H158="","",VLOOKUP(H158,'Base de datos'!$E:$G,3,FALSE))</f>
        <v/>
      </c>
      <c r="J158" s="274"/>
      <c r="K158" s="275"/>
      <c r="P158" s="275"/>
      <c r="R158" s="275"/>
    </row>
    <row r="159" ht="22.5" customHeight="1">
      <c r="A159" s="258" t="str">
        <f t="shared" si="1"/>
        <v>-</v>
      </c>
      <c r="B159" s="274"/>
      <c r="C159" s="274"/>
      <c r="F159" s="281"/>
      <c r="G159" s="281"/>
      <c r="H159" s="281"/>
      <c r="I159" s="302" t="str">
        <f>IF(H159="","",VLOOKUP(H159,'Base de datos'!$E:$G,3,FALSE))</f>
        <v/>
      </c>
      <c r="J159" s="274"/>
      <c r="K159" s="275"/>
      <c r="P159" s="275"/>
      <c r="R159" s="275"/>
    </row>
    <row r="160" ht="22.5" customHeight="1">
      <c r="A160" s="258" t="str">
        <f t="shared" si="1"/>
        <v>-</v>
      </c>
      <c r="B160" s="274"/>
      <c r="C160" s="274"/>
      <c r="F160" s="281"/>
      <c r="G160" s="281"/>
      <c r="H160" s="281"/>
      <c r="I160" s="302" t="str">
        <f>IF(H160="","",VLOOKUP(H160,'Base de datos'!$E:$G,3,FALSE))</f>
        <v/>
      </c>
      <c r="J160" s="274"/>
      <c r="K160" s="275"/>
      <c r="P160" s="275"/>
      <c r="R160" s="275"/>
    </row>
    <row r="161" ht="22.5" customHeight="1">
      <c r="A161" s="258" t="str">
        <f t="shared" si="1"/>
        <v>-</v>
      </c>
      <c r="B161" s="274"/>
      <c r="C161" s="274"/>
      <c r="F161" s="281"/>
      <c r="G161" s="281"/>
      <c r="H161" s="281"/>
      <c r="I161" s="302" t="str">
        <f>IF(H161="","",VLOOKUP(H161,'Base de datos'!$E:$G,3,FALSE))</f>
        <v/>
      </c>
      <c r="J161" s="274"/>
      <c r="K161" s="275"/>
      <c r="P161" s="275"/>
      <c r="R161" s="275"/>
    </row>
    <row r="162" ht="22.5" customHeight="1">
      <c r="A162" s="258" t="str">
        <f t="shared" si="1"/>
        <v>-</v>
      </c>
      <c r="B162" s="274"/>
      <c r="C162" s="274"/>
      <c r="F162" s="281"/>
      <c r="G162" s="281"/>
      <c r="H162" s="281"/>
      <c r="I162" s="302" t="str">
        <f>IF(H162="","",VLOOKUP(H162,'Base de datos'!$E:$G,3,FALSE))</f>
        <v/>
      </c>
      <c r="J162" s="274"/>
      <c r="K162" s="275"/>
      <c r="P162" s="275"/>
      <c r="R162" s="275"/>
    </row>
    <row r="163" ht="22.5" customHeight="1">
      <c r="A163" s="258" t="str">
        <f t="shared" si="1"/>
        <v>-</v>
      </c>
      <c r="B163" s="274"/>
      <c r="C163" s="274"/>
      <c r="F163" s="281"/>
      <c r="G163" s="281"/>
      <c r="H163" s="281"/>
      <c r="I163" s="302" t="str">
        <f>IF(H163="","",VLOOKUP(H163,'Base de datos'!$E:$G,3,FALSE))</f>
        <v/>
      </c>
      <c r="J163" s="274"/>
      <c r="K163" s="275"/>
      <c r="P163" s="275"/>
      <c r="R163" s="275"/>
    </row>
    <row r="164" ht="22.5" customHeight="1">
      <c r="A164" s="258" t="str">
        <f t="shared" si="1"/>
        <v>-</v>
      </c>
      <c r="B164" s="274"/>
      <c r="C164" s="274"/>
      <c r="F164" s="281"/>
      <c r="G164" s="281"/>
      <c r="H164" s="281"/>
      <c r="I164" s="302" t="str">
        <f>IF(H164="","",VLOOKUP(H164,'Base de datos'!$E:$G,3,FALSE))</f>
        <v/>
      </c>
      <c r="J164" s="274"/>
      <c r="K164" s="275"/>
      <c r="P164" s="275"/>
      <c r="R164" s="275"/>
    </row>
    <row r="165" ht="22.5" customHeight="1">
      <c r="A165" s="258" t="str">
        <f t="shared" si="1"/>
        <v>-</v>
      </c>
      <c r="B165" s="274"/>
      <c r="C165" s="274"/>
      <c r="F165" s="281"/>
      <c r="G165" s="281"/>
      <c r="H165" s="281"/>
      <c r="I165" s="302" t="str">
        <f>IF(H165="","",VLOOKUP(H165,'Base de datos'!$E:$G,3,FALSE))</f>
        <v/>
      </c>
      <c r="J165" s="274"/>
      <c r="K165" s="275"/>
      <c r="P165" s="275"/>
      <c r="R165" s="275"/>
    </row>
    <row r="166" ht="22.5" customHeight="1">
      <c r="A166" s="258" t="str">
        <f t="shared" si="1"/>
        <v>-</v>
      </c>
      <c r="B166" s="274"/>
      <c r="C166" s="274"/>
      <c r="F166" s="281"/>
      <c r="G166" s="281"/>
      <c r="H166" s="281"/>
      <c r="I166" s="302" t="str">
        <f>IF(H166="","",VLOOKUP(H166,'Base de datos'!$E:$G,3,FALSE))</f>
        <v/>
      </c>
      <c r="J166" s="274"/>
      <c r="K166" s="275"/>
      <c r="P166" s="275"/>
      <c r="R166" s="275"/>
    </row>
    <row r="167" ht="22.5" customHeight="1">
      <c r="A167" s="258" t="str">
        <f t="shared" si="1"/>
        <v>-</v>
      </c>
      <c r="B167" s="274"/>
      <c r="C167" s="274"/>
      <c r="F167" s="281"/>
      <c r="G167" s="281"/>
      <c r="H167" s="281"/>
      <c r="I167" s="302" t="str">
        <f>IF(H167="","",VLOOKUP(H167,'Base de datos'!$E:$G,3,FALSE))</f>
        <v/>
      </c>
      <c r="J167" s="274"/>
      <c r="K167" s="275"/>
      <c r="P167" s="275"/>
      <c r="R167" s="275"/>
    </row>
    <row r="168" ht="22.5" customHeight="1">
      <c r="A168" s="258" t="str">
        <f t="shared" si="1"/>
        <v>-</v>
      </c>
      <c r="B168" s="274"/>
      <c r="C168" s="274"/>
      <c r="F168" s="281"/>
      <c r="G168" s="281"/>
      <c r="H168" s="281"/>
      <c r="I168" s="302" t="str">
        <f>IF(H168="","",VLOOKUP(H168,'Base de datos'!$E:$G,3,FALSE))</f>
        <v/>
      </c>
      <c r="J168" s="274"/>
      <c r="K168" s="275"/>
      <c r="P168" s="275"/>
      <c r="R168" s="275"/>
    </row>
    <row r="169" ht="22.5" customHeight="1">
      <c r="A169" s="258" t="str">
        <f t="shared" si="1"/>
        <v>-</v>
      </c>
      <c r="B169" s="274"/>
      <c r="C169" s="274"/>
      <c r="F169" s="281"/>
      <c r="G169" s="281"/>
      <c r="H169" s="281"/>
      <c r="I169" s="302" t="str">
        <f>IF(H169="","",VLOOKUP(H169,'Base de datos'!$E:$G,3,FALSE))</f>
        <v/>
      </c>
      <c r="J169" s="274"/>
      <c r="K169" s="275"/>
      <c r="P169" s="275"/>
      <c r="R169" s="275"/>
    </row>
    <row r="170" ht="22.5" customHeight="1">
      <c r="A170" s="258" t="str">
        <f t="shared" si="1"/>
        <v>-</v>
      </c>
      <c r="B170" s="274"/>
      <c r="C170" s="274"/>
      <c r="F170" s="281"/>
      <c r="G170" s="281"/>
      <c r="H170" s="281"/>
      <c r="I170" s="302" t="str">
        <f>IF(H170="","",VLOOKUP(H170,'Base de datos'!$E:$G,3,FALSE))</f>
        <v/>
      </c>
      <c r="J170" s="274"/>
      <c r="K170" s="275"/>
      <c r="P170" s="275"/>
      <c r="R170" s="275"/>
    </row>
    <row r="171" ht="22.5" customHeight="1">
      <c r="A171" s="258" t="str">
        <f t="shared" si="1"/>
        <v>-</v>
      </c>
      <c r="B171" s="274"/>
      <c r="C171" s="274"/>
      <c r="F171" s="281"/>
      <c r="G171" s="281"/>
      <c r="H171" s="281"/>
      <c r="I171" s="302" t="str">
        <f>IF(H171="","",VLOOKUP(H171,'Base de datos'!$E:$G,3,FALSE))</f>
        <v/>
      </c>
      <c r="J171" s="274"/>
      <c r="K171" s="275"/>
      <c r="P171" s="275"/>
      <c r="R171" s="275"/>
    </row>
    <row r="172" ht="22.5" customHeight="1">
      <c r="A172" s="258" t="str">
        <f t="shared" si="1"/>
        <v>-</v>
      </c>
      <c r="B172" s="274"/>
      <c r="C172" s="274"/>
      <c r="F172" s="281"/>
      <c r="G172" s="281"/>
      <c r="H172" s="281"/>
      <c r="I172" s="302" t="str">
        <f>IF(H172="","",VLOOKUP(H172,'Base de datos'!$E:$G,3,FALSE))</f>
        <v/>
      </c>
      <c r="J172" s="274"/>
      <c r="K172" s="275"/>
      <c r="P172" s="275"/>
      <c r="R172" s="275"/>
    </row>
    <row r="173" ht="22.5" customHeight="1">
      <c r="A173" s="258" t="str">
        <f t="shared" si="1"/>
        <v>-</v>
      </c>
      <c r="B173" s="274"/>
      <c r="C173" s="274"/>
      <c r="F173" s="281"/>
      <c r="G173" s="281"/>
      <c r="H173" s="281"/>
      <c r="I173" s="302" t="str">
        <f>IF(H173="","",VLOOKUP(H173,'Base de datos'!$E:$G,3,FALSE))</f>
        <v/>
      </c>
      <c r="J173" s="274"/>
      <c r="K173" s="275"/>
      <c r="P173" s="275"/>
      <c r="R173" s="275"/>
    </row>
    <row r="174" ht="22.5" customHeight="1">
      <c r="A174" s="258" t="str">
        <f t="shared" si="1"/>
        <v>-</v>
      </c>
      <c r="B174" s="274"/>
      <c r="C174" s="274"/>
      <c r="F174" s="281"/>
      <c r="G174" s="281"/>
      <c r="H174" s="281"/>
      <c r="I174" s="302" t="str">
        <f>IF(H174="","",VLOOKUP(H174,'Base de datos'!$E:$G,3,FALSE))</f>
        <v/>
      </c>
      <c r="J174" s="274"/>
      <c r="K174" s="275"/>
      <c r="P174" s="275"/>
      <c r="R174" s="275"/>
    </row>
    <row r="175" ht="22.5" customHeight="1">
      <c r="A175" s="258" t="str">
        <f t="shared" si="1"/>
        <v>-</v>
      </c>
      <c r="B175" s="274"/>
      <c r="C175" s="274"/>
      <c r="F175" s="281"/>
      <c r="G175" s="281"/>
      <c r="H175" s="281"/>
      <c r="I175" s="302" t="str">
        <f>IF(H175="","",VLOOKUP(H175,'Base de datos'!$E:$G,3,FALSE))</f>
        <v/>
      </c>
      <c r="J175" s="274"/>
      <c r="K175" s="275"/>
      <c r="P175" s="275"/>
      <c r="R175" s="275"/>
    </row>
    <row r="176" ht="22.5" customHeight="1">
      <c r="A176" s="258" t="str">
        <f t="shared" si="1"/>
        <v>-</v>
      </c>
      <c r="B176" s="274"/>
      <c r="C176" s="274"/>
      <c r="F176" s="281"/>
      <c r="G176" s="281"/>
      <c r="H176" s="281"/>
      <c r="I176" s="302" t="str">
        <f>IF(H176="","",VLOOKUP(H176,'Base de datos'!$E:$G,3,FALSE))</f>
        <v/>
      </c>
      <c r="J176" s="274"/>
      <c r="K176" s="275"/>
      <c r="P176" s="275"/>
      <c r="R176" s="275"/>
    </row>
    <row r="177" ht="22.5" customHeight="1">
      <c r="A177" s="258" t="str">
        <f t="shared" si="1"/>
        <v>-</v>
      </c>
      <c r="B177" s="274"/>
      <c r="C177" s="274"/>
      <c r="F177" s="281"/>
      <c r="G177" s="281"/>
      <c r="H177" s="281"/>
      <c r="I177" s="302" t="str">
        <f>IF(H177="","",VLOOKUP(H177,'Base de datos'!$E:$G,3,FALSE))</f>
        <v/>
      </c>
      <c r="J177" s="274"/>
      <c r="K177" s="275"/>
      <c r="P177" s="275"/>
      <c r="R177" s="275"/>
    </row>
    <row r="178" ht="22.5" customHeight="1">
      <c r="A178" s="258" t="str">
        <f t="shared" si="1"/>
        <v>-</v>
      </c>
      <c r="B178" s="274"/>
      <c r="C178" s="274"/>
      <c r="F178" s="281"/>
      <c r="G178" s="281"/>
      <c r="H178" s="281"/>
      <c r="I178" s="302" t="str">
        <f>IF(H178="","",VLOOKUP(H178,'Base de datos'!$E:$G,3,FALSE))</f>
        <v/>
      </c>
      <c r="J178" s="274"/>
      <c r="K178" s="275"/>
      <c r="P178" s="275"/>
      <c r="R178" s="275"/>
    </row>
    <row r="179" ht="22.5" customHeight="1">
      <c r="A179" s="258" t="str">
        <f t="shared" si="1"/>
        <v>-</v>
      </c>
      <c r="B179" s="274"/>
      <c r="C179" s="274"/>
      <c r="F179" s="281"/>
      <c r="G179" s="281"/>
      <c r="H179" s="281"/>
      <c r="I179" s="302" t="str">
        <f>IF(H179="","",VLOOKUP(H179,'Base de datos'!$E:$G,3,FALSE))</f>
        <v/>
      </c>
      <c r="J179" s="274"/>
      <c r="K179" s="275"/>
      <c r="P179" s="275"/>
      <c r="R179" s="275"/>
    </row>
    <row r="180" ht="22.5" customHeight="1">
      <c r="A180" s="258" t="str">
        <f t="shared" si="1"/>
        <v>-</v>
      </c>
      <c r="B180" s="274"/>
      <c r="C180" s="274"/>
      <c r="F180" s="281"/>
      <c r="G180" s="281"/>
      <c r="H180" s="281"/>
      <c r="I180" s="302" t="str">
        <f>IF(H180="","",VLOOKUP(H180,'Base de datos'!$E:$G,3,FALSE))</f>
        <v/>
      </c>
      <c r="J180" s="274"/>
      <c r="K180" s="275"/>
      <c r="P180" s="275"/>
      <c r="R180" s="275"/>
    </row>
    <row r="181" ht="22.5" customHeight="1">
      <c r="A181" s="258" t="str">
        <f t="shared" si="1"/>
        <v>-</v>
      </c>
      <c r="B181" s="274"/>
      <c r="C181" s="274"/>
      <c r="F181" s="281"/>
      <c r="G181" s="281"/>
      <c r="H181" s="281"/>
      <c r="I181" s="302" t="str">
        <f>IF(H181="","",VLOOKUP(H181,'Base de datos'!$E:$G,3,FALSE))</f>
        <v/>
      </c>
      <c r="J181" s="274"/>
      <c r="K181" s="275"/>
      <c r="P181" s="275"/>
      <c r="R181" s="275"/>
    </row>
    <row r="182" ht="22.5" customHeight="1">
      <c r="A182" s="258" t="str">
        <f t="shared" si="1"/>
        <v>-</v>
      </c>
      <c r="B182" s="274"/>
      <c r="C182" s="274"/>
      <c r="F182" s="281"/>
      <c r="G182" s="281"/>
      <c r="H182" s="281"/>
      <c r="I182" s="302" t="str">
        <f>IF(H182="","",VLOOKUP(H182,'Base de datos'!$E:$G,3,FALSE))</f>
        <v/>
      </c>
      <c r="J182" s="274"/>
      <c r="K182" s="275"/>
      <c r="P182" s="275"/>
      <c r="R182" s="275"/>
    </row>
    <row r="183" ht="22.5" customHeight="1">
      <c r="A183" s="258" t="str">
        <f t="shared" si="1"/>
        <v>-</v>
      </c>
      <c r="B183" s="274"/>
      <c r="C183" s="274"/>
      <c r="F183" s="281"/>
      <c r="G183" s="281"/>
      <c r="H183" s="281"/>
      <c r="I183" s="302" t="str">
        <f>IF(H183="","",VLOOKUP(H183,'Base de datos'!$E:$G,3,FALSE))</f>
        <v/>
      </c>
      <c r="J183" s="274"/>
      <c r="K183" s="275"/>
      <c r="P183" s="275"/>
      <c r="R183" s="275"/>
    </row>
    <row r="184" ht="22.5" customHeight="1">
      <c r="A184" s="258" t="str">
        <f t="shared" si="1"/>
        <v>-</v>
      </c>
      <c r="B184" s="274"/>
      <c r="C184" s="274"/>
      <c r="F184" s="281"/>
      <c r="G184" s="281"/>
      <c r="H184" s="281"/>
      <c r="I184" s="302" t="str">
        <f>IF(H184="","",VLOOKUP(H184,'Base de datos'!$E:$G,3,FALSE))</f>
        <v/>
      </c>
      <c r="J184" s="274"/>
      <c r="K184" s="275"/>
      <c r="P184" s="275"/>
      <c r="R184" s="275"/>
    </row>
    <row r="185" ht="22.5" customHeight="1">
      <c r="A185" s="258" t="str">
        <f t="shared" si="1"/>
        <v>-</v>
      </c>
      <c r="B185" s="274"/>
      <c r="C185" s="274"/>
      <c r="F185" s="281"/>
      <c r="G185" s="281"/>
      <c r="H185" s="281"/>
      <c r="I185" s="302" t="str">
        <f>IF(H185="","",VLOOKUP(H185,'Base de datos'!$E:$G,3,FALSE))</f>
        <v/>
      </c>
      <c r="J185" s="274"/>
      <c r="K185" s="275"/>
      <c r="P185" s="275"/>
      <c r="R185" s="275"/>
    </row>
    <row r="186" ht="22.5" customHeight="1">
      <c r="A186" s="258" t="str">
        <f t="shared" si="1"/>
        <v>-</v>
      </c>
      <c r="B186" s="274"/>
      <c r="C186" s="274"/>
      <c r="F186" s="281"/>
      <c r="G186" s="281"/>
      <c r="H186" s="281"/>
      <c r="I186" s="302" t="str">
        <f>IF(H186="","",VLOOKUP(H186,'Base de datos'!$E:$G,3,FALSE))</f>
        <v/>
      </c>
      <c r="J186" s="274"/>
      <c r="K186" s="275"/>
      <c r="P186" s="275"/>
      <c r="R186" s="275"/>
    </row>
    <row r="187" ht="22.5" customHeight="1">
      <c r="A187" s="258" t="str">
        <f t="shared" si="1"/>
        <v>-</v>
      </c>
      <c r="B187" s="274"/>
      <c r="C187" s="274"/>
      <c r="F187" s="281"/>
      <c r="G187" s="281"/>
      <c r="H187" s="281"/>
      <c r="I187" s="302" t="str">
        <f>IF(H187="","",VLOOKUP(H187,'Base de datos'!$E:$G,3,FALSE))</f>
        <v/>
      </c>
      <c r="J187" s="274"/>
      <c r="K187" s="275"/>
      <c r="P187" s="275"/>
      <c r="R187" s="275"/>
    </row>
    <row r="188" ht="22.5" customHeight="1">
      <c r="A188" s="258" t="str">
        <f t="shared" si="1"/>
        <v>-</v>
      </c>
      <c r="B188" s="274"/>
      <c r="C188" s="274"/>
      <c r="F188" s="281"/>
      <c r="G188" s="281"/>
      <c r="H188" s="281"/>
      <c r="I188" s="302" t="str">
        <f>IF(H188="","",VLOOKUP(H188,'Base de datos'!$E:$G,3,FALSE))</f>
        <v/>
      </c>
      <c r="J188" s="274"/>
      <c r="K188" s="275"/>
      <c r="P188" s="275"/>
      <c r="R188" s="275"/>
    </row>
    <row r="189" ht="22.5" customHeight="1">
      <c r="A189" s="258" t="str">
        <f t="shared" si="1"/>
        <v>-</v>
      </c>
      <c r="B189" s="274"/>
      <c r="C189" s="274"/>
      <c r="F189" s="281"/>
      <c r="G189" s="281"/>
      <c r="H189" s="281"/>
      <c r="I189" s="302" t="str">
        <f>IF(H189="","",VLOOKUP(H189,'Base de datos'!$E:$G,3,FALSE))</f>
        <v/>
      </c>
      <c r="J189" s="274"/>
      <c r="K189" s="275"/>
      <c r="P189" s="275"/>
      <c r="R189" s="275"/>
    </row>
    <row r="190" ht="22.5" customHeight="1">
      <c r="A190" s="258" t="str">
        <f t="shared" si="1"/>
        <v>-</v>
      </c>
      <c r="B190" s="274"/>
      <c r="C190" s="274"/>
      <c r="F190" s="281"/>
      <c r="G190" s="281"/>
      <c r="H190" s="281"/>
      <c r="I190" s="274"/>
      <c r="J190" s="274"/>
      <c r="K190" s="275"/>
      <c r="P190" s="275"/>
      <c r="R190" s="275"/>
    </row>
    <row r="191" ht="22.5" customHeight="1">
      <c r="A191" s="258" t="str">
        <f t="shared" si="1"/>
        <v>-</v>
      </c>
      <c r="B191" s="274"/>
      <c r="C191" s="274"/>
      <c r="F191" s="281"/>
      <c r="G191" s="281"/>
      <c r="H191" s="281"/>
      <c r="I191" s="274"/>
      <c r="J191" s="274"/>
      <c r="K191" s="275"/>
      <c r="P191" s="275"/>
      <c r="R191" s="275"/>
    </row>
    <row r="192" ht="22.5" customHeight="1">
      <c r="A192" s="258" t="str">
        <f t="shared" si="1"/>
        <v>-</v>
      </c>
      <c r="B192" s="274"/>
      <c r="C192" s="274"/>
      <c r="F192" s="281"/>
      <c r="G192" s="281"/>
      <c r="H192" s="281"/>
      <c r="I192" s="274"/>
      <c r="J192" s="274"/>
      <c r="K192" s="275"/>
      <c r="P192" s="275"/>
      <c r="R192" s="275"/>
    </row>
    <row r="193" ht="22.5" customHeight="1">
      <c r="A193" s="258" t="str">
        <f t="shared" si="1"/>
        <v>-</v>
      </c>
      <c r="B193" s="274"/>
      <c r="C193" s="274"/>
      <c r="F193" s="281"/>
      <c r="G193" s="281"/>
      <c r="H193" s="281"/>
      <c r="I193" s="274"/>
      <c r="J193" s="274"/>
      <c r="K193" s="275"/>
      <c r="P193" s="275"/>
      <c r="R193" s="275"/>
    </row>
    <row r="194" ht="22.5" customHeight="1">
      <c r="A194" s="258" t="str">
        <f t="shared" si="1"/>
        <v>-</v>
      </c>
      <c r="B194" s="274"/>
      <c r="C194" s="274"/>
      <c r="F194" s="281"/>
      <c r="G194" s="281"/>
      <c r="H194" s="281"/>
      <c r="I194" s="274"/>
      <c r="J194" s="274"/>
      <c r="K194" s="275"/>
      <c r="P194" s="275"/>
      <c r="R194" s="275"/>
    </row>
    <row r="195" ht="22.5" customHeight="1">
      <c r="A195" s="258" t="str">
        <f t="shared" si="1"/>
        <v>-</v>
      </c>
      <c r="B195" s="274"/>
      <c r="C195" s="274"/>
      <c r="F195" s="281"/>
      <c r="G195" s="281"/>
      <c r="H195" s="281"/>
      <c r="I195" s="274"/>
      <c r="J195" s="274"/>
      <c r="K195" s="275"/>
      <c r="P195" s="275"/>
      <c r="R195" s="275"/>
    </row>
    <row r="196" ht="22.5" customHeight="1">
      <c r="A196" s="258" t="str">
        <f t="shared" si="1"/>
        <v>-</v>
      </c>
      <c r="B196" s="274"/>
      <c r="C196" s="274"/>
      <c r="F196" s="281"/>
      <c r="G196" s="281"/>
      <c r="H196" s="281"/>
      <c r="I196" s="274"/>
      <c r="J196" s="274"/>
      <c r="K196" s="275"/>
      <c r="P196" s="275"/>
      <c r="R196" s="275"/>
    </row>
    <row r="197" ht="22.5" customHeight="1">
      <c r="A197" s="258" t="str">
        <f t="shared" si="1"/>
        <v>-</v>
      </c>
      <c r="B197" s="274"/>
      <c r="C197" s="274"/>
      <c r="F197" s="281"/>
      <c r="G197" s="281"/>
      <c r="H197" s="281"/>
      <c r="I197" s="274"/>
      <c r="J197" s="274"/>
      <c r="K197" s="275"/>
      <c r="P197" s="275"/>
      <c r="R197" s="275"/>
    </row>
    <row r="198" ht="22.5" customHeight="1">
      <c r="A198" s="258" t="str">
        <f t="shared" si="1"/>
        <v>-</v>
      </c>
      <c r="B198" s="274"/>
      <c r="C198" s="274"/>
      <c r="F198" s="281"/>
      <c r="G198" s="281"/>
      <c r="H198" s="281"/>
      <c r="I198" s="274"/>
      <c r="J198" s="274"/>
      <c r="K198" s="275"/>
      <c r="P198" s="275"/>
      <c r="R198" s="275"/>
    </row>
    <row r="199" ht="22.5" customHeight="1">
      <c r="A199" s="258" t="str">
        <f t="shared" si="1"/>
        <v>-</v>
      </c>
      <c r="B199" s="274"/>
      <c r="C199" s="274"/>
      <c r="F199" s="281"/>
      <c r="G199" s="281"/>
      <c r="H199" s="281"/>
      <c r="I199" s="274"/>
      <c r="J199" s="274"/>
      <c r="K199" s="275"/>
      <c r="P199" s="275"/>
      <c r="R199" s="275"/>
    </row>
    <row r="200" ht="22.5" customHeight="1">
      <c r="A200" s="258" t="str">
        <f t="shared" si="1"/>
        <v>-</v>
      </c>
      <c r="B200" s="274"/>
      <c r="C200" s="274"/>
      <c r="F200" s="281"/>
      <c r="G200" s="281"/>
      <c r="H200" s="281"/>
      <c r="I200" s="274"/>
      <c r="J200" s="274"/>
      <c r="K200" s="275"/>
      <c r="P200" s="275"/>
      <c r="R200" s="275"/>
    </row>
    <row r="201" ht="22.5" customHeight="1">
      <c r="A201" s="258" t="str">
        <f t="shared" si="1"/>
        <v>-</v>
      </c>
      <c r="B201" s="274"/>
      <c r="C201" s="274"/>
      <c r="F201" s="281"/>
      <c r="G201" s="281"/>
      <c r="H201" s="281"/>
      <c r="I201" s="274"/>
      <c r="J201" s="274"/>
      <c r="K201" s="275"/>
      <c r="P201" s="275"/>
      <c r="R201" s="275"/>
    </row>
    <row r="202" ht="22.5" customHeight="1">
      <c r="A202" s="258" t="str">
        <f t="shared" si="1"/>
        <v>-</v>
      </c>
      <c r="B202" s="274"/>
      <c r="C202" s="274"/>
      <c r="F202" s="281"/>
      <c r="G202" s="281"/>
      <c r="H202" s="281"/>
      <c r="I202" s="274"/>
      <c r="J202" s="274"/>
      <c r="K202" s="275"/>
      <c r="P202" s="275"/>
      <c r="R202" s="275"/>
    </row>
    <row r="203" ht="22.5" customHeight="1">
      <c r="A203" s="258" t="str">
        <f t="shared" si="1"/>
        <v>-</v>
      </c>
      <c r="B203" s="274"/>
      <c r="C203" s="274"/>
      <c r="F203" s="281"/>
      <c r="G203" s="281"/>
      <c r="H203" s="281"/>
      <c r="I203" s="274"/>
      <c r="J203" s="274"/>
      <c r="K203" s="275"/>
      <c r="P203" s="275"/>
      <c r="R203" s="275"/>
    </row>
    <row r="204" ht="22.5" customHeight="1">
      <c r="A204" s="258" t="str">
        <f t="shared" si="1"/>
        <v>-</v>
      </c>
      <c r="B204" s="274"/>
      <c r="C204" s="274"/>
      <c r="F204" s="281"/>
      <c r="G204" s="281"/>
      <c r="H204" s="281"/>
      <c r="I204" s="274"/>
      <c r="J204" s="274"/>
      <c r="K204" s="275"/>
      <c r="P204" s="275"/>
      <c r="R204" s="275"/>
    </row>
    <row r="205" ht="22.5" customHeight="1">
      <c r="A205" s="258" t="str">
        <f t="shared" si="1"/>
        <v>-</v>
      </c>
      <c r="B205" s="274"/>
      <c r="C205" s="274"/>
      <c r="F205" s="281"/>
      <c r="G205" s="281"/>
      <c r="H205" s="281"/>
      <c r="I205" s="274"/>
      <c r="J205" s="274"/>
      <c r="K205" s="275"/>
      <c r="P205" s="275"/>
      <c r="R205" s="275"/>
    </row>
    <row r="206" ht="22.5" customHeight="1">
      <c r="A206" s="258" t="str">
        <f t="shared" si="1"/>
        <v>-</v>
      </c>
      <c r="B206" s="274"/>
      <c r="C206" s="274"/>
      <c r="F206" s="281"/>
      <c r="G206" s="281"/>
      <c r="H206" s="281"/>
      <c r="I206" s="274"/>
      <c r="J206" s="274"/>
      <c r="K206" s="275"/>
      <c r="P206" s="275"/>
      <c r="R206" s="275"/>
    </row>
    <row r="207" ht="22.5" customHeight="1">
      <c r="A207" s="258" t="str">
        <f t="shared" si="1"/>
        <v>-</v>
      </c>
      <c r="B207" s="274"/>
      <c r="C207" s="274"/>
      <c r="F207" s="281"/>
      <c r="G207" s="281"/>
      <c r="H207" s="281"/>
      <c r="I207" s="274"/>
      <c r="J207" s="274"/>
      <c r="K207" s="275"/>
      <c r="P207" s="275"/>
      <c r="R207" s="275"/>
    </row>
    <row r="208" ht="22.5" customHeight="1">
      <c r="A208" s="258" t="str">
        <f t="shared" si="1"/>
        <v>-</v>
      </c>
      <c r="B208" s="274"/>
      <c r="C208" s="274"/>
      <c r="F208" s="281"/>
      <c r="G208" s="281"/>
      <c r="H208" s="281"/>
      <c r="I208" s="274"/>
      <c r="J208" s="274"/>
      <c r="K208" s="275"/>
      <c r="P208" s="275"/>
      <c r="R208" s="275"/>
    </row>
    <row r="209" ht="22.5" customHeight="1">
      <c r="A209" s="258" t="str">
        <f t="shared" si="1"/>
        <v>-</v>
      </c>
      <c r="B209" s="274"/>
      <c r="C209" s="274"/>
      <c r="F209" s="281"/>
      <c r="G209" s="281"/>
      <c r="H209" s="281"/>
      <c r="I209" s="274"/>
      <c r="J209" s="274"/>
      <c r="K209" s="275"/>
      <c r="P209" s="275"/>
      <c r="R209" s="275"/>
    </row>
    <row r="210" ht="22.5" customHeight="1">
      <c r="A210" s="258" t="str">
        <f t="shared" si="1"/>
        <v>-</v>
      </c>
      <c r="B210" s="274"/>
      <c r="C210" s="274"/>
      <c r="F210" s="281"/>
      <c r="G210" s="281"/>
      <c r="H210" s="281"/>
      <c r="I210" s="274"/>
      <c r="J210" s="274"/>
      <c r="K210" s="275"/>
      <c r="P210" s="275"/>
      <c r="R210" s="275"/>
    </row>
    <row r="211" ht="22.5" customHeight="1">
      <c r="A211" s="258" t="str">
        <f t="shared" si="1"/>
        <v>-</v>
      </c>
      <c r="B211" s="274"/>
      <c r="C211" s="274"/>
      <c r="F211" s="281"/>
      <c r="G211" s="281"/>
      <c r="H211" s="281"/>
      <c r="I211" s="274"/>
      <c r="J211" s="274"/>
      <c r="K211" s="275"/>
      <c r="P211" s="275"/>
      <c r="R211" s="275"/>
    </row>
    <row r="212" ht="22.5" customHeight="1">
      <c r="A212" s="258" t="str">
        <f t="shared" si="1"/>
        <v>-</v>
      </c>
      <c r="B212" s="274"/>
      <c r="C212" s="274"/>
      <c r="F212" s="281"/>
      <c r="G212" s="281"/>
      <c r="H212" s="281"/>
      <c r="I212" s="274"/>
      <c r="J212" s="274"/>
      <c r="K212" s="275"/>
      <c r="P212" s="275"/>
      <c r="R212" s="275"/>
    </row>
    <row r="213" ht="22.5" customHeight="1">
      <c r="A213" s="258" t="str">
        <f t="shared" si="1"/>
        <v>-</v>
      </c>
      <c r="B213" s="274"/>
      <c r="C213" s="274"/>
      <c r="F213" s="281"/>
      <c r="G213" s="281"/>
      <c r="H213" s="281"/>
      <c r="I213" s="274"/>
      <c r="J213" s="274"/>
      <c r="K213" s="275"/>
      <c r="P213" s="275"/>
      <c r="R213" s="275"/>
    </row>
    <row r="214" ht="22.5" customHeight="1">
      <c r="A214" s="258" t="str">
        <f t="shared" si="1"/>
        <v>-</v>
      </c>
      <c r="B214" s="274"/>
      <c r="C214" s="274"/>
      <c r="F214" s="281"/>
      <c r="G214" s="281"/>
      <c r="H214" s="281"/>
      <c r="I214" s="274"/>
      <c r="J214" s="274"/>
      <c r="K214" s="275"/>
      <c r="P214" s="275"/>
      <c r="R214" s="275"/>
    </row>
    <row r="215" ht="22.5" customHeight="1">
      <c r="A215" s="258" t="str">
        <f t="shared" si="1"/>
        <v>-</v>
      </c>
      <c r="B215" s="274"/>
      <c r="C215" s="274"/>
      <c r="F215" s="281"/>
      <c r="G215" s="281"/>
      <c r="H215" s="281"/>
      <c r="I215" s="274"/>
      <c r="J215" s="274"/>
      <c r="K215" s="275"/>
      <c r="P215" s="275"/>
      <c r="R215" s="275"/>
    </row>
    <row r="216" ht="22.5" customHeight="1">
      <c r="A216" s="258" t="str">
        <f t="shared" si="1"/>
        <v>-</v>
      </c>
      <c r="B216" s="274"/>
      <c r="C216" s="274"/>
      <c r="F216" s="281"/>
      <c r="G216" s="281"/>
      <c r="H216" s="281"/>
      <c r="I216" s="274"/>
      <c r="J216" s="274"/>
      <c r="K216" s="275"/>
      <c r="P216" s="275"/>
      <c r="R216" s="275"/>
    </row>
    <row r="217" ht="22.5" customHeight="1">
      <c r="A217" s="258" t="str">
        <f t="shared" si="1"/>
        <v>-</v>
      </c>
      <c r="B217" s="274"/>
      <c r="C217" s="274"/>
      <c r="F217" s="281"/>
      <c r="G217" s="281"/>
      <c r="H217" s="281"/>
      <c r="I217" s="274"/>
      <c r="J217" s="274"/>
      <c r="K217" s="275"/>
      <c r="P217" s="275"/>
      <c r="R217" s="275"/>
    </row>
    <row r="218" ht="22.5" customHeight="1">
      <c r="A218" s="258" t="str">
        <f t="shared" si="1"/>
        <v>-</v>
      </c>
      <c r="B218" s="274"/>
      <c r="C218" s="274"/>
      <c r="F218" s="281"/>
      <c r="G218" s="281"/>
      <c r="H218" s="281"/>
      <c r="I218" s="274"/>
      <c r="J218" s="274"/>
      <c r="K218" s="275"/>
      <c r="P218" s="275"/>
      <c r="R218" s="275"/>
    </row>
    <row r="219" ht="22.5" customHeight="1">
      <c r="A219" s="258" t="str">
        <f t="shared" si="1"/>
        <v>-</v>
      </c>
      <c r="B219" s="274"/>
      <c r="C219" s="274"/>
      <c r="F219" s="281"/>
      <c r="G219" s="281"/>
      <c r="H219" s="281"/>
      <c r="I219" s="274"/>
      <c r="J219" s="274"/>
      <c r="K219" s="275"/>
      <c r="P219" s="275"/>
      <c r="R219" s="275"/>
    </row>
    <row r="220" ht="22.5" customHeight="1">
      <c r="A220" s="258" t="str">
        <f t="shared" si="1"/>
        <v>-</v>
      </c>
      <c r="B220" s="274"/>
      <c r="C220" s="274"/>
      <c r="F220" s="281"/>
      <c r="G220" s="281"/>
      <c r="H220" s="281"/>
      <c r="I220" s="274"/>
      <c r="J220" s="274"/>
      <c r="K220" s="275"/>
      <c r="P220" s="275"/>
      <c r="R220" s="275"/>
    </row>
    <row r="221" ht="22.5" customHeight="1">
      <c r="A221" s="258" t="str">
        <f t="shared" si="1"/>
        <v>-</v>
      </c>
      <c r="B221" s="274"/>
      <c r="C221" s="274"/>
      <c r="F221" s="281"/>
      <c r="G221" s="281"/>
      <c r="H221" s="281"/>
      <c r="I221" s="274"/>
      <c r="J221" s="274"/>
      <c r="K221" s="275"/>
      <c r="P221" s="275"/>
      <c r="R221" s="275"/>
    </row>
    <row r="222" ht="22.5" customHeight="1">
      <c r="A222" s="258" t="str">
        <f t="shared" si="1"/>
        <v>-</v>
      </c>
      <c r="B222" s="274"/>
      <c r="C222" s="274"/>
      <c r="F222" s="281"/>
      <c r="G222" s="281"/>
      <c r="H222" s="281"/>
      <c r="I222" s="274"/>
      <c r="J222" s="274"/>
      <c r="K222" s="275"/>
      <c r="P222" s="275"/>
      <c r="R222" s="275"/>
    </row>
    <row r="223" ht="22.5" customHeight="1">
      <c r="A223" s="258" t="str">
        <f t="shared" si="1"/>
        <v>-</v>
      </c>
      <c r="B223" s="274"/>
      <c r="C223" s="274"/>
      <c r="F223" s="281"/>
      <c r="G223" s="281"/>
      <c r="H223" s="281"/>
      <c r="I223" s="274"/>
      <c r="J223" s="274"/>
      <c r="K223" s="275"/>
      <c r="P223" s="275"/>
      <c r="R223" s="275"/>
    </row>
    <row r="224" ht="22.5" customHeight="1">
      <c r="A224" s="258" t="str">
        <f t="shared" si="1"/>
        <v>-</v>
      </c>
      <c r="B224" s="274"/>
      <c r="C224" s="274"/>
      <c r="F224" s="281"/>
      <c r="G224" s="281"/>
      <c r="H224" s="281"/>
      <c r="I224" s="274"/>
      <c r="J224" s="274"/>
      <c r="K224" s="275"/>
      <c r="P224" s="275"/>
      <c r="R224" s="275"/>
    </row>
    <row r="225" ht="22.5" customHeight="1">
      <c r="A225" s="258" t="str">
        <f t="shared" si="1"/>
        <v>-</v>
      </c>
      <c r="B225" s="274"/>
      <c r="C225" s="274"/>
      <c r="F225" s="281"/>
      <c r="G225" s="281"/>
      <c r="H225" s="281"/>
      <c r="I225" s="274"/>
      <c r="J225" s="274"/>
      <c r="K225" s="275"/>
      <c r="P225" s="275"/>
      <c r="R225" s="275"/>
    </row>
    <row r="226" ht="22.5" customHeight="1">
      <c r="A226" s="258" t="str">
        <f t="shared" si="1"/>
        <v>-</v>
      </c>
      <c r="B226" s="274"/>
      <c r="C226" s="274"/>
      <c r="F226" s="281"/>
      <c r="G226" s="281"/>
      <c r="H226" s="281"/>
      <c r="I226" s="274"/>
      <c r="J226" s="274"/>
      <c r="K226" s="275"/>
      <c r="P226" s="275"/>
      <c r="R226" s="275"/>
    </row>
    <row r="227" ht="22.5" customHeight="1">
      <c r="A227" s="258" t="str">
        <f t="shared" si="1"/>
        <v>-</v>
      </c>
      <c r="B227" s="274"/>
      <c r="C227" s="274"/>
      <c r="F227" s="281"/>
      <c r="G227" s="281"/>
      <c r="H227" s="281"/>
      <c r="I227" s="274"/>
      <c r="J227" s="274"/>
      <c r="K227" s="275"/>
      <c r="P227" s="275"/>
      <c r="R227" s="275"/>
    </row>
    <row r="228" ht="22.5" customHeight="1">
      <c r="A228" s="258" t="str">
        <f t="shared" si="1"/>
        <v>-</v>
      </c>
      <c r="B228" s="274"/>
      <c r="C228" s="274"/>
      <c r="F228" s="281"/>
      <c r="G228" s="281"/>
      <c r="H228" s="281"/>
      <c r="I228" s="274"/>
      <c r="J228" s="274"/>
      <c r="K228" s="275"/>
      <c r="P228" s="275"/>
      <c r="R228" s="275"/>
    </row>
    <row r="229" ht="22.5" customHeight="1">
      <c r="A229" s="258" t="str">
        <f t="shared" si="1"/>
        <v>-</v>
      </c>
      <c r="B229" s="274"/>
      <c r="C229" s="274"/>
      <c r="F229" s="281"/>
      <c r="G229" s="281"/>
      <c r="H229" s="281"/>
      <c r="I229" s="274"/>
      <c r="J229" s="274"/>
      <c r="K229" s="275"/>
      <c r="P229" s="275"/>
      <c r="R229" s="275"/>
    </row>
    <row r="230" ht="22.5" customHeight="1">
      <c r="A230" s="258" t="str">
        <f t="shared" si="1"/>
        <v>-</v>
      </c>
      <c r="B230" s="274"/>
      <c r="C230" s="274"/>
      <c r="F230" s="281"/>
      <c r="G230" s="281"/>
      <c r="H230" s="281"/>
      <c r="I230" s="274"/>
      <c r="J230" s="274"/>
      <c r="K230" s="275"/>
      <c r="P230" s="275"/>
      <c r="R230" s="275"/>
    </row>
    <row r="231" ht="22.5" customHeight="1">
      <c r="A231" s="258" t="str">
        <f t="shared" si="1"/>
        <v>-</v>
      </c>
      <c r="B231" s="274"/>
      <c r="C231" s="274"/>
      <c r="F231" s="281"/>
      <c r="G231" s="281"/>
      <c r="H231" s="281"/>
      <c r="I231" s="274"/>
      <c r="J231" s="274"/>
      <c r="K231" s="275"/>
      <c r="P231" s="275"/>
      <c r="R231" s="275"/>
    </row>
    <row r="232" ht="22.5" customHeight="1">
      <c r="A232" s="258" t="str">
        <f t="shared" si="1"/>
        <v>-</v>
      </c>
      <c r="B232" s="274"/>
      <c r="C232" s="274"/>
      <c r="F232" s="281"/>
      <c r="G232" s="281"/>
      <c r="H232" s="281"/>
      <c r="I232" s="274"/>
      <c r="J232" s="274"/>
      <c r="K232" s="275"/>
      <c r="P232" s="275"/>
      <c r="R232" s="275"/>
    </row>
    <row r="233" ht="22.5" customHeight="1">
      <c r="A233" s="258" t="str">
        <f t="shared" si="1"/>
        <v>-</v>
      </c>
      <c r="B233" s="274"/>
      <c r="C233" s="274"/>
      <c r="F233" s="281"/>
      <c r="G233" s="281"/>
      <c r="H233" s="281"/>
      <c r="I233" s="274"/>
      <c r="J233" s="274"/>
      <c r="K233" s="275"/>
      <c r="P233" s="275"/>
      <c r="R233" s="275"/>
    </row>
    <row r="234" ht="22.5" customHeight="1">
      <c r="A234" s="258" t="str">
        <f t="shared" si="1"/>
        <v>-</v>
      </c>
      <c r="B234" s="274"/>
      <c r="C234" s="274"/>
      <c r="F234" s="281"/>
      <c r="G234" s="281"/>
      <c r="H234" s="281"/>
      <c r="I234" s="274"/>
      <c r="J234" s="274"/>
      <c r="K234" s="275"/>
      <c r="P234" s="275"/>
      <c r="R234" s="275"/>
    </row>
    <row r="235" ht="22.5" customHeight="1">
      <c r="A235" s="258" t="str">
        <f t="shared" si="1"/>
        <v>-</v>
      </c>
      <c r="B235" s="274"/>
      <c r="C235" s="274"/>
      <c r="F235" s="281"/>
      <c r="G235" s="281"/>
      <c r="H235" s="281"/>
      <c r="I235" s="274"/>
      <c r="J235" s="274"/>
      <c r="K235" s="275"/>
      <c r="P235" s="275"/>
      <c r="R235" s="275"/>
    </row>
    <row r="236" ht="22.5" customHeight="1">
      <c r="A236" s="258" t="str">
        <f t="shared" si="1"/>
        <v>-</v>
      </c>
      <c r="B236" s="274"/>
      <c r="C236" s="274"/>
      <c r="F236" s="281"/>
      <c r="G236" s="281"/>
      <c r="H236" s="281"/>
      <c r="I236" s="274"/>
      <c r="J236" s="274"/>
      <c r="K236" s="275"/>
      <c r="P236" s="275"/>
      <c r="R236" s="275"/>
    </row>
    <row r="237" ht="22.5" customHeight="1">
      <c r="A237" s="258" t="str">
        <f t="shared" si="1"/>
        <v>-</v>
      </c>
      <c r="B237" s="274"/>
      <c r="C237" s="274"/>
      <c r="F237" s="281"/>
      <c r="G237" s="281"/>
      <c r="H237" s="281"/>
      <c r="I237" s="274"/>
      <c r="J237" s="274"/>
      <c r="K237" s="275"/>
      <c r="P237" s="275"/>
      <c r="R237" s="275"/>
    </row>
    <row r="238" ht="22.5" customHeight="1">
      <c r="A238" s="258" t="str">
        <f t="shared" si="1"/>
        <v>-</v>
      </c>
      <c r="B238" s="274"/>
      <c r="C238" s="274"/>
      <c r="F238" s="281"/>
      <c r="G238" s="281"/>
      <c r="H238" s="281"/>
      <c r="I238" s="274"/>
      <c r="J238" s="274"/>
      <c r="K238" s="275"/>
      <c r="P238" s="275"/>
      <c r="R238" s="275"/>
    </row>
    <row r="239" ht="22.5" customHeight="1">
      <c r="A239" s="258" t="str">
        <f t="shared" si="1"/>
        <v>-</v>
      </c>
      <c r="B239" s="274"/>
      <c r="C239" s="274"/>
      <c r="F239" s="281"/>
      <c r="G239" s="281"/>
      <c r="H239" s="281"/>
      <c r="I239" s="274"/>
      <c r="J239" s="274"/>
      <c r="K239" s="275"/>
      <c r="P239" s="275"/>
      <c r="R239" s="275"/>
    </row>
    <row r="240" ht="22.5" customHeight="1">
      <c r="A240" s="258" t="str">
        <f t="shared" si="1"/>
        <v>-</v>
      </c>
      <c r="B240" s="274"/>
      <c r="C240" s="274"/>
      <c r="F240" s="281"/>
      <c r="G240" s="281"/>
      <c r="H240" s="281"/>
      <c r="I240" s="274"/>
      <c r="J240" s="274"/>
      <c r="K240" s="275"/>
      <c r="P240" s="275"/>
      <c r="R240" s="275"/>
    </row>
    <row r="241" ht="22.5" customHeight="1">
      <c r="A241" s="258" t="str">
        <f t="shared" si="1"/>
        <v>-</v>
      </c>
      <c r="B241" s="274"/>
      <c r="C241" s="274"/>
      <c r="F241" s="281"/>
      <c r="G241" s="281"/>
      <c r="H241" s="281"/>
      <c r="I241" s="274"/>
      <c r="J241" s="274"/>
      <c r="K241" s="275"/>
      <c r="P241" s="275"/>
      <c r="R241" s="275"/>
    </row>
    <row r="242" ht="22.5" customHeight="1">
      <c r="A242" s="258" t="str">
        <f t="shared" si="1"/>
        <v>-</v>
      </c>
      <c r="B242" s="274"/>
      <c r="C242" s="274"/>
      <c r="F242" s="281"/>
      <c r="G242" s="281"/>
      <c r="H242" s="281"/>
      <c r="I242" s="274"/>
      <c r="J242" s="274"/>
      <c r="K242" s="275"/>
      <c r="P242" s="275"/>
      <c r="R242" s="275"/>
    </row>
    <row r="243" ht="22.5" customHeight="1">
      <c r="A243" s="258" t="str">
        <f t="shared" si="1"/>
        <v>-</v>
      </c>
      <c r="B243" s="274"/>
      <c r="C243" s="274"/>
      <c r="F243" s="281"/>
      <c r="G243" s="281"/>
      <c r="H243" s="281"/>
      <c r="I243" s="274"/>
      <c r="J243" s="274"/>
      <c r="K243" s="275"/>
      <c r="P243" s="275"/>
      <c r="R243" s="275"/>
    </row>
    <row r="244" ht="22.5" customHeight="1">
      <c r="A244" s="258" t="str">
        <f t="shared" si="1"/>
        <v>-</v>
      </c>
      <c r="B244" s="274"/>
      <c r="C244" s="274"/>
      <c r="F244" s="281"/>
      <c r="G244" s="281"/>
      <c r="H244" s="281"/>
      <c r="I244" s="274"/>
      <c r="J244" s="274"/>
      <c r="K244" s="275"/>
      <c r="P244" s="275"/>
      <c r="R244" s="275"/>
    </row>
    <row r="245" ht="22.5" customHeight="1">
      <c r="A245" s="258" t="str">
        <f t="shared" si="1"/>
        <v>-</v>
      </c>
      <c r="B245" s="274"/>
      <c r="C245" s="274"/>
      <c r="F245" s="281"/>
      <c r="G245" s="281"/>
      <c r="H245" s="281"/>
      <c r="I245" s="274"/>
      <c r="J245" s="274"/>
      <c r="K245" s="275"/>
      <c r="P245" s="275"/>
      <c r="R245" s="275"/>
    </row>
    <row r="246" ht="22.5" customHeight="1">
      <c r="A246" s="258" t="str">
        <f t="shared" si="1"/>
        <v>-</v>
      </c>
      <c r="B246" s="274"/>
      <c r="C246" s="274"/>
      <c r="F246" s="281"/>
      <c r="G246" s="281"/>
      <c r="H246" s="281"/>
      <c r="I246" s="274"/>
      <c r="J246" s="274"/>
      <c r="K246" s="275"/>
      <c r="P246" s="275"/>
      <c r="R246" s="275"/>
    </row>
    <row r="247" ht="22.5" customHeight="1">
      <c r="A247" s="258" t="str">
        <f t="shared" si="1"/>
        <v>-</v>
      </c>
      <c r="B247" s="274"/>
      <c r="C247" s="274"/>
      <c r="F247" s="281"/>
      <c r="G247" s="281"/>
      <c r="H247" s="281"/>
      <c r="I247" s="274"/>
      <c r="J247" s="274"/>
      <c r="K247" s="275"/>
      <c r="P247" s="275"/>
      <c r="R247" s="275"/>
    </row>
    <row r="248" ht="22.5" customHeight="1">
      <c r="A248" s="258" t="str">
        <f t="shared" si="1"/>
        <v>-</v>
      </c>
      <c r="B248" s="274"/>
      <c r="C248" s="274"/>
      <c r="F248" s="281"/>
      <c r="G248" s="281"/>
      <c r="H248" s="281"/>
      <c r="I248" s="274"/>
      <c r="J248" s="274"/>
      <c r="K248" s="275"/>
      <c r="P248" s="275"/>
      <c r="R248" s="275"/>
    </row>
    <row r="249" ht="22.5" customHeight="1">
      <c r="A249" s="258" t="str">
        <f t="shared" si="1"/>
        <v>-</v>
      </c>
      <c r="B249" s="274"/>
      <c r="C249" s="274"/>
      <c r="F249" s="281"/>
      <c r="G249" s="281"/>
      <c r="H249" s="281"/>
      <c r="I249" s="274"/>
      <c r="J249" s="274"/>
      <c r="K249" s="275"/>
      <c r="P249" s="275"/>
      <c r="R249" s="275"/>
    </row>
    <row r="250" ht="22.5" customHeight="1">
      <c r="A250" s="258" t="str">
        <f t="shared" si="1"/>
        <v>-</v>
      </c>
      <c r="B250" s="274"/>
      <c r="C250" s="274"/>
      <c r="F250" s="281"/>
      <c r="G250" s="281"/>
      <c r="H250" s="281"/>
      <c r="I250" s="274"/>
      <c r="J250" s="274"/>
      <c r="K250" s="275"/>
      <c r="P250" s="275"/>
      <c r="R250" s="275"/>
    </row>
    <row r="251" ht="22.5" customHeight="1">
      <c r="A251" s="258" t="str">
        <f t="shared" si="1"/>
        <v>-</v>
      </c>
      <c r="B251" s="274"/>
      <c r="C251" s="274"/>
      <c r="F251" s="281"/>
      <c r="G251" s="281"/>
      <c r="H251" s="281"/>
      <c r="I251" s="274"/>
      <c r="J251" s="274"/>
      <c r="K251" s="275"/>
      <c r="P251" s="275"/>
      <c r="R251" s="275"/>
    </row>
    <row r="252" ht="22.5" customHeight="1">
      <c r="A252" s="258" t="str">
        <f t="shared" si="1"/>
        <v>-</v>
      </c>
      <c r="B252" s="274"/>
      <c r="C252" s="274"/>
      <c r="F252" s="281"/>
      <c r="G252" s="281"/>
      <c r="H252" s="281"/>
      <c r="I252" s="274"/>
      <c r="J252" s="274"/>
      <c r="K252" s="275"/>
      <c r="P252" s="275"/>
      <c r="R252" s="275"/>
    </row>
    <row r="253" ht="22.5" customHeight="1">
      <c r="A253" s="258" t="str">
        <f t="shared" si="1"/>
        <v>-</v>
      </c>
      <c r="B253" s="274"/>
      <c r="C253" s="274"/>
      <c r="F253" s="281"/>
      <c r="G253" s="281"/>
      <c r="H253" s="281"/>
      <c r="I253" s="274"/>
      <c r="J253" s="274"/>
      <c r="K253" s="275"/>
      <c r="P253" s="275"/>
      <c r="R253" s="275"/>
    </row>
    <row r="254" ht="22.5" customHeight="1">
      <c r="A254" s="258" t="str">
        <f t="shared" si="1"/>
        <v>-</v>
      </c>
      <c r="B254" s="274"/>
      <c r="C254" s="274"/>
      <c r="F254" s="281"/>
      <c r="G254" s="281"/>
      <c r="H254" s="281"/>
      <c r="I254" s="274"/>
      <c r="J254" s="274"/>
      <c r="K254" s="275"/>
      <c r="P254" s="275"/>
      <c r="R254" s="275"/>
    </row>
    <row r="255" ht="22.5" customHeight="1">
      <c r="A255" s="258" t="str">
        <f t="shared" si="1"/>
        <v>-</v>
      </c>
      <c r="B255" s="274"/>
      <c r="C255" s="274"/>
      <c r="F255" s="281"/>
      <c r="G255" s="281"/>
      <c r="H255" s="281"/>
      <c r="I255" s="274"/>
      <c r="J255" s="274"/>
      <c r="K255" s="275"/>
      <c r="P255" s="275"/>
      <c r="R255" s="275"/>
    </row>
    <row r="256" ht="22.5" customHeight="1">
      <c r="A256" s="258" t="str">
        <f t="shared" si="1"/>
        <v>-</v>
      </c>
      <c r="B256" s="274"/>
      <c r="C256" s="274"/>
      <c r="F256" s="281"/>
      <c r="G256" s="281"/>
      <c r="H256" s="281"/>
      <c r="I256" s="274"/>
      <c r="J256" s="274"/>
      <c r="K256" s="275"/>
      <c r="P256" s="275"/>
      <c r="R256" s="275"/>
    </row>
    <row r="257" ht="22.5" customHeight="1">
      <c r="A257" s="258" t="str">
        <f t="shared" si="1"/>
        <v>-</v>
      </c>
      <c r="B257" s="274"/>
      <c r="C257" s="274"/>
      <c r="F257" s="281"/>
      <c r="G257" s="281"/>
      <c r="H257" s="281"/>
      <c r="I257" s="274"/>
      <c r="J257" s="274"/>
      <c r="K257" s="275"/>
      <c r="P257" s="275"/>
      <c r="R257" s="275"/>
    </row>
    <row r="258" ht="22.5" customHeight="1">
      <c r="A258" s="258" t="str">
        <f t="shared" si="1"/>
        <v>-</v>
      </c>
      <c r="B258" s="274"/>
      <c r="C258" s="274"/>
      <c r="F258" s="281"/>
      <c r="G258" s="281"/>
      <c r="H258" s="281"/>
      <c r="I258" s="274"/>
      <c r="J258" s="274"/>
      <c r="K258" s="275"/>
      <c r="P258" s="275"/>
      <c r="R258" s="275"/>
    </row>
    <row r="259" ht="22.5" customHeight="1">
      <c r="A259" s="258" t="str">
        <f t="shared" si="1"/>
        <v>-</v>
      </c>
      <c r="B259" s="274"/>
      <c r="C259" s="274"/>
      <c r="F259" s="281"/>
      <c r="G259" s="281"/>
      <c r="H259" s="281"/>
      <c r="I259" s="274"/>
      <c r="J259" s="274"/>
      <c r="K259" s="275"/>
      <c r="P259" s="275"/>
      <c r="R259" s="275"/>
    </row>
    <row r="260" ht="22.5" customHeight="1">
      <c r="A260" s="258" t="str">
        <f t="shared" si="1"/>
        <v>-</v>
      </c>
      <c r="B260" s="274"/>
      <c r="C260" s="274"/>
      <c r="F260" s="281"/>
      <c r="G260" s="281"/>
      <c r="H260" s="281"/>
      <c r="I260" s="274"/>
      <c r="J260" s="274"/>
      <c r="K260" s="275"/>
      <c r="P260" s="275"/>
      <c r="R260" s="275"/>
    </row>
    <row r="261" ht="22.5" customHeight="1">
      <c r="A261" s="258" t="str">
        <f t="shared" si="1"/>
        <v>-</v>
      </c>
      <c r="B261" s="274"/>
      <c r="C261" s="274"/>
      <c r="F261" s="281"/>
      <c r="G261" s="281"/>
      <c r="H261" s="281"/>
      <c r="I261" s="274"/>
      <c r="J261" s="274"/>
      <c r="K261" s="275"/>
      <c r="P261" s="275"/>
      <c r="R261" s="275"/>
    </row>
    <row r="262" ht="22.5" customHeight="1">
      <c r="A262" s="258" t="str">
        <f t="shared" si="1"/>
        <v>-</v>
      </c>
      <c r="B262" s="274"/>
      <c r="C262" s="274"/>
      <c r="F262" s="281"/>
      <c r="G262" s="281"/>
      <c r="H262" s="281"/>
      <c r="I262" s="274"/>
      <c r="J262" s="274"/>
      <c r="K262" s="275"/>
      <c r="P262" s="275"/>
      <c r="R262" s="275"/>
    </row>
    <row r="263" ht="22.5" customHeight="1">
      <c r="A263" s="258" t="str">
        <f t="shared" si="1"/>
        <v>-</v>
      </c>
      <c r="B263" s="274"/>
      <c r="C263" s="274"/>
      <c r="F263" s="281"/>
      <c r="G263" s="281"/>
      <c r="H263" s="281"/>
      <c r="I263" s="274"/>
      <c r="J263" s="274"/>
      <c r="K263" s="275"/>
      <c r="P263" s="275"/>
      <c r="R263" s="275"/>
    </row>
    <row r="264" ht="22.5" customHeight="1">
      <c r="A264" s="258" t="str">
        <f t="shared" si="1"/>
        <v>-</v>
      </c>
      <c r="B264" s="274"/>
      <c r="C264" s="274"/>
      <c r="F264" s="281"/>
      <c r="G264" s="281"/>
      <c r="H264" s="281"/>
      <c r="I264" s="274"/>
      <c r="J264" s="274"/>
      <c r="K264" s="275"/>
      <c r="P264" s="275"/>
      <c r="R264" s="275"/>
    </row>
    <row r="265" ht="22.5" customHeight="1">
      <c r="A265" s="258" t="str">
        <f t="shared" si="1"/>
        <v>-</v>
      </c>
      <c r="B265" s="274"/>
      <c r="C265" s="274"/>
      <c r="F265" s="281"/>
      <c r="G265" s="281"/>
      <c r="H265" s="281"/>
      <c r="I265" s="274"/>
      <c r="J265" s="274"/>
      <c r="K265" s="275"/>
      <c r="P265" s="275"/>
      <c r="R265" s="275"/>
    </row>
    <row r="266" ht="22.5" customHeight="1">
      <c r="A266" s="258" t="str">
        <f t="shared" si="1"/>
        <v>-</v>
      </c>
      <c r="B266" s="274"/>
      <c r="C266" s="274"/>
      <c r="F266" s="281"/>
      <c r="G266" s="281"/>
      <c r="H266" s="281"/>
      <c r="I266" s="274"/>
      <c r="J266" s="274"/>
      <c r="K266" s="275"/>
      <c r="P266" s="275"/>
      <c r="R266" s="275"/>
    </row>
    <row r="267" ht="22.5" customHeight="1">
      <c r="A267" s="258" t="str">
        <f t="shared" si="1"/>
        <v>-</v>
      </c>
      <c r="B267" s="274"/>
      <c r="C267" s="274"/>
      <c r="F267" s="281"/>
      <c r="G267" s="281"/>
      <c r="H267" s="281"/>
      <c r="I267" s="274"/>
      <c r="J267" s="274"/>
      <c r="K267" s="275"/>
      <c r="P267" s="275"/>
      <c r="R267" s="275"/>
    </row>
    <row r="268" ht="22.5" customHeight="1">
      <c r="A268" s="258" t="str">
        <f t="shared" si="1"/>
        <v>-</v>
      </c>
      <c r="B268" s="274"/>
      <c r="C268" s="274"/>
      <c r="F268" s="281"/>
      <c r="G268" s="281"/>
      <c r="H268" s="281"/>
      <c r="I268" s="274"/>
      <c r="J268" s="274"/>
      <c r="K268" s="275"/>
      <c r="P268" s="275"/>
      <c r="R268" s="275"/>
    </row>
    <row r="269" ht="22.5" customHeight="1">
      <c r="A269" s="258" t="str">
        <f t="shared" si="1"/>
        <v>-</v>
      </c>
      <c r="B269" s="274"/>
      <c r="C269" s="274"/>
      <c r="F269" s="281"/>
      <c r="G269" s="281"/>
      <c r="H269" s="281"/>
      <c r="I269" s="274"/>
      <c r="J269" s="274"/>
      <c r="K269" s="275"/>
      <c r="P269" s="275"/>
      <c r="R269" s="275"/>
    </row>
    <row r="270" ht="22.5" customHeight="1">
      <c r="A270" s="258" t="str">
        <f t="shared" si="1"/>
        <v>-</v>
      </c>
      <c r="B270" s="274"/>
      <c r="C270" s="274"/>
      <c r="F270" s="281"/>
      <c r="G270" s="281"/>
      <c r="H270" s="281"/>
      <c r="I270" s="274"/>
      <c r="J270" s="274"/>
      <c r="K270" s="275"/>
      <c r="P270" s="275"/>
      <c r="R270" s="275"/>
    </row>
    <row r="271" ht="22.5" customHeight="1">
      <c r="A271" s="258" t="str">
        <f t="shared" si="1"/>
        <v>-</v>
      </c>
      <c r="B271" s="274"/>
      <c r="C271" s="274"/>
      <c r="F271" s="281"/>
      <c r="G271" s="281"/>
      <c r="H271" s="281"/>
      <c r="I271" s="274"/>
      <c r="J271" s="274"/>
      <c r="K271" s="275"/>
      <c r="P271" s="275"/>
      <c r="R271" s="275"/>
    </row>
    <row r="272" ht="22.5" customHeight="1">
      <c r="A272" s="258" t="str">
        <f t="shared" si="1"/>
        <v>-</v>
      </c>
      <c r="B272" s="274"/>
      <c r="C272" s="274"/>
      <c r="F272" s="281"/>
      <c r="G272" s="281"/>
      <c r="H272" s="281"/>
      <c r="I272" s="274"/>
      <c r="J272" s="274"/>
      <c r="K272" s="275"/>
      <c r="P272" s="275"/>
      <c r="R272" s="275"/>
    </row>
    <row r="273" ht="22.5" customHeight="1">
      <c r="A273" s="258" t="str">
        <f t="shared" si="1"/>
        <v>-</v>
      </c>
      <c r="B273" s="274"/>
      <c r="C273" s="274"/>
      <c r="F273" s="281"/>
      <c r="G273" s="281"/>
      <c r="H273" s="281"/>
      <c r="I273" s="274"/>
      <c r="J273" s="274"/>
      <c r="K273" s="275"/>
      <c r="P273" s="275"/>
      <c r="R273" s="275"/>
    </row>
    <row r="274" ht="22.5" customHeight="1">
      <c r="A274" s="258" t="str">
        <f t="shared" si="1"/>
        <v>-</v>
      </c>
      <c r="B274" s="274"/>
      <c r="C274" s="274"/>
      <c r="F274" s="281"/>
      <c r="G274" s="281"/>
      <c r="H274" s="281"/>
      <c r="I274" s="274"/>
      <c r="J274" s="274"/>
      <c r="K274" s="275"/>
      <c r="P274" s="275"/>
      <c r="R274" s="275"/>
    </row>
    <row r="275" ht="22.5" customHeight="1">
      <c r="A275" s="258" t="str">
        <f t="shared" si="1"/>
        <v>-</v>
      </c>
      <c r="B275" s="274"/>
      <c r="C275" s="274"/>
      <c r="F275" s="281"/>
      <c r="G275" s="281"/>
      <c r="H275" s="281"/>
      <c r="I275" s="274"/>
      <c r="J275" s="274"/>
      <c r="K275" s="275"/>
      <c r="P275" s="275"/>
      <c r="R275" s="275"/>
    </row>
    <row r="276" ht="22.5" customHeight="1">
      <c r="A276" s="258" t="str">
        <f t="shared" si="1"/>
        <v>-</v>
      </c>
      <c r="B276" s="274"/>
      <c r="C276" s="274"/>
      <c r="F276" s="281"/>
      <c r="G276" s="281"/>
      <c r="H276" s="281"/>
      <c r="I276" s="274"/>
      <c r="J276" s="274"/>
      <c r="K276" s="275"/>
      <c r="P276" s="275"/>
      <c r="R276" s="275"/>
    </row>
    <row r="277" ht="22.5" customHeight="1">
      <c r="A277" s="258" t="str">
        <f t="shared" si="1"/>
        <v>-</v>
      </c>
      <c r="B277" s="274"/>
      <c r="C277" s="274"/>
      <c r="F277" s="281"/>
      <c r="G277" s="281"/>
      <c r="H277" s="281"/>
      <c r="I277" s="274"/>
      <c r="J277" s="274"/>
      <c r="K277" s="275"/>
      <c r="P277" s="275"/>
      <c r="R277" s="275"/>
    </row>
    <row r="278" ht="22.5" customHeight="1">
      <c r="A278" s="258" t="str">
        <f t="shared" si="1"/>
        <v>-</v>
      </c>
      <c r="B278" s="274"/>
      <c r="C278" s="274"/>
      <c r="F278" s="281"/>
      <c r="G278" s="281"/>
      <c r="H278" s="281"/>
      <c r="I278" s="274"/>
      <c r="J278" s="274"/>
      <c r="K278" s="275"/>
      <c r="P278" s="275"/>
      <c r="R278" s="275"/>
    </row>
    <row r="279" ht="22.5" customHeight="1">
      <c r="A279" s="258" t="str">
        <f t="shared" si="1"/>
        <v>-</v>
      </c>
      <c r="B279" s="274"/>
      <c r="C279" s="274"/>
      <c r="F279" s="281"/>
      <c r="G279" s="281"/>
      <c r="H279" s="281"/>
      <c r="I279" s="274"/>
      <c r="J279" s="274"/>
      <c r="K279" s="275"/>
      <c r="P279" s="275"/>
      <c r="R279" s="275"/>
    </row>
    <row r="280" ht="22.5" customHeight="1">
      <c r="A280" s="258" t="str">
        <f t="shared" si="1"/>
        <v>-</v>
      </c>
      <c r="B280" s="274"/>
      <c r="C280" s="274"/>
      <c r="F280" s="281"/>
      <c r="G280" s="281"/>
      <c r="H280" s="281"/>
      <c r="I280" s="274"/>
      <c r="J280" s="274"/>
      <c r="K280" s="275"/>
      <c r="P280" s="275"/>
      <c r="R280" s="275"/>
    </row>
    <row r="281" ht="22.5" customHeight="1">
      <c r="A281" s="258" t="str">
        <f t="shared" si="1"/>
        <v>-</v>
      </c>
      <c r="B281" s="274"/>
      <c r="C281" s="274"/>
      <c r="F281" s="281"/>
      <c r="G281" s="281"/>
      <c r="H281" s="281"/>
      <c r="I281" s="274"/>
      <c r="J281" s="274"/>
      <c r="K281" s="275"/>
      <c r="P281" s="275"/>
      <c r="R281" s="275"/>
    </row>
    <row r="282" ht="22.5" customHeight="1">
      <c r="A282" s="258" t="str">
        <f t="shared" si="1"/>
        <v>-</v>
      </c>
      <c r="B282" s="274"/>
      <c r="C282" s="274"/>
      <c r="F282" s="281"/>
      <c r="G282" s="281"/>
      <c r="H282" s="281"/>
      <c r="I282" s="274"/>
      <c r="J282" s="274"/>
      <c r="K282" s="275"/>
      <c r="P282" s="275"/>
      <c r="R282" s="275"/>
    </row>
    <row r="283" ht="22.5" customHeight="1">
      <c r="A283" s="258" t="str">
        <f t="shared" si="1"/>
        <v>-</v>
      </c>
      <c r="B283" s="274"/>
      <c r="C283" s="274"/>
      <c r="F283" s="281"/>
      <c r="G283" s="281"/>
      <c r="H283" s="281"/>
      <c r="I283" s="274"/>
      <c r="J283" s="274"/>
      <c r="K283" s="275"/>
      <c r="P283" s="275"/>
      <c r="R283" s="275"/>
    </row>
    <row r="284" ht="22.5" customHeight="1">
      <c r="A284" s="258" t="str">
        <f t="shared" si="1"/>
        <v>-</v>
      </c>
      <c r="B284" s="274"/>
      <c r="C284" s="274"/>
      <c r="F284" s="281"/>
      <c r="G284" s="281"/>
      <c r="H284" s="281"/>
      <c r="I284" s="274"/>
      <c r="J284" s="274"/>
      <c r="K284" s="275"/>
      <c r="P284" s="275"/>
      <c r="R284" s="275"/>
    </row>
    <row r="285" ht="22.5" customHeight="1">
      <c r="A285" s="258" t="str">
        <f t="shared" si="1"/>
        <v>-</v>
      </c>
      <c r="B285" s="274"/>
      <c r="C285" s="274"/>
      <c r="F285" s="281"/>
      <c r="G285" s="281"/>
      <c r="H285" s="281"/>
      <c r="I285" s="274"/>
      <c r="J285" s="274"/>
      <c r="K285" s="275"/>
      <c r="P285" s="275"/>
      <c r="R285" s="275"/>
    </row>
    <row r="286" ht="22.5" customHeight="1">
      <c r="A286" s="258" t="str">
        <f t="shared" si="1"/>
        <v>-</v>
      </c>
      <c r="B286" s="274"/>
      <c r="C286" s="274"/>
      <c r="F286" s="281"/>
      <c r="G286" s="281"/>
      <c r="H286" s="281"/>
      <c r="I286" s="274"/>
      <c r="J286" s="274"/>
      <c r="K286" s="275"/>
      <c r="P286" s="275"/>
      <c r="R286" s="275"/>
    </row>
    <row r="287" ht="22.5" customHeight="1">
      <c r="A287" s="258" t="str">
        <f t="shared" si="1"/>
        <v>-</v>
      </c>
      <c r="B287" s="274"/>
      <c r="C287" s="274"/>
      <c r="F287" s="281"/>
      <c r="G287" s="281"/>
      <c r="H287" s="281"/>
      <c r="I287" s="274"/>
      <c r="J287" s="274"/>
      <c r="K287" s="275"/>
      <c r="P287" s="275"/>
      <c r="R287" s="275"/>
    </row>
    <row r="288" ht="22.5" customHeight="1">
      <c r="A288" s="258" t="str">
        <f t="shared" si="1"/>
        <v>-</v>
      </c>
      <c r="B288" s="274"/>
      <c r="C288" s="274"/>
      <c r="F288" s="281"/>
      <c r="G288" s="281"/>
      <c r="H288" s="281"/>
      <c r="I288" s="274"/>
      <c r="J288" s="274"/>
      <c r="K288" s="275"/>
      <c r="P288" s="275"/>
      <c r="R288" s="275"/>
    </row>
    <row r="289" ht="22.5" customHeight="1">
      <c r="A289" s="258" t="str">
        <f t="shared" si="1"/>
        <v>-</v>
      </c>
      <c r="B289" s="274"/>
      <c r="C289" s="274"/>
      <c r="F289" s="281"/>
      <c r="G289" s="281"/>
      <c r="H289" s="281"/>
      <c r="I289" s="274"/>
      <c r="J289" s="274"/>
      <c r="K289" s="275"/>
      <c r="P289" s="275"/>
      <c r="R289" s="275"/>
    </row>
    <row r="290" ht="22.5" customHeight="1">
      <c r="A290" s="258" t="str">
        <f t="shared" si="1"/>
        <v>-</v>
      </c>
      <c r="B290" s="274"/>
      <c r="C290" s="274"/>
      <c r="F290" s="281"/>
      <c r="G290" s="281"/>
      <c r="H290" s="281"/>
      <c r="I290" s="274"/>
      <c r="J290" s="274"/>
      <c r="K290" s="275"/>
      <c r="P290" s="275"/>
      <c r="R290" s="275"/>
    </row>
    <row r="291" ht="22.5" customHeight="1">
      <c r="A291" s="258" t="str">
        <f t="shared" si="1"/>
        <v>-</v>
      </c>
      <c r="B291" s="274"/>
      <c r="C291" s="274"/>
      <c r="F291" s="281"/>
      <c r="G291" s="281"/>
      <c r="H291" s="281"/>
      <c r="I291" s="274"/>
      <c r="J291" s="274"/>
      <c r="K291" s="275"/>
      <c r="P291" s="275"/>
      <c r="R291" s="275"/>
    </row>
    <row r="292" ht="22.5" customHeight="1">
      <c r="A292" s="258" t="str">
        <f t="shared" si="1"/>
        <v>-</v>
      </c>
      <c r="B292" s="274"/>
      <c r="C292" s="274"/>
      <c r="F292" s="281"/>
      <c r="G292" s="281"/>
      <c r="H292" s="281"/>
      <c r="I292" s="274"/>
      <c r="J292" s="274"/>
      <c r="K292" s="275"/>
      <c r="P292" s="275"/>
      <c r="R292" s="275"/>
    </row>
    <row r="293" ht="22.5" customHeight="1">
      <c r="A293" s="258" t="str">
        <f t="shared" si="1"/>
        <v>-</v>
      </c>
      <c r="B293" s="274"/>
      <c r="C293" s="274"/>
      <c r="F293" s="281"/>
      <c r="G293" s="281"/>
      <c r="H293" s="281"/>
      <c r="I293" s="274"/>
      <c r="J293" s="274"/>
      <c r="K293" s="275"/>
      <c r="P293" s="275"/>
      <c r="R293" s="275"/>
    </row>
    <row r="294" ht="22.5" customHeight="1">
      <c r="A294" s="258" t="str">
        <f t="shared" si="1"/>
        <v>-</v>
      </c>
      <c r="B294" s="274"/>
      <c r="C294" s="274"/>
      <c r="F294" s="281"/>
      <c r="G294" s="281"/>
      <c r="H294" s="281"/>
      <c r="I294" s="274"/>
      <c r="J294" s="274"/>
      <c r="K294" s="275"/>
      <c r="P294" s="275"/>
      <c r="R294" s="275"/>
    </row>
    <row r="295" ht="22.5" customHeight="1">
      <c r="A295" s="258" t="str">
        <f t="shared" si="1"/>
        <v>-</v>
      </c>
      <c r="B295" s="274"/>
      <c r="C295" s="274"/>
      <c r="F295" s="281"/>
      <c r="G295" s="281"/>
      <c r="H295" s="281"/>
      <c r="I295" s="274"/>
      <c r="J295" s="274"/>
      <c r="K295" s="275"/>
      <c r="P295" s="275"/>
      <c r="R295" s="275"/>
    </row>
    <row r="296" ht="22.5" customHeight="1">
      <c r="A296" s="258" t="str">
        <f t="shared" si="1"/>
        <v>-</v>
      </c>
      <c r="B296" s="274"/>
      <c r="C296" s="274"/>
      <c r="F296" s="281"/>
      <c r="G296" s="281"/>
      <c r="H296" s="281"/>
      <c r="I296" s="274"/>
      <c r="J296" s="274"/>
      <c r="K296" s="275"/>
      <c r="P296" s="275"/>
      <c r="R296" s="275"/>
    </row>
    <row r="297" ht="22.5" customHeight="1">
      <c r="A297" s="258" t="str">
        <f t="shared" si="1"/>
        <v>-</v>
      </c>
      <c r="B297" s="274"/>
      <c r="C297" s="274"/>
      <c r="F297" s="281"/>
      <c r="G297" s="281"/>
      <c r="H297" s="281"/>
      <c r="I297" s="274"/>
      <c r="J297" s="274"/>
      <c r="K297" s="275"/>
      <c r="P297" s="275"/>
      <c r="R297" s="275"/>
    </row>
    <row r="298" ht="22.5" customHeight="1">
      <c r="A298" s="258" t="str">
        <f t="shared" si="1"/>
        <v>-</v>
      </c>
      <c r="B298" s="274"/>
      <c r="C298" s="274"/>
      <c r="F298" s="281"/>
      <c r="G298" s="281"/>
      <c r="H298" s="281"/>
      <c r="I298" s="274"/>
      <c r="J298" s="274"/>
      <c r="K298" s="275"/>
      <c r="P298" s="275"/>
      <c r="R298" s="275"/>
    </row>
    <row r="299" ht="22.5" customHeight="1">
      <c r="A299" s="258" t="str">
        <f t="shared" si="1"/>
        <v>-</v>
      </c>
      <c r="B299" s="274"/>
      <c r="C299" s="274"/>
      <c r="F299" s="281"/>
      <c r="G299" s="281"/>
      <c r="H299" s="281"/>
      <c r="I299" s="274"/>
      <c r="J299" s="274"/>
      <c r="K299" s="275"/>
      <c r="P299" s="275"/>
      <c r="R299" s="275"/>
    </row>
    <row r="300" ht="22.5" customHeight="1">
      <c r="A300" s="258" t="str">
        <f t="shared" si="1"/>
        <v>-</v>
      </c>
      <c r="B300" s="274"/>
      <c r="C300" s="274"/>
      <c r="F300" s="281"/>
      <c r="G300" s="281"/>
      <c r="H300" s="281"/>
      <c r="I300" s="274"/>
      <c r="J300" s="274"/>
      <c r="K300" s="275"/>
      <c r="P300" s="275"/>
      <c r="R300" s="275"/>
    </row>
    <row r="301" ht="22.5" customHeight="1">
      <c r="A301" s="258" t="str">
        <f t="shared" si="1"/>
        <v>-</v>
      </c>
      <c r="B301" s="274"/>
      <c r="C301" s="274"/>
      <c r="F301" s="281"/>
      <c r="G301" s="281"/>
      <c r="H301" s="281"/>
      <c r="I301" s="274"/>
      <c r="J301" s="274"/>
      <c r="K301" s="275"/>
      <c r="P301" s="275"/>
      <c r="R301" s="275"/>
    </row>
    <row r="302" ht="22.5" customHeight="1">
      <c r="A302" s="258" t="str">
        <f t="shared" si="1"/>
        <v>-</v>
      </c>
      <c r="B302" s="274"/>
      <c r="C302" s="274"/>
      <c r="F302" s="281"/>
      <c r="G302" s="281"/>
      <c r="H302" s="281"/>
      <c r="I302" s="274"/>
      <c r="J302" s="274"/>
      <c r="K302" s="275"/>
      <c r="P302" s="275"/>
      <c r="R302" s="275"/>
    </row>
    <row r="303" ht="22.5" customHeight="1">
      <c r="A303" s="258" t="str">
        <f t="shared" si="1"/>
        <v>-</v>
      </c>
      <c r="B303" s="274"/>
      <c r="C303" s="274"/>
      <c r="F303" s="281"/>
      <c r="G303" s="281"/>
      <c r="H303" s="281"/>
      <c r="I303" s="274"/>
      <c r="J303" s="274"/>
      <c r="K303" s="275"/>
      <c r="P303" s="275"/>
      <c r="R303" s="275"/>
    </row>
    <row r="304" ht="22.5" customHeight="1">
      <c r="A304" s="258" t="str">
        <f t="shared" si="1"/>
        <v>-</v>
      </c>
      <c r="B304" s="274"/>
      <c r="C304" s="274"/>
      <c r="F304" s="281"/>
      <c r="G304" s="281"/>
      <c r="H304" s="281"/>
      <c r="I304" s="274"/>
      <c r="J304" s="274"/>
      <c r="K304" s="275"/>
      <c r="P304" s="275"/>
      <c r="R304" s="275"/>
    </row>
    <row r="305" ht="22.5" customHeight="1">
      <c r="A305" s="258" t="str">
        <f t="shared" si="1"/>
        <v>-</v>
      </c>
      <c r="B305" s="274"/>
      <c r="C305" s="274"/>
      <c r="F305" s="281"/>
      <c r="G305" s="281"/>
      <c r="H305" s="281"/>
      <c r="I305" s="274"/>
      <c r="J305" s="274"/>
      <c r="K305" s="275"/>
      <c r="P305" s="275"/>
      <c r="R305" s="275"/>
    </row>
    <row r="306" ht="22.5" customHeight="1">
      <c r="A306" s="258" t="str">
        <f t="shared" si="1"/>
        <v>-</v>
      </c>
      <c r="B306" s="274"/>
      <c r="C306" s="274"/>
      <c r="F306" s="281"/>
      <c r="G306" s="281"/>
      <c r="H306" s="281"/>
      <c r="I306" s="274"/>
      <c r="J306" s="274"/>
      <c r="K306" s="275"/>
      <c r="P306" s="275"/>
      <c r="R306" s="275"/>
    </row>
    <row r="307" ht="22.5" customHeight="1">
      <c r="A307" s="258" t="str">
        <f t="shared" si="1"/>
        <v>-</v>
      </c>
      <c r="B307" s="274"/>
      <c r="C307" s="274"/>
      <c r="F307" s="281"/>
      <c r="G307" s="281"/>
      <c r="H307" s="281"/>
      <c r="I307" s="274"/>
      <c r="J307" s="274"/>
      <c r="K307" s="275"/>
      <c r="P307" s="275"/>
      <c r="R307" s="275"/>
    </row>
    <row r="308" ht="22.5" customHeight="1">
      <c r="A308" s="258" t="str">
        <f t="shared" si="1"/>
        <v>-</v>
      </c>
      <c r="B308" s="274"/>
      <c r="C308" s="274"/>
      <c r="F308" s="281"/>
      <c r="G308" s="281"/>
      <c r="H308" s="281"/>
      <c r="I308" s="274"/>
      <c r="J308" s="274"/>
      <c r="K308" s="275"/>
      <c r="P308" s="275"/>
      <c r="R308" s="275"/>
    </row>
    <row r="309" ht="22.5" customHeight="1">
      <c r="A309" s="258" t="str">
        <f t="shared" si="1"/>
        <v>-</v>
      </c>
      <c r="B309" s="274"/>
      <c r="C309" s="274"/>
      <c r="F309" s="281"/>
      <c r="G309" s="281"/>
      <c r="H309" s="281"/>
      <c r="I309" s="274"/>
      <c r="J309" s="274"/>
      <c r="K309" s="275"/>
      <c r="P309" s="275"/>
      <c r="R309" s="275"/>
    </row>
    <row r="310" ht="22.5" customHeight="1">
      <c r="A310" s="258" t="str">
        <f t="shared" si="1"/>
        <v>-</v>
      </c>
      <c r="B310" s="274"/>
      <c r="C310" s="274"/>
      <c r="F310" s="281"/>
      <c r="G310" s="281"/>
      <c r="H310" s="281"/>
      <c r="I310" s="274"/>
      <c r="J310" s="274"/>
      <c r="K310" s="275"/>
      <c r="P310" s="275"/>
      <c r="R310" s="275"/>
    </row>
    <row r="311" ht="22.5" customHeight="1">
      <c r="A311" s="258" t="str">
        <f t="shared" si="1"/>
        <v>-</v>
      </c>
      <c r="B311" s="274"/>
      <c r="C311" s="274"/>
      <c r="F311" s="281"/>
      <c r="G311" s="281"/>
      <c r="H311" s="281"/>
      <c r="I311" s="274"/>
      <c r="J311" s="274"/>
      <c r="K311" s="275"/>
      <c r="P311" s="275"/>
      <c r="R311" s="275"/>
    </row>
    <row r="312" ht="22.5" customHeight="1">
      <c r="A312" s="258" t="str">
        <f t="shared" si="1"/>
        <v>-</v>
      </c>
      <c r="B312" s="274"/>
      <c r="C312" s="274"/>
      <c r="F312" s="281"/>
      <c r="G312" s="281"/>
      <c r="H312" s="281"/>
      <c r="I312" s="274"/>
      <c r="J312" s="274"/>
      <c r="K312" s="275"/>
      <c r="P312" s="275"/>
      <c r="R312" s="275"/>
    </row>
    <row r="313" ht="22.5" customHeight="1">
      <c r="A313" s="258" t="str">
        <f t="shared" si="1"/>
        <v>-</v>
      </c>
      <c r="B313" s="274"/>
      <c r="C313" s="274"/>
      <c r="F313" s="281"/>
      <c r="G313" s="281"/>
      <c r="H313" s="281"/>
      <c r="I313" s="274"/>
      <c r="J313" s="274"/>
      <c r="K313" s="275"/>
      <c r="P313" s="275"/>
      <c r="R313" s="275"/>
    </row>
    <row r="314" ht="22.5" customHeight="1">
      <c r="A314" s="258" t="str">
        <f t="shared" si="1"/>
        <v>-</v>
      </c>
      <c r="B314" s="274"/>
      <c r="C314" s="274"/>
      <c r="F314" s="281"/>
      <c r="G314" s="281"/>
      <c r="H314" s="281"/>
      <c r="I314" s="274"/>
      <c r="J314" s="274"/>
      <c r="K314" s="275"/>
      <c r="P314" s="275"/>
      <c r="R314" s="275"/>
    </row>
    <row r="315" ht="22.5" customHeight="1">
      <c r="A315" s="258" t="str">
        <f t="shared" si="1"/>
        <v>-</v>
      </c>
      <c r="B315" s="274"/>
      <c r="C315" s="274"/>
      <c r="F315" s="281"/>
      <c r="G315" s="281"/>
      <c r="H315" s="281"/>
      <c r="I315" s="274"/>
      <c r="J315" s="274"/>
      <c r="K315" s="275"/>
      <c r="P315" s="275"/>
      <c r="R315" s="275"/>
    </row>
    <row r="316" ht="22.5" customHeight="1">
      <c r="A316" s="258" t="str">
        <f t="shared" si="1"/>
        <v>-</v>
      </c>
      <c r="B316" s="274"/>
      <c r="C316" s="274"/>
      <c r="F316" s="281"/>
      <c r="G316" s="281"/>
      <c r="H316" s="281"/>
      <c r="I316" s="274"/>
      <c r="J316" s="274"/>
      <c r="K316" s="275"/>
      <c r="P316" s="275"/>
      <c r="R316" s="275"/>
    </row>
    <row r="317" ht="22.5" customHeight="1">
      <c r="A317" s="258" t="str">
        <f t="shared" si="1"/>
        <v>-</v>
      </c>
      <c r="B317" s="274"/>
      <c r="C317" s="274"/>
      <c r="F317" s="281"/>
      <c r="G317" s="281"/>
      <c r="H317" s="281"/>
      <c r="I317" s="274"/>
      <c r="J317" s="274"/>
      <c r="K317" s="275"/>
      <c r="P317" s="275"/>
      <c r="R317" s="275"/>
    </row>
    <row r="318" ht="22.5" customHeight="1">
      <c r="A318" s="258" t="str">
        <f t="shared" si="1"/>
        <v>-</v>
      </c>
      <c r="B318" s="274"/>
      <c r="C318" s="274"/>
      <c r="F318" s="281"/>
      <c r="G318" s="281"/>
      <c r="H318" s="281"/>
      <c r="I318" s="274"/>
      <c r="J318" s="274"/>
      <c r="K318" s="275"/>
      <c r="P318" s="275"/>
      <c r="R318" s="275"/>
    </row>
    <row r="319" ht="22.5" customHeight="1">
      <c r="A319" s="258" t="str">
        <f t="shared" si="1"/>
        <v>-</v>
      </c>
      <c r="B319" s="274"/>
      <c r="C319" s="274"/>
      <c r="F319" s="281"/>
      <c r="G319" s="281"/>
      <c r="H319" s="281"/>
      <c r="I319" s="274"/>
      <c r="J319" s="274"/>
      <c r="K319" s="275"/>
      <c r="P319" s="275"/>
      <c r="R319" s="275"/>
    </row>
    <row r="320" ht="22.5" customHeight="1">
      <c r="A320" s="258" t="str">
        <f t="shared" si="1"/>
        <v>-</v>
      </c>
      <c r="B320" s="274"/>
      <c r="C320" s="274"/>
      <c r="F320" s="281"/>
      <c r="G320" s="281"/>
      <c r="H320" s="281"/>
      <c r="I320" s="274"/>
      <c r="J320" s="274"/>
      <c r="K320" s="275"/>
      <c r="P320" s="275"/>
      <c r="R320" s="275"/>
    </row>
    <row r="321" ht="22.5" customHeight="1">
      <c r="A321" s="258" t="str">
        <f t="shared" si="1"/>
        <v>-</v>
      </c>
      <c r="B321" s="274"/>
      <c r="C321" s="274"/>
      <c r="F321" s="281"/>
      <c r="G321" s="281"/>
      <c r="H321" s="281"/>
      <c r="I321" s="274"/>
      <c r="J321" s="274"/>
      <c r="K321" s="275"/>
      <c r="P321" s="275"/>
      <c r="R321" s="275"/>
    </row>
    <row r="322" ht="22.5" customHeight="1">
      <c r="A322" s="258" t="str">
        <f t="shared" si="1"/>
        <v>-</v>
      </c>
      <c r="B322" s="274"/>
      <c r="C322" s="274"/>
      <c r="F322" s="281"/>
      <c r="G322" s="281"/>
      <c r="H322" s="281"/>
      <c r="I322" s="274"/>
      <c r="J322" s="274"/>
      <c r="K322" s="275"/>
      <c r="P322" s="275"/>
      <c r="R322" s="275"/>
    </row>
    <row r="323" ht="22.5" customHeight="1">
      <c r="A323" s="258" t="str">
        <f t="shared" si="1"/>
        <v>-</v>
      </c>
      <c r="B323" s="274"/>
      <c r="C323" s="274"/>
      <c r="F323" s="281"/>
      <c r="G323" s="281"/>
      <c r="H323" s="281"/>
      <c r="I323" s="274"/>
      <c r="J323" s="274"/>
      <c r="K323" s="275"/>
      <c r="P323" s="275"/>
      <c r="R323" s="275"/>
    </row>
    <row r="324" ht="22.5" customHeight="1">
      <c r="A324" s="258" t="str">
        <f t="shared" si="1"/>
        <v>-</v>
      </c>
      <c r="B324" s="274"/>
      <c r="C324" s="274"/>
      <c r="F324" s="281"/>
      <c r="G324" s="281"/>
      <c r="H324" s="281"/>
      <c r="I324" s="274"/>
      <c r="J324" s="274"/>
      <c r="K324" s="275"/>
      <c r="P324" s="275"/>
      <c r="R324" s="275"/>
    </row>
    <row r="325" ht="22.5" customHeight="1">
      <c r="A325" s="258" t="str">
        <f t="shared" si="1"/>
        <v>-</v>
      </c>
      <c r="B325" s="274"/>
      <c r="C325" s="274"/>
      <c r="F325" s="281"/>
      <c r="G325" s="281"/>
      <c r="H325" s="281"/>
      <c r="I325" s="274"/>
      <c r="J325" s="274"/>
      <c r="K325" s="275"/>
      <c r="P325" s="275"/>
      <c r="R325" s="275"/>
    </row>
    <row r="326" ht="22.5" customHeight="1">
      <c r="A326" s="258" t="str">
        <f t="shared" si="1"/>
        <v>-</v>
      </c>
      <c r="B326" s="274"/>
      <c r="C326" s="274"/>
      <c r="F326" s="281"/>
      <c r="G326" s="281"/>
      <c r="H326" s="281"/>
      <c r="I326" s="274"/>
      <c r="J326" s="274"/>
      <c r="K326" s="275"/>
      <c r="P326" s="275"/>
      <c r="R326" s="275"/>
    </row>
    <row r="327" ht="22.5" customHeight="1">
      <c r="A327" s="258" t="str">
        <f t="shared" si="1"/>
        <v>-</v>
      </c>
      <c r="B327" s="274"/>
      <c r="C327" s="274"/>
      <c r="F327" s="281"/>
      <c r="G327" s="281"/>
      <c r="H327" s="281"/>
      <c r="I327" s="274"/>
      <c r="J327" s="274"/>
      <c r="K327" s="275"/>
      <c r="P327" s="275"/>
      <c r="R327" s="275"/>
    </row>
    <row r="328" ht="22.5" customHeight="1">
      <c r="A328" s="258" t="str">
        <f t="shared" si="1"/>
        <v>-</v>
      </c>
      <c r="B328" s="274"/>
      <c r="C328" s="274"/>
      <c r="F328" s="281"/>
      <c r="G328" s="281"/>
      <c r="H328" s="281"/>
      <c r="I328" s="274"/>
      <c r="J328" s="274"/>
      <c r="K328" s="275"/>
      <c r="P328" s="275"/>
      <c r="R328" s="275"/>
    </row>
    <row r="329" ht="22.5" customHeight="1">
      <c r="A329" s="258" t="str">
        <f t="shared" si="1"/>
        <v>-</v>
      </c>
      <c r="B329" s="274"/>
      <c r="C329" s="274"/>
      <c r="F329" s="281"/>
      <c r="G329" s="281"/>
      <c r="H329" s="281"/>
      <c r="I329" s="274"/>
      <c r="J329" s="274"/>
      <c r="K329" s="275"/>
      <c r="P329" s="275"/>
      <c r="R329" s="275"/>
    </row>
    <row r="330" ht="22.5" customHeight="1">
      <c r="A330" s="258" t="str">
        <f t="shared" si="1"/>
        <v>-</v>
      </c>
      <c r="B330" s="274"/>
      <c r="C330" s="274"/>
      <c r="F330" s="281"/>
      <c r="G330" s="281"/>
      <c r="H330" s="281"/>
      <c r="I330" s="274"/>
      <c r="J330" s="274"/>
      <c r="K330" s="275"/>
      <c r="P330" s="275"/>
      <c r="R330" s="275"/>
    </row>
    <row r="331" ht="22.5" customHeight="1">
      <c r="A331" s="258" t="str">
        <f t="shared" si="1"/>
        <v>-</v>
      </c>
      <c r="B331" s="274"/>
      <c r="C331" s="274"/>
      <c r="F331" s="281"/>
      <c r="G331" s="281"/>
      <c r="H331" s="281"/>
      <c r="I331" s="274"/>
      <c r="J331" s="274"/>
      <c r="K331" s="275"/>
      <c r="P331" s="275"/>
      <c r="R331" s="275"/>
    </row>
    <row r="332" ht="22.5" customHeight="1">
      <c r="A332" s="258" t="str">
        <f t="shared" si="1"/>
        <v>-</v>
      </c>
      <c r="B332" s="274"/>
      <c r="C332" s="274"/>
      <c r="F332" s="281"/>
      <c r="G332" s="281"/>
      <c r="H332" s="281"/>
      <c r="I332" s="274"/>
      <c r="J332" s="274"/>
      <c r="K332" s="275"/>
      <c r="P332" s="275"/>
      <c r="R332" s="275"/>
    </row>
    <row r="333" ht="22.5" customHeight="1">
      <c r="A333" s="258" t="str">
        <f t="shared" si="1"/>
        <v>-</v>
      </c>
      <c r="B333" s="274"/>
      <c r="C333" s="274"/>
      <c r="F333" s="281"/>
      <c r="G333" s="281"/>
      <c r="H333" s="281"/>
      <c r="I333" s="274"/>
      <c r="J333" s="274"/>
      <c r="K333" s="275"/>
      <c r="P333" s="275"/>
      <c r="R333" s="275"/>
    </row>
    <row r="334" ht="22.5" customHeight="1">
      <c r="A334" s="258" t="str">
        <f t="shared" si="1"/>
        <v>-</v>
      </c>
      <c r="B334" s="274"/>
      <c r="C334" s="274"/>
      <c r="F334" s="281"/>
      <c r="G334" s="281"/>
      <c r="H334" s="281"/>
      <c r="I334" s="274"/>
      <c r="J334" s="274"/>
      <c r="K334" s="275"/>
      <c r="P334" s="275"/>
      <c r="R334" s="275"/>
    </row>
    <row r="335" ht="22.5" customHeight="1">
      <c r="A335" s="258" t="str">
        <f t="shared" si="1"/>
        <v>-</v>
      </c>
      <c r="B335" s="274"/>
      <c r="C335" s="274"/>
      <c r="F335" s="281"/>
      <c r="G335" s="281"/>
      <c r="H335" s="281"/>
      <c r="I335" s="274"/>
      <c r="J335" s="274"/>
      <c r="K335" s="275"/>
      <c r="P335" s="275"/>
      <c r="R335" s="275"/>
    </row>
    <row r="336" ht="22.5" customHeight="1">
      <c r="A336" s="258" t="str">
        <f t="shared" si="1"/>
        <v>-</v>
      </c>
      <c r="B336" s="274"/>
      <c r="C336" s="274"/>
      <c r="F336" s="281"/>
      <c r="G336" s="281"/>
      <c r="H336" s="281"/>
      <c r="I336" s="274"/>
      <c r="J336" s="274"/>
      <c r="K336" s="275"/>
      <c r="P336" s="275"/>
      <c r="R336" s="275"/>
    </row>
    <row r="337" ht="22.5" customHeight="1">
      <c r="A337" s="258" t="str">
        <f t="shared" si="1"/>
        <v>-</v>
      </c>
      <c r="B337" s="274"/>
      <c r="C337" s="274"/>
      <c r="F337" s="281"/>
      <c r="G337" s="281"/>
      <c r="H337" s="281"/>
      <c r="I337" s="274"/>
      <c r="J337" s="274"/>
      <c r="K337" s="275"/>
      <c r="P337" s="275"/>
      <c r="R337" s="275"/>
    </row>
    <row r="338" ht="22.5" customHeight="1">
      <c r="A338" s="258" t="str">
        <f t="shared" si="1"/>
        <v>-</v>
      </c>
      <c r="B338" s="274"/>
      <c r="C338" s="274"/>
      <c r="F338" s="281"/>
      <c r="G338" s="281"/>
      <c r="H338" s="281"/>
      <c r="I338" s="274"/>
      <c r="J338" s="274"/>
      <c r="K338" s="275"/>
      <c r="P338" s="275"/>
      <c r="R338" s="275"/>
    </row>
    <row r="339" ht="22.5" customHeight="1">
      <c r="A339" s="258" t="str">
        <f t="shared" si="1"/>
        <v>-</v>
      </c>
      <c r="B339" s="274"/>
      <c r="C339" s="274"/>
      <c r="F339" s="281"/>
      <c r="G339" s="281"/>
      <c r="H339" s="281"/>
      <c r="I339" s="274"/>
      <c r="J339" s="274"/>
      <c r="K339" s="275"/>
      <c r="P339" s="275"/>
      <c r="R339" s="275"/>
    </row>
    <row r="340" ht="22.5" customHeight="1">
      <c r="A340" s="258" t="str">
        <f t="shared" si="1"/>
        <v>-</v>
      </c>
      <c r="B340" s="274"/>
      <c r="C340" s="274"/>
      <c r="F340" s="281"/>
      <c r="G340" s="281"/>
      <c r="H340" s="281"/>
      <c r="I340" s="274"/>
      <c r="J340" s="274"/>
      <c r="K340" s="275"/>
      <c r="P340" s="275"/>
      <c r="R340" s="275"/>
    </row>
    <row r="341" ht="22.5" customHeight="1">
      <c r="A341" s="258" t="str">
        <f t="shared" si="1"/>
        <v>-</v>
      </c>
      <c r="B341" s="274"/>
      <c r="C341" s="274"/>
      <c r="F341" s="281"/>
      <c r="G341" s="281"/>
      <c r="H341" s="281"/>
      <c r="I341" s="274"/>
      <c r="J341" s="274"/>
      <c r="K341" s="275"/>
      <c r="P341" s="275"/>
      <c r="R341" s="275"/>
    </row>
    <row r="342" ht="22.5" customHeight="1">
      <c r="A342" s="258" t="str">
        <f t="shared" si="1"/>
        <v>-</v>
      </c>
      <c r="B342" s="274"/>
      <c r="C342" s="274"/>
      <c r="F342" s="281"/>
      <c r="G342" s="281"/>
      <c r="H342" s="281"/>
      <c r="I342" s="274"/>
      <c r="J342" s="274"/>
      <c r="K342" s="275"/>
      <c r="P342" s="275"/>
      <c r="R342" s="275"/>
    </row>
    <row r="343" ht="22.5" customHeight="1">
      <c r="A343" s="258" t="str">
        <f t="shared" si="1"/>
        <v>-</v>
      </c>
      <c r="B343" s="274"/>
      <c r="C343" s="274"/>
      <c r="F343" s="281"/>
      <c r="G343" s="281"/>
      <c r="H343" s="281"/>
      <c r="I343" s="274"/>
      <c r="J343" s="274"/>
      <c r="K343" s="275"/>
      <c r="P343" s="275"/>
      <c r="R343" s="275"/>
    </row>
    <row r="344" ht="22.5" customHeight="1">
      <c r="A344" s="258" t="str">
        <f t="shared" si="1"/>
        <v>-</v>
      </c>
      <c r="B344" s="274"/>
      <c r="C344" s="274"/>
      <c r="F344" s="281"/>
      <c r="G344" s="281"/>
      <c r="H344" s="281"/>
      <c r="I344" s="274"/>
      <c r="J344" s="274"/>
      <c r="K344" s="275"/>
      <c r="P344" s="275"/>
      <c r="R344" s="275"/>
    </row>
    <row r="345" ht="22.5" customHeight="1">
      <c r="A345" s="258" t="str">
        <f t="shared" si="1"/>
        <v>-</v>
      </c>
      <c r="B345" s="274"/>
      <c r="C345" s="274"/>
      <c r="F345" s="281"/>
      <c r="G345" s="281"/>
      <c r="H345" s="281"/>
      <c r="I345" s="274"/>
      <c r="J345" s="274"/>
      <c r="K345" s="275"/>
      <c r="P345" s="275"/>
      <c r="R345" s="275"/>
    </row>
    <row r="346" ht="22.5" customHeight="1">
      <c r="A346" s="258" t="str">
        <f t="shared" si="1"/>
        <v>-</v>
      </c>
      <c r="B346" s="274"/>
      <c r="C346" s="274"/>
      <c r="F346" s="281"/>
      <c r="G346" s="281"/>
      <c r="H346" s="281"/>
      <c r="I346" s="274"/>
      <c r="J346" s="274"/>
      <c r="K346" s="275"/>
      <c r="P346" s="275"/>
      <c r="R346" s="275"/>
    </row>
    <row r="347" ht="22.5" customHeight="1">
      <c r="A347" s="258" t="str">
        <f t="shared" si="1"/>
        <v>-</v>
      </c>
      <c r="B347" s="274"/>
      <c r="C347" s="274"/>
      <c r="F347" s="281"/>
      <c r="G347" s="281"/>
      <c r="H347" s="281"/>
      <c r="I347" s="274"/>
      <c r="J347" s="274"/>
      <c r="K347" s="275"/>
      <c r="P347" s="275"/>
      <c r="R347" s="275"/>
    </row>
    <row r="348" ht="22.5" customHeight="1">
      <c r="A348" s="258" t="str">
        <f t="shared" si="1"/>
        <v>-</v>
      </c>
      <c r="B348" s="274"/>
      <c r="C348" s="274"/>
      <c r="F348" s="281"/>
      <c r="G348" s="281"/>
      <c r="H348" s="281"/>
      <c r="I348" s="274"/>
      <c r="J348" s="274"/>
      <c r="K348" s="275"/>
      <c r="P348" s="275"/>
      <c r="R348" s="275"/>
    </row>
    <row r="349" ht="22.5" customHeight="1">
      <c r="A349" s="258" t="str">
        <f t="shared" si="1"/>
        <v>-</v>
      </c>
      <c r="B349" s="274"/>
      <c r="C349" s="274"/>
      <c r="F349" s="281"/>
      <c r="G349" s="281"/>
      <c r="H349" s="281"/>
      <c r="I349" s="274"/>
      <c r="J349" s="274"/>
      <c r="K349" s="275"/>
      <c r="P349" s="275"/>
      <c r="R349" s="275"/>
    </row>
    <row r="350" ht="22.5" customHeight="1">
      <c r="A350" s="258" t="str">
        <f t="shared" si="1"/>
        <v>-</v>
      </c>
      <c r="B350" s="274"/>
      <c r="C350" s="274"/>
      <c r="F350" s="281"/>
      <c r="G350" s="281"/>
      <c r="H350" s="281"/>
      <c r="I350" s="274"/>
      <c r="J350" s="274"/>
      <c r="K350" s="275"/>
      <c r="P350" s="275"/>
      <c r="R350" s="275"/>
    </row>
    <row r="351" ht="22.5" customHeight="1">
      <c r="A351" s="258" t="str">
        <f t="shared" si="1"/>
        <v>-</v>
      </c>
      <c r="B351" s="274"/>
      <c r="C351" s="274"/>
      <c r="F351" s="281"/>
      <c r="G351" s="281"/>
      <c r="H351" s="281"/>
      <c r="I351" s="274"/>
      <c r="J351" s="274"/>
      <c r="K351" s="275"/>
      <c r="P351" s="275"/>
      <c r="R351" s="275"/>
    </row>
    <row r="352" ht="22.5" customHeight="1">
      <c r="A352" s="258" t="str">
        <f t="shared" si="1"/>
        <v>-</v>
      </c>
      <c r="B352" s="274"/>
      <c r="C352" s="274"/>
      <c r="F352" s="281"/>
      <c r="G352" s="281"/>
      <c r="H352" s="281"/>
      <c r="I352" s="274"/>
      <c r="J352" s="274"/>
      <c r="K352" s="275"/>
      <c r="P352" s="275"/>
      <c r="R352" s="275"/>
    </row>
    <row r="353" ht="22.5" customHeight="1">
      <c r="A353" s="258" t="str">
        <f t="shared" si="1"/>
        <v>-</v>
      </c>
      <c r="B353" s="274"/>
      <c r="C353" s="274"/>
      <c r="F353" s="281"/>
      <c r="G353" s="281"/>
      <c r="H353" s="281"/>
      <c r="I353" s="274"/>
      <c r="J353" s="274"/>
      <c r="K353" s="275"/>
      <c r="P353" s="275"/>
      <c r="R353" s="275"/>
    </row>
    <row r="354" ht="22.5" customHeight="1">
      <c r="A354" s="258" t="str">
        <f t="shared" si="1"/>
        <v>-</v>
      </c>
      <c r="B354" s="274"/>
      <c r="C354" s="274"/>
      <c r="F354" s="281"/>
      <c r="G354" s="281"/>
      <c r="H354" s="281"/>
      <c r="I354" s="274"/>
      <c r="J354" s="274"/>
      <c r="K354" s="275"/>
      <c r="P354" s="275"/>
      <c r="R354" s="275"/>
    </row>
    <row r="355" ht="22.5" customHeight="1">
      <c r="A355" s="258" t="str">
        <f t="shared" si="1"/>
        <v>-</v>
      </c>
      <c r="B355" s="274"/>
      <c r="C355" s="274"/>
      <c r="F355" s="281"/>
      <c r="G355" s="281"/>
      <c r="H355" s="281"/>
      <c r="I355" s="274"/>
      <c r="J355" s="274"/>
      <c r="K355" s="275"/>
      <c r="P355" s="275"/>
      <c r="R355" s="275"/>
    </row>
    <row r="356" ht="22.5" customHeight="1">
      <c r="A356" s="258" t="str">
        <f t="shared" si="1"/>
        <v>-</v>
      </c>
      <c r="B356" s="274"/>
      <c r="C356" s="274"/>
      <c r="F356" s="281"/>
      <c r="G356" s="281"/>
      <c r="H356" s="281"/>
      <c r="I356" s="274"/>
      <c r="J356" s="274"/>
      <c r="K356" s="275"/>
      <c r="P356" s="275"/>
      <c r="R356" s="275"/>
    </row>
    <row r="357" ht="22.5" customHeight="1">
      <c r="A357" s="258" t="str">
        <f t="shared" si="1"/>
        <v>-</v>
      </c>
      <c r="B357" s="274"/>
      <c r="C357" s="274"/>
      <c r="F357" s="281"/>
      <c r="G357" s="281"/>
      <c r="H357" s="281"/>
      <c r="I357" s="274"/>
      <c r="J357" s="274"/>
      <c r="K357" s="275"/>
      <c r="P357" s="275"/>
      <c r="R357" s="275"/>
    </row>
    <row r="358" ht="22.5" customHeight="1">
      <c r="A358" s="258" t="str">
        <f t="shared" si="1"/>
        <v>-</v>
      </c>
      <c r="B358" s="274"/>
      <c r="C358" s="274"/>
      <c r="F358" s="281"/>
      <c r="G358" s="281"/>
      <c r="H358" s="281"/>
      <c r="I358" s="274"/>
      <c r="J358" s="274"/>
      <c r="K358" s="275"/>
      <c r="P358" s="275"/>
      <c r="R358" s="275"/>
    </row>
    <row r="359" ht="22.5" customHeight="1">
      <c r="A359" s="258" t="str">
        <f t="shared" si="1"/>
        <v>-</v>
      </c>
      <c r="B359" s="274"/>
      <c r="C359" s="274"/>
      <c r="F359" s="281"/>
      <c r="G359" s="281"/>
      <c r="H359" s="281"/>
      <c r="I359" s="274"/>
      <c r="J359" s="274"/>
      <c r="K359" s="275"/>
      <c r="P359" s="275"/>
      <c r="R359" s="275"/>
    </row>
    <row r="360" ht="22.5" customHeight="1">
      <c r="A360" s="258" t="str">
        <f t="shared" si="1"/>
        <v>-</v>
      </c>
      <c r="B360" s="274"/>
      <c r="C360" s="274"/>
      <c r="F360" s="281"/>
      <c r="G360" s="281"/>
      <c r="H360" s="281"/>
      <c r="I360" s="274"/>
      <c r="J360" s="274"/>
      <c r="K360" s="275"/>
      <c r="P360" s="275"/>
      <c r="R360" s="275"/>
    </row>
    <row r="361" ht="22.5" customHeight="1">
      <c r="A361" s="258" t="str">
        <f t="shared" si="1"/>
        <v>-</v>
      </c>
      <c r="B361" s="274"/>
      <c r="C361" s="274"/>
      <c r="F361" s="281"/>
      <c r="G361" s="281"/>
      <c r="H361" s="281"/>
      <c r="I361" s="274"/>
      <c r="J361" s="274"/>
      <c r="K361" s="275"/>
      <c r="P361" s="275"/>
      <c r="R361" s="275"/>
    </row>
    <row r="362" ht="22.5" customHeight="1">
      <c r="A362" s="258" t="str">
        <f t="shared" si="1"/>
        <v>-</v>
      </c>
      <c r="B362" s="274"/>
      <c r="C362" s="274"/>
      <c r="F362" s="281"/>
      <c r="G362" s="281"/>
      <c r="H362" s="281"/>
      <c r="I362" s="274"/>
      <c r="J362" s="274"/>
      <c r="K362" s="275"/>
      <c r="P362" s="275"/>
      <c r="R362" s="275"/>
    </row>
    <row r="363" ht="22.5" customHeight="1">
      <c r="A363" s="258" t="str">
        <f t="shared" si="1"/>
        <v>-</v>
      </c>
      <c r="B363" s="274"/>
      <c r="C363" s="274"/>
      <c r="F363" s="281"/>
      <c r="G363" s="281"/>
      <c r="H363" s="281"/>
      <c r="I363" s="274"/>
      <c r="J363" s="274"/>
      <c r="K363" s="275"/>
      <c r="P363" s="275"/>
      <c r="R363" s="275"/>
    </row>
    <row r="364" ht="22.5" customHeight="1">
      <c r="A364" s="258" t="str">
        <f t="shared" si="1"/>
        <v>-</v>
      </c>
      <c r="B364" s="274"/>
      <c r="C364" s="274"/>
      <c r="F364" s="281"/>
      <c r="G364" s="281"/>
      <c r="H364" s="281"/>
      <c r="I364" s="274"/>
      <c r="J364" s="274"/>
      <c r="K364" s="275"/>
      <c r="P364" s="275"/>
      <c r="R364" s="275"/>
    </row>
    <row r="365" ht="22.5" customHeight="1">
      <c r="A365" s="258" t="str">
        <f t="shared" si="1"/>
        <v>-</v>
      </c>
      <c r="B365" s="274"/>
      <c r="C365" s="274"/>
      <c r="F365" s="281"/>
      <c r="G365" s="281"/>
      <c r="H365" s="281"/>
      <c r="I365" s="274"/>
      <c r="J365" s="274"/>
      <c r="K365" s="275"/>
      <c r="P365" s="275"/>
      <c r="R365" s="275"/>
    </row>
    <row r="366" ht="22.5" customHeight="1">
      <c r="A366" s="258" t="str">
        <f t="shared" si="1"/>
        <v>-</v>
      </c>
      <c r="B366" s="274"/>
      <c r="C366" s="274"/>
      <c r="F366" s="281"/>
      <c r="G366" s="281"/>
      <c r="H366" s="281"/>
      <c r="I366" s="274"/>
      <c r="J366" s="274"/>
      <c r="K366" s="275"/>
      <c r="P366" s="275"/>
      <c r="R366" s="275"/>
    </row>
    <row r="367" ht="22.5" customHeight="1">
      <c r="A367" s="258" t="str">
        <f t="shared" si="1"/>
        <v>-</v>
      </c>
      <c r="B367" s="274"/>
      <c r="C367" s="274"/>
      <c r="F367" s="281"/>
      <c r="G367" s="281"/>
      <c r="H367" s="281"/>
      <c r="I367" s="274"/>
      <c r="J367" s="274"/>
      <c r="K367" s="275"/>
      <c r="P367" s="275"/>
      <c r="R367" s="275"/>
    </row>
    <row r="368" ht="22.5" customHeight="1">
      <c r="A368" s="258" t="str">
        <f t="shared" si="1"/>
        <v>-</v>
      </c>
      <c r="B368" s="274"/>
      <c r="C368" s="274"/>
      <c r="F368" s="281"/>
      <c r="G368" s="281"/>
      <c r="H368" s="281"/>
      <c r="I368" s="274"/>
      <c r="J368" s="274"/>
      <c r="K368" s="275"/>
      <c r="P368" s="275"/>
      <c r="R368" s="275"/>
    </row>
    <row r="369" ht="22.5" customHeight="1">
      <c r="A369" s="258" t="str">
        <f t="shared" si="1"/>
        <v>-</v>
      </c>
      <c r="B369" s="274"/>
      <c r="C369" s="274"/>
      <c r="F369" s="281"/>
      <c r="G369" s="281"/>
      <c r="H369" s="281"/>
      <c r="I369" s="274"/>
      <c r="J369" s="274"/>
      <c r="K369" s="275"/>
      <c r="P369" s="275"/>
      <c r="R369" s="275"/>
    </row>
    <row r="370" ht="22.5" customHeight="1">
      <c r="A370" s="258" t="str">
        <f t="shared" si="1"/>
        <v>-</v>
      </c>
      <c r="B370" s="274"/>
      <c r="C370" s="274"/>
      <c r="F370" s="281"/>
      <c r="G370" s="281"/>
      <c r="H370" s="281"/>
      <c r="I370" s="274"/>
      <c r="J370" s="274"/>
      <c r="K370" s="275"/>
      <c r="P370" s="275"/>
      <c r="R370" s="275"/>
    </row>
    <row r="371" ht="22.5" customHeight="1">
      <c r="A371" s="258" t="str">
        <f t="shared" si="1"/>
        <v>-</v>
      </c>
      <c r="B371" s="274"/>
      <c r="C371" s="274"/>
      <c r="F371" s="281"/>
      <c r="G371" s="281"/>
      <c r="H371" s="281"/>
      <c r="I371" s="274"/>
      <c r="J371" s="274"/>
      <c r="K371" s="275"/>
      <c r="P371" s="275"/>
      <c r="R371" s="275"/>
    </row>
    <row r="372" ht="22.5" customHeight="1">
      <c r="A372" s="258" t="str">
        <f t="shared" si="1"/>
        <v>-</v>
      </c>
      <c r="B372" s="274"/>
      <c r="C372" s="274"/>
      <c r="F372" s="281"/>
      <c r="G372" s="281"/>
      <c r="H372" s="281"/>
      <c r="I372" s="274"/>
      <c r="J372" s="274"/>
      <c r="K372" s="275"/>
      <c r="P372" s="275"/>
      <c r="R372" s="275"/>
    </row>
    <row r="373" ht="22.5" customHeight="1">
      <c r="A373" s="258" t="str">
        <f t="shared" si="1"/>
        <v>-</v>
      </c>
      <c r="B373" s="274"/>
      <c r="C373" s="274"/>
      <c r="F373" s="281"/>
      <c r="G373" s="281"/>
      <c r="H373" s="281"/>
      <c r="I373" s="274"/>
      <c r="J373" s="274"/>
      <c r="K373" s="275"/>
      <c r="P373" s="275"/>
      <c r="R373" s="275"/>
    </row>
    <row r="374" ht="22.5" customHeight="1">
      <c r="A374" s="258" t="str">
        <f t="shared" si="1"/>
        <v>-</v>
      </c>
      <c r="B374" s="274"/>
      <c r="C374" s="274"/>
      <c r="F374" s="281"/>
      <c r="G374" s="281"/>
      <c r="H374" s="281"/>
      <c r="I374" s="274"/>
      <c r="J374" s="274"/>
      <c r="K374" s="275"/>
      <c r="P374" s="275"/>
      <c r="R374" s="275"/>
    </row>
    <row r="375" ht="22.5" customHeight="1">
      <c r="A375" s="258" t="str">
        <f t="shared" si="1"/>
        <v>-</v>
      </c>
      <c r="B375" s="274"/>
      <c r="C375" s="274"/>
      <c r="F375" s="281"/>
      <c r="G375" s="281"/>
      <c r="H375" s="281"/>
      <c r="I375" s="274"/>
      <c r="J375" s="274"/>
      <c r="K375" s="275"/>
      <c r="P375" s="275"/>
      <c r="R375" s="275"/>
    </row>
    <row r="376" ht="22.5" customHeight="1">
      <c r="A376" s="258" t="str">
        <f t="shared" si="1"/>
        <v>-</v>
      </c>
      <c r="B376" s="274"/>
      <c r="C376" s="274"/>
      <c r="F376" s="281"/>
      <c r="G376" s="281"/>
      <c r="H376" s="281"/>
      <c r="I376" s="274"/>
      <c r="J376" s="274"/>
      <c r="K376" s="275"/>
      <c r="P376" s="275"/>
      <c r="R376" s="275"/>
    </row>
    <row r="377" ht="22.5" customHeight="1">
      <c r="A377" s="258" t="str">
        <f t="shared" si="1"/>
        <v>-</v>
      </c>
      <c r="B377" s="274"/>
      <c r="C377" s="274"/>
      <c r="F377" s="281"/>
      <c r="G377" s="281"/>
      <c r="H377" s="281"/>
      <c r="I377" s="274"/>
      <c r="J377" s="274"/>
      <c r="K377" s="275"/>
      <c r="P377" s="275"/>
      <c r="R377" s="275"/>
    </row>
    <row r="378" ht="22.5" customHeight="1">
      <c r="A378" s="258" t="str">
        <f t="shared" si="1"/>
        <v>-</v>
      </c>
      <c r="B378" s="274"/>
      <c r="C378" s="274"/>
      <c r="F378" s="281"/>
      <c r="G378" s="281"/>
      <c r="H378" s="281"/>
      <c r="I378" s="274"/>
      <c r="J378" s="274"/>
      <c r="K378" s="275"/>
      <c r="P378" s="275"/>
      <c r="R378" s="275"/>
    </row>
    <row r="379" ht="22.5" customHeight="1">
      <c r="A379" s="258" t="str">
        <f t="shared" si="1"/>
        <v>-</v>
      </c>
      <c r="B379" s="274"/>
      <c r="C379" s="274"/>
      <c r="F379" s="281"/>
      <c r="G379" s="281"/>
      <c r="H379" s="281"/>
      <c r="I379" s="274"/>
      <c r="J379" s="274"/>
      <c r="K379" s="275"/>
      <c r="P379" s="275"/>
      <c r="R379" s="275"/>
    </row>
    <row r="380" ht="22.5" customHeight="1">
      <c r="A380" s="258" t="str">
        <f t="shared" si="1"/>
        <v>-</v>
      </c>
      <c r="B380" s="274"/>
      <c r="C380" s="274"/>
      <c r="F380" s="281"/>
      <c r="G380" s="281"/>
      <c r="H380" s="281"/>
      <c r="I380" s="274"/>
      <c r="J380" s="274"/>
      <c r="K380" s="275"/>
      <c r="P380" s="275"/>
      <c r="R380" s="275"/>
    </row>
    <row r="381" ht="22.5" customHeight="1">
      <c r="A381" s="258" t="str">
        <f t="shared" si="1"/>
        <v>-</v>
      </c>
      <c r="B381" s="274"/>
      <c r="C381" s="274"/>
      <c r="F381" s="281"/>
      <c r="G381" s="281"/>
      <c r="H381" s="281"/>
      <c r="I381" s="274"/>
      <c r="J381" s="274"/>
      <c r="K381" s="275"/>
      <c r="P381" s="275"/>
      <c r="R381" s="275"/>
    </row>
    <row r="382" ht="22.5" customHeight="1">
      <c r="A382" s="258" t="str">
        <f t="shared" si="1"/>
        <v>-</v>
      </c>
      <c r="B382" s="274"/>
      <c r="C382" s="274"/>
      <c r="F382" s="281"/>
      <c r="G382" s="281"/>
      <c r="H382" s="281"/>
      <c r="I382" s="274"/>
      <c r="J382" s="274"/>
      <c r="K382" s="275"/>
      <c r="P382" s="275"/>
      <c r="R382" s="275"/>
    </row>
    <row r="383" ht="22.5" customHeight="1">
      <c r="A383" s="258" t="str">
        <f t="shared" si="1"/>
        <v>-</v>
      </c>
      <c r="B383" s="274"/>
      <c r="C383" s="274"/>
      <c r="F383" s="281"/>
      <c r="G383" s="281"/>
      <c r="H383" s="281"/>
      <c r="I383" s="274"/>
      <c r="J383" s="274"/>
      <c r="K383" s="275"/>
      <c r="P383" s="275"/>
      <c r="R383" s="275"/>
    </row>
    <row r="384" ht="22.5" customHeight="1">
      <c r="A384" s="258" t="str">
        <f t="shared" si="1"/>
        <v>-</v>
      </c>
      <c r="B384" s="274"/>
      <c r="C384" s="274"/>
      <c r="F384" s="281"/>
      <c r="G384" s="281"/>
      <c r="H384" s="281"/>
      <c r="I384" s="274"/>
      <c r="J384" s="274"/>
      <c r="K384" s="275"/>
      <c r="P384" s="275"/>
      <c r="R384" s="275"/>
    </row>
    <row r="385" ht="22.5" customHeight="1">
      <c r="A385" s="258" t="str">
        <f t="shared" si="1"/>
        <v>-</v>
      </c>
      <c r="B385" s="274"/>
      <c r="C385" s="274"/>
      <c r="F385" s="281"/>
      <c r="G385" s="281"/>
      <c r="H385" s="281"/>
      <c r="I385" s="274"/>
      <c r="J385" s="274"/>
      <c r="K385" s="275"/>
      <c r="P385" s="275"/>
      <c r="R385" s="275"/>
    </row>
    <row r="386" ht="22.5" customHeight="1">
      <c r="A386" s="258" t="str">
        <f t="shared" si="1"/>
        <v>-</v>
      </c>
      <c r="B386" s="274"/>
      <c r="C386" s="274"/>
      <c r="F386" s="281"/>
      <c r="G386" s="281"/>
      <c r="H386" s="281"/>
      <c r="I386" s="274"/>
      <c r="J386" s="274"/>
      <c r="K386" s="275"/>
      <c r="P386" s="275"/>
      <c r="R386" s="275"/>
    </row>
    <row r="387" ht="22.5" customHeight="1">
      <c r="A387" s="258" t="str">
        <f t="shared" si="1"/>
        <v>-</v>
      </c>
      <c r="B387" s="274"/>
      <c r="C387" s="274"/>
      <c r="F387" s="281"/>
      <c r="G387" s="281"/>
      <c r="H387" s="281"/>
      <c r="I387" s="274"/>
      <c r="J387" s="274"/>
      <c r="K387" s="275"/>
      <c r="P387" s="275"/>
      <c r="R387" s="275"/>
    </row>
    <row r="388" ht="22.5" customHeight="1">
      <c r="A388" s="258" t="str">
        <f t="shared" si="1"/>
        <v>-</v>
      </c>
      <c r="B388" s="274"/>
      <c r="C388" s="274"/>
      <c r="F388" s="281"/>
      <c r="G388" s="281"/>
      <c r="H388" s="281"/>
      <c r="I388" s="274"/>
      <c r="J388" s="274"/>
      <c r="K388" s="275"/>
      <c r="P388" s="275"/>
      <c r="R388" s="275"/>
    </row>
    <row r="389" ht="22.5" customHeight="1">
      <c r="A389" s="258" t="str">
        <f t="shared" si="1"/>
        <v>-</v>
      </c>
      <c r="B389" s="274"/>
      <c r="C389" s="274"/>
      <c r="F389" s="281"/>
      <c r="G389" s="281"/>
      <c r="H389" s="281"/>
      <c r="I389" s="274"/>
      <c r="J389" s="274"/>
      <c r="K389" s="275"/>
      <c r="P389" s="275"/>
      <c r="R389" s="275"/>
    </row>
    <row r="390" ht="22.5" customHeight="1">
      <c r="A390" s="258" t="str">
        <f t="shared" si="1"/>
        <v>-</v>
      </c>
      <c r="B390" s="274"/>
      <c r="C390" s="274"/>
      <c r="F390" s="281"/>
      <c r="G390" s="281"/>
      <c r="H390" s="281"/>
      <c r="I390" s="274"/>
      <c r="J390" s="274"/>
      <c r="K390" s="275"/>
      <c r="P390" s="275"/>
      <c r="R390" s="275"/>
    </row>
    <row r="391" ht="22.5" customHeight="1">
      <c r="A391" s="258" t="str">
        <f t="shared" si="1"/>
        <v>-</v>
      </c>
      <c r="B391" s="274"/>
      <c r="C391" s="274"/>
      <c r="F391" s="281"/>
      <c r="G391" s="281"/>
      <c r="H391" s="281"/>
      <c r="I391" s="274"/>
      <c r="J391" s="274"/>
      <c r="K391" s="275"/>
      <c r="P391" s="275"/>
      <c r="R391" s="275"/>
    </row>
    <row r="392" ht="22.5" customHeight="1">
      <c r="A392" s="258" t="str">
        <f t="shared" si="1"/>
        <v>-</v>
      </c>
      <c r="B392" s="274"/>
      <c r="C392" s="274"/>
      <c r="F392" s="281"/>
      <c r="G392" s="281"/>
      <c r="H392" s="281"/>
      <c r="I392" s="274"/>
      <c r="J392" s="274"/>
      <c r="K392" s="275"/>
      <c r="P392" s="275"/>
      <c r="R392" s="275"/>
    </row>
    <row r="393" ht="22.5" customHeight="1">
      <c r="A393" s="258" t="str">
        <f t="shared" si="1"/>
        <v>-</v>
      </c>
      <c r="B393" s="274"/>
      <c r="C393" s="274"/>
      <c r="F393" s="281"/>
      <c r="G393" s="281"/>
      <c r="H393" s="281"/>
      <c r="I393" s="274"/>
      <c r="J393" s="274"/>
      <c r="K393" s="275"/>
      <c r="P393" s="275"/>
      <c r="R393" s="275"/>
    </row>
    <row r="394" ht="22.5" customHeight="1">
      <c r="A394" s="258" t="str">
        <f t="shared" si="1"/>
        <v>-</v>
      </c>
      <c r="B394" s="274"/>
      <c r="C394" s="274"/>
      <c r="F394" s="281"/>
      <c r="G394" s="281"/>
      <c r="H394" s="281"/>
      <c r="I394" s="274"/>
      <c r="J394" s="274"/>
      <c r="K394" s="275"/>
      <c r="P394" s="275"/>
      <c r="R394" s="275"/>
    </row>
    <row r="395" ht="22.5" customHeight="1">
      <c r="A395" s="258" t="str">
        <f t="shared" si="1"/>
        <v>-</v>
      </c>
      <c r="B395" s="274"/>
      <c r="C395" s="274"/>
      <c r="F395" s="281"/>
      <c r="G395" s="281"/>
      <c r="H395" s="281"/>
      <c r="I395" s="274"/>
      <c r="J395" s="274"/>
      <c r="K395" s="275"/>
      <c r="P395" s="275"/>
      <c r="R395" s="275"/>
    </row>
    <row r="396" ht="22.5" customHeight="1">
      <c r="A396" s="258" t="str">
        <f t="shared" si="1"/>
        <v>-</v>
      </c>
      <c r="B396" s="274"/>
      <c r="C396" s="274"/>
      <c r="F396" s="281"/>
      <c r="G396" s="281"/>
      <c r="H396" s="281"/>
      <c r="I396" s="274"/>
      <c r="J396" s="274"/>
      <c r="K396" s="275"/>
      <c r="P396" s="275"/>
      <c r="R396" s="275"/>
    </row>
    <row r="397" ht="22.5" customHeight="1">
      <c r="A397" s="258" t="str">
        <f t="shared" si="1"/>
        <v>-</v>
      </c>
      <c r="B397" s="274"/>
      <c r="C397" s="274"/>
      <c r="F397" s="281"/>
      <c r="G397" s="281"/>
      <c r="H397" s="281"/>
      <c r="I397" s="274"/>
      <c r="J397" s="274"/>
      <c r="K397" s="275"/>
      <c r="P397" s="275"/>
      <c r="R397" s="275"/>
    </row>
    <row r="398" ht="22.5" customHeight="1">
      <c r="A398" s="258" t="str">
        <f t="shared" si="1"/>
        <v>-</v>
      </c>
      <c r="B398" s="274"/>
      <c r="C398" s="274"/>
      <c r="F398" s="281"/>
      <c r="G398" s="281"/>
      <c r="H398" s="281"/>
      <c r="I398" s="274"/>
      <c r="J398" s="274"/>
      <c r="K398" s="275"/>
      <c r="P398" s="275"/>
      <c r="R398" s="275"/>
    </row>
    <row r="399" ht="22.5" customHeight="1">
      <c r="A399" s="258" t="str">
        <f t="shared" si="1"/>
        <v>-</v>
      </c>
      <c r="B399" s="274"/>
      <c r="C399" s="274"/>
      <c r="F399" s="281"/>
      <c r="G399" s="281"/>
      <c r="H399" s="281"/>
      <c r="I399" s="274"/>
      <c r="J399" s="274"/>
      <c r="K399" s="275"/>
      <c r="P399" s="275"/>
      <c r="R399" s="275"/>
    </row>
    <row r="400" ht="22.5" customHeight="1">
      <c r="A400" s="258" t="str">
        <f t="shared" si="1"/>
        <v>-</v>
      </c>
      <c r="B400" s="274"/>
      <c r="C400" s="274"/>
      <c r="F400" s="281"/>
      <c r="G400" s="281"/>
      <c r="H400" s="281"/>
      <c r="I400" s="274"/>
      <c r="J400" s="274"/>
      <c r="K400" s="275"/>
      <c r="P400" s="275"/>
      <c r="R400" s="275"/>
    </row>
    <row r="401" ht="22.5" customHeight="1">
      <c r="A401" s="258" t="str">
        <f t="shared" si="1"/>
        <v>-</v>
      </c>
      <c r="B401" s="274"/>
      <c r="C401" s="274"/>
      <c r="F401" s="281"/>
      <c r="G401" s="281"/>
      <c r="H401" s="281"/>
      <c r="I401" s="274"/>
      <c r="J401" s="274"/>
      <c r="K401" s="275"/>
      <c r="P401" s="275"/>
      <c r="R401" s="275"/>
    </row>
    <row r="402" ht="22.5" customHeight="1">
      <c r="A402" s="258" t="str">
        <f t="shared" si="1"/>
        <v>-</v>
      </c>
      <c r="B402" s="274"/>
      <c r="C402" s="274"/>
      <c r="F402" s="281"/>
      <c r="G402" s="281"/>
      <c r="H402" s="281"/>
      <c r="I402" s="274"/>
      <c r="J402" s="274"/>
      <c r="K402" s="275"/>
      <c r="P402" s="275"/>
      <c r="R402" s="275"/>
    </row>
    <row r="403" ht="22.5" customHeight="1">
      <c r="A403" s="258" t="str">
        <f t="shared" si="1"/>
        <v>-</v>
      </c>
      <c r="B403" s="274"/>
      <c r="C403" s="274"/>
      <c r="F403" s="281"/>
      <c r="G403" s="281"/>
      <c r="H403" s="281"/>
      <c r="I403" s="274"/>
      <c r="J403" s="274"/>
      <c r="K403" s="275"/>
      <c r="P403" s="275"/>
      <c r="R403" s="275"/>
    </row>
    <row r="404" ht="22.5" customHeight="1">
      <c r="A404" s="258" t="str">
        <f t="shared" si="1"/>
        <v>-</v>
      </c>
      <c r="B404" s="274"/>
      <c r="C404" s="274"/>
      <c r="F404" s="281"/>
      <c r="G404" s="281"/>
      <c r="H404" s="281"/>
      <c r="I404" s="274"/>
      <c r="J404" s="274"/>
      <c r="K404" s="275"/>
      <c r="P404" s="275"/>
      <c r="R404" s="275"/>
    </row>
    <row r="405" ht="22.5" customHeight="1">
      <c r="A405" s="258" t="str">
        <f t="shared" si="1"/>
        <v>-</v>
      </c>
      <c r="B405" s="274"/>
      <c r="C405" s="274"/>
      <c r="F405" s="281"/>
      <c r="G405" s="281"/>
      <c r="H405" s="281"/>
      <c r="I405" s="274"/>
      <c r="J405" s="274"/>
      <c r="K405" s="275"/>
      <c r="P405" s="275"/>
      <c r="R405" s="275"/>
    </row>
    <row r="406" ht="22.5" customHeight="1">
      <c r="A406" s="258" t="str">
        <f t="shared" si="1"/>
        <v>-</v>
      </c>
      <c r="B406" s="274"/>
      <c r="C406" s="274"/>
      <c r="F406" s="281"/>
      <c r="G406" s="281"/>
      <c r="H406" s="281"/>
      <c r="I406" s="274"/>
      <c r="J406" s="274"/>
      <c r="K406" s="275"/>
      <c r="P406" s="275"/>
      <c r="R406" s="275"/>
    </row>
    <row r="407" ht="22.5" customHeight="1">
      <c r="A407" s="258" t="str">
        <f t="shared" si="1"/>
        <v>-</v>
      </c>
      <c r="B407" s="274"/>
      <c r="C407" s="274"/>
      <c r="F407" s="281"/>
      <c r="G407" s="281"/>
      <c r="H407" s="281"/>
      <c r="I407" s="274"/>
      <c r="J407" s="274"/>
      <c r="K407" s="275"/>
      <c r="P407" s="275"/>
      <c r="R407" s="275"/>
    </row>
    <row r="408" ht="22.5" customHeight="1">
      <c r="A408" s="258" t="str">
        <f t="shared" si="1"/>
        <v>-</v>
      </c>
      <c r="B408" s="274"/>
      <c r="C408" s="274"/>
      <c r="F408" s="281"/>
      <c r="G408" s="281"/>
      <c r="H408" s="281"/>
      <c r="I408" s="274"/>
      <c r="J408" s="274"/>
      <c r="K408" s="275"/>
      <c r="P408" s="275"/>
      <c r="R408" s="275"/>
    </row>
    <row r="409" ht="22.5" customHeight="1">
      <c r="A409" s="258" t="str">
        <f t="shared" si="1"/>
        <v>-</v>
      </c>
      <c r="B409" s="274"/>
      <c r="C409" s="274"/>
      <c r="F409" s="281"/>
      <c r="G409" s="281"/>
      <c r="H409" s="281"/>
      <c r="I409" s="274"/>
      <c r="J409" s="274"/>
      <c r="K409" s="275"/>
      <c r="P409" s="275"/>
      <c r="R409" s="275"/>
    </row>
    <row r="410" ht="22.5" customHeight="1">
      <c r="A410" s="258" t="str">
        <f t="shared" si="1"/>
        <v>-</v>
      </c>
      <c r="B410" s="274"/>
      <c r="C410" s="274"/>
      <c r="F410" s="281"/>
      <c r="G410" s="281"/>
      <c r="H410" s="281"/>
      <c r="I410" s="274"/>
      <c r="J410" s="274"/>
      <c r="K410" s="275"/>
      <c r="P410" s="275"/>
      <c r="R410" s="275"/>
    </row>
    <row r="411" ht="22.5" customHeight="1">
      <c r="A411" s="258" t="str">
        <f t="shared" si="1"/>
        <v>-</v>
      </c>
      <c r="B411" s="274"/>
      <c r="C411" s="274"/>
      <c r="F411" s="281"/>
      <c r="G411" s="281"/>
      <c r="H411" s="281"/>
      <c r="I411" s="274"/>
      <c r="J411" s="274"/>
      <c r="K411" s="275"/>
      <c r="P411" s="275"/>
      <c r="R411" s="275"/>
    </row>
    <row r="412" ht="22.5" customHeight="1">
      <c r="A412" s="258" t="str">
        <f t="shared" si="1"/>
        <v>-</v>
      </c>
      <c r="B412" s="274"/>
      <c r="C412" s="274"/>
      <c r="F412" s="281"/>
      <c r="G412" s="281"/>
      <c r="H412" s="281"/>
      <c r="I412" s="274"/>
      <c r="J412" s="274"/>
      <c r="K412" s="275"/>
      <c r="P412" s="275"/>
      <c r="R412" s="275"/>
    </row>
    <row r="413" ht="22.5" customHeight="1">
      <c r="A413" s="258" t="str">
        <f t="shared" si="1"/>
        <v>-</v>
      </c>
      <c r="B413" s="274"/>
      <c r="C413" s="274"/>
      <c r="F413" s="281"/>
      <c r="G413" s="281"/>
      <c r="H413" s="281"/>
      <c r="I413" s="274"/>
      <c r="J413" s="274"/>
      <c r="K413" s="275"/>
      <c r="P413" s="275"/>
      <c r="R413" s="275"/>
    </row>
    <row r="414" ht="22.5" customHeight="1">
      <c r="A414" s="258" t="str">
        <f t="shared" si="1"/>
        <v>-</v>
      </c>
      <c r="B414" s="274"/>
      <c r="C414" s="274"/>
      <c r="F414" s="281"/>
      <c r="G414" s="281"/>
      <c r="H414" s="281"/>
      <c r="I414" s="274"/>
      <c r="J414" s="274"/>
      <c r="K414" s="275"/>
      <c r="P414" s="275"/>
      <c r="R414" s="275"/>
    </row>
    <row r="415" ht="22.5" customHeight="1">
      <c r="A415" s="258" t="str">
        <f t="shared" si="1"/>
        <v>-</v>
      </c>
      <c r="B415" s="274"/>
      <c r="C415" s="274"/>
      <c r="F415" s="281"/>
      <c r="G415" s="281"/>
      <c r="H415" s="281"/>
      <c r="I415" s="274"/>
      <c r="J415" s="274"/>
      <c r="K415" s="275"/>
      <c r="P415" s="275"/>
      <c r="R415" s="275"/>
    </row>
    <row r="416" ht="22.5" customHeight="1">
      <c r="A416" s="258" t="str">
        <f t="shared" si="1"/>
        <v>-</v>
      </c>
      <c r="B416" s="274"/>
      <c r="C416" s="274"/>
      <c r="F416" s="281"/>
      <c r="G416" s="281"/>
      <c r="H416" s="281"/>
      <c r="I416" s="274"/>
      <c r="J416" s="274"/>
      <c r="K416" s="275"/>
      <c r="P416" s="275"/>
      <c r="R416" s="275"/>
    </row>
    <row r="417" ht="22.5" customHeight="1">
      <c r="A417" s="258" t="str">
        <f t="shared" si="1"/>
        <v>-</v>
      </c>
      <c r="B417" s="274"/>
      <c r="C417" s="274"/>
      <c r="F417" s="281"/>
      <c r="G417" s="281"/>
      <c r="H417" s="281"/>
      <c r="I417" s="274"/>
      <c r="J417" s="274"/>
      <c r="K417" s="275"/>
      <c r="P417" s="275"/>
      <c r="R417" s="275"/>
    </row>
    <row r="418" ht="22.5" customHeight="1">
      <c r="A418" s="258" t="str">
        <f t="shared" si="1"/>
        <v>-</v>
      </c>
      <c r="B418" s="274"/>
      <c r="C418" s="274"/>
      <c r="F418" s="281"/>
      <c r="G418" s="281"/>
      <c r="H418" s="281"/>
      <c r="I418" s="274"/>
      <c r="J418" s="274"/>
      <c r="K418" s="275"/>
      <c r="P418" s="275"/>
      <c r="R418" s="275"/>
    </row>
    <row r="419" ht="22.5" customHeight="1">
      <c r="A419" s="258" t="str">
        <f t="shared" si="1"/>
        <v>-</v>
      </c>
      <c r="B419" s="274"/>
      <c r="C419" s="274"/>
      <c r="F419" s="281"/>
      <c r="G419" s="281"/>
      <c r="H419" s="281"/>
      <c r="I419" s="274"/>
      <c r="J419" s="274"/>
      <c r="K419" s="275"/>
      <c r="P419" s="275"/>
      <c r="R419" s="275"/>
    </row>
    <row r="420" ht="22.5" customHeight="1">
      <c r="A420" s="258" t="str">
        <f t="shared" si="1"/>
        <v>-</v>
      </c>
      <c r="B420" s="274"/>
      <c r="C420" s="274"/>
      <c r="F420" s="281"/>
      <c r="G420" s="281"/>
      <c r="H420" s="281"/>
      <c r="I420" s="274"/>
      <c r="J420" s="274"/>
      <c r="K420" s="275"/>
      <c r="P420" s="275"/>
      <c r="R420" s="275"/>
    </row>
    <row r="421" ht="22.5" customHeight="1">
      <c r="A421" s="258" t="str">
        <f t="shared" si="1"/>
        <v>-</v>
      </c>
      <c r="B421" s="274"/>
      <c r="C421" s="274"/>
      <c r="F421" s="281"/>
      <c r="G421" s="281"/>
      <c r="H421" s="281"/>
      <c r="I421" s="274"/>
      <c r="J421" s="274"/>
      <c r="K421" s="275"/>
      <c r="P421" s="275"/>
      <c r="R421" s="275"/>
    </row>
    <row r="422" ht="22.5" customHeight="1">
      <c r="A422" s="258" t="str">
        <f t="shared" si="1"/>
        <v>-</v>
      </c>
      <c r="B422" s="274"/>
      <c r="C422" s="274"/>
      <c r="F422" s="281"/>
      <c r="G422" s="281"/>
      <c r="H422" s="281"/>
      <c r="I422" s="274"/>
      <c r="J422" s="274"/>
      <c r="K422" s="275"/>
      <c r="P422" s="275"/>
      <c r="R422" s="275"/>
    </row>
    <row r="423" ht="22.5" customHeight="1">
      <c r="A423" s="258" t="str">
        <f t="shared" si="1"/>
        <v>-</v>
      </c>
      <c r="B423" s="274"/>
      <c r="C423" s="274"/>
      <c r="F423" s="281"/>
      <c r="G423" s="281"/>
      <c r="H423" s="281"/>
      <c r="I423" s="274"/>
      <c r="J423" s="274"/>
      <c r="K423" s="275"/>
      <c r="P423" s="275"/>
      <c r="R423" s="275"/>
    </row>
    <row r="424" ht="22.5" customHeight="1">
      <c r="A424" s="258" t="str">
        <f t="shared" si="1"/>
        <v>-</v>
      </c>
      <c r="B424" s="274"/>
      <c r="C424" s="274"/>
      <c r="F424" s="281"/>
      <c r="G424" s="281"/>
      <c r="H424" s="281"/>
      <c r="I424" s="274"/>
      <c r="J424" s="274"/>
      <c r="K424" s="275"/>
      <c r="P424" s="275"/>
      <c r="R424" s="275"/>
    </row>
    <row r="425" ht="22.5" customHeight="1">
      <c r="A425" s="258" t="str">
        <f t="shared" si="1"/>
        <v>-</v>
      </c>
      <c r="B425" s="274"/>
      <c r="C425" s="274"/>
      <c r="F425" s="281"/>
      <c r="G425" s="281"/>
      <c r="H425" s="281"/>
      <c r="I425" s="274"/>
      <c r="J425" s="274"/>
      <c r="K425" s="275"/>
      <c r="P425" s="275"/>
      <c r="R425" s="275"/>
    </row>
    <row r="426" ht="22.5" customHeight="1">
      <c r="A426" s="258" t="str">
        <f t="shared" si="1"/>
        <v>-</v>
      </c>
      <c r="B426" s="274"/>
      <c r="C426" s="274"/>
      <c r="F426" s="281"/>
      <c r="G426" s="281"/>
      <c r="H426" s="281"/>
      <c r="I426" s="274"/>
      <c r="J426" s="274"/>
      <c r="K426" s="275"/>
      <c r="P426" s="275"/>
      <c r="R426" s="275"/>
    </row>
    <row r="427" ht="22.5" customHeight="1">
      <c r="A427" s="258" t="str">
        <f t="shared" si="1"/>
        <v>-</v>
      </c>
      <c r="B427" s="274"/>
      <c r="C427" s="274"/>
      <c r="F427" s="281"/>
      <c r="G427" s="281"/>
      <c r="H427" s="281"/>
      <c r="I427" s="274"/>
      <c r="J427" s="274"/>
      <c r="K427" s="275"/>
      <c r="P427" s="275"/>
      <c r="R427" s="275"/>
    </row>
    <row r="428" ht="22.5" customHeight="1">
      <c r="A428" s="258" t="str">
        <f t="shared" si="1"/>
        <v>-</v>
      </c>
      <c r="B428" s="274"/>
      <c r="C428" s="274"/>
      <c r="F428" s="281"/>
      <c r="G428" s="281"/>
      <c r="H428" s="281"/>
      <c r="I428" s="274"/>
      <c r="J428" s="274"/>
      <c r="K428" s="275"/>
      <c r="P428" s="275"/>
      <c r="R428" s="275"/>
    </row>
    <row r="429" ht="22.5" customHeight="1">
      <c r="A429" s="258" t="str">
        <f t="shared" si="1"/>
        <v>-</v>
      </c>
      <c r="B429" s="274"/>
      <c r="C429" s="274"/>
      <c r="F429" s="281"/>
      <c r="G429" s="281"/>
      <c r="H429" s="281"/>
      <c r="I429" s="274"/>
      <c r="J429" s="274"/>
      <c r="K429" s="275"/>
      <c r="P429" s="275"/>
      <c r="R429" s="275"/>
    </row>
    <row r="430" ht="22.5" customHeight="1">
      <c r="A430" s="258" t="str">
        <f t="shared" si="1"/>
        <v>-</v>
      </c>
      <c r="B430" s="274"/>
      <c r="C430" s="274"/>
      <c r="F430" s="281"/>
      <c r="G430" s="281"/>
      <c r="H430" s="281"/>
      <c r="I430" s="274"/>
      <c r="J430" s="274"/>
      <c r="K430" s="275"/>
      <c r="P430" s="275"/>
      <c r="R430" s="275"/>
    </row>
    <row r="431" ht="22.5" customHeight="1">
      <c r="A431" s="258" t="str">
        <f t="shared" si="1"/>
        <v>-</v>
      </c>
      <c r="B431" s="274"/>
      <c r="C431" s="274"/>
      <c r="F431" s="281"/>
      <c r="G431" s="281"/>
      <c r="H431" s="281"/>
      <c r="I431" s="274"/>
      <c r="J431" s="274"/>
      <c r="K431" s="275"/>
      <c r="P431" s="275"/>
      <c r="R431" s="275"/>
    </row>
    <row r="432" ht="22.5" customHeight="1">
      <c r="A432" s="258" t="str">
        <f t="shared" si="1"/>
        <v>-</v>
      </c>
      <c r="B432" s="274"/>
      <c r="C432" s="274"/>
      <c r="F432" s="281"/>
      <c r="G432" s="281"/>
      <c r="H432" s="281"/>
      <c r="I432" s="274"/>
      <c r="J432" s="274"/>
      <c r="K432" s="275"/>
      <c r="P432" s="275"/>
      <c r="R432" s="275"/>
    </row>
    <row r="433" ht="22.5" customHeight="1">
      <c r="A433" s="258" t="str">
        <f t="shared" si="1"/>
        <v>-</v>
      </c>
      <c r="B433" s="274"/>
      <c r="C433" s="274"/>
      <c r="F433" s="281"/>
      <c r="G433" s="281"/>
      <c r="H433" s="281"/>
      <c r="I433" s="274"/>
      <c r="J433" s="274"/>
      <c r="K433" s="275"/>
      <c r="P433" s="275"/>
      <c r="R433" s="275"/>
    </row>
    <row r="434" ht="22.5" customHeight="1">
      <c r="A434" s="258" t="str">
        <f t="shared" si="1"/>
        <v>-</v>
      </c>
      <c r="B434" s="274"/>
      <c r="C434" s="274"/>
      <c r="F434" s="281"/>
      <c r="G434" s="281"/>
      <c r="H434" s="281"/>
      <c r="I434" s="274"/>
      <c r="J434" s="274"/>
      <c r="K434" s="275"/>
      <c r="P434" s="275"/>
      <c r="R434" s="275"/>
    </row>
    <row r="435" ht="22.5" customHeight="1">
      <c r="A435" s="258" t="str">
        <f t="shared" si="1"/>
        <v>-</v>
      </c>
      <c r="B435" s="274"/>
      <c r="C435" s="274"/>
      <c r="F435" s="281"/>
      <c r="G435" s="281"/>
      <c r="H435" s="281"/>
      <c r="I435" s="274"/>
      <c r="J435" s="274"/>
      <c r="K435" s="275"/>
      <c r="P435" s="275"/>
      <c r="R435" s="275"/>
    </row>
    <row r="436" ht="22.5" customHeight="1">
      <c r="A436" s="258" t="str">
        <f t="shared" si="1"/>
        <v>-</v>
      </c>
      <c r="B436" s="274"/>
      <c r="C436" s="274"/>
      <c r="F436" s="281"/>
      <c r="G436" s="281"/>
      <c r="H436" s="281"/>
      <c r="I436" s="274"/>
      <c r="J436" s="274"/>
      <c r="K436" s="275"/>
      <c r="P436" s="275"/>
      <c r="R436" s="275"/>
    </row>
    <row r="437" ht="22.5" customHeight="1">
      <c r="A437" s="258" t="str">
        <f t="shared" si="1"/>
        <v>-</v>
      </c>
      <c r="B437" s="274"/>
      <c r="C437" s="274"/>
      <c r="F437" s="281"/>
      <c r="G437" s="281"/>
      <c r="H437" s="281"/>
      <c r="I437" s="274"/>
      <c r="J437" s="274"/>
      <c r="K437" s="275"/>
      <c r="P437" s="275"/>
      <c r="R437" s="275"/>
    </row>
    <row r="438" ht="22.5" customHeight="1">
      <c r="A438" s="258" t="str">
        <f t="shared" si="1"/>
        <v>-</v>
      </c>
      <c r="B438" s="274"/>
      <c r="C438" s="274"/>
      <c r="F438" s="281"/>
      <c r="G438" s="281"/>
      <c r="H438" s="281"/>
      <c r="I438" s="274"/>
      <c r="J438" s="274"/>
      <c r="K438" s="275"/>
      <c r="P438" s="275"/>
      <c r="R438" s="275"/>
    </row>
    <row r="439" ht="22.5" customHeight="1">
      <c r="A439" s="258" t="str">
        <f t="shared" si="1"/>
        <v>-</v>
      </c>
      <c r="B439" s="274"/>
      <c r="C439" s="274"/>
      <c r="F439" s="281"/>
      <c r="G439" s="281"/>
      <c r="H439" s="281"/>
      <c r="I439" s="274"/>
      <c r="J439" s="274"/>
      <c r="K439" s="275"/>
      <c r="P439" s="275"/>
      <c r="R439" s="275"/>
    </row>
    <row r="440" ht="22.5" customHeight="1">
      <c r="A440" s="258" t="str">
        <f t="shared" si="1"/>
        <v>-</v>
      </c>
      <c r="B440" s="274"/>
      <c r="C440" s="274"/>
      <c r="F440" s="281"/>
      <c r="G440" s="281"/>
      <c r="H440" s="281"/>
      <c r="I440" s="274"/>
      <c r="J440" s="274"/>
      <c r="K440" s="275"/>
      <c r="P440" s="275"/>
      <c r="R440" s="275"/>
    </row>
    <row r="441" ht="22.5" customHeight="1">
      <c r="A441" s="258" t="str">
        <f t="shared" si="1"/>
        <v>-</v>
      </c>
      <c r="B441" s="274"/>
      <c r="C441" s="274"/>
      <c r="F441" s="281"/>
      <c r="G441" s="281"/>
      <c r="H441" s="281"/>
      <c r="I441" s="274"/>
      <c r="J441" s="274"/>
      <c r="K441" s="275"/>
      <c r="P441" s="275"/>
      <c r="R441" s="275"/>
    </row>
    <row r="442" ht="22.5" customHeight="1">
      <c r="A442" s="258" t="str">
        <f t="shared" si="1"/>
        <v>-</v>
      </c>
      <c r="B442" s="274"/>
      <c r="C442" s="274"/>
      <c r="F442" s="281"/>
      <c r="G442" s="281"/>
      <c r="H442" s="281"/>
      <c r="I442" s="274"/>
      <c r="J442" s="274"/>
      <c r="K442" s="275"/>
      <c r="P442" s="275"/>
      <c r="R442" s="275"/>
    </row>
    <row r="443" ht="22.5" customHeight="1">
      <c r="A443" s="258" t="str">
        <f t="shared" si="1"/>
        <v>-</v>
      </c>
      <c r="B443" s="274"/>
      <c r="C443" s="274"/>
      <c r="F443" s="281"/>
      <c r="G443" s="281"/>
      <c r="H443" s="281"/>
      <c r="I443" s="274"/>
      <c r="J443" s="274"/>
      <c r="K443" s="275"/>
      <c r="P443" s="275"/>
      <c r="R443" s="275"/>
    </row>
    <row r="444" ht="22.5" customHeight="1">
      <c r="A444" s="258" t="str">
        <f t="shared" si="1"/>
        <v>-</v>
      </c>
      <c r="B444" s="274"/>
      <c r="C444" s="274"/>
      <c r="F444" s="281"/>
      <c r="G444" s="281"/>
      <c r="H444" s="281"/>
      <c r="I444" s="274"/>
      <c r="J444" s="274"/>
      <c r="K444" s="275"/>
      <c r="P444" s="275"/>
      <c r="R444" s="275"/>
    </row>
    <row r="445" ht="22.5" customHeight="1">
      <c r="A445" s="258" t="str">
        <f t="shared" si="1"/>
        <v>-</v>
      </c>
      <c r="B445" s="274"/>
      <c r="C445" s="274"/>
      <c r="F445" s="281"/>
      <c r="G445" s="281"/>
      <c r="H445" s="281"/>
      <c r="I445" s="274"/>
      <c r="J445" s="274"/>
      <c r="K445" s="275"/>
      <c r="P445" s="275"/>
      <c r="R445" s="275"/>
    </row>
    <row r="446" ht="22.5" customHeight="1">
      <c r="A446" s="258" t="str">
        <f t="shared" si="1"/>
        <v>-</v>
      </c>
      <c r="B446" s="274"/>
      <c r="C446" s="274"/>
      <c r="F446" s="281"/>
      <c r="G446" s="281"/>
      <c r="H446" s="281"/>
      <c r="I446" s="274"/>
      <c r="J446" s="274"/>
      <c r="K446" s="275"/>
      <c r="P446" s="275"/>
      <c r="R446" s="275"/>
    </row>
    <row r="447" ht="22.5" customHeight="1">
      <c r="A447" s="258" t="str">
        <f t="shared" si="1"/>
        <v>-</v>
      </c>
      <c r="B447" s="274"/>
      <c r="C447" s="274"/>
      <c r="F447" s="281"/>
      <c r="G447" s="281"/>
      <c r="H447" s="281"/>
      <c r="I447" s="274"/>
      <c r="J447" s="274"/>
      <c r="K447" s="275"/>
      <c r="P447" s="275"/>
      <c r="R447" s="275"/>
    </row>
    <row r="448" ht="22.5" customHeight="1">
      <c r="A448" s="258" t="str">
        <f t="shared" si="1"/>
        <v>-</v>
      </c>
      <c r="B448" s="274"/>
      <c r="C448" s="274"/>
      <c r="F448" s="281"/>
      <c r="G448" s="281"/>
      <c r="H448" s="281"/>
      <c r="I448" s="274"/>
      <c r="J448" s="274"/>
      <c r="K448" s="275"/>
      <c r="P448" s="275"/>
      <c r="R448" s="275"/>
    </row>
    <row r="449" ht="22.5" customHeight="1">
      <c r="A449" s="258" t="str">
        <f t="shared" si="1"/>
        <v>-</v>
      </c>
      <c r="B449" s="274"/>
      <c r="C449" s="274"/>
      <c r="F449" s="281"/>
      <c r="G449" s="281"/>
      <c r="H449" s="281"/>
      <c r="I449" s="274"/>
      <c r="J449" s="274"/>
      <c r="K449" s="275"/>
      <c r="P449" s="275"/>
      <c r="R449" s="275"/>
    </row>
    <row r="450" ht="22.5" customHeight="1">
      <c r="A450" s="258" t="str">
        <f t="shared" si="1"/>
        <v>-</v>
      </c>
      <c r="B450" s="274"/>
      <c r="C450" s="274"/>
      <c r="F450" s="281"/>
      <c r="G450" s="281"/>
      <c r="H450" s="281"/>
      <c r="I450" s="274"/>
      <c r="J450" s="274"/>
      <c r="K450" s="275"/>
      <c r="P450" s="275"/>
      <c r="R450" s="275"/>
    </row>
    <row r="451" ht="22.5" customHeight="1">
      <c r="A451" s="258" t="str">
        <f t="shared" si="1"/>
        <v>-</v>
      </c>
      <c r="B451" s="274"/>
      <c r="C451" s="274"/>
      <c r="F451" s="281"/>
      <c r="G451" s="281"/>
      <c r="H451" s="281"/>
      <c r="I451" s="274"/>
      <c r="J451" s="274"/>
      <c r="K451" s="275"/>
      <c r="P451" s="275"/>
      <c r="R451" s="275"/>
    </row>
    <row r="452" ht="22.5" customHeight="1">
      <c r="A452" s="258" t="str">
        <f t="shared" si="1"/>
        <v>-</v>
      </c>
      <c r="B452" s="274"/>
      <c r="C452" s="274"/>
      <c r="F452" s="281"/>
      <c r="G452" s="281"/>
      <c r="H452" s="281"/>
      <c r="I452" s="274"/>
      <c r="J452" s="274"/>
      <c r="K452" s="275"/>
      <c r="P452" s="275"/>
      <c r="R452" s="275"/>
    </row>
    <row r="453" ht="22.5" customHeight="1">
      <c r="A453" s="258" t="str">
        <f t="shared" si="1"/>
        <v>-</v>
      </c>
      <c r="B453" s="274"/>
      <c r="C453" s="274"/>
      <c r="F453" s="281"/>
      <c r="G453" s="281"/>
      <c r="H453" s="281"/>
      <c r="I453" s="274"/>
      <c r="J453" s="274"/>
      <c r="K453" s="275"/>
      <c r="P453" s="275"/>
      <c r="R453" s="275"/>
    </row>
    <row r="454" ht="22.5" customHeight="1">
      <c r="A454" s="258" t="str">
        <f t="shared" si="1"/>
        <v>-</v>
      </c>
      <c r="B454" s="274"/>
      <c r="C454" s="274"/>
      <c r="F454" s="281"/>
      <c r="G454" s="281"/>
      <c r="H454" s="281"/>
      <c r="I454" s="274"/>
      <c r="J454" s="274"/>
      <c r="K454" s="275"/>
      <c r="P454" s="275"/>
      <c r="R454" s="275"/>
    </row>
    <row r="455" ht="22.5" customHeight="1">
      <c r="A455" s="258" t="str">
        <f t="shared" si="1"/>
        <v>-</v>
      </c>
      <c r="B455" s="274"/>
      <c r="C455" s="274"/>
      <c r="F455" s="281"/>
      <c r="G455" s="281"/>
      <c r="H455" s="281"/>
      <c r="I455" s="274"/>
      <c r="J455" s="274"/>
      <c r="K455" s="275"/>
      <c r="P455" s="275"/>
      <c r="R455" s="275"/>
    </row>
    <row r="456" ht="22.5" customHeight="1">
      <c r="A456" s="258" t="str">
        <f t="shared" si="1"/>
        <v>-</v>
      </c>
      <c r="B456" s="274"/>
      <c r="C456" s="274"/>
      <c r="F456" s="281"/>
      <c r="G456" s="281"/>
      <c r="H456" s="281"/>
      <c r="I456" s="274"/>
      <c r="J456" s="274"/>
      <c r="K456" s="275"/>
      <c r="P456" s="275"/>
      <c r="R456" s="275"/>
    </row>
    <row r="457" ht="22.5" customHeight="1">
      <c r="A457" s="258" t="str">
        <f t="shared" si="1"/>
        <v>-</v>
      </c>
      <c r="B457" s="274"/>
      <c r="C457" s="274"/>
      <c r="F457" s="281"/>
      <c r="G457" s="281"/>
      <c r="H457" s="281"/>
      <c r="I457" s="274"/>
      <c r="J457" s="274"/>
      <c r="K457" s="275"/>
      <c r="P457" s="275"/>
      <c r="R457" s="275"/>
    </row>
    <row r="458" ht="22.5" customHeight="1">
      <c r="A458" s="258" t="str">
        <f t="shared" si="1"/>
        <v>-</v>
      </c>
      <c r="B458" s="274"/>
      <c r="C458" s="274"/>
      <c r="F458" s="281"/>
      <c r="G458" s="281"/>
      <c r="H458" s="281"/>
      <c r="I458" s="274"/>
      <c r="J458" s="274"/>
      <c r="K458" s="275"/>
      <c r="P458" s="275"/>
      <c r="R458" s="275"/>
    </row>
    <row r="459" ht="22.5" customHeight="1">
      <c r="A459" s="258" t="str">
        <f t="shared" si="1"/>
        <v>-</v>
      </c>
      <c r="B459" s="274"/>
      <c r="C459" s="274"/>
      <c r="F459" s="281"/>
      <c r="G459" s="281"/>
      <c r="H459" s="281"/>
      <c r="I459" s="274"/>
      <c r="J459" s="274"/>
      <c r="K459" s="275"/>
      <c r="P459" s="275"/>
      <c r="R459" s="275"/>
    </row>
    <row r="460" ht="22.5" customHeight="1">
      <c r="A460" s="258" t="str">
        <f t="shared" si="1"/>
        <v>-</v>
      </c>
      <c r="B460" s="274"/>
      <c r="C460" s="274"/>
      <c r="F460" s="281"/>
      <c r="G460" s="281"/>
      <c r="H460" s="281"/>
      <c r="I460" s="274"/>
      <c r="J460" s="274"/>
      <c r="K460" s="275"/>
      <c r="P460" s="275"/>
      <c r="R460" s="275"/>
    </row>
    <row r="461" ht="22.5" customHeight="1">
      <c r="A461" s="258" t="str">
        <f t="shared" si="1"/>
        <v>-</v>
      </c>
      <c r="B461" s="274"/>
      <c r="C461" s="274"/>
      <c r="F461" s="281"/>
      <c r="G461" s="281"/>
      <c r="H461" s="281"/>
      <c r="I461" s="274"/>
      <c r="J461" s="274"/>
      <c r="K461" s="275"/>
      <c r="P461" s="275"/>
      <c r="R461" s="275"/>
    </row>
    <row r="462" ht="22.5" customHeight="1">
      <c r="A462" s="258" t="str">
        <f t="shared" si="1"/>
        <v>-</v>
      </c>
      <c r="B462" s="274"/>
      <c r="C462" s="274"/>
      <c r="F462" s="281"/>
      <c r="G462" s="281"/>
      <c r="H462" s="281"/>
      <c r="I462" s="274"/>
      <c r="J462" s="274"/>
      <c r="K462" s="275"/>
      <c r="P462" s="275"/>
      <c r="R462" s="275"/>
    </row>
    <row r="463" ht="22.5" customHeight="1">
      <c r="A463" s="258" t="str">
        <f t="shared" si="1"/>
        <v>-</v>
      </c>
      <c r="B463" s="274"/>
      <c r="C463" s="274"/>
      <c r="F463" s="281"/>
      <c r="G463" s="281"/>
      <c r="H463" s="281"/>
      <c r="I463" s="274"/>
      <c r="J463" s="274"/>
      <c r="K463" s="275"/>
      <c r="P463" s="275"/>
      <c r="R463" s="275"/>
    </row>
    <row r="464" ht="22.5" customHeight="1">
      <c r="A464" s="258" t="str">
        <f t="shared" si="1"/>
        <v>-</v>
      </c>
      <c r="B464" s="274"/>
      <c r="C464" s="274"/>
      <c r="F464" s="281"/>
      <c r="G464" s="281"/>
      <c r="H464" s="281"/>
      <c r="I464" s="274"/>
      <c r="J464" s="274"/>
      <c r="K464" s="275"/>
      <c r="P464" s="275"/>
      <c r="R464" s="275"/>
    </row>
    <row r="465" ht="22.5" customHeight="1">
      <c r="A465" s="258" t="str">
        <f t="shared" si="1"/>
        <v>-</v>
      </c>
      <c r="B465" s="274"/>
      <c r="C465" s="274"/>
      <c r="F465" s="281"/>
      <c r="G465" s="281"/>
      <c r="H465" s="281"/>
      <c r="I465" s="274"/>
      <c r="J465" s="274"/>
      <c r="K465" s="275"/>
      <c r="P465" s="275"/>
      <c r="R465" s="275"/>
    </row>
    <row r="466" ht="22.5" customHeight="1">
      <c r="A466" s="258" t="str">
        <f t="shared" si="1"/>
        <v>-</v>
      </c>
      <c r="B466" s="274"/>
      <c r="C466" s="274"/>
      <c r="F466" s="281"/>
      <c r="G466" s="281"/>
      <c r="H466" s="281"/>
      <c r="I466" s="274"/>
      <c r="J466" s="274"/>
      <c r="K466" s="275"/>
      <c r="P466" s="275"/>
      <c r="R466" s="275"/>
    </row>
    <row r="467" ht="22.5" customHeight="1">
      <c r="A467" s="258" t="str">
        <f t="shared" si="1"/>
        <v>-</v>
      </c>
      <c r="B467" s="274"/>
      <c r="C467" s="274"/>
      <c r="F467" s="281"/>
      <c r="G467" s="281"/>
      <c r="H467" s="281"/>
      <c r="I467" s="274"/>
      <c r="J467" s="274"/>
      <c r="K467" s="275"/>
      <c r="P467" s="275"/>
      <c r="R467" s="275"/>
    </row>
    <row r="468" ht="22.5" customHeight="1">
      <c r="A468" s="258" t="str">
        <f t="shared" si="1"/>
        <v>-</v>
      </c>
      <c r="B468" s="274"/>
      <c r="C468" s="274"/>
      <c r="F468" s="281"/>
      <c r="G468" s="281"/>
      <c r="H468" s="281"/>
      <c r="I468" s="274"/>
      <c r="J468" s="274"/>
      <c r="K468" s="275"/>
      <c r="P468" s="275"/>
      <c r="R468" s="275"/>
    </row>
    <row r="469" ht="22.5" customHeight="1">
      <c r="A469" s="258" t="str">
        <f t="shared" si="1"/>
        <v>-</v>
      </c>
      <c r="B469" s="274"/>
      <c r="C469" s="274"/>
      <c r="F469" s="281"/>
      <c r="G469" s="281"/>
      <c r="H469" s="281"/>
      <c r="I469" s="274"/>
      <c r="J469" s="274"/>
      <c r="K469" s="275"/>
      <c r="P469" s="275"/>
      <c r="R469" s="275"/>
    </row>
    <row r="470" ht="22.5" customHeight="1">
      <c r="A470" s="258" t="str">
        <f t="shared" si="1"/>
        <v>-</v>
      </c>
      <c r="B470" s="274"/>
      <c r="C470" s="274"/>
      <c r="F470" s="281"/>
      <c r="G470" s="281"/>
      <c r="H470" s="281"/>
      <c r="I470" s="274"/>
      <c r="J470" s="274"/>
      <c r="K470" s="275"/>
      <c r="P470" s="275"/>
      <c r="R470" s="275"/>
    </row>
    <row r="471" ht="22.5" customHeight="1">
      <c r="A471" s="258" t="str">
        <f t="shared" si="1"/>
        <v>-</v>
      </c>
      <c r="B471" s="274"/>
      <c r="C471" s="274"/>
      <c r="F471" s="281"/>
      <c r="G471" s="281"/>
      <c r="H471" s="281"/>
      <c r="I471" s="274"/>
      <c r="J471" s="274"/>
      <c r="K471" s="275"/>
      <c r="P471" s="275"/>
      <c r="R471" s="275"/>
    </row>
    <row r="472" ht="22.5" customHeight="1">
      <c r="A472" s="258" t="str">
        <f t="shared" si="1"/>
        <v>-</v>
      </c>
      <c r="B472" s="274"/>
      <c r="C472" s="274"/>
      <c r="F472" s="281"/>
      <c r="G472" s="281"/>
      <c r="H472" s="281"/>
      <c r="I472" s="274"/>
      <c r="J472" s="274"/>
      <c r="K472" s="275"/>
      <c r="P472" s="275"/>
      <c r="R472" s="275"/>
    </row>
    <row r="473" ht="22.5" customHeight="1">
      <c r="A473" s="258" t="str">
        <f t="shared" si="1"/>
        <v>-</v>
      </c>
      <c r="B473" s="274"/>
      <c r="C473" s="274"/>
      <c r="F473" s="281"/>
      <c r="G473" s="281"/>
      <c r="H473" s="281"/>
      <c r="I473" s="274"/>
      <c r="J473" s="274"/>
      <c r="K473" s="275"/>
      <c r="P473" s="275"/>
      <c r="R473" s="275"/>
    </row>
    <row r="474" ht="22.5" customHeight="1">
      <c r="A474" s="258" t="str">
        <f t="shared" si="1"/>
        <v>-</v>
      </c>
      <c r="B474" s="274"/>
      <c r="C474" s="274"/>
      <c r="F474" s="281"/>
      <c r="G474" s="281"/>
      <c r="H474" s="281"/>
      <c r="I474" s="274"/>
      <c r="J474" s="274"/>
      <c r="K474" s="275"/>
      <c r="P474" s="275"/>
      <c r="R474" s="275"/>
    </row>
    <row r="475" ht="22.5" customHeight="1">
      <c r="A475" s="258" t="str">
        <f t="shared" si="1"/>
        <v>-</v>
      </c>
      <c r="B475" s="274"/>
      <c r="C475" s="274"/>
      <c r="F475" s="281"/>
      <c r="G475" s="281"/>
      <c r="H475" s="281"/>
      <c r="I475" s="274"/>
      <c r="J475" s="274"/>
      <c r="K475" s="275"/>
      <c r="P475" s="275"/>
      <c r="R475" s="275"/>
    </row>
    <row r="476" ht="22.5" customHeight="1">
      <c r="A476" s="258" t="str">
        <f t="shared" si="1"/>
        <v>-</v>
      </c>
      <c r="B476" s="274"/>
      <c r="C476" s="274"/>
      <c r="F476" s="281"/>
      <c r="G476" s="281"/>
      <c r="H476" s="281"/>
      <c r="I476" s="274"/>
      <c r="J476" s="274"/>
      <c r="K476" s="275"/>
      <c r="P476" s="275"/>
      <c r="R476" s="275"/>
    </row>
    <row r="477" ht="22.5" customHeight="1">
      <c r="A477" s="258" t="str">
        <f t="shared" si="1"/>
        <v>-</v>
      </c>
      <c r="B477" s="274"/>
      <c r="C477" s="274"/>
      <c r="F477" s="281"/>
      <c r="G477" s="281"/>
      <c r="H477" s="281"/>
      <c r="I477" s="274"/>
      <c r="J477" s="274"/>
      <c r="K477" s="275"/>
      <c r="P477" s="275"/>
      <c r="R477" s="275"/>
    </row>
    <row r="478" ht="22.5" customHeight="1">
      <c r="A478" s="258" t="str">
        <f t="shared" si="1"/>
        <v>-</v>
      </c>
      <c r="B478" s="274"/>
      <c r="C478" s="274"/>
      <c r="F478" s="281"/>
      <c r="G478" s="281"/>
      <c r="H478" s="281"/>
      <c r="I478" s="274"/>
      <c r="J478" s="274"/>
      <c r="K478" s="275"/>
      <c r="P478" s="275"/>
      <c r="R478" s="275"/>
    </row>
    <row r="479" ht="22.5" customHeight="1">
      <c r="A479" s="258" t="str">
        <f t="shared" si="1"/>
        <v>-</v>
      </c>
      <c r="B479" s="274"/>
      <c r="C479" s="274"/>
      <c r="F479" s="281"/>
      <c r="G479" s="281"/>
      <c r="H479" s="281"/>
      <c r="I479" s="274"/>
      <c r="J479" s="274"/>
      <c r="K479" s="275"/>
      <c r="P479" s="275"/>
      <c r="R479" s="275"/>
    </row>
    <row r="480" ht="22.5" customHeight="1">
      <c r="A480" s="258" t="str">
        <f t="shared" si="1"/>
        <v>-</v>
      </c>
      <c r="B480" s="274"/>
      <c r="C480" s="274"/>
      <c r="F480" s="281"/>
      <c r="G480" s="281"/>
      <c r="H480" s="281"/>
      <c r="I480" s="274"/>
      <c r="J480" s="274"/>
      <c r="K480" s="275"/>
      <c r="P480" s="275"/>
      <c r="R480" s="275"/>
    </row>
    <row r="481" ht="22.5" customHeight="1">
      <c r="A481" s="258" t="str">
        <f t="shared" si="1"/>
        <v>-</v>
      </c>
      <c r="B481" s="274"/>
      <c r="C481" s="274"/>
      <c r="F481" s="281"/>
      <c r="G481" s="281"/>
      <c r="H481" s="281"/>
      <c r="I481" s="274"/>
      <c r="J481" s="274"/>
      <c r="K481" s="275"/>
      <c r="P481" s="275"/>
      <c r="R481" s="275"/>
    </row>
    <row r="482" ht="22.5" customHeight="1">
      <c r="A482" s="258" t="str">
        <f t="shared" si="1"/>
        <v>-</v>
      </c>
      <c r="B482" s="274"/>
      <c r="C482" s="274"/>
      <c r="F482" s="281"/>
      <c r="G482" s="281"/>
      <c r="H482" s="281"/>
      <c r="I482" s="274"/>
      <c r="J482" s="274"/>
      <c r="K482" s="275"/>
      <c r="P482" s="275"/>
      <c r="R482" s="275"/>
    </row>
    <row r="483" ht="22.5" customHeight="1">
      <c r="A483" s="258" t="str">
        <f t="shared" si="1"/>
        <v>-</v>
      </c>
      <c r="B483" s="274"/>
      <c r="C483" s="274"/>
      <c r="F483" s="281"/>
      <c r="G483" s="281"/>
      <c r="H483" s="281"/>
      <c r="I483" s="274"/>
      <c r="J483" s="274"/>
      <c r="K483" s="275"/>
      <c r="P483" s="275"/>
      <c r="R483" s="275"/>
    </row>
    <row r="484" ht="22.5" customHeight="1">
      <c r="A484" s="258" t="str">
        <f t="shared" si="1"/>
        <v>-</v>
      </c>
      <c r="B484" s="274"/>
      <c r="C484" s="274"/>
      <c r="F484" s="281"/>
      <c r="G484" s="281"/>
      <c r="H484" s="281"/>
      <c r="I484" s="274"/>
      <c r="J484" s="274"/>
      <c r="K484" s="275"/>
      <c r="P484" s="275"/>
      <c r="R484" s="275"/>
    </row>
    <row r="485" ht="22.5" customHeight="1">
      <c r="A485" s="258" t="str">
        <f t="shared" si="1"/>
        <v>-</v>
      </c>
      <c r="B485" s="274"/>
      <c r="C485" s="274"/>
      <c r="F485" s="281"/>
      <c r="G485" s="281"/>
      <c r="H485" s="281"/>
      <c r="I485" s="274"/>
      <c r="J485" s="274"/>
      <c r="K485" s="275"/>
      <c r="P485" s="275"/>
      <c r="R485" s="275"/>
    </row>
    <row r="486" ht="22.5" customHeight="1">
      <c r="A486" s="258" t="str">
        <f t="shared" si="1"/>
        <v>-</v>
      </c>
      <c r="B486" s="274"/>
      <c r="C486" s="274"/>
      <c r="F486" s="281"/>
      <c r="G486" s="281"/>
      <c r="H486" s="281"/>
      <c r="I486" s="274"/>
      <c r="J486" s="274"/>
      <c r="K486" s="275"/>
      <c r="P486" s="275"/>
      <c r="R486" s="275"/>
    </row>
    <row r="487" ht="22.5" customHeight="1">
      <c r="A487" s="258" t="str">
        <f t="shared" si="1"/>
        <v>-</v>
      </c>
      <c r="B487" s="274"/>
      <c r="C487" s="274"/>
      <c r="F487" s="281"/>
      <c r="G487" s="281"/>
      <c r="H487" s="281"/>
      <c r="I487" s="274"/>
      <c r="J487" s="274"/>
      <c r="K487" s="275"/>
      <c r="P487" s="275"/>
      <c r="R487" s="275"/>
    </row>
    <row r="488" ht="22.5" customHeight="1">
      <c r="A488" s="258" t="str">
        <f t="shared" si="1"/>
        <v>-</v>
      </c>
      <c r="B488" s="274"/>
      <c r="C488" s="274"/>
      <c r="F488" s="281"/>
      <c r="G488" s="281"/>
      <c r="H488" s="281"/>
      <c r="I488" s="274"/>
      <c r="J488" s="274"/>
      <c r="K488" s="275"/>
      <c r="P488" s="275"/>
      <c r="R488" s="275"/>
    </row>
    <row r="489" ht="22.5" customHeight="1">
      <c r="A489" s="258" t="str">
        <f t="shared" si="1"/>
        <v>-</v>
      </c>
      <c r="B489" s="274"/>
      <c r="C489" s="274"/>
      <c r="F489" s="281"/>
      <c r="G489" s="281"/>
      <c r="H489" s="281"/>
      <c r="I489" s="274"/>
      <c r="J489" s="274"/>
      <c r="K489" s="275"/>
      <c r="P489" s="275"/>
      <c r="R489" s="275"/>
    </row>
    <row r="490" ht="22.5" customHeight="1">
      <c r="A490" s="258" t="str">
        <f t="shared" si="1"/>
        <v>-</v>
      </c>
      <c r="B490" s="274"/>
      <c r="C490" s="274"/>
      <c r="F490" s="281"/>
      <c r="G490" s="281"/>
      <c r="H490" s="281"/>
      <c r="I490" s="274"/>
      <c r="J490" s="274"/>
      <c r="K490" s="275"/>
      <c r="P490" s="275"/>
      <c r="R490" s="275"/>
    </row>
    <row r="491" ht="22.5" customHeight="1">
      <c r="A491" s="258" t="str">
        <f t="shared" si="1"/>
        <v>-</v>
      </c>
      <c r="B491" s="274"/>
      <c r="C491" s="274"/>
      <c r="F491" s="281"/>
      <c r="G491" s="281"/>
      <c r="H491" s="281"/>
      <c r="I491" s="274"/>
      <c r="J491" s="274"/>
      <c r="K491" s="275"/>
      <c r="P491" s="275"/>
      <c r="R491" s="275"/>
    </row>
    <row r="492" ht="22.5" customHeight="1">
      <c r="A492" s="258" t="str">
        <f t="shared" si="1"/>
        <v>-</v>
      </c>
      <c r="B492" s="274"/>
      <c r="C492" s="274"/>
      <c r="F492" s="281"/>
      <c r="G492" s="281"/>
      <c r="H492" s="281"/>
      <c r="I492" s="274"/>
      <c r="J492" s="274"/>
      <c r="K492" s="275"/>
      <c r="P492" s="275"/>
      <c r="R492" s="275"/>
    </row>
    <row r="493" ht="22.5" customHeight="1">
      <c r="A493" s="258" t="str">
        <f t="shared" si="1"/>
        <v>-</v>
      </c>
      <c r="B493" s="274"/>
      <c r="C493" s="274"/>
      <c r="F493" s="281"/>
      <c r="G493" s="281"/>
      <c r="H493" s="281"/>
      <c r="I493" s="274"/>
      <c r="J493" s="274"/>
      <c r="K493" s="275"/>
      <c r="P493" s="275"/>
      <c r="R493" s="275"/>
    </row>
    <row r="494" ht="22.5" customHeight="1">
      <c r="A494" s="258" t="str">
        <f t="shared" si="1"/>
        <v>-</v>
      </c>
      <c r="B494" s="274"/>
      <c r="C494" s="274"/>
      <c r="F494" s="281"/>
      <c r="G494" s="281"/>
      <c r="H494" s="281"/>
      <c r="I494" s="274"/>
      <c r="J494" s="274"/>
      <c r="K494" s="275"/>
      <c r="P494" s="275"/>
      <c r="R494" s="275"/>
    </row>
    <row r="495" ht="22.5" customHeight="1">
      <c r="A495" s="258" t="str">
        <f t="shared" si="1"/>
        <v>-</v>
      </c>
      <c r="B495" s="274"/>
      <c r="C495" s="274"/>
      <c r="F495" s="281"/>
      <c r="G495" s="281"/>
      <c r="H495" s="281"/>
      <c r="I495" s="274"/>
      <c r="J495" s="274"/>
      <c r="K495" s="275"/>
      <c r="P495" s="275"/>
      <c r="R495" s="275"/>
    </row>
    <row r="496" ht="22.5" customHeight="1">
      <c r="A496" s="258" t="str">
        <f t="shared" si="1"/>
        <v>-</v>
      </c>
      <c r="B496" s="274"/>
      <c r="C496" s="274"/>
      <c r="F496" s="281"/>
      <c r="G496" s="281"/>
      <c r="H496" s="281"/>
      <c r="I496" s="274"/>
      <c r="J496" s="274"/>
      <c r="K496" s="275"/>
      <c r="P496" s="275"/>
      <c r="R496" s="275"/>
    </row>
    <row r="497" ht="22.5" customHeight="1">
      <c r="A497" s="258" t="str">
        <f t="shared" si="1"/>
        <v>-</v>
      </c>
      <c r="B497" s="274"/>
      <c r="C497" s="274"/>
      <c r="F497" s="281"/>
      <c r="G497" s="281"/>
      <c r="H497" s="281"/>
      <c r="I497" s="274"/>
      <c r="J497" s="274"/>
      <c r="K497" s="275"/>
      <c r="P497" s="275"/>
      <c r="R497" s="275"/>
    </row>
    <row r="498" ht="22.5" customHeight="1">
      <c r="A498" s="258" t="str">
        <f t="shared" si="1"/>
        <v>-</v>
      </c>
      <c r="B498" s="274"/>
      <c r="C498" s="274"/>
      <c r="F498" s="281"/>
      <c r="G498" s="281"/>
      <c r="H498" s="281"/>
      <c r="I498" s="274"/>
      <c r="J498" s="274"/>
      <c r="K498" s="275"/>
      <c r="P498" s="275"/>
      <c r="R498" s="275"/>
    </row>
    <row r="499" ht="22.5" customHeight="1">
      <c r="A499" s="258" t="str">
        <f t="shared" si="1"/>
        <v>-</v>
      </c>
      <c r="B499" s="274"/>
      <c r="C499" s="274"/>
      <c r="F499" s="281"/>
      <c r="G499" s="281"/>
      <c r="H499" s="281"/>
      <c r="I499" s="274"/>
      <c r="J499" s="274"/>
      <c r="K499" s="275"/>
      <c r="P499" s="275"/>
      <c r="R499" s="275"/>
    </row>
    <row r="500" ht="22.5" customHeight="1">
      <c r="A500" s="258" t="str">
        <f t="shared" si="1"/>
        <v>-</v>
      </c>
      <c r="B500" s="274"/>
      <c r="C500" s="274"/>
      <c r="F500" s="281"/>
      <c r="G500" s="281"/>
      <c r="H500" s="281"/>
      <c r="I500" s="274"/>
      <c r="J500" s="274"/>
      <c r="K500" s="275"/>
      <c r="P500" s="275"/>
      <c r="R500" s="275"/>
    </row>
    <row r="501" ht="22.5" customHeight="1">
      <c r="A501" s="258" t="str">
        <f t="shared" si="1"/>
        <v>-</v>
      </c>
      <c r="B501" s="274"/>
      <c r="C501" s="274"/>
      <c r="F501" s="281"/>
      <c r="G501" s="281"/>
      <c r="H501" s="281"/>
      <c r="I501" s="274"/>
      <c r="J501" s="274"/>
      <c r="K501" s="275"/>
      <c r="P501" s="275"/>
      <c r="R501" s="275"/>
    </row>
    <row r="502" ht="22.5" customHeight="1">
      <c r="A502" s="258" t="str">
        <f t="shared" si="1"/>
        <v>-</v>
      </c>
      <c r="B502" s="274"/>
      <c r="C502" s="274"/>
      <c r="F502" s="281"/>
      <c r="G502" s="281"/>
      <c r="H502" s="281"/>
      <c r="I502" s="274"/>
      <c r="J502" s="274"/>
      <c r="K502" s="275"/>
      <c r="P502" s="275"/>
      <c r="R502" s="275"/>
    </row>
    <row r="503" ht="22.5" customHeight="1">
      <c r="A503" s="258" t="str">
        <f t="shared" si="1"/>
        <v>-</v>
      </c>
      <c r="B503" s="274"/>
      <c r="C503" s="274"/>
      <c r="F503" s="281"/>
      <c r="G503" s="281"/>
      <c r="H503" s="281"/>
      <c r="I503" s="274"/>
      <c r="J503" s="274"/>
      <c r="K503" s="275"/>
      <c r="P503" s="275"/>
      <c r="R503" s="275"/>
    </row>
    <row r="504" ht="22.5" customHeight="1">
      <c r="A504" s="258" t="str">
        <f t="shared" si="1"/>
        <v>-</v>
      </c>
      <c r="B504" s="274"/>
      <c r="C504" s="274"/>
      <c r="F504" s="281"/>
      <c r="G504" s="281"/>
      <c r="H504" s="281"/>
      <c r="I504" s="274"/>
      <c r="J504" s="274"/>
      <c r="K504" s="275"/>
      <c r="P504" s="275"/>
      <c r="R504" s="275"/>
    </row>
    <row r="505" ht="22.5" customHeight="1">
      <c r="A505" s="258" t="str">
        <f t="shared" si="1"/>
        <v>-</v>
      </c>
      <c r="B505" s="274"/>
      <c r="C505" s="274"/>
      <c r="F505" s="281"/>
      <c r="G505" s="281"/>
      <c r="H505" s="281"/>
      <c r="I505" s="274"/>
      <c r="J505" s="274"/>
      <c r="K505" s="275"/>
      <c r="P505" s="275"/>
      <c r="R505" s="275"/>
    </row>
    <row r="506" ht="22.5" customHeight="1">
      <c r="A506" s="258" t="str">
        <f t="shared" si="1"/>
        <v>-</v>
      </c>
      <c r="B506" s="274"/>
      <c r="C506" s="274"/>
      <c r="F506" s="281"/>
      <c r="G506" s="281"/>
      <c r="H506" s="281"/>
      <c r="I506" s="274"/>
      <c r="J506" s="274"/>
      <c r="K506" s="275"/>
      <c r="P506" s="275"/>
      <c r="R506" s="275"/>
    </row>
    <row r="507" ht="22.5" customHeight="1">
      <c r="A507" s="258" t="str">
        <f t="shared" si="1"/>
        <v>-</v>
      </c>
      <c r="B507" s="274"/>
      <c r="C507" s="274"/>
      <c r="F507" s="281"/>
      <c r="G507" s="281"/>
      <c r="H507" s="281"/>
      <c r="I507" s="274"/>
      <c r="J507" s="274"/>
      <c r="K507" s="275"/>
      <c r="P507" s="275"/>
      <c r="R507" s="275"/>
    </row>
    <row r="508" ht="22.5" customHeight="1">
      <c r="A508" s="258" t="str">
        <f t="shared" si="1"/>
        <v>-</v>
      </c>
      <c r="B508" s="274"/>
      <c r="C508" s="274"/>
      <c r="F508" s="281"/>
      <c r="G508" s="281"/>
      <c r="H508" s="281"/>
      <c r="I508" s="274"/>
      <c r="J508" s="274"/>
      <c r="K508" s="275"/>
      <c r="P508" s="275"/>
      <c r="R508" s="275"/>
    </row>
    <row r="509" ht="22.5" customHeight="1">
      <c r="A509" s="258" t="str">
        <f t="shared" si="1"/>
        <v>-</v>
      </c>
      <c r="B509" s="274"/>
      <c r="C509" s="274"/>
      <c r="F509" s="281"/>
      <c r="G509" s="281"/>
      <c r="H509" s="281"/>
      <c r="I509" s="274"/>
      <c r="J509" s="274"/>
      <c r="K509" s="275"/>
      <c r="P509" s="275"/>
      <c r="R509" s="275"/>
    </row>
    <row r="510" ht="22.5" customHeight="1">
      <c r="A510" s="258" t="str">
        <f t="shared" si="1"/>
        <v>-</v>
      </c>
      <c r="B510" s="274"/>
      <c r="C510" s="274"/>
      <c r="F510" s="281"/>
      <c r="G510" s="281"/>
      <c r="H510" s="281"/>
      <c r="I510" s="274"/>
      <c r="J510" s="274"/>
      <c r="K510" s="275"/>
      <c r="P510" s="275"/>
      <c r="R510" s="275"/>
    </row>
    <row r="511" ht="22.5" customHeight="1">
      <c r="A511" s="258" t="str">
        <f t="shared" si="1"/>
        <v>-</v>
      </c>
      <c r="B511" s="274"/>
      <c r="C511" s="274"/>
      <c r="F511" s="281"/>
      <c r="G511" s="281"/>
      <c r="H511" s="281"/>
      <c r="I511" s="274"/>
      <c r="J511" s="274"/>
      <c r="K511" s="275"/>
      <c r="P511" s="275"/>
      <c r="R511" s="275"/>
    </row>
    <row r="512" ht="22.5" customHeight="1">
      <c r="A512" s="258" t="str">
        <f t="shared" si="1"/>
        <v>-</v>
      </c>
      <c r="B512" s="274"/>
      <c r="C512" s="274"/>
      <c r="F512" s="281"/>
      <c r="G512" s="281"/>
      <c r="H512" s="281"/>
      <c r="I512" s="274"/>
      <c r="J512" s="274"/>
      <c r="K512" s="275"/>
      <c r="P512" s="275"/>
      <c r="R512" s="275"/>
    </row>
    <row r="513" ht="22.5" customHeight="1">
      <c r="A513" s="258" t="str">
        <f t="shared" si="1"/>
        <v>-</v>
      </c>
      <c r="B513" s="274"/>
      <c r="C513" s="274"/>
      <c r="F513" s="281"/>
      <c r="G513" s="281"/>
      <c r="H513" s="281"/>
      <c r="I513" s="274"/>
      <c r="J513" s="274"/>
      <c r="K513" s="275"/>
      <c r="P513" s="275"/>
      <c r="R513" s="275"/>
    </row>
    <row r="514" ht="22.5" customHeight="1">
      <c r="A514" s="258" t="str">
        <f t="shared" si="1"/>
        <v>-</v>
      </c>
      <c r="B514" s="274"/>
      <c r="C514" s="274"/>
      <c r="F514" s="281"/>
      <c r="G514" s="281"/>
      <c r="H514" s="281"/>
      <c r="I514" s="274"/>
      <c r="J514" s="274"/>
      <c r="K514" s="275"/>
      <c r="P514" s="275"/>
      <c r="R514" s="275"/>
    </row>
    <row r="515" ht="22.5" customHeight="1">
      <c r="A515" s="258" t="str">
        <f t="shared" si="1"/>
        <v>-</v>
      </c>
      <c r="B515" s="274"/>
      <c r="C515" s="274"/>
      <c r="F515" s="281"/>
      <c r="G515" s="281"/>
      <c r="H515" s="281"/>
      <c r="I515" s="274"/>
      <c r="J515" s="274"/>
      <c r="K515" s="275"/>
      <c r="P515" s="275"/>
      <c r="R515" s="275"/>
    </row>
    <row r="516" ht="22.5" customHeight="1">
      <c r="A516" s="258" t="str">
        <f t="shared" si="1"/>
        <v>-</v>
      </c>
      <c r="B516" s="274"/>
      <c r="C516" s="274"/>
      <c r="F516" s="281"/>
      <c r="G516" s="281"/>
      <c r="H516" s="281"/>
      <c r="I516" s="274"/>
      <c r="J516" s="274"/>
      <c r="K516" s="275"/>
      <c r="P516" s="275"/>
      <c r="R516" s="275"/>
    </row>
    <row r="517" ht="22.5" customHeight="1">
      <c r="A517" s="258" t="str">
        <f t="shared" si="1"/>
        <v>-</v>
      </c>
      <c r="B517" s="274"/>
      <c r="C517" s="274"/>
      <c r="F517" s="281"/>
      <c r="G517" s="281"/>
      <c r="H517" s="281"/>
      <c r="I517" s="274"/>
      <c r="J517" s="274"/>
      <c r="K517" s="275"/>
      <c r="P517" s="275"/>
      <c r="R517" s="275"/>
    </row>
    <row r="518" ht="22.5" customHeight="1">
      <c r="A518" s="258" t="str">
        <f t="shared" si="1"/>
        <v>-</v>
      </c>
      <c r="B518" s="274"/>
      <c r="C518" s="274"/>
      <c r="F518" s="281"/>
      <c r="G518" s="281"/>
      <c r="H518" s="281"/>
      <c r="I518" s="274"/>
      <c r="J518" s="274"/>
      <c r="K518" s="275"/>
      <c r="P518" s="275"/>
      <c r="R518" s="275"/>
    </row>
    <row r="519" ht="22.5" customHeight="1">
      <c r="A519" s="258" t="str">
        <f t="shared" si="1"/>
        <v>-</v>
      </c>
      <c r="B519" s="274"/>
      <c r="C519" s="274"/>
      <c r="F519" s="281"/>
      <c r="G519" s="281"/>
      <c r="H519" s="281"/>
      <c r="I519" s="274"/>
      <c r="J519" s="274"/>
      <c r="K519" s="275"/>
      <c r="P519" s="275"/>
      <c r="R519" s="275"/>
    </row>
    <row r="520" ht="22.5" customHeight="1">
      <c r="A520" s="258" t="str">
        <f t="shared" si="1"/>
        <v>-</v>
      </c>
      <c r="B520" s="274"/>
      <c r="C520" s="274"/>
      <c r="F520" s="281"/>
      <c r="G520" s="281"/>
      <c r="H520" s="281"/>
      <c r="I520" s="274"/>
      <c r="J520" s="274"/>
      <c r="K520" s="275"/>
      <c r="P520" s="275"/>
      <c r="R520" s="275"/>
    </row>
    <row r="521" ht="22.5" customHeight="1">
      <c r="A521" s="258" t="str">
        <f t="shared" si="1"/>
        <v>-</v>
      </c>
      <c r="B521" s="274"/>
      <c r="C521" s="274"/>
      <c r="F521" s="281"/>
      <c r="G521" s="281"/>
      <c r="H521" s="281"/>
      <c r="I521" s="274"/>
      <c r="J521" s="274"/>
      <c r="K521" s="275"/>
      <c r="P521" s="275"/>
      <c r="R521" s="275"/>
    </row>
    <row r="522" ht="22.5" customHeight="1">
      <c r="A522" s="258" t="str">
        <f t="shared" si="1"/>
        <v>-</v>
      </c>
      <c r="B522" s="274"/>
      <c r="C522" s="274"/>
      <c r="F522" s="281"/>
      <c r="G522" s="281"/>
      <c r="H522" s="281"/>
      <c r="I522" s="274"/>
      <c r="J522" s="274"/>
      <c r="K522" s="275"/>
      <c r="P522" s="275"/>
      <c r="R522" s="275"/>
    </row>
    <row r="523" ht="22.5" customHeight="1">
      <c r="A523" s="258" t="str">
        <f t="shared" si="1"/>
        <v>-</v>
      </c>
      <c r="B523" s="274"/>
      <c r="C523" s="274"/>
      <c r="F523" s="281"/>
      <c r="G523" s="281"/>
      <c r="H523" s="281"/>
      <c r="I523" s="274"/>
      <c r="J523" s="274"/>
      <c r="K523" s="275"/>
      <c r="P523" s="275"/>
      <c r="R523" s="275"/>
    </row>
    <row r="524" ht="22.5" customHeight="1">
      <c r="A524" s="258" t="str">
        <f t="shared" si="1"/>
        <v>-</v>
      </c>
      <c r="B524" s="274"/>
      <c r="C524" s="274"/>
      <c r="F524" s="281"/>
      <c r="G524" s="281"/>
      <c r="H524" s="281"/>
      <c r="I524" s="274"/>
      <c r="J524" s="274"/>
      <c r="K524" s="275"/>
      <c r="P524" s="275"/>
      <c r="R524" s="275"/>
    </row>
    <row r="525" ht="22.5" customHeight="1">
      <c r="A525" s="258" t="str">
        <f t="shared" si="1"/>
        <v>-</v>
      </c>
      <c r="B525" s="274"/>
      <c r="C525" s="274"/>
      <c r="F525" s="281"/>
      <c r="G525" s="281"/>
      <c r="H525" s="281"/>
      <c r="I525" s="274"/>
      <c r="J525" s="274"/>
      <c r="K525" s="275"/>
      <c r="P525" s="275"/>
      <c r="R525" s="275"/>
    </row>
    <row r="526" ht="22.5" customHeight="1">
      <c r="A526" s="258" t="str">
        <f t="shared" si="1"/>
        <v>-</v>
      </c>
      <c r="B526" s="274"/>
      <c r="C526" s="274"/>
      <c r="F526" s="281"/>
      <c r="G526" s="281"/>
      <c r="H526" s="281"/>
      <c r="I526" s="274"/>
      <c r="J526" s="274"/>
      <c r="K526" s="275"/>
      <c r="P526" s="275"/>
      <c r="R526" s="275"/>
    </row>
    <row r="527" ht="22.5" customHeight="1">
      <c r="A527" s="258" t="str">
        <f t="shared" si="1"/>
        <v>-</v>
      </c>
      <c r="B527" s="274"/>
      <c r="C527" s="274"/>
      <c r="F527" s="281"/>
      <c r="G527" s="281"/>
      <c r="H527" s="281"/>
      <c r="I527" s="274"/>
      <c r="J527" s="274"/>
      <c r="K527" s="275"/>
      <c r="P527" s="275"/>
      <c r="R527" s="275"/>
    </row>
    <row r="528" ht="22.5" customHeight="1">
      <c r="A528" s="258" t="str">
        <f t="shared" si="1"/>
        <v>-</v>
      </c>
      <c r="B528" s="274"/>
      <c r="C528" s="274"/>
      <c r="F528" s="281"/>
      <c r="G528" s="281"/>
      <c r="H528" s="281"/>
      <c r="I528" s="274"/>
      <c r="J528" s="274"/>
      <c r="K528" s="275"/>
      <c r="P528" s="275"/>
      <c r="R528" s="275"/>
    </row>
    <row r="529" ht="22.5" customHeight="1">
      <c r="A529" s="258" t="str">
        <f t="shared" si="1"/>
        <v>-</v>
      </c>
      <c r="B529" s="274"/>
      <c r="C529" s="274"/>
      <c r="F529" s="281"/>
      <c r="G529" s="281"/>
      <c r="H529" s="281"/>
      <c r="I529" s="274"/>
      <c r="J529" s="274"/>
      <c r="K529" s="275"/>
      <c r="P529" s="275"/>
      <c r="R529" s="275"/>
    </row>
    <row r="530" ht="22.5" customHeight="1">
      <c r="A530" s="258" t="str">
        <f t="shared" si="1"/>
        <v>-</v>
      </c>
      <c r="B530" s="274"/>
      <c r="C530" s="274"/>
      <c r="F530" s="281"/>
      <c r="G530" s="281"/>
      <c r="H530" s="281"/>
      <c r="I530" s="274"/>
      <c r="J530" s="274"/>
      <c r="K530" s="275"/>
      <c r="P530" s="275"/>
      <c r="R530" s="275"/>
    </row>
    <row r="531" ht="22.5" customHeight="1">
      <c r="A531" s="258" t="str">
        <f t="shared" si="1"/>
        <v>-</v>
      </c>
      <c r="B531" s="274"/>
      <c r="C531" s="274"/>
      <c r="F531" s="281"/>
      <c r="G531" s="281"/>
      <c r="H531" s="281"/>
      <c r="I531" s="274"/>
      <c r="J531" s="274"/>
      <c r="K531" s="275"/>
      <c r="P531" s="275"/>
      <c r="R531" s="275"/>
    </row>
    <row r="532" ht="22.5" customHeight="1">
      <c r="A532" s="258" t="str">
        <f t="shared" si="1"/>
        <v>-</v>
      </c>
      <c r="B532" s="274"/>
      <c r="C532" s="274"/>
      <c r="F532" s="281"/>
      <c r="G532" s="281"/>
      <c r="H532" s="281"/>
      <c r="I532" s="274"/>
      <c r="J532" s="274"/>
      <c r="K532" s="275"/>
      <c r="P532" s="275"/>
      <c r="R532" s="275"/>
    </row>
    <row r="533" ht="22.5" customHeight="1">
      <c r="A533" s="258" t="str">
        <f t="shared" si="1"/>
        <v>-</v>
      </c>
      <c r="B533" s="274"/>
      <c r="C533" s="274"/>
      <c r="F533" s="281"/>
      <c r="G533" s="281"/>
      <c r="H533" s="281"/>
      <c r="I533" s="274"/>
      <c r="J533" s="274"/>
      <c r="K533" s="275"/>
      <c r="P533" s="275"/>
      <c r="R533" s="275"/>
    </row>
    <row r="534" ht="22.5" customHeight="1">
      <c r="A534" s="258" t="str">
        <f t="shared" si="1"/>
        <v>-</v>
      </c>
      <c r="B534" s="274"/>
      <c r="C534" s="274"/>
      <c r="F534" s="281"/>
      <c r="G534" s="281"/>
      <c r="H534" s="281"/>
      <c r="I534" s="274"/>
      <c r="J534" s="274"/>
      <c r="K534" s="275"/>
      <c r="P534" s="275"/>
      <c r="R534" s="275"/>
    </row>
    <row r="535" ht="22.5" customHeight="1">
      <c r="A535" s="258" t="str">
        <f t="shared" si="1"/>
        <v>-</v>
      </c>
      <c r="B535" s="274"/>
      <c r="C535" s="274"/>
      <c r="F535" s="281"/>
      <c r="G535" s="281"/>
      <c r="H535" s="281"/>
      <c r="I535" s="274"/>
      <c r="J535" s="274"/>
      <c r="K535" s="275"/>
      <c r="P535" s="275"/>
      <c r="R535" s="275"/>
    </row>
    <row r="536" ht="22.5" customHeight="1">
      <c r="A536" s="258" t="str">
        <f t="shared" si="1"/>
        <v>-</v>
      </c>
      <c r="B536" s="274"/>
      <c r="C536" s="274"/>
      <c r="F536" s="281"/>
      <c r="G536" s="281"/>
      <c r="H536" s="281"/>
      <c r="I536" s="274"/>
      <c r="J536" s="274"/>
      <c r="K536" s="275"/>
      <c r="P536" s="275"/>
      <c r="R536" s="275"/>
    </row>
    <row r="537" ht="22.5" customHeight="1">
      <c r="A537" s="258" t="str">
        <f t="shared" si="1"/>
        <v>-</v>
      </c>
      <c r="B537" s="274"/>
      <c r="C537" s="274"/>
      <c r="F537" s="281"/>
      <c r="G537" s="281"/>
      <c r="H537" s="281"/>
      <c r="I537" s="274"/>
      <c r="J537" s="274"/>
      <c r="K537" s="275"/>
      <c r="P537" s="275"/>
      <c r="R537" s="275"/>
    </row>
    <row r="538" ht="22.5" customHeight="1">
      <c r="A538" s="258" t="str">
        <f t="shared" si="1"/>
        <v>-</v>
      </c>
      <c r="B538" s="274"/>
      <c r="C538" s="274"/>
      <c r="F538" s="281"/>
      <c r="G538" s="281"/>
      <c r="H538" s="281"/>
      <c r="I538" s="274"/>
      <c r="J538" s="274"/>
      <c r="K538" s="275"/>
      <c r="P538" s="275"/>
      <c r="R538" s="275"/>
    </row>
    <row r="539" ht="22.5" customHeight="1">
      <c r="A539" s="258" t="str">
        <f t="shared" si="1"/>
        <v>-</v>
      </c>
      <c r="B539" s="274"/>
      <c r="C539" s="274"/>
      <c r="F539" s="281"/>
      <c r="G539" s="281"/>
      <c r="H539" s="281"/>
      <c r="I539" s="274"/>
      <c r="J539" s="274"/>
      <c r="K539" s="275"/>
      <c r="P539" s="275"/>
      <c r="R539" s="275"/>
    </row>
    <row r="540" ht="22.5" customHeight="1">
      <c r="A540" s="258" t="str">
        <f t="shared" si="1"/>
        <v>-</v>
      </c>
      <c r="B540" s="274"/>
      <c r="C540" s="274"/>
      <c r="F540" s="281"/>
      <c r="G540" s="281"/>
      <c r="H540" s="281"/>
      <c r="I540" s="274"/>
      <c r="J540" s="274"/>
      <c r="K540" s="275"/>
      <c r="P540" s="275"/>
      <c r="R540" s="275"/>
    </row>
    <row r="541" ht="22.5" customHeight="1">
      <c r="A541" s="258" t="str">
        <f t="shared" si="1"/>
        <v>-</v>
      </c>
      <c r="B541" s="274"/>
      <c r="C541" s="274"/>
      <c r="F541" s="281"/>
      <c r="G541" s="281"/>
      <c r="H541" s="281"/>
      <c r="I541" s="274"/>
      <c r="J541" s="274"/>
      <c r="K541" s="275"/>
      <c r="P541" s="275"/>
      <c r="R541" s="275"/>
    </row>
    <row r="542" ht="22.5" customHeight="1">
      <c r="A542" s="258" t="str">
        <f t="shared" si="1"/>
        <v>-</v>
      </c>
      <c r="B542" s="274"/>
      <c r="C542" s="274"/>
      <c r="F542" s="281"/>
      <c r="G542" s="281"/>
      <c r="H542" s="281"/>
      <c r="I542" s="274"/>
      <c r="J542" s="274"/>
      <c r="K542" s="275"/>
      <c r="P542" s="275"/>
      <c r="R542" s="275"/>
    </row>
    <row r="543" ht="22.5" customHeight="1">
      <c r="A543" s="258" t="str">
        <f t="shared" si="1"/>
        <v>-</v>
      </c>
      <c r="B543" s="274"/>
      <c r="C543" s="274"/>
      <c r="F543" s="281"/>
      <c r="G543" s="281"/>
      <c r="H543" s="281"/>
      <c r="I543" s="274"/>
      <c r="J543" s="274"/>
      <c r="K543" s="275"/>
      <c r="P543" s="275"/>
      <c r="R543" s="275"/>
    </row>
    <row r="544" ht="22.5" customHeight="1">
      <c r="A544" s="258" t="str">
        <f t="shared" si="1"/>
        <v>-</v>
      </c>
      <c r="B544" s="274"/>
      <c r="C544" s="274"/>
      <c r="F544" s="281"/>
      <c r="G544" s="281"/>
      <c r="H544" s="281"/>
      <c r="I544" s="274"/>
      <c r="J544" s="274"/>
      <c r="K544" s="275"/>
      <c r="P544" s="275"/>
      <c r="R544" s="275"/>
    </row>
    <row r="545" ht="22.5" customHeight="1">
      <c r="A545" s="258" t="str">
        <f t="shared" si="1"/>
        <v>-</v>
      </c>
      <c r="B545" s="274"/>
      <c r="C545" s="274"/>
      <c r="F545" s="281"/>
      <c r="G545" s="281"/>
      <c r="H545" s="281"/>
      <c r="I545" s="274"/>
      <c r="J545" s="274"/>
      <c r="K545" s="275"/>
      <c r="P545" s="275"/>
      <c r="R545" s="275"/>
    </row>
    <row r="546" ht="22.5" customHeight="1">
      <c r="A546" s="258" t="str">
        <f t="shared" si="1"/>
        <v>-</v>
      </c>
      <c r="B546" s="274"/>
      <c r="C546" s="274"/>
      <c r="F546" s="281"/>
      <c r="G546" s="281"/>
      <c r="H546" s="281"/>
      <c r="I546" s="274"/>
      <c r="J546" s="274"/>
      <c r="K546" s="275"/>
      <c r="P546" s="275"/>
      <c r="R546" s="275"/>
    </row>
    <row r="547" ht="22.5" customHeight="1">
      <c r="A547" s="258" t="str">
        <f t="shared" si="1"/>
        <v>-</v>
      </c>
      <c r="B547" s="274"/>
      <c r="C547" s="274"/>
      <c r="F547" s="281"/>
      <c r="G547" s="281"/>
      <c r="H547" s="281"/>
      <c r="I547" s="274"/>
      <c r="J547" s="274"/>
      <c r="K547" s="275"/>
      <c r="P547" s="275"/>
      <c r="R547" s="275"/>
    </row>
    <row r="548" ht="22.5" customHeight="1">
      <c r="A548" s="258" t="str">
        <f t="shared" si="1"/>
        <v>-</v>
      </c>
      <c r="B548" s="274"/>
      <c r="C548" s="274"/>
      <c r="F548" s="281"/>
      <c r="G548" s="281"/>
      <c r="H548" s="281"/>
      <c r="I548" s="274"/>
      <c r="J548" s="274"/>
      <c r="K548" s="275"/>
      <c r="P548" s="275"/>
      <c r="R548" s="275"/>
    </row>
    <row r="549" ht="22.5" customHeight="1">
      <c r="A549" s="258" t="str">
        <f t="shared" si="1"/>
        <v>-</v>
      </c>
      <c r="B549" s="274"/>
      <c r="C549" s="274"/>
      <c r="F549" s="281"/>
      <c r="G549" s="281"/>
      <c r="H549" s="281"/>
      <c r="I549" s="274"/>
      <c r="J549" s="274"/>
      <c r="K549" s="275"/>
      <c r="P549" s="275"/>
      <c r="R549" s="275"/>
    </row>
    <row r="550" ht="22.5" customHeight="1">
      <c r="A550" s="258" t="str">
        <f t="shared" si="1"/>
        <v>-</v>
      </c>
      <c r="B550" s="274"/>
      <c r="C550" s="274"/>
      <c r="F550" s="281"/>
      <c r="G550" s="281"/>
      <c r="H550" s="281"/>
      <c r="I550" s="274"/>
      <c r="J550" s="274"/>
      <c r="K550" s="275"/>
      <c r="P550" s="275"/>
      <c r="R550" s="275"/>
    </row>
    <row r="551" ht="22.5" customHeight="1">
      <c r="A551" s="258" t="str">
        <f t="shared" si="1"/>
        <v>-</v>
      </c>
      <c r="B551" s="274"/>
      <c r="C551" s="274"/>
      <c r="F551" s="281"/>
      <c r="G551" s="281"/>
      <c r="H551" s="281"/>
      <c r="I551" s="274"/>
      <c r="J551" s="274"/>
      <c r="K551" s="275"/>
      <c r="P551" s="275"/>
      <c r="R551" s="275"/>
    </row>
    <row r="552" ht="22.5" customHeight="1">
      <c r="A552" s="258" t="str">
        <f t="shared" si="1"/>
        <v>-</v>
      </c>
      <c r="B552" s="274"/>
      <c r="C552" s="274"/>
      <c r="F552" s="281"/>
      <c r="G552" s="281"/>
      <c r="H552" s="281"/>
      <c r="I552" s="274"/>
      <c r="J552" s="274"/>
      <c r="K552" s="275"/>
      <c r="P552" s="275"/>
      <c r="R552" s="275"/>
    </row>
    <row r="553" ht="22.5" customHeight="1">
      <c r="A553" s="258" t="str">
        <f t="shared" si="1"/>
        <v>-</v>
      </c>
      <c r="B553" s="274"/>
      <c r="C553" s="274"/>
      <c r="F553" s="281"/>
      <c r="G553" s="281"/>
      <c r="H553" s="281"/>
      <c r="I553" s="274"/>
      <c r="J553" s="274"/>
      <c r="K553" s="275"/>
      <c r="P553" s="275"/>
      <c r="R553" s="275"/>
    </row>
    <row r="554" ht="22.5" customHeight="1">
      <c r="A554" s="258" t="str">
        <f t="shared" si="1"/>
        <v>-</v>
      </c>
      <c r="B554" s="274"/>
      <c r="C554" s="274"/>
      <c r="F554" s="281"/>
      <c r="G554" s="281"/>
      <c r="H554" s="281"/>
      <c r="I554" s="274"/>
      <c r="J554" s="274"/>
      <c r="K554" s="275"/>
      <c r="P554" s="275"/>
      <c r="R554" s="275"/>
    </row>
    <row r="555" ht="22.5" customHeight="1">
      <c r="A555" s="258" t="str">
        <f t="shared" si="1"/>
        <v>-</v>
      </c>
      <c r="B555" s="274"/>
      <c r="C555" s="274"/>
      <c r="F555" s="281"/>
      <c r="G555" s="281"/>
      <c r="H555" s="281"/>
      <c r="I555" s="274"/>
      <c r="J555" s="274"/>
      <c r="K555" s="275"/>
      <c r="P555" s="275"/>
      <c r="R555" s="275"/>
    </row>
    <row r="556" ht="22.5" customHeight="1">
      <c r="A556" s="258" t="str">
        <f t="shared" si="1"/>
        <v>-</v>
      </c>
      <c r="B556" s="274"/>
      <c r="C556" s="274"/>
      <c r="F556" s="281"/>
      <c r="G556" s="281"/>
      <c r="H556" s="281"/>
      <c r="I556" s="274"/>
      <c r="J556" s="274"/>
      <c r="K556" s="275"/>
      <c r="P556" s="275"/>
      <c r="R556" s="275"/>
    </row>
    <row r="557" ht="22.5" customHeight="1">
      <c r="A557" s="258" t="str">
        <f t="shared" si="1"/>
        <v>-</v>
      </c>
      <c r="B557" s="274"/>
      <c r="C557" s="274"/>
      <c r="F557" s="281"/>
      <c r="G557" s="281"/>
      <c r="H557" s="281"/>
      <c r="I557" s="274"/>
      <c r="J557" s="274"/>
      <c r="K557" s="275"/>
      <c r="P557" s="275"/>
      <c r="R557" s="275"/>
    </row>
    <row r="558" ht="22.5" customHeight="1">
      <c r="A558" s="258" t="str">
        <f t="shared" si="1"/>
        <v>-</v>
      </c>
      <c r="B558" s="274"/>
      <c r="C558" s="274"/>
      <c r="F558" s="281"/>
      <c r="G558" s="281"/>
      <c r="H558" s="281"/>
      <c r="I558" s="274"/>
      <c r="J558" s="274"/>
      <c r="K558" s="275"/>
      <c r="P558" s="275"/>
      <c r="R558" s="275"/>
    </row>
    <row r="559" ht="22.5" customHeight="1">
      <c r="A559" s="258" t="str">
        <f t="shared" si="1"/>
        <v>-</v>
      </c>
      <c r="B559" s="274"/>
      <c r="C559" s="274"/>
      <c r="F559" s="281"/>
      <c r="G559" s="281"/>
      <c r="H559" s="281"/>
      <c r="I559" s="274"/>
      <c r="J559" s="274"/>
      <c r="K559" s="275"/>
      <c r="P559" s="275"/>
      <c r="R559" s="275"/>
    </row>
    <row r="560" ht="22.5" customHeight="1">
      <c r="A560" s="258" t="str">
        <f t="shared" si="1"/>
        <v>-</v>
      </c>
      <c r="B560" s="274"/>
      <c r="C560" s="274"/>
      <c r="F560" s="281"/>
      <c r="G560" s="281"/>
      <c r="H560" s="281"/>
      <c r="I560" s="274"/>
      <c r="J560" s="274"/>
      <c r="K560" s="275"/>
      <c r="P560" s="275"/>
      <c r="R560" s="275"/>
    </row>
    <row r="561" ht="22.5" customHeight="1">
      <c r="A561" s="258" t="str">
        <f t="shared" si="1"/>
        <v>-</v>
      </c>
      <c r="B561" s="274"/>
      <c r="C561" s="274"/>
      <c r="F561" s="281"/>
      <c r="G561" s="281"/>
      <c r="H561" s="281"/>
      <c r="I561" s="274"/>
      <c r="J561" s="274"/>
      <c r="K561" s="275"/>
      <c r="P561" s="275"/>
      <c r="R561" s="275"/>
    </row>
    <row r="562" ht="22.5" customHeight="1">
      <c r="A562" s="258" t="str">
        <f t="shared" si="1"/>
        <v>-</v>
      </c>
      <c r="B562" s="274"/>
      <c r="C562" s="274"/>
      <c r="F562" s="281"/>
      <c r="G562" s="281"/>
      <c r="H562" s="281"/>
      <c r="I562" s="274"/>
      <c r="J562" s="274"/>
      <c r="K562" s="275"/>
      <c r="P562" s="275"/>
      <c r="R562" s="275"/>
    </row>
    <row r="563" ht="22.5" customHeight="1">
      <c r="A563" s="258" t="str">
        <f t="shared" si="1"/>
        <v>-</v>
      </c>
      <c r="B563" s="274"/>
      <c r="C563" s="274"/>
      <c r="F563" s="281"/>
      <c r="G563" s="281"/>
      <c r="H563" s="281"/>
      <c r="I563" s="274"/>
      <c r="J563" s="274"/>
      <c r="K563" s="275"/>
      <c r="P563" s="275"/>
      <c r="R563" s="275"/>
    </row>
    <row r="564" ht="22.5" customHeight="1">
      <c r="A564" s="258" t="str">
        <f t="shared" si="1"/>
        <v>-</v>
      </c>
      <c r="B564" s="274"/>
      <c r="C564" s="274"/>
      <c r="F564" s="281"/>
      <c r="G564" s="281"/>
      <c r="H564" s="281"/>
      <c r="I564" s="274"/>
      <c r="J564" s="274"/>
      <c r="K564" s="275"/>
      <c r="P564" s="275"/>
      <c r="R564" s="275"/>
    </row>
    <row r="565" ht="22.5" customHeight="1">
      <c r="A565" s="258" t="str">
        <f t="shared" si="1"/>
        <v>-</v>
      </c>
      <c r="B565" s="274"/>
      <c r="C565" s="274"/>
      <c r="F565" s="281"/>
      <c r="G565" s="281"/>
      <c r="H565" s="281"/>
      <c r="I565" s="274"/>
      <c r="J565" s="274"/>
      <c r="K565" s="275"/>
      <c r="P565" s="275"/>
      <c r="R565" s="275"/>
    </row>
    <row r="566" ht="22.5" customHeight="1">
      <c r="A566" s="258" t="str">
        <f t="shared" si="1"/>
        <v>-</v>
      </c>
      <c r="B566" s="274"/>
      <c r="C566" s="274"/>
      <c r="F566" s="281"/>
      <c r="G566" s="281"/>
      <c r="H566" s="281"/>
      <c r="I566" s="274"/>
      <c r="J566" s="274"/>
      <c r="K566" s="275"/>
      <c r="P566" s="275"/>
      <c r="R566" s="275"/>
    </row>
    <row r="567" ht="22.5" customHeight="1">
      <c r="A567" s="258" t="str">
        <f t="shared" si="1"/>
        <v>-</v>
      </c>
      <c r="B567" s="274"/>
      <c r="C567" s="274"/>
      <c r="F567" s="281"/>
      <c r="G567" s="281"/>
      <c r="H567" s="281"/>
      <c r="I567" s="274"/>
      <c r="J567" s="274"/>
      <c r="K567" s="275"/>
      <c r="P567" s="275"/>
      <c r="R567" s="275"/>
    </row>
    <row r="568" ht="22.5" customHeight="1">
      <c r="A568" s="258" t="str">
        <f t="shared" si="1"/>
        <v>-</v>
      </c>
      <c r="B568" s="274"/>
      <c r="C568" s="274"/>
      <c r="F568" s="281"/>
      <c r="G568" s="281"/>
      <c r="H568" s="281"/>
      <c r="I568" s="274"/>
      <c r="J568" s="274"/>
      <c r="K568" s="275"/>
      <c r="P568" s="275"/>
      <c r="R568" s="275"/>
    </row>
    <row r="569" ht="22.5" customHeight="1">
      <c r="A569" s="258" t="str">
        <f t="shared" si="1"/>
        <v>-</v>
      </c>
      <c r="B569" s="274"/>
      <c r="C569" s="274"/>
      <c r="F569" s="281"/>
      <c r="G569" s="281"/>
      <c r="H569" s="281"/>
      <c r="I569" s="274"/>
      <c r="J569" s="274"/>
      <c r="K569" s="275"/>
      <c r="P569" s="275"/>
      <c r="R569" s="275"/>
    </row>
    <row r="570" ht="22.5" customHeight="1">
      <c r="A570" s="258" t="str">
        <f t="shared" si="1"/>
        <v>-</v>
      </c>
      <c r="B570" s="274"/>
      <c r="C570" s="274"/>
      <c r="F570" s="281"/>
      <c r="G570" s="281"/>
      <c r="H570" s="281"/>
      <c r="I570" s="274"/>
      <c r="J570" s="274"/>
      <c r="K570" s="275"/>
      <c r="P570" s="275"/>
      <c r="R570" s="275"/>
    </row>
    <row r="571" ht="22.5" customHeight="1">
      <c r="A571" s="258" t="str">
        <f t="shared" si="1"/>
        <v>-</v>
      </c>
      <c r="B571" s="274"/>
      <c r="C571" s="274"/>
      <c r="F571" s="281"/>
      <c r="G571" s="281"/>
      <c r="H571" s="281"/>
      <c r="I571" s="274"/>
      <c r="J571" s="274"/>
      <c r="K571" s="275"/>
      <c r="P571" s="275"/>
      <c r="R571" s="275"/>
    </row>
    <row r="572" ht="22.5" customHeight="1">
      <c r="A572" s="258" t="str">
        <f t="shared" si="1"/>
        <v>-</v>
      </c>
      <c r="B572" s="274"/>
      <c r="C572" s="274"/>
      <c r="F572" s="281"/>
      <c r="G572" s="281"/>
      <c r="H572" s="281"/>
      <c r="I572" s="274"/>
      <c r="J572" s="274"/>
      <c r="K572" s="275"/>
      <c r="P572" s="275"/>
      <c r="R572" s="275"/>
    </row>
    <row r="573" ht="22.5" customHeight="1">
      <c r="A573" s="258" t="str">
        <f t="shared" si="1"/>
        <v>-</v>
      </c>
      <c r="B573" s="274"/>
      <c r="C573" s="274"/>
      <c r="F573" s="281"/>
      <c r="G573" s="281"/>
      <c r="H573" s="281"/>
      <c r="I573" s="274"/>
      <c r="J573" s="274"/>
      <c r="K573" s="275"/>
      <c r="P573" s="275"/>
      <c r="R573" s="275"/>
    </row>
    <row r="574" ht="22.5" customHeight="1">
      <c r="A574" s="258" t="str">
        <f t="shared" si="1"/>
        <v>-</v>
      </c>
      <c r="B574" s="274"/>
      <c r="C574" s="274"/>
      <c r="F574" s="281"/>
      <c r="G574" s="281"/>
      <c r="H574" s="281"/>
      <c r="I574" s="274"/>
      <c r="J574" s="274"/>
      <c r="K574" s="275"/>
      <c r="P574" s="275"/>
      <c r="R574" s="275"/>
    </row>
    <row r="575" ht="22.5" customHeight="1">
      <c r="A575" s="258" t="str">
        <f t="shared" si="1"/>
        <v>-</v>
      </c>
      <c r="B575" s="274"/>
      <c r="C575" s="274"/>
      <c r="F575" s="281"/>
      <c r="G575" s="281"/>
      <c r="H575" s="281"/>
      <c r="I575" s="274"/>
      <c r="J575" s="274"/>
      <c r="K575" s="275"/>
      <c r="P575" s="275"/>
      <c r="R575" s="275"/>
    </row>
    <row r="576" ht="22.5" customHeight="1">
      <c r="A576" s="258" t="str">
        <f t="shared" si="1"/>
        <v>-</v>
      </c>
      <c r="B576" s="274"/>
      <c r="C576" s="274"/>
      <c r="F576" s="281"/>
      <c r="G576" s="281"/>
      <c r="H576" s="281"/>
      <c r="I576" s="274"/>
      <c r="J576" s="274"/>
      <c r="K576" s="275"/>
      <c r="P576" s="275"/>
      <c r="R576" s="275"/>
    </row>
    <row r="577" ht="22.5" customHeight="1">
      <c r="A577" s="258" t="str">
        <f t="shared" si="1"/>
        <v>-</v>
      </c>
      <c r="B577" s="274"/>
      <c r="C577" s="274"/>
      <c r="F577" s="281"/>
      <c r="G577" s="281"/>
      <c r="H577" s="281"/>
      <c r="I577" s="274"/>
      <c r="J577" s="274"/>
      <c r="K577" s="275"/>
      <c r="P577" s="275"/>
      <c r="R577" s="275"/>
    </row>
    <row r="578" ht="22.5" customHeight="1">
      <c r="A578" s="258" t="str">
        <f t="shared" si="1"/>
        <v>-</v>
      </c>
      <c r="B578" s="274"/>
      <c r="C578" s="274"/>
      <c r="F578" s="281"/>
      <c r="G578" s="281"/>
      <c r="H578" s="281"/>
      <c r="I578" s="274"/>
      <c r="J578" s="274"/>
      <c r="K578" s="275"/>
      <c r="P578" s="275"/>
      <c r="R578" s="275"/>
    </row>
    <row r="579" ht="22.5" customHeight="1">
      <c r="A579" s="258" t="str">
        <f t="shared" si="1"/>
        <v>-</v>
      </c>
      <c r="B579" s="274"/>
      <c r="C579" s="274"/>
      <c r="F579" s="281"/>
      <c r="G579" s="281"/>
      <c r="H579" s="281"/>
      <c r="I579" s="274"/>
      <c r="J579" s="274"/>
      <c r="K579" s="275"/>
      <c r="P579" s="275"/>
      <c r="R579" s="275"/>
    </row>
    <row r="580" ht="22.5" customHeight="1">
      <c r="A580" s="258" t="str">
        <f t="shared" si="1"/>
        <v>-</v>
      </c>
      <c r="B580" s="274"/>
      <c r="C580" s="274"/>
      <c r="F580" s="281"/>
      <c r="G580" s="281"/>
      <c r="H580" s="281"/>
      <c r="I580" s="274"/>
      <c r="J580" s="274"/>
      <c r="K580" s="275"/>
      <c r="P580" s="275"/>
      <c r="R580" s="275"/>
    </row>
    <row r="581" ht="22.5" customHeight="1">
      <c r="A581" s="258" t="str">
        <f t="shared" si="1"/>
        <v>-</v>
      </c>
      <c r="B581" s="274"/>
      <c r="C581" s="274"/>
      <c r="F581" s="281"/>
      <c r="G581" s="281"/>
      <c r="H581" s="281"/>
      <c r="I581" s="274"/>
      <c r="J581" s="274"/>
      <c r="K581" s="275"/>
      <c r="P581" s="275"/>
      <c r="R581" s="275"/>
    </row>
    <row r="582" ht="22.5" customHeight="1">
      <c r="A582" s="258" t="str">
        <f t="shared" si="1"/>
        <v>-</v>
      </c>
      <c r="B582" s="274"/>
      <c r="C582" s="274"/>
      <c r="F582" s="281"/>
      <c r="G582" s="281"/>
      <c r="H582" s="281"/>
      <c r="I582" s="274"/>
      <c r="J582" s="274"/>
      <c r="K582" s="275"/>
      <c r="P582" s="275"/>
      <c r="R582" s="275"/>
    </row>
    <row r="583" ht="22.5" customHeight="1">
      <c r="A583" s="258" t="str">
        <f t="shared" si="1"/>
        <v>-</v>
      </c>
      <c r="B583" s="274"/>
      <c r="C583" s="274"/>
      <c r="F583" s="281"/>
      <c r="G583" s="281"/>
      <c r="H583" s="281"/>
      <c r="I583" s="274"/>
      <c r="J583" s="274"/>
      <c r="K583" s="275"/>
      <c r="P583" s="275"/>
      <c r="R583" s="275"/>
    </row>
    <row r="584" ht="22.5" customHeight="1">
      <c r="A584" s="258" t="str">
        <f t="shared" si="1"/>
        <v>-</v>
      </c>
      <c r="B584" s="274"/>
      <c r="C584" s="274"/>
      <c r="F584" s="281"/>
      <c r="G584" s="281"/>
      <c r="H584" s="281"/>
      <c r="I584" s="274"/>
      <c r="J584" s="274"/>
      <c r="K584" s="275"/>
      <c r="P584" s="275"/>
      <c r="R584" s="275"/>
    </row>
    <row r="585" ht="22.5" customHeight="1">
      <c r="A585" s="258" t="str">
        <f t="shared" si="1"/>
        <v>-</v>
      </c>
      <c r="B585" s="274"/>
      <c r="C585" s="274"/>
      <c r="F585" s="281"/>
      <c r="G585" s="281"/>
      <c r="H585" s="281"/>
      <c r="I585" s="274"/>
      <c r="J585" s="274"/>
      <c r="K585" s="275"/>
      <c r="P585" s="275"/>
      <c r="R585" s="275"/>
    </row>
    <row r="586" ht="22.5" customHeight="1">
      <c r="A586" s="258" t="str">
        <f t="shared" si="1"/>
        <v>-</v>
      </c>
      <c r="B586" s="274"/>
      <c r="C586" s="274"/>
      <c r="F586" s="281"/>
      <c r="G586" s="281"/>
      <c r="H586" s="281"/>
      <c r="I586" s="274"/>
      <c r="J586" s="274"/>
      <c r="K586" s="275"/>
      <c r="P586" s="275"/>
      <c r="R586" s="275"/>
    </row>
    <row r="587" ht="22.5" customHeight="1">
      <c r="A587" s="258" t="str">
        <f t="shared" si="1"/>
        <v>-</v>
      </c>
      <c r="B587" s="274"/>
      <c r="C587" s="274"/>
      <c r="F587" s="281"/>
      <c r="G587" s="281"/>
      <c r="H587" s="281"/>
      <c r="I587" s="274"/>
      <c r="J587" s="274"/>
      <c r="K587" s="275"/>
      <c r="P587" s="275"/>
      <c r="R587" s="275"/>
    </row>
    <row r="588" ht="22.5" customHeight="1">
      <c r="A588" s="258" t="str">
        <f t="shared" si="1"/>
        <v>-</v>
      </c>
      <c r="B588" s="274"/>
      <c r="C588" s="274"/>
      <c r="F588" s="281"/>
      <c r="G588" s="281"/>
      <c r="H588" s="281"/>
      <c r="I588" s="274"/>
      <c r="J588" s="274"/>
      <c r="K588" s="275"/>
      <c r="P588" s="275"/>
      <c r="R588" s="275"/>
    </row>
    <row r="589" ht="22.5" customHeight="1">
      <c r="A589" s="258" t="str">
        <f t="shared" si="1"/>
        <v>-</v>
      </c>
      <c r="B589" s="274"/>
      <c r="C589" s="274"/>
      <c r="F589" s="281"/>
      <c r="G589" s="281"/>
      <c r="H589" s="281"/>
      <c r="I589" s="274"/>
      <c r="J589" s="274"/>
      <c r="K589" s="275"/>
      <c r="P589" s="275"/>
      <c r="R589" s="275"/>
    </row>
    <row r="590" ht="22.5" customHeight="1">
      <c r="A590" s="258" t="str">
        <f t="shared" si="1"/>
        <v>-</v>
      </c>
      <c r="B590" s="274"/>
      <c r="C590" s="274"/>
      <c r="F590" s="281"/>
      <c r="G590" s="281"/>
      <c r="H590" s="281"/>
      <c r="I590" s="274"/>
      <c r="J590" s="274"/>
      <c r="K590" s="275"/>
      <c r="P590" s="275"/>
      <c r="R590" s="275"/>
    </row>
    <row r="591" ht="22.5" customHeight="1">
      <c r="A591" s="258" t="str">
        <f t="shared" si="1"/>
        <v>-</v>
      </c>
      <c r="B591" s="274"/>
      <c r="C591" s="274"/>
      <c r="F591" s="281"/>
      <c r="G591" s="281"/>
      <c r="H591" s="281"/>
      <c r="I591" s="274"/>
      <c r="J591" s="274"/>
      <c r="K591" s="275"/>
      <c r="P591" s="275"/>
      <c r="R591" s="275"/>
    </row>
    <row r="592" ht="22.5" customHeight="1">
      <c r="A592" s="258" t="str">
        <f t="shared" si="1"/>
        <v>-</v>
      </c>
      <c r="B592" s="274"/>
      <c r="C592" s="274"/>
      <c r="F592" s="281"/>
      <c r="G592" s="281"/>
      <c r="H592" s="281"/>
      <c r="I592" s="274"/>
      <c r="J592" s="274"/>
      <c r="K592" s="275"/>
      <c r="P592" s="275"/>
      <c r="R592" s="275"/>
    </row>
    <row r="593" ht="22.5" customHeight="1">
      <c r="A593" s="258" t="str">
        <f t="shared" si="1"/>
        <v>-</v>
      </c>
      <c r="B593" s="274"/>
      <c r="C593" s="274"/>
      <c r="F593" s="281"/>
      <c r="G593" s="281"/>
      <c r="H593" s="281"/>
      <c r="I593" s="274"/>
      <c r="J593" s="274"/>
      <c r="K593" s="275"/>
      <c r="P593" s="275"/>
      <c r="R593" s="275"/>
    </row>
    <row r="594" ht="22.5" customHeight="1">
      <c r="A594" s="258" t="str">
        <f t="shared" si="1"/>
        <v>-</v>
      </c>
      <c r="B594" s="274"/>
      <c r="C594" s="274"/>
      <c r="F594" s="281"/>
      <c r="G594" s="281"/>
      <c r="H594" s="281"/>
      <c r="I594" s="274"/>
      <c r="J594" s="274"/>
      <c r="K594" s="275"/>
      <c r="P594" s="275"/>
      <c r="R594" s="275"/>
    </row>
    <row r="595" ht="22.5" customHeight="1">
      <c r="A595" s="258" t="str">
        <f t="shared" si="1"/>
        <v>-</v>
      </c>
      <c r="B595" s="274"/>
      <c r="C595" s="274"/>
      <c r="F595" s="281"/>
      <c r="G595" s="281"/>
      <c r="H595" s="281"/>
      <c r="I595" s="274"/>
      <c r="J595" s="274"/>
      <c r="K595" s="275"/>
      <c r="P595" s="275"/>
      <c r="R595" s="275"/>
    </row>
    <row r="596" ht="22.5" customHeight="1">
      <c r="A596" s="258" t="str">
        <f t="shared" si="1"/>
        <v>-</v>
      </c>
      <c r="B596" s="274"/>
      <c r="C596" s="274"/>
      <c r="F596" s="281"/>
      <c r="G596" s="281"/>
      <c r="H596" s="281"/>
      <c r="I596" s="274"/>
      <c r="J596" s="274"/>
      <c r="K596" s="275"/>
      <c r="P596" s="275"/>
      <c r="R596" s="275"/>
    </row>
    <row r="597" ht="22.5" customHeight="1">
      <c r="A597" s="258" t="str">
        <f t="shared" si="1"/>
        <v>-</v>
      </c>
      <c r="B597" s="274"/>
      <c r="C597" s="274"/>
      <c r="F597" s="281"/>
      <c r="G597" s="281"/>
      <c r="H597" s="281"/>
      <c r="I597" s="274"/>
      <c r="J597" s="274"/>
      <c r="K597" s="275"/>
      <c r="P597" s="275"/>
      <c r="R597" s="275"/>
    </row>
    <row r="598" ht="22.5" customHeight="1">
      <c r="A598" s="258" t="str">
        <f t="shared" si="1"/>
        <v>-</v>
      </c>
      <c r="B598" s="274"/>
      <c r="C598" s="274"/>
      <c r="F598" s="281"/>
      <c r="G598" s="281"/>
      <c r="H598" s="281"/>
      <c r="I598" s="274"/>
      <c r="J598" s="274"/>
      <c r="K598" s="275"/>
      <c r="P598" s="275"/>
      <c r="R598" s="275"/>
    </row>
    <row r="599" ht="22.5" customHeight="1">
      <c r="A599" s="258" t="str">
        <f t="shared" si="1"/>
        <v>-</v>
      </c>
      <c r="B599" s="274"/>
      <c r="C599" s="274"/>
      <c r="F599" s="281"/>
      <c r="G599" s="281"/>
      <c r="H599" s="281"/>
      <c r="I599" s="274"/>
      <c r="J599" s="274"/>
      <c r="K599" s="275"/>
      <c r="P599" s="275"/>
      <c r="R599" s="275"/>
    </row>
    <row r="600" ht="22.5" customHeight="1">
      <c r="A600" s="258" t="str">
        <f t="shared" si="1"/>
        <v>-</v>
      </c>
      <c r="B600" s="274"/>
      <c r="C600" s="274"/>
      <c r="F600" s="281"/>
      <c r="G600" s="281"/>
      <c r="H600" s="281"/>
      <c r="I600" s="274"/>
      <c r="J600" s="274"/>
      <c r="K600" s="275"/>
      <c r="P600" s="275"/>
      <c r="R600" s="275"/>
    </row>
    <row r="601" ht="22.5" customHeight="1">
      <c r="A601" s="258" t="str">
        <f t="shared" si="1"/>
        <v>-</v>
      </c>
      <c r="B601" s="274"/>
      <c r="C601" s="274"/>
      <c r="F601" s="281"/>
      <c r="G601" s="281"/>
      <c r="H601" s="281"/>
      <c r="I601" s="274"/>
      <c r="J601" s="274"/>
      <c r="K601" s="275"/>
      <c r="P601" s="275"/>
      <c r="R601" s="275"/>
    </row>
    <row r="602" ht="22.5" customHeight="1">
      <c r="A602" s="258" t="str">
        <f t="shared" si="1"/>
        <v>-</v>
      </c>
      <c r="B602" s="274"/>
      <c r="C602" s="274"/>
      <c r="F602" s="281"/>
      <c r="G602" s="281"/>
      <c r="H602" s="281"/>
      <c r="I602" s="274"/>
      <c r="J602" s="274"/>
      <c r="K602" s="275"/>
      <c r="P602" s="275"/>
      <c r="R602" s="275"/>
    </row>
    <row r="603" ht="22.5" customHeight="1">
      <c r="A603" s="258" t="str">
        <f t="shared" si="1"/>
        <v>-</v>
      </c>
      <c r="B603" s="274"/>
      <c r="C603" s="274"/>
      <c r="F603" s="281"/>
      <c r="G603" s="281"/>
      <c r="H603" s="281"/>
      <c r="I603" s="274"/>
      <c r="J603" s="274"/>
      <c r="K603" s="275"/>
      <c r="P603" s="275"/>
      <c r="R603" s="275"/>
    </row>
    <row r="604" ht="22.5" customHeight="1">
      <c r="A604" s="258" t="str">
        <f t="shared" si="1"/>
        <v>-</v>
      </c>
      <c r="B604" s="274"/>
      <c r="C604" s="274"/>
      <c r="F604" s="281"/>
      <c r="G604" s="281"/>
      <c r="H604" s="281"/>
      <c r="I604" s="274"/>
      <c r="J604" s="274"/>
      <c r="K604" s="275"/>
      <c r="P604" s="275"/>
      <c r="R604" s="275"/>
    </row>
    <row r="605" ht="22.5" customHeight="1">
      <c r="A605" s="258" t="str">
        <f t="shared" si="1"/>
        <v>-</v>
      </c>
      <c r="B605" s="274"/>
      <c r="C605" s="274"/>
      <c r="F605" s="281"/>
      <c r="G605" s="281"/>
      <c r="H605" s="281"/>
      <c r="I605" s="274"/>
      <c r="J605" s="274"/>
      <c r="K605" s="275"/>
      <c r="P605" s="275"/>
      <c r="R605" s="275"/>
    </row>
    <row r="606" ht="22.5" customHeight="1">
      <c r="A606" s="258" t="str">
        <f t="shared" si="1"/>
        <v>-</v>
      </c>
      <c r="B606" s="274"/>
      <c r="C606" s="274"/>
      <c r="F606" s="281"/>
      <c r="G606" s="281"/>
      <c r="H606" s="281"/>
      <c r="I606" s="274"/>
      <c r="J606" s="274"/>
      <c r="K606" s="275"/>
      <c r="P606" s="275"/>
      <c r="R606" s="275"/>
    </row>
    <row r="607" ht="22.5" customHeight="1">
      <c r="A607" s="258" t="str">
        <f t="shared" si="1"/>
        <v>-</v>
      </c>
      <c r="B607" s="274"/>
      <c r="C607" s="274"/>
      <c r="F607" s="281"/>
      <c r="G607" s="281"/>
      <c r="H607" s="281"/>
      <c r="I607" s="274"/>
      <c r="J607" s="274"/>
      <c r="K607" s="275"/>
      <c r="P607" s="275"/>
      <c r="R607" s="275"/>
    </row>
    <row r="608" ht="22.5" customHeight="1">
      <c r="A608" s="258" t="str">
        <f t="shared" si="1"/>
        <v>-</v>
      </c>
      <c r="B608" s="274"/>
      <c r="C608" s="274"/>
      <c r="F608" s="281"/>
      <c r="G608" s="281"/>
      <c r="H608" s="281"/>
      <c r="I608" s="274"/>
      <c r="J608" s="274"/>
      <c r="K608" s="275"/>
      <c r="P608" s="275"/>
      <c r="R608" s="275"/>
    </row>
    <row r="609" ht="22.5" customHeight="1">
      <c r="A609" s="258" t="str">
        <f t="shared" si="1"/>
        <v>-</v>
      </c>
      <c r="B609" s="274"/>
      <c r="C609" s="274"/>
      <c r="F609" s="281"/>
      <c r="G609" s="281"/>
      <c r="H609" s="281"/>
      <c r="I609" s="274"/>
      <c r="J609" s="274"/>
      <c r="K609" s="275"/>
      <c r="P609" s="275"/>
      <c r="R609" s="275"/>
    </row>
    <row r="610" ht="22.5" customHeight="1">
      <c r="A610" s="258" t="str">
        <f t="shared" si="1"/>
        <v>-</v>
      </c>
      <c r="B610" s="274"/>
      <c r="C610" s="274"/>
      <c r="F610" s="281"/>
      <c r="G610" s="281"/>
      <c r="H610" s="281"/>
      <c r="I610" s="274"/>
      <c r="J610" s="274"/>
      <c r="K610" s="275"/>
      <c r="P610" s="275"/>
      <c r="R610" s="275"/>
    </row>
    <row r="611" ht="22.5" customHeight="1">
      <c r="A611" s="258" t="str">
        <f t="shared" si="1"/>
        <v>-</v>
      </c>
      <c r="B611" s="274"/>
      <c r="C611" s="274"/>
      <c r="F611" s="281"/>
      <c r="G611" s="281"/>
      <c r="H611" s="281"/>
      <c r="I611" s="274"/>
      <c r="J611" s="274"/>
      <c r="K611" s="275"/>
      <c r="P611" s="275"/>
      <c r="R611" s="275"/>
    </row>
    <row r="612" ht="22.5" customHeight="1">
      <c r="A612" s="258" t="str">
        <f t="shared" si="1"/>
        <v>-</v>
      </c>
      <c r="B612" s="274"/>
      <c r="C612" s="274"/>
      <c r="F612" s="281"/>
      <c r="G612" s="281"/>
      <c r="H612" s="281"/>
      <c r="I612" s="274"/>
      <c r="J612" s="274"/>
      <c r="K612" s="275"/>
      <c r="P612" s="275"/>
      <c r="R612" s="275"/>
    </row>
    <row r="613" ht="22.5" customHeight="1">
      <c r="A613" s="258" t="str">
        <f t="shared" si="1"/>
        <v>-</v>
      </c>
      <c r="B613" s="274"/>
      <c r="C613" s="274"/>
      <c r="F613" s="281"/>
      <c r="G613" s="281"/>
      <c r="H613" s="281"/>
      <c r="I613" s="274"/>
      <c r="J613" s="274"/>
      <c r="K613" s="275"/>
      <c r="P613" s="275"/>
      <c r="R613" s="275"/>
    </row>
    <row r="614" ht="22.5" customHeight="1">
      <c r="A614" s="258" t="str">
        <f t="shared" si="1"/>
        <v>-</v>
      </c>
      <c r="B614" s="274"/>
      <c r="C614" s="274"/>
      <c r="F614" s="281"/>
      <c r="G614" s="281"/>
      <c r="H614" s="281"/>
      <c r="I614" s="274"/>
      <c r="J614" s="274"/>
      <c r="K614" s="275"/>
      <c r="P614" s="275"/>
      <c r="R614" s="275"/>
    </row>
    <row r="615" ht="22.5" customHeight="1">
      <c r="A615" s="258" t="str">
        <f t="shared" si="1"/>
        <v>-</v>
      </c>
      <c r="B615" s="274"/>
      <c r="C615" s="274"/>
      <c r="F615" s="281"/>
      <c r="G615" s="281"/>
      <c r="H615" s="281"/>
      <c r="I615" s="274"/>
      <c r="J615" s="274"/>
      <c r="K615" s="275"/>
      <c r="P615" s="275"/>
      <c r="R615" s="275"/>
    </row>
    <row r="616" ht="22.5" customHeight="1">
      <c r="A616" s="258" t="str">
        <f t="shared" si="1"/>
        <v>-</v>
      </c>
      <c r="B616" s="274"/>
      <c r="C616" s="274"/>
      <c r="F616" s="281"/>
      <c r="G616" s="281"/>
      <c r="H616" s="281"/>
      <c r="I616" s="274"/>
      <c r="J616" s="274"/>
      <c r="K616" s="275"/>
      <c r="P616" s="275"/>
      <c r="R616" s="275"/>
    </row>
    <row r="617" ht="22.5" customHeight="1">
      <c r="A617" s="258" t="str">
        <f t="shared" si="1"/>
        <v>-</v>
      </c>
      <c r="B617" s="274"/>
      <c r="C617" s="274"/>
      <c r="F617" s="281"/>
      <c r="G617" s="281"/>
      <c r="H617" s="281"/>
      <c r="I617" s="274"/>
      <c r="J617" s="274"/>
      <c r="K617" s="275"/>
      <c r="P617" s="275"/>
      <c r="R617" s="275"/>
    </row>
    <row r="618" ht="22.5" customHeight="1">
      <c r="A618" s="258" t="str">
        <f t="shared" si="1"/>
        <v>-</v>
      </c>
      <c r="B618" s="274"/>
      <c r="C618" s="274"/>
      <c r="F618" s="281"/>
      <c r="G618" s="281"/>
      <c r="H618" s="281"/>
      <c r="I618" s="274"/>
      <c r="J618" s="274"/>
      <c r="K618" s="275"/>
      <c r="P618" s="275"/>
      <c r="R618" s="275"/>
    </row>
    <row r="619" ht="22.5" customHeight="1">
      <c r="A619" s="258" t="str">
        <f t="shared" si="1"/>
        <v>-</v>
      </c>
      <c r="B619" s="274"/>
      <c r="C619" s="274"/>
      <c r="F619" s="281"/>
      <c r="G619" s="281"/>
      <c r="H619" s="281"/>
      <c r="I619" s="274"/>
      <c r="J619" s="274"/>
      <c r="K619" s="275"/>
      <c r="P619" s="275"/>
      <c r="R619" s="275"/>
    </row>
    <row r="620" ht="22.5" customHeight="1">
      <c r="A620" s="258" t="str">
        <f t="shared" si="1"/>
        <v>-</v>
      </c>
      <c r="B620" s="274"/>
      <c r="C620" s="274"/>
      <c r="F620" s="281"/>
      <c r="G620" s="281"/>
      <c r="H620" s="281"/>
      <c r="I620" s="274"/>
      <c r="J620" s="274"/>
      <c r="K620" s="275"/>
      <c r="P620" s="275"/>
      <c r="R620" s="275"/>
    </row>
    <row r="621" ht="22.5" customHeight="1">
      <c r="A621" s="258" t="str">
        <f t="shared" si="1"/>
        <v>-</v>
      </c>
      <c r="B621" s="274"/>
      <c r="C621" s="274"/>
      <c r="F621" s="281"/>
      <c r="G621" s="281"/>
      <c r="H621" s="281"/>
      <c r="I621" s="274"/>
      <c r="J621" s="274"/>
      <c r="K621" s="275"/>
      <c r="P621" s="275"/>
      <c r="R621" s="275"/>
    </row>
    <row r="622" ht="22.5" customHeight="1">
      <c r="A622" s="258" t="str">
        <f t="shared" si="1"/>
        <v>-</v>
      </c>
      <c r="B622" s="274"/>
      <c r="C622" s="274"/>
      <c r="F622" s="281"/>
      <c r="G622" s="281"/>
      <c r="H622" s="281"/>
      <c r="I622" s="274"/>
      <c r="J622" s="274"/>
      <c r="K622" s="275"/>
      <c r="P622" s="275"/>
      <c r="R622" s="275"/>
    </row>
    <row r="623" ht="22.5" customHeight="1">
      <c r="A623" s="258" t="str">
        <f t="shared" si="1"/>
        <v>-</v>
      </c>
      <c r="B623" s="274"/>
      <c r="C623" s="274"/>
      <c r="F623" s="281"/>
      <c r="G623" s="281"/>
      <c r="H623" s="281"/>
      <c r="I623" s="274"/>
      <c r="J623" s="274"/>
      <c r="K623" s="275"/>
      <c r="P623" s="275"/>
      <c r="R623" s="275"/>
    </row>
    <row r="624" ht="22.5" customHeight="1">
      <c r="A624" s="258" t="str">
        <f t="shared" si="1"/>
        <v>-</v>
      </c>
      <c r="B624" s="274"/>
      <c r="C624" s="274"/>
      <c r="F624" s="281"/>
      <c r="G624" s="281"/>
      <c r="H624" s="281"/>
      <c r="I624" s="274"/>
      <c r="J624" s="274"/>
      <c r="K624" s="275"/>
      <c r="P624" s="275"/>
      <c r="R624" s="275"/>
    </row>
    <row r="625" ht="22.5" customHeight="1">
      <c r="A625" s="258" t="str">
        <f t="shared" si="1"/>
        <v>-</v>
      </c>
      <c r="B625" s="274"/>
      <c r="C625" s="274"/>
      <c r="F625" s="281"/>
      <c r="G625" s="281"/>
      <c r="H625" s="281"/>
      <c r="I625" s="274"/>
      <c r="J625" s="274"/>
      <c r="K625" s="275"/>
      <c r="P625" s="275"/>
      <c r="R625" s="275"/>
    </row>
    <row r="626" ht="22.5" customHeight="1">
      <c r="A626" s="258" t="str">
        <f t="shared" si="1"/>
        <v>-</v>
      </c>
      <c r="B626" s="274"/>
      <c r="C626" s="274"/>
      <c r="F626" s="281"/>
      <c r="G626" s="281"/>
      <c r="H626" s="281"/>
      <c r="I626" s="274"/>
      <c r="J626" s="274"/>
      <c r="K626" s="275"/>
      <c r="P626" s="275"/>
      <c r="R626" s="275"/>
    </row>
    <row r="627" ht="22.5" customHeight="1">
      <c r="A627" s="258" t="str">
        <f t="shared" si="1"/>
        <v>-</v>
      </c>
      <c r="B627" s="274"/>
      <c r="C627" s="274"/>
      <c r="F627" s="281"/>
      <c r="G627" s="281"/>
      <c r="H627" s="281"/>
      <c r="I627" s="274"/>
      <c r="J627" s="274"/>
      <c r="K627" s="275"/>
      <c r="P627" s="275"/>
      <c r="R627" s="275"/>
    </row>
    <row r="628" ht="22.5" customHeight="1">
      <c r="A628" s="258" t="str">
        <f t="shared" si="1"/>
        <v>-</v>
      </c>
      <c r="B628" s="274"/>
      <c r="C628" s="274"/>
      <c r="F628" s="281"/>
      <c r="G628" s="281"/>
      <c r="H628" s="281"/>
      <c r="I628" s="274"/>
      <c r="J628" s="274"/>
      <c r="K628" s="275"/>
      <c r="P628" s="275"/>
      <c r="R628" s="275"/>
    </row>
    <row r="629" ht="22.5" customHeight="1">
      <c r="A629" s="258" t="str">
        <f t="shared" si="1"/>
        <v>-</v>
      </c>
      <c r="B629" s="274"/>
      <c r="C629" s="274"/>
      <c r="F629" s="281"/>
      <c r="G629" s="281"/>
      <c r="H629" s="281"/>
      <c r="I629" s="274"/>
      <c r="J629" s="274"/>
      <c r="K629" s="275"/>
      <c r="P629" s="275"/>
      <c r="R629" s="275"/>
    </row>
    <row r="630" ht="22.5" customHeight="1">
      <c r="A630" s="258" t="str">
        <f t="shared" si="1"/>
        <v>-</v>
      </c>
      <c r="B630" s="274"/>
      <c r="C630" s="274"/>
      <c r="F630" s="281"/>
      <c r="G630" s="281"/>
      <c r="H630" s="281"/>
      <c r="I630" s="274"/>
      <c r="J630" s="274"/>
      <c r="K630" s="275"/>
      <c r="P630" s="275"/>
      <c r="R630" s="275"/>
    </row>
    <row r="631" ht="22.5" customHeight="1">
      <c r="A631" s="258" t="str">
        <f t="shared" si="1"/>
        <v>-</v>
      </c>
      <c r="B631" s="274"/>
      <c r="C631" s="274"/>
      <c r="F631" s="281"/>
      <c r="G631" s="281"/>
      <c r="H631" s="281"/>
      <c r="I631" s="274"/>
      <c r="J631" s="274"/>
      <c r="K631" s="275"/>
      <c r="P631" s="275"/>
      <c r="R631" s="275"/>
    </row>
    <row r="632" ht="22.5" customHeight="1">
      <c r="A632" s="258" t="str">
        <f t="shared" si="1"/>
        <v>-</v>
      </c>
      <c r="B632" s="274"/>
      <c r="C632" s="274"/>
      <c r="F632" s="281"/>
      <c r="G632" s="281"/>
      <c r="H632" s="281"/>
      <c r="I632" s="274"/>
      <c r="J632" s="274"/>
      <c r="K632" s="275"/>
      <c r="P632" s="275"/>
      <c r="R632" s="275"/>
    </row>
    <row r="633" ht="22.5" customHeight="1">
      <c r="A633" s="258" t="str">
        <f t="shared" si="1"/>
        <v>-</v>
      </c>
      <c r="B633" s="274"/>
      <c r="C633" s="274"/>
      <c r="F633" s="281"/>
      <c r="G633" s="281"/>
      <c r="H633" s="281"/>
      <c r="I633" s="274"/>
      <c r="J633" s="274"/>
      <c r="K633" s="275"/>
      <c r="P633" s="275"/>
      <c r="R633" s="275"/>
    </row>
    <row r="634" ht="22.5" customHeight="1">
      <c r="A634" s="258" t="str">
        <f t="shared" si="1"/>
        <v>-</v>
      </c>
      <c r="B634" s="274"/>
      <c r="C634" s="274"/>
      <c r="F634" s="281"/>
      <c r="G634" s="281"/>
      <c r="H634" s="281"/>
      <c r="I634" s="274"/>
      <c r="J634" s="274"/>
      <c r="K634" s="275"/>
      <c r="P634" s="275"/>
      <c r="R634" s="275"/>
    </row>
    <row r="635" ht="22.5" customHeight="1">
      <c r="A635" s="258" t="str">
        <f t="shared" si="1"/>
        <v>-</v>
      </c>
      <c r="B635" s="274"/>
      <c r="C635" s="274"/>
      <c r="F635" s="281"/>
      <c r="G635" s="281"/>
      <c r="H635" s="281"/>
      <c r="I635" s="274"/>
      <c r="J635" s="274"/>
      <c r="K635" s="275"/>
      <c r="P635" s="275"/>
      <c r="R635" s="275"/>
    </row>
    <row r="636" ht="22.5" customHeight="1">
      <c r="A636" s="258" t="str">
        <f t="shared" si="1"/>
        <v>-</v>
      </c>
      <c r="B636" s="274"/>
      <c r="C636" s="274"/>
      <c r="F636" s="281"/>
      <c r="G636" s="281"/>
      <c r="H636" s="281"/>
      <c r="I636" s="274"/>
      <c r="J636" s="274"/>
      <c r="K636" s="275"/>
      <c r="P636" s="275"/>
      <c r="R636" s="275"/>
    </row>
    <row r="637" ht="22.5" customHeight="1">
      <c r="A637" s="258" t="str">
        <f t="shared" si="1"/>
        <v>-</v>
      </c>
      <c r="B637" s="274"/>
      <c r="C637" s="274"/>
      <c r="F637" s="281"/>
      <c r="G637" s="281"/>
      <c r="H637" s="281"/>
      <c r="I637" s="274"/>
      <c r="J637" s="274"/>
      <c r="K637" s="275"/>
      <c r="P637" s="275"/>
      <c r="R637" s="275"/>
    </row>
    <row r="638" ht="22.5" customHeight="1">
      <c r="A638" s="258" t="str">
        <f t="shared" si="1"/>
        <v>-</v>
      </c>
      <c r="B638" s="274"/>
      <c r="C638" s="274"/>
      <c r="F638" s="281"/>
      <c r="G638" s="281"/>
      <c r="H638" s="281"/>
      <c r="I638" s="274"/>
      <c r="J638" s="274"/>
      <c r="K638" s="275"/>
      <c r="P638" s="275"/>
      <c r="R638" s="275"/>
    </row>
    <row r="639" ht="22.5" customHeight="1">
      <c r="A639" s="258" t="str">
        <f t="shared" si="1"/>
        <v>-</v>
      </c>
      <c r="B639" s="274"/>
      <c r="C639" s="274"/>
      <c r="F639" s="281"/>
      <c r="G639" s="281"/>
      <c r="H639" s="281"/>
      <c r="I639" s="274"/>
      <c r="J639" s="274"/>
      <c r="K639" s="275"/>
      <c r="P639" s="275"/>
      <c r="R639" s="275"/>
    </row>
    <row r="640" ht="22.5" customHeight="1">
      <c r="A640" s="258" t="str">
        <f t="shared" si="1"/>
        <v>-</v>
      </c>
      <c r="B640" s="274"/>
      <c r="C640" s="274"/>
      <c r="F640" s="281"/>
      <c r="G640" s="281"/>
      <c r="H640" s="281"/>
      <c r="I640" s="274"/>
      <c r="J640" s="274"/>
      <c r="K640" s="275"/>
      <c r="P640" s="275"/>
      <c r="R640" s="275"/>
    </row>
    <row r="641" ht="22.5" customHeight="1">
      <c r="A641" s="258" t="str">
        <f t="shared" si="1"/>
        <v>-</v>
      </c>
      <c r="B641" s="274"/>
      <c r="C641" s="274"/>
      <c r="F641" s="281"/>
      <c r="G641" s="281"/>
      <c r="H641" s="281"/>
      <c r="I641" s="274"/>
      <c r="J641" s="274"/>
      <c r="K641" s="275"/>
      <c r="P641" s="275"/>
      <c r="R641" s="275"/>
    </row>
    <row r="642" ht="22.5" customHeight="1">
      <c r="A642" s="258" t="str">
        <f t="shared" si="1"/>
        <v>-</v>
      </c>
      <c r="B642" s="274"/>
      <c r="C642" s="274"/>
      <c r="F642" s="281"/>
      <c r="G642" s="281"/>
      <c r="H642" s="281"/>
      <c r="I642" s="274"/>
      <c r="J642" s="274"/>
      <c r="K642" s="275"/>
      <c r="P642" s="275"/>
      <c r="R642" s="275"/>
    </row>
    <row r="643" ht="22.5" customHeight="1">
      <c r="A643" s="258" t="str">
        <f t="shared" si="1"/>
        <v>-</v>
      </c>
      <c r="B643" s="274"/>
      <c r="C643" s="274"/>
      <c r="F643" s="281"/>
      <c r="G643" s="281"/>
      <c r="H643" s="281"/>
      <c r="I643" s="274"/>
      <c r="J643" s="274"/>
      <c r="K643" s="275"/>
      <c r="P643" s="275"/>
      <c r="R643" s="275"/>
    </row>
    <row r="644" ht="22.5" customHeight="1">
      <c r="A644" s="258" t="str">
        <f t="shared" si="1"/>
        <v>-</v>
      </c>
      <c r="B644" s="274"/>
      <c r="C644" s="274"/>
      <c r="F644" s="281"/>
      <c r="G644" s="281"/>
      <c r="H644" s="281"/>
      <c r="I644" s="274"/>
      <c r="J644" s="274"/>
      <c r="K644" s="275"/>
      <c r="P644" s="275"/>
      <c r="R644" s="275"/>
    </row>
    <row r="645" ht="22.5" customHeight="1">
      <c r="A645" s="258" t="str">
        <f t="shared" si="1"/>
        <v>-</v>
      </c>
      <c r="B645" s="274"/>
      <c r="C645" s="274"/>
      <c r="F645" s="281"/>
      <c r="G645" s="281"/>
      <c r="H645" s="281"/>
      <c r="I645" s="274"/>
      <c r="J645" s="274"/>
      <c r="K645" s="275"/>
      <c r="P645" s="275"/>
      <c r="R645" s="275"/>
    </row>
    <row r="646" ht="22.5" customHeight="1">
      <c r="A646" s="258" t="str">
        <f t="shared" si="1"/>
        <v>-</v>
      </c>
      <c r="B646" s="274"/>
      <c r="C646" s="274"/>
      <c r="F646" s="281"/>
      <c r="G646" s="281"/>
      <c r="H646" s="281"/>
      <c r="I646" s="274"/>
      <c r="J646" s="274"/>
      <c r="K646" s="275"/>
      <c r="P646" s="275"/>
      <c r="R646" s="275"/>
    </row>
    <row r="647" ht="22.5" customHeight="1">
      <c r="A647" s="258" t="str">
        <f t="shared" si="1"/>
        <v>-</v>
      </c>
      <c r="B647" s="274"/>
      <c r="C647" s="274"/>
      <c r="F647" s="281"/>
      <c r="G647" s="281"/>
      <c r="H647" s="281"/>
      <c r="I647" s="274"/>
      <c r="J647" s="274"/>
      <c r="K647" s="275"/>
      <c r="P647" s="275"/>
      <c r="R647" s="275"/>
    </row>
    <row r="648" ht="22.5" customHeight="1">
      <c r="A648" s="258" t="str">
        <f t="shared" si="1"/>
        <v>-</v>
      </c>
      <c r="B648" s="274"/>
      <c r="C648" s="274"/>
      <c r="F648" s="281"/>
      <c r="G648" s="281"/>
      <c r="H648" s="281"/>
      <c r="I648" s="274"/>
      <c r="J648" s="274"/>
      <c r="K648" s="275"/>
      <c r="P648" s="275"/>
      <c r="R648" s="275"/>
    </row>
    <row r="649" ht="22.5" customHeight="1">
      <c r="A649" s="258" t="str">
        <f t="shared" si="1"/>
        <v>-</v>
      </c>
      <c r="B649" s="274"/>
      <c r="C649" s="274"/>
      <c r="F649" s="281"/>
      <c r="G649" s="281"/>
      <c r="H649" s="281"/>
      <c r="I649" s="274"/>
      <c r="J649" s="274"/>
      <c r="K649" s="275"/>
      <c r="P649" s="275"/>
      <c r="R649" s="275"/>
    </row>
    <row r="650" ht="22.5" customHeight="1">
      <c r="A650" s="258" t="str">
        <f t="shared" si="1"/>
        <v>-</v>
      </c>
      <c r="B650" s="274"/>
      <c r="C650" s="274"/>
      <c r="F650" s="281"/>
      <c r="G650" s="281"/>
      <c r="H650" s="281"/>
      <c r="I650" s="274"/>
      <c r="J650" s="274"/>
      <c r="K650" s="275"/>
      <c r="P650" s="275"/>
      <c r="R650" s="275"/>
    </row>
    <row r="651" ht="22.5" customHeight="1">
      <c r="A651" s="258" t="str">
        <f t="shared" si="1"/>
        <v>-</v>
      </c>
      <c r="B651" s="274"/>
      <c r="C651" s="274"/>
      <c r="F651" s="281"/>
      <c r="G651" s="281"/>
      <c r="H651" s="281"/>
      <c r="I651" s="274"/>
      <c r="J651" s="274"/>
      <c r="K651" s="275"/>
      <c r="P651" s="275"/>
      <c r="R651" s="275"/>
    </row>
    <row r="652" ht="22.5" customHeight="1">
      <c r="A652" s="258" t="str">
        <f t="shared" si="1"/>
        <v>-</v>
      </c>
      <c r="B652" s="274"/>
      <c r="C652" s="274"/>
      <c r="F652" s="281"/>
      <c r="G652" s="281"/>
      <c r="H652" s="281"/>
      <c r="I652" s="274"/>
      <c r="J652" s="274"/>
      <c r="K652" s="275"/>
      <c r="P652" s="275"/>
      <c r="R652" s="275"/>
    </row>
    <row r="653" ht="22.5" customHeight="1">
      <c r="A653" s="258" t="str">
        <f t="shared" si="1"/>
        <v>-</v>
      </c>
      <c r="B653" s="274"/>
      <c r="C653" s="274"/>
      <c r="F653" s="281"/>
      <c r="G653" s="281"/>
      <c r="H653" s="281"/>
      <c r="I653" s="274"/>
      <c r="J653" s="274"/>
      <c r="K653" s="275"/>
      <c r="P653" s="275"/>
      <c r="R653" s="275"/>
    </row>
    <row r="654" ht="22.5" customHeight="1">
      <c r="A654" s="258" t="str">
        <f t="shared" si="1"/>
        <v>-</v>
      </c>
      <c r="B654" s="274"/>
      <c r="C654" s="274"/>
      <c r="F654" s="281"/>
      <c r="G654" s="281"/>
      <c r="H654" s="281"/>
      <c r="I654" s="274"/>
      <c r="J654" s="274"/>
      <c r="K654" s="275"/>
      <c r="P654" s="275"/>
      <c r="R654" s="275"/>
    </row>
    <row r="655" ht="22.5" customHeight="1">
      <c r="A655" s="258" t="str">
        <f t="shared" si="1"/>
        <v>-</v>
      </c>
      <c r="B655" s="274"/>
      <c r="C655" s="274"/>
      <c r="F655" s="281"/>
      <c r="G655" s="281"/>
      <c r="H655" s="281"/>
      <c r="I655" s="274"/>
      <c r="J655" s="274"/>
      <c r="K655" s="275"/>
      <c r="P655" s="275"/>
      <c r="R655" s="275"/>
    </row>
    <row r="656" ht="22.5" customHeight="1">
      <c r="A656" s="258" t="str">
        <f t="shared" si="1"/>
        <v>-</v>
      </c>
      <c r="B656" s="274"/>
      <c r="C656" s="274"/>
      <c r="F656" s="281"/>
      <c r="G656" s="281"/>
      <c r="H656" s="281"/>
      <c r="I656" s="274"/>
      <c r="J656" s="274"/>
      <c r="K656" s="275"/>
      <c r="P656" s="275"/>
      <c r="R656" s="275"/>
    </row>
    <row r="657" ht="22.5" customHeight="1">
      <c r="A657" s="258" t="str">
        <f t="shared" si="1"/>
        <v>-</v>
      </c>
      <c r="B657" s="274"/>
      <c r="C657" s="274"/>
      <c r="F657" s="281"/>
      <c r="G657" s="281"/>
      <c r="H657" s="281"/>
      <c r="I657" s="274"/>
      <c r="J657" s="274"/>
      <c r="K657" s="275"/>
      <c r="P657" s="275"/>
      <c r="R657" s="275"/>
    </row>
    <row r="658" ht="22.5" customHeight="1">
      <c r="A658" s="258" t="str">
        <f t="shared" si="1"/>
        <v>-</v>
      </c>
      <c r="B658" s="274"/>
      <c r="C658" s="274"/>
      <c r="F658" s="281"/>
      <c r="G658" s="281"/>
      <c r="H658" s="281"/>
      <c r="I658" s="274"/>
      <c r="J658" s="274"/>
      <c r="K658" s="275"/>
      <c r="P658" s="275"/>
      <c r="R658" s="275"/>
    </row>
    <row r="659" ht="22.5" customHeight="1">
      <c r="A659" s="258" t="str">
        <f t="shared" si="1"/>
        <v>-</v>
      </c>
      <c r="B659" s="274"/>
      <c r="C659" s="274"/>
      <c r="F659" s="281"/>
      <c r="G659" s="281"/>
      <c r="H659" s="281"/>
      <c r="I659" s="274"/>
      <c r="J659" s="274"/>
      <c r="K659" s="275"/>
      <c r="P659" s="275"/>
      <c r="R659" s="275"/>
    </row>
    <row r="660" ht="22.5" customHeight="1">
      <c r="A660" s="258" t="str">
        <f t="shared" si="1"/>
        <v>-</v>
      </c>
      <c r="B660" s="274"/>
      <c r="C660" s="274"/>
      <c r="F660" s="281"/>
      <c r="G660" s="281"/>
      <c r="H660" s="281"/>
      <c r="I660" s="274"/>
      <c r="J660" s="274"/>
      <c r="K660" s="275"/>
      <c r="P660" s="275"/>
      <c r="R660" s="275"/>
    </row>
    <row r="661" ht="22.5" customHeight="1">
      <c r="A661" s="258" t="str">
        <f t="shared" si="1"/>
        <v>-</v>
      </c>
      <c r="B661" s="274"/>
      <c r="C661" s="274"/>
      <c r="F661" s="281"/>
      <c r="G661" s="281"/>
      <c r="H661" s="281"/>
      <c r="I661" s="274"/>
      <c r="J661" s="274"/>
      <c r="K661" s="275"/>
      <c r="P661" s="275"/>
      <c r="R661" s="275"/>
    </row>
    <row r="662" ht="22.5" customHeight="1">
      <c r="A662" s="258" t="str">
        <f t="shared" si="1"/>
        <v>-</v>
      </c>
      <c r="B662" s="274"/>
      <c r="C662" s="274"/>
      <c r="F662" s="281"/>
      <c r="G662" s="281"/>
      <c r="H662" s="281"/>
      <c r="I662" s="274"/>
      <c r="J662" s="274"/>
      <c r="K662" s="275"/>
      <c r="P662" s="275"/>
      <c r="R662" s="275"/>
    </row>
    <row r="663" ht="22.5" customHeight="1">
      <c r="A663" s="258" t="str">
        <f t="shared" si="1"/>
        <v>-</v>
      </c>
      <c r="B663" s="274"/>
      <c r="C663" s="274"/>
      <c r="F663" s="281"/>
      <c r="G663" s="281"/>
      <c r="H663" s="281"/>
      <c r="I663" s="274"/>
      <c r="J663" s="274"/>
      <c r="K663" s="275"/>
      <c r="P663" s="275"/>
      <c r="R663" s="275"/>
    </row>
    <row r="664" ht="22.5" customHeight="1">
      <c r="A664" s="258" t="str">
        <f t="shared" si="1"/>
        <v>-</v>
      </c>
      <c r="B664" s="274"/>
      <c r="C664" s="274"/>
      <c r="F664" s="281"/>
      <c r="G664" s="281"/>
      <c r="H664" s="281"/>
      <c r="I664" s="274"/>
      <c r="J664" s="274"/>
      <c r="K664" s="275"/>
      <c r="P664" s="275"/>
      <c r="R664" s="275"/>
    </row>
    <row r="665" ht="22.5" customHeight="1">
      <c r="A665" s="258" t="str">
        <f t="shared" si="1"/>
        <v>-</v>
      </c>
      <c r="B665" s="274"/>
      <c r="C665" s="274"/>
      <c r="F665" s="281"/>
      <c r="G665" s="281"/>
      <c r="H665" s="281"/>
      <c r="I665" s="274"/>
      <c r="J665" s="274"/>
      <c r="K665" s="275"/>
      <c r="P665" s="275"/>
      <c r="R665" s="275"/>
    </row>
    <row r="666" ht="22.5" customHeight="1">
      <c r="A666" s="258" t="str">
        <f t="shared" si="1"/>
        <v>-</v>
      </c>
      <c r="B666" s="274"/>
      <c r="C666" s="274"/>
      <c r="F666" s="281"/>
      <c r="G666" s="281"/>
      <c r="H666" s="281"/>
      <c r="I666" s="274"/>
      <c r="J666" s="274"/>
      <c r="K666" s="275"/>
      <c r="P666" s="275"/>
      <c r="R666" s="275"/>
    </row>
    <row r="667" ht="22.5" customHeight="1">
      <c r="A667" s="258" t="str">
        <f t="shared" si="1"/>
        <v>-</v>
      </c>
      <c r="B667" s="274"/>
      <c r="C667" s="274"/>
      <c r="F667" s="281"/>
      <c r="G667" s="281"/>
      <c r="H667" s="281"/>
      <c r="I667" s="274"/>
      <c r="J667" s="274"/>
      <c r="K667" s="275"/>
      <c r="P667" s="275"/>
      <c r="R667" s="275"/>
    </row>
    <row r="668" ht="22.5" customHeight="1">
      <c r="A668" s="258" t="str">
        <f t="shared" si="1"/>
        <v>-</v>
      </c>
      <c r="B668" s="274"/>
      <c r="C668" s="274"/>
      <c r="F668" s="281"/>
      <c r="G668" s="281"/>
      <c r="H668" s="281"/>
      <c r="I668" s="274"/>
      <c r="J668" s="274"/>
      <c r="K668" s="275"/>
      <c r="P668" s="275"/>
      <c r="R668" s="275"/>
    </row>
    <row r="669" ht="22.5" customHeight="1">
      <c r="A669" s="258" t="str">
        <f t="shared" si="1"/>
        <v>-</v>
      </c>
      <c r="B669" s="274"/>
      <c r="C669" s="274"/>
      <c r="F669" s="281"/>
      <c r="G669" s="281"/>
      <c r="H669" s="281"/>
      <c r="I669" s="274"/>
      <c r="J669" s="274"/>
      <c r="K669" s="275"/>
      <c r="P669" s="275"/>
      <c r="R669" s="275"/>
    </row>
    <row r="670" ht="22.5" customHeight="1">
      <c r="A670" s="258" t="str">
        <f t="shared" si="1"/>
        <v>-</v>
      </c>
      <c r="B670" s="274"/>
      <c r="C670" s="274"/>
      <c r="F670" s="281"/>
      <c r="G670" s="281"/>
      <c r="H670" s="281"/>
      <c r="I670" s="274"/>
      <c r="J670" s="274"/>
      <c r="K670" s="275"/>
      <c r="P670" s="275"/>
      <c r="R670" s="275"/>
    </row>
    <row r="671" ht="22.5" customHeight="1">
      <c r="A671" s="258" t="str">
        <f t="shared" si="1"/>
        <v>-</v>
      </c>
      <c r="B671" s="274"/>
      <c r="C671" s="274"/>
      <c r="F671" s="281"/>
      <c r="G671" s="281"/>
      <c r="H671" s="281"/>
      <c r="I671" s="274"/>
      <c r="J671" s="274"/>
      <c r="K671" s="275"/>
      <c r="P671" s="275"/>
      <c r="R671" s="275"/>
    </row>
    <row r="672" ht="22.5" customHeight="1">
      <c r="A672" s="258" t="str">
        <f t="shared" si="1"/>
        <v>-</v>
      </c>
      <c r="B672" s="274"/>
      <c r="C672" s="274"/>
      <c r="F672" s="281"/>
      <c r="G672" s="281"/>
      <c r="H672" s="281"/>
      <c r="I672" s="274"/>
      <c r="J672" s="274"/>
      <c r="K672" s="275"/>
      <c r="P672" s="275"/>
      <c r="R672" s="275"/>
    </row>
    <row r="673" ht="22.5" customHeight="1">
      <c r="A673" s="258" t="str">
        <f t="shared" si="1"/>
        <v>-</v>
      </c>
      <c r="B673" s="274"/>
      <c r="C673" s="274"/>
      <c r="F673" s="281"/>
      <c r="G673" s="281"/>
      <c r="H673" s="281"/>
      <c r="I673" s="274"/>
      <c r="J673" s="274"/>
      <c r="K673" s="275"/>
      <c r="P673" s="275"/>
      <c r="R673" s="275"/>
    </row>
    <row r="674" ht="22.5" customHeight="1">
      <c r="A674" s="258" t="str">
        <f t="shared" si="1"/>
        <v>-</v>
      </c>
      <c r="B674" s="274"/>
      <c r="C674" s="274"/>
      <c r="F674" s="281"/>
      <c r="G674" s="281"/>
      <c r="H674" s="281"/>
      <c r="I674" s="274"/>
      <c r="J674" s="274"/>
      <c r="K674" s="275"/>
      <c r="P674" s="275"/>
      <c r="R674" s="275"/>
    </row>
    <row r="675" ht="22.5" customHeight="1">
      <c r="A675" s="258" t="str">
        <f t="shared" si="1"/>
        <v>-</v>
      </c>
      <c r="B675" s="274"/>
      <c r="C675" s="274"/>
      <c r="F675" s="281"/>
      <c r="G675" s="281"/>
      <c r="H675" s="281"/>
      <c r="I675" s="274"/>
      <c r="J675" s="274"/>
      <c r="K675" s="275"/>
      <c r="P675" s="275"/>
      <c r="R675" s="275"/>
    </row>
    <row r="676" ht="22.5" customHeight="1">
      <c r="A676" s="258" t="str">
        <f t="shared" si="1"/>
        <v>-</v>
      </c>
      <c r="B676" s="274"/>
      <c r="C676" s="274"/>
      <c r="F676" s="281"/>
      <c r="G676" s="281"/>
      <c r="H676" s="281"/>
      <c r="I676" s="274"/>
      <c r="J676" s="274"/>
      <c r="K676" s="275"/>
      <c r="P676" s="275"/>
      <c r="R676" s="275"/>
    </row>
    <row r="677" ht="22.5" customHeight="1">
      <c r="A677" s="258" t="str">
        <f t="shared" si="1"/>
        <v>-</v>
      </c>
      <c r="B677" s="274"/>
      <c r="C677" s="274"/>
      <c r="F677" s="281"/>
      <c r="G677" s="281"/>
      <c r="H677" s="281"/>
      <c r="I677" s="274"/>
      <c r="J677" s="274"/>
      <c r="K677" s="275"/>
      <c r="P677" s="275"/>
      <c r="R677" s="275"/>
    </row>
    <row r="678" ht="22.5" customHeight="1">
      <c r="A678" s="258" t="str">
        <f t="shared" si="1"/>
        <v>-</v>
      </c>
      <c r="B678" s="274"/>
      <c r="C678" s="274"/>
      <c r="F678" s="281"/>
      <c r="G678" s="281"/>
      <c r="H678" s="281"/>
      <c r="I678" s="274"/>
      <c r="J678" s="274"/>
      <c r="K678" s="275"/>
      <c r="P678" s="275"/>
      <c r="R678" s="275"/>
    </row>
    <row r="679" ht="22.5" customHeight="1">
      <c r="A679" s="258" t="str">
        <f t="shared" si="1"/>
        <v>-</v>
      </c>
      <c r="B679" s="274"/>
      <c r="C679" s="274"/>
      <c r="F679" s="281"/>
      <c r="G679" s="281"/>
      <c r="H679" s="281"/>
      <c r="I679" s="274"/>
      <c r="J679" s="274"/>
      <c r="K679" s="275"/>
      <c r="P679" s="275"/>
      <c r="R679" s="275"/>
    </row>
    <row r="680" ht="22.5" customHeight="1">
      <c r="A680" s="258" t="str">
        <f t="shared" si="1"/>
        <v>-</v>
      </c>
      <c r="B680" s="274"/>
      <c r="C680" s="274"/>
      <c r="F680" s="281"/>
      <c r="G680" s="281"/>
      <c r="H680" s="281"/>
      <c r="I680" s="274"/>
      <c r="J680" s="274"/>
      <c r="K680" s="275"/>
      <c r="P680" s="275"/>
      <c r="R680" s="275"/>
    </row>
    <row r="681" ht="22.5" customHeight="1">
      <c r="A681" s="258" t="str">
        <f t="shared" si="1"/>
        <v>-</v>
      </c>
      <c r="B681" s="274"/>
      <c r="C681" s="274"/>
      <c r="F681" s="281"/>
      <c r="G681" s="281"/>
      <c r="H681" s="281"/>
      <c r="I681" s="274"/>
      <c r="J681" s="274"/>
      <c r="K681" s="275"/>
      <c r="P681" s="275"/>
      <c r="R681" s="275"/>
    </row>
    <row r="682" ht="22.5" customHeight="1">
      <c r="A682" s="258" t="str">
        <f t="shared" si="1"/>
        <v>-</v>
      </c>
      <c r="B682" s="274"/>
      <c r="C682" s="274"/>
      <c r="F682" s="281"/>
      <c r="G682" s="281"/>
      <c r="H682" s="281"/>
      <c r="I682" s="274"/>
      <c r="J682" s="274"/>
      <c r="K682" s="275"/>
      <c r="P682" s="275"/>
      <c r="R682" s="275"/>
    </row>
    <row r="683" ht="22.5" customHeight="1">
      <c r="A683" s="258" t="str">
        <f t="shared" si="1"/>
        <v>-</v>
      </c>
      <c r="B683" s="274"/>
      <c r="C683" s="274"/>
      <c r="F683" s="281"/>
      <c r="G683" s="281"/>
      <c r="H683" s="281"/>
      <c r="I683" s="274"/>
      <c r="J683" s="274"/>
      <c r="K683" s="275"/>
      <c r="P683" s="275"/>
      <c r="R683" s="275"/>
    </row>
    <row r="684" ht="22.5" customHeight="1">
      <c r="A684" s="258" t="str">
        <f t="shared" si="1"/>
        <v>-</v>
      </c>
      <c r="B684" s="274"/>
      <c r="C684" s="274"/>
      <c r="F684" s="281"/>
      <c r="G684" s="281"/>
      <c r="H684" s="281"/>
      <c r="I684" s="274"/>
      <c r="J684" s="274"/>
      <c r="K684" s="275"/>
      <c r="P684" s="275"/>
      <c r="R684" s="275"/>
    </row>
    <row r="685" ht="22.5" customHeight="1">
      <c r="A685" s="258" t="str">
        <f t="shared" si="1"/>
        <v>-</v>
      </c>
      <c r="B685" s="274"/>
      <c r="C685" s="274"/>
      <c r="F685" s="281"/>
      <c r="G685" s="281"/>
      <c r="H685" s="281"/>
      <c r="I685" s="274"/>
      <c r="J685" s="274"/>
      <c r="K685" s="275"/>
      <c r="P685" s="275"/>
      <c r="R685" s="275"/>
    </row>
    <row r="686" ht="22.5" customHeight="1">
      <c r="A686" s="258" t="str">
        <f t="shared" si="1"/>
        <v>-</v>
      </c>
      <c r="B686" s="274"/>
      <c r="C686" s="274"/>
      <c r="F686" s="281"/>
      <c r="G686" s="281"/>
      <c r="H686" s="281"/>
      <c r="I686" s="274"/>
      <c r="J686" s="274"/>
      <c r="K686" s="275"/>
      <c r="P686" s="275"/>
      <c r="R686" s="275"/>
    </row>
    <row r="687" ht="22.5" customHeight="1">
      <c r="A687" s="258" t="str">
        <f t="shared" si="1"/>
        <v>-</v>
      </c>
      <c r="B687" s="274"/>
      <c r="C687" s="274"/>
      <c r="F687" s="281"/>
      <c r="G687" s="281"/>
      <c r="H687" s="281"/>
      <c r="I687" s="274"/>
      <c r="J687" s="274"/>
      <c r="K687" s="275"/>
      <c r="P687" s="275"/>
      <c r="R687" s="275"/>
    </row>
    <row r="688" ht="22.5" customHeight="1">
      <c r="A688" s="258" t="str">
        <f t="shared" si="1"/>
        <v>-</v>
      </c>
      <c r="B688" s="274"/>
      <c r="C688" s="274"/>
      <c r="F688" s="281"/>
      <c r="G688" s="281"/>
      <c r="H688" s="281"/>
      <c r="I688" s="274"/>
      <c r="J688" s="274"/>
      <c r="K688" s="275"/>
      <c r="P688" s="275"/>
      <c r="R688" s="275"/>
    </row>
    <row r="689" ht="22.5" customHeight="1">
      <c r="A689" s="258" t="str">
        <f t="shared" si="1"/>
        <v>-</v>
      </c>
      <c r="B689" s="274"/>
      <c r="C689" s="274"/>
      <c r="F689" s="281"/>
      <c r="G689" s="281"/>
      <c r="H689" s="281"/>
      <c r="I689" s="274"/>
      <c r="J689" s="274"/>
      <c r="K689" s="275"/>
      <c r="P689" s="275"/>
      <c r="R689" s="275"/>
    </row>
    <row r="690" ht="22.5" customHeight="1">
      <c r="A690" s="258" t="str">
        <f t="shared" si="1"/>
        <v>-</v>
      </c>
      <c r="B690" s="274"/>
      <c r="C690" s="274"/>
      <c r="F690" s="281"/>
      <c r="G690" s="281"/>
      <c r="H690" s="281"/>
      <c r="I690" s="274"/>
      <c r="J690" s="274"/>
      <c r="K690" s="275"/>
      <c r="P690" s="275"/>
      <c r="R690" s="275"/>
    </row>
    <row r="691" ht="22.5" customHeight="1">
      <c r="A691" s="258" t="str">
        <f t="shared" si="1"/>
        <v>-</v>
      </c>
      <c r="B691" s="274"/>
      <c r="C691" s="274"/>
      <c r="F691" s="281"/>
      <c r="G691" s="281"/>
      <c r="H691" s="281"/>
      <c r="I691" s="274"/>
      <c r="J691" s="274"/>
      <c r="K691" s="275"/>
      <c r="P691" s="275"/>
      <c r="R691" s="275"/>
    </row>
    <row r="692" ht="22.5" customHeight="1">
      <c r="A692" s="258" t="str">
        <f t="shared" si="1"/>
        <v>-</v>
      </c>
      <c r="B692" s="274"/>
      <c r="C692" s="274"/>
      <c r="F692" s="281"/>
      <c r="G692" s="281"/>
      <c r="H692" s="281"/>
      <c r="I692" s="274"/>
      <c r="J692" s="274"/>
      <c r="K692" s="275"/>
      <c r="P692" s="275"/>
      <c r="R692" s="275"/>
    </row>
    <row r="693" ht="22.5" customHeight="1">
      <c r="A693" s="258" t="str">
        <f t="shared" si="1"/>
        <v>-</v>
      </c>
      <c r="B693" s="274"/>
      <c r="C693" s="274"/>
      <c r="F693" s="281"/>
      <c r="G693" s="281"/>
      <c r="H693" s="281"/>
      <c r="I693" s="274"/>
      <c r="J693" s="274"/>
      <c r="K693" s="275"/>
      <c r="P693" s="275"/>
      <c r="R693" s="275"/>
    </row>
    <row r="694" ht="22.5" customHeight="1">
      <c r="A694" s="258" t="str">
        <f t="shared" si="1"/>
        <v>-</v>
      </c>
      <c r="B694" s="274"/>
      <c r="C694" s="274"/>
      <c r="F694" s="281"/>
      <c r="G694" s="281"/>
      <c r="H694" s="281"/>
      <c r="I694" s="274"/>
      <c r="J694" s="274"/>
      <c r="K694" s="275"/>
      <c r="P694" s="275"/>
      <c r="R694" s="275"/>
    </row>
    <row r="695" ht="22.5" customHeight="1">
      <c r="A695" s="258" t="str">
        <f t="shared" si="1"/>
        <v>-</v>
      </c>
      <c r="B695" s="274"/>
      <c r="C695" s="274"/>
      <c r="F695" s="281"/>
      <c r="G695" s="281"/>
      <c r="H695" s="281"/>
      <c r="I695" s="274"/>
      <c r="J695" s="274"/>
      <c r="K695" s="275"/>
      <c r="P695" s="275"/>
      <c r="R695" s="275"/>
    </row>
    <row r="696" ht="22.5" customHeight="1">
      <c r="A696" s="258" t="str">
        <f t="shared" si="1"/>
        <v>-</v>
      </c>
      <c r="B696" s="274"/>
      <c r="C696" s="274"/>
      <c r="F696" s="281"/>
      <c r="G696" s="281"/>
      <c r="H696" s="281"/>
      <c r="I696" s="274"/>
      <c r="J696" s="274"/>
      <c r="K696" s="275"/>
      <c r="P696" s="275"/>
      <c r="R696" s="275"/>
    </row>
    <row r="697" ht="22.5" customHeight="1">
      <c r="A697" s="258" t="str">
        <f t="shared" si="1"/>
        <v>-</v>
      </c>
      <c r="B697" s="274"/>
      <c r="C697" s="274"/>
      <c r="F697" s="281"/>
      <c r="G697" s="281"/>
      <c r="H697" s="281"/>
      <c r="I697" s="274"/>
      <c r="J697" s="274"/>
      <c r="K697" s="275"/>
      <c r="P697" s="275"/>
      <c r="R697" s="275"/>
    </row>
    <row r="698" ht="22.5" customHeight="1">
      <c r="A698" s="258" t="str">
        <f t="shared" si="1"/>
        <v>-</v>
      </c>
      <c r="B698" s="274"/>
      <c r="C698" s="274"/>
      <c r="F698" s="281"/>
      <c r="G698" s="281"/>
      <c r="H698" s="281"/>
      <c r="I698" s="274"/>
      <c r="J698" s="274"/>
      <c r="K698" s="275"/>
      <c r="P698" s="275"/>
      <c r="R698" s="275"/>
    </row>
    <row r="699" ht="22.5" customHeight="1">
      <c r="A699" s="258" t="str">
        <f t="shared" si="1"/>
        <v>-</v>
      </c>
      <c r="B699" s="274"/>
      <c r="C699" s="274"/>
      <c r="F699" s="281"/>
      <c r="G699" s="281"/>
      <c r="H699" s="281"/>
      <c r="I699" s="274"/>
      <c r="J699" s="274"/>
      <c r="K699" s="275"/>
      <c r="P699" s="275"/>
      <c r="R699" s="275"/>
    </row>
    <row r="700" ht="22.5" customHeight="1">
      <c r="A700" s="258" t="str">
        <f t="shared" si="1"/>
        <v>-</v>
      </c>
      <c r="B700" s="274"/>
      <c r="C700" s="274"/>
      <c r="F700" s="281"/>
      <c r="G700" s="281"/>
      <c r="H700" s="281"/>
      <c r="I700" s="274"/>
      <c r="J700" s="274"/>
      <c r="K700" s="275"/>
      <c r="P700" s="275"/>
      <c r="R700" s="275"/>
    </row>
    <row r="701" ht="22.5" customHeight="1">
      <c r="A701" s="258" t="str">
        <f t="shared" si="1"/>
        <v>-</v>
      </c>
      <c r="B701" s="274"/>
      <c r="C701" s="274"/>
      <c r="F701" s="281"/>
      <c r="G701" s="281"/>
      <c r="H701" s="281"/>
      <c r="I701" s="274"/>
      <c r="J701" s="274"/>
      <c r="K701" s="275"/>
      <c r="P701" s="275"/>
      <c r="R701" s="275"/>
    </row>
    <row r="702" ht="22.5" customHeight="1">
      <c r="A702" s="258" t="str">
        <f t="shared" si="1"/>
        <v>-</v>
      </c>
      <c r="B702" s="274"/>
      <c r="C702" s="274"/>
      <c r="F702" s="281"/>
      <c r="G702" s="281"/>
      <c r="H702" s="281"/>
      <c r="I702" s="274"/>
      <c r="J702" s="274"/>
      <c r="K702" s="275"/>
      <c r="P702" s="275"/>
      <c r="R702" s="275"/>
    </row>
    <row r="703" ht="22.5" customHeight="1">
      <c r="A703" s="258" t="str">
        <f t="shared" si="1"/>
        <v>-</v>
      </c>
      <c r="B703" s="274"/>
      <c r="C703" s="274"/>
      <c r="F703" s="281"/>
      <c r="G703" s="281"/>
      <c r="H703" s="281"/>
      <c r="I703" s="274"/>
      <c r="J703" s="274"/>
      <c r="K703" s="275"/>
      <c r="P703" s="275"/>
      <c r="R703" s="275"/>
    </row>
    <row r="704" ht="22.5" customHeight="1">
      <c r="A704" s="258" t="str">
        <f t="shared" si="1"/>
        <v>-</v>
      </c>
      <c r="B704" s="274"/>
      <c r="C704" s="274"/>
      <c r="F704" s="281"/>
      <c r="G704" s="281"/>
      <c r="H704" s="281"/>
      <c r="I704" s="274"/>
      <c r="J704" s="274"/>
      <c r="K704" s="275"/>
      <c r="P704" s="275"/>
      <c r="R704" s="275"/>
    </row>
    <row r="705" ht="22.5" customHeight="1">
      <c r="A705" s="258" t="str">
        <f t="shared" si="1"/>
        <v>-</v>
      </c>
      <c r="B705" s="274"/>
      <c r="C705" s="274"/>
      <c r="F705" s="281"/>
      <c r="G705" s="281"/>
      <c r="H705" s="281"/>
      <c r="I705" s="274"/>
      <c r="J705" s="274"/>
      <c r="K705" s="275"/>
      <c r="P705" s="275"/>
      <c r="R705" s="275"/>
    </row>
    <row r="706" ht="22.5" customHeight="1">
      <c r="A706" s="258" t="str">
        <f t="shared" si="1"/>
        <v>-</v>
      </c>
      <c r="B706" s="274"/>
      <c r="C706" s="274"/>
      <c r="F706" s="281"/>
      <c r="G706" s="281"/>
      <c r="H706" s="281"/>
      <c r="I706" s="274"/>
      <c r="J706" s="274"/>
      <c r="K706" s="275"/>
      <c r="P706" s="275"/>
      <c r="R706" s="275"/>
    </row>
    <row r="707" ht="22.5" customHeight="1">
      <c r="A707" s="258" t="str">
        <f t="shared" si="1"/>
        <v>-</v>
      </c>
      <c r="B707" s="274"/>
      <c r="C707" s="274"/>
      <c r="F707" s="281"/>
      <c r="G707" s="281"/>
      <c r="H707" s="281"/>
      <c r="I707" s="274"/>
      <c r="J707" s="274"/>
      <c r="K707" s="275"/>
      <c r="P707" s="275"/>
      <c r="R707" s="275"/>
    </row>
    <row r="708" ht="22.5" customHeight="1">
      <c r="A708" s="258" t="str">
        <f t="shared" si="1"/>
        <v>-</v>
      </c>
      <c r="B708" s="274"/>
      <c r="C708" s="274"/>
      <c r="F708" s="281"/>
      <c r="G708" s="281"/>
      <c r="H708" s="281"/>
      <c r="I708" s="274"/>
      <c r="J708" s="274"/>
      <c r="K708" s="275"/>
      <c r="P708" s="275"/>
      <c r="R708" s="275"/>
    </row>
    <row r="709" ht="22.5" customHeight="1">
      <c r="A709" s="258" t="str">
        <f t="shared" si="1"/>
        <v>-</v>
      </c>
      <c r="B709" s="274"/>
      <c r="C709" s="274"/>
      <c r="F709" s="281"/>
      <c r="G709" s="281"/>
      <c r="H709" s="281"/>
      <c r="I709" s="274"/>
      <c r="J709" s="274"/>
      <c r="K709" s="275"/>
      <c r="P709" s="275"/>
      <c r="R709" s="275"/>
    </row>
    <row r="710" ht="22.5" customHeight="1">
      <c r="A710" s="258" t="str">
        <f t="shared" si="1"/>
        <v>-</v>
      </c>
      <c r="B710" s="274"/>
      <c r="C710" s="274"/>
      <c r="F710" s="281"/>
      <c r="G710" s="281"/>
      <c r="H710" s="281"/>
      <c r="I710" s="274"/>
      <c r="J710" s="274"/>
      <c r="K710" s="275"/>
      <c r="P710" s="275"/>
      <c r="R710" s="275"/>
    </row>
    <row r="711" ht="22.5" customHeight="1">
      <c r="A711" s="258" t="str">
        <f t="shared" si="1"/>
        <v>-</v>
      </c>
      <c r="B711" s="274"/>
      <c r="C711" s="274"/>
      <c r="F711" s="281"/>
      <c r="G711" s="281"/>
      <c r="H711" s="281"/>
      <c r="I711" s="274"/>
      <c r="J711" s="274"/>
      <c r="K711" s="275"/>
      <c r="P711" s="275"/>
      <c r="R711" s="275"/>
    </row>
    <row r="712" ht="22.5" customHeight="1">
      <c r="A712" s="258" t="str">
        <f t="shared" si="1"/>
        <v>-</v>
      </c>
      <c r="B712" s="274"/>
      <c r="C712" s="274"/>
      <c r="F712" s="281"/>
      <c r="G712" s="281"/>
      <c r="H712" s="281"/>
      <c r="I712" s="274"/>
      <c r="J712" s="274"/>
      <c r="K712" s="275"/>
      <c r="P712" s="275"/>
      <c r="R712" s="275"/>
    </row>
    <row r="713" ht="22.5" customHeight="1">
      <c r="A713" s="258" t="str">
        <f t="shared" si="1"/>
        <v>-</v>
      </c>
      <c r="B713" s="274"/>
      <c r="C713" s="274"/>
      <c r="F713" s="281"/>
      <c r="G713" s="281"/>
      <c r="H713" s="281"/>
      <c r="I713" s="274"/>
      <c r="J713" s="274"/>
      <c r="K713" s="275"/>
      <c r="P713" s="275"/>
      <c r="R713" s="275"/>
    </row>
    <row r="714" ht="22.5" customHeight="1">
      <c r="A714" s="258" t="str">
        <f t="shared" si="1"/>
        <v>-</v>
      </c>
      <c r="B714" s="274"/>
      <c r="C714" s="274"/>
      <c r="F714" s="281"/>
      <c r="G714" s="281"/>
      <c r="H714" s="281"/>
      <c r="I714" s="274"/>
      <c r="J714" s="274"/>
      <c r="K714" s="275"/>
      <c r="P714" s="275"/>
      <c r="R714" s="275"/>
    </row>
    <row r="715" ht="22.5" customHeight="1">
      <c r="A715" s="258" t="str">
        <f t="shared" si="1"/>
        <v>-</v>
      </c>
      <c r="B715" s="274"/>
      <c r="C715" s="274"/>
      <c r="F715" s="281"/>
      <c r="G715" s="281"/>
      <c r="H715" s="281"/>
      <c r="I715" s="274"/>
      <c r="J715" s="274"/>
      <c r="K715" s="275"/>
      <c r="P715" s="275"/>
      <c r="R715" s="275"/>
    </row>
    <row r="716" ht="22.5" customHeight="1">
      <c r="A716" s="258" t="str">
        <f t="shared" si="1"/>
        <v>-</v>
      </c>
      <c r="B716" s="274"/>
      <c r="C716" s="274"/>
      <c r="F716" s="281"/>
      <c r="G716" s="281"/>
      <c r="H716" s="281"/>
      <c r="I716" s="274"/>
      <c r="J716" s="274"/>
      <c r="K716" s="275"/>
      <c r="P716" s="275"/>
      <c r="R716" s="275"/>
    </row>
    <row r="717" ht="22.5" customHeight="1">
      <c r="A717" s="258" t="str">
        <f t="shared" si="1"/>
        <v>-</v>
      </c>
      <c r="B717" s="274"/>
      <c r="C717" s="274"/>
      <c r="F717" s="281"/>
      <c r="G717" s="281"/>
      <c r="H717" s="281"/>
      <c r="I717" s="274"/>
      <c r="J717" s="274"/>
      <c r="K717" s="275"/>
      <c r="P717" s="275"/>
      <c r="R717" s="275"/>
    </row>
    <row r="718" ht="22.5" customHeight="1">
      <c r="A718" s="258" t="str">
        <f t="shared" si="1"/>
        <v>-</v>
      </c>
      <c r="B718" s="274"/>
      <c r="C718" s="274"/>
      <c r="F718" s="281"/>
      <c r="G718" s="281"/>
      <c r="H718" s="281"/>
      <c r="I718" s="274"/>
      <c r="J718" s="274"/>
      <c r="K718" s="275"/>
      <c r="P718" s="275"/>
      <c r="R718" s="275"/>
    </row>
    <row r="719" ht="22.5" customHeight="1">
      <c r="A719" s="258" t="str">
        <f t="shared" si="1"/>
        <v>-</v>
      </c>
      <c r="B719" s="274"/>
      <c r="C719" s="274"/>
      <c r="F719" s="281"/>
      <c r="G719" s="281"/>
      <c r="H719" s="281"/>
      <c r="I719" s="274"/>
      <c r="J719" s="274"/>
      <c r="K719" s="275"/>
      <c r="P719" s="275"/>
      <c r="R719" s="275"/>
    </row>
    <row r="720" ht="22.5" customHeight="1">
      <c r="A720" s="258" t="str">
        <f t="shared" si="1"/>
        <v>-</v>
      </c>
      <c r="B720" s="274"/>
      <c r="C720" s="274"/>
      <c r="F720" s="281"/>
      <c r="G720" s="281"/>
      <c r="H720" s="281"/>
      <c r="I720" s="274"/>
      <c r="J720" s="274"/>
      <c r="K720" s="275"/>
      <c r="P720" s="275"/>
      <c r="R720" s="275"/>
    </row>
    <row r="721" ht="22.5" customHeight="1">
      <c r="A721" s="258" t="str">
        <f t="shared" si="1"/>
        <v>-</v>
      </c>
      <c r="B721" s="274"/>
      <c r="C721" s="274"/>
      <c r="F721" s="281"/>
      <c r="G721" s="281"/>
      <c r="H721" s="281"/>
      <c r="I721" s="274"/>
      <c r="J721" s="274"/>
      <c r="K721" s="275"/>
      <c r="P721" s="275"/>
      <c r="R721" s="275"/>
    </row>
    <row r="722" ht="22.5" customHeight="1">
      <c r="A722" s="258" t="str">
        <f t="shared" si="1"/>
        <v>-</v>
      </c>
      <c r="B722" s="274"/>
      <c r="C722" s="274"/>
      <c r="F722" s="281"/>
      <c r="G722" s="281"/>
      <c r="H722" s="281"/>
      <c r="I722" s="274"/>
      <c r="J722" s="274"/>
      <c r="K722" s="275"/>
      <c r="P722" s="275"/>
      <c r="R722" s="275"/>
    </row>
    <row r="723" ht="22.5" customHeight="1">
      <c r="A723" s="258" t="str">
        <f t="shared" si="1"/>
        <v>-</v>
      </c>
      <c r="B723" s="274"/>
      <c r="C723" s="274"/>
      <c r="F723" s="281"/>
      <c r="G723" s="281"/>
      <c r="H723" s="281"/>
      <c r="I723" s="274"/>
      <c r="J723" s="274"/>
      <c r="K723" s="275"/>
      <c r="P723" s="275"/>
      <c r="R723" s="275"/>
    </row>
    <row r="724" ht="22.5" customHeight="1">
      <c r="A724" s="258" t="str">
        <f t="shared" si="1"/>
        <v>-</v>
      </c>
      <c r="B724" s="274"/>
      <c r="C724" s="274"/>
      <c r="F724" s="281"/>
      <c r="G724" s="281"/>
      <c r="H724" s="281"/>
      <c r="I724" s="274"/>
      <c r="J724" s="274"/>
      <c r="K724" s="275"/>
      <c r="P724" s="275"/>
      <c r="R724" s="275"/>
    </row>
    <row r="725" ht="22.5" customHeight="1">
      <c r="A725" s="258" t="str">
        <f t="shared" si="1"/>
        <v>-</v>
      </c>
      <c r="B725" s="274"/>
      <c r="C725" s="274"/>
      <c r="F725" s="281"/>
      <c r="G725" s="281"/>
      <c r="H725" s="281"/>
      <c r="I725" s="274"/>
      <c r="J725" s="274"/>
      <c r="K725" s="275"/>
      <c r="P725" s="275"/>
      <c r="R725" s="275"/>
    </row>
    <row r="726" ht="22.5" customHeight="1">
      <c r="A726" s="258" t="str">
        <f t="shared" si="1"/>
        <v>-</v>
      </c>
      <c r="B726" s="274"/>
      <c r="C726" s="274"/>
      <c r="F726" s="281"/>
      <c r="G726" s="281"/>
      <c r="H726" s="281"/>
      <c r="I726" s="274"/>
      <c r="J726" s="274"/>
      <c r="K726" s="275"/>
      <c r="P726" s="275"/>
      <c r="R726" s="275"/>
    </row>
    <row r="727" ht="22.5" customHeight="1">
      <c r="A727" s="258" t="str">
        <f t="shared" si="1"/>
        <v>-</v>
      </c>
      <c r="B727" s="274"/>
      <c r="C727" s="274"/>
      <c r="F727" s="281"/>
      <c r="G727" s="281"/>
      <c r="H727" s="281"/>
      <c r="I727" s="274"/>
      <c r="J727" s="274"/>
      <c r="K727" s="275"/>
      <c r="P727" s="275"/>
      <c r="R727" s="275"/>
    </row>
    <row r="728" ht="22.5" customHeight="1">
      <c r="A728" s="258" t="str">
        <f t="shared" si="1"/>
        <v>-</v>
      </c>
      <c r="B728" s="274"/>
      <c r="C728" s="274"/>
      <c r="F728" s="281"/>
      <c r="G728" s="281"/>
      <c r="H728" s="281"/>
      <c r="I728" s="274"/>
      <c r="J728" s="274"/>
      <c r="K728" s="275"/>
      <c r="P728" s="275"/>
      <c r="R728" s="275"/>
    </row>
    <row r="729" ht="22.5" customHeight="1">
      <c r="A729" s="258" t="str">
        <f t="shared" si="1"/>
        <v>-</v>
      </c>
      <c r="B729" s="274"/>
      <c r="C729" s="274"/>
      <c r="F729" s="281"/>
      <c r="G729" s="281"/>
      <c r="H729" s="281"/>
      <c r="I729" s="274"/>
      <c r="J729" s="274"/>
      <c r="K729" s="275"/>
      <c r="P729" s="275"/>
      <c r="R729" s="275"/>
    </row>
    <row r="730" ht="22.5" customHeight="1">
      <c r="A730" s="258" t="str">
        <f t="shared" si="1"/>
        <v>-</v>
      </c>
      <c r="B730" s="274"/>
      <c r="C730" s="274"/>
      <c r="F730" s="281"/>
      <c r="G730" s="281"/>
      <c r="H730" s="281"/>
      <c r="I730" s="274"/>
      <c r="J730" s="274"/>
      <c r="K730" s="275"/>
      <c r="P730" s="275"/>
      <c r="R730" s="275"/>
    </row>
    <row r="731" ht="22.5" customHeight="1">
      <c r="A731" s="258" t="str">
        <f t="shared" si="1"/>
        <v>-</v>
      </c>
      <c r="B731" s="274"/>
      <c r="C731" s="274"/>
      <c r="F731" s="281"/>
      <c r="G731" s="281"/>
      <c r="H731" s="281"/>
      <c r="I731" s="274"/>
      <c r="J731" s="274"/>
      <c r="K731" s="275"/>
      <c r="P731" s="275"/>
      <c r="R731" s="275"/>
    </row>
    <row r="732" ht="22.5" customHeight="1">
      <c r="A732" s="258" t="str">
        <f t="shared" si="1"/>
        <v>-</v>
      </c>
      <c r="B732" s="274"/>
      <c r="C732" s="274"/>
      <c r="F732" s="281"/>
      <c r="G732" s="281"/>
      <c r="H732" s="281"/>
      <c r="I732" s="274"/>
      <c r="J732" s="274"/>
      <c r="K732" s="275"/>
      <c r="P732" s="275"/>
      <c r="R732" s="275"/>
    </row>
    <row r="733" ht="22.5" customHeight="1">
      <c r="A733" s="258" t="str">
        <f t="shared" si="1"/>
        <v>-</v>
      </c>
      <c r="B733" s="274"/>
      <c r="C733" s="274"/>
      <c r="F733" s="281"/>
      <c r="G733" s="281"/>
      <c r="H733" s="281"/>
      <c r="I733" s="274"/>
      <c r="J733" s="274"/>
      <c r="K733" s="275"/>
      <c r="P733" s="275"/>
      <c r="R733" s="275"/>
    </row>
    <row r="734" ht="22.5" customHeight="1">
      <c r="A734" s="258" t="str">
        <f t="shared" si="1"/>
        <v>-</v>
      </c>
      <c r="B734" s="274"/>
      <c r="C734" s="274"/>
      <c r="F734" s="281"/>
      <c r="G734" s="281"/>
      <c r="H734" s="281"/>
      <c r="I734" s="274"/>
      <c r="J734" s="274"/>
      <c r="K734" s="275"/>
      <c r="P734" s="275"/>
      <c r="R734" s="275"/>
    </row>
    <row r="735" ht="22.5" customHeight="1">
      <c r="A735" s="258" t="str">
        <f t="shared" si="1"/>
        <v>-</v>
      </c>
      <c r="B735" s="274"/>
      <c r="C735" s="274"/>
      <c r="F735" s="281"/>
      <c r="G735" s="281"/>
      <c r="H735" s="281"/>
      <c r="I735" s="274"/>
      <c r="J735" s="274"/>
      <c r="K735" s="275"/>
      <c r="P735" s="275"/>
      <c r="R735" s="275"/>
    </row>
    <row r="736" ht="22.5" customHeight="1">
      <c r="A736" s="258" t="str">
        <f t="shared" si="1"/>
        <v>-</v>
      </c>
      <c r="B736" s="274"/>
      <c r="C736" s="274"/>
      <c r="F736" s="281"/>
      <c r="G736" s="281"/>
      <c r="H736" s="281"/>
      <c r="I736" s="274"/>
      <c r="J736" s="274"/>
      <c r="K736" s="275"/>
      <c r="P736" s="275"/>
      <c r="R736" s="275"/>
    </row>
    <row r="737" ht="22.5" customHeight="1">
      <c r="A737" s="258" t="str">
        <f t="shared" si="1"/>
        <v>-</v>
      </c>
      <c r="B737" s="274"/>
      <c r="C737" s="274"/>
      <c r="F737" s="281"/>
      <c r="G737" s="281"/>
      <c r="H737" s="281"/>
      <c r="I737" s="274"/>
      <c r="J737" s="274"/>
      <c r="K737" s="275"/>
      <c r="P737" s="275"/>
      <c r="R737" s="275"/>
    </row>
    <row r="738" ht="22.5" customHeight="1">
      <c r="A738" s="258" t="str">
        <f t="shared" si="1"/>
        <v>-</v>
      </c>
      <c r="B738" s="274"/>
      <c r="C738" s="274"/>
      <c r="F738" s="281"/>
      <c r="G738" s="281"/>
      <c r="H738" s="281"/>
      <c r="I738" s="274"/>
      <c r="J738" s="274"/>
      <c r="K738" s="275"/>
      <c r="P738" s="275"/>
      <c r="R738" s="275"/>
    </row>
    <row r="739" ht="22.5" customHeight="1">
      <c r="A739" s="258" t="str">
        <f t="shared" si="1"/>
        <v>-</v>
      </c>
      <c r="B739" s="274"/>
      <c r="C739" s="274"/>
      <c r="F739" s="281"/>
      <c r="G739" s="281"/>
      <c r="H739" s="281"/>
      <c r="I739" s="274"/>
      <c r="J739" s="274"/>
      <c r="K739" s="275"/>
      <c r="P739" s="275"/>
      <c r="R739" s="275"/>
    </row>
    <row r="740" ht="22.5" customHeight="1">
      <c r="A740" s="258" t="str">
        <f t="shared" si="1"/>
        <v>-</v>
      </c>
      <c r="B740" s="274"/>
      <c r="C740" s="274"/>
      <c r="F740" s="281"/>
      <c r="G740" s="281"/>
      <c r="H740" s="281"/>
      <c r="I740" s="274"/>
      <c r="J740" s="274"/>
      <c r="K740" s="275"/>
      <c r="P740" s="275"/>
      <c r="R740" s="275"/>
    </row>
    <row r="741" ht="22.5" customHeight="1">
      <c r="A741" s="258" t="str">
        <f t="shared" si="1"/>
        <v>-</v>
      </c>
      <c r="B741" s="274"/>
      <c r="C741" s="274"/>
      <c r="F741" s="281"/>
      <c r="G741" s="281"/>
      <c r="H741" s="281"/>
      <c r="I741" s="274"/>
      <c r="J741" s="274"/>
      <c r="K741" s="275"/>
      <c r="P741" s="275"/>
      <c r="R741" s="275"/>
    </row>
    <row r="742" ht="22.5" customHeight="1">
      <c r="A742" s="258" t="str">
        <f t="shared" si="1"/>
        <v>-</v>
      </c>
      <c r="B742" s="274"/>
      <c r="C742" s="274"/>
      <c r="F742" s="281"/>
      <c r="G742" s="281"/>
      <c r="H742" s="281"/>
      <c r="I742" s="274"/>
      <c r="J742" s="274"/>
      <c r="K742" s="275"/>
      <c r="P742" s="275"/>
      <c r="R742" s="275"/>
    </row>
    <row r="743" ht="22.5" customHeight="1">
      <c r="A743" s="258" t="str">
        <f t="shared" si="1"/>
        <v>-</v>
      </c>
      <c r="B743" s="274"/>
      <c r="C743" s="274"/>
      <c r="F743" s="281"/>
      <c r="G743" s="281"/>
      <c r="H743" s="281"/>
      <c r="I743" s="274"/>
      <c r="J743" s="274"/>
      <c r="K743" s="275"/>
      <c r="P743" s="275"/>
      <c r="R743" s="275"/>
    </row>
    <row r="744" ht="22.5" customHeight="1">
      <c r="A744" s="258" t="str">
        <f t="shared" si="1"/>
        <v>-</v>
      </c>
      <c r="B744" s="274"/>
      <c r="C744" s="274"/>
      <c r="F744" s="281"/>
      <c r="G744" s="281"/>
      <c r="H744" s="281"/>
      <c r="I744" s="274"/>
      <c r="J744" s="274"/>
      <c r="K744" s="275"/>
      <c r="P744" s="275"/>
      <c r="R744" s="275"/>
    </row>
    <row r="745" ht="22.5" customHeight="1">
      <c r="A745" s="258" t="str">
        <f t="shared" si="1"/>
        <v>-</v>
      </c>
      <c r="B745" s="274"/>
      <c r="C745" s="274"/>
      <c r="F745" s="281"/>
      <c r="G745" s="281"/>
      <c r="H745" s="281"/>
      <c r="I745" s="274"/>
      <c r="J745" s="274"/>
      <c r="K745" s="275"/>
      <c r="P745" s="275"/>
      <c r="R745" s="275"/>
    </row>
    <row r="746" ht="22.5" customHeight="1">
      <c r="A746" s="258" t="str">
        <f t="shared" si="1"/>
        <v>-</v>
      </c>
      <c r="B746" s="274"/>
      <c r="C746" s="274"/>
      <c r="F746" s="281"/>
      <c r="G746" s="281"/>
      <c r="H746" s="281"/>
      <c r="I746" s="274"/>
      <c r="J746" s="274"/>
      <c r="K746" s="275"/>
      <c r="P746" s="275"/>
      <c r="R746" s="275"/>
    </row>
    <row r="747" ht="22.5" customHeight="1">
      <c r="A747" s="258" t="str">
        <f t="shared" si="1"/>
        <v>-</v>
      </c>
      <c r="B747" s="274"/>
      <c r="C747" s="274"/>
      <c r="F747" s="281"/>
      <c r="G747" s="281"/>
      <c r="H747" s="281"/>
      <c r="I747" s="274"/>
      <c r="J747" s="274"/>
      <c r="K747" s="275"/>
      <c r="P747" s="275"/>
      <c r="R747" s="275"/>
    </row>
    <row r="748" ht="22.5" customHeight="1">
      <c r="A748" s="258" t="str">
        <f t="shared" si="1"/>
        <v>-</v>
      </c>
      <c r="B748" s="274"/>
      <c r="C748" s="274"/>
      <c r="F748" s="281"/>
      <c r="G748" s="281"/>
      <c r="H748" s="281"/>
      <c r="I748" s="274"/>
      <c r="J748" s="274"/>
      <c r="K748" s="275"/>
      <c r="P748" s="275"/>
      <c r="R748" s="275"/>
    </row>
    <row r="749" ht="22.5" customHeight="1">
      <c r="A749" s="258" t="str">
        <f t="shared" si="1"/>
        <v>-</v>
      </c>
      <c r="B749" s="274"/>
      <c r="C749" s="274"/>
      <c r="F749" s="281"/>
      <c r="G749" s="281"/>
      <c r="H749" s="281"/>
      <c r="I749" s="274"/>
      <c r="J749" s="274"/>
      <c r="K749" s="275"/>
      <c r="P749" s="275"/>
      <c r="R749" s="275"/>
    </row>
    <row r="750" ht="22.5" customHeight="1">
      <c r="A750" s="258" t="str">
        <f t="shared" si="1"/>
        <v>-</v>
      </c>
      <c r="B750" s="274"/>
      <c r="C750" s="274"/>
      <c r="F750" s="281"/>
      <c r="G750" s="281"/>
      <c r="H750" s="281"/>
      <c r="I750" s="274"/>
      <c r="J750" s="274"/>
      <c r="K750" s="275"/>
      <c r="P750" s="275"/>
      <c r="R750" s="275"/>
    </row>
    <row r="751" ht="22.5" customHeight="1">
      <c r="A751" s="258" t="str">
        <f t="shared" si="1"/>
        <v>-</v>
      </c>
      <c r="B751" s="274"/>
      <c r="C751" s="274"/>
      <c r="F751" s="281"/>
      <c r="G751" s="281"/>
      <c r="H751" s="281"/>
      <c r="I751" s="274"/>
      <c r="J751" s="274"/>
      <c r="K751" s="275"/>
      <c r="P751" s="275"/>
      <c r="R751" s="275"/>
    </row>
    <row r="752" ht="22.5" customHeight="1">
      <c r="A752" s="258" t="str">
        <f t="shared" si="1"/>
        <v>-</v>
      </c>
      <c r="B752" s="274"/>
      <c r="C752" s="274"/>
      <c r="F752" s="281"/>
      <c r="G752" s="281"/>
      <c r="H752" s="281"/>
      <c r="I752" s="274"/>
      <c r="J752" s="274"/>
      <c r="K752" s="275"/>
      <c r="P752" s="275"/>
      <c r="R752" s="275"/>
    </row>
    <row r="753" ht="22.5" customHeight="1">
      <c r="A753" s="258" t="str">
        <f t="shared" si="1"/>
        <v>-</v>
      </c>
      <c r="B753" s="274"/>
      <c r="C753" s="274"/>
      <c r="F753" s="281"/>
      <c r="G753" s="281"/>
      <c r="H753" s="281"/>
      <c r="I753" s="274"/>
      <c r="J753" s="274"/>
      <c r="K753" s="275"/>
      <c r="P753" s="275"/>
      <c r="R753" s="275"/>
    </row>
    <row r="754" ht="22.5" customHeight="1">
      <c r="A754" s="258" t="str">
        <f t="shared" si="1"/>
        <v>-</v>
      </c>
      <c r="B754" s="274"/>
      <c r="C754" s="274"/>
      <c r="F754" s="281"/>
      <c r="G754" s="281"/>
      <c r="H754" s="281"/>
      <c r="I754" s="274"/>
      <c r="J754" s="274"/>
      <c r="K754" s="275"/>
      <c r="P754" s="275"/>
      <c r="R754" s="275"/>
    </row>
    <row r="755" ht="22.5" customHeight="1">
      <c r="A755" s="258" t="str">
        <f t="shared" si="1"/>
        <v>-</v>
      </c>
      <c r="B755" s="274"/>
      <c r="C755" s="274"/>
      <c r="F755" s="281"/>
      <c r="G755" s="281"/>
      <c r="H755" s="281"/>
      <c r="I755" s="274"/>
      <c r="J755" s="274"/>
      <c r="K755" s="275"/>
      <c r="P755" s="275"/>
      <c r="R755" s="275"/>
    </row>
    <row r="756" ht="22.5" customHeight="1">
      <c r="A756" s="258" t="str">
        <f t="shared" si="1"/>
        <v>-</v>
      </c>
      <c r="B756" s="274"/>
      <c r="C756" s="274"/>
      <c r="F756" s="281"/>
      <c r="G756" s="281"/>
      <c r="H756" s="281"/>
      <c r="I756" s="274"/>
      <c r="J756" s="274"/>
      <c r="K756" s="275"/>
      <c r="P756" s="275"/>
      <c r="R756" s="275"/>
    </row>
    <row r="757" ht="22.5" customHeight="1">
      <c r="A757" s="258" t="str">
        <f t="shared" si="1"/>
        <v>-</v>
      </c>
      <c r="B757" s="274"/>
      <c r="C757" s="274"/>
      <c r="F757" s="281"/>
      <c r="G757" s="281"/>
      <c r="H757" s="281"/>
      <c r="I757" s="274"/>
      <c r="J757" s="274"/>
      <c r="K757" s="275"/>
      <c r="P757" s="275"/>
      <c r="R757" s="275"/>
    </row>
    <row r="758" ht="22.5" customHeight="1">
      <c r="A758" s="258" t="str">
        <f t="shared" si="1"/>
        <v>-</v>
      </c>
      <c r="B758" s="274"/>
      <c r="C758" s="274"/>
      <c r="F758" s="281"/>
      <c r="G758" s="281"/>
      <c r="H758" s="281"/>
      <c r="I758" s="274"/>
      <c r="J758" s="274"/>
      <c r="K758" s="275"/>
      <c r="P758" s="275"/>
      <c r="R758" s="275"/>
    </row>
    <row r="759" ht="22.5" customHeight="1">
      <c r="A759" s="258" t="str">
        <f t="shared" si="1"/>
        <v>-</v>
      </c>
      <c r="B759" s="274"/>
      <c r="C759" s="274"/>
      <c r="F759" s="281"/>
      <c r="G759" s="281"/>
      <c r="H759" s="281"/>
      <c r="I759" s="274"/>
      <c r="J759" s="274"/>
      <c r="K759" s="275"/>
      <c r="P759" s="275"/>
      <c r="R759" s="275"/>
    </row>
    <row r="760" ht="22.5" customHeight="1">
      <c r="A760" s="258" t="str">
        <f t="shared" si="1"/>
        <v>-</v>
      </c>
      <c r="B760" s="274"/>
      <c r="C760" s="274"/>
      <c r="F760" s="281"/>
      <c r="G760" s="281"/>
      <c r="H760" s="281"/>
      <c r="I760" s="274"/>
      <c r="J760" s="274"/>
      <c r="K760" s="275"/>
      <c r="P760" s="275"/>
      <c r="R760" s="275"/>
    </row>
    <row r="761" ht="22.5" customHeight="1">
      <c r="A761" s="258" t="str">
        <f t="shared" si="1"/>
        <v>-</v>
      </c>
      <c r="B761" s="274"/>
      <c r="C761" s="274"/>
      <c r="F761" s="281"/>
      <c r="G761" s="281"/>
      <c r="H761" s="281"/>
      <c r="I761" s="274"/>
      <c r="J761" s="274"/>
      <c r="K761" s="275"/>
      <c r="P761" s="275"/>
      <c r="R761" s="275"/>
    </row>
    <row r="762" ht="22.5" customHeight="1">
      <c r="A762" s="258" t="str">
        <f t="shared" si="1"/>
        <v>-</v>
      </c>
      <c r="B762" s="274"/>
      <c r="C762" s="274"/>
      <c r="F762" s="281"/>
      <c r="G762" s="281"/>
      <c r="H762" s="281"/>
      <c r="I762" s="274"/>
      <c r="J762" s="274"/>
      <c r="K762" s="275"/>
      <c r="P762" s="275"/>
      <c r="R762" s="275"/>
    </row>
    <row r="763" ht="22.5" customHeight="1">
      <c r="A763" s="258" t="str">
        <f t="shared" si="1"/>
        <v>-</v>
      </c>
      <c r="B763" s="274"/>
      <c r="C763" s="274"/>
      <c r="F763" s="281"/>
      <c r="G763" s="281"/>
      <c r="H763" s="281"/>
      <c r="I763" s="274"/>
      <c r="J763" s="274"/>
      <c r="K763" s="275"/>
      <c r="P763" s="275"/>
      <c r="R763" s="275"/>
    </row>
    <row r="764" ht="22.5" customHeight="1">
      <c r="A764" s="258" t="str">
        <f t="shared" si="1"/>
        <v>-</v>
      </c>
      <c r="B764" s="274"/>
      <c r="C764" s="274"/>
      <c r="F764" s="281"/>
      <c r="G764" s="281"/>
      <c r="H764" s="281"/>
      <c r="I764" s="274"/>
      <c r="J764" s="274"/>
      <c r="K764" s="275"/>
      <c r="P764" s="275"/>
      <c r="R764" s="275"/>
    </row>
    <row r="765" ht="22.5" customHeight="1">
      <c r="A765" s="258" t="str">
        <f t="shared" si="1"/>
        <v>-</v>
      </c>
      <c r="B765" s="274"/>
      <c r="C765" s="274"/>
      <c r="F765" s="281"/>
      <c r="G765" s="281"/>
      <c r="H765" s="281"/>
      <c r="I765" s="274"/>
      <c r="J765" s="274"/>
      <c r="K765" s="275"/>
      <c r="P765" s="275"/>
      <c r="R765" s="275"/>
    </row>
    <row r="766" ht="22.5" customHeight="1">
      <c r="A766" s="258" t="str">
        <f t="shared" si="1"/>
        <v>-</v>
      </c>
      <c r="B766" s="274"/>
      <c r="C766" s="274"/>
      <c r="F766" s="281"/>
      <c r="G766" s="281"/>
      <c r="H766" s="281"/>
      <c r="I766" s="274"/>
      <c r="J766" s="274"/>
      <c r="K766" s="275"/>
      <c r="P766" s="275"/>
      <c r="R766" s="275"/>
    </row>
    <row r="767" ht="22.5" customHeight="1">
      <c r="A767" s="258" t="str">
        <f t="shared" si="1"/>
        <v>-</v>
      </c>
      <c r="B767" s="274"/>
      <c r="C767" s="274"/>
      <c r="F767" s="281"/>
      <c r="G767" s="281"/>
      <c r="H767" s="281"/>
      <c r="I767" s="274"/>
      <c r="J767" s="274"/>
      <c r="K767" s="275"/>
      <c r="P767" s="275"/>
      <c r="R767" s="275"/>
    </row>
    <row r="768" ht="22.5" customHeight="1">
      <c r="A768" s="258" t="str">
        <f t="shared" si="1"/>
        <v>-</v>
      </c>
      <c r="B768" s="274"/>
      <c r="C768" s="274"/>
      <c r="F768" s="281"/>
      <c r="G768" s="281"/>
      <c r="H768" s="281"/>
      <c r="I768" s="274"/>
      <c r="J768" s="274"/>
      <c r="K768" s="275"/>
      <c r="P768" s="275"/>
      <c r="R768" s="275"/>
    </row>
    <row r="769" ht="22.5" customHeight="1">
      <c r="A769" s="258" t="str">
        <f t="shared" si="1"/>
        <v>-</v>
      </c>
      <c r="B769" s="274"/>
      <c r="C769" s="274"/>
      <c r="F769" s="281"/>
      <c r="G769" s="281"/>
      <c r="H769" s="281"/>
      <c r="I769" s="274"/>
      <c r="J769" s="274"/>
      <c r="K769" s="275"/>
      <c r="P769" s="275"/>
      <c r="R769" s="275"/>
    </row>
    <row r="770" ht="22.5" customHeight="1">
      <c r="A770" s="258" t="str">
        <f t="shared" si="1"/>
        <v>-</v>
      </c>
      <c r="B770" s="274"/>
      <c r="C770" s="274"/>
      <c r="F770" s="281"/>
      <c r="G770" s="281"/>
      <c r="H770" s="281"/>
      <c r="I770" s="274"/>
      <c r="J770" s="274"/>
      <c r="K770" s="275"/>
      <c r="P770" s="275"/>
      <c r="R770" s="275"/>
    </row>
    <row r="771" ht="22.5" customHeight="1">
      <c r="A771" s="258" t="str">
        <f t="shared" si="1"/>
        <v>-</v>
      </c>
      <c r="B771" s="274"/>
      <c r="C771" s="274"/>
      <c r="F771" s="281"/>
      <c r="G771" s="281"/>
      <c r="H771" s="281"/>
      <c r="I771" s="274"/>
      <c r="J771" s="274"/>
      <c r="K771" s="275"/>
      <c r="P771" s="275"/>
      <c r="R771" s="275"/>
    </row>
    <row r="772" ht="22.5" customHeight="1">
      <c r="A772" s="258" t="str">
        <f t="shared" si="1"/>
        <v>-</v>
      </c>
      <c r="B772" s="274"/>
      <c r="C772" s="274"/>
      <c r="F772" s="281"/>
      <c r="G772" s="281"/>
      <c r="H772" s="281"/>
      <c r="I772" s="274"/>
      <c r="J772" s="274"/>
      <c r="K772" s="275"/>
      <c r="P772" s="275"/>
      <c r="R772" s="275"/>
    </row>
    <row r="773" ht="22.5" customHeight="1">
      <c r="A773" s="258" t="str">
        <f t="shared" si="1"/>
        <v>-</v>
      </c>
      <c r="B773" s="274"/>
      <c r="C773" s="274"/>
      <c r="F773" s="281"/>
      <c r="G773" s="281"/>
      <c r="H773" s="281"/>
      <c r="I773" s="274"/>
      <c r="J773" s="274"/>
      <c r="K773" s="275"/>
      <c r="P773" s="275"/>
      <c r="R773" s="275"/>
    </row>
    <row r="774" ht="22.5" customHeight="1">
      <c r="A774" s="258" t="str">
        <f t="shared" si="1"/>
        <v>-</v>
      </c>
      <c r="B774" s="274"/>
      <c r="C774" s="274"/>
      <c r="F774" s="281"/>
      <c r="G774" s="281"/>
      <c r="H774" s="281"/>
      <c r="I774" s="274"/>
      <c r="J774" s="274"/>
      <c r="K774" s="275"/>
      <c r="P774" s="275"/>
      <c r="R774" s="275"/>
    </row>
    <row r="775" ht="22.5" customHeight="1">
      <c r="A775" s="258" t="str">
        <f t="shared" si="1"/>
        <v>-</v>
      </c>
      <c r="B775" s="274"/>
      <c r="C775" s="274"/>
      <c r="F775" s="281"/>
      <c r="G775" s="281"/>
      <c r="H775" s="281"/>
      <c r="I775" s="274"/>
      <c r="J775" s="274"/>
      <c r="K775" s="275"/>
      <c r="P775" s="275"/>
      <c r="R775" s="275"/>
    </row>
    <row r="776" ht="22.5" customHeight="1">
      <c r="A776" s="258" t="str">
        <f t="shared" si="1"/>
        <v>-</v>
      </c>
      <c r="B776" s="274"/>
      <c r="C776" s="274"/>
      <c r="F776" s="281"/>
      <c r="G776" s="281"/>
      <c r="H776" s="281"/>
      <c r="I776" s="274"/>
      <c r="J776" s="274"/>
      <c r="K776" s="275"/>
      <c r="P776" s="275"/>
      <c r="R776" s="275"/>
    </row>
    <row r="777" ht="22.5" customHeight="1">
      <c r="A777" s="258" t="str">
        <f t="shared" si="1"/>
        <v>-</v>
      </c>
      <c r="B777" s="274"/>
      <c r="C777" s="274"/>
      <c r="F777" s="281"/>
      <c r="G777" s="281"/>
      <c r="H777" s="281"/>
      <c r="I777" s="274"/>
      <c r="J777" s="274"/>
      <c r="K777" s="275"/>
      <c r="P777" s="275"/>
      <c r="R777" s="275"/>
    </row>
    <row r="778" ht="22.5" customHeight="1">
      <c r="A778" s="258" t="str">
        <f t="shared" si="1"/>
        <v>-</v>
      </c>
      <c r="B778" s="274"/>
      <c r="C778" s="274"/>
      <c r="F778" s="281"/>
      <c r="G778" s="281"/>
      <c r="H778" s="281"/>
      <c r="I778" s="274"/>
      <c r="J778" s="274"/>
      <c r="K778" s="275"/>
      <c r="P778" s="275"/>
      <c r="R778" s="275"/>
    </row>
    <row r="779" ht="22.5" customHeight="1">
      <c r="A779" s="258" t="str">
        <f t="shared" si="1"/>
        <v>-</v>
      </c>
      <c r="B779" s="274"/>
      <c r="C779" s="274"/>
      <c r="F779" s="281"/>
      <c r="G779" s="281"/>
      <c r="H779" s="281"/>
      <c r="I779" s="274"/>
      <c r="J779" s="274"/>
      <c r="K779" s="275"/>
      <c r="P779" s="275"/>
      <c r="R779" s="275"/>
    </row>
    <row r="780" ht="22.5" customHeight="1">
      <c r="A780" s="258" t="str">
        <f t="shared" si="1"/>
        <v>-</v>
      </c>
      <c r="B780" s="274"/>
      <c r="C780" s="274"/>
      <c r="F780" s="281"/>
      <c r="G780" s="281"/>
      <c r="H780" s="281"/>
      <c r="I780" s="274"/>
      <c r="J780" s="274"/>
      <c r="K780" s="275"/>
      <c r="P780" s="275"/>
      <c r="R780" s="275"/>
    </row>
    <row r="781" ht="22.5" customHeight="1">
      <c r="A781" s="258" t="str">
        <f t="shared" si="1"/>
        <v>-</v>
      </c>
      <c r="B781" s="274"/>
      <c r="C781" s="274"/>
      <c r="F781" s="281"/>
      <c r="G781" s="281"/>
      <c r="H781" s="281"/>
      <c r="I781" s="274"/>
      <c r="J781" s="274"/>
      <c r="K781" s="275"/>
      <c r="P781" s="275"/>
      <c r="R781" s="275"/>
    </row>
    <row r="782" ht="22.5" customHeight="1">
      <c r="A782" s="258" t="str">
        <f t="shared" si="1"/>
        <v>-</v>
      </c>
      <c r="B782" s="274"/>
      <c r="C782" s="274"/>
      <c r="F782" s="281"/>
      <c r="G782" s="281"/>
      <c r="H782" s="281"/>
      <c r="I782" s="274"/>
      <c r="J782" s="274"/>
      <c r="K782" s="275"/>
      <c r="P782" s="275"/>
      <c r="R782" s="275"/>
    </row>
    <row r="783" ht="22.5" customHeight="1">
      <c r="A783" s="258" t="str">
        <f t="shared" si="1"/>
        <v>-</v>
      </c>
      <c r="B783" s="274"/>
      <c r="C783" s="274"/>
      <c r="F783" s="281"/>
      <c r="G783" s="281"/>
      <c r="H783" s="281"/>
      <c r="I783" s="274"/>
      <c r="J783" s="274"/>
      <c r="K783" s="275"/>
      <c r="P783" s="275"/>
      <c r="R783" s="275"/>
    </row>
    <row r="784" ht="22.5" customHeight="1">
      <c r="A784" s="258" t="str">
        <f t="shared" si="1"/>
        <v>-</v>
      </c>
      <c r="B784" s="274"/>
      <c r="C784" s="274"/>
      <c r="F784" s="281"/>
      <c r="G784" s="281"/>
      <c r="H784" s="281"/>
      <c r="I784" s="274"/>
      <c r="J784" s="274"/>
      <c r="K784" s="275"/>
      <c r="P784" s="275"/>
      <c r="R784" s="275"/>
    </row>
    <row r="785" ht="22.5" customHeight="1">
      <c r="A785" s="258" t="str">
        <f t="shared" si="1"/>
        <v>-</v>
      </c>
      <c r="B785" s="274"/>
      <c r="C785" s="274"/>
      <c r="F785" s="281"/>
      <c r="G785" s="281"/>
      <c r="H785" s="281"/>
      <c r="I785" s="274"/>
      <c r="J785" s="274"/>
      <c r="K785" s="275"/>
      <c r="P785" s="275"/>
      <c r="R785" s="275"/>
    </row>
    <row r="786" ht="22.5" customHeight="1">
      <c r="A786" s="258" t="str">
        <f t="shared" si="1"/>
        <v>-</v>
      </c>
      <c r="B786" s="274"/>
      <c r="C786" s="274"/>
      <c r="F786" s="281"/>
      <c r="G786" s="281"/>
      <c r="H786" s="281"/>
      <c r="I786" s="274"/>
      <c r="J786" s="274"/>
      <c r="K786" s="275"/>
      <c r="P786" s="275"/>
      <c r="R786" s="275"/>
    </row>
    <row r="787" ht="22.5" customHeight="1">
      <c r="A787" s="258" t="str">
        <f t="shared" si="1"/>
        <v>-</v>
      </c>
      <c r="B787" s="274"/>
      <c r="C787" s="274"/>
      <c r="F787" s="281"/>
      <c r="G787" s="281"/>
      <c r="H787" s="281"/>
      <c r="I787" s="274"/>
      <c r="J787" s="274"/>
      <c r="K787" s="275"/>
      <c r="P787" s="275"/>
      <c r="R787" s="275"/>
    </row>
    <row r="788" ht="22.5" customHeight="1">
      <c r="A788" s="258" t="str">
        <f t="shared" si="1"/>
        <v>-</v>
      </c>
      <c r="B788" s="274"/>
      <c r="C788" s="274"/>
      <c r="F788" s="281"/>
      <c r="G788" s="281"/>
      <c r="H788" s="281"/>
      <c r="I788" s="274"/>
      <c r="J788" s="274"/>
      <c r="K788" s="275"/>
      <c r="P788" s="275"/>
      <c r="R788" s="275"/>
    </row>
    <row r="789" ht="22.5" customHeight="1">
      <c r="A789" s="258" t="str">
        <f t="shared" si="1"/>
        <v>-</v>
      </c>
      <c r="B789" s="274"/>
      <c r="C789" s="274"/>
      <c r="F789" s="281"/>
      <c r="G789" s="281"/>
      <c r="H789" s="281"/>
      <c r="I789" s="274"/>
      <c r="J789" s="274"/>
      <c r="K789" s="275"/>
      <c r="P789" s="275"/>
      <c r="R789" s="275"/>
    </row>
    <row r="790" ht="22.5" customHeight="1">
      <c r="A790" s="258" t="str">
        <f t="shared" si="1"/>
        <v>-</v>
      </c>
      <c r="B790" s="274"/>
      <c r="C790" s="274"/>
      <c r="F790" s="281"/>
      <c r="G790" s="281"/>
      <c r="H790" s="281"/>
      <c r="I790" s="274"/>
      <c r="J790" s="274"/>
      <c r="K790" s="275"/>
      <c r="P790" s="275"/>
      <c r="R790" s="275"/>
    </row>
    <row r="791" ht="22.5" customHeight="1">
      <c r="A791" s="258" t="str">
        <f t="shared" si="1"/>
        <v>-</v>
      </c>
      <c r="B791" s="274"/>
      <c r="C791" s="274"/>
      <c r="F791" s="281"/>
      <c r="G791" s="281"/>
      <c r="H791" s="281"/>
      <c r="I791" s="274"/>
      <c r="J791" s="274"/>
      <c r="K791" s="275"/>
      <c r="P791" s="275"/>
      <c r="R791" s="275"/>
    </row>
    <row r="792" ht="22.5" customHeight="1">
      <c r="A792" s="258" t="str">
        <f t="shared" si="1"/>
        <v>-</v>
      </c>
      <c r="B792" s="274"/>
      <c r="C792" s="274"/>
      <c r="F792" s="281"/>
      <c r="G792" s="281"/>
      <c r="H792" s="281"/>
      <c r="I792" s="274"/>
      <c r="J792" s="274"/>
      <c r="K792" s="275"/>
      <c r="P792" s="275"/>
      <c r="R792" s="275"/>
    </row>
    <row r="793" ht="22.5" customHeight="1">
      <c r="A793" s="258" t="str">
        <f t="shared" si="1"/>
        <v>-</v>
      </c>
      <c r="B793" s="274"/>
      <c r="C793" s="274"/>
      <c r="F793" s="281"/>
      <c r="G793" s="281"/>
      <c r="H793" s="281"/>
      <c r="I793" s="274"/>
      <c r="J793" s="274"/>
      <c r="K793" s="275"/>
      <c r="P793" s="275"/>
      <c r="R793" s="275"/>
    </row>
    <row r="794" ht="22.5" customHeight="1">
      <c r="A794" s="258" t="str">
        <f t="shared" si="1"/>
        <v>-</v>
      </c>
      <c r="B794" s="274"/>
      <c r="C794" s="274"/>
      <c r="F794" s="281"/>
      <c r="G794" s="281"/>
      <c r="H794" s="281"/>
      <c r="I794" s="274"/>
      <c r="J794" s="274"/>
      <c r="K794" s="275"/>
      <c r="P794" s="275"/>
      <c r="R794" s="275"/>
    </row>
    <row r="795" ht="22.5" customHeight="1">
      <c r="A795" s="258" t="str">
        <f t="shared" si="1"/>
        <v>-</v>
      </c>
      <c r="B795" s="274"/>
      <c r="C795" s="274"/>
      <c r="F795" s="281"/>
      <c r="G795" s="281"/>
      <c r="H795" s="281"/>
      <c r="I795" s="274"/>
      <c r="J795" s="274"/>
      <c r="K795" s="275"/>
      <c r="P795" s="275"/>
      <c r="R795" s="275"/>
    </row>
    <row r="796" ht="22.5" customHeight="1">
      <c r="A796" s="258" t="str">
        <f t="shared" si="1"/>
        <v>-</v>
      </c>
      <c r="B796" s="274"/>
      <c r="C796" s="274"/>
      <c r="F796" s="281"/>
      <c r="G796" s="281"/>
      <c r="H796" s="281"/>
      <c r="I796" s="274"/>
      <c r="J796" s="274"/>
      <c r="K796" s="275"/>
      <c r="P796" s="275"/>
      <c r="R796" s="275"/>
    </row>
    <row r="797" ht="22.5" customHeight="1">
      <c r="A797" s="258" t="str">
        <f t="shared" si="1"/>
        <v>-</v>
      </c>
      <c r="B797" s="274"/>
      <c r="C797" s="274"/>
      <c r="F797" s="281"/>
      <c r="G797" s="281"/>
      <c r="H797" s="281"/>
      <c r="I797" s="274"/>
      <c r="J797" s="274"/>
      <c r="K797" s="275"/>
      <c r="P797" s="275"/>
      <c r="R797" s="275"/>
    </row>
    <row r="798" ht="22.5" customHeight="1">
      <c r="A798" s="258" t="str">
        <f t="shared" si="1"/>
        <v>-</v>
      </c>
      <c r="B798" s="274"/>
      <c r="C798" s="274"/>
      <c r="F798" s="281"/>
      <c r="G798" s="281"/>
      <c r="H798" s="281"/>
      <c r="I798" s="274"/>
      <c r="J798" s="274"/>
      <c r="K798" s="275"/>
      <c r="P798" s="275"/>
      <c r="R798" s="275"/>
    </row>
    <row r="799" ht="22.5" customHeight="1">
      <c r="A799" s="258" t="str">
        <f t="shared" si="1"/>
        <v>-</v>
      </c>
      <c r="B799" s="274"/>
      <c r="C799" s="274"/>
      <c r="F799" s="281"/>
      <c r="G799" s="281"/>
      <c r="H799" s="281"/>
      <c r="I799" s="274"/>
      <c r="J799" s="274"/>
      <c r="K799" s="275"/>
      <c r="P799" s="275"/>
      <c r="R799" s="275"/>
    </row>
    <row r="800" ht="22.5" customHeight="1">
      <c r="A800" s="258" t="str">
        <f t="shared" si="1"/>
        <v>-</v>
      </c>
      <c r="B800" s="274"/>
      <c r="C800" s="274"/>
      <c r="F800" s="281"/>
      <c r="G800" s="281"/>
      <c r="H800" s="281"/>
      <c r="I800" s="274"/>
      <c r="J800" s="274"/>
      <c r="K800" s="275"/>
      <c r="P800" s="275"/>
      <c r="R800" s="275"/>
    </row>
    <row r="801" ht="22.5" customHeight="1">
      <c r="A801" s="258" t="str">
        <f t="shared" si="1"/>
        <v>-</v>
      </c>
      <c r="B801" s="274"/>
      <c r="C801" s="274"/>
      <c r="F801" s="281"/>
      <c r="G801" s="281"/>
      <c r="H801" s="281"/>
      <c r="I801" s="274"/>
      <c r="J801" s="274"/>
      <c r="K801" s="275"/>
      <c r="P801" s="275"/>
      <c r="R801" s="275"/>
    </row>
    <row r="802" ht="22.5" customHeight="1">
      <c r="A802" s="258" t="str">
        <f t="shared" si="1"/>
        <v>-</v>
      </c>
      <c r="B802" s="274"/>
      <c r="C802" s="274"/>
      <c r="F802" s="281"/>
      <c r="G802" s="281"/>
      <c r="H802" s="281"/>
      <c r="I802" s="274"/>
      <c r="J802" s="274"/>
      <c r="K802" s="275"/>
      <c r="P802" s="275"/>
      <c r="R802" s="275"/>
    </row>
    <row r="803" ht="22.5" customHeight="1">
      <c r="A803" s="258" t="str">
        <f t="shared" si="1"/>
        <v>-</v>
      </c>
      <c r="B803" s="274"/>
      <c r="C803" s="274"/>
      <c r="F803" s="281"/>
      <c r="G803" s="281"/>
      <c r="H803" s="281"/>
      <c r="I803" s="274"/>
      <c r="J803" s="274"/>
      <c r="K803" s="275"/>
      <c r="P803" s="275"/>
      <c r="R803" s="275"/>
    </row>
    <row r="804" ht="22.5" customHeight="1">
      <c r="A804" s="258" t="str">
        <f t="shared" si="1"/>
        <v>-</v>
      </c>
      <c r="B804" s="274"/>
      <c r="C804" s="274"/>
      <c r="F804" s="281"/>
      <c r="G804" s="281"/>
      <c r="H804" s="281"/>
      <c r="I804" s="274"/>
      <c r="J804" s="274"/>
      <c r="K804" s="275"/>
      <c r="P804" s="275"/>
      <c r="R804" s="275"/>
    </row>
    <row r="805" ht="22.5" customHeight="1">
      <c r="A805" s="258" t="str">
        <f t="shared" si="1"/>
        <v>-</v>
      </c>
      <c r="B805" s="274"/>
      <c r="C805" s="274"/>
      <c r="F805" s="281"/>
      <c r="G805" s="281"/>
      <c r="H805" s="281"/>
      <c r="I805" s="274"/>
      <c r="J805" s="274"/>
      <c r="K805" s="275"/>
      <c r="P805" s="275"/>
      <c r="R805" s="275"/>
    </row>
    <row r="806" ht="22.5" customHeight="1">
      <c r="A806" s="258" t="str">
        <f t="shared" si="1"/>
        <v>-</v>
      </c>
      <c r="B806" s="274"/>
      <c r="C806" s="274"/>
      <c r="F806" s="281"/>
      <c r="G806" s="281"/>
      <c r="H806" s="281"/>
      <c r="I806" s="274"/>
      <c r="J806" s="274"/>
      <c r="K806" s="275"/>
      <c r="P806" s="275"/>
      <c r="R806" s="275"/>
    </row>
    <row r="807" ht="22.5" customHeight="1">
      <c r="A807" s="258" t="str">
        <f t="shared" si="1"/>
        <v>-</v>
      </c>
      <c r="B807" s="274"/>
      <c r="C807" s="274"/>
      <c r="F807" s="281"/>
      <c r="G807" s="281"/>
      <c r="H807" s="281"/>
      <c r="I807" s="274"/>
      <c r="J807" s="274"/>
      <c r="K807" s="275"/>
      <c r="P807" s="275"/>
      <c r="R807" s="275"/>
    </row>
    <row r="808" ht="22.5" customHeight="1">
      <c r="A808" s="258" t="str">
        <f t="shared" si="1"/>
        <v>-</v>
      </c>
      <c r="B808" s="274"/>
      <c r="C808" s="274"/>
      <c r="F808" s="281"/>
      <c r="G808" s="281"/>
      <c r="H808" s="281"/>
      <c r="I808" s="274"/>
      <c r="J808" s="274"/>
      <c r="K808" s="275"/>
      <c r="P808" s="275"/>
      <c r="R808" s="275"/>
    </row>
    <row r="809" ht="22.5" customHeight="1">
      <c r="A809" s="258" t="str">
        <f t="shared" si="1"/>
        <v>-</v>
      </c>
      <c r="B809" s="274"/>
      <c r="C809" s="274"/>
      <c r="F809" s="281"/>
      <c r="G809" s="281"/>
      <c r="H809" s="281"/>
      <c r="I809" s="274"/>
      <c r="J809" s="274"/>
      <c r="K809" s="275"/>
      <c r="P809" s="275"/>
      <c r="R809" s="275"/>
    </row>
    <row r="810" ht="22.5" customHeight="1">
      <c r="A810" s="258" t="str">
        <f t="shared" si="1"/>
        <v>-</v>
      </c>
      <c r="B810" s="274"/>
      <c r="C810" s="274"/>
      <c r="F810" s="281"/>
      <c r="G810" s="281"/>
      <c r="H810" s="281"/>
      <c r="I810" s="274"/>
      <c r="J810" s="274"/>
      <c r="K810" s="275"/>
      <c r="P810" s="275"/>
      <c r="R810" s="275"/>
    </row>
    <row r="811" ht="22.5" customHeight="1">
      <c r="A811" s="258" t="str">
        <f t="shared" si="1"/>
        <v>-</v>
      </c>
      <c r="B811" s="274"/>
      <c r="C811" s="274"/>
      <c r="F811" s="281"/>
      <c r="G811" s="281"/>
      <c r="H811" s="281"/>
      <c r="I811" s="274"/>
      <c r="J811" s="274"/>
      <c r="K811" s="275"/>
      <c r="P811" s="275"/>
      <c r="R811" s="275"/>
    </row>
    <row r="812" ht="22.5" customHeight="1">
      <c r="A812" s="258" t="str">
        <f t="shared" si="1"/>
        <v>-</v>
      </c>
      <c r="B812" s="274"/>
      <c r="C812" s="274"/>
      <c r="F812" s="281"/>
      <c r="G812" s="281"/>
      <c r="H812" s="281"/>
      <c r="I812" s="274"/>
      <c r="J812" s="274"/>
      <c r="K812" s="275"/>
      <c r="P812" s="275"/>
      <c r="R812" s="275"/>
    </row>
    <row r="813" ht="22.5" customHeight="1">
      <c r="A813" s="258" t="str">
        <f t="shared" si="1"/>
        <v>-</v>
      </c>
      <c r="B813" s="274"/>
      <c r="C813" s="274"/>
      <c r="F813" s="281"/>
      <c r="G813" s="281"/>
      <c r="H813" s="281"/>
      <c r="I813" s="274"/>
      <c r="J813" s="274"/>
      <c r="K813" s="275"/>
      <c r="P813" s="275"/>
      <c r="R813" s="275"/>
    </row>
    <row r="814" ht="22.5" customHeight="1">
      <c r="A814" s="258" t="str">
        <f t="shared" si="1"/>
        <v>-</v>
      </c>
      <c r="B814" s="274"/>
      <c r="C814" s="274"/>
      <c r="F814" s="281"/>
      <c r="G814" s="281"/>
      <c r="H814" s="281"/>
      <c r="I814" s="274"/>
      <c r="J814" s="274"/>
      <c r="K814" s="275"/>
      <c r="P814" s="275"/>
      <c r="R814" s="275"/>
    </row>
    <row r="815" ht="22.5" customHeight="1">
      <c r="A815" s="258" t="str">
        <f t="shared" si="1"/>
        <v>-</v>
      </c>
      <c r="B815" s="274"/>
      <c r="C815" s="274"/>
      <c r="F815" s="281"/>
      <c r="G815" s="281"/>
      <c r="H815" s="281"/>
      <c r="I815" s="274"/>
      <c r="J815" s="274"/>
      <c r="K815" s="275"/>
      <c r="P815" s="275"/>
      <c r="R815" s="275"/>
    </row>
    <row r="816" ht="22.5" customHeight="1">
      <c r="A816" s="258" t="str">
        <f t="shared" si="1"/>
        <v>-</v>
      </c>
      <c r="B816" s="274"/>
      <c r="C816" s="274"/>
      <c r="F816" s="281"/>
      <c r="G816" s="281"/>
      <c r="H816" s="281"/>
      <c r="I816" s="274"/>
      <c r="J816" s="274"/>
      <c r="K816" s="275"/>
      <c r="P816" s="275"/>
      <c r="R816" s="275"/>
    </row>
    <row r="817" ht="22.5" customHeight="1">
      <c r="A817" s="258" t="str">
        <f t="shared" si="1"/>
        <v>-</v>
      </c>
      <c r="B817" s="274"/>
      <c r="C817" s="274"/>
      <c r="F817" s="281"/>
      <c r="G817" s="281"/>
      <c r="H817" s="281"/>
      <c r="I817" s="274"/>
      <c r="J817" s="274"/>
      <c r="K817" s="275"/>
      <c r="P817" s="275"/>
      <c r="R817" s="275"/>
    </row>
    <row r="818" ht="22.5" customHeight="1">
      <c r="A818" s="258" t="str">
        <f t="shared" si="1"/>
        <v>-</v>
      </c>
      <c r="B818" s="274"/>
      <c r="C818" s="274"/>
      <c r="F818" s="281"/>
      <c r="G818" s="281"/>
      <c r="H818" s="281"/>
      <c r="I818" s="274"/>
      <c r="J818" s="274"/>
      <c r="K818" s="275"/>
      <c r="P818" s="275"/>
      <c r="R818" s="275"/>
    </row>
    <row r="819" ht="22.5" customHeight="1">
      <c r="A819" s="258" t="str">
        <f t="shared" si="1"/>
        <v>-</v>
      </c>
      <c r="B819" s="274"/>
      <c r="C819" s="274"/>
      <c r="F819" s="281"/>
      <c r="G819" s="281"/>
      <c r="H819" s="281"/>
      <c r="I819" s="274"/>
      <c r="J819" s="274"/>
      <c r="K819" s="275"/>
      <c r="P819" s="275"/>
      <c r="R819" s="275"/>
    </row>
    <row r="820" ht="22.5" customHeight="1">
      <c r="A820" s="258" t="str">
        <f t="shared" si="1"/>
        <v>-</v>
      </c>
      <c r="B820" s="274"/>
      <c r="C820" s="274"/>
      <c r="F820" s="281"/>
      <c r="G820" s="281"/>
      <c r="H820" s="281"/>
      <c r="I820" s="274"/>
      <c r="J820" s="274"/>
      <c r="K820" s="275"/>
      <c r="P820" s="275"/>
      <c r="R820" s="275"/>
    </row>
    <row r="821" ht="22.5" customHeight="1">
      <c r="A821" s="258" t="str">
        <f t="shared" si="1"/>
        <v>-</v>
      </c>
      <c r="B821" s="274"/>
      <c r="C821" s="274"/>
      <c r="F821" s="281"/>
      <c r="G821" s="281"/>
      <c r="H821" s="281"/>
      <c r="I821" s="274"/>
      <c r="J821" s="274"/>
      <c r="K821" s="275"/>
      <c r="P821" s="275"/>
      <c r="R821" s="275"/>
    </row>
    <row r="822" ht="22.5" customHeight="1">
      <c r="A822" s="258" t="str">
        <f t="shared" si="1"/>
        <v>-</v>
      </c>
      <c r="B822" s="274"/>
      <c r="C822" s="274"/>
      <c r="F822" s="281"/>
      <c r="G822" s="281"/>
      <c r="H822" s="281"/>
      <c r="I822" s="274"/>
      <c r="J822" s="274"/>
      <c r="K822" s="275"/>
      <c r="P822" s="275"/>
      <c r="R822" s="275"/>
    </row>
    <row r="823" ht="22.5" customHeight="1">
      <c r="A823" s="258" t="str">
        <f t="shared" si="1"/>
        <v>-</v>
      </c>
      <c r="B823" s="274"/>
      <c r="C823" s="274"/>
      <c r="F823" s="281"/>
      <c r="G823" s="281"/>
      <c r="H823" s="281"/>
      <c r="I823" s="274"/>
      <c r="J823" s="274"/>
      <c r="K823" s="275"/>
      <c r="P823" s="275"/>
      <c r="R823" s="275"/>
    </row>
    <row r="824" ht="22.5" customHeight="1">
      <c r="A824" s="258" t="str">
        <f t="shared" si="1"/>
        <v>-</v>
      </c>
      <c r="B824" s="274"/>
      <c r="C824" s="274"/>
      <c r="F824" s="281"/>
      <c r="G824" s="281"/>
      <c r="H824" s="281"/>
      <c r="I824" s="274"/>
      <c r="J824" s="274"/>
      <c r="K824" s="275"/>
      <c r="P824" s="275"/>
      <c r="R824" s="275"/>
    </row>
    <row r="825" ht="22.5" customHeight="1">
      <c r="A825" s="258" t="str">
        <f t="shared" si="1"/>
        <v>-</v>
      </c>
      <c r="B825" s="274"/>
      <c r="C825" s="274"/>
      <c r="F825" s="281"/>
      <c r="G825" s="281"/>
      <c r="H825" s="281"/>
      <c r="I825" s="274"/>
      <c r="J825" s="274"/>
      <c r="K825" s="275"/>
      <c r="P825" s="275"/>
      <c r="R825" s="275"/>
    </row>
    <row r="826" ht="22.5" customHeight="1">
      <c r="A826" s="258" t="str">
        <f t="shared" si="1"/>
        <v>-</v>
      </c>
      <c r="B826" s="274"/>
      <c r="C826" s="274"/>
      <c r="F826" s="281"/>
      <c r="G826" s="281"/>
      <c r="H826" s="281"/>
      <c r="I826" s="274"/>
      <c r="J826" s="274"/>
      <c r="K826" s="275"/>
      <c r="P826" s="275"/>
      <c r="R826" s="275"/>
    </row>
    <row r="827" ht="22.5" customHeight="1">
      <c r="A827" s="258" t="str">
        <f t="shared" si="1"/>
        <v>-</v>
      </c>
      <c r="B827" s="274"/>
      <c r="C827" s="274"/>
      <c r="F827" s="281"/>
      <c r="G827" s="281"/>
      <c r="H827" s="281"/>
      <c r="I827" s="274"/>
      <c r="J827" s="274"/>
      <c r="K827" s="275"/>
      <c r="P827" s="275"/>
      <c r="R827" s="275"/>
    </row>
    <row r="828" ht="22.5" customHeight="1">
      <c r="A828" s="258" t="str">
        <f t="shared" si="1"/>
        <v>-</v>
      </c>
      <c r="B828" s="274"/>
      <c r="C828" s="274"/>
      <c r="F828" s="281"/>
      <c r="G828" s="281"/>
      <c r="H828" s="281"/>
      <c r="I828" s="274"/>
      <c r="J828" s="274"/>
      <c r="K828" s="275"/>
      <c r="P828" s="275"/>
      <c r="R828" s="275"/>
    </row>
    <row r="829" ht="22.5" customHeight="1">
      <c r="A829" s="258" t="str">
        <f t="shared" si="1"/>
        <v>-</v>
      </c>
      <c r="B829" s="274"/>
      <c r="C829" s="274"/>
      <c r="F829" s="281"/>
      <c r="G829" s="281"/>
      <c r="H829" s="281"/>
      <c r="I829" s="274"/>
      <c r="J829" s="274"/>
      <c r="K829" s="275"/>
      <c r="P829" s="275"/>
      <c r="R829" s="275"/>
    </row>
    <row r="830" ht="22.5" customHeight="1">
      <c r="A830" s="258" t="str">
        <f t="shared" si="1"/>
        <v>-</v>
      </c>
      <c r="B830" s="274"/>
      <c r="C830" s="274"/>
      <c r="F830" s="281"/>
      <c r="G830" s="281"/>
      <c r="H830" s="281"/>
      <c r="I830" s="274"/>
      <c r="J830" s="274"/>
      <c r="K830" s="275"/>
      <c r="P830" s="275"/>
      <c r="R830" s="275"/>
    </row>
    <row r="831" ht="22.5" customHeight="1">
      <c r="A831" s="258" t="str">
        <f t="shared" si="1"/>
        <v>-</v>
      </c>
      <c r="B831" s="274"/>
      <c r="C831" s="274"/>
      <c r="F831" s="281"/>
      <c r="G831" s="281"/>
      <c r="H831" s="281"/>
      <c r="I831" s="274"/>
      <c r="J831" s="274"/>
      <c r="K831" s="275"/>
      <c r="P831" s="275"/>
      <c r="R831" s="275"/>
    </row>
    <row r="832" ht="22.5" customHeight="1">
      <c r="A832" s="258" t="str">
        <f t="shared" si="1"/>
        <v>-</v>
      </c>
      <c r="B832" s="274"/>
      <c r="C832" s="274"/>
      <c r="F832" s="281"/>
      <c r="G832" s="281"/>
      <c r="H832" s="281"/>
      <c r="I832" s="274"/>
      <c r="J832" s="274"/>
      <c r="K832" s="275"/>
      <c r="P832" s="275"/>
      <c r="R832" s="275"/>
    </row>
    <row r="833" ht="22.5" customHeight="1">
      <c r="A833" s="258" t="str">
        <f t="shared" si="1"/>
        <v>-</v>
      </c>
      <c r="B833" s="274"/>
      <c r="C833" s="274"/>
      <c r="F833" s="281"/>
      <c r="G833" s="281"/>
      <c r="H833" s="281"/>
      <c r="I833" s="274"/>
      <c r="J833" s="274"/>
      <c r="K833" s="275"/>
      <c r="P833" s="275"/>
      <c r="R833" s="275"/>
    </row>
    <row r="834" ht="22.5" customHeight="1">
      <c r="A834" s="258" t="str">
        <f t="shared" si="1"/>
        <v>-</v>
      </c>
      <c r="B834" s="274"/>
      <c r="C834" s="274"/>
      <c r="F834" s="281"/>
      <c r="G834" s="281"/>
      <c r="H834" s="281"/>
      <c r="I834" s="274"/>
      <c r="J834" s="274"/>
      <c r="K834" s="275"/>
      <c r="P834" s="275"/>
      <c r="R834" s="275"/>
    </row>
    <row r="835" ht="22.5" customHeight="1">
      <c r="A835" s="258" t="str">
        <f t="shared" si="1"/>
        <v>-</v>
      </c>
      <c r="B835" s="274"/>
      <c r="C835" s="274"/>
      <c r="F835" s="281"/>
      <c r="G835" s="281"/>
      <c r="H835" s="281"/>
      <c r="I835" s="274"/>
      <c r="J835" s="274"/>
      <c r="K835" s="275"/>
      <c r="P835" s="275"/>
      <c r="R835" s="275"/>
    </row>
    <row r="836" ht="22.5" customHeight="1">
      <c r="A836" s="258" t="str">
        <f t="shared" si="1"/>
        <v>-</v>
      </c>
      <c r="B836" s="274"/>
      <c r="C836" s="274"/>
      <c r="F836" s="281"/>
      <c r="G836" s="281"/>
      <c r="H836" s="281"/>
      <c r="I836" s="274"/>
      <c r="J836" s="274"/>
      <c r="K836" s="275"/>
      <c r="P836" s="275"/>
      <c r="R836" s="275"/>
    </row>
    <row r="837" ht="22.5" customHeight="1">
      <c r="A837" s="258" t="str">
        <f t="shared" si="1"/>
        <v>-</v>
      </c>
      <c r="B837" s="274"/>
      <c r="C837" s="274"/>
      <c r="F837" s="281"/>
      <c r="G837" s="281"/>
      <c r="H837" s="281"/>
      <c r="I837" s="274"/>
      <c r="J837" s="274"/>
      <c r="K837" s="275"/>
      <c r="P837" s="275"/>
      <c r="R837" s="275"/>
    </row>
    <row r="838" ht="22.5" customHeight="1">
      <c r="A838" s="258" t="str">
        <f t="shared" si="1"/>
        <v>-</v>
      </c>
      <c r="B838" s="274"/>
      <c r="C838" s="274"/>
      <c r="F838" s="281"/>
      <c r="G838" s="281"/>
      <c r="H838" s="281"/>
      <c r="I838" s="274"/>
      <c r="J838" s="274"/>
      <c r="K838" s="275"/>
      <c r="P838" s="275"/>
      <c r="R838" s="275"/>
    </row>
    <row r="839" ht="22.5" customHeight="1">
      <c r="A839" s="258" t="str">
        <f t="shared" si="1"/>
        <v>-</v>
      </c>
      <c r="B839" s="274"/>
      <c r="C839" s="274"/>
      <c r="F839" s="281"/>
      <c r="G839" s="281"/>
      <c r="H839" s="281"/>
      <c r="I839" s="274"/>
      <c r="J839" s="274"/>
      <c r="K839" s="275"/>
      <c r="P839" s="275"/>
      <c r="R839" s="275"/>
    </row>
    <row r="840" ht="22.5" customHeight="1">
      <c r="A840" s="258" t="str">
        <f t="shared" si="1"/>
        <v>-</v>
      </c>
      <c r="B840" s="274"/>
      <c r="C840" s="274"/>
      <c r="F840" s="281"/>
      <c r="G840" s="281"/>
      <c r="H840" s="281"/>
      <c r="I840" s="274"/>
      <c r="J840" s="274"/>
      <c r="K840" s="275"/>
      <c r="P840" s="275"/>
      <c r="R840" s="275"/>
    </row>
    <row r="841" ht="22.5" customHeight="1">
      <c r="A841" s="258" t="str">
        <f t="shared" si="1"/>
        <v>-</v>
      </c>
      <c r="B841" s="274"/>
      <c r="C841" s="274"/>
      <c r="F841" s="281"/>
      <c r="G841" s="281"/>
      <c r="H841" s="281"/>
      <c r="I841" s="274"/>
      <c r="J841" s="274"/>
      <c r="K841" s="275"/>
      <c r="P841" s="275"/>
      <c r="R841" s="275"/>
    </row>
    <row r="842" ht="22.5" customHeight="1">
      <c r="A842" s="258" t="str">
        <f t="shared" si="1"/>
        <v>-</v>
      </c>
      <c r="B842" s="274"/>
      <c r="C842" s="274"/>
      <c r="F842" s="281"/>
      <c r="G842" s="281"/>
      <c r="H842" s="281"/>
      <c r="I842" s="274"/>
      <c r="J842" s="274"/>
      <c r="K842" s="275"/>
      <c r="P842" s="275"/>
      <c r="R842" s="275"/>
    </row>
    <row r="843" ht="22.5" customHeight="1">
      <c r="A843" s="258" t="str">
        <f t="shared" si="1"/>
        <v>-</v>
      </c>
      <c r="B843" s="274"/>
      <c r="C843" s="274"/>
      <c r="F843" s="281"/>
      <c r="G843" s="281"/>
      <c r="H843" s="281"/>
      <c r="I843" s="274"/>
      <c r="J843" s="274"/>
      <c r="K843" s="275"/>
      <c r="P843" s="275"/>
      <c r="R843" s="275"/>
    </row>
    <row r="844" ht="22.5" customHeight="1">
      <c r="A844" s="258" t="str">
        <f t="shared" si="1"/>
        <v>-</v>
      </c>
      <c r="B844" s="274"/>
      <c r="C844" s="274"/>
      <c r="F844" s="281"/>
      <c r="G844" s="281"/>
      <c r="H844" s="281"/>
      <c r="I844" s="274"/>
      <c r="J844" s="274"/>
      <c r="K844" s="275"/>
      <c r="P844" s="275"/>
      <c r="R844" s="275"/>
    </row>
    <row r="845" ht="22.5" customHeight="1">
      <c r="A845" s="258" t="str">
        <f t="shared" si="1"/>
        <v>-</v>
      </c>
      <c r="B845" s="274"/>
      <c r="C845" s="274"/>
      <c r="F845" s="281"/>
      <c r="G845" s="281"/>
      <c r="H845" s="281"/>
      <c r="I845" s="274"/>
      <c r="J845" s="274"/>
      <c r="K845" s="275"/>
      <c r="P845" s="275"/>
      <c r="R845" s="275"/>
    </row>
    <row r="846" ht="22.5" customHeight="1">
      <c r="A846" s="258" t="str">
        <f t="shared" si="1"/>
        <v>-</v>
      </c>
      <c r="B846" s="274"/>
      <c r="C846" s="274"/>
      <c r="F846" s="281"/>
      <c r="G846" s="281"/>
      <c r="H846" s="281"/>
      <c r="I846" s="274"/>
      <c r="J846" s="274"/>
      <c r="K846" s="275"/>
      <c r="P846" s="275"/>
      <c r="R846" s="275"/>
    </row>
    <row r="847" ht="22.5" customHeight="1">
      <c r="A847" s="258" t="str">
        <f t="shared" si="1"/>
        <v>-</v>
      </c>
      <c r="B847" s="274"/>
      <c r="C847" s="274"/>
      <c r="F847" s="281"/>
      <c r="G847" s="281"/>
      <c r="H847" s="281"/>
      <c r="I847" s="274"/>
      <c r="J847" s="274"/>
      <c r="K847" s="275"/>
      <c r="P847" s="275"/>
      <c r="R847" s="275"/>
    </row>
    <row r="848" ht="22.5" customHeight="1">
      <c r="A848" s="258" t="str">
        <f t="shared" si="1"/>
        <v>-</v>
      </c>
      <c r="B848" s="274"/>
      <c r="C848" s="274"/>
      <c r="F848" s="281"/>
      <c r="G848" s="281"/>
      <c r="H848" s="281"/>
      <c r="I848" s="274"/>
      <c r="J848" s="274"/>
      <c r="K848" s="275"/>
      <c r="P848" s="275"/>
      <c r="R848" s="275"/>
    </row>
    <row r="849" ht="22.5" customHeight="1">
      <c r="A849" s="258" t="str">
        <f t="shared" si="1"/>
        <v>-</v>
      </c>
      <c r="B849" s="274"/>
      <c r="C849" s="274"/>
      <c r="F849" s="281"/>
      <c r="G849" s="281"/>
      <c r="H849" s="281"/>
      <c r="I849" s="274"/>
      <c r="J849" s="274"/>
      <c r="K849" s="275"/>
      <c r="P849" s="275"/>
      <c r="R849" s="275"/>
    </row>
    <row r="850" ht="22.5" customHeight="1">
      <c r="A850" s="258" t="str">
        <f t="shared" si="1"/>
        <v>-</v>
      </c>
      <c r="B850" s="274"/>
      <c r="C850" s="274"/>
      <c r="F850" s="281"/>
      <c r="G850" s="281"/>
      <c r="H850" s="281"/>
      <c r="I850" s="274"/>
      <c r="J850" s="274"/>
      <c r="K850" s="275"/>
      <c r="P850" s="275"/>
      <c r="R850" s="275"/>
    </row>
    <row r="851" ht="22.5" customHeight="1">
      <c r="A851" s="258" t="str">
        <f t="shared" si="1"/>
        <v>-</v>
      </c>
      <c r="B851" s="274"/>
      <c r="C851" s="274"/>
      <c r="F851" s="281"/>
      <c r="G851" s="281"/>
      <c r="H851" s="281"/>
      <c r="I851" s="274"/>
      <c r="J851" s="274"/>
      <c r="K851" s="275"/>
      <c r="P851" s="275"/>
      <c r="R851" s="275"/>
    </row>
    <row r="852" ht="22.5" customHeight="1">
      <c r="A852" s="258" t="str">
        <f t="shared" si="1"/>
        <v>-</v>
      </c>
      <c r="B852" s="274"/>
      <c r="C852" s="274"/>
      <c r="F852" s="281"/>
      <c r="G852" s="281"/>
      <c r="H852" s="281"/>
      <c r="I852" s="274"/>
      <c r="J852" s="274"/>
      <c r="K852" s="275"/>
      <c r="P852" s="275"/>
      <c r="R852" s="275"/>
    </row>
    <row r="853" ht="22.5" customHeight="1">
      <c r="A853" s="258" t="str">
        <f t="shared" si="1"/>
        <v>-</v>
      </c>
      <c r="B853" s="274"/>
      <c r="C853" s="274"/>
      <c r="F853" s="281"/>
      <c r="G853" s="281"/>
      <c r="H853" s="281"/>
      <c r="I853" s="274"/>
      <c r="J853" s="274"/>
      <c r="K853" s="275"/>
      <c r="P853" s="275"/>
      <c r="R853" s="275"/>
    </row>
    <row r="854" ht="22.5" customHeight="1">
      <c r="A854" s="258" t="str">
        <f t="shared" si="1"/>
        <v>-</v>
      </c>
      <c r="B854" s="274"/>
      <c r="C854" s="274"/>
      <c r="F854" s="281"/>
      <c r="G854" s="281"/>
      <c r="H854" s="281"/>
      <c r="I854" s="274"/>
      <c r="J854" s="274"/>
      <c r="K854" s="275"/>
      <c r="P854" s="275"/>
      <c r="R854" s="275"/>
    </row>
    <row r="855" ht="22.5" customHeight="1">
      <c r="A855" s="258" t="str">
        <f t="shared" si="1"/>
        <v>-</v>
      </c>
      <c r="B855" s="274"/>
      <c r="C855" s="274"/>
      <c r="F855" s="281"/>
      <c r="G855" s="281"/>
      <c r="H855" s="281"/>
      <c r="I855" s="274"/>
      <c r="J855" s="274"/>
      <c r="K855" s="275"/>
      <c r="P855" s="275"/>
      <c r="R855" s="275"/>
    </row>
    <row r="856" ht="22.5" customHeight="1">
      <c r="A856" s="258" t="str">
        <f t="shared" si="1"/>
        <v>-</v>
      </c>
      <c r="B856" s="274"/>
      <c r="C856" s="274"/>
      <c r="F856" s="281"/>
      <c r="G856" s="281"/>
      <c r="H856" s="281"/>
      <c r="I856" s="274"/>
      <c r="J856" s="274"/>
      <c r="K856" s="275"/>
      <c r="P856" s="275"/>
      <c r="R856" s="275"/>
    </row>
    <row r="857" ht="22.5" customHeight="1">
      <c r="A857" s="258" t="str">
        <f t="shared" si="1"/>
        <v>-</v>
      </c>
      <c r="B857" s="274"/>
      <c r="C857" s="274"/>
      <c r="F857" s="281"/>
      <c r="G857" s="281"/>
      <c r="H857" s="281"/>
      <c r="I857" s="274"/>
      <c r="J857" s="274"/>
      <c r="K857" s="275"/>
      <c r="P857" s="275"/>
      <c r="R857" s="275"/>
    </row>
    <row r="858" ht="22.5" customHeight="1">
      <c r="A858" s="258" t="str">
        <f t="shared" si="1"/>
        <v>-</v>
      </c>
      <c r="B858" s="274"/>
      <c r="C858" s="274"/>
      <c r="F858" s="281"/>
      <c r="G858" s="281"/>
      <c r="H858" s="281"/>
      <c r="I858" s="274"/>
      <c r="J858" s="274"/>
      <c r="K858" s="275"/>
      <c r="P858" s="275"/>
      <c r="R858" s="275"/>
    </row>
    <row r="859" ht="22.5" customHeight="1">
      <c r="A859" s="258" t="str">
        <f t="shared" si="1"/>
        <v>-</v>
      </c>
      <c r="B859" s="274"/>
      <c r="C859" s="274"/>
      <c r="F859" s="281"/>
      <c r="G859" s="281"/>
      <c r="H859" s="281"/>
      <c r="I859" s="274"/>
      <c r="J859" s="274"/>
      <c r="K859" s="275"/>
      <c r="P859" s="275"/>
      <c r="R859" s="275"/>
    </row>
    <row r="860" ht="22.5" customHeight="1">
      <c r="A860" s="258" t="str">
        <f t="shared" si="1"/>
        <v>-</v>
      </c>
      <c r="B860" s="274"/>
      <c r="C860" s="274"/>
      <c r="F860" s="281"/>
      <c r="G860" s="281"/>
      <c r="H860" s="281"/>
      <c r="I860" s="274"/>
      <c r="J860" s="274"/>
      <c r="K860" s="275"/>
      <c r="P860" s="275"/>
      <c r="R860" s="275"/>
    </row>
    <row r="861" ht="22.5" customHeight="1">
      <c r="A861" s="258" t="str">
        <f t="shared" si="1"/>
        <v>-</v>
      </c>
      <c r="B861" s="274"/>
      <c r="C861" s="274"/>
      <c r="F861" s="281"/>
      <c r="G861" s="281"/>
      <c r="H861" s="281"/>
      <c r="I861" s="274"/>
      <c r="J861" s="274"/>
      <c r="K861" s="275"/>
      <c r="P861" s="275"/>
      <c r="R861" s="275"/>
    </row>
    <row r="862" ht="22.5" customHeight="1">
      <c r="A862" s="258" t="str">
        <f t="shared" si="1"/>
        <v>-</v>
      </c>
      <c r="B862" s="274"/>
      <c r="C862" s="274"/>
      <c r="F862" s="281"/>
      <c r="G862" s="281"/>
      <c r="H862" s="281"/>
      <c r="I862" s="274"/>
      <c r="J862" s="274"/>
      <c r="K862" s="275"/>
      <c r="P862" s="275"/>
      <c r="R862" s="275"/>
    </row>
    <row r="863" ht="22.5" customHeight="1">
      <c r="A863" s="258" t="str">
        <f t="shared" si="1"/>
        <v>-</v>
      </c>
      <c r="B863" s="274"/>
      <c r="C863" s="274"/>
      <c r="F863" s="281"/>
      <c r="G863" s="281"/>
      <c r="H863" s="281"/>
      <c r="I863" s="274"/>
      <c r="J863" s="274"/>
      <c r="K863" s="275"/>
      <c r="P863" s="275"/>
      <c r="R863" s="275"/>
    </row>
    <row r="864" ht="22.5" customHeight="1">
      <c r="A864" s="258" t="str">
        <f t="shared" si="1"/>
        <v>-</v>
      </c>
      <c r="B864" s="274"/>
      <c r="C864" s="274"/>
      <c r="F864" s="281"/>
      <c r="G864" s="281"/>
      <c r="H864" s="281"/>
      <c r="I864" s="274"/>
      <c r="J864" s="274"/>
      <c r="K864" s="275"/>
      <c r="P864" s="275"/>
      <c r="R864" s="275"/>
    </row>
    <row r="865" ht="22.5" customHeight="1">
      <c r="A865" s="258" t="str">
        <f t="shared" si="1"/>
        <v>-</v>
      </c>
      <c r="B865" s="274"/>
      <c r="C865" s="274"/>
      <c r="F865" s="281"/>
      <c r="G865" s="281"/>
      <c r="H865" s="281"/>
      <c r="I865" s="274"/>
      <c r="J865" s="274"/>
      <c r="K865" s="275"/>
      <c r="P865" s="275"/>
      <c r="R865" s="275"/>
    </row>
    <row r="866" ht="22.5" customHeight="1">
      <c r="A866" s="258" t="str">
        <f t="shared" si="1"/>
        <v>-</v>
      </c>
      <c r="B866" s="274"/>
      <c r="C866" s="274"/>
      <c r="F866" s="281"/>
      <c r="G866" s="281"/>
      <c r="H866" s="281"/>
      <c r="I866" s="274"/>
      <c r="J866" s="274"/>
      <c r="K866" s="275"/>
      <c r="P866" s="275"/>
      <c r="R866" s="275"/>
    </row>
    <row r="867" ht="22.5" customHeight="1">
      <c r="A867" s="258" t="str">
        <f t="shared" si="1"/>
        <v>-</v>
      </c>
      <c r="B867" s="274"/>
      <c r="C867" s="274"/>
      <c r="F867" s="281"/>
      <c r="G867" s="281"/>
      <c r="H867" s="281"/>
      <c r="I867" s="274"/>
      <c r="J867" s="274"/>
      <c r="K867" s="275"/>
      <c r="P867" s="275"/>
      <c r="R867" s="275"/>
    </row>
    <row r="868" ht="22.5" customHeight="1">
      <c r="A868" s="258" t="str">
        <f t="shared" si="1"/>
        <v>-</v>
      </c>
      <c r="B868" s="274"/>
      <c r="C868" s="274"/>
      <c r="F868" s="281"/>
      <c r="G868" s="281"/>
      <c r="H868" s="281"/>
      <c r="I868" s="274"/>
      <c r="J868" s="274"/>
      <c r="K868" s="275"/>
      <c r="P868" s="275"/>
      <c r="R868" s="275"/>
    </row>
    <row r="869" ht="22.5" customHeight="1">
      <c r="A869" s="258" t="str">
        <f t="shared" si="1"/>
        <v>-</v>
      </c>
      <c r="B869" s="274"/>
      <c r="C869" s="274"/>
      <c r="F869" s="281"/>
      <c r="G869" s="281"/>
      <c r="H869" s="281"/>
      <c r="I869" s="274"/>
      <c r="J869" s="274"/>
      <c r="K869" s="275"/>
      <c r="P869" s="275"/>
      <c r="R869" s="275"/>
    </row>
    <row r="870" ht="22.5" customHeight="1">
      <c r="A870" s="258" t="str">
        <f t="shared" si="1"/>
        <v>-</v>
      </c>
      <c r="B870" s="274"/>
      <c r="C870" s="274"/>
      <c r="F870" s="281"/>
      <c r="G870" s="281"/>
      <c r="H870" s="281"/>
      <c r="I870" s="274"/>
      <c r="J870" s="274"/>
      <c r="K870" s="275"/>
      <c r="P870" s="275"/>
      <c r="R870" s="275"/>
    </row>
    <row r="871" ht="22.5" customHeight="1">
      <c r="A871" s="258" t="str">
        <f t="shared" si="1"/>
        <v>-</v>
      </c>
      <c r="B871" s="274"/>
      <c r="C871" s="274"/>
      <c r="F871" s="281"/>
      <c r="G871" s="281"/>
      <c r="H871" s="281"/>
      <c r="I871" s="274"/>
      <c r="J871" s="274"/>
      <c r="K871" s="275"/>
      <c r="P871" s="275"/>
      <c r="R871" s="275"/>
    </row>
    <row r="872" ht="22.5" customHeight="1">
      <c r="A872" s="258" t="str">
        <f t="shared" si="1"/>
        <v>-</v>
      </c>
      <c r="B872" s="274"/>
      <c r="C872" s="274"/>
      <c r="F872" s="281"/>
      <c r="G872" s="281"/>
      <c r="H872" s="281"/>
      <c r="I872" s="274"/>
      <c r="J872" s="274"/>
      <c r="K872" s="275"/>
      <c r="P872" s="275"/>
      <c r="R872" s="275"/>
    </row>
    <row r="873" ht="22.5" customHeight="1">
      <c r="A873" s="258" t="str">
        <f t="shared" si="1"/>
        <v>-</v>
      </c>
      <c r="B873" s="274"/>
      <c r="C873" s="274"/>
      <c r="F873" s="281"/>
      <c r="G873" s="281"/>
      <c r="H873" s="281"/>
      <c r="I873" s="274"/>
      <c r="J873" s="274"/>
      <c r="K873" s="275"/>
      <c r="P873" s="275"/>
      <c r="R873" s="275"/>
    </row>
    <row r="874" ht="22.5" customHeight="1">
      <c r="A874" s="258" t="str">
        <f t="shared" si="1"/>
        <v>-</v>
      </c>
      <c r="B874" s="274"/>
      <c r="C874" s="274"/>
      <c r="F874" s="281"/>
      <c r="G874" s="281"/>
      <c r="H874" s="281"/>
      <c r="I874" s="274"/>
      <c r="J874" s="274"/>
      <c r="K874" s="275"/>
      <c r="P874" s="275"/>
      <c r="R874" s="275"/>
    </row>
    <row r="875" ht="22.5" customHeight="1">
      <c r="A875" s="258" t="str">
        <f t="shared" si="1"/>
        <v>-</v>
      </c>
      <c r="B875" s="274"/>
      <c r="C875" s="274"/>
      <c r="F875" s="281"/>
      <c r="G875" s="281"/>
      <c r="H875" s="281"/>
      <c r="I875" s="274"/>
      <c r="J875" s="274"/>
      <c r="K875" s="275"/>
      <c r="P875" s="275"/>
      <c r="R875" s="275"/>
    </row>
    <row r="876" ht="22.5" customHeight="1">
      <c r="A876" s="258" t="str">
        <f t="shared" si="1"/>
        <v>-</v>
      </c>
      <c r="B876" s="274"/>
      <c r="C876" s="274"/>
      <c r="F876" s="281"/>
      <c r="G876" s="281"/>
      <c r="H876" s="281"/>
      <c r="I876" s="274"/>
      <c r="J876" s="274"/>
      <c r="K876" s="275"/>
      <c r="P876" s="275"/>
      <c r="R876" s="275"/>
    </row>
    <row r="877" ht="22.5" customHeight="1">
      <c r="A877" s="258" t="str">
        <f t="shared" si="1"/>
        <v>-</v>
      </c>
      <c r="B877" s="274"/>
      <c r="C877" s="274"/>
      <c r="F877" s="281"/>
      <c r="G877" s="281"/>
      <c r="H877" s="281"/>
      <c r="I877" s="274"/>
      <c r="J877" s="274"/>
      <c r="K877" s="275"/>
      <c r="P877" s="275"/>
      <c r="R877" s="275"/>
    </row>
    <row r="878" ht="22.5" customHeight="1">
      <c r="A878" s="258" t="str">
        <f t="shared" si="1"/>
        <v>-</v>
      </c>
      <c r="B878" s="274"/>
      <c r="C878" s="274"/>
      <c r="F878" s="281"/>
      <c r="G878" s="281"/>
      <c r="H878" s="281"/>
      <c r="I878" s="274"/>
      <c r="J878" s="274"/>
      <c r="K878" s="275"/>
      <c r="P878" s="275"/>
      <c r="R878" s="275"/>
    </row>
    <row r="879" ht="22.5" customHeight="1">
      <c r="A879" s="258" t="str">
        <f t="shared" si="1"/>
        <v>-</v>
      </c>
      <c r="B879" s="274"/>
      <c r="C879" s="274"/>
      <c r="F879" s="281"/>
      <c r="G879" s="281"/>
      <c r="H879" s="281"/>
      <c r="I879" s="274"/>
      <c r="J879" s="274"/>
      <c r="K879" s="275"/>
      <c r="P879" s="275"/>
      <c r="R879" s="275"/>
    </row>
    <row r="880" ht="22.5" customHeight="1">
      <c r="A880" s="258" t="str">
        <f t="shared" si="1"/>
        <v>-</v>
      </c>
      <c r="B880" s="274"/>
      <c r="C880" s="274"/>
      <c r="F880" s="281"/>
      <c r="G880" s="281"/>
      <c r="H880" s="281"/>
      <c r="I880" s="274"/>
      <c r="J880" s="274"/>
      <c r="K880" s="275"/>
      <c r="P880" s="275"/>
      <c r="R880" s="275"/>
    </row>
    <row r="881" ht="22.5" customHeight="1">
      <c r="A881" s="258" t="str">
        <f t="shared" si="1"/>
        <v>-</v>
      </c>
      <c r="B881" s="274"/>
      <c r="C881" s="274"/>
      <c r="F881" s="281"/>
      <c r="G881" s="281"/>
      <c r="H881" s="281"/>
      <c r="I881" s="274"/>
      <c r="J881" s="274"/>
      <c r="K881" s="275"/>
      <c r="P881" s="275"/>
      <c r="R881" s="275"/>
    </row>
    <row r="882" ht="22.5" customHeight="1">
      <c r="A882" s="258" t="str">
        <f t="shared" si="1"/>
        <v>-</v>
      </c>
      <c r="B882" s="274"/>
      <c r="C882" s="274"/>
      <c r="F882" s="281"/>
      <c r="G882" s="281"/>
      <c r="H882" s="281"/>
      <c r="I882" s="274"/>
      <c r="J882" s="274"/>
      <c r="K882" s="275"/>
      <c r="P882" s="275"/>
      <c r="R882" s="275"/>
    </row>
    <row r="883" ht="22.5" customHeight="1">
      <c r="A883" s="258" t="str">
        <f t="shared" si="1"/>
        <v>-</v>
      </c>
      <c r="B883" s="274"/>
      <c r="C883" s="274"/>
      <c r="F883" s="281"/>
      <c r="G883" s="281"/>
      <c r="H883" s="281"/>
      <c r="I883" s="274"/>
      <c r="J883" s="274"/>
      <c r="K883" s="275"/>
      <c r="P883" s="275"/>
      <c r="R883" s="275"/>
    </row>
    <row r="884" ht="22.5" customHeight="1">
      <c r="A884" s="258" t="str">
        <f t="shared" si="1"/>
        <v>-</v>
      </c>
      <c r="B884" s="274"/>
      <c r="C884" s="274"/>
      <c r="F884" s="281"/>
      <c r="G884" s="281"/>
      <c r="H884" s="281"/>
      <c r="I884" s="274"/>
      <c r="J884" s="274"/>
      <c r="K884" s="275"/>
      <c r="P884" s="275"/>
      <c r="R884" s="275"/>
    </row>
    <row r="885" ht="22.5" customHeight="1">
      <c r="A885" s="258" t="str">
        <f t="shared" si="1"/>
        <v>-</v>
      </c>
      <c r="B885" s="274"/>
      <c r="C885" s="274"/>
      <c r="F885" s="281"/>
      <c r="G885" s="281"/>
      <c r="H885" s="281"/>
      <c r="I885" s="274"/>
      <c r="J885" s="274"/>
      <c r="K885" s="275"/>
      <c r="P885" s="275"/>
      <c r="R885" s="275"/>
    </row>
    <row r="886" ht="22.5" customHeight="1">
      <c r="A886" s="258" t="str">
        <f t="shared" si="1"/>
        <v>-</v>
      </c>
      <c r="B886" s="274"/>
      <c r="C886" s="274"/>
      <c r="F886" s="281"/>
      <c r="G886" s="281"/>
      <c r="H886" s="281"/>
      <c r="I886" s="274"/>
      <c r="J886" s="274"/>
      <c r="K886" s="275"/>
      <c r="P886" s="275"/>
      <c r="R886" s="275"/>
    </row>
    <row r="887" ht="22.5" customHeight="1">
      <c r="A887" s="258" t="str">
        <f t="shared" si="1"/>
        <v>-</v>
      </c>
      <c r="B887" s="274"/>
      <c r="C887" s="274"/>
      <c r="F887" s="281"/>
      <c r="G887" s="281"/>
      <c r="H887" s="281"/>
      <c r="I887" s="274"/>
      <c r="J887" s="274"/>
      <c r="K887" s="275"/>
      <c r="P887" s="275"/>
      <c r="R887" s="275"/>
    </row>
    <row r="888" ht="22.5" customHeight="1">
      <c r="A888" s="258" t="str">
        <f t="shared" si="1"/>
        <v>-</v>
      </c>
      <c r="B888" s="274"/>
      <c r="C888" s="274"/>
      <c r="F888" s="281"/>
      <c r="G888" s="281"/>
      <c r="H888" s="281"/>
      <c r="I888" s="274"/>
      <c r="J888" s="274"/>
      <c r="K888" s="275"/>
      <c r="P888" s="275"/>
      <c r="R888" s="275"/>
    </row>
    <row r="889" ht="22.5" customHeight="1">
      <c r="A889" s="258" t="str">
        <f t="shared" si="1"/>
        <v>-</v>
      </c>
      <c r="B889" s="274"/>
      <c r="C889" s="274"/>
      <c r="F889" s="281"/>
      <c r="G889" s="281"/>
      <c r="H889" s="281"/>
      <c r="I889" s="274"/>
      <c r="J889" s="274"/>
      <c r="K889" s="275"/>
      <c r="P889" s="275"/>
      <c r="R889" s="275"/>
    </row>
    <row r="890" ht="22.5" customHeight="1">
      <c r="A890" s="258" t="str">
        <f t="shared" si="1"/>
        <v>-</v>
      </c>
      <c r="B890" s="274"/>
      <c r="C890" s="274"/>
      <c r="F890" s="281"/>
      <c r="G890" s="281"/>
      <c r="H890" s="281"/>
      <c r="I890" s="274"/>
      <c r="J890" s="274"/>
      <c r="K890" s="275"/>
      <c r="P890" s="275"/>
      <c r="R890" s="275"/>
    </row>
    <row r="891" ht="22.5" customHeight="1">
      <c r="A891" s="258" t="str">
        <f t="shared" si="1"/>
        <v>-</v>
      </c>
      <c r="B891" s="274"/>
      <c r="C891" s="274"/>
      <c r="F891" s="281"/>
      <c r="G891" s="281"/>
      <c r="H891" s="281"/>
      <c r="I891" s="274"/>
      <c r="J891" s="274"/>
      <c r="K891" s="275"/>
      <c r="P891" s="275"/>
      <c r="R891" s="275"/>
    </row>
    <row r="892" ht="22.5" customHeight="1">
      <c r="A892" s="258" t="str">
        <f t="shared" si="1"/>
        <v>-</v>
      </c>
      <c r="B892" s="274"/>
      <c r="C892" s="274"/>
      <c r="F892" s="281"/>
      <c r="G892" s="281"/>
      <c r="H892" s="281"/>
      <c r="I892" s="274"/>
      <c r="J892" s="274"/>
      <c r="K892" s="275"/>
      <c r="P892" s="275"/>
      <c r="R892" s="275"/>
    </row>
    <row r="893" ht="22.5" customHeight="1">
      <c r="A893" s="258" t="str">
        <f t="shared" si="1"/>
        <v>-</v>
      </c>
      <c r="B893" s="274"/>
      <c r="C893" s="274"/>
      <c r="F893" s="281"/>
      <c r="G893" s="281"/>
      <c r="H893" s="281"/>
      <c r="I893" s="274"/>
      <c r="J893" s="274"/>
      <c r="K893" s="275"/>
      <c r="P893" s="275"/>
      <c r="R893" s="275"/>
    </row>
    <row r="894" ht="22.5" customHeight="1">
      <c r="A894" s="258" t="str">
        <f t="shared" si="1"/>
        <v>-</v>
      </c>
      <c r="B894" s="274"/>
      <c r="C894" s="274"/>
      <c r="F894" s="281"/>
      <c r="G894" s="281"/>
      <c r="H894" s="281"/>
      <c r="I894" s="274"/>
      <c r="J894" s="274"/>
      <c r="K894" s="275"/>
      <c r="P894" s="275"/>
      <c r="R894" s="275"/>
    </row>
    <row r="895" ht="22.5" customHeight="1">
      <c r="A895" s="258" t="str">
        <f t="shared" si="1"/>
        <v>-</v>
      </c>
      <c r="B895" s="274"/>
      <c r="C895" s="274"/>
      <c r="F895" s="281"/>
      <c r="G895" s="281"/>
      <c r="H895" s="281"/>
      <c r="I895" s="274"/>
      <c r="J895" s="274"/>
      <c r="K895" s="275"/>
      <c r="P895" s="275"/>
      <c r="R895" s="275"/>
    </row>
    <row r="896" ht="22.5" customHeight="1">
      <c r="A896" s="258" t="str">
        <f t="shared" si="1"/>
        <v>-</v>
      </c>
      <c r="B896" s="274"/>
      <c r="C896" s="274"/>
      <c r="F896" s="281"/>
      <c r="G896" s="281"/>
      <c r="H896" s="281"/>
      <c r="I896" s="274"/>
      <c r="J896" s="274"/>
      <c r="K896" s="275"/>
      <c r="P896" s="275"/>
      <c r="R896" s="275"/>
    </row>
    <row r="897" ht="22.5" customHeight="1">
      <c r="A897" s="258" t="str">
        <f t="shared" si="1"/>
        <v>-</v>
      </c>
      <c r="B897" s="274"/>
      <c r="C897" s="274"/>
      <c r="F897" s="281"/>
      <c r="G897" s="281"/>
      <c r="H897" s="281"/>
      <c r="I897" s="274"/>
      <c r="J897" s="274"/>
      <c r="K897" s="275"/>
      <c r="P897" s="275"/>
      <c r="R897" s="275"/>
    </row>
    <row r="898" ht="22.5" customHeight="1">
      <c r="A898" s="258" t="str">
        <f t="shared" si="1"/>
        <v>-</v>
      </c>
      <c r="B898" s="274"/>
      <c r="C898" s="274"/>
      <c r="F898" s="281"/>
      <c r="G898" s="281"/>
      <c r="H898" s="281"/>
      <c r="I898" s="274"/>
      <c r="J898" s="274"/>
      <c r="K898" s="275"/>
      <c r="P898" s="275"/>
      <c r="R898" s="275"/>
    </row>
    <row r="899" ht="22.5" customHeight="1">
      <c r="A899" s="258" t="str">
        <f t="shared" si="1"/>
        <v>-</v>
      </c>
      <c r="B899" s="274"/>
      <c r="C899" s="274"/>
      <c r="F899" s="281"/>
      <c r="G899" s="281"/>
      <c r="H899" s="281"/>
      <c r="I899" s="274"/>
      <c r="J899" s="274"/>
      <c r="K899" s="275"/>
      <c r="P899" s="275"/>
      <c r="R899" s="275"/>
    </row>
    <row r="900" ht="22.5" customHeight="1">
      <c r="A900" s="258" t="str">
        <f t="shared" si="1"/>
        <v>-</v>
      </c>
      <c r="B900" s="274"/>
      <c r="C900" s="274"/>
      <c r="F900" s="281"/>
      <c r="G900" s="281"/>
      <c r="H900" s="281"/>
      <c r="I900" s="274"/>
      <c r="J900" s="274"/>
      <c r="K900" s="275"/>
      <c r="P900" s="275"/>
      <c r="R900" s="275"/>
    </row>
    <row r="901" ht="22.5" customHeight="1">
      <c r="A901" s="258" t="str">
        <f t="shared" si="1"/>
        <v>-</v>
      </c>
      <c r="B901" s="274"/>
      <c r="C901" s="274"/>
      <c r="F901" s="281"/>
      <c r="G901" s="281"/>
      <c r="H901" s="281"/>
      <c r="I901" s="274"/>
      <c r="J901" s="274"/>
      <c r="K901" s="275"/>
      <c r="P901" s="275"/>
      <c r="R901" s="275"/>
    </row>
    <row r="902">
      <c r="B902" s="309"/>
      <c r="C902" s="309"/>
      <c r="I902" s="309"/>
      <c r="J902" s="309"/>
    </row>
    <row r="903">
      <c r="B903" s="309"/>
      <c r="C903" s="309"/>
      <c r="I903" s="309"/>
      <c r="J903" s="309"/>
    </row>
    <row r="904">
      <c r="B904" s="309"/>
      <c r="C904" s="309"/>
      <c r="I904" s="309"/>
      <c r="J904" s="309"/>
    </row>
    <row r="905">
      <c r="B905" s="309"/>
      <c r="C905" s="309"/>
      <c r="I905" s="309"/>
      <c r="J905" s="309"/>
    </row>
    <row r="906">
      <c r="B906" s="309"/>
      <c r="C906" s="309"/>
      <c r="I906" s="309"/>
      <c r="J906" s="309"/>
    </row>
    <row r="907">
      <c r="B907" s="309"/>
      <c r="C907" s="309"/>
      <c r="I907" s="309"/>
      <c r="J907" s="309"/>
    </row>
    <row r="908">
      <c r="B908" s="309"/>
      <c r="C908" s="309"/>
      <c r="I908" s="309"/>
      <c r="J908" s="309"/>
    </row>
    <row r="909">
      <c r="B909" s="309"/>
      <c r="C909" s="309"/>
      <c r="I909" s="309"/>
      <c r="J909" s="309"/>
    </row>
    <row r="910">
      <c r="B910" s="309"/>
      <c r="C910" s="309"/>
      <c r="I910" s="309"/>
      <c r="J910" s="309"/>
    </row>
    <row r="911">
      <c r="B911" s="309"/>
      <c r="C911" s="309"/>
      <c r="I911" s="309"/>
      <c r="J911" s="309"/>
    </row>
    <row r="912">
      <c r="B912" s="309"/>
      <c r="C912" s="309"/>
      <c r="I912" s="309"/>
      <c r="J912" s="309"/>
    </row>
    <row r="913">
      <c r="B913" s="309"/>
      <c r="C913" s="309"/>
      <c r="I913" s="309"/>
      <c r="J913" s="309"/>
    </row>
    <row r="914">
      <c r="B914" s="309"/>
      <c r="C914" s="309"/>
      <c r="I914" s="309"/>
      <c r="J914" s="309"/>
    </row>
    <row r="915">
      <c r="B915" s="309"/>
      <c r="C915" s="309"/>
      <c r="I915" s="309"/>
      <c r="J915" s="309"/>
    </row>
    <row r="916">
      <c r="B916" s="309"/>
      <c r="C916" s="309"/>
      <c r="I916" s="309"/>
      <c r="J916" s="309"/>
    </row>
    <row r="917">
      <c r="B917" s="309"/>
      <c r="C917" s="309"/>
      <c r="I917" s="309"/>
      <c r="J917" s="309"/>
    </row>
    <row r="918">
      <c r="B918" s="309"/>
      <c r="C918" s="309"/>
      <c r="I918" s="309"/>
      <c r="J918" s="309"/>
    </row>
    <row r="919">
      <c r="B919" s="309"/>
      <c r="C919" s="309"/>
      <c r="I919" s="309"/>
      <c r="J919" s="309"/>
    </row>
    <row r="920">
      <c r="B920" s="309"/>
      <c r="C920" s="309"/>
      <c r="I920" s="309"/>
      <c r="J920" s="309"/>
    </row>
    <row r="921">
      <c r="B921" s="309"/>
      <c r="C921" s="309"/>
      <c r="I921" s="309"/>
      <c r="J921" s="309"/>
    </row>
    <row r="922">
      <c r="B922" s="309"/>
      <c r="C922" s="309"/>
      <c r="I922" s="309"/>
      <c r="J922" s="309"/>
    </row>
    <row r="923">
      <c r="B923" s="309"/>
      <c r="C923" s="309"/>
      <c r="I923" s="309"/>
      <c r="J923" s="309"/>
    </row>
    <row r="924">
      <c r="B924" s="309"/>
      <c r="C924" s="309"/>
      <c r="I924" s="309"/>
      <c r="J924" s="309"/>
    </row>
    <row r="925">
      <c r="B925" s="309"/>
      <c r="C925" s="309"/>
      <c r="I925" s="309"/>
      <c r="J925" s="309"/>
    </row>
    <row r="926">
      <c r="B926" s="309"/>
      <c r="C926" s="309"/>
      <c r="I926" s="309"/>
      <c r="J926" s="309"/>
    </row>
    <row r="927">
      <c r="B927" s="309"/>
      <c r="C927" s="309"/>
      <c r="I927" s="309"/>
      <c r="J927" s="309"/>
    </row>
    <row r="928">
      <c r="B928" s="309"/>
      <c r="C928" s="309"/>
      <c r="I928" s="309"/>
      <c r="J928" s="309"/>
    </row>
    <row r="929">
      <c r="B929" s="309"/>
      <c r="C929" s="309"/>
      <c r="I929" s="309"/>
      <c r="J929" s="309"/>
    </row>
    <row r="930">
      <c r="B930" s="309"/>
      <c r="C930" s="309"/>
      <c r="I930" s="309"/>
      <c r="J930" s="309"/>
    </row>
    <row r="931">
      <c r="B931" s="309"/>
      <c r="C931" s="309"/>
      <c r="I931" s="309"/>
      <c r="J931" s="309"/>
    </row>
    <row r="932">
      <c r="B932" s="309"/>
      <c r="C932" s="309"/>
      <c r="I932" s="309"/>
      <c r="J932" s="309"/>
    </row>
    <row r="933">
      <c r="B933" s="309"/>
      <c r="C933" s="309"/>
      <c r="I933" s="309"/>
      <c r="J933" s="309"/>
    </row>
    <row r="934">
      <c r="B934" s="309"/>
      <c r="C934" s="309"/>
      <c r="I934" s="309"/>
      <c r="J934" s="309"/>
    </row>
    <row r="935">
      <c r="B935" s="309"/>
      <c r="C935" s="309"/>
      <c r="I935" s="309"/>
      <c r="J935" s="309"/>
    </row>
    <row r="936">
      <c r="B936" s="309"/>
      <c r="C936" s="309"/>
      <c r="I936" s="309"/>
      <c r="J936" s="309"/>
    </row>
    <row r="937">
      <c r="B937" s="309"/>
      <c r="C937" s="309"/>
      <c r="I937" s="309"/>
      <c r="J937" s="309"/>
    </row>
    <row r="938">
      <c r="B938" s="309"/>
      <c r="C938" s="309"/>
      <c r="I938" s="309"/>
      <c r="J938" s="309"/>
    </row>
    <row r="939">
      <c r="B939" s="309"/>
      <c r="C939" s="309"/>
      <c r="I939" s="309"/>
      <c r="J939" s="309"/>
    </row>
    <row r="940">
      <c r="B940" s="309"/>
      <c r="C940" s="309"/>
      <c r="I940" s="309"/>
      <c r="J940" s="309"/>
    </row>
    <row r="941">
      <c r="B941" s="309"/>
      <c r="C941" s="309"/>
      <c r="I941" s="309"/>
      <c r="J941" s="309"/>
    </row>
    <row r="942">
      <c r="B942" s="309"/>
      <c r="C942" s="309"/>
      <c r="I942" s="309"/>
      <c r="J942" s="309"/>
    </row>
    <row r="943">
      <c r="B943" s="309"/>
      <c r="C943" s="309"/>
      <c r="I943" s="309"/>
      <c r="J943" s="309"/>
    </row>
    <row r="944">
      <c r="B944" s="309"/>
      <c r="C944" s="309"/>
      <c r="I944" s="309"/>
      <c r="J944" s="309"/>
    </row>
    <row r="945">
      <c r="B945" s="309"/>
      <c r="C945" s="309"/>
      <c r="I945" s="309"/>
      <c r="J945" s="309"/>
    </row>
    <row r="946">
      <c r="B946" s="309"/>
      <c r="C946" s="309"/>
      <c r="I946" s="309"/>
      <c r="J946" s="309"/>
    </row>
    <row r="947">
      <c r="B947" s="309"/>
      <c r="C947" s="309"/>
      <c r="I947" s="309"/>
      <c r="J947" s="309"/>
    </row>
    <row r="948">
      <c r="B948" s="309"/>
      <c r="C948" s="309"/>
      <c r="I948" s="309"/>
      <c r="J948" s="309"/>
    </row>
    <row r="949">
      <c r="B949" s="309"/>
      <c r="C949" s="309"/>
      <c r="I949" s="309"/>
      <c r="J949" s="309"/>
    </row>
    <row r="950">
      <c r="B950" s="309"/>
      <c r="C950" s="309"/>
      <c r="I950" s="309"/>
      <c r="J950" s="309"/>
    </row>
    <row r="951">
      <c r="B951" s="309"/>
      <c r="C951" s="309"/>
      <c r="I951" s="309"/>
      <c r="J951" s="309"/>
    </row>
    <row r="952">
      <c r="B952" s="309"/>
      <c r="C952" s="309"/>
      <c r="I952" s="309"/>
      <c r="J952" s="309"/>
    </row>
    <row r="953">
      <c r="B953" s="309"/>
      <c r="C953" s="309"/>
      <c r="I953" s="309"/>
      <c r="J953" s="309"/>
    </row>
    <row r="954">
      <c r="B954" s="309"/>
      <c r="C954" s="309"/>
      <c r="I954" s="309"/>
      <c r="J954" s="309"/>
    </row>
    <row r="955">
      <c r="B955" s="309"/>
      <c r="C955" s="309"/>
      <c r="I955" s="309"/>
      <c r="J955" s="309"/>
    </row>
    <row r="956">
      <c r="B956" s="309"/>
      <c r="C956" s="309"/>
      <c r="I956" s="309"/>
      <c r="J956" s="309"/>
    </row>
    <row r="957">
      <c r="B957" s="309"/>
      <c r="C957" s="309"/>
      <c r="I957" s="309"/>
      <c r="J957" s="309"/>
    </row>
    <row r="958">
      <c r="B958" s="309"/>
      <c r="C958" s="309"/>
      <c r="I958" s="309"/>
      <c r="J958" s="309"/>
    </row>
    <row r="959">
      <c r="B959" s="309"/>
      <c r="C959" s="309"/>
      <c r="I959" s="309"/>
      <c r="J959" s="309"/>
    </row>
    <row r="960">
      <c r="B960" s="309"/>
      <c r="C960" s="309"/>
      <c r="I960" s="309"/>
      <c r="J960" s="309"/>
    </row>
    <row r="961">
      <c r="B961" s="309"/>
      <c r="C961" s="309"/>
      <c r="I961" s="309"/>
      <c r="J961" s="309"/>
    </row>
    <row r="962">
      <c r="B962" s="309"/>
      <c r="C962" s="309"/>
      <c r="I962" s="309"/>
      <c r="J962" s="309"/>
    </row>
    <row r="963">
      <c r="B963" s="309"/>
      <c r="C963" s="309"/>
      <c r="I963" s="309"/>
      <c r="J963" s="309"/>
    </row>
    <row r="964">
      <c r="B964" s="309"/>
      <c r="C964" s="309"/>
      <c r="I964" s="309"/>
      <c r="J964" s="309"/>
    </row>
    <row r="965">
      <c r="B965" s="309"/>
      <c r="C965" s="309"/>
      <c r="I965" s="309"/>
      <c r="J965" s="309"/>
    </row>
    <row r="966">
      <c r="B966" s="309"/>
      <c r="C966" s="309"/>
      <c r="I966" s="309"/>
      <c r="J966" s="309"/>
    </row>
    <row r="967">
      <c r="B967" s="309"/>
      <c r="C967" s="309"/>
      <c r="I967" s="309"/>
      <c r="J967" s="309"/>
    </row>
    <row r="968">
      <c r="B968" s="309"/>
      <c r="C968" s="309"/>
      <c r="I968" s="309"/>
      <c r="J968" s="309"/>
    </row>
    <row r="969">
      <c r="B969" s="309"/>
      <c r="C969" s="309"/>
      <c r="I969" s="309"/>
      <c r="J969" s="309"/>
    </row>
    <row r="970">
      <c r="B970" s="309"/>
      <c r="C970" s="309"/>
      <c r="I970" s="309"/>
      <c r="J970" s="309"/>
    </row>
    <row r="971">
      <c r="B971" s="309"/>
      <c r="C971" s="309"/>
      <c r="I971" s="309"/>
      <c r="J971" s="309"/>
    </row>
    <row r="972">
      <c r="B972" s="309"/>
      <c r="C972" s="309"/>
      <c r="I972" s="309"/>
      <c r="J972" s="309"/>
    </row>
    <row r="973">
      <c r="B973" s="309"/>
      <c r="C973" s="309"/>
      <c r="I973" s="309"/>
      <c r="J973" s="309"/>
    </row>
    <row r="974">
      <c r="B974" s="309"/>
      <c r="C974" s="309"/>
      <c r="I974" s="309"/>
      <c r="J974" s="309"/>
    </row>
    <row r="975">
      <c r="B975" s="309"/>
      <c r="C975" s="309"/>
      <c r="I975" s="309"/>
      <c r="J975" s="309"/>
    </row>
    <row r="976">
      <c r="B976" s="309"/>
      <c r="C976" s="309"/>
      <c r="I976" s="309"/>
      <c r="J976" s="309"/>
    </row>
    <row r="977">
      <c r="B977" s="309"/>
      <c r="C977" s="309"/>
      <c r="I977" s="309"/>
      <c r="J977" s="309"/>
    </row>
    <row r="978">
      <c r="B978" s="309"/>
      <c r="C978" s="309"/>
      <c r="I978" s="309"/>
      <c r="J978" s="309"/>
    </row>
    <row r="979">
      <c r="B979" s="309"/>
      <c r="C979" s="309"/>
      <c r="I979" s="309"/>
      <c r="J979" s="309"/>
    </row>
    <row r="980">
      <c r="B980" s="309"/>
      <c r="C980" s="309"/>
      <c r="I980" s="309"/>
      <c r="J980" s="309"/>
    </row>
    <row r="981">
      <c r="B981" s="309"/>
      <c r="C981" s="309"/>
      <c r="I981" s="309"/>
      <c r="J981" s="309"/>
    </row>
    <row r="982">
      <c r="B982" s="309"/>
      <c r="C982" s="309"/>
      <c r="I982" s="309"/>
      <c r="J982" s="309"/>
    </row>
    <row r="983">
      <c r="B983" s="309"/>
      <c r="C983" s="309"/>
      <c r="I983" s="309"/>
      <c r="J983" s="309"/>
    </row>
    <row r="984">
      <c r="B984" s="309"/>
      <c r="C984" s="309"/>
      <c r="I984" s="309"/>
      <c r="J984" s="309"/>
    </row>
    <row r="985">
      <c r="B985" s="309"/>
      <c r="C985" s="309"/>
      <c r="I985" s="309"/>
      <c r="J985" s="309"/>
    </row>
    <row r="986">
      <c r="B986" s="309"/>
      <c r="C986" s="309"/>
      <c r="I986" s="309"/>
      <c r="J986" s="309"/>
    </row>
    <row r="987">
      <c r="B987" s="309"/>
      <c r="C987" s="309"/>
      <c r="I987" s="309"/>
      <c r="J987" s="309"/>
    </row>
    <row r="988">
      <c r="B988" s="309"/>
      <c r="C988" s="309"/>
      <c r="I988" s="309"/>
      <c r="J988" s="309"/>
    </row>
    <row r="989">
      <c r="B989" s="309"/>
      <c r="C989" s="309"/>
      <c r="I989" s="309"/>
      <c r="J989" s="309"/>
    </row>
    <row r="990">
      <c r="B990" s="309"/>
      <c r="C990" s="309"/>
      <c r="I990" s="309"/>
      <c r="J990" s="309"/>
    </row>
    <row r="991">
      <c r="B991" s="309"/>
      <c r="C991" s="309"/>
      <c r="I991" s="309"/>
      <c r="J991" s="309"/>
    </row>
    <row r="992">
      <c r="B992" s="309"/>
      <c r="C992" s="309"/>
      <c r="I992" s="309"/>
      <c r="J992" s="309"/>
    </row>
    <row r="993">
      <c r="B993" s="309"/>
      <c r="C993" s="309"/>
      <c r="I993" s="309"/>
      <c r="J993" s="309"/>
    </row>
    <row r="994">
      <c r="B994" s="309"/>
      <c r="C994" s="309"/>
      <c r="I994" s="309"/>
      <c r="J994" s="309"/>
    </row>
    <row r="995">
      <c r="B995" s="309"/>
      <c r="C995" s="309"/>
      <c r="I995" s="309"/>
      <c r="J995" s="309"/>
    </row>
    <row r="996">
      <c r="B996" s="309"/>
      <c r="C996" s="309"/>
      <c r="I996" s="309"/>
      <c r="J996" s="309"/>
    </row>
    <row r="997">
      <c r="B997" s="309"/>
      <c r="C997" s="309"/>
      <c r="I997" s="309"/>
      <c r="J997" s="309"/>
    </row>
    <row r="998">
      <c r="B998" s="309"/>
      <c r="C998" s="309"/>
      <c r="I998" s="309"/>
      <c r="J998" s="309"/>
    </row>
    <row r="999">
      <c r="B999" s="309"/>
      <c r="C999" s="309"/>
      <c r="I999" s="309"/>
      <c r="J999" s="309"/>
    </row>
    <row r="1000">
      <c r="B1000" s="309"/>
      <c r="C1000" s="309"/>
      <c r="I1000" s="309"/>
      <c r="J1000" s="309"/>
    </row>
    <row r="1001">
      <c r="B1001" s="309"/>
      <c r="C1001" s="309"/>
      <c r="I1001" s="309"/>
      <c r="J1001" s="309"/>
    </row>
    <row r="1002">
      <c r="B1002" s="309"/>
      <c r="C1002" s="309"/>
      <c r="I1002" s="309"/>
      <c r="J1002" s="309"/>
    </row>
    <row r="1003">
      <c r="B1003" s="309"/>
      <c r="C1003" s="309"/>
      <c r="I1003" s="309"/>
      <c r="J1003" s="309"/>
    </row>
    <row r="1004">
      <c r="B1004" s="309"/>
      <c r="C1004" s="309"/>
      <c r="I1004" s="309"/>
      <c r="J1004" s="309"/>
    </row>
    <row r="1005">
      <c r="B1005" s="309"/>
      <c r="C1005" s="309"/>
      <c r="I1005" s="309"/>
      <c r="J1005" s="309"/>
    </row>
    <row r="1006">
      <c r="B1006" s="309"/>
      <c r="C1006" s="309"/>
      <c r="I1006" s="309"/>
      <c r="J1006" s="309"/>
    </row>
    <row r="1007">
      <c r="B1007" s="309"/>
      <c r="C1007" s="309"/>
      <c r="I1007" s="309"/>
      <c r="J1007" s="309"/>
    </row>
    <row r="1008">
      <c r="B1008" s="309"/>
      <c r="C1008" s="309"/>
      <c r="I1008" s="309"/>
      <c r="J1008" s="309"/>
    </row>
    <row r="1009">
      <c r="B1009" s="309"/>
      <c r="C1009" s="309"/>
      <c r="I1009" s="309"/>
      <c r="J1009" s="309"/>
    </row>
    <row r="1010">
      <c r="B1010" s="309"/>
      <c r="C1010" s="309"/>
      <c r="I1010" s="309"/>
      <c r="J1010" s="309"/>
    </row>
    <row r="1011">
      <c r="B1011" s="309"/>
      <c r="C1011" s="309"/>
      <c r="I1011" s="309"/>
      <c r="J1011" s="309"/>
    </row>
    <row r="1012">
      <c r="B1012" s="309"/>
      <c r="C1012" s="309"/>
      <c r="I1012" s="309"/>
      <c r="J1012" s="309"/>
    </row>
    <row r="1013">
      <c r="B1013" s="309"/>
      <c r="C1013" s="309"/>
      <c r="I1013" s="309"/>
      <c r="J1013" s="309"/>
    </row>
    <row r="1014">
      <c r="B1014" s="309"/>
      <c r="C1014" s="309"/>
      <c r="I1014" s="309"/>
      <c r="J1014" s="309"/>
    </row>
    <row r="1015">
      <c r="B1015" s="309"/>
      <c r="C1015" s="309"/>
      <c r="I1015" s="309"/>
      <c r="J1015" s="309"/>
    </row>
    <row r="1016">
      <c r="B1016" s="309"/>
      <c r="C1016" s="309"/>
      <c r="I1016" s="309"/>
      <c r="J1016" s="309"/>
    </row>
    <row r="1017">
      <c r="B1017" s="309"/>
      <c r="C1017" s="309"/>
      <c r="I1017" s="309"/>
      <c r="J1017" s="309"/>
    </row>
    <row r="1018">
      <c r="B1018" s="309"/>
      <c r="C1018" s="309"/>
      <c r="I1018" s="309"/>
      <c r="J1018" s="309"/>
    </row>
    <row r="1019">
      <c r="B1019" s="309"/>
      <c r="C1019" s="309"/>
      <c r="I1019" s="309"/>
      <c r="J1019" s="309"/>
    </row>
    <row r="1020">
      <c r="B1020" s="309"/>
      <c r="C1020" s="309"/>
      <c r="I1020" s="309"/>
      <c r="J1020" s="309"/>
    </row>
    <row r="1021">
      <c r="B1021" s="309"/>
      <c r="C1021" s="309"/>
      <c r="I1021" s="309"/>
      <c r="J1021" s="309"/>
    </row>
    <row r="1022">
      <c r="B1022" s="309"/>
      <c r="C1022" s="309"/>
      <c r="I1022" s="309"/>
      <c r="J1022" s="309"/>
    </row>
    <row r="1023">
      <c r="B1023" s="309"/>
      <c r="C1023" s="309"/>
      <c r="I1023" s="309"/>
      <c r="J1023" s="309"/>
    </row>
    <row r="1024">
      <c r="B1024" s="309"/>
      <c r="C1024" s="309"/>
      <c r="I1024" s="309"/>
      <c r="J1024" s="309"/>
    </row>
    <row r="1025">
      <c r="B1025" s="309"/>
      <c r="C1025" s="309"/>
      <c r="I1025" s="309"/>
      <c r="J1025" s="309"/>
    </row>
    <row r="1026">
      <c r="B1026" s="309"/>
      <c r="C1026" s="309"/>
      <c r="I1026" s="309"/>
      <c r="J1026" s="309"/>
    </row>
    <row r="1027">
      <c r="B1027" s="309"/>
      <c r="C1027" s="309"/>
      <c r="I1027" s="309"/>
      <c r="J1027" s="309"/>
    </row>
    <row r="1028">
      <c r="B1028" s="309"/>
      <c r="C1028" s="309"/>
      <c r="I1028" s="309"/>
      <c r="J1028" s="309"/>
    </row>
    <row r="1029">
      <c r="B1029" s="309"/>
      <c r="C1029" s="309"/>
      <c r="I1029" s="309"/>
      <c r="J1029" s="309"/>
    </row>
    <row r="1030">
      <c r="B1030" s="309"/>
      <c r="C1030" s="309"/>
      <c r="I1030" s="309"/>
      <c r="J1030" s="309"/>
    </row>
    <row r="1031">
      <c r="B1031" s="309"/>
      <c r="C1031" s="309"/>
      <c r="I1031" s="309"/>
      <c r="J1031" s="309"/>
    </row>
    <row r="1032">
      <c r="B1032" s="309"/>
      <c r="C1032" s="309"/>
      <c r="I1032" s="309"/>
      <c r="J1032" s="309"/>
    </row>
    <row r="1033">
      <c r="B1033" s="309"/>
      <c r="C1033" s="309"/>
      <c r="I1033" s="309"/>
      <c r="J1033" s="309"/>
    </row>
    <row r="1034">
      <c r="B1034" s="309"/>
      <c r="C1034" s="309"/>
      <c r="I1034" s="309"/>
      <c r="J1034" s="309"/>
    </row>
    <row r="1035">
      <c r="B1035" s="309"/>
      <c r="C1035" s="309"/>
      <c r="I1035" s="309"/>
      <c r="J1035" s="309"/>
    </row>
    <row r="1036">
      <c r="B1036" s="309"/>
      <c r="C1036" s="309"/>
      <c r="I1036" s="309"/>
      <c r="J1036" s="309"/>
    </row>
    <row r="1037">
      <c r="B1037" s="309"/>
      <c r="C1037" s="309"/>
      <c r="I1037" s="309"/>
      <c r="J1037" s="309"/>
    </row>
    <row r="1038">
      <c r="B1038" s="309"/>
      <c r="C1038" s="309"/>
      <c r="I1038" s="309"/>
      <c r="J1038" s="309"/>
    </row>
    <row r="1039">
      <c r="B1039" s="309"/>
      <c r="C1039" s="309"/>
      <c r="I1039" s="309"/>
      <c r="J1039" s="309"/>
    </row>
    <row r="1040">
      <c r="B1040" s="309"/>
      <c r="C1040" s="309"/>
      <c r="I1040" s="309"/>
      <c r="J1040" s="309"/>
    </row>
    <row r="1041">
      <c r="B1041" s="309"/>
      <c r="C1041" s="309"/>
      <c r="I1041" s="309"/>
      <c r="J1041" s="309"/>
    </row>
    <row r="1042">
      <c r="B1042" s="309"/>
      <c r="C1042" s="309"/>
      <c r="I1042" s="309"/>
      <c r="J1042" s="309"/>
    </row>
    <row r="1043">
      <c r="B1043" s="309"/>
      <c r="C1043" s="309"/>
      <c r="I1043" s="309"/>
      <c r="J1043" s="309"/>
    </row>
    <row r="1044">
      <c r="B1044" s="309"/>
      <c r="C1044" s="309"/>
      <c r="I1044" s="309"/>
      <c r="J1044" s="309"/>
    </row>
    <row r="1045">
      <c r="B1045" s="309"/>
      <c r="C1045" s="309"/>
      <c r="I1045" s="309"/>
      <c r="J1045" s="309"/>
    </row>
    <row r="1046">
      <c r="B1046" s="309"/>
      <c r="C1046" s="309"/>
      <c r="I1046" s="309"/>
      <c r="J1046" s="309"/>
    </row>
    <row r="1047">
      <c r="B1047" s="309"/>
      <c r="C1047" s="309"/>
      <c r="I1047" s="309"/>
      <c r="J1047" s="309"/>
    </row>
    <row r="1048">
      <c r="B1048" s="309"/>
      <c r="C1048" s="309"/>
      <c r="I1048" s="309"/>
      <c r="J1048" s="309"/>
    </row>
    <row r="1049">
      <c r="B1049" s="309"/>
      <c r="C1049" s="309"/>
      <c r="I1049" s="309"/>
      <c r="J1049" s="309"/>
    </row>
    <row r="1050">
      <c r="B1050" s="309"/>
      <c r="C1050" s="309"/>
      <c r="I1050" s="309"/>
      <c r="J1050" s="309"/>
    </row>
    <row r="1051">
      <c r="B1051" s="309"/>
      <c r="C1051" s="309"/>
      <c r="I1051" s="309"/>
      <c r="J1051" s="309"/>
    </row>
    <row r="1052">
      <c r="B1052" s="309"/>
      <c r="C1052" s="309"/>
      <c r="I1052" s="309"/>
      <c r="J1052" s="309"/>
    </row>
    <row r="1053">
      <c r="B1053" s="309"/>
      <c r="C1053" s="309"/>
      <c r="I1053" s="309"/>
      <c r="J1053" s="309"/>
    </row>
    <row r="1054">
      <c r="B1054" s="309"/>
      <c r="C1054" s="309"/>
      <c r="I1054" s="309"/>
      <c r="J1054" s="309"/>
    </row>
    <row r="1055">
      <c r="B1055" s="309"/>
      <c r="C1055" s="309"/>
      <c r="I1055" s="309"/>
      <c r="J1055" s="309"/>
    </row>
    <row r="1056">
      <c r="B1056" s="309"/>
      <c r="C1056" s="309"/>
      <c r="I1056" s="309"/>
      <c r="J1056" s="309"/>
    </row>
    <row r="1057">
      <c r="B1057" s="309"/>
      <c r="C1057" s="309"/>
      <c r="I1057" s="309"/>
      <c r="J1057" s="309"/>
    </row>
    <row r="1058">
      <c r="B1058" s="309"/>
      <c r="C1058" s="309"/>
      <c r="I1058" s="309"/>
      <c r="J1058" s="309"/>
    </row>
    <row r="1059">
      <c r="B1059" s="309"/>
      <c r="C1059" s="309"/>
      <c r="I1059" s="309"/>
      <c r="J1059" s="309"/>
    </row>
    <row r="1060">
      <c r="B1060" s="309"/>
      <c r="C1060" s="309"/>
      <c r="I1060" s="309"/>
      <c r="J1060" s="309"/>
    </row>
    <row r="1061">
      <c r="B1061" s="309"/>
      <c r="C1061" s="309"/>
      <c r="I1061" s="309"/>
      <c r="J1061" s="309"/>
    </row>
    <row r="1062">
      <c r="B1062" s="309"/>
      <c r="C1062" s="309"/>
      <c r="I1062" s="309"/>
      <c r="J1062" s="309"/>
    </row>
    <row r="1063">
      <c r="B1063" s="309"/>
      <c r="C1063" s="309"/>
      <c r="I1063" s="309"/>
      <c r="J1063" s="309"/>
    </row>
    <row r="1064">
      <c r="B1064" s="309"/>
      <c r="C1064" s="309"/>
      <c r="I1064" s="309"/>
      <c r="J1064" s="309"/>
    </row>
    <row r="1065">
      <c r="B1065" s="309"/>
      <c r="C1065" s="309"/>
      <c r="I1065" s="309"/>
      <c r="J1065" s="309"/>
    </row>
    <row r="1066">
      <c r="B1066" s="309"/>
      <c r="C1066" s="309"/>
      <c r="I1066" s="309"/>
      <c r="J1066" s="309"/>
    </row>
    <row r="1067">
      <c r="B1067" s="309"/>
      <c r="C1067" s="309"/>
      <c r="I1067" s="309"/>
      <c r="J1067" s="309"/>
    </row>
    <row r="1068">
      <c r="B1068" s="309"/>
      <c r="C1068" s="309"/>
      <c r="I1068" s="309"/>
      <c r="J1068" s="309"/>
    </row>
    <row r="1069">
      <c r="B1069" s="309"/>
      <c r="C1069" s="309"/>
      <c r="I1069" s="309"/>
      <c r="J1069" s="309"/>
    </row>
    <row r="1070">
      <c r="B1070" s="309"/>
      <c r="C1070" s="309"/>
      <c r="I1070" s="309"/>
      <c r="J1070" s="309"/>
    </row>
    <row r="1071">
      <c r="B1071" s="309"/>
      <c r="C1071" s="309"/>
      <c r="I1071" s="309"/>
      <c r="J1071" s="309"/>
    </row>
    <row r="1072">
      <c r="B1072" s="309"/>
      <c r="C1072" s="309"/>
      <c r="I1072" s="309"/>
      <c r="J1072" s="309"/>
    </row>
    <row r="1073">
      <c r="B1073" s="309"/>
      <c r="C1073" s="309"/>
      <c r="I1073" s="309"/>
      <c r="J1073" s="309"/>
    </row>
    <row r="1074">
      <c r="B1074" s="309"/>
      <c r="C1074" s="309"/>
      <c r="I1074" s="309"/>
      <c r="J1074" s="309"/>
    </row>
    <row r="1075">
      <c r="B1075" s="309"/>
      <c r="C1075" s="309"/>
      <c r="I1075" s="309"/>
      <c r="J1075" s="309"/>
    </row>
    <row r="1076">
      <c r="B1076" s="309"/>
      <c r="C1076" s="309"/>
      <c r="I1076" s="309"/>
      <c r="J1076" s="309"/>
    </row>
    <row r="1077">
      <c r="B1077" s="309"/>
      <c r="C1077" s="309"/>
      <c r="I1077" s="309"/>
      <c r="J1077" s="309"/>
    </row>
    <row r="1078">
      <c r="B1078" s="309"/>
      <c r="C1078" s="309"/>
      <c r="I1078" s="309"/>
      <c r="J1078" s="309"/>
    </row>
    <row r="1079">
      <c r="B1079" s="309"/>
      <c r="C1079" s="309"/>
      <c r="I1079" s="309"/>
      <c r="J1079" s="309"/>
    </row>
    <row r="1080">
      <c r="B1080" s="309"/>
      <c r="C1080" s="309"/>
      <c r="I1080" s="309"/>
      <c r="J1080" s="309"/>
    </row>
    <row r="1081">
      <c r="B1081" s="309"/>
      <c r="C1081" s="309"/>
      <c r="I1081" s="309"/>
      <c r="J1081" s="309"/>
    </row>
    <row r="1082">
      <c r="B1082" s="309"/>
      <c r="C1082" s="309"/>
      <c r="I1082" s="309"/>
      <c r="J1082" s="309"/>
    </row>
    <row r="1083">
      <c r="B1083" s="309"/>
      <c r="C1083" s="309"/>
      <c r="I1083" s="309"/>
      <c r="J1083" s="309"/>
    </row>
    <row r="1084">
      <c r="B1084" s="309"/>
      <c r="C1084" s="309"/>
      <c r="I1084" s="309"/>
      <c r="J1084" s="309"/>
    </row>
    <row r="1085">
      <c r="B1085" s="309"/>
      <c r="C1085" s="309"/>
      <c r="I1085" s="309"/>
      <c r="J1085" s="309"/>
    </row>
    <row r="1086">
      <c r="B1086" s="309"/>
      <c r="C1086" s="309"/>
      <c r="I1086" s="309"/>
      <c r="J1086" s="309"/>
    </row>
    <row r="1087">
      <c r="B1087" s="309"/>
      <c r="C1087" s="309"/>
      <c r="I1087" s="309"/>
      <c r="J1087" s="309"/>
    </row>
    <row r="1088">
      <c r="B1088" s="309"/>
      <c r="C1088" s="309"/>
      <c r="I1088" s="309"/>
      <c r="J1088" s="309"/>
    </row>
    <row r="1089">
      <c r="B1089" s="309"/>
      <c r="C1089" s="309"/>
      <c r="I1089" s="309"/>
      <c r="J1089" s="309"/>
    </row>
    <row r="1090">
      <c r="B1090" s="309"/>
      <c r="C1090" s="309"/>
      <c r="I1090" s="309"/>
      <c r="J1090" s="309"/>
    </row>
    <row r="1091">
      <c r="B1091" s="309"/>
      <c r="C1091" s="309"/>
      <c r="I1091" s="309"/>
      <c r="J1091" s="309"/>
    </row>
    <row r="1092">
      <c r="B1092" s="309"/>
      <c r="C1092" s="309"/>
      <c r="I1092" s="309"/>
      <c r="J1092" s="309"/>
    </row>
    <row r="1093">
      <c r="B1093" s="309"/>
      <c r="C1093" s="309"/>
      <c r="I1093" s="309"/>
      <c r="J1093" s="309"/>
    </row>
    <row r="1094">
      <c r="B1094" s="309"/>
      <c r="C1094" s="309"/>
      <c r="I1094" s="309"/>
      <c r="J1094" s="309"/>
    </row>
    <row r="1095">
      <c r="B1095" s="309"/>
      <c r="C1095" s="309"/>
      <c r="I1095" s="309"/>
      <c r="J1095" s="309"/>
    </row>
    <row r="1096">
      <c r="B1096" s="309"/>
      <c r="C1096" s="309"/>
      <c r="I1096" s="309"/>
      <c r="J1096" s="309"/>
    </row>
    <row r="1097">
      <c r="B1097" s="309"/>
      <c r="C1097" s="309"/>
      <c r="I1097" s="309"/>
      <c r="J1097" s="309"/>
    </row>
    <row r="1098">
      <c r="B1098" s="309"/>
      <c r="C1098" s="309"/>
      <c r="I1098" s="309"/>
      <c r="J1098" s="309"/>
    </row>
    <row r="1099">
      <c r="B1099" s="309"/>
      <c r="C1099" s="309"/>
      <c r="I1099" s="309"/>
      <c r="J1099" s="309"/>
    </row>
    <row r="1100">
      <c r="B1100" s="309"/>
      <c r="C1100" s="309"/>
      <c r="I1100" s="309"/>
      <c r="J1100" s="309"/>
    </row>
    <row r="1101">
      <c r="B1101" s="309"/>
      <c r="C1101" s="309"/>
      <c r="I1101" s="309"/>
      <c r="J1101" s="309"/>
    </row>
    <row r="1102">
      <c r="B1102" s="309"/>
      <c r="C1102" s="309"/>
      <c r="I1102" s="309"/>
      <c r="J1102" s="309"/>
    </row>
    <row r="1103">
      <c r="B1103" s="309"/>
      <c r="C1103" s="309"/>
      <c r="I1103" s="309"/>
      <c r="J1103" s="309"/>
    </row>
    <row r="1104">
      <c r="B1104" s="309"/>
      <c r="C1104" s="309"/>
      <c r="I1104" s="309"/>
      <c r="J1104" s="309"/>
    </row>
    <row r="1105">
      <c r="B1105" s="309"/>
      <c r="C1105" s="309"/>
      <c r="I1105" s="309"/>
      <c r="J1105" s="309"/>
    </row>
    <row r="1106">
      <c r="B1106" s="309"/>
      <c r="C1106" s="309"/>
      <c r="I1106" s="309"/>
      <c r="J1106" s="309"/>
    </row>
    <row r="1107">
      <c r="B1107" s="309"/>
      <c r="C1107" s="309"/>
      <c r="I1107" s="309"/>
      <c r="J1107" s="309"/>
    </row>
    <row r="1108">
      <c r="B1108" s="309"/>
      <c r="C1108" s="309"/>
      <c r="I1108" s="309"/>
      <c r="J1108" s="309"/>
    </row>
    <row r="1109">
      <c r="B1109" s="309"/>
      <c r="C1109" s="309"/>
      <c r="I1109" s="309"/>
      <c r="J1109" s="309"/>
    </row>
    <row r="1110">
      <c r="B1110" s="309"/>
      <c r="C1110" s="309"/>
      <c r="I1110" s="309"/>
      <c r="J1110" s="309"/>
    </row>
    <row r="1111">
      <c r="B1111" s="309"/>
      <c r="C1111" s="309"/>
      <c r="I1111" s="309"/>
      <c r="J1111" s="309"/>
    </row>
    <row r="1112">
      <c r="B1112" s="309"/>
      <c r="C1112" s="309"/>
      <c r="I1112" s="309"/>
      <c r="J1112" s="309"/>
    </row>
    <row r="1113">
      <c r="B1113" s="309"/>
      <c r="C1113" s="309"/>
      <c r="I1113" s="309"/>
      <c r="J1113" s="309"/>
    </row>
    <row r="1114">
      <c r="B1114" s="309"/>
      <c r="C1114" s="309"/>
      <c r="I1114" s="309"/>
      <c r="J1114" s="309"/>
    </row>
    <row r="1115">
      <c r="B1115" s="309"/>
      <c r="C1115" s="309"/>
      <c r="I1115" s="309"/>
      <c r="J1115" s="309"/>
    </row>
    <row r="1116">
      <c r="B1116" s="309"/>
      <c r="C1116" s="309"/>
      <c r="I1116" s="309"/>
      <c r="J1116" s="309"/>
    </row>
    <row r="1117">
      <c r="B1117" s="309"/>
      <c r="C1117" s="309"/>
      <c r="I1117" s="309"/>
      <c r="J1117" s="309"/>
    </row>
    <row r="1118">
      <c r="B1118" s="309"/>
      <c r="C1118" s="309"/>
      <c r="I1118" s="309"/>
      <c r="J1118" s="309"/>
    </row>
    <row r="1119">
      <c r="B1119" s="309"/>
      <c r="C1119" s="309"/>
      <c r="I1119" s="309"/>
      <c r="J1119" s="309"/>
    </row>
    <row r="1120">
      <c r="B1120" s="309"/>
      <c r="C1120" s="309"/>
      <c r="I1120" s="309"/>
      <c r="J1120" s="309"/>
    </row>
    <row r="1121">
      <c r="B1121" s="309"/>
      <c r="C1121" s="309"/>
      <c r="I1121" s="309"/>
      <c r="J1121" s="309"/>
    </row>
    <row r="1122">
      <c r="B1122" s="309"/>
      <c r="C1122" s="309"/>
      <c r="I1122" s="309"/>
      <c r="J1122" s="309"/>
    </row>
    <row r="1123">
      <c r="B1123" s="309"/>
      <c r="C1123" s="309"/>
      <c r="I1123" s="309"/>
      <c r="J1123" s="309"/>
    </row>
    <row r="1124">
      <c r="B1124" s="309"/>
      <c r="C1124" s="309"/>
      <c r="I1124" s="309"/>
      <c r="J1124" s="309"/>
    </row>
    <row r="1125">
      <c r="B1125" s="309"/>
      <c r="C1125" s="309"/>
      <c r="I1125" s="309"/>
      <c r="J1125" s="309"/>
    </row>
    <row r="1126">
      <c r="B1126" s="309"/>
      <c r="C1126" s="309"/>
      <c r="I1126" s="309"/>
      <c r="J1126" s="309"/>
    </row>
    <row r="1127">
      <c r="B1127" s="309"/>
      <c r="C1127" s="309"/>
      <c r="I1127" s="309"/>
      <c r="J1127" s="309"/>
    </row>
    <row r="1128">
      <c r="B1128" s="309"/>
      <c r="C1128" s="309"/>
      <c r="I1128" s="309"/>
      <c r="J1128" s="309"/>
    </row>
    <row r="1129">
      <c r="B1129" s="309"/>
      <c r="C1129" s="309"/>
      <c r="I1129" s="309"/>
      <c r="J1129" s="309"/>
    </row>
    <row r="1130">
      <c r="B1130" s="309"/>
      <c r="C1130" s="309"/>
      <c r="I1130" s="309"/>
      <c r="J1130" s="309"/>
    </row>
    <row r="1131">
      <c r="B1131" s="309"/>
      <c r="C1131" s="309"/>
      <c r="I1131" s="309"/>
      <c r="J1131" s="309"/>
    </row>
    <row r="1132">
      <c r="B1132" s="309"/>
      <c r="C1132" s="309"/>
      <c r="I1132" s="309"/>
      <c r="J1132" s="309"/>
    </row>
    <row r="1133">
      <c r="B1133" s="309"/>
      <c r="C1133" s="309"/>
      <c r="I1133" s="309"/>
      <c r="J1133" s="309"/>
    </row>
    <row r="1134">
      <c r="B1134" s="309"/>
      <c r="C1134" s="309"/>
      <c r="I1134" s="309"/>
      <c r="J1134" s="309"/>
    </row>
    <row r="1135">
      <c r="B1135" s="309"/>
      <c r="C1135" s="309"/>
      <c r="I1135" s="309"/>
      <c r="J1135" s="309"/>
    </row>
    <row r="1136">
      <c r="B1136" s="309"/>
      <c r="C1136" s="309"/>
      <c r="I1136" s="309"/>
      <c r="J1136" s="309"/>
    </row>
    <row r="1137">
      <c r="B1137" s="309"/>
      <c r="C1137" s="309"/>
      <c r="I1137" s="309"/>
      <c r="J1137" s="309"/>
    </row>
    <row r="1138">
      <c r="B1138" s="309"/>
      <c r="C1138" s="309"/>
      <c r="I1138" s="309"/>
      <c r="J1138" s="309"/>
    </row>
    <row r="1139">
      <c r="B1139" s="309"/>
      <c r="C1139" s="309"/>
      <c r="I1139" s="309"/>
      <c r="J1139" s="309"/>
    </row>
    <row r="1140">
      <c r="B1140" s="309"/>
      <c r="C1140" s="309"/>
      <c r="I1140" s="309"/>
      <c r="J1140" s="309"/>
    </row>
    <row r="1141">
      <c r="B1141" s="309"/>
      <c r="C1141" s="309"/>
      <c r="I1141" s="309"/>
      <c r="J1141" s="309"/>
    </row>
    <row r="1142">
      <c r="B1142" s="309"/>
      <c r="C1142" s="309"/>
      <c r="I1142" s="309"/>
      <c r="J1142" s="309"/>
    </row>
    <row r="1143">
      <c r="B1143" s="309"/>
      <c r="C1143" s="309"/>
      <c r="I1143" s="309"/>
      <c r="J1143" s="309"/>
    </row>
    <row r="1144">
      <c r="B1144" s="309"/>
      <c r="C1144" s="309"/>
      <c r="I1144" s="309"/>
      <c r="J1144" s="309"/>
    </row>
    <row r="1145">
      <c r="B1145" s="309"/>
      <c r="C1145" s="309"/>
      <c r="I1145" s="309"/>
      <c r="J1145" s="309"/>
    </row>
    <row r="1146">
      <c r="B1146" s="309"/>
      <c r="C1146" s="309"/>
      <c r="I1146" s="309"/>
      <c r="J1146" s="309"/>
    </row>
    <row r="1147">
      <c r="B1147" s="309"/>
      <c r="C1147" s="309"/>
      <c r="I1147" s="309"/>
      <c r="J1147" s="309"/>
    </row>
    <row r="1148">
      <c r="B1148" s="309"/>
      <c r="C1148" s="309"/>
      <c r="I1148" s="309"/>
      <c r="J1148" s="309"/>
    </row>
    <row r="1149">
      <c r="B1149" s="309"/>
      <c r="C1149" s="309"/>
      <c r="I1149" s="309"/>
      <c r="J1149" s="309"/>
    </row>
    <row r="1150">
      <c r="B1150" s="309"/>
      <c r="C1150" s="309"/>
      <c r="I1150" s="309"/>
      <c r="J1150" s="309"/>
    </row>
    <row r="1151">
      <c r="B1151" s="309"/>
      <c r="C1151" s="309"/>
      <c r="I1151" s="309"/>
      <c r="J1151" s="309"/>
    </row>
    <row r="1152">
      <c r="B1152" s="309"/>
      <c r="C1152" s="309"/>
      <c r="I1152" s="309"/>
      <c r="J1152" s="309"/>
    </row>
    <row r="1153">
      <c r="B1153" s="309"/>
      <c r="C1153" s="309"/>
      <c r="I1153" s="309"/>
      <c r="J1153" s="309"/>
    </row>
    <row r="1154">
      <c r="B1154" s="309"/>
      <c r="C1154" s="309"/>
      <c r="I1154" s="309"/>
      <c r="J1154" s="309"/>
    </row>
    <row r="1155">
      <c r="B1155" s="309"/>
      <c r="C1155" s="309"/>
      <c r="I1155" s="309"/>
      <c r="J1155" s="309"/>
    </row>
    <row r="1156">
      <c r="B1156" s="309"/>
      <c r="C1156" s="309"/>
      <c r="I1156" s="309"/>
      <c r="J1156" s="309"/>
    </row>
    <row r="1157">
      <c r="B1157" s="309"/>
      <c r="C1157" s="309"/>
      <c r="I1157" s="309"/>
      <c r="J1157" s="309"/>
    </row>
    <row r="1158">
      <c r="B1158" s="309"/>
      <c r="C1158" s="309"/>
      <c r="I1158" s="309"/>
      <c r="J1158" s="309"/>
    </row>
    <row r="1159">
      <c r="B1159" s="309"/>
      <c r="C1159" s="309"/>
      <c r="I1159" s="309"/>
      <c r="J1159" s="309"/>
    </row>
    <row r="1160">
      <c r="B1160" s="309"/>
      <c r="C1160" s="309"/>
      <c r="I1160" s="309"/>
      <c r="J1160" s="309"/>
    </row>
    <row r="1161">
      <c r="B1161" s="309"/>
      <c r="C1161" s="309"/>
      <c r="I1161" s="309"/>
      <c r="J1161" s="309"/>
    </row>
    <row r="1162">
      <c r="B1162" s="309"/>
      <c r="C1162" s="309"/>
      <c r="I1162" s="309"/>
      <c r="J1162" s="309"/>
    </row>
    <row r="1163">
      <c r="B1163" s="309"/>
      <c r="C1163" s="309"/>
      <c r="I1163" s="309"/>
      <c r="J1163" s="309"/>
    </row>
    <row r="1164">
      <c r="B1164" s="309"/>
      <c r="C1164" s="309"/>
      <c r="I1164" s="309"/>
      <c r="J1164" s="309"/>
    </row>
    <row r="1165">
      <c r="B1165" s="309"/>
      <c r="C1165" s="309"/>
      <c r="I1165" s="309"/>
      <c r="J1165" s="309"/>
    </row>
    <row r="1166">
      <c r="B1166" s="309"/>
      <c r="C1166" s="309"/>
      <c r="I1166" s="309"/>
      <c r="J1166" s="309"/>
    </row>
    <row r="1167">
      <c r="B1167" s="309"/>
      <c r="C1167" s="309"/>
      <c r="I1167" s="309"/>
      <c r="J1167" s="309"/>
    </row>
    <row r="1168">
      <c r="B1168" s="309"/>
      <c r="C1168" s="309"/>
      <c r="I1168" s="309"/>
      <c r="J1168" s="309"/>
    </row>
    <row r="1169">
      <c r="B1169" s="309"/>
      <c r="C1169" s="309"/>
      <c r="I1169" s="309"/>
      <c r="J1169" s="309"/>
    </row>
    <row r="1170">
      <c r="B1170" s="309"/>
      <c r="C1170" s="309"/>
      <c r="I1170" s="309"/>
      <c r="J1170" s="309"/>
    </row>
    <row r="1171">
      <c r="B1171" s="309"/>
      <c r="C1171" s="309"/>
      <c r="I1171" s="309"/>
      <c r="J1171" s="309"/>
    </row>
    <row r="1172">
      <c r="B1172" s="309"/>
      <c r="C1172" s="309"/>
      <c r="I1172" s="309"/>
      <c r="J1172" s="309"/>
    </row>
    <row r="1173">
      <c r="B1173" s="309"/>
      <c r="C1173" s="309"/>
      <c r="I1173" s="309"/>
      <c r="J1173" s="309"/>
    </row>
    <row r="1174">
      <c r="B1174" s="309"/>
      <c r="C1174" s="309"/>
      <c r="I1174" s="309"/>
      <c r="J1174" s="309"/>
    </row>
    <row r="1175">
      <c r="B1175" s="309"/>
      <c r="C1175" s="309"/>
      <c r="I1175" s="309"/>
      <c r="J1175" s="309"/>
    </row>
    <row r="1176">
      <c r="B1176" s="309"/>
      <c r="C1176" s="309"/>
      <c r="I1176" s="309"/>
      <c r="J1176" s="309"/>
    </row>
    <row r="1177">
      <c r="B1177" s="309"/>
      <c r="C1177" s="309"/>
      <c r="I1177" s="309"/>
      <c r="J1177" s="309"/>
    </row>
    <row r="1178">
      <c r="B1178" s="309"/>
      <c r="C1178" s="309"/>
      <c r="I1178" s="309"/>
      <c r="J1178" s="309"/>
    </row>
    <row r="1179">
      <c r="B1179" s="309"/>
      <c r="C1179" s="309"/>
      <c r="I1179" s="309"/>
      <c r="J1179" s="309"/>
    </row>
    <row r="1180">
      <c r="B1180" s="309"/>
      <c r="C1180" s="309"/>
      <c r="I1180" s="309"/>
      <c r="J1180" s="309"/>
    </row>
    <row r="1181">
      <c r="B1181" s="309"/>
      <c r="C1181" s="309"/>
      <c r="I1181" s="309"/>
      <c r="J1181" s="309"/>
    </row>
    <row r="1182">
      <c r="B1182" s="309"/>
      <c r="C1182" s="309"/>
      <c r="I1182" s="309"/>
      <c r="J1182" s="309"/>
    </row>
    <row r="1183">
      <c r="B1183" s="309"/>
      <c r="C1183" s="309"/>
      <c r="I1183" s="309"/>
      <c r="J1183" s="309"/>
    </row>
    <row r="1184">
      <c r="B1184" s="309"/>
      <c r="C1184" s="309"/>
      <c r="I1184" s="309"/>
      <c r="J1184" s="309"/>
    </row>
    <row r="1185">
      <c r="B1185" s="309"/>
      <c r="C1185" s="309"/>
      <c r="I1185" s="309"/>
      <c r="J1185" s="309"/>
    </row>
    <row r="1186">
      <c r="B1186" s="309"/>
      <c r="C1186" s="309"/>
      <c r="I1186" s="309"/>
      <c r="J1186" s="309"/>
    </row>
    <row r="1187">
      <c r="B1187" s="309"/>
      <c r="C1187" s="309"/>
      <c r="I1187" s="309"/>
      <c r="J1187" s="309"/>
    </row>
    <row r="1188">
      <c r="B1188" s="309"/>
      <c r="C1188" s="309"/>
      <c r="I1188" s="309"/>
      <c r="J1188" s="309"/>
    </row>
    <row r="1189">
      <c r="B1189" s="309"/>
      <c r="C1189" s="309"/>
      <c r="I1189" s="309"/>
      <c r="J1189" s="309"/>
    </row>
    <row r="1190">
      <c r="B1190" s="309"/>
      <c r="C1190" s="309"/>
      <c r="I1190" s="309"/>
      <c r="J1190" s="309"/>
    </row>
    <row r="1191">
      <c r="B1191" s="309"/>
      <c r="C1191" s="309"/>
      <c r="I1191" s="309"/>
      <c r="J1191" s="309"/>
    </row>
    <row r="1192">
      <c r="B1192" s="309"/>
      <c r="C1192" s="309"/>
      <c r="I1192" s="309"/>
      <c r="J1192" s="309"/>
    </row>
    <row r="1193">
      <c r="B1193" s="309"/>
      <c r="C1193" s="309"/>
      <c r="I1193" s="309"/>
      <c r="J1193" s="309"/>
    </row>
    <row r="1194">
      <c r="B1194" s="309"/>
      <c r="C1194" s="309"/>
      <c r="I1194" s="309"/>
      <c r="J1194" s="309"/>
    </row>
    <row r="1195">
      <c r="B1195" s="309"/>
      <c r="C1195" s="309"/>
      <c r="I1195" s="309"/>
      <c r="J1195" s="309"/>
    </row>
    <row r="1196">
      <c r="B1196" s="309"/>
      <c r="C1196" s="309"/>
      <c r="I1196" s="309"/>
      <c r="J1196" s="309"/>
    </row>
    <row r="1197">
      <c r="B1197" s="309"/>
      <c r="C1197" s="309"/>
      <c r="I1197" s="309"/>
      <c r="J1197" s="309"/>
    </row>
    <row r="1198">
      <c r="B1198" s="309"/>
      <c r="C1198" s="309"/>
      <c r="I1198" s="309"/>
      <c r="J1198" s="309"/>
    </row>
    <row r="1199">
      <c r="B1199" s="309"/>
      <c r="C1199" s="309"/>
      <c r="I1199" s="309"/>
      <c r="J1199" s="309"/>
    </row>
    <row r="1200">
      <c r="B1200" s="309"/>
      <c r="C1200" s="309"/>
      <c r="I1200" s="309"/>
      <c r="J1200" s="309"/>
    </row>
    <row r="1201">
      <c r="B1201" s="309"/>
      <c r="C1201" s="309"/>
      <c r="I1201" s="309"/>
      <c r="J1201" s="309"/>
    </row>
    <row r="1202">
      <c r="B1202" s="309"/>
      <c r="C1202" s="309"/>
      <c r="I1202" s="309"/>
      <c r="J1202" s="309"/>
    </row>
    <row r="1203">
      <c r="B1203" s="309"/>
      <c r="C1203" s="309"/>
      <c r="I1203" s="309"/>
      <c r="J1203" s="309"/>
    </row>
    <row r="1204">
      <c r="B1204" s="309"/>
      <c r="C1204" s="309"/>
      <c r="I1204" s="309"/>
      <c r="J1204" s="309"/>
    </row>
    <row r="1205">
      <c r="B1205" s="309"/>
      <c r="C1205" s="309"/>
      <c r="I1205" s="309"/>
      <c r="J1205" s="309"/>
    </row>
    <row r="1206">
      <c r="B1206" s="309"/>
      <c r="C1206" s="309"/>
      <c r="I1206" s="309"/>
      <c r="J1206" s="309"/>
    </row>
    <row r="1207">
      <c r="B1207" s="309"/>
      <c r="C1207" s="309"/>
      <c r="I1207" s="309"/>
      <c r="J1207" s="309"/>
    </row>
    <row r="1208">
      <c r="B1208" s="309"/>
      <c r="C1208" s="309"/>
      <c r="I1208" s="309"/>
      <c r="J1208" s="309"/>
    </row>
    <row r="1209">
      <c r="B1209" s="309"/>
      <c r="C1209" s="309"/>
      <c r="I1209" s="309"/>
      <c r="J1209" s="309"/>
    </row>
    <row r="1210">
      <c r="B1210" s="309"/>
      <c r="C1210" s="309"/>
      <c r="I1210" s="309"/>
      <c r="J1210" s="309"/>
    </row>
    <row r="1211">
      <c r="B1211" s="309"/>
      <c r="C1211" s="309"/>
      <c r="I1211" s="309"/>
      <c r="J1211" s="309"/>
    </row>
    <row r="1212">
      <c r="B1212" s="309"/>
      <c r="C1212" s="309"/>
      <c r="I1212" s="309"/>
      <c r="J1212" s="309"/>
    </row>
    <row r="1213">
      <c r="B1213" s="309"/>
      <c r="C1213" s="309"/>
      <c r="I1213" s="309"/>
      <c r="J1213" s="309"/>
    </row>
    <row r="1214">
      <c r="B1214" s="309"/>
      <c r="C1214" s="309"/>
      <c r="I1214" s="309"/>
      <c r="J1214" s="309"/>
    </row>
    <row r="1215">
      <c r="B1215" s="309"/>
      <c r="C1215" s="309"/>
      <c r="I1215" s="309"/>
      <c r="J1215" s="309"/>
    </row>
    <row r="1216">
      <c r="B1216" s="309"/>
      <c r="C1216" s="309"/>
      <c r="I1216" s="309"/>
      <c r="J1216" s="309"/>
    </row>
    <row r="1217">
      <c r="B1217" s="309"/>
      <c r="C1217" s="309"/>
      <c r="I1217" s="309"/>
      <c r="J1217" s="309"/>
    </row>
    <row r="1218">
      <c r="B1218" s="309"/>
      <c r="C1218" s="309"/>
      <c r="I1218" s="309"/>
      <c r="J1218" s="309"/>
    </row>
    <row r="1219">
      <c r="B1219" s="309"/>
      <c r="C1219" s="309"/>
      <c r="I1219" s="309"/>
      <c r="J1219" s="309"/>
    </row>
    <row r="1220">
      <c r="B1220" s="309"/>
      <c r="C1220" s="309"/>
      <c r="I1220" s="309"/>
      <c r="J1220" s="309"/>
    </row>
    <row r="1221">
      <c r="B1221" s="309"/>
      <c r="C1221" s="309"/>
      <c r="I1221" s="309"/>
      <c r="J1221" s="309"/>
    </row>
    <row r="1222">
      <c r="B1222" s="309"/>
      <c r="C1222" s="309"/>
      <c r="I1222" s="309"/>
      <c r="J1222" s="309"/>
    </row>
    <row r="1223">
      <c r="B1223" s="309"/>
      <c r="C1223" s="309"/>
      <c r="I1223" s="309"/>
      <c r="J1223" s="309"/>
    </row>
    <row r="1224">
      <c r="B1224" s="309"/>
      <c r="C1224" s="309"/>
      <c r="I1224" s="309"/>
      <c r="J1224" s="309"/>
    </row>
    <row r="1225">
      <c r="B1225" s="309"/>
      <c r="C1225" s="309"/>
      <c r="I1225" s="309"/>
      <c r="J1225" s="309"/>
    </row>
    <row r="1226">
      <c r="B1226" s="309"/>
      <c r="C1226" s="309"/>
      <c r="I1226" s="309"/>
      <c r="J1226" s="309"/>
    </row>
    <row r="1227">
      <c r="B1227" s="309"/>
      <c r="C1227" s="309"/>
      <c r="I1227" s="309"/>
      <c r="J1227" s="309"/>
    </row>
    <row r="1228">
      <c r="B1228" s="309"/>
      <c r="C1228" s="309"/>
      <c r="I1228" s="309"/>
      <c r="J1228" s="309"/>
    </row>
    <row r="1229">
      <c r="B1229" s="309"/>
      <c r="C1229" s="309"/>
      <c r="I1229" s="309"/>
      <c r="J1229" s="309"/>
    </row>
    <row r="1230">
      <c r="B1230" s="309"/>
      <c r="C1230" s="309"/>
      <c r="I1230" s="309"/>
      <c r="J1230" s="309"/>
    </row>
    <row r="1231">
      <c r="B1231" s="309"/>
      <c r="C1231" s="309"/>
      <c r="I1231" s="309"/>
      <c r="J1231" s="309"/>
    </row>
    <row r="1232">
      <c r="B1232" s="309"/>
      <c r="C1232" s="309"/>
      <c r="I1232" s="309"/>
      <c r="J1232" s="309"/>
    </row>
    <row r="1233">
      <c r="B1233" s="309"/>
      <c r="C1233" s="309"/>
      <c r="I1233" s="309"/>
      <c r="J1233" s="309"/>
    </row>
    <row r="1234">
      <c r="B1234" s="309"/>
      <c r="C1234" s="309"/>
      <c r="I1234" s="309"/>
      <c r="J1234" s="309"/>
    </row>
    <row r="1235">
      <c r="B1235" s="309"/>
      <c r="C1235" s="309"/>
      <c r="I1235" s="309"/>
      <c r="J1235" s="309"/>
    </row>
    <row r="1236">
      <c r="B1236" s="309"/>
      <c r="C1236" s="309"/>
      <c r="I1236" s="309"/>
      <c r="J1236" s="309"/>
    </row>
    <row r="1237">
      <c r="B1237" s="309"/>
      <c r="C1237" s="309"/>
      <c r="I1237" s="309"/>
      <c r="J1237" s="309"/>
    </row>
    <row r="1238">
      <c r="B1238" s="309"/>
      <c r="C1238" s="309"/>
      <c r="I1238" s="309"/>
      <c r="J1238" s="309"/>
    </row>
    <row r="1239">
      <c r="B1239" s="309"/>
      <c r="C1239" s="309"/>
      <c r="I1239" s="309"/>
      <c r="J1239" s="309"/>
    </row>
    <row r="1240">
      <c r="B1240" s="309"/>
      <c r="C1240" s="309"/>
      <c r="I1240" s="309"/>
      <c r="J1240" s="309"/>
    </row>
    <row r="1241">
      <c r="B1241" s="309"/>
      <c r="C1241" s="309"/>
      <c r="I1241" s="309"/>
      <c r="J1241" s="309"/>
    </row>
    <row r="1242">
      <c r="B1242" s="309"/>
      <c r="C1242" s="309"/>
      <c r="I1242" s="309"/>
      <c r="J1242" s="309"/>
    </row>
    <row r="1243">
      <c r="B1243" s="309"/>
      <c r="C1243" s="309"/>
      <c r="I1243" s="309"/>
      <c r="J1243" s="309"/>
    </row>
    <row r="1244">
      <c r="B1244" s="309"/>
      <c r="C1244" s="309"/>
      <c r="I1244" s="309"/>
      <c r="J1244" s="309"/>
    </row>
    <row r="1245">
      <c r="B1245" s="309"/>
      <c r="C1245" s="309"/>
      <c r="I1245" s="309"/>
      <c r="J1245" s="309"/>
    </row>
    <row r="1246">
      <c r="B1246" s="309"/>
      <c r="C1246" s="309"/>
      <c r="I1246" s="309"/>
      <c r="J1246" s="309"/>
    </row>
    <row r="1247">
      <c r="B1247" s="309"/>
      <c r="C1247" s="309"/>
      <c r="I1247" s="309"/>
      <c r="J1247" s="309"/>
    </row>
    <row r="1248">
      <c r="B1248" s="309"/>
      <c r="C1248" s="309"/>
      <c r="I1248" s="309"/>
      <c r="J1248" s="309"/>
    </row>
    <row r="1249">
      <c r="B1249" s="309"/>
      <c r="C1249" s="309"/>
      <c r="I1249" s="309"/>
      <c r="J1249" s="309"/>
    </row>
    <row r="1250">
      <c r="B1250" s="309"/>
      <c r="C1250" s="309"/>
      <c r="I1250" s="309"/>
      <c r="J1250" s="309"/>
    </row>
    <row r="1251">
      <c r="B1251" s="309"/>
      <c r="C1251" s="309"/>
      <c r="I1251" s="309"/>
      <c r="J1251" s="309"/>
    </row>
    <row r="1252">
      <c r="B1252" s="309"/>
      <c r="C1252" s="309"/>
      <c r="I1252" s="309"/>
      <c r="J1252" s="309"/>
    </row>
    <row r="1253">
      <c r="B1253" s="309"/>
      <c r="C1253" s="309"/>
      <c r="I1253" s="309"/>
      <c r="J1253" s="309"/>
    </row>
    <row r="1254">
      <c r="B1254" s="309"/>
      <c r="C1254" s="309"/>
      <c r="I1254" s="309"/>
      <c r="J1254" s="309"/>
    </row>
    <row r="1255">
      <c r="B1255" s="309"/>
      <c r="C1255" s="309"/>
      <c r="I1255" s="309"/>
      <c r="J1255" s="309"/>
    </row>
    <row r="1256">
      <c r="B1256" s="309"/>
      <c r="C1256" s="309"/>
      <c r="I1256" s="309"/>
      <c r="J1256" s="309"/>
    </row>
    <row r="1257">
      <c r="B1257" s="309"/>
      <c r="C1257" s="309"/>
      <c r="I1257" s="309"/>
      <c r="J1257" s="309"/>
    </row>
    <row r="1258">
      <c r="B1258" s="309"/>
      <c r="C1258" s="309"/>
      <c r="I1258" s="309"/>
      <c r="J1258" s="309"/>
    </row>
    <row r="1259">
      <c r="B1259" s="309"/>
      <c r="C1259" s="309"/>
      <c r="I1259" s="309"/>
      <c r="J1259" s="309"/>
    </row>
    <row r="1260">
      <c r="B1260" s="309"/>
      <c r="C1260" s="309"/>
      <c r="I1260" s="309"/>
      <c r="J1260" s="309"/>
    </row>
    <row r="1261">
      <c r="B1261" s="309"/>
      <c r="C1261" s="309"/>
      <c r="I1261" s="309"/>
      <c r="J1261" s="309"/>
    </row>
    <row r="1262">
      <c r="B1262" s="309"/>
      <c r="C1262" s="309"/>
      <c r="I1262" s="309"/>
      <c r="J1262" s="309"/>
    </row>
    <row r="1263">
      <c r="B1263" s="309"/>
      <c r="C1263" s="309"/>
      <c r="I1263" s="309"/>
      <c r="J1263" s="309"/>
    </row>
    <row r="1264">
      <c r="B1264" s="309"/>
      <c r="C1264" s="309"/>
      <c r="I1264" s="309"/>
      <c r="J1264" s="309"/>
    </row>
    <row r="1265">
      <c r="B1265" s="309"/>
      <c r="C1265" s="309"/>
      <c r="I1265" s="309"/>
      <c r="J1265" s="309"/>
    </row>
    <row r="1266">
      <c r="B1266" s="309"/>
      <c r="C1266" s="309"/>
      <c r="I1266" s="309"/>
      <c r="J1266" s="309"/>
    </row>
    <row r="1267">
      <c r="B1267" s="309"/>
      <c r="C1267" s="309"/>
      <c r="I1267" s="309"/>
      <c r="J1267" s="309"/>
    </row>
    <row r="1268">
      <c r="B1268" s="309"/>
      <c r="C1268" s="309"/>
      <c r="I1268" s="309"/>
      <c r="J1268" s="309"/>
    </row>
    <row r="1269">
      <c r="B1269" s="309"/>
      <c r="C1269" s="309"/>
      <c r="I1269" s="309"/>
      <c r="J1269" s="309"/>
    </row>
    <row r="1270">
      <c r="B1270" s="309"/>
      <c r="C1270" s="309"/>
      <c r="I1270" s="309"/>
      <c r="J1270" s="309"/>
    </row>
    <row r="1271">
      <c r="B1271" s="309"/>
      <c r="C1271" s="309"/>
      <c r="I1271" s="309"/>
      <c r="J1271" s="309"/>
    </row>
    <row r="1272">
      <c r="B1272" s="309"/>
      <c r="C1272" s="309"/>
      <c r="I1272" s="309"/>
      <c r="J1272" s="309"/>
    </row>
    <row r="1273">
      <c r="B1273" s="309"/>
      <c r="C1273" s="309"/>
      <c r="I1273" s="309"/>
      <c r="J1273" s="309"/>
    </row>
    <row r="1274">
      <c r="B1274" s="309"/>
      <c r="C1274" s="309"/>
      <c r="I1274" s="309"/>
      <c r="J1274" s="309"/>
    </row>
    <row r="1275">
      <c r="B1275" s="309"/>
      <c r="C1275" s="309"/>
      <c r="I1275" s="309"/>
      <c r="J1275" s="309"/>
    </row>
    <row r="1276">
      <c r="B1276" s="309"/>
      <c r="C1276" s="309"/>
      <c r="I1276" s="309"/>
      <c r="J1276" s="309"/>
    </row>
    <row r="1277">
      <c r="B1277" s="309"/>
      <c r="C1277" s="309"/>
      <c r="I1277" s="309"/>
      <c r="J1277" s="309"/>
    </row>
    <row r="1278">
      <c r="B1278" s="309"/>
      <c r="C1278" s="309"/>
      <c r="I1278" s="309"/>
      <c r="J1278" s="309"/>
    </row>
    <row r="1279">
      <c r="B1279" s="309"/>
      <c r="C1279" s="309"/>
      <c r="I1279" s="309"/>
      <c r="J1279" s="309"/>
    </row>
    <row r="1280">
      <c r="B1280" s="309"/>
      <c r="C1280" s="309"/>
      <c r="I1280" s="309"/>
      <c r="J1280" s="309"/>
    </row>
    <row r="1281">
      <c r="B1281" s="309"/>
      <c r="C1281" s="309"/>
      <c r="I1281" s="309"/>
      <c r="J1281" s="309"/>
    </row>
    <row r="1282">
      <c r="B1282" s="309"/>
      <c r="C1282" s="309"/>
      <c r="I1282" s="309"/>
      <c r="J1282" s="309"/>
    </row>
    <row r="1283">
      <c r="B1283" s="309"/>
      <c r="C1283" s="309"/>
      <c r="I1283" s="309"/>
      <c r="J1283" s="309"/>
    </row>
    <row r="1284">
      <c r="B1284" s="309"/>
      <c r="C1284" s="309"/>
      <c r="I1284" s="309"/>
      <c r="J1284" s="309"/>
    </row>
    <row r="1285">
      <c r="B1285" s="309"/>
      <c r="C1285" s="309"/>
      <c r="I1285" s="309"/>
      <c r="J1285" s="309"/>
    </row>
    <row r="1286">
      <c r="B1286" s="309"/>
      <c r="C1286" s="309"/>
      <c r="I1286" s="309"/>
      <c r="J1286" s="309"/>
    </row>
    <row r="1287">
      <c r="B1287" s="309"/>
      <c r="C1287" s="309"/>
      <c r="I1287" s="309"/>
      <c r="J1287" s="309"/>
    </row>
    <row r="1288">
      <c r="B1288" s="309"/>
      <c r="C1288" s="309"/>
      <c r="I1288" s="309"/>
      <c r="J1288" s="309"/>
    </row>
    <row r="1289">
      <c r="B1289" s="309"/>
      <c r="C1289" s="309"/>
      <c r="I1289" s="309"/>
      <c r="J1289" s="309"/>
    </row>
    <row r="1290">
      <c r="B1290" s="309"/>
      <c r="C1290" s="309"/>
      <c r="I1290" s="309"/>
      <c r="J1290" s="309"/>
    </row>
    <row r="1291">
      <c r="B1291" s="309"/>
      <c r="C1291" s="309"/>
      <c r="I1291" s="309"/>
      <c r="J1291" s="309"/>
    </row>
    <row r="1292">
      <c r="B1292" s="309"/>
      <c r="C1292" s="309"/>
      <c r="I1292" s="309"/>
      <c r="J1292" s="309"/>
    </row>
    <row r="1293">
      <c r="B1293" s="309"/>
      <c r="C1293" s="309"/>
      <c r="I1293" s="309"/>
      <c r="J1293" s="309"/>
    </row>
    <row r="1294">
      <c r="B1294" s="309"/>
      <c r="C1294" s="309"/>
      <c r="I1294" s="309"/>
      <c r="J1294" s="309"/>
    </row>
    <row r="1295">
      <c r="B1295" s="309"/>
      <c r="C1295" s="309"/>
      <c r="I1295" s="309"/>
      <c r="J1295" s="309"/>
    </row>
    <row r="1296">
      <c r="B1296" s="309"/>
      <c r="C1296" s="309"/>
      <c r="I1296" s="309"/>
      <c r="J1296" s="309"/>
    </row>
    <row r="1297">
      <c r="B1297" s="309"/>
      <c r="C1297" s="309"/>
      <c r="I1297" s="309"/>
      <c r="J1297" s="309"/>
    </row>
    <row r="1298">
      <c r="B1298" s="309"/>
      <c r="C1298" s="309"/>
      <c r="I1298" s="309"/>
      <c r="J1298" s="309"/>
    </row>
    <row r="1299">
      <c r="B1299" s="309"/>
      <c r="C1299" s="309"/>
      <c r="I1299" s="309"/>
      <c r="J1299" s="309"/>
    </row>
    <row r="1300">
      <c r="B1300" s="309"/>
      <c r="C1300" s="309"/>
      <c r="I1300" s="309"/>
      <c r="J1300" s="309"/>
    </row>
    <row r="1301">
      <c r="B1301" s="309"/>
      <c r="C1301" s="309"/>
      <c r="I1301" s="309"/>
      <c r="J1301" s="309"/>
    </row>
    <row r="1302">
      <c r="B1302" s="309"/>
      <c r="C1302" s="309"/>
      <c r="I1302" s="309"/>
      <c r="J1302" s="309"/>
    </row>
    <row r="1303">
      <c r="B1303" s="309"/>
      <c r="C1303" s="309"/>
      <c r="I1303" s="309"/>
      <c r="J1303" s="309"/>
    </row>
    <row r="1304">
      <c r="B1304" s="309"/>
      <c r="C1304" s="309"/>
      <c r="I1304" s="309"/>
      <c r="J1304" s="309"/>
    </row>
    <row r="1305">
      <c r="B1305" s="309"/>
      <c r="C1305" s="309"/>
      <c r="I1305" s="309"/>
      <c r="J1305" s="309"/>
    </row>
    <row r="1306">
      <c r="B1306" s="309"/>
      <c r="C1306" s="309"/>
      <c r="I1306" s="309"/>
      <c r="J1306" s="309"/>
    </row>
    <row r="1307">
      <c r="B1307" s="309"/>
      <c r="C1307" s="309"/>
      <c r="I1307" s="309"/>
      <c r="J1307" s="309"/>
    </row>
    <row r="1308">
      <c r="B1308" s="309"/>
      <c r="C1308" s="309"/>
      <c r="I1308" s="309"/>
      <c r="J1308" s="309"/>
    </row>
    <row r="1309">
      <c r="B1309" s="309"/>
      <c r="C1309" s="309"/>
      <c r="I1309" s="309"/>
      <c r="J1309" s="309"/>
    </row>
    <row r="1310">
      <c r="B1310" s="309"/>
      <c r="C1310" s="309"/>
      <c r="I1310" s="309"/>
      <c r="J1310" s="309"/>
    </row>
    <row r="1311">
      <c r="B1311" s="309"/>
      <c r="C1311" s="309"/>
      <c r="I1311" s="309"/>
      <c r="J1311" s="309"/>
    </row>
    <row r="1312">
      <c r="B1312" s="309"/>
      <c r="C1312" s="309"/>
      <c r="I1312" s="309"/>
      <c r="J1312" s="309"/>
    </row>
    <row r="1313">
      <c r="B1313" s="309"/>
      <c r="C1313" s="309"/>
      <c r="I1313" s="309"/>
      <c r="J1313" s="309"/>
    </row>
    <row r="1314">
      <c r="B1314" s="309"/>
      <c r="C1314" s="309"/>
      <c r="I1314" s="309"/>
      <c r="J1314" s="309"/>
    </row>
    <row r="1315">
      <c r="B1315" s="309"/>
      <c r="C1315" s="309"/>
      <c r="I1315" s="309"/>
      <c r="J1315" s="309"/>
    </row>
    <row r="1316">
      <c r="B1316" s="309"/>
      <c r="C1316" s="309"/>
      <c r="I1316" s="309"/>
      <c r="J1316" s="309"/>
    </row>
    <row r="1317">
      <c r="B1317" s="309"/>
      <c r="C1317" s="309"/>
      <c r="I1317" s="309"/>
      <c r="J1317" s="309"/>
    </row>
    <row r="1318">
      <c r="B1318" s="309"/>
      <c r="C1318" s="309"/>
      <c r="I1318" s="309"/>
      <c r="J1318" s="309"/>
    </row>
    <row r="1319">
      <c r="B1319" s="309"/>
      <c r="C1319" s="309"/>
      <c r="I1319" s="309"/>
      <c r="J1319" s="309"/>
    </row>
    <row r="1320">
      <c r="B1320" s="309"/>
      <c r="C1320" s="309"/>
      <c r="I1320" s="309"/>
      <c r="J1320" s="309"/>
    </row>
    <row r="1321">
      <c r="B1321" s="309"/>
      <c r="C1321" s="309"/>
      <c r="I1321" s="309"/>
      <c r="J1321" s="309"/>
    </row>
    <row r="1322">
      <c r="B1322" s="309"/>
      <c r="C1322" s="309"/>
      <c r="I1322" s="309"/>
      <c r="J1322" s="309"/>
    </row>
    <row r="1323">
      <c r="B1323" s="309"/>
      <c r="C1323" s="309"/>
      <c r="I1323" s="309"/>
      <c r="J1323" s="309"/>
    </row>
    <row r="1324">
      <c r="B1324" s="309"/>
      <c r="C1324" s="309"/>
      <c r="I1324" s="309"/>
      <c r="J1324" s="309"/>
    </row>
    <row r="1325">
      <c r="B1325" s="309"/>
      <c r="C1325" s="309"/>
      <c r="I1325" s="309"/>
      <c r="J1325" s="309"/>
    </row>
    <row r="1326">
      <c r="B1326" s="309"/>
      <c r="C1326" s="309"/>
      <c r="I1326" s="309"/>
      <c r="J1326" s="309"/>
    </row>
    <row r="1327">
      <c r="B1327" s="309"/>
      <c r="C1327" s="309"/>
      <c r="I1327" s="309"/>
      <c r="J1327" s="309"/>
    </row>
    <row r="1328">
      <c r="B1328" s="309"/>
      <c r="C1328" s="309"/>
      <c r="I1328" s="309"/>
      <c r="J1328" s="309"/>
    </row>
    <row r="1329">
      <c r="B1329" s="309"/>
      <c r="C1329" s="309"/>
      <c r="I1329" s="309"/>
      <c r="J1329" s="309"/>
    </row>
    <row r="1330">
      <c r="B1330" s="309"/>
      <c r="C1330" s="309"/>
      <c r="I1330" s="309"/>
      <c r="J1330" s="309"/>
    </row>
    <row r="1331">
      <c r="B1331" s="309"/>
      <c r="C1331" s="309"/>
      <c r="I1331" s="309"/>
      <c r="J1331" s="309"/>
    </row>
    <row r="1332">
      <c r="B1332" s="309"/>
      <c r="C1332" s="309"/>
      <c r="I1332" s="309"/>
      <c r="J1332" s="309"/>
    </row>
    <row r="1333">
      <c r="B1333" s="309"/>
      <c r="C1333" s="309"/>
      <c r="I1333" s="309"/>
      <c r="J1333" s="309"/>
    </row>
    <row r="1334">
      <c r="B1334" s="309"/>
      <c r="C1334" s="309"/>
      <c r="I1334" s="309"/>
      <c r="J1334" s="309"/>
    </row>
    <row r="1335">
      <c r="B1335" s="309"/>
      <c r="C1335" s="309"/>
      <c r="I1335" s="309"/>
      <c r="J1335" s="309"/>
    </row>
    <row r="1336">
      <c r="B1336" s="309"/>
      <c r="C1336" s="309"/>
      <c r="I1336" s="309"/>
      <c r="J1336" s="309"/>
    </row>
    <row r="1337">
      <c r="B1337" s="309"/>
      <c r="C1337" s="309"/>
      <c r="I1337" s="309"/>
      <c r="J1337" s="309"/>
    </row>
    <row r="1338">
      <c r="B1338" s="309"/>
      <c r="C1338" s="309"/>
      <c r="I1338" s="309"/>
      <c r="J1338" s="309"/>
    </row>
    <row r="1339">
      <c r="B1339" s="309"/>
      <c r="C1339" s="309"/>
      <c r="I1339" s="309"/>
      <c r="J1339" s="309"/>
    </row>
    <row r="1340">
      <c r="B1340" s="309"/>
      <c r="C1340" s="309"/>
      <c r="I1340" s="309"/>
      <c r="J1340" s="309"/>
    </row>
    <row r="1341">
      <c r="B1341" s="309"/>
      <c r="C1341" s="309"/>
      <c r="I1341" s="309"/>
      <c r="J1341" s="309"/>
    </row>
    <row r="1342">
      <c r="B1342" s="309"/>
      <c r="C1342" s="309"/>
      <c r="I1342" s="309"/>
      <c r="J1342" s="309"/>
    </row>
    <row r="1343">
      <c r="B1343" s="309"/>
      <c r="C1343" s="309"/>
      <c r="I1343" s="309"/>
      <c r="J1343" s="309"/>
    </row>
    <row r="1344">
      <c r="B1344" s="309"/>
      <c r="C1344" s="309"/>
      <c r="I1344" s="309"/>
      <c r="J1344" s="309"/>
    </row>
    <row r="1345">
      <c r="B1345" s="309"/>
      <c r="C1345" s="309"/>
      <c r="I1345" s="309"/>
      <c r="J1345" s="309"/>
    </row>
    <row r="1346">
      <c r="B1346" s="309"/>
      <c r="C1346" s="309"/>
      <c r="I1346" s="309"/>
      <c r="J1346" s="309"/>
    </row>
    <row r="1347">
      <c r="B1347" s="309"/>
      <c r="C1347" s="309"/>
      <c r="I1347" s="309"/>
      <c r="J1347" s="309"/>
    </row>
    <row r="1348">
      <c r="B1348" s="309"/>
      <c r="C1348" s="309"/>
      <c r="I1348" s="309"/>
      <c r="J1348" s="309"/>
    </row>
    <row r="1349">
      <c r="B1349" s="309"/>
      <c r="C1349" s="309"/>
      <c r="I1349" s="309"/>
      <c r="J1349" s="309"/>
    </row>
    <row r="1350">
      <c r="B1350" s="309"/>
      <c r="C1350" s="309"/>
      <c r="I1350" s="309"/>
      <c r="J1350" s="309"/>
    </row>
    <row r="1351">
      <c r="B1351" s="309"/>
      <c r="C1351" s="309"/>
      <c r="I1351" s="309"/>
      <c r="J1351" s="309"/>
    </row>
    <row r="1352">
      <c r="B1352" s="309"/>
      <c r="C1352" s="309"/>
      <c r="I1352" s="309"/>
      <c r="J1352" s="309"/>
    </row>
    <row r="1353">
      <c r="B1353" s="309"/>
      <c r="C1353" s="309"/>
      <c r="I1353" s="309"/>
      <c r="J1353" s="309"/>
    </row>
    <row r="1354">
      <c r="B1354" s="309"/>
      <c r="C1354" s="309"/>
      <c r="I1354" s="309"/>
      <c r="J1354" s="309"/>
    </row>
    <row r="1355">
      <c r="B1355" s="309"/>
      <c r="C1355" s="309"/>
      <c r="I1355" s="309"/>
      <c r="J1355" s="309"/>
    </row>
    <row r="1356">
      <c r="B1356" s="309"/>
      <c r="C1356" s="309"/>
      <c r="I1356" s="309"/>
      <c r="J1356" s="309"/>
    </row>
    <row r="1357">
      <c r="B1357" s="309"/>
      <c r="C1357" s="309"/>
      <c r="I1357" s="309"/>
      <c r="J1357" s="309"/>
    </row>
    <row r="1358">
      <c r="B1358" s="309"/>
      <c r="C1358" s="309"/>
      <c r="I1358" s="309"/>
      <c r="J1358" s="309"/>
    </row>
    <row r="1359">
      <c r="B1359" s="309"/>
      <c r="C1359" s="309"/>
      <c r="I1359" s="309"/>
      <c r="J1359" s="309"/>
    </row>
    <row r="1360">
      <c r="B1360" s="309"/>
      <c r="C1360" s="309"/>
      <c r="I1360" s="309"/>
      <c r="J1360" s="309"/>
    </row>
    <row r="1361">
      <c r="B1361" s="309"/>
      <c r="C1361" s="309"/>
      <c r="I1361" s="309"/>
      <c r="J1361" s="309"/>
    </row>
    <row r="1362">
      <c r="B1362" s="309"/>
      <c r="C1362" s="309"/>
      <c r="I1362" s="309"/>
      <c r="J1362" s="309"/>
    </row>
    <row r="1363">
      <c r="B1363" s="309"/>
      <c r="C1363" s="309"/>
      <c r="I1363" s="309"/>
      <c r="J1363" s="309"/>
    </row>
    <row r="1364">
      <c r="B1364" s="309"/>
      <c r="C1364" s="309"/>
      <c r="I1364" s="309"/>
      <c r="J1364" s="309"/>
    </row>
    <row r="1365">
      <c r="B1365" s="309"/>
      <c r="C1365" s="309"/>
      <c r="I1365" s="309"/>
      <c r="J1365" s="309"/>
    </row>
    <row r="1366">
      <c r="B1366" s="309"/>
      <c r="C1366" s="309"/>
      <c r="I1366" s="309"/>
      <c r="J1366" s="309"/>
    </row>
    <row r="1367">
      <c r="B1367" s="309"/>
      <c r="C1367" s="309"/>
      <c r="I1367" s="309"/>
      <c r="J1367" s="309"/>
    </row>
    <row r="1368">
      <c r="B1368" s="309"/>
      <c r="C1368" s="309"/>
      <c r="I1368" s="309"/>
      <c r="J1368" s="309"/>
    </row>
    <row r="1369">
      <c r="B1369" s="309"/>
      <c r="C1369" s="309"/>
      <c r="I1369" s="309"/>
      <c r="J1369" s="309"/>
    </row>
    <row r="1370">
      <c r="B1370" s="309"/>
      <c r="C1370" s="309"/>
      <c r="I1370" s="309"/>
      <c r="J1370" s="309"/>
    </row>
    <row r="1371">
      <c r="B1371" s="309"/>
      <c r="C1371" s="309"/>
      <c r="I1371" s="309"/>
      <c r="J1371" s="309"/>
    </row>
    <row r="1372">
      <c r="B1372" s="309"/>
      <c r="C1372" s="309"/>
      <c r="I1372" s="309"/>
      <c r="J1372" s="309"/>
    </row>
    <row r="1373">
      <c r="B1373" s="309"/>
      <c r="C1373" s="309"/>
      <c r="I1373" s="309"/>
      <c r="J1373" s="309"/>
    </row>
    <row r="1374">
      <c r="B1374" s="309"/>
      <c r="C1374" s="309"/>
      <c r="I1374" s="309"/>
      <c r="J1374" s="309"/>
    </row>
    <row r="1375">
      <c r="B1375" s="309"/>
      <c r="C1375" s="309"/>
      <c r="I1375" s="309"/>
      <c r="J1375" s="309"/>
    </row>
    <row r="1376">
      <c r="B1376" s="309"/>
      <c r="C1376" s="309"/>
      <c r="I1376" s="309"/>
      <c r="J1376" s="309"/>
    </row>
    <row r="1377">
      <c r="B1377" s="309"/>
      <c r="C1377" s="309"/>
      <c r="I1377" s="309"/>
      <c r="J1377" s="309"/>
    </row>
    <row r="1378">
      <c r="B1378" s="309"/>
      <c r="C1378" s="309"/>
      <c r="I1378" s="309"/>
      <c r="J1378" s="309"/>
    </row>
    <row r="1379">
      <c r="B1379" s="309"/>
      <c r="C1379" s="309"/>
      <c r="I1379" s="309"/>
      <c r="J1379" s="309"/>
    </row>
    <row r="1380">
      <c r="B1380" s="309"/>
      <c r="C1380" s="309"/>
      <c r="I1380" s="309"/>
      <c r="J1380" s="309"/>
    </row>
    <row r="1381">
      <c r="B1381" s="309"/>
      <c r="C1381" s="309"/>
      <c r="I1381" s="309"/>
      <c r="J1381" s="309"/>
    </row>
    <row r="1382">
      <c r="B1382" s="309"/>
      <c r="C1382" s="309"/>
      <c r="I1382" s="309"/>
      <c r="J1382" s="309"/>
    </row>
    <row r="1383">
      <c r="B1383" s="309"/>
      <c r="C1383" s="309"/>
      <c r="I1383" s="309"/>
      <c r="J1383" s="309"/>
    </row>
    <row r="1384">
      <c r="B1384" s="309"/>
      <c r="C1384" s="309"/>
      <c r="I1384" s="309"/>
      <c r="J1384" s="309"/>
    </row>
    <row r="1385">
      <c r="B1385" s="309"/>
      <c r="C1385" s="309"/>
      <c r="I1385" s="309"/>
      <c r="J1385" s="309"/>
    </row>
    <row r="1386">
      <c r="B1386" s="309"/>
      <c r="C1386" s="309"/>
      <c r="I1386" s="309"/>
      <c r="J1386" s="309"/>
    </row>
    <row r="1387">
      <c r="B1387" s="309"/>
      <c r="C1387" s="309"/>
      <c r="I1387" s="309"/>
      <c r="J1387" s="309"/>
    </row>
    <row r="1388">
      <c r="B1388" s="309"/>
      <c r="C1388" s="309"/>
      <c r="I1388" s="309"/>
      <c r="J1388" s="309"/>
    </row>
    <row r="1389">
      <c r="B1389" s="309"/>
      <c r="C1389" s="309"/>
      <c r="I1389" s="309"/>
      <c r="J1389" s="309"/>
    </row>
    <row r="1390">
      <c r="B1390" s="309"/>
      <c r="C1390" s="309"/>
      <c r="I1390" s="309"/>
      <c r="J1390" s="309"/>
    </row>
    <row r="1391">
      <c r="B1391" s="309"/>
      <c r="C1391" s="309"/>
      <c r="I1391" s="309"/>
      <c r="J1391" s="309"/>
    </row>
    <row r="1392">
      <c r="B1392" s="309"/>
      <c r="C1392" s="309"/>
      <c r="I1392" s="309"/>
      <c r="J1392" s="309"/>
    </row>
    <row r="1393">
      <c r="B1393" s="309"/>
      <c r="C1393" s="309"/>
      <c r="I1393" s="309"/>
      <c r="J1393" s="309"/>
    </row>
    <row r="1394">
      <c r="B1394" s="309"/>
      <c r="C1394" s="309"/>
      <c r="I1394" s="309"/>
      <c r="J1394" s="309"/>
    </row>
    <row r="1395">
      <c r="B1395" s="309"/>
      <c r="C1395" s="309"/>
      <c r="I1395" s="309"/>
      <c r="J1395" s="309"/>
    </row>
    <row r="1396">
      <c r="B1396" s="309"/>
      <c r="C1396" s="309"/>
      <c r="I1396" s="309"/>
      <c r="J1396" s="309"/>
    </row>
    <row r="1397">
      <c r="B1397" s="309"/>
      <c r="C1397" s="309"/>
      <c r="I1397" s="309"/>
      <c r="J1397" s="309"/>
    </row>
    <row r="1398">
      <c r="B1398" s="309"/>
      <c r="C1398" s="309"/>
      <c r="I1398" s="309"/>
      <c r="J1398" s="309"/>
    </row>
    <row r="1399">
      <c r="B1399" s="309"/>
      <c r="C1399" s="309"/>
      <c r="I1399" s="309"/>
      <c r="J1399" s="309"/>
    </row>
    <row r="1400">
      <c r="B1400" s="309"/>
      <c r="C1400" s="309"/>
      <c r="I1400" s="309"/>
      <c r="J1400" s="309"/>
    </row>
    <row r="1401">
      <c r="B1401" s="309"/>
      <c r="C1401" s="309"/>
      <c r="I1401" s="309"/>
      <c r="J1401" s="309"/>
    </row>
    <row r="1402">
      <c r="B1402" s="309"/>
      <c r="C1402" s="309"/>
      <c r="I1402" s="309"/>
      <c r="J1402" s="309"/>
    </row>
    <row r="1403">
      <c r="B1403" s="309"/>
      <c r="C1403" s="309"/>
      <c r="I1403" s="309"/>
      <c r="J1403" s="309"/>
    </row>
    <row r="1404">
      <c r="B1404" s="309"/>
      <c r="C1404" s="309"/>
      <c r="I1404" s="309"/>
      <c r="J1404" s="309"/>
    </row>
    <row r="1405">
      <c r="B1405" s="309"/>
      <c r="C1405" s="309"/>
      <c r="I1405" s="309"/>
      <c r="J1405" s="309"/>
    </row>
    <row r="1406">
      <c r="B1406" s="309"/>
      <c r="C1406" s="309"/>
      <c r="I1406" s="309"/>
      <c r="J1406" s="309"/>
    </row>
    <row r="1407">
      <c r="B1407" s="309"/>
      <c r="C1407" s="309"/>
      <c r="I1407" s="309"/>
      <c r="J1407" s="309"/>
    </row>
    <row r="1408">
      <c r="B1408" s="309"/>
      <c r="C1408" s="309"/>
      <c r="I1408" s="309"/>
      <c r="J1408" s="309"/>
    </row>
    <row r="1409">
      <c r="B1409" s="309"/>
      <c r="C1409" s="309"/>
      <c r="I1409" s="309"/>
      <c r="J1409" s="309"/>
    </row>
    <row r="1410">
      <c r="B1410" s="309"/>
      <c r="C1410" s="309"/>
      <c r="I1410" s="309"/>
      <c r="J1410" s="309"/>
    </row>
    <row r="1411">
      <c r="B1411" s="309"/>
      <c r="C1411" s="309"/>
      <c r="I1411" s="309"/>
      <c r="J1411" s="309"/>
    </row>
    <row r="1412">
      <c r="B1412" s="309"/>
      <c r="C1412" s="309"/>
      <c r="I1412" s="309"/>
      <c r="J1412" s="309"/>
    </row>
    <row r="1413">
      <c r="B1413" s="309"/>
      <c r="C1413" s="309"/>
      <c r="I1413" s="309"/>
      <c r="J1413" s="309"/>
    </row>
    <row r="1414">
      <c r="B1414" s="309"/>
      <c r="C1414" s="309"/>
      <c r="I1414" s="309"/>
      <c r="J1414" s="309"/>
    </row>
    <row r="1415">
      <c r="B1415" s="309"/>
      <c r="C1415" s="309"/>
      <c r="I1415" s="309"/>
      <c r="J1415" s="309"/>
    </row>
    <row r="1416">
      <c r="B1416" s="309"/>
      <c r="C1416" s="309"/>
      <c r="I1416" s="309"/>
      <c r="J1416" s="309"/>
    </row>
    <row r="1417">
      <c r="B1417" s="309"/>
      <c r="C1417" s="309"/>
      <c r="I1417" s="309"/>
      <c r="J1417" s="309"/>
    </row>
    <row r="1418">
      <c r="B1418" s="309"/>
      <c r="C1418" s="309"/>
      <c r="I1418" s="309"/>
      <c r="J1418" s="309"/>
    </row>
    <row r="1419">
      <c r="B1419" s="309"/>
      <c r="C1419" s="309"/>
      <c r="I1419" s="309"/>
      <c r="J1419" s="309"/>
    </row>
    <row r="1420">
      <c r="B1420" s="309"/>
      <c r="C1420" s="309"/>
      <c r="I1420" s="309"/>
      <c r="J1420" s="309"/>
    </row>
    <row r="1421">
      <c r="B1421" s="309"/>
      <c r="C1421" s="309"/>
      <c r="I1421" s="309"/>
      <c r="J1421" s="309"/>
    </row>
    <row r="1422">
      <c r="B1422" s="309"/>
      <c r="C1422" s="309"/>
      <c r="I1422" s="309"/>
      <c r="J1422" s="309"/>
    </row>
    <row r="1423">
      <c r="B1423" s="309"/>
      <c r="C1423" s="309"/>
      <c r="I1423" s="309"/>
      <c r="J1423" s="309"/>
    </row>
    <row r="1424">
      <c r="B1424" s="309"/>
      <c r="C1424" s="309"/>
      <c r="I1424" s="309"/>
      <c r="J1424" s="309"/>
    </row>
    <row r="1425">
      <c r="B1425" s="309"/>
      <c r="C1425" s="309"/>
      <c r="I1425" s="309"/>
      <c r="J1425" s="309"/>
    </row>
    <row r="1426">
      <c r="B1426" s="309"/>
      <c r="C1426" s="309"/>
      <c r="I1426" s="309"/>
      <c r="J1426" s="309"/>
    </row>
    <row r="1427">
      <c r="B1427" s="309"/>
      <c r="C1427" s="309"/>
      <c r="I1427" s="309"/>
      <c r="J1427" s="309"/>
    </row>
    <row r="1428">
      <c r="B1428" s="309"/>
      <c r="C1428" s="309"/>
      <c r="I1428" s="309"/>
      <c r="J1428" s="309"/>
    </row>
    <row r="1429">
      <c r="B1429" s="309"/>
      <c r="C1429" s="309"/>
      <c r="I1429" s="309"/>
      <c r="J1429" s="309"/>
    </row>
    <row r="1430">
      <c r="B1430" s="309"/>
      <c r="C1430" s="309"/>
      <c r="I1430" s="309"/>
      <c r="J1430" s="309"/>
    </row>
    <row r="1431">
      <c r="B1431" s="309"/>
      <c r="C1431" s="309"/>
      <c r="I1431" s="309"/>
      <c r="J1431" s="309"/>
    </row>
    <row r="1432">
      <c r="B1432" s="309"/>
      <c r="C1432" s="309"/>
      <c r="I1432" s="309"/>
      <c r="J1432" s="309"/>
    </row>
    <row r="1433">
      <c r="B1433" s="309"/>
      <c r="C1433" s="309"/>
      <c r="I1433" s="309"/>
      <c r="J1433" s="309"/>
    </row>
    <row r="1434">
      <c r="B1434" s="309"/>
      <c r="C1434" s="309"/>
      <c r="I1434" s="309"/>
      <c r="J1434" s="309"/>
    </row>
    <row r="1435">
      <c r="B1435" s="309"/>
      <c r="C1435" s="309"/>
      <c r="I1435" s="309"/>
      <c r="J1435" s="309"/>
    </row>
    <row r="1436">
      <c r="B1436" s="309"/>
      <c r="C1436" s="309"/>
      <c r="I1436" s="309"/>
      <c r="J1436" s="309"/>
    </row>
    <row r="1437">
      <c r="B1437" s="309"/>
      <c r="C1437" s="309"/>
      <c r="I1437" s="309"/>
      <c r="J1437" s="309"/>
    </row>
    <row r="1438">
      <c r="B1438" s="309"/>
      <c r="C1438" s="309"/>
      <c r="I1438" s="309"/>
      <c r="J1438" s="309"/>
    </row>
    <row r="1439">
      <c r="B1439" s="309"/>
      <c r="C1439" s="309"/>
      <c r="I1439" s="309"/>
      <c r="J1439" s="309"/>
    </row>
    <row r="1440">
      <c r="B1440" s="309"/>
      <c r="C1440" s="309"/>
      <c r="I1440" s="309"/>
      <c r="J1440" s="309"/>
    </row>
    <row r="1441">
      <c r="B1441" s="309"/>
      <c r="C1441" s="309"/>
      <c r="I1441" s="309"/>
      <c r="J1441" s="309"/>
    </row>
    <row r="1442">
      <c r="B1442" s="309"/>
      <c r="C1442" s="309"/>
      <c r="I1442" s="309"/>
      <c r="J1442" s="309"/>
    </row>
    <row r="1443">
      <c r="B1443" s="309"/>
      <c r="C1443" s="309"/>
      <c r="I1443" s="309"/>
      <c r="J1443" s="309"/>
    </row>
    <row r="1444">
      <c r="B1444" s="309"/>
      <c r="C1444" s="309"/>
      <c r="I1444" s="309"/>
      <c r="J1444" s="309"/>
    </row>
    <row r="1445">
      <c r="B1445" s="309"/>
      <c r="C1445" s="309"/>
      <c r="I1445" s="309"/>
      <c r="J1445" s="309"/>
    </row>
    <row r="1446">
      <c r="B1446" s="309"/>
      <c r="C1446" s="309"/>
      <c r="I1446" s="309"/>
      <c r="J1446" s="309"/>
    </row>
    <row r="1447">
      <c r="B1447" s="309"/>
      <c r="C1447" s="309"/>
      <c r="I1447" s="309"/>
      <c r="J1447" s="309"/>
    </row>
    <row r="1448">
      <c r="B1448" s="309"/>
      <c r="C1448" s="309"/>
      <c r="I1448" s="309"/>
      <c r="J1448" s="309"/>
    </row>
    <row r="1449">
      <c r="B1449" s="309"/>
      <c r="C1449" s="309"/>
      <c r="I1449" s="309"/>
      <c r="J1449" s="309"/>
    </row>
    <row r="1450">
      <c r="B1450" s="309"/>
      <c r="C1450" s="309"/>
      <c r="I1450" s="309"/>
      <c r="J1450" s="309"/>
    </row>
    <row r="1451">
      <c r="B1451" s="309"/>
      <c r="C1451" s="309"/>
      <c r="I1451" s="309"/>
      <c r="J1451" s="309"/>
    </row>
    <row r="1452">
      <c r="B1452" s="309"/>
      <c r="C1452" s="309"/>
      <c r="I1452" s="309"/>
      <c r="J1452" s="309"/>
    </row>
    <row r="1453">
      <c r="B1453" s="309"/>
      <c r="C1453" s="309"/>
      <c r="I1453" s="309"/>
      <c r="J1453" s="309"/>
    </row>
    <row r="1454">
      <c r="B1454" s="309"/>
      <c r="C1454" s="309"/>
      <c r="I1454" s="309"/>
      <c r="J1454" s="309"/>
    </row>
    <row r="1455">
      <c r="B1455" s="309"/>
      <c r="C1455" s="309"/>
      <c r="I1455" s="309"/>
      <c r="J1455" s="309"/>
    </row>
    <row r="1456">
      <c r="B1456" s="309"/>
      <c r="C1456" s="309"/>
      <c r="I1456" s="309"/>
      <c r="J1456" s="309"/>
    </row>
    <row r="1457">
      <c r="B1457" s="309"/>
      <c r="C1457" s="309"/>
      <c r="I1457" s="309"/>
      <c r="J1457" s="309"/>
    </row>
    <row r="1458">
      <c r="B1458" s="309"/>
      <c r="C1458" s="309"/>
      <c r="I1458" s="309"/>
      <c r="J1458" s="309"/>
    </row>
    <row r="1459">
      <c r="B1459" s="309"/>
      <c r="C1459" s="309"/>
      <c r="I1459" s="309"/>
      <c r="J1459" s="309"/>
    </row>
    <row r="1460">
      <c r="B1460" s="309"/>
      <c r="C1460" s="309"/>
      <c r="I1460" s="309"/>
      <c r="J1460" s="309"/>
    </row>
    <row r="1461">
      <c r="B1461" s="309"/>
      <c r="C1461" s="309"/>
      <c r="I1461" s="309"/>
      <c r="J1461" s="309"/>
    </row>
    <row r="1462">
      <c r="B1462" s="309"/>
      <c r="C1462" s="309"/>
      <c r="I1462" s="309"/>
      <c r="J1462" s="309"/>
    </row>
    <row r="1463">
      <c r="B1463" s="309"/>
      <c r="C1463" s="309"/>
      <c r="I1463" s="309"/>
      <c r="J1463" s="309"/>
    </row>
    <row r="1464">
      <c r="B1464" s="309"/>
      <c r="C1464" s="309"/>
      <c r="I1464" s="309"/>
      <c r="J1464" s="309"/>
    </row>
    <row r="1465">
      <c r="B1465" s="309"/>
      <c r="C1465" s="309"/>
      <c r="I1465" s="309"/>
      <c r="J1465" s="309"/>
    </row>
    <row r="1466">
      <c r="B1466" s="309"/>
      <c r="C1466" s="309"/>
      <c r="I1466" s="309"/>
      <c r="J1466" s="309"/>
    </row>
    <row r="1467">
      <c r="B1467" s="309"/>
      <c r="C1467" s="309"/>
      <c r="I1467" s="309"/>
      <c r="J1467" s="309"/>
    </row>
    <row r="1468">
      <c r="B1468" s="309"/>
      <c r="C1468" s="309"/>
      <c r="I1468" s="309"/>
      <c r="J1468" s="309"/>
    </row>
    <row r="1469">
      <c r="B1469" s="309"/>
      <c r="C1469" s="309"/>
      <c r="I1469" s="309"/>
      <c r="J1469" s="309"/>
    </row>
    <row r="1470">
      <c r="B1470" s="309"/>
      <c r="C1470" s="309"/>
      <c r="I1470" s="309"/>
      <c r="J1470" s="309"/>
    </row>
    <row r="1471">
      <c r="B1471" s="309"/>
      <c r="C1471" s="309"/>
      <c r="I1471" s="309"/>
      <c r="J1471" s="309"/>
    </row>
    <row r="1472">
      <c r="B1472" s="309"/>
      <c r="C1472" s="309"/>
      <c r="I1472" s="309"/>
      <c r="J1472" s="309"/>
    </row>
    <row r="1473">
      <c r="B1473" s="309"/>
      <c r="C1473" s="309"/>
      <c r="I1473" s="309"/>
      <c r="J1473" s="309"/>
    </row>
    <row r="1474">
      <c r="B1474" s="309"/>
      <c r="C1474" s="309"/>
      <c r="I1474" s="309"/>
      <c r="J1474" s="309"/>
    </row>
    <row r="1475">
      <c r="B1475" s="309"/>
      <c r="C1475" s="309"/>
      <c r="I1475" s="309"/>
      <c r="J1475" s="309"/>
    </row>
    <row r="1476">
      <c r="B1476" s="309"/>
      <c r="C1476" s="309"/>
      <c r="I1476" s="309"/>
      <c r="J1476" s="309"/>
    </row>
    <row r="1477">
      <c r="B1477" s="309"/>
      <c r="C1477" s="309"/>
      <c r="I1477" s="309"/>
      <c r="J1477" s="309"/>
    </row>
    <row r="1478">
      <c r="B1478" s="309"/>
      <c r="C1478" s="309"/>
      <c r="I1478" s="309"/>
      <c r="J1478" s="309"/>
    </row>
    <row r="1479">
      <c r="B1479" s="309"/>
      <c r="C1479" s="309"/>
      <c r="I1479" s="309"/>
      <c r="J1479" s="309"/>
    </row>
    <row r="1480">
      <c r="B1480" s="309"/>
      <c r="C1480" s="309"/>
      <c r="I1480" s="309"/>
      <c r="J1480" s="309"/>
    </row>
    <row r="1481">
      <c r="B1481" s="309"/>
      <c r="C1481" s="309"/>
      <c r="I1481" s="309"/>
      <c r="J1481" s="309"/>
    </row>
    <row r="1482">
      <c r="B1482" s="309"/>
      <c r="C1482" s="309"/>
      <c r="I1482" s="309"/>
      <c r="J1482" s="309"/>
    </row>
    <row r="1483">
      <c r="B1483" s="309"/>
      <c r="C1483" s="309"/>
      <c r="I1483" s="309"/>
      <c r="J1483" s="309"/>
    </row>
    <row r="1484">
      <c r="B1484" s="309"/>
      <c r="C1484" s="309"/>
      <c r="I1484" s="309"/>
      <c r="J1484" s="309"/>
    </row>
    <row r="1485">
      <c r="B1485" s="309"/>
      <c r="C1485" s="309"/>
      <c r="I1485" s="309"/>
      <c r="J1485" s="309"/>
    </row>
    <row r="1486">
      <c r="B1486" s="309"/>
      <c r="C1486" s="309"/>
      <c r="I1486" s="309"/>
      <c r="J1486" s="309"/>
    </row>
    <row r="1487">
      <c r="B1487" s="309"/>
      <c r="C1487" s="309"/>
      <c r="I1487" s="309"/>
      <c r="J1487" s="309"/>
    </row>
    <row r="1488">
      <c r="B1488" s="309"/>
      <c r="C1488" s="309"/>
      <c r="I1488" s="309"/>
      <c r="J1488" s="309"/>
    </row>
    <row r="1489">
      <c r="B1489" s="309"/>
      <c r="C1489" s="309"/>
      <c r="I1489" s="309"/>
      <c r="J1489" s="309"/>
    </row>
    <row r="1490">
      <c r="B1490" s="309"/>
      <c r="C1490" s="309"/>
      <c r="I1490" s="309"/>
      <c r="J1490" s="309"/>
    </row>
    <row r="1491">
      <c r="B1491" s="309"/>
      <c r="C1491" s="309"/>
      <c r="I1491" s="309"/>
      <c r="J1491" s="309"/>
    </row>
    <row r="1492">
      <c r="B1492" s="309"/>
      <c r="C1492" s="309"/>
      <c r="I1492" s="309"/>
      <c r="J1492" s="309"/>
    </row>
    <row r="1493">
      <c r="B1493" s="309"/>
      <c r="C1493" s="309"/>
      <c r="I1493" s="309"/>
      <c r="J1493" s="309"/>
    </row>
    <row r="1494">
      <c r="B1494" s="309"/>
      <c r="C1494" s="309"/>
      <c r="I1494" s="309"/>
      <c r="J1494" s="309"/>
    </row>
    <row r="1495">
      <c r="B1495" s="309"/>
      <c r="C1495" s="309"/>
      <c r="I1495" s="309"/>
      <c r="J1495" s="309"/>
    </row>
    <row r="1496">
      <c r="B1496" s="309"/>
      <c r="C1496" s="309"/>
      <c r="I1496" s="309"/>
      <c r="J1496" s="309"/>
    </row>
    <row r="1497">
      <c r="B1497" s="309"/>
      <c r="C1497" s="309"/>
      <c r="I1497" s="309"/>
      <c r="J1497" s="309"/>
    </row>
    <row r="1498">
      <c r="B1498" s="309"/>
      <c r="C1498" s="309"/>
      <c r="I1498" s="309"/>
      <c r="J1498" s="309"/>
    </row>
    <row r="1499">
      <c r="B1499" s="309"/>
      <c r="C1499" s="309"/>
      <c r="I1499" s="309"/>
      <c r="J1499" s="309"/>
    </row>
    <row r="1500">
      <c r="B1500" s="309"/>
      <c r="C1500" s="309"/>
      <c r="I1500" s="309"/>
      <c r="J1500" s="309"/>
    </row>
    <row r="1501">
      <c r="B1501" s="309"/>
      <c r="C1501" s="309"/>
      <c r="I1501" s="309"/>
      <c r="J1501" s="309"/>
    </row>
    <row r="1502">
      <c r="B1502" s="309"/>
      <c r="C1502" s="309"/>
      <c r="I1502" s="309"/>
      <c r="J1502" s="309"/>
    </row>
    <row r="1503">
      <c r="B1503" s="309"/>
      <c r="C1503" s="309"/>
      <c r="I1503" s="309"/>
      <c r="J1503" s="309"/>
    </row>
    <row r="1504">
      <c r="B1504" s="309"/>
      <c r="C1504" s="309"/>
      <c r="I1504" s="309"/>
      <c r="J1504" s="309"/>
    </row>
    <row r="1505">
      <c r="B1505" s="309"/>
      <c r="C1505" s="309"/>
      <c r="I1505" s="309"/>
      <c r="J1505" s="309"/>
    </row>
    <row r="1506">
      <c r="B1506" s="309"/>
      <c r="C1506" s="309"/>
      <c r="I1506" s="309"/>
      <c r="J1506" s="309"/>
    </row>
    <row r="1507">
      <c r="B1507" s="309"/>
      <c r="C1507" s="309"/>
      <c r="I1507" s="309"/>
      <c r="J1507" s="309"/>
    </row>
    <row r="1508">
      <c r="B1508" s="309"/>
      <c r="C1508" s="309"/>
      <c r="I1508" s="309"/>
      <c r="J1508" s="309"/>
    </row>
    <row r="1509">
      <c r="B1509" s="309"/>
      <c r="C1509" s="309"/>
      <c r="I1509" s="309"/>
      <c r="J1509" s="309"/>
    </row>
    <row r="1510">
      <c r="B1510" s="309"/>
      <c r="C1510" s="309"/>
      <c r="I1510" s="309"/>
      <c r="J1510" s="309"/>
    </row>
    <row r="1511">
      <c r="B1511" s="309"/>
      <c r="C1511" s="309"/>
      <c r="I1511" s="309"/>
      <c r="J1511" s="309"/>
    </row>
    <row r="1512">
      <c r="B1512" s="309"/>
      <c r="C1512" s="309"/>
      <c r="I1512" s="309"/>
      <c r="J1512" s="309"/>
    </row>
    <row r="1513">
      <c r="B1513" s="309"/>
      <c r="C1513" s="309"/>
      <c r="I1513" s="309"/>
      <c r="J1513" s="309"/>
    </row>
    <row r="1514">
      <c r="B1514" s="309"/>
      <c r="C1514" s="309"/>
      <c r="I1514" s="309"/>
      <c r="J1514" s="309"/>
    </row>
    <row r="1515">
      <c r="B1515" s="309"/>
      <c r="C1515" s="309"/>
      <c r="I1515" s="309"/>
      <c r="J1515" s="309"/>
    </row>
    <row r="1516">
      <c r="B1516" s="309"/>
      <c r="C1516" s="309"/>
      <c r="I1516" s="309"/>
      <c r="J1516" s="309"/>
    </row>
    <row r="1517">
      <c r="B1517" s="309"/>
      <c r="C1517" s="309"/>
      <c r="I1517" s="309"/>
      <c r="J1517" s="309"/>
    </row>
    <row r="1518">
      <c r="B1518" s="309"/>
      <c r="C1518" s="309"/>
      <c r="I1518" s="309"/>
      <c r="J1518" s="309"/>
    </row>
    <row r="1519">
      <c r="B1519" s="309"/>
      <c r="C1519" s="309"/>
      <c r="I1519" s="309"/>
      <c r="J1519" s="309"/>
    </row>
    <row r="1520">
      <c r="B1520" s="309"/>
      <c r="C1520" s="309"/>
      <c r="I1520" s="309"/>
      <c r="J1520" s="309"/>
    </row>
    <row r="1521">
      <c r="B1521" s="309"/>
      <c r="C1521" s="309"/>
      <c r="I1521" s="309"/>
      <c r="J1521" s="309"/>
    </row>
    <row r="1522">
      <c r="B1522" s="309"/>
      <c r="C1522" s="309"/>
      <c r="I1522" s="309"/>
      <c r="J1522" s="309"/>
    </row>
    <row r="1523">
      <c r="B1523" s="309"/>
      <c r="C1523" s="309"/>
      <c r="I1523" s="309"/>
      <c r="J1523" s="309"/>
    </row>
    <row r="1524">
      <c r="B1524" s="309"/>
      <c r="C1524" s="309"/>
      <c r="I1524" s="309"/>
      <c r="J1524" s="309"/>
    </row>
    <row r="1525">
      <c r="B1525" s="309"/>
      <c r="C1525" s="309"/>
      <c r="I1525" s="309"/>
      <c r="J1525" s="309"/>
    </row>
    <row r="1526">
      <c r="B1526" s="309"/>
      <c r="C1526" s="309"/>
      <c r="I1526" s="309"/>
      <c r="J1526" s="309"/>
    </row>
    <row r="1527">
      <c r="B1527" s="309"/>
      <c r="C1527" s="309"/>
      <c r="I1527" s="309"/>
      <c r="J1527" s="309"/>
    </row>
    <row r="1528">
      <c r="B1528" s="309"/>
      <c r="C1528" s="309"/>
      <c r="I1528" s="309"/>
      <c r="J1528" s="309"/>
    </row>
    <row r="1529">
      <c r="B1529" s="309"/>
      <c r="C1529" s="309"/>
      <c r="I1529" s="309"/>
      <c r="J1529" s="309"/>
    </row>
    <row r="1530">
      <c r="B1530" s="309"/>
      <c r="C1530" s="309"/>
      <c r="I1530" s="309"/>
      <c r="J1530" s="309"/>
    </row>
    <row r="1531">
      <c r="B1531" s="309"/>
      <c r="C1531" s="309"/>
      <c r="I1531" s="309"/>
      <c r="J1531" s="309"/>
    </row>
    <row r="1532">
      <c r="B1532" s="309"/>
      <c r="C1532" s="309"/>
      <c r="I1532" s="309"/>
      <c r="J1532" s="309"/>
    </row>
    <row r="1533">
      <c r="B1533" s="309"/>
      <c r="C1533" s="309"/>
      <c r="I1533" s="309"/>
      <c r="J1533" s="309"/>
    </row>
    <row r="1534">
      <c r="B1534" s="309"/>
      <c r="C1534" s="309"/>
      <c r="I1534" s="309"/>
      <c r="J1534" s="309"/>
    </row>
    <row r="1535">
      <c r="B1535" s="309"/>
      <c r="C1535" s="309"/>
      <c r="I1535" s="309"/>
      <c r="J1535" s="309"/>
    </row>
    <row r="1536">
      <c r="B1536" s="309"/>
      <c r="C1536" s="309"/>
      <c r="I1536" s="309"/>
      <c r="J1536" s="309"/>
    </row>
    <row r="1537">
      <c r="B1537" s="309"/>
      <c r="C1537" s="309"/>
      <c r="I1537" s="309"/>
      <c r="J1537" s="309"/>
    </row>
    <row r="1538">
      <c r="B1538" s="309"/>
      <c r="C1538" s="309"/>
      <c r="I1538" s="309"/>
      <c r="J1538" s="309"/>
    </row>
    <row r="1539">
      <c r="B1539" s="309"/>
      <c r="C1539" s="309"/>
      <c r="I1539" s="309"/>
      <c r="J1539" s="309"/>
    </row>
    <row r="1540">
      <c r="B1540" s="309"/>
      <c r="C1540" s="309"/>
      <c r="I1540" s="309"/>
      <c r="J1540" s="309"/>
    </row>
    <row r="1541">
      <c r="B1541" s="309"/>
      <c r="C1541" s="309"/>
      <c r="I1541" s="309"/>
      <c r="J1541" s="309"/>
    </row>
    <row r="1542">
      <c r="B1542" s="309"/>
      <c r="C1542" s="309"/>
      <c r="I1542" s="309"/>
      <c r="J1542" s="309"/>
    </row>
    <row r="1543">
      <c r="B1543" s="309"/>
      <c r="C1543" s="309"/>
      <c r="I1543" s="309"/>
      <c r="J1543" s="309"/>
    </row>
    <row r="1544">
      <c r="B1544" s="309"/>
      <c r="C1544" s="309"/>
      <c r="I1544" s="309"/>
      <c r="J1544" s="309"/>
    </row>
    <row r="1545">
      <c r="B1545" s="309"/>
      <c r="C1545" s="309"/>
      <c r="I1545" s="309"/>
      <c r="J1545" s="309"/>
    </row>
    <row r="1546">
      <c r="B1546" s="309"/>
      <c r="C1546" s="309"/>
      <c r="I1546" s="309"/>
      <c r="J1546" s="309"/>
    </row>
    <row r="1547">
      <c r="B1547" s="309"/>
      <c r="C1547" s="309"/>
      <c r="I1547" s="309"/>
      <c r="J1547" s="309"/>
    </row>
    <row r="1548">
      <c r="B1548" s="309"/>
      <c r="C1548" s="309"/>
      <c r="I1548" s="309"/>
      <c r="J1548" s="309"/>
    </row>
    <row r="1549">
      <c r="B1549" s="309"/>
      <c r="C1549" s="309"/>
      <c r="I1549" s="309"/>
      <c r="J1549" s="309"/>
    </row>
    <row r="1550">
      <c r="B1550" s="309"/>
      <c r="C1550" s="309"/>
      <c r="I1550" s="309"/>
      <c r="J1550" s="309"/>
    </row>
    <row r="1551">
      <c r="B1551" s="309"/>
      <c r="C1551" s="309"/>
      <c r="I1551" s="309"/>
      <c r="J1551" s="309"/>
    </row>
    <row r="1552">
      <c r="B1552" s="309"/>
      <c r="C1552" s="309"/>
      <c r="I1552" s="309"/>
      <c r="J1552" s="309"/>
    </row>
    <row r="1553">
      <c r="B1553" s="309"/>
      <c r="C1553" s="309"/>
      <c r="I1553" s="309"/>
      <c r="J1553" s="309"/>
    </row>
    <row r="1554">
      <c r="B1554" s="309"/>
      <c r="C1554" s="309"/>
      <c r="I1554" s="309"/>
      <c r="J1554" s="309"/>
    </row>
    <row r="1555">
      <c r="B1555" s="309"/>
      <c r="C1555" s="309"/>
      <c r="I1555" s="309"/>
      <c r="J1555" s="309"/>
    </row>
    <row r="1556">
      <c r="B1556" s="309"/>
      <c r="C1556" s="309"/>
      <c r="I1556" s="309"/>
      <c r="J1556" s="309"/>
    </row>
    <row r="1557">
      <c r="B1557" s="309"/>
      <c r="C1557" s="309"/>
      <c r="I1557" s="309"/>
      <c r="J1557" s="309"/>
    </row>
    <row r="1558">
      <c r="B1558" s="309"/>
      <c r="C1558" s="309"/>
      <c r="I1558" s="309"/>
      <c r="J1558" s="309"/>
    </row>
    <row r="1559">
      <c r="B1559" s="309"/>
      <c r="C1559" s="309"/>
      <c r="I1559" s="309"/>
      <c r="J1559" s="309"/>
    </row>
    <row r="1560">
      <c r="B1560" s="309"/>
      <c r="C1560" s="309"/>
      <c r="I1560" s="309"/>
      <c r="J1560" s="309"/>
    </row>
    <row r="1561">
      <c r="B1561" s="309"/>
      <c r="C1561" s="309"/>
      <c r="I1561" s="309"/>
      <c r="J1561" s="309"/>
    </row>
    <row r="1562">
      <c r="B1562" s="309"/>
      <c r="C1562" s="309"/>
      <c r="I1562" s="309"/>
      <c r="J1562" s="309"/>
    </row>
    <row r="1563">
      <c r="B1563" s="309"/>
      <c r="C1563" s="309"/>
      <c r="I1563" s="309"/>
      <c r="J1563" s="309"/>
    </row>
    <row r="1564">
      <c r="B1564" s="309"/>
      <c r="C1564" s="309"/>
      <c r="I1564" s="309"/>
      <c r="J1564" s="309"/>
    </row>
    <row r="1565">
      <c r="B1565" s="309"/>
      <c r="C1565" s="309"/>
      <c r="I1565" s="309"/>
      <c r="J1565" s="309"/>
    </row>
    <row r="1566">
      <c r="B1566" s="309"/>
      <c r="C1566" s="309"/>
      <c r="I1566" s="309"/>
      <c r="J1566" s="309"/>
    </row>
    <row r="1567">
      <c r="B1567" s="309"/>
      <c r="C1567" s="309"/>
      <c r="I1567" s="309"/>
      <c r="J1567" s="309"/>
    </row>
    <row r="1568">
      <c r="B1568" s="309"/>
      <c r="C1568" s="309"/>
      <c r="I1568" s="309"/>
      <c r="J1568" s="309"/>
    </row>
    <row r="1569">
      <c r="B1569" s="309"/>
      <c r="C1569" s="309"/>
      <c r="I1569" s="309"/>
      <c r="J1569" s="309"/>
    </row>
    <row r="1570">
      <c r="B1570" s="309"/>
      <c r="C1570" s="309"/>
      <c r="I1570" s="309"/>
      <c r="J1570" s="309"/>
    </row>
    <row r="1571">
      <c r="B1571" s="309"/>
      <c r="C1571" s="309"/>
      <c r="I1571" s="309"/>
      <c r="J1571" s="309"/>
    </row>
    <row r="1572">
      <c r="B1572" s="309"/>
      <c r="C1572" s="309"/>
      <c r="I1572" s="309"/>
      <c r="J1572" s="309"/>
    </row>
    <row r="1573">
      <c r="B1573" s="309"/>
      <c r="C1573" s="309"/>
      <c r="I1573" s="309"/>
      <c r="J1573" s="309"/>
    </row>
    <row r="1574">
      <c r="B1574" s="309"/>
      <c r="C1574" s="309"/>
      <c r="I1574" s="309"/>
      <c r="J1574" s="309"/>
    </row>
    <row r="1575">
      <c r="B1575" s="309"/>
      <c r="C1575" s="309"/>
      <c r="I1575" s="309"/>
      <c r="J1575" s="309"/>
    </row>
    <row r="1576">
      <c r="B1576" s="309"/>
      <c r="C1576" s="309"/>
      <c r="I1576" s="309"/>
      <c r="J1576" s="309"/>
    </row>
    <row r="1577">
      <c r="B1577" s="309"/>
      <c r="C1577" s="309"/>
      <c r="I1577" s="309"/>
      <c r="J1577" s="309"/>
    </row>
    <row r="1578">
      <c r="B1578" s="309"/>
      <c r="C1578" s="309"/>
      <c r="I1578" s="309"/>
      <c r="J1578" s="309"/>
    </row>
    <row r="1579">
      <c r="B1579" s="309"/>
      <c r="C1579" s="309"/>
      <c r="I1579" s="309"/>
      <c r="J1579" s="309"/>
    </row>
    <row r="1580">
      <c r="B1580" s="309"/>
      <c r="C1580" s="309"/>
      <c r="I1580" s="309"/>
      <c r="J1580" s="309"/>
    </row>
    <row r="1581">
      <c r="B1581" s="309"/>
      <c r="C1581" s="309"/>
      <c r="I1581" s="309"/>
      <c r="J1581" s="309"/>
    </row>
    <row r="1582">
      <c r="B1582" s="309"/>
      <c r="C1582" s="309"/>
      <c r="I1582" s="309"/>
      <c r="J1582" s="309"/>
    </row>
    <row r="1583">
      <c r="B1583" s="309"/>
      <c r="C1583" s="309"/>
      <c r="I1583" s="309"/>
      <c r="J1583" s="309"/>
    </row>
    <row r="1584">
      <c r="B1584" s="309"/>
      <c r="C1584" s="309"/>
      <c r="I1584" s="309"/>
      <c r="J1584" s="309"/>
    </row>
    <row r="1585">
      <c r="B1585" s="309"/>
      <c r="C1585" s="309"/>
      <c r="I1585" s="309"/>
      <c r="J1585" s="309"/>
    </row>
    <row r="1586">
      <c r="B1586" s="309"/>
      <c r="C1586" s="309"/>
      <c r="I1586" s="309"/>
      <c r="J1586" s="309"/>
    </row>
    <row r="1587">
      <c r="B1587" s="309"/>
      <c r="C1587" s="309"/>
      <c r="I1587" s="309"/>
      <c r="J1587" s="309"/>
    </row>
    <row r="1588">
      <c r="B1588" s="309"/>
      <c r="C1588" s="309"/>
      <c r="I1588" s="309"/>
      <c r="J1588" s="309"/>
    </row>
    <row r="1589">
      <c r="B1589" s="309"/>
      <c r="C1589" s="309"/>
      <c r="I1589" s="309"/>
      <c r="J1589" s="309"/>
    </row>
    <row r="1590">
      <c r="B1590" s="309"/>
      <c r="C1590" s="309"/>
      <c r="I1590" s="309"/>
      <c r="J1590" s="309"/>
    </row>
    <row r="1591">
      <c r="B1591" s="309"/>
      <c r="C1591" s="309"/>
      <c r="I1591" s="309"/>
      <c r="J1591" s="309"/>
    </row>
    <row r="1592">
      <c r="B1592" s="309"/>
      <c r="C1592" s="309"/>
      <c r="I1592" s="309"/>
      <c r="J1592" s="309"/>
    </row>
    <row r="1593">
      <c r="B1593" s="309"/>
      <c r="C1593" s="309"/>
      <c r="I1593" s="309"/>
      <c r="J1593" s="309"/>
    </row>
    <row r="1594">
      <c r="B1594" s="309"/>
      <c r="C1594" s="309"/>
      <c r="I1594" s="309"/>
      <c r="J1594" s="309"/>
    </row>
    <row r="1595">
      <c r="B1595" s="309"/>
      <c r="C1595" s="309"/>
      <c r="I1595" s="309"/>
      <c r="J1595" s="309"/>
    </row>
    <row r="1596">
      <c r="B1596" s="309"/>
      <c r="C1596" s="309"/>
      <c r="I1596" s="309"/>
      <c r="J1596" s="309"/>
    </row>
    <row r="1597">
      <c r="B1597" s="309"/>
      <c r="C1597" s="309"/>
      <c r="I1597" s="309"/>
      <c r="J1597" s="309"/>
    </row>
    <row r="1598">
      <c r="B1598" s="309"/>
      <c r="C1598" s="309"/>
      <c r="I1598" s="309"/>
      <c r="J1598" s="309"/>
    </row>
    <row r="1599">
      <c r="B1599" s="309"/>
      <c r="C1599" s="309"/>
      <c r="I1599" s="309"/>
      <c r="J1599" s="309"/>
    </row>
    <row r="1600">
      <c r="B1600" s="309"/>
      <c r="C1600" s="309"/>
      <c r="I1600" s="309"/>
      <c r="J1600" s="309"/>
    </row>
    <row r="1601">
      <c r="B1601" s="309"/>
      <c r="C1601" s="309"/>
      <c r="I1601" s="309"/>
      <c r="J1601" s="309"/>
    </row>
    <row r="1602">
      <c r="B1602" s="309"/>
      <c r="C1602" s="309"/>
      <c r="I1602" s="309"/>
      <c r="J1602" s="309"/>
    </row>
    <row r="1603">
      <c r="B1603" s="309"/>
      <c r="C1603" s="309"/>
      <c r="I1603" s="309"/>
      <c r="J1603" s="309"/>
    </row>
    <row r="1604">
      <c r="B1604" s="309"/>
      <c r="C1604" s="309"/>
      <c r="I1604" s="309"/>
      <c r="J1604" s="309"/>
    </row>
    <row r="1605">
      <c r="B1605" s="309"/>
      <c r="C1605" s="309"/>
      <c r="I1605" s="309"/>
      <c r="J1605" s="309"/>
    </row>
    <row r="1606">
      <c r="B1606" s="309"/>
      <c r="C1606" s="309"/>
      <c r="I1606" s="309"/>
      <c r="J1606" s="309"/>
    </row>
    <row r="1607">
      <c r="B1607" s="309"/>
      <c r="C1607" s="309"/>
      <c r="I1607" s="309"/>
      <c r="J1607" s="309"/>
    </row>
    <row r="1608">
      <c r="B1608" s="309"/>
      <c r="C1608" s="309"/>
      <c r="I1608" s="309"/>
      <c r="J1608" s="309"/>
    </row>
    <row r="1609">
      <c r="B1609" s="309"/>
      <c r="C1609" s="309"/>
      <c r="I1609" s="309"/>
      <c r="J1609" s="309"/>
    </row>
    <row r="1610">
      <c r="B1610" s="309"/>
      <c r="C1610" s="309"/>
      <c r="I1610" s="309"/>
      <c r="J1610" s="309"/>
    </row>
    <row r="1611">
      <c r="B1611" s="309"/>
      <c r="C1611" s="309"/>
      <c r="I1611" s="309"/>
      <c r="J1611" s="309"/>
    </row>
    <row r="1612">
      <c r="B1612" s="309"/>
      <c r="C1612" s="309"/>
      <c r="I1612" s="309"/>
      <c r="J1612" s="309"/>
    </row>
    <row r="1613">
      <c r="B1613" s="309"/>
      <c r="C1613" s="309"/>
      <c r="I1613" s="309"/>
      <c r="J1613" s="309"/>
    </row>
    <row r="1614">
      <c r="B1614" s="309"/>
      <c r="C1614" s="309"/>
      <c r="I1614" s="309"/>
      <c r="J1614" s="309"/>
    </row>
    <row r="1615">
      <c r="B1615" s="309"/>
      <c r="C1615" s="309"/>
      <c r="I1615" s="309"/>
      <c r="J1615" s="309"/>
    </row>
    <row r="1616">
      <c r="B1616" s="309"/>
      <c r="C1616" s="309"/>
      <c r="I1616" s="309"/>
      <c r="J1616" s="309"/>
    </row>
    <row r="1617">
      <c r="B1617" s="309"/>
      <c r="C1617" s="309"/>
      <c r="I1617" s="309"/>
      <c r="J1617" s="309"/>
    </row>
    <row r="1618">
      <c r="B1618" s="309"/>
      <c r="C1618" s="309"/>
      <c r="I1618" s="309"/>
      <c r="J1618" s="309"/>
    </row>
    <row r="1619">
      <c r="B1619" s="309"/>
      <c r="C1619" s="309"/>
      <c r="I1619" s="309"/>
      <c r="J1619" s="309"/>
    </row>
    <row r="1620">
      <c r="B1620" s="309"/>
      <c r="C1620" s="309"/>
      <c r="I1620" s="309"/>
      <c r="J1620" s="309"/>
    </row>
    <row r="1621">
      <c r="B1621" s="309"/>
      <c r="C1621" s="309"/>
      <c r="I1621" s="309"/>
      <c r="J1621" s="309"/>
    </row>
    <row r="1622">
      <c r="B1622" s="309"/>
      <c r="C1622" s="309"/>
      <c r="I1622" s="309"/>
      <c r="J1622" s="309"/>
    </row>
    <row r="1623">
      <c r="B1623" s="309"/>
      <c r="C1623" s="309"/>
      <c r="I1623" s="309"/>
      <c r="J1623" s="309"/>
    </row>
    <row r="1624">
      <c r="B1624" s="309"/>
      <c r="C1624" s="309"/>
      <c r="I1624" s="309"/>
      <c r="J1624" s="309"/>
    </row>
    <row r="1625">
      <c r="B1625" s="309"/>
      <c r="C1625" s="309"/>
      <c r="I1625" s="309"/>
      <c r="J1625" s="309"/>
    </row>
    <row r="1626">
      <c r="B1626" s="309"/>
      <c r="C1626" s="309"/>
      <c r="I1626" s="309"/>
      <c r="J1626" s="309"/>
    </row>
    <row r="1627">
      <c r="B1627" s="309"/>
      <c r="C1627" s="309"/>
      <c r="I1627" s="309"/>
      <c r="J1627" s="309"/>
    </row>
    <row r="1628">
      <c r="B1628" s="309"/>
      <c r="C1628" s="309"/>
      <c r="I1628" s="309"/>
      <c r="J1628" s="309"/>
    </row>
    <row r="1629">
      <c r="B1629" s="309"/>
      <c r="C1629" s="309"/>
      <c r="I1629" s="309"/>
      <c r="J1629" s="309"/>
    </row>
    <row r="1630">
      <c r="B1630" s="309"/>
      <c r="C1630" s="309"/>
      <c r="I1630" s="309"/>
      <c r="J1630" s="309"/>
    </row>
    <row r="1631">
      <c r="B1631" s="309"/>
      <c r="C1631" s="309"/>
      <c r="I1631" s="309"/>
      <c r="J1631" s="309"/>
    </row>
    <row r="1632">
      <c r="B1632" s="309"/>
      <c r="C1632" s="309"/>
      <c r="I1632" s="309"/>
      <c r="J1632" s="309"/>
    </row>
    <row r="1633">
      <c r="B1633" s="309"/>
      <c r="C1633" s="309"/>
      <c r="I1633" s="309"/>
      <c r="J1633" s="309"/>
    </row>
    <row r="1634">
      <c r="B1634" s="309"/>
      <c r="C1634" s="309"/>
      <c r="I1634" s="309"/>
      <c r="J1634" s="309"/>
    </row>
    <row r="1635">
      <c r="B1635" s="309"/>
      <c r="C1635" s="309"/>
      <c r="I1635" s="309"/>
      <c r="J1635" s="309"/>
    </row>
    <row r="1636">
      <c r="B1636" s="309"/>
      <c r="C1636" s="309"/>
      <c r="I1636" s="309"/>
      <c r="J1636" s="309"/>
    </row>
    <row r="1637">
      <c r="B1637" s="309"/>
      <c r="C1637" s="309"/>
      <c r="I1637" s="309"/>
      <c r="J1637" s="309"/>
    </row>
    <row r="1638">
      <c r="B1638" s="309"/>
      <c r="C1638" s="309"/>
      <c r="I1638" s="309"/>
      <c r="J1638" s="309"/>
    </row>
    <row r="1639">
      <c r="B1639" s="309"/>
      <c r="C1639" s="309"/>
      <c r="I1639" s="309"/>
      <c r="J1639" s="309"/>
    </row>
    <row r="1640">
      <c r="B1640" s="309"/>
      <c r="C1640" s="309"/>
      <c r="I1640" s="309"/>
      <c r="J1640" s="309"/>
    </row>
    <row r="1641">
      <c r="B1641" s="309"/>
      <c r="C1641" s="309"/>
      <c r="I1641" s="309"/>
      <c r="J1641" s="309"/>
    </row>
    <row r="1642">
      <c r="B1642" s="309"/>
      <c r="C1642" s="309"/>
      <c r="I1642" s="309"/>
      <c r="J1642" s="309"/>
    </row>
    <row r="1643">
      <c r="B1643" s="309"/>
      <c r="C1643" s="309"/>
      <c r="I1643" s="309"/>
      <c r="J1643" s="309"/>
    </row>
    <row r="1644">
      <c r="B1644" s="309"/>
      <c r="C1644" s="309"/>
      <c r="I1644" s="309"/>
      <c r="J1644" s="309"/>
    </row>
    <row r="1645">
      <c r="B1645" s="309"/>
      <c r="C1645" s="309"/>
      <c r="I1645" s="309"/>
      <c r="J1645" s="309"/>
    </row>
    <row r="1646">
      <c r="B1646" s="309"/>
      <c r="C1646" s="309"/>
      <c r="I1646" s="309"/>
      <c r="J1646" s="309"/>
    </row>
    <row r="1647">
      <c r="B1647" s="309"/>
      <c r="C1647" s="309"/>
      <c r="I1647" s="309"/>
      <c r="J1647" s="309"/>
    </row>
    <row r="1648">
      <c r="B1648" s="309"/>
      <c r="C1648" s="309"/>
      <c r="I1648" s="309"/>
      <c r="J1648" s="309"/>
    </row>
    <row r="1649">
      <c r="B1649" s="309"/>
      <c r="C1649" s="309"/>
      <c r="I1649" s="309"/>
      <c r="J1649" s="309"/>
    </row>
    <row r="1650">
      <c r="B1650" s="309"/>
      <c r="C1650" s="309"/>
      <c r="I1650" s="309"/>
      <c r="J1650" s="309"/>
    </row>
    <row r="1651">
      <c r="B1651" s="309"/>
      <c r="C1651" s="309"/>
      <c r="I1651" s="309"/>
      <c r="J1651" s="309"/>
    </row>
    <row r="1652">
      <c r="B1652" s="309"/>
      <c r="C1652" s="309"/>
      <c r="I1652" s="309"/>
      <c r="J1652" s="309"/>
    </row>
    <row r="1653">
      <c r="B1653" s="309"/>
      <c r="C1653" s="309"/>
      <c r="I1653" s="309"/>
      <c r="J1653" s="309"/>
    </row>
    <row r="1654">
      <c r="B1654" s="309"/>
      <c r="C1654" s="309"/>
      <c r="I1654" s="309"/>
      <c r="J1654" s="309"/>
    </row>
    <row r="1655">
      <c r="B1655" s="309"/>
      <c r="C1655" s="309"/>
      <c r="I1655" s="309"/>
      <c r="J1655" s="309"/>
    </row>
    <row r="1656">
      <c r="B1656" s="309"/>
      <c r="C1656" s="309"/>
      <c r="I1656" s="309"/>
      <c r="J1656" s="309"/>
    </row>
    <row r="1657">
      <c r="B1657" s="309"/>
      <c r="C1657" s="309"/>
      <c r="I1657" s="309"/>
      <c r="J1657" s="309"/>
    </row>
    <row r="1658">
      <c r="B1658" s="309"/>
      <c r="C1658" s="309"/>
      <c r="I1658" s="309"/>
      <c r="J1658" s="309"/>
    </row>
    <row r="1659">
      <c r="B1659" s="309"/>
      <c r="C1659" s="309"/>
      <c r="I1659" s="309"/>
      <c r="J1659" s="309"/>
    </row>
    <row r="1660">
      <c r="B1660" s="309"/>
      <c r="C1660" s="309"/>
      <c r="I1660" s="309"/>
      <c r="J1660" s="309"/>
    </row>
    <row r="1661">
      <c r="B1661" s="309"/>
      <c r="C1661" s="309"/>
      <c r="I1661" s="309"/>
      <c r="J1661" s="309"/>
    </row>
    <row r="1662">
      <c r="B1662" s="309"/>
      <c r="C1662" s="309"/>
      <c r="I1662" s="309"/>
      <c r="J1662" s="309"/>
    </row>
    <row r="1663">
      <c r="B1663" s="309"/>
      <c r="C1663" s="309"/>
      <c r="I1663" s="309"/>
      <c r="J1663" s="309"/>
    </row>
    <row r="1664">
      <c r="B1664" s="309"/>
      <c r="C1664" s="309"/>
      <c r="I1664" s="309"/>
      <c r="J1664" s="309"/>
    </row>
    <row r="1665">
      <c r="B1665" s="309"/>
      <c r="C1665" s="309"/>
      <c r="I1665" s="309"/>
      <c r="J1665" s="309"/>
    </row>
    <row r="1666">
      <c r="B1666" s="309"/>
      <c r="C1666" s="309"/>
      <c r="I1666" s="309"/>
      <c r="J1666" s="309"/>
    </row>
    <row r="1667">
      <c r="B1667" s="309"/>
      <c r="C1667" s="309"/>
      <c r="I1667" s="309"/>
      <c r="J1667" s="309"/>
    </row>
    <row r="1668">
      <c r="B1668" s="309"/>
      <c r="C1668" s="309"/>
      <c r="I1668" s="309"/>
      <c r="J1668" s="309"/>
    </row>
    <row r="1669">
      <c r="B1669" s="309"/>
      <c r="C1669" s="309"/>
      <c r="I1669" s="309"/>
      <c r="J1669" s="309"/>
    </row>
    <row r="1670">
      <c r="B1670" s="309"/>
      <c r="C1670" s="309"/>
      <c r="I1670" s="309"/>
      <c r="J1670" s="309"/>
    </row>
    <row r="1671">
      <c r="B1671" s="309"/>
      <c r="C1671" s="309"/>
      <c r="I1671" s="309"/>
      <c r="J1671" s="309"/>
    </row>
    <row r="1672">
      <c r="B1672" s="309"/>
      <c r="C1672" s="309"/>
      <c r="I1672" s="309"/>
      <c r="J1672" s="309"/>
    </row>
    <row r="1673">
      <c r="B1673" s="309"/>
      <c r="C1673" s="309"/>
      <c r="I1673" s="309"/>
      <c r="J1673" s="309"/>
    </row>
    <row r="1674">
      <c r="B1674" s="309"/>
      <c r="C1674" s="309"/>
      <c r="I1674" s="309"/>
      <c r="J1674" s="309"/>
    </row>
    <row r="1675">
      <c r="B1675" s="309"/>
      <c r="C1675" s="309"/>
      <c r="I1675" s="309"/>
      <c r="J1675" s="309"/>
    </row>
    <row r="1676">
      <c r="B1676" s="309"/>
      <c r="C1676" s="309"/>
      <c r="I1676" s="309"/>
      <c r="J1676" s="309"/>
    </row>
    <row r="1677">
      <c r="B1677" s="309"/>
      <c r="C1677" s="309"/>
      <c r="I1677" s="309"/>
      <c r="J1677" s="309"/>
    </row>
    <row r="1678">
      <c r="B1678" s="309"/>
      <c r="C1678" s="309"/>
      <c r="I1678" s="309"/>
      <c r="J1678" s="309"/>
    </row>
    <row r="1679">
      <c r="B1679" s="309"/>
      <c r="C1679" s="309"/>
      <c r="I1679" s="309"/>
      <c r="J1679" s="309"/>
    </row>
    <row r="1680">
      <c r="B1680" s="309"/>
      <c r="C1680" s="309"/>
      <c r="I1680" s="309"/>
      <c r="J1680" s="309"/>
    </row>
    <row r="1681">
      <c r="B1681" s="309"/>
      <c r="C1681" s="309"/>
      <c r="I1681" s="309"/>
      <c r="J1681" s="309"/>
    </row>
    <row r="1682">
      <c r="B1682" s="309"/>
      <c r="C1682" s="309"/>
      <c r="I1682" s="309"/>
      <c r="J1682" s="309"/>
    </row>
    <row r="1683">
      <c r="B1683" s="309"/>
      <c r="C1683" s="309"/>
      <c r="I1683" s="309"/>
      <c r="J1683" s="309"/>
    </row>
    <row r="1684">
      <c r="B1684" s="309"/>
      <c r="C1684" s="309"/>
      <c r="I1684" s="309"/>
      <c r="J1684" s="309"/>
    </row>
    <row r="1685">
      <c r="B1685" s="309"/>
      <c r="C1685" s="309"/>
      <c r="I1685" s="309"/>
      <c r="J1685" s="309"/>
    </row>
    <row r="1686">
      <c r="B1686" s="309"/>
      <c r="C1686" s="309"/>
      <c r="I1686" s="309"/>
      <c r="J1686" s="309"/>
    </row>
    <row r="1687">
      <c r="B1687" s="309"/>
      <c r="C1687" s="309"/>
      <c r="I1687" s="309"/>
      <c r="J1687" s="309"/>
    </row>
    <row r="1688">
      <c r="B1688" s="309"/>
      <c r="C1688" s="309"/>
      <c r="I1688" s="309"/>
      <c r="J1688" s="309"/>
    </row>
    <row r="1689">
      <c r="B1689" s="309"/>
      <c r="C1689" s="309"/>
      <c r="I1689" s="309"/>
      <c r="J1689" s="309"/>
    </row>
    <row r="1690">
      <c r="B1690" s="309"/>
      <c r="C1690" s="309"/>
      <c r="I1690" s="309"/>
      <c r="J1690" s="309"/>
    </row>
    <row r="1691">
      <c r="B1691" s="309"/>
      <c r="C1691" s="309"/>
      <c r="I1691" s="309"/>
      <c r="J1691" s="309"/>
    </row>
    <row r="1692">
      <c r="B1692" s="309"/>
      <c r="C1692" s="309"/>
      <c r="I1692" s="309"/>
      <c r="J1692" s="309"/>
    </row>
    <row r="1693">
      <c r="B1693" s="309"/>
      <c r="C1693" s="309"/>
      <c r="I1693" s="309"/>
      <c r="J1693" s="309"/>
    </row>
    <row r="1694">
      <c r="B1694" s="309"/>
      <c r="C1694" s="309"/>
      <c r="I1694" s="309"/>
      <c r="J1694" s="309"/>
    </row>
    <row r="1695">
      <c r="B1695" s="309"/>
      <c r="C1695" s="309"/>
      <c r="I1695" s="309"/>
      <c r="J1695" s="309"/>
    </row>
    <row r="1696">
      <c r="B1696" s="309"/>
      <c r="C1696" s="309"/>
      <c r="I1696" s="309"/>
      <c r="J1696" s="309"/>
    </row>
    <row r="1697">
      <c r="B1697" s="309"/>
      <c r="C1697" s="309"/>
      <c r="I1697" s="309"/>
      <c r="J1697" s="309"/>
    </row>
    <row r="1698">
      <c r="B1698" s="309"/>
      <c r="C1698" s="309"/>
      <c r="I1698" s="309"/>
      <c r="J1698" s="309"/>
    </row>
    <row r="1699">
      <c r="B1699" s="309"/>
      <c r="C1699" s="309"/>
      <c r="I1699" s="309"/>
      <c r="J1699" s="309"/>
    </row>
    <row r="1700">
      <c r="B1700" s="309"/>
      <c r="C1700" s="309"/>
      <c r="I1700" s="309"/>
      <c r="J1700" s="309"/>
    </row>
    <row r="1701">
      <c r="B1701" s="309"/>
      <c r="C1701" s="309"/>
      <c r="I1701" s="309"/>
      <c r="J1701" s="309"/>
    </row>
    <row r="1702">
      <c r="B1702" s="309"/>
      <c r="C1702" s="309"/>
      <c r="I1702" s="309"/>
      <c r="J1702" s="309"/>
    </row>
    <row r="1703">
      <c r="B1703" s="309"/>
      <c r="C1703" s="309"/>
      <c r="I1703" s="309"/>
      <c r="J1703" s="309"/>
    </row>
    <row r="1704">
      <c r="B1704" s="309"/>
      <c r="C1704" s="309"/>
      <c r="I1704" s="309"/>
      <c r="J1704" s="309"/>
    </row>
    <row r="1705">
      <c r="B1705" s="309"/>
      <c r="C1705" s="309"/>
      <c r="I1705" s="309"/>
      <c r="J1705" s="309"/>
    </row>
    <row r="1706">
      <c r="B1706" s="309"/>
      <c r="C1706" s="309"/>
      <c r="I1706" s="309"/>
      <c r="J1706" s="309"/>
    </row>
    <row r="1707">
      <c r="B1707" s="309"/>
      <c r="C1707" s="309"/>
      <c r="I1707" s="309"/>
      <c r="J1707" s="309"/>
    </row>
    <row r="1708">
      <c r="B1708" s="309"/>
      <c r="C1708" s="309"/>
      <c r="I1708" s="309"/>
      <c r="J1708" s="309"/>
    </row>
    <row r="1709">
      <c r="B1709" s="309"/>
      <c r="C1709" s="309"/>
      <c r="I1709" s="309"/>
      <c r="J1709" s="309"/>
    </row>
    <row r="1710">
      <c r="B1710" s="309"/>
      <c r="C1710" s="309"/>
      <c r="I1710" s="309"/>
      <c r="J1710" s="309"/>
    </row>
    <row r="1711">
      <c r="B1711" s="309"/>
      <c r="C1711" s="309"/>
      <c r="I1711" s="309"/>
      <c r="J1711" s="309"/>
    </row>
    <row r="1712">
      <c r="B1712" s="309"/>
      <c r="C1712" s="309"/>
      <c r="I1712" s="309"/>
      <c r="J1712" s="309"/>
    </row>
    <row r="1713">
      <c r="B1713" s="309"/>
      <c r="C1713" s="309"/>
      <c r="I1713" s="309"/>
      <c r="J1713" s="309"/>
    </row>
    <row r="1714">
      <c r="B1714" s="309"/>
      <c r="C1714" s="309"/>
      <c r="I1714" s="309"/>
      <c r="J1714" s="309"/>
    </row>
    <row r="1715">
      <c r="B1715" s="309"/>
      <c r="C1715" s="309"/>
      <c r="I1715" s="309"/>
      <c r="J1715" s="309"/>
    </row>
    <row r="1716">
      <c r="B1716" s="309"/>
      <c r="C1716" s="309"/>
      <c r="I1716" s="309"/>
      <c r="J1716" s="309"/>
    </row>
    <row r="1717">
      <c r="B1717" s="309"/>
      <c r="C1717" s="309"/>
      <c r="I1717" s="309"/>
      <c r="J1717" s="309"/>
    </row>
    <row r="1718">
      <c r="B1718" s="309"/>
      <c r="C1718" s="309"/>
      <c r="I1718" s="309"/>
      <c r="J1718" s="309"/>
    </row>
    <row r="1719">
      <c r="B1719" s="309"/>
      <c r="C1719" s="309"/>
      <c r="I1719" s="309"/>
      <c r="J1719" s="309"/>
    </row>
    <row r="1720">
      <c r="B1720" s="309"/>
      <c r="C1720" s="309"/>
      <c r="I1720" s="309"/>
      <c r="J1720" s="309"/>
    </row>
    <row r="1721">
      <c r="B1721" s="309"/>
      <c r="C1721" s="309"/>
      <c r="I1721" s="309"/>
      <c r="J1721" s="309"/>
    </row>
    <row r="1722">
      <c r="B1722" s="309"/>
      <c r="C1722" s="309"/>
      <c r="I1722" s="309"/>
      <c r="J1722" s="309"/>
    </row>
    <row r="1723">
      <c r="B1723" s="309"/>
      <c r="C1723" s="309"/>
      <c r="I1723" s="309"/>
      <c r="J1723" s="309"/>
    </row>
    <row r="1724">
      <c r="B1724" s="309"/>
      <c r="C1724" s="309"/>
      <c r="I1724" s="309"/>
      <c r="J1724" s="309"/>
    </row>
    <row r="1725">
      <c r="B1725" s="309"/>
      <c r="C1725" s="309"/>
      <c r="I1725" s="309"/>
      <c r="J1725" s="309"/>
    </row>
    <row r="1726">
      <c r="B1726" s="309"/>
      <c r="C1726" s="309"/>
      <c r="I1726" s="309"/>
      <c r="J1726" s="309"/>
    </row>
    <row r="1727">
      <c r="B1727" s="309"/>
      <c r="C1727" s="309"/>
      <c r="I1727" s="309"/>
      <c r="J1727" s="309"/>
    </row>
    <row r="1728">
      <c r="B1728" s="309"/>
      <c r="C1728" s="309"/>
      <c r="I1728" s="309"/>
      <c r="J1728" s="309"/>
    </row>
    <row r="1729">
      <c r="B1729" s="309"/>
      <c r="C1729" s="309"/>
      <c r="I1729" s="309"/>
      <c r="J1729" s="309"/>
    </row>
    <row r="1730">
      <c r="B1730" s="309"/>
      <c r="C1730" s="309"/>
      <c r="I1730" s="309"/>
      <c r="J1730" s="309"/>
    </row>
    <row r="1731">
      <c r="B1731" s="309"/>
      <c r="C1731" s="309"/>
      <c r="I1731" s="309"/>
      <c r="J1731" s="309"/>
    </row>
    <row r="1732">
      <c r="B1732" s="309"/>
      <c r="C1732" s="309"/>
      <c r="I1732" s="309"/>
      <c r="J1732" s="309"/>
    </row>
    <row r="1733">
      <c r="B1733" s="309"/>
      <c r="C1733" s="309"/>
      <c r="I1733" s="309"/>
      <c r="J1733" s="309"/>
    </row>
    <row r="1734">
      <c r="B1734" s="309"/>
      <c r="C1734" s="309"/>
      <c r="I1734" s="309"/>
      <c r="J1734" s="309"/>
    </row>
    <row r="1735">
      <c r="B1735" s="309"/>
      <c r="C1735" s="309"/>
      <c r="I1735" s="309"/>
      <c r="J1735" s="309"/>
    </row>
    <row r="1736">
      <c r="B1736" s="309"/>
      <c r="C1736" s="309"/>
      <c r="I1736" s="309"/>
      <c r="J1736" s="309"/>
    </row>
    <row r="1737">
      <c r="B1737" s="309"/>
      <c r="C1737" s="309"/>
      <c r="I1737" s="309"/>
      <c r="J1737" s="309"/>
    </row>
    <row r="1738">
      <c r="B1738" s="309"/>
      <c r="C1738" s="309"/>
      <c r="I1738" s="309"/>
      <c r="J1738" s="309"/>
    </row>
    <row r="1739">
      <c r="B1739" s="309"/>
      <c r="C1739" s="309"/>
      <c r="I1739" s="309"/>
      <c r="J1739" s="309"/>
    </row>
    <row r="1740">
      <c r="B1740" s="309"/>
      <c r="C1740" s="309"/>
      <c r="I1740" s="309"/>
      <c r="J1740" s="309"/>
    </row>
    <row r="1741">
      <c r="B1741" s="309"/>
      <c r="C1741" s="309"/>
      <c r="I1741" s="309"/>
      <c r="J1741" s="309"/>
    </row>
    <row r="1742">
      <c r="B1742" s="309"/>
      <c r="C1742" s="309"/>
      <c r="I1742" s="309"/>
      <c r="J1742" s="309"/>
    </row>
    <row r="1743">
      <c r="B1743" s="309"/>
      <c r="C1743" s="309"/>
      <c r="I1743" s="309"/>
      <c r="J1743" s="309"/>
    </row>
    <row r="1744">
      <c r="B1744" s="309"/>
      <c r="C1744" s="309"/>
      <c r="I1744" s="309"/>
      <c r="J1744" s="309"/>
    </row>
    <row r="1745">
      <c r="B1745" s="309"/>
      <c r="C1745" s="309"/>
      <c r="I1745" s="309"/>
      <c r="J1745" s="309"/>
    </row>
    <row r="1746">
      <c r="B1746" s="309"/>
      <c r="C1746" s="309"/>
      <c r="I1746" s="309"/>
      <c r="J1746" s="309"/>
    </row>
    <row r="1747">
      <c r="B1747" s="309"/>
      <c r="C1747" s="309"/>
      <c r="I1747" s="309"/>
      <c r="J1747" s="309"/>
    </row>
    <row r="1748">
      <c r="B1748" s="309"/>
      <c r="C1748" s="309"/>
      <c r="I1748" s="309"/>
      <c r="J1748" s="309"/>
    </row>
    <row r="1749">
      <c r="B1749" s="309"/>
      <c r="C1749" s="309"/>
      <c r="I1749" s="309"/>
      <c r="J1749" s="309"/>
    </row>
    <row r="1750">
      <c r="B1750" s="309"/>
      <c r="C1750" s="309"/>
      <c r="I1750" s="309"/>
      <c r="J1750" s="309"/>
    </row>
    <row r="1751">
      <c r="B1751" s="309"/>
      <c r="C1751" s="309"/>
      <c r="I1751" s="309"/>
      <c r="J1751" s="309"/>
    </row>
    <row r="1752">
      <c r="B1752" s="309"/>
      <c r="C1752" s="309"/>
      <c r="I1752" s="309"/>
      <c r="J1752" s="309"/>
    </row>
    <row r="1753">
      <c r="B1753" s="309"/>
      <c r="C1753" s="309"/>
      <c r="I1753" s="309"/>
      <c r="J1753" s="309"/>
    </row>
    <row r="1754">
      <c r="B1754" s="309"/>
      <c r="C1754" s="309"/>
      <c r="I1754" s="309"/>
      <c r="J1754" s="309"/>
    </row>
    <row r="1755">
      <c r="B1755" s="309"/>
      <c r="C1755" s="309"/>
      <c r="I1755" s="309"/>
      <c r="J1755" s="309"/>
    </row>
    <row r="1756">
      <c r="B1756" s="309"/>
      <c r="C1756" s="309"/>
      <c r="I1756" s="309"/>
      <c r="J1756" s="309"/>
    </row>
    <row r="1757">
      <c r="B1757" s="309"/>
      <c r="C1757" s="309"/>
      <c r="I1757" s="309"/>
      <c r="J1757" s="309"/>
    </row>
    <row r="1758">
      <c r="B1758" s="309"/>
      <c r="C1758" s="309"/>
      <c r="I1758" s="309"/>
      <c r="J1758" s="309"/>
    </row>
    <row r="1759">
      <c r="B1759" s="309"/>
      <c r="C1759" s="309"/>
      <c r="I1759" s="309"/>
      <c r="J1759" s="309"/>
    </row>
    <row r="1760">
      <c r="B1760" s="309"/>
      <c r="C1760" s="309"/>
      <c r="I1760" s="309"/>
      <c r="J1760" s="309"/>
    </row>
    <row r="1761">
      <c r="B1761" s="309"/>
      <c r="C1761" s="309"/>
      <c r="I1761" s="309"/>
      <c r="J1761" s="309"/>
    </row>
    <row r="1762">
      <c r="B1762" s="309"/>
      <c r="C1762" s="309"/>
      <c r="I1762" s="309"/>
      <c r="J1762" s="309"/>
    </row>
    <row r="1763">
      <c r="B1763" s="309"/>
      <c r="C1763" s="309"/>
      <c r="I1763" s="309"/>
      <c r="J1763" s="309"/>
    </row>
    <row r="1764">
      <c r="B1764" s="309"/>
      <c r="C1764" s="309"/>
      <c r="I1764" s="309"/>
      <c r="J1764" s="309"/>
    </row>
    <row r="1765">
      <c r="B1765" s="309"/>
      <c r="C1765" s="309"/>
      <c r="I1765" s="309"/>
      <c r="J1765" s="309"/>
    </row>
    <row r="1766">
      <c r="B1766" s="309"/>
      <c r="C1766" s="309"/>
      <c r="I1766" s="309"/>
      <c r="J1766" s="309"/>
    </row>
    <row r="1767">
      <c r="B1767" s="309"/>
      <c r="C1767" s="309"/>
      <c r="I1767" s="309"/>
      <c r="J1767" s="309"/>
    </row>
    <row r="1768">
      <c r="B1768" s="309"/>
      <c r="C1768" s="309"/>
      <c r="I1768" s="309"/>
      <c r="J1768" s="309"/>
    </row>
    <row r="1769">
      <c r="B1769" s="309"/>
      <c r="C1769" s="309"/>
      <c r="I1769" s="309"/>
      <c r="J1769" s="309"/>
    </row>
    <row r="1770">
      <c r="B1770" s="309"/>
      <c r="C1770" s="309"/>
      <c r="I1770" s="309"/>
      <c r="J1770" s="309"/>
    </row>
    <row r="1771">
      <c r="B1771" s="309"/>
      <c r="C1771" s="309"/>
      <c r="I1771" s="309"/>
      <c r="J1771" s="309"/>
    </row>
    <row r="1772">
      <c r="B1772" s="309"/>
      <c r="C1772" s="309"/>
      <c r="I1772" s="309"/>
      <c r="J1772" s="309"/>
    </row>
    <row r="1773">
      <c r="B1773" s="309"/>
      <c r="C1773" s="309"/>
      <c r="I1773" s="309"/>
      <c r="J1773" s="309"/>
    </row>
    <row r="1774">
      <c r="B1774" s="309"/>
      <c r="C1774" s="309"/>
      <c r="I1774" s="309"/>
      <c r="J1774" s="309"/>
    </row>
    <row r="1775">
      <c r="B1775" s="309"/>
      <c r="C1775" s="309"/>
      <c r="I1775" s="309"/>
      <c r="J1775" s="309"/>
    </row>
    <row r="1776">
      <c r="B1776" s="309"/>
      <c r="C1776" s="309"/>
      <c r="I1776" s="309"/>
      <c r="J1776" s="309"/>
    </row>
    <row r="1777">
      <c r="B1777" s="309"/>
      <c r="C1777" s="309"/>
      <c r="I1777" s="309"/>
      <c r="J1777" s="309"/>
    </row>
    <row r="1778">
      <c r="B1778" s="309"/>
      <c r="C1778" s="309"/>
      <c r="I1778" s="309"/>
      <c r="J1778" s="309"/>
    </row>
    <row r="1779">
      <c r="B1779" s="309"/>
      <c r="C1779" s="309"/>
      <c r="I1779" s="309"/>
      <c r="J1779" s="309"/>
    </row>
    <row r="1780">
      <c r="B1780" s="309"/>
      <c r="C1780" s="309"/>
      <c r="I1780" s="309"/>
      <c r="J1780" s="309"/>
    </row>
    <row r="1781">
      <c r="B1781" s="309"/>
      <c r="C1781" s="309"/>
      <c r="I1781" s="309"/>
      <c r="J1781" s="309"/>
    </row>
    <row r="1782">
      <c r="B1782" s="309"/>
      <c r="C1782" s="309"/>
      <c r="I1782" s="309"/>
      <c r="J1782" s="309"/>
    </row>
    <row r="1783">
      <c r="B1783" s="309"/>
      <c r="C1783" s="309"/>
      <c r="I1783" s="309"/>
      <c r="J1783" s="309"/>
    </row>
    <row r="1784">
      <c r="B1784" s="309"/>
      <c r="C1784" s="309"/>
      <c r="I1784" s="309"/>
      <c r="J1784" s="309"/>
    </row>
    <row r="1785">
      <c r="B1785" s="309"/>
      <c r="C1785" s="309"/>
      <c r="I1785" s="309"/>
      <c r="J1785" s="309"/>
    </row>
    <row r="1786">
      <c r="B1786" s="309"/>
      <c r="C1786" s="309"/>
      <c r="I1786" s="309"/>
      <c r="J1786" s="309"/>
    </row>
    <row r="1787">
      <c r="B1787" s="309"/>
      <c r="C1787" s="309"/>
      <c r="I1787" s="309"/>
      <c r="J1787" s="309"/>
    </row>
    <row r="1788">
      <c r="B1788" s="309"/>
      <c r="C1788" s="309"/>
      <c r="I1788" s="309"/>
      <c r="J1788" s="309"/>
    </row>
    <row r="1789">
      <c r="B1789" s="309"/>
      <c r="C1789" s="309"/>
      <c r="I1789" s="309"/>
      <c r="J1789" s="309"/>
    </row>
    <row r="1790">
      <c r="B1790" s="309"/>
      <c r="C1790" s="309"/>
      <c r="I1790" s="309"/>
      <c r="J1790" s="309"/>
    </row>
    <row r="1791">
      <c r="B1791" s="309"/>
      <c r="C1791" s="309"/>
      <c r="I1791" s="309"/>
      <c r="J1791" s="309"/>
    </row>
    <row r="1792">
      <c r="B1792" s="309"/>
      <c r="C1792" s="309"/>
      <c r="I1792" s="309"/>
      <c r="J1792" s="309"/>
    </row>
    <row r="1793">
      <c r="B1793" s="309"/>
      <c r="C1793" s="309"/>
      <c r="I1793" s="309"/>
      <c r="J1793" s="309"/>
    </row>
    <row r="1794">
      <c r="B1794" s="309"/>
      <c r="C1794" s="309"/>
      <c r="I1794" s="309"/>
      <c r="J1794" s="309"/>
    </row>
    <row r="1795">
      <c r="B1795" s="309"/>
      <c r="C1795" s="309"/>
      <c r="I1795" s="309"/>
      <c r="J1795" s="309"/>
    </row>
    <row r="1796">
      <c r="B1796" s="309"/>
      <c r="C1796" s="309"/>
      <c r="I1796" s="309"/>
      <c r="J1796" s="309"/>
    </row>
    <row r="1797">
      <c r="B1797" s="309"/>
      <c r="C1797" s="309"/>
      <c r="I1797" s="309"/>
      <c r="J1797" s="309"/>
    </row>
    <row r="1798">
      <c r="B1798" s="309"/>
      <c r="C1798" s="309"/>
      <c r="I1798" s="309"/>
      <c r="J1798" s="309"/>
    </row>
    <row r="1799">
      <c r="B1799" s="309"/>
      <c r="C1799" s="309"/>
      <c r="I1799" s="309"/>
      <c r="J1799" s="309"/>
    </row>
    <row r="1800">
      <c r="B1800" s="309"/>
      <c r="C1800" s="309"/>
      <c r="I1800" s="309"/>
      <c r="J1800" s="309"/>
    </row>
    <row r="1801">
      <c r="B1801" s="309"/>
      <c r="C1801" s="309"/>
      <c r="I1801" s="309"/>
      <c r="J1801" s="309"/>
    </row>
    <row r="1802">
      <c r="B1802" s="309"/>
      <c r="C1802" s="309"/>
      <c r="I1802" s="309"/>
      <c r="J1802" s="309"/>
    </row>
    <row r="1803">
      <c r="B1803" s="309"/>
      <c r="C1803" s="309"/>
      <c r="I1803" s="309"/>
      <c r="J1803" s="309"/>
    </row>
    <row r="1804">
      <c r="B1804" s="309"/>
      <c r="C1804" s="309"/>
      <c r="I1804" s="309"/>
      <c r="J1804" s="309"/>
    </row>
    <row r="1805">
      <c r="B1805" s="309"/>
      <c r="C1805" s="309"/>
      <c r="I1805" s="309"/>
      <c r="J1805" s="309"/>
    </row>
    <row r="1806">
      <c r="B1806" s="309"/>
      <c r="C1806" s="309"/>
      <c r="I1806" s="309"/>
      <c r="J1806" s="309"/>
    </row>
    <row r="1807">
      <c r="B1807" s="309"/>
      <c r="C1807" s="309"/>
      <c r="I1807" s="309"/>
      <c r="J1807" s="309"/>
    </row>
    <row r="1808">
      <c r="B1808" s="309"/>
      <c r="C1808" s="309"/>
      <c r="I1808" s="309"/>
      <c r="J1808" s="309"/>
    </row>
    <row r="1809">
      <c r="B1809" s="309"/>
      <c r="C1809" s="309"/>
      <c r="I1809" s="309"/>
      <c r="J1809" s="309"/>
    </row>
    <row r="1810">
      <c r="B1810" s="309"/>
      <c r="C1810" s="309"/>
      <c r="I1810" s="309"/>
      <c r="J1810" s="309"/>
    </row>
    <row r="1811">
      <c r="B1811" s="309"/>
      <c r="C1811" s="309"/>
      <c r="I1811" s="309"/>
      <c r="J1811" s="309"/>
    </row>
    <row r="1812">
      <c r="B1812" s="309"/>
      <c r="C1812" s="309"/>
      <c r="I1812" s="309"/>
      <c r="J1812" s="309"/>
    </row>
    <row r="1813">
      <c r="B1813" s="309"/>
      <c r="C1813" s="309"/>
      <c r="I1813" s="309"/>
      <c r="J1813" s="309"/>
    </row>
    <row r="1814">
      <c r="B1814" s="309"/>
      <c r="C1814" s="309"/>
      <c r="I1814" s="309"/>
      <c r="J1814" s="309"/>
    </row>
    <row r="1815">
      <c r="B1815" s="309"/>
      <c r="C1815" s="309"/>
      <c r="I1815" s="309"/>
      <c r="J1815" s="309"/>
    </row>
    <row r="1816">
      <c r="B1816" s="309"/>
      <c r="C1816" s="309"/>
      <c r="I1816" s="309"/>
      <c r="J1816" s="309"/>
    </row>
    <row r="1817">
      <c r="B1817" s="309"/>
      <c r="C1817" s="309"/>
      <c r="I1817" s="309"/>
      <c r="J1817" s="309"/>
    </row>
    <row r="1818">
      <c r="B1818" s="309"/>
      <c r="C1818" s="309"/>
      <c r="I1818" s="309"/>
      <c r="J1818" s="309"/>
    </row>
    <row r="1819">
      <c r="B1819" s="309"/>
      <c r="C1819" s="309"/>
      <c r="I1819" s="309"/>
      <c r="J1819" s="309"/>
    </row>
    <row r="1820">
      <c r="B1820" s="309"/>
      <c r="C1820" s="309"/>
      <c r="I1820" s="309"/>
      <c r="J1820" s="309"/>
    </row>
    <row r="1821">
      <c r="B1821" s="309"/>
      <c r="C1821" s="309"/>
      <c r="I1821" s="309"/>
      <c r="J1821" s="309"/>
    </row>
    <row r="1822">
      <c r="B1822" s="309"/>
      <c r="C1822" s="309"/>
      <c r="I1822" s="309"/>
      <c r="J1822" s="309"/>
    </row>
    <row r="1823">
      <c r="B1823" s="309"/>
      <c r="C1823" s="309"/>
      <c r="I1823" s="309"/>
      <c r="J1823" s="309"/>
    </row>
    <row r="1824">
      <c r="B1824" s="309"/>
      <c r="C1824" s="309"/>
      <c r="I1824" s="309"/>
      <c r="J1824" s="309"/>
    </row>
    <row r="1825">
      <c r="B1825" s="309"/>
      <c r="C1825" s="309"/>
      <c r="I1825" s="309"/>
      <c r="J1825" s="309"/>
    </row>
    <row r="1826">
      <c r="B1826" s="309"/>
      <c r="C1826" s="309"/>
      <c r="I1826" s="309"/>
      <c r="J1826" s="309"/>
    </row>
    <row r="1827">
      <c r="B1827" s="309"/>
      <c r="C1827" s="309"/>
      <c r="I1827" s="309"/>
      <c r="J1827" s="309"/>
    </row>
    <row r="1828">
      <c r="B1828" s="309"/>
      <c r="C1828" s="309"/>
      <c r="I1828" s="309"/>
      <c r="J1828" s="309"/>
    </row>
    <row r="1829">
      <c r="B1829" s="309"/>
      <c r="C1829" s="309"/>
      <c r="I1829" s="309"/>
      <c r="J1829" s="309"/>
    </row>
    <row r="1830">
      <c r="B1830" s="309"/>
      <c r="C1830" s="309"/>
      <c r="I1830" s="309"/>
      <c r="J1830" s="309"/>
    </row>
    <row r="1831">
      <c r="B1831" s="309"/>
      <c r="C1831" s="309"/>
      <c r="I1831" s="309"/>
      <c r="J1831" s="309"/>
    </row>
    <row r="1832">
      <c r="B1832" s="309"/>
      <c r="C1832" s="309"/>
      <c r="I1832" s="309"/>
      <c r="J1832" s="309"/>
    </row>
    <row r="1833">
      <c r="B1833" s="309"/>
      <c r="C1833" s="309"/>
      <c r="I1833" s="309"/>
      <c r="J1833" s="309"/>
    </row>
    <row r="1834">
      <c r="B1834" s="309"/>
      <c r="C1834" s="309"/>
      <c r="I1834" s="309"/>
      <c r="J1834" s="309"/>
    </row>
    <row r="1835">
      <c r="B1835" s="309"/>
      <c r="C1835" s="309"/>
      <c r="I1835" s="309"/>
      <c r="J1835" s="309"/>
    </row>
    <row r="1836">
      <c r="B1836" s="309"/>
      <c r="C1836" s="309"/>
      <c r="I1836" s="309"/>
      <c r="J1836" s="309"/>
    </row>
    <row r="1837">
      <c r="B1837" s="309"/>
      <c r="C1837" s="309"/>
      <c r="I1837" s="309"/>
      <c r="J1837" s="309"/>
    </row>
    <row r="1838">
      <c r="B1838" s="309"/>
      <c r="C1838" s="309"/>
      <c r="I1838" s="309"/>
      <c r="J1838" s="309"/>
    </row>
    <row r="1839">
      <c r="B1839" s="309"/>
      <c r="C1839" s="309"/>
      <c r="I1839" s="309"/>
      <c r="J1839" s="309"/>
    </row>
    <row r="1840">
      <c r="B1840" s="309"/>
      <c r="C1840" s="309"/>
      <c r="I1840" s="309"/>
      <c r="J1840" s="309"/>
    </row>
    <row r="1841">
      <c r="B1841" s="309"/>
      <c r="C1841" s="309"/>
      <c r="I1841" s="309"/>
      <c r="J1841" s="309"/>
    </row>
    <row r="1842">
      <c r="B1842" s="309"/>
      <c r="C1842" s="309"/>
      <c r="I1842" s="309"/>
      <c r="J1842" s="309"/>
    </row>
    <row r="1843">
      <c r="B1843" s="309"/>
      <c r="C1843" s="309"/>
      <c r="I1843" s="309"/>
      <c r="J1843" s="309"/>
    </row>
    <row r="1844">
      <c r="B1844" s="309"/>
      <c r="C1844" s="309"/>
      <c r="I1844" s="309"/>
      <c r="J1844" s="309"/>
    </row>
    <row r="1845">
      <c r="B1845" s="309"/>
      <c r="C1845" s="309"/>
      <c r="I1845" s="309"/>
      <c r="J1845" s="309"/>
    </row>
    <row r="1846">
      <c r="B1846" s="309"/>
      <c r="C1846" s="309"/>
      <c r="I1846" s="309"/>
      <c r="J1846" s="309"/>
    </row>
    <row r="1847">
      <c r="B1847" s="309"/>
      <c r="C1847" s="309"/>
      <c r="I1847" s="309"/>
      <c r="J1847" s="309"/>
    </row>
    <row r="1848">
      <c r="B1848" s="309"/>
      <c r="C1848" s="309"/>
      <c r="I1848" s="309"/>
      <c r="J1848" s="309"/>
    </row>
    <row r="1849">
      <c r="B1849" s="309"/>
      <c r="C1849" s="309"/>
      <c r="I1849" s="309"/>
      <c r="J1849" s="309"/>
    </row>
    <row r="1850">
      <c r="B1850" s="309"/>
      <c r="C1850" s="309"/>
      <c r="I1850" s="309"/>
      <c r="J1850" s="309"/>
    </row>
    <row r="1851">
      <c r="B1851" s="309"/>
      <c r="C1851" s="309"/>
      <c r="I1851" s="309"/>
      <c r="J1851" s="309"/>
    </row>
    <row r="1852">
      <c r="B1852" s="309"/>
      <c r="C1852" s="309"/>
      <c r="I1852" s="309"/>
      <c r="J1852" s="309"/>
    </row>
    <row r="1853">
      <c r="B1853" s="309"/>
      <c r="C1853" s="309"/>
      <c r="I1853" s="309"/>
      <c r="J1853" s="309"/>
    </row>
    <row r="1854">
      <c r="B1854" s="309"/>
      <c r="C1854" s="309"/>
      <c r="I1854" s="309"/>
      <c r="J1854" s="309"/>
    </row>
    <row r="1855">
      <c r="B1855" s="309"/>
      <c r="C1855" s="309"/>
      <c r="I1855" s="309"/>
      <c r="J1855" s="309"/>
    </row>
    <row r="1856">
      <c r="B1856" s="309"/>
      <c r="C1856" s="309"/>
      <c r="I1856" s="309"/>
      <c r="J1856" s="309"/>
    </row>
    <row r="1857">
      <c r="B1857" s="309"/>
      <c r="C1857" s="309"/>
      <c r="I1857" s="309"/>
      <c r="J1857" s="309"/>
    </row>
    <row r="1858">
      <c r="B1858" s="309"/>
      <c r="C1858" s="309"/>
      <c r="I1858" s="309"/>
      <c r="J1858" s="309"/>
    </row>
    <row r="1859">
      <c r="B1859" s="309"/>
      <c r="C1859" s="309"/>
      <c r="I1859" s="309"/>
      <c r="J1859" s="309"/>
    </row>
    <row r="1860">
      <c r="B1860" s="309"/>
      <c r="C1860" s="309"/>
      <c r="I1860" s="309"/>
      <c r="J1860" s="309"/>
    </row>
    <row r="1861">
      <c r="B1861" s="309"/>
      <c r="C1861" s="309"/>
      <c r="I1861" s="309"/>
      <c r="J1861" s="309"/>
    </row>
    <row r="1862">
      <c r="B1862" s="309"/>
      <c r="C1862" s="309"/>
      <c r="I1862" s="309"/>
      <c r="J1862" s="309"/>
    </row>
    <row r="1863">
      <c r="B1863" s="309"/>
      <c r="C1863" s="309"/>
      <c r="I1863" s="309"/>
      <c r="J1863" s="309"/>
    </row>
    <row r="1864">
      <c r="B1864" s="309"/>
      <c r="C1864" s="309"/>
      <c r="I1864" s="309"/>
      <c r="J1864" s="309"/>
    </row>
    <row r="1865">
      <c r="B1865" s="309"/>
      <c r="C1865" s="309"/>
      <c r="I1865" s="309"/>
      <c r="J1865" s="309"/>
    </row>
    <row r="1866">
      <c r="B1866" s="309"/>
      <c r="C1866" s="309"/>
      <c r="I1866" s="309"/>
      <c r="J1866" s="309"/>
    </row>
    <row r="1867">
      <c r="B1867" s="309"/>
      <c r="C1867" s="309"/>
      <c r="I1867" s="309"/>
      <c r="J1867" s="309"/>
    </row>
    <row r="1868">
      <c r="B1868" s="309"/>
      <c r="C1868" s="309"/>
      <c r="I1868" s="309"/>
      <c r="J1868" s="309"/>
    </row>
    <row r="1869">
      <c r="B1869" s="309"/>
      <c r="C1869" s="309"/>
      <c r="I1869" s="309"/>
      <c r="J1869" s="309"/>
    </row>
    <row r="1870">
      <c r="B1870" s="309"/>
      <c r="C1870" s="309"/>
      <c r="I1870" s="309"/>
      <c r="J1870" s="309"/>
    </row>
    <row r="1871">
      <c r="B1871" s="309"/>
      <c r="C1871" s="309"/>
      <c r="I1871" s="309"/>
      <c r="J1871" s="309"/>
    </row>
    <row r="1872">
      <c r="B1872" s="309"/>
      <c r="C1872" s="309"/>
      <c r="I1872" s="309"/>
      <c r="J1872" s="309"/>
    </row>
    <row r="1873">
      <c r="B1873" s="309"/>
      <c r="C1873" s="309"/>
      <c r="I1873" s="309"/>
      <c r="J1873" s="309"/>
    </row>
    <row r="1874">
      <c r="B1874" s="309"/>
      <c r="C1874" s="309"/>
      <c r="I1874" s="309"/>
      <c r="J1874" s="309"/>
    </row>
    <row r="1875">
      <c r="B1875" s="309"/>
      <c r="C1875" s="309"/>
      <c r="I1875" s="309"/>
      <c r="J1875" s="309"/>
    </row>
    <row r="1876">
      <c r="B1876" s="309"/>
      <c r="C1876" s="309"/>
      <c r="I1876" s="309"/>
      <c r="J1876" s="309"/>
    </row>
    <row r="1877">
      <c r="B1877" s="309"/>
      <c r="C1877" s="309"/>
      <c r="I1877" s="309"/>
      <c r="J1877" s="309"/>
    </row>
    <row r="1878">
      <c r="B1878" s="309"/>
      <c r="C1878" s="309"/>
      <c r="I1878" s="309"/>
      <c r="J1878" s="309"/>
    </row>
    <row r="1879">
      <c r="B1879" s="309"/>
      <c r="C1879" s="309"/>
      <c r="I1879" s="309"/>
      <c r="J1879" s="309"/>
    </row>
    <row r="1880">
      <c r="B1880" s="309"/>
      <c r="C1880" s="309"/>
      <c r="I1880" s="309"/>
      <c r="J1880" s="309"/>
    </row>
    <row r="1881">
      <c r="B1881" s="309"/>
      <c r="C1881" s="309"/>
      <c r="I1881" s="309"/>
      <c r="J1881" s="309"/>
    </row>
    <row r="1882">
      <c r="B1882" s="309"/>
      <c r="C1882" s="309"/>
      <c r="I1882" s="309"/>
      <c r="J1882" s="309"/>
    </row>
    <row r="1883">
      <c r="B1883" s="309"/>
      <c r="C1883" s="309"/>
      <c r="I1883" s="309"/>
      <c r="J1883" s="309"/>
    </row>
    <row r="1884">
      <c r="B1884" s="309"/>
      <c r="C1884" s="309"/>
      <c r="I1884" s="309"/>
      <c r="J1884" s="309"/>
    </row>
    <row r="1885">
      <c r="B1885" s="309"/>
      <c r="C1885" s="309"/>
      <c r="I1885" s="309"/>
      <c r="J1885" s="309"/>
    </row>
    <row r="1886">
      <c r="B1886" s="309"/>
      <c r="C1886" s="309"/>
      <c r="I1886" s="309"/>
      <c r="J1886" s="309"/>
    </row>
    <row r="1887">
      <c r="B1887" s="309"/>
      <c r="C1887" s="309"/>
      <c r="I1887" s="309"/>
      <c r="J1887" s="309"/>
    </row>
    <row r="1888">
      <c r="B1888" s="309"/>
      <c r="C1888" s="309"/>
      <c r="I1888" s="309"/>
      <c r="J1888" s="309"/>
    </row>
    <row r="1889">
      <c r="B1889" s="309"/>
      <c r="C1889" s="309"/>
      <c r="I1889" s="309"/>
      <c r="J1889" s="309"/>
    </row>
    <row r="1890">
      <c r="B1890" s="309"/>
      <c r="C1890" s="309"/>
      <c r="I1890" s="309"/>
      <c r="J1890" s="309"/>
    </row>
    <row r="1891">
      <c r="B1891" s="309"/>
      <c r="C1891" s="309"/>
      <c r="I1891" s="309"/>
      <c r="J1891" s="309"/>
    </row>
    <row r="1892">
      <c r="B1892" s="309"/>
      <c r="C1892" s="309"/>
      <c r="I1892" s="309"/>
      <c r="J1892" s="309"/>
    </row>
    <row r="1893">
      <c r="B1893" s="309"/>
      <c r="C1893" s="309"/>
      <c r="I1893" s="309"/>
      <c r="J1893" s="309"/>
    </row>
    <row r="1894">
      <c r="B1894" s="309"/>
      <c r="C1894" s="309"/>
      <c r="I1894" s="309"/>
      <c r="J1894" s="309"/>
    </row>
    <row r="1895">
      <c r="B1895" s="309"/>
      <c r="C1895" s="309"/>
      <c r="I1895" s="309"/>
      <c r="J1895" s="309"/>
    </row>
    <row r="1896">
      <c r="B1896" s="309"/>
      <c r="C1896" s="309"/>
      <c r="I1896" s="309"/>
      <c r="J1896" s="309"/>
    </row>
    <row r="1897">
      <c r="B1897" s="309"/>
      <c r="C1897" s="309"/>
      <c r="I1897" s="309"/>
      <c r="J1897" s="309"/>
    </row>
    <row r="1898">
      <c r="B1898" s="309"/>
      <c r="C1898" s="309"/>
      <c r="I1898" s="309"/>
      <c r="J1898" s="309"/>
    </row>
    <row r="1899">
      <c r="B1899" s="309"/>
      <c r="C1899" s="309"/>
      <c r="I1899" s="309"/>
      <c r="J1899" s="309"/>
    </row>
    <row r="1900">
      <c r="B1900" s="309"/>
      <c r="C1900" s="309"/>
      <c r="I1900" s="309"/>
      <c r="J1900" s="309"/>
    </row>
    <row r="1901">
      <c r="B1901" s="309"/>
      <c r="C1901" s="309"/>
      <c r="I1901" s="309"/>
      <c r="J1901" s="309"/>
    </row>
    <row r="1902">
      <c r="B1902" s="309"/>
      <c r="C1902" s="309"/>
      <c r="I1902" s="309"/>
      <c r="J1902" s="309"/>
    </row>
    <row r="1903">
      <c r="B1903" s="309"/>
      <c r="C1903" s="309"/>
      <c r="I1903" s="309"/>
      <c r="J1903" s="309"/>
    </row>
    <row r="1904">
      <c r="B1904" s="309"/>
      <c r="C1904" s="309"/>
      <c r="I1904" s="309"/>
      <c r="J1904" s="309"/>
    </row>
    <row r="1905">
      <c r="B1905" s="309"/>
      <c r="C1905" s="309"/>
      <c r="I1905" s="309"/>
      <c r="J1905" s="309"/>
    </row>
    <row r="1906">
      <c r="B1906" s="309"/>
      <c r="C1906" s="309"/>
      <c r="I1906" s="309"/>
      <c r="J1906" s="309"/>
    </row>
    <row r="1907">
      <c r="B1907" s="309"/>
      <c r="C1907" s="309"/>
      <c r="I1907" s="309"/>
      <c r="J1907" s="309"/>
    </row>
    <row r="1908">
      <c r="B1908" s="309"/>
      <c r="C1908" s="309"/>
      <c r="I1908" s="309"/>
      <c r="J1908" s="309"/>
    </row>
    <row r="1909">
      <c r="B1909" s="309"/>
      <c r="C1909" s="309"/>
      <c r="I1909" s="309"/>
      <c r="J1909" s="309"/>
    </row>
    <row r="1910">
      <c r="B1910" s="309"/>
      <c r="C1910" s="309"/>
      <c r="I1910" s="309"/>
      <c r="J1910" s="309"/>
    </row>
    <row r="1911">
      <c r="B1911" s="309"/>
      <c r="C1911" s="309"/>
      <c r="I1911" s="309"/>
      <c r="J1911" s="309"/>
    </row>
    <row r="1912">
      <c r="B1912" s="309"/>
      <c r="C1912" s="309"/>
      <c r="I1912" s="309"/>
      <c r="J1912" s="309"/>
    </row>
    <row r="1913">
      <c r="B1913" s="309"/>
      <c r="C1913" s="309"/>
      <c r="I1913" s="309"/>
      <c r="J1913" s="309"/>
    </row>
    <row r="1914">
      <c r="B1914" s="309"/>
      <c r="C1914" s="309"/>
      <c r="I1914" s="309"/>
      <c r="J1914" s="309"/>
    </row>
    <row r="1915">
      <c r="B1915" s="309"/>
      <c r="C1915" s="309"/>
      <c r="I1915" s="309"/>
      <c r="J1915" s="309"/>
    </row>
    <row r="1916">
      <c r="B1916" s="309"/>
      <c r="C1916" s="309"/>
      <c r="I1916" s="309"/>
      <c r="J1916" s="309"/>
    </row>
    <row r="1917">
      <c r="B1917" s="309"/>
      <c r="C1917" s="309"/>
      <c r="I1917" s="309"/>
      <c r="J1917" s="309"/>
    </row>
    <row r="1918">
      <c r="B1918" s="309"/>
      <c r="C1918" s="309"/>
      <c r="I1918" s="309"/>
      <c r="J1918" s="309"/>
    </row>
    <row r="1919">
      <c r="B1919" s="309"/>
      <c r="C1919" s="309"/>
      <c r="I1919" s="309"/>
      <c r="J1919" s="309"/>
    </row>
    <row r="1920">
      <c r="B1920" s="309"/>
      <c r="C1920" s="309"/>
      <c r="I1920" s="309"/>
      <c r="J1920" s="309"/>
    </row>
    <row r="1921">
      <c r="B1921" s="309"/>
      <c r="C1921" s="309"/>
      <c r="I1921" s="309"/>
      <c r="J1921" s="309"/>
    </row>
    <row r="1922">
      <c r="B1922" s="309"/>
      <c r="C1922" s="309"/>
      <c r="I1922" s="309"/>
      <c r="J1922" s="309"/>
    </row>
    <row r="1923">
      <c r="B1923" s="309"/>
      <c r="C1923" s="309"/>
      <c r="I1923" s="309"/>
      <c r="J1923" s="309"/>
    </row>
    <row r="1924">
      <c r="B1924" s="309"/>
      <c r="C1924" s="309"/>
      <c r="I1924" s="309"/>
      <c r="J1924" s="309"/>
    </row>
    <row r="1925">
      <c r="B1925" s="309"/>
      <c r="C1925" s="309"/>
      <c r="I1925" s="309"/>
      <c r="J1925" s="309"/>
    </row>
    <row r="1926">
      <c r="B1926" s="309"/>
      <c r="C1926" s="309"/>
      <c r="I1926" s="309"/>
      <c r="J1926" s="309"/>
    </row>
    <row r="1927">
      <c r="B1927" s="309"/>
      <c r="C1927" s="309"/>
      <c r="I1927" s="309"/>
      <c r="J1927" s="309"/>
    </row>
    <row r="1928">
      <c r="B1928" s="309"/>
      <c r="C1928" s="309"/>
      <c r="I1928" s="309"/>
      <c r="J1928" s="309"/>
    </row>
    <row r="1929">
      <c r="B1929" s="309"/>
      <c r="C1929" s="309"/>
      <c r="I1929" s="309"/>
      <c r="J1929" s="309"/>
    </row>
    <row r="1930">
      <c r="B1930" s="309"/>
      <c r="C1930" s="309"/>
      <c r="I1930" s="309"/>
      <c r="J1930" s="309"/>
    </row>
    <row r="1931">
      <c r="B1931" s="309"/>
      <c r="C1931" s="309"/>
      <c r="I1931" s="309"/>
      <c r="J1931" s="309"/>
    </row>
    <row r="1932">
      <c r="B1932" s="309"/>
      <c r="C1932" s="309"/>
      <c r="I1932" s="309"/>
      <c r="J1932" s="309"/>
    </row>
    <row r="1933">
      <c r="B1933" s="309"/>
      <c r="C1933" s="309"/>
      <c r="I1933" s="309"/>
      <c r="J1933" s="309"/>
    </row>
    <row r="1934">
      <c r="B1934" s="309"/>
      <c r="C1934" s="309"/>
      <c r="I1934" s="309"/>
      <c r="J1934" s="309"/>
    </row>
    <row r="1935">
      <c r="B1935" s="309"/>
      <c r="C1935" s="309"/>
      <c r="I1935" s="309"/>
      <c r="J1935" s="309"/>
    </row>
    <row r="1936">
      <c r="B1936" s="309"/>
      <c r="C1936" s="309"/>
      <c r="I1936" s="309"/>
      <c r="J1936" s="309"/>
    </row>
    <row r="1937">
      <c r="B1937" s="309"/>
      <c r="C1937" s="309"/>
      <c r="I1937" s="309"/>
      <c r="J1937" s="309"/>
    </row>
    <row r="1938">
      <c r="B1938" s="309"/>
      <c r="C1938" s="309"/>
      <c r="I1938" s="309"/>
      <c r="J1938" s="309"/>
    </row>
    <row r="1939">
      <c r="B1939" s="309"/>
      <c r="C1939" s="309"/>
      <c r="I1939" s="309"/>
      <c r="J1939" s="309"/>
    </row>
    <row r="1940">
      <c r="B1940" s="309"/>
      <c r="C1940" s="309"/>
      <c r="I1940" s="309"/>
      <c r="J1940" s="309"/>
    </row>
    <row r="1941">
      <c r="B1941" s="309"/>
      <c r="C1941" s="309"/>
      <c r="I1941" s="309"/>
      <c r="J1941" s="309"/>
    </row>
    <row r="1942">
      <c r="B1942" s="309"/>
      <c r="C1942" s="309"/>
      <c r="I1942" s="309"/>
      <c r="J1942" s="309"/>
    </row>
    <row r="1943">
      <c r="B1943" s="309"/>
      <c r="C1943" s="309"/>
      <c r="I1943" s="309"/>
      <c r="J1943" s="309"/>
    </row>
    <row r="1944">
      <c r="B1944" s="309"/>
      <c r="C1944" s="309"/>
      <c r="I1944" s="309"/>
      <c r="J1944" s="309"/>
    </row>
    <row r="1945">
      <c r="B1945" s="309"/>
      <c r="C1945" s="309"/>
      <c r="I1945" s="309"/>
      <c r="J1945" s="309"/>
    </row>
    <row r="1946">
      <c r="B1946" s="309"/>
      <c r="C1946" s="309"/>
      <c r="I1946" s="309"/>
      <c r="J1946" s="309"/>
    </row>
    <row r="1947">
      <c r="B1947" s="309"/>
      <c r="C1947" s="309"/>
      <c r="I1947" s="309"/>
      <c r="J1947" s="309"/>
    </row>
    <row r="1948">
      <c r="B1948" s="309"/>
      <c r="C1948" s="309"/>
      <c r="I1948" s="309"/>
      <c r="J1948" s="309"/>
    </row>
    <row r="1949">
      <c r="B1949" s="309"/>
      <c r="C1949" s="309"/>
      <c r="I1949" s="309"/>
      <c r="J1949" s="309"/>
    </row>
    <row r="1950">
      <c r="B1950" s="309"/>
      <c r="C1950" s="309"/>
      <c r="I1950" s="309"/>
      <c r="J1950" s="309"/>
    </row>
    <row r="1951">
      <c r="B1951" s="309"/>
      <c r="C1951" s="309"/>
      <c r="I1951" s="309"/>
      <c r="J1951" s="309"/>
    </row>
    <row r="1952">
      <c r="B1952" s="309"/>
      <c r="C1952" s="309"/>
      <c r="I1952" s="309"/>
      <c r="J1952" s="309"/>
    </row>
    <row r="1953">
      <c r="B1953" s="309"/>
      <c r="C1953" s="309"/>
      <c r="I1953" s="309"/>
      <c r="J1953" s="309"/>
    </row>
    <row r="1954">
      <c r="B1954" s="309"/>
      <c r="C1954" s="309"/>
      <c r="I1954" s="309"/>
      <c r="J1954" s="309"/>
    </row>
    <row r="1955">
      <c r="B1955" s="309"/>
      <c r="C1955" s="309"/>
      <c r="I1955" s="309"/>
      <c r="J1955" s="309"/>
    </row>
    <row r="1956">
      <c r="B1956" s="309"/>
      <c r="C1956" s="309"/>
      <c r="I1956" s="309"/>
      <c r="J1956" s="309"/>
    </row>
    <row r="1957">
      <c r="B1957" s="309"/>
      <c r="C1957" s="309"/>
      <c r="I1957" s="309"/>
      <c r="J1957" s="309"/>
    </row>
    <row r="1958">
      <c r="B1958" s="309"/>
      <c r="C1958" s="309"/>
      <c r="I1958" s="309"/>
      <c r="J1958" s="309"/>
    </row>
    <row r="1959">
      <c r="B1959" s="309"/>
      <c r="C1959" s="309"/>
      <c r="I1959" s="309"/>
      <c r="J1959" s="309"/>
    </row>
    <row r="1960">
      <c r="B1960" s="309"/>
      <c r="C1960" s="309"/>
      <c r="I1960" s="309"/>
      <c r="J1960" s="309"/>
    </row>
    <row r="1961">
      <c r="B1961" s="309"/>
      <c r="C1961" s="309"/>
      <c r="I1961" s="309"/>
      <c r="J1961" s="309"/>
    </row>
    <row r="1962">
      <c r="B1962" s="309"/>
      <c r="C1962" s="309"/>
      <c r="I1962" s="309"/>
      <c r="J1962" s="309"/>
    </row>
    <row r="1963">
      <c r="B1963" s="309"/>
      <c r="C1963" s="309"/>
      <c r="I1963" s="309"/>
      <c r="J1963" s="309"/>
    </row>
    <row r="1964">
      <c r="B1964" s="309"/>
      <c r="C1964" s="309"/>
      <c r="I1964" s="309"/>
      <c r="J1964" s="309"/>
    </row>
    <row r="1965">
      <c r="B1965" s="309"/>
      <c r="C1965" s="309"/>
      <c r="I1965" s="309"/>
      <c r="J1965" s="309"/>
    </row>
    <row r="1966">
      <c r="B1966" s="309"/>
      <c r="C1966" s="309"/>
      <c r="I1966" s="309"/>
      <c r="J1966" s="309"/>
    </row>
    <row r="1967">
      <c r="B1967" s="309"/>
      <c r="C1967" s="309"/>
      <c r="I1967" s="309"/>
      <c r="J1967" s="309"/>
    </row>
    <row r="1968">
      <c r="B1968" s="309"/>
      <c r="C1968" s="309"/>
      <c r="I1968" s="309"/>
      <c r="J1968" s="309"/>
    </row>
    <row r="1969">
      <c r="B1969" s="309"/>
      <c r="C1969" s="309"/>
      <c r="I1969" s="309"/>
      <c r="J1969" s="309"/>
    </row>
    <row r="1970">
      <c r="B1970" s="309"/>
      <c r="C1970" s="309"/>
      <c r="I1970" s="309"/>
      <c r="J1970" s="309"/>
    </row>
    <row r="1971">
      <c r="B1971" s="309"/>
      <c r="C1971" s="309"/>
      <c r="I1971" s="309"/>
      <c r="J1971" s="309"/>
    </row>
    <row r="1972">
      <c r="B1972" s="309"/>
      <c r="C1972" s="309"/>
      <c r="I1972" s="309"/>
      <c r="J1972" s="309"/>
    </row>
    <row r="1973">
      <c r="B1973" s="309"/>
      <c r="C1973" s="309"/>
      <c r="I1973" s="309"/>
      <c r="J1973" s="309"/>
    </row>
    <row r="1974">
      <c r="B1974" s="309"/>
      <c r="C1974" s="309"/>
      <c r="I1974" s="309"/>
      <c r="J1974" s="309"/>
    </row>
    <row r="1975">
      <c r="B1975" s="309"/>
      <c r="C1975" s="309"/>
      <c r="I1975" s="309"/>
      <c r="J1975" s="309"/>
    </row>
    <row r="1976">
      <c r="B1976" s="309"/>
      <c r="C1976" s="309"/>
      <c r="I1976" s="309"/>
      <c r="J1976" s="309"/>
    </row>
    <row r="1977">
      <c r="B1977" s="309"/>
      <c r="C1977" s="309"/>
      <c r="I1977" s="309"/>
      <c r="J1977" s="309"/>
    </row>
    <row r="1978">
      <c r="B1978" s="309"/>
      <c r="C1978" s="309"/>
      <c r="I1978" s="309"/>
      <c r="J1978" s="309"/>
    </row>
    <row r="1979">
      <c r="B1979" s="309"/>
      <c r="C1979" s="309"/>
      <c r="I1979" s="309"/>
      <c r="J1979" s="309"/>
    </row>
    <row r="1980">
      <c r="B1980" s="309"/>
      <c r="C1980" s="309"/>
      <c r="I1980" s="309"/>
      <c r="J1980" s="309"/>
    </row>
    <row r="1981">
      <c r="B1981" s="309"/>
      <c r="C1981" s="309"/>
      <c r="I1981" s="309"/>
      <c r="J1981" s="309"/>
    </row>
    <row r="1982">
      <c r="B1982" s="309"/>
      <c r="C1982" s="309"/>
      <c r="I1982" s="309"/>
      <c r="J1982" s="309"/>
    </row>
    <row r="1983">
      <c r="B1983" s="309"/>
      <c r="C1983" s="309"/>
      <c r="I1983" s="309"/>
      <c r="J1983" s="309"/>
    </row>
    <row r="1984">
      <c r="B1984" s="309"/>
      <c r="C1984" s="309"/>
      <c r="I1984" s="309"/>
      <c r="J1984" s="309"/>
    </row>
    <row r="1985">
      <c r="B1985" s="309"/>
      <c r="C1985" s="309"/>
      <c r="I1985" s="309"/>
      <c r="J1985" s="309"/>
    </row>
    <row r="1986">
      <c r="B1986" s="309"/>
      <c r="C1986" s="309"/>
      <c r="I1986" s="309"/>
      <c r="J1986" s="309"/>
    </row>
    <row r="1987">
      <c r="B1987" s="309"/>
      <c r="C1987" s="309"/>
      <c r="I1987" s="309"/>
      <c r="J1987" s="309"/>
    </row>
    <row r="1988">
      <c r="B1988" s="309"/>
      <c r="C1988" s="309"/>
      <c r="I1988" s="309"/>
      <c r="J1988" s="309"/>
    </row>
    <row r="1989">
      <c r="B1989" s="309"/>
      <c r="C1989" s="309"/>
      <c r="I1989" s="309"/>
      <c r="J1989" s="309"/>
    </row>
    <row r="1990">
      <c r="B1990" s="309"/>
      <c r="C1990" s="309"/>
      <c r="I1990" s="309"/>
      <c r="J1990" s="309"/>
    </row>
    <row r="1991">
      <c r="B1991" s="309"/>
      <c r="C1991" s="309"/>
      <c r="I1991" s="309"/>
      <c r="J1991" s="309"/>
    </row>
    <row r="1992">
      <c r="B1992" s="309"/>
      <c r="C1992" s="309"/>
      <c r="I1992" s="309"/>
      <c r="J1992" s="309"/>
    </row>
    <row r="1993">
      <c r="B1993" s="309"/>
      <c r="C1993" s="309"/>
      <c r="I1993" s="309"/>
      <c r="J1993" s="309"/>
    </row>
    <row r="1994">
      <c r="B1994" s="309"/>
      <c r="C1994" s="309"/>
      <c r="I1994" s="309"/>
      <c r="J1994" s="309"/>
    </row>
    <row r="1995">
      <c r="B1995" s="309"/>
      <c r="C1995" s="309"/>
      <c r="I1995" s="309"/>
      <c r="J1995" s="309"/>
    </row>
    <row r="1996">
      <c r="B1996" s="309"/>
      <c r="C1996" s="309"/>
      <c r="I1996" s="309"/>
      <c r="J1996" s="309"/>
    </row>
    <row r="1997">
      <c r="B1997" s="309"/>
      <c r="C1997" s="309"/>
      <c r="I1997" s="309"/>
      <c r="J1997" s="309"/>
    </row>
    <row r="1998">
      <c r="B1998" s="309"/>
      <c r="C1998" s="309"/>
      <c r="I1998" s="309"/>
      <c r="J1998" s="309"/>
    </row>
    <row r="1999">
      <c r="B1999" s="309"/>
      <c r="C1999" s="309"/>
      <c r="I1999" s="309"/>
      <c r="J1999" s="309"/>
    </row>
    <row r="2000">
      <c r="B2000" s="309"/>
      <c r="C2000" s="309"/>
      <c r="I2000" s="309"/>
      <c r="J2000" s="309"/>
    </row>
    <row r="2001">
      <c r="B2001" s="309"/>
      <c r="C2001" s="309"/>
      <c r="I2001" s="309"/>
      <c r="J2001" s="309"/>
    </row>
    <row r="2002">
      <c r="B2002" s="309"/>
      <c r="C2002" s="309"/>
      <c r="I2002" s="309"/>
      <c r="J2002" s="309"/>
    </row>
    <row r="2003">
      <c r="B2003" s="309"/>
      <c r="C2003" s="309"/>
      <c r="I2003" s="309"/>
      <c r="J2003" s="309"/>
    </row>
    <row r="2004">
      <c r="B2004" s="309"/>
      <c r="C2004" s="309"/>
      <c r="I2004" s="309"/>
      <c r="J2004" s="309"/>
    </row>
    <row r="2005">
      <c r="B2005" s="309"/>
      <c r="C2005" s="309"/>
      <c r="I2005" s="309"/>
      <c r="J2005" s="309"/>
    </row>
    <row r="2006">
      <c r="B2006" s="309"/>
      <c r="C2006" s="309"/>
      <c r="I2006" s="309"/>
      <c r="J2006" s="309"/>
    </row>
    <row r="2007">
      <c r="B2007" s="309"/>
      <c r="C2007" s="309"/>
      <c r="I2007" s="309"/>
      <c r="J2007" s="309"/>
    </row>
    <row r="2008">
      <c r="B2008" s="309"/>
      <c r="C2008" s="309"/>
      <c r="I2008" s="309"/>
      <c r="J2008" s="309"/>
    </row>
    <row r="2009">
      <c r="B2009" s="309"/>
      <c r="C2009" s="309"/>
      <c r="I2009" s="309"/>
      <c r="J2009" s="309"/>
    </row>
    <row r="2010">
      <c r="B2010" s="309"/>
      <c r="C2010" s="309"/>
      <c r="I2010" s="309"/>
      <c r="J2010" s="309"/>
    </row>
    <row r="2011">
      <c r="B2011" s="309"/>
      <c r="C2011" s="309"/>
      <c r="I2011" s="309"/>
      <c r="J2011" s="309"/>
    </row>
    <row r="2012">
      <c r="B2012" s="309"/>
      <c r="C2012" s="309"/>
      <c r="I2012" s="309"/>
      <c r="J2012" s="309"/>
    </row>
    <row r="2013">
      <c r="B2013" s="309"/>
      <c r="C2013" s="309"/>
      <c r="I2013" s="309"/>
      <c r="J2013" s="309"/>
    </row>
    <row r="2014">
      <c r="B2014" s="309"/>
      <c r="C2014" s="309"/>
      <c r="I2014" s="309"/>
      <c r="J2014" s="309"/>
    </row>
    <row r="2015">
      <c r="B2015" s="309"/>
      <c r="C2015" s="309"/>
      <c r="I2015" s="309"/>
      <c r="J2015" s="309"/>
    </row>
    <row r="2016">
      <c r="B2016" s="309"/>
      <c r="C2016" s="309"/>
      <c r="I2016" s="309"/>
      <c r="J2016" s="309"/>
    </row>
    <row r="2017">
      <c r="B2017" s="309"/>
      <c r="C2017" s="309"/>
      <c r="I2017" s="309"/>
      <c r="J2017" s="309"/>
    </row>
    <row r="2018">
      <c r="B2018" s="309"/>
      <c r="C2018" s="309"/>
      <c r="I2018" s="309"/>
      <c r="J2018" s="309"/>
    </row>
    <row r="2019">
      <c r="B2019" s="309"/>
      <c r="C2019" s="309"/>
      <c r="I2019" s="309"/>
      <c r="J2019" s="309"/>
    </row>
    <row r="2020">
      <c r="B2020" s="309"/>
      <c r="C2020" s="309"/>
      <c r="I2020" s="309"/>
      <c r="J2020" s="309"/>
    </row>
    <row r="2021">
      <c r="B2021" s="309"/>
      <c r="C2021" s="309"/>
      <c r="I2021" s="309"/>
      <c r="J2021" s="309"/>
    </row>
    <row r="2022">
      <c r="B2022" s="309"/>
      <c r="C2022" s="309"/>
      <c r="I2022" s="309"/>
      <c r="J2022" s="309"/>
    </row>
    <row r="2023">
      <c r="B2023" s="309"/>
      <c r="C2023" s="309"/>
      <c r="I2023" s="309"/>
      <c r="J2023" s="309"/>
    </row>
    <row r="2024">
      <c r="B2024" s="309"/>
      <c r="C2024" s="309"/>
      <c r="I2024" s="309"/>
      <c r="J2024" s="309"/>
    </row>
    <row r="2025">
      <c r="B2025" s="309"/>
      <c r="C2025" s="309"/>
      <c r="I2025" s="309"/>
      <c r="J2025" s="309"/>
    </row>
    <row r="2026">
      <c r="B2026" s="309"/>
      <c r="C2026" s="309"/>
      <c r="I2026" s="309"/>
      <c r="J2026" s="309"/>
    </row>
    <row r="2027">
      <c r="B2027" s="309"/>
      <c r="C2027" s="309"/>
      <c r="I2027" s="309"/>
      <c r="J2027" s="309"/>
    </row>
    <row r="2028">
      <c r="B2028" s="309"/>
      <c r="C2028" s="309"/>
      <c r="I2028" s="309"/>
      <c r="J2028" s="309"/>
    </row>
    <row r="2029">
      <c r="B2029" s="309"/>
      <c r="C2029" s="309"/>
      <c r="I2029" s="309"/>
      <c r="J2029" s="309"/>
    </row>
    <row r="2030">
      <c r="B2030" s="309"/>
      <c r="C2030" s="309"/>
      <c r="I2030" s="309"/>
      <c r="J2030" s="309"/>
    </row>
    <row r="2031">
      <c r="B2031" s="309"/>
      <c r="C2031" s="309"/>
      <c r="I2031" s="309"/>
      <c r="J2031" s="309"/>
    </row>
    <row r="2032">
      <c r="B2032" s="309"/>
      <c r="C2032" s="309"/>
      <c r="I2032" s="309"/>
      <c r="J2032" s="309"/>
    </row>
    <row r="2033">
      <c r="B2033" s="309"/>
      <c r="C2033" s="309"/>
      <c r="I2033" s="309"/>
      <c r="J2033" s="309"/>
    </row>
    <row r="2034">
      <c r="B2034" s="309"/>
      <c r="C2034" s="309"/>
      <c r="I2034" s="309"/>
      <c r="J2034" s="309"/>
    </row>
    <row r="2035">
      <c r="B2035" s="309"/>
      <c r="C2035" s="309"/>
      <c r="I2035" s="309"/>
      <c r="J2035" s="309"/>
    </row>
    <row r="2036">
      <c r="B2036" s="309"/>
      <c r="C2036" s="309"/>
      <c r="I2036" s="309"/>
      <c r="J2036" s="309"/>
    </row>
    <row r="2037">
      <c r="B2037" s="309"/>
      <c r="C2037" s="309"/>
      <c r="I2037" s="309"/>
      <c r="J2037" s="309"/>
    </row>
    <row r="2038">
      <c r="B2038" s="309"/>
      <c r="C2038" s="309"/>
      <c r="I2038" s="309"/>
      <c r="J2038" s="309"/>
    </row>
    <row r="2039">
      <c r="B2039" s="309"/>
      <c r="C2039" s="309"/>
      <c r="I2039" s="309"/>
      <c r="J2039" s="309"/>
    </row>
    <row r="2040">
      <c r="B2040" s="309"/>
      <c r="C2040" s="309"/>
      <c r="I2040" s="309"/>
      <c r="J2040" s="309"/>
    </row>
    <row r="2041">
      <c r="B2041" s="309"/>
      <c r="C2041" s="309"/>
      <c r="I2041" s="309"/>
      <c r="J2041" s="309"/>
    </row>
    <row r="2042">
      <c r="B2042" s="309"/>
      <c r="C2042" s="309"/>
      <c r="I2042" s="309"/>
      <c r="J2042" s="309"/>
    </row>
    <row r="2043">
      <c r="B2043" s="309"/>
      <c r="C2043" s="309"/>
      <c r="I2043" s="309"/>
      <c r="J2043" s="309"/>
    </row>
    <row r="2044">
      <c r="B2044" s="309"/>
      <c r="C2044" s="309"/>
      <c r="I2044" s="309"/>
      <c r="J2044" s="309"/>
    </row>
    <row r="2045">
      <c r="B2045" s="309"/>
      <c r="C2045" s="309"/>
      <c r="I2045" s="309"/>
      <c r="J2045" s="309"/>
    </row>
    <row r="2046">
      <c r="B2046" s="309"/>
      <c r="C2046" s="309"/>
      <c r="I2046" s="309"/>
      <c r="J2046" s="309"/>
    </row>
    <row r="2047">
      <c r="B2047" s="309"/>
      <c r="C2047" s="309"/>
      <c r="I2047" s="309"/>
      <c r="J2047" s="309"/>
    </row>
    <row r="2048">
      <c r="B2048" s="309"/>
      <c r="C2048" s="309"/>
      <c r="I2048" s="309"/>
      <c r="J2048" s="309"/>
    </row>
    <row r="2049">
      <c r="B2049" s="309"/>
      <c r="C2049" s="309"/>
      <c r="I2049" s="309"/>
      <c r="J2049" s="309"/>
    </row>
    <row r="2050">
      <c r="B2050" s="309"/>
      <c r="C2050" s="309"/>
      <c r="I2050" s="309"/>
      <c r="J2050" s="309"/>
    </row>
    <row r="2051">
      <c r="B2051" s="309"/>
      <c r="C2051" s="309"/>
      <c r="I2051" s="309"/>
      <c r="J2051" s="309"/>
    </row>
    <row r="2052">
      <c r="B2052" s="309"/>
      <c r="C2052" s="309"/>
      <c r="I2052" s="309"/>
      <c r="J2052" s="309"/>
    </row>
    <row r="2053">
      <c r="B2053" s="309"/>
      <c r="C2053" s="309"/>
      <c r="I2053" s="309"/>
      <c r="J2053" s="309"/>
    </row>
    <row r="2054">
      <c r="B2054" s="309"/>
      <c r="C2054" s="309"/>
      <c r="I2054" s="309"/>
      <c r="J2054" s="309"/>
    </row>
    <row r="2055">
      <c r="B2055" s="309"/>
      <c r="C2055" s="309"/>
      <c r="I2055" s="309"/>
      <c r="J2055" s="309"/>
    </row>
    <row r="2056">
      <c r="B2056" s="309"/>
      <c r="C2056" s="309"/>
      <c r="I2056" s="309"/>
      <c r="J2056" s="309"/>
    </row>
    <row r="2057">
      <c r="B2057" s="309"/>
      <c r="C2057" s="309"/>
      <c r="I2057" s="309"/>
      <c r="J2057" s="309"/>
    </row>
    <row r="2058">
      <c r="B2058" s="309"/>
      <c r="C2058" s="309"/>
      <c r="I2058" s="309"/>
      <c r="J2058" s="309"/>
    </row>
    <row r="2059">
      <c r="B2059" s="309"/>
      <c r="C2059" s="309"/>
      <c r="I2059" s="309"/>
      <c r="J2059" s="309"/>
    </row>
    <row r="2060">
      <c r="B2060" s="309"/>
      <c r="C2060" s="309"/>
      <c r="I2060" s="309"/>
      <c r="J2060" s="309"/>
    </row>
    <row r="2061">
      <c r="B2061" s="309"/>
      <c r="C2061" s="309"/>
      <c r="I2061" s="309"/>
      <c r="J2061" s="309"/>
    </row>
    <row r="2062">
      <c r="B2062" s="309"/>
      <c r="C2062" s="309"/>
      <c r="I2062" s="309"/>
      <c r="J2062" s="309"/>
    </row>
    <row r="2063">
      <c r="B2063" s="309"/>
      <c r="C2063" s="309"/>
      <c r="I2063" s="309"/>
      <c r="J2063" s="309"/>
    </row>
    <row r="2064">
      <c r="B2064" s="309"/>
      <c r="C2064" s="309"/>
      <c r="I2064" s="309"/>
      <c r="J2064" s="309"/>
    </row>
    <row r="2065">
      <c r="B2065" s="309"/>
      <c r="C2065" s="309"/>
      <c r="I2065" s="309"/>
      <c r="J2065" s="309"/>
    </row>
    <row r="2066">
      <c r="B2066" s="309"/>
      <c r="C2066" s="309"/>
      <c r="I2066" s="309"/>
      <c r="J2066" s="309"/>
    </row>
    <row r="2067">
      <c r="B2067" s="309"/>
      <c r="C2067" s="309"/>
      <c r="I2067" s="309"/>
      <c r="J2067" s="309"/>
    </row>
    <row r="2068">
      <c r="B2068" s="309"/>
      <c r="C2068" s="309"/>
      <c r="I2068" s="309"/>
      <c r="J2068" s="309"/>
    </row>
    <row r="2069">
      <c r="B2069" s="309"/>
      <c r="C2069" s="309"/>
      <c r="I2069" s="309"/>
      <c r="J2069" s="309"/>
    </row>
    <row r="2070">
      <c r="B2070" s="309"/>
      <c r="C2070" s="309"/>
      <c r="I2070" s="309"/>
      <c r="J2070" s="309"/>
    </row>
    <row r="2071">
      <c r="B2071" s="309"/>
      <c r="C2071" s="309"/>
      <c r="I2071" s="309"/>
      <c r="J2071" s="309"/>
    </row>
    <row r="2072">
      <c r="B2072" s="309"/>
      <c r="C2072" s="309"/>
      <c r="I2072" s="309"/>
      <c r="J2072" s="309"/>
    </row>
    <row r="2073">
      <c r="B2073" s="309"/>
      <c r="C2073" s="309"/>
      <c r="I2073" s="309"/>
      <c r="J2073" s="309"/>
    </row>
    <row r="2074">
      <c r="B2074" s="309"/>
      <c r="C2074" s="309"/>
      <c r="I2074" s="309"/>
      <c r="J2074" s="309"/>
    </row>
    <row r="2075">
      <c r="B2075" s="309"/>
      <c r="C2075" s="309"/>
      <c r="I2075" s="309"/>
      <c r="J2075" s="309"/>
    </row>
    <row r="2076">
      <c r="B2076" s="309"/>
      <c r="C2076" s="309"/>
      <c r="I2076" s="309"/>
      <c r="J2076" s="309"/>
    </row>
    <row r="2077">
      <c r="B2077" s="309"/>
      <c r="C2077" s="309"/>
      <c r="I2077" s="309"/>
      <c r="J2077" s="309"/>
    </row>
    <row r="2078">
      <c r="B2078" s="309"/>
      <c r="C2078" s="309"/>
      <c r="I2078" s="309"/>
      <c r="J2078" s="309"/>
    </row>
    <row r="2079">
      <c r="B2079" s="309"/>
      <c r="C2079" s="309"/>
      <c r="I2079" s="309"/>
      <c r="J2079" s="309"/>
    </row>
    <row r="2080">
      <c r="B2080" s="309"/>
      <c r="C2080" s="309"/>
      <c r="I2080" s="309"/>
      <c r="J2080" s="309"/>
    </row>
    <row r="2081">
      <c r="B2081" s="309"/>
      <c r="C2081" s="309"/>
      <c r="I2081" s="309"/>
      <c r="J2081" s="309"/>
    </row>
    <row r="2082">
      <c r="B2082" s="309"/>
      <c r="C2082" s="309"/>
      <c r="I2082" s="309"/>
      <c r="J2082" s="309"/>
    </row>
    <row r="2083">
      <c r="B2083" s="309"/>
      <c r="C2083" s="309"/>
      <c r="I2083" s="309"/>
      <c r="J2083" s="309"/>
    </row>
    <row r="2084">
      <c r="B2084" s="309"/>
      <c r="C2084" s="309"/>
      <c r="I2084" s="309"/>
      <c r="J2084" s="309"/>
    </row>
    <row r="2085">
      <c r="B2085" s="309"/>
      <c r="C2085" s="309"/>
      <c r="I2085" s="309"/>
      <c r="J2085" s="309"/>
    </row>
    <row r="2086">
      <c r="B2086" s="309"/>
      <c r="C2086" s="309"/>
      <c r="I2086" s="309"/>
      <c r="J2086" s="309"/>
    </row>
    <row r="2087">
      <c r="B2087" s="309"/>
      <c r="C2087" s="309"/>
      <c r="I2087" s="309"/>
      <c r="J2087" s="309"/>
    </row>
    <row r="2088">
      <c r="B2088" s="309"/>
      <c r="C2088" s="309"/>
      <c r="I2088" s="309"/>
      <c r="J2088" s="309"/>
    </row>
    <row r="2089">
      <c r="B2089" s="309"/>
      <c r="C2089" s="309"/>
      <c r="I2089" s="309"/>
      <c r="J2089" s="309"/>
    </row>
    <row r="2090">
      <c r="B2090" s="309"/>
      <c r="C2090" s="309"/>
      <c r="I2090" s="309"/>
      <c r="J2090" s="309"/>
    </row>
    <row r="2091">
      <c r="B2091" s="309"/>
      <c r="C2091" s="309"/>
      <c r="I2091" s="309"/>
      <c r="J2091" s="309"/>
    </row>
    <row r="2092">
      <c r="B2092" s="309"/>
      <c r="C2092" s="309"/>
      <c r="I2092" s="309"/>
      <c r="J2092" s="309"/>
    </row>
    <row r="2093">
      <c r="B2093" s="309"/>
      <c r="C2093" s="309"/>
      <c r="I2093" s="309"/>
      <c r="J2093" s="309"/>
    </row>
    <row r="2094">
      <c r="B2094" s="309"/>
      <c r="C2094" s="309"/>
      <c r="I2094" s="309"/>
      <c r="J2094" s="309"/>
    </row>
    <row r="2095">
      <c r="B2095" s="309"/>
      <c r="C2095" s="309"/>
      <c r="I2095" s="309"/>
      <c r="J2095" s="309"/>
    </row>
    <row r="2096">
      <c r="B2096" s="309"/>
      <c r="C2096" s="309"/>
      <c r="I2096" s="309"/>
      <c r="J2096" s="309"/>
    </row>
    <row r="2097">
      <c r="B2097" s="309"/>
      <c r="C2097" s="309"/>
      <c r="I2097" s="309"/>
      <c r="J2097" s="309"/>
    </row>
    <row r="2098">
      <c r="B2098" s="309"/>
      <c r="C2098" s="309"/>
      <c r="I2098" s="309"/>
      <c r="J2098" s="309"/>
    </row>
    <row r="2099">
      <c r="B2099" s="309"/>
      <c r="C2099" s="309"/>
      <c r="I2099" s="309"/>
      <c r="J2099" s="309"/>
    </row>
    <row r="2100">
      <c r="B2100" s="309"/>
      <c r="C2100" s="309"/>
      <c r="I2100" s="309"/>
      <c r="J2100" s="309"/>
    </row>
    <row r="2101">
      <c r="B2101" s="309"/>
      <c r="C2101" s="309"/>
      <c r="I2101" s="309"/>
      <c r="J2101" s="309"/>
    </row>
    <row r="2102">
      <c r="B2102" s="309"/>
      <c r="C2102" s="309"/>
      <c r="I2102" s="309"/>
      <c r="J2102" s="309"/>
    </row>
    <row r="2103">
      <c r="B2103" s="309"/>
      <c r="C2103" s="309"/>
      <c r="I2103" s="309"/>
      <c r="J2103" s="309"/>
    </row>
    <row r="2104">
      <c r="B2104" s="309"/>
      <c r="C2104" s="309"/>
      <c r="I2104" s="309"/>
      <c r="J2104" s="309"/>
    </row>
    <row r="2105">
      <c r="B2105" s="309"/>
      <c r="C2105" s="309"/>
      <c r="I2105" s="309"/>
      <c r="J2105" s="309"/>
    </row>
    <row r="2106">
      <c r="B2106" s="309"/>
      <c r="C2106" s="309"/>
      <c r="I2106" s="309"/>
      <c r="J2106" s="309"/>
    </row>
    <row r="2107">
      <c r="B2107" s="309"/>
      <c r="C2107" s="309"/>
      <c r="I2107" s="309"/>
      <c r="J2107" s="309"/>
    </row>
    <row r="2108">
      <c r="B2108" s="309"/>
      <c r="C2108" s="309"/>
      <c r="I2108" s="309"/>
      <c r="J2108" s="309"/>
    </row>
    <row r="2109">
      <c r="B2109" s="309"/>
      <c r="C2109" s="309"/>
      <c r="I2109" s="309"/>
      <c r="J2109" s="309"/>
    </row>
    <row r="2110">
      <c r="B2110" s="309"/>
      <c r="C2110" s="309"/>
      <c r="I2110" s="309"/>
      <c r="J2110" s="309"/>
    </row>
    <row r="2111">
      <c r="B2111" s="309"/>
      <c r="C2111" s="309"/>
      <c r="I2111" s="309"/>
      <c r="J2111" s="309"/>
    </row>
    <row r="2112">
      <c r="B2112" s="309"/>
      <c r="C2112" s="309"/>
      <c r="I2112" s="309"/>
      <c r="J2112" s="309"/>
    </row>
    <row r="2113">
      <c r="B2113" s="309"/>
      <c r="C2113" s="309"/>
      <c r="I2113" s="309"/>
      <c r="J2113" s="309"/>
    </row>
    <row r="2114">
      <c r="B2114" s="309"/>
      <c r="C2114" s="309"/>
      <c r="I2114" s="309"/>
      <c r="J2114" s="309"/>
    </row>
    <row r="2115">
      <c r="B2115" s="309"/>
      <c r="C2115" s="309"/>
      <c r="I2115" s="309"/>
      <c r="J2115" s="309"/>
    </row>
    <row r="2116">
      <c r="B2116" s="309"/>
      <c r="C2116" s="309"/>
      <c r="I2116" s="309"/>
      <c r="J2116" s="309"/>
    </row>
    <row r="2117">
      <c r="B2117" s="309"/>
      <c r="C2117" s="309"/>
      <c r="I2117" s="309"/>
      <c r="J2117" s="309"/>
    </row>
    <row r="2118">
      <c r="B2118" s="309"/>
      <c r="C2118" s="309"/>
      <c r="I2118" s="309"/>
      <c r="J2118" s="309"/>
    </row>
    <row r="2119">
      <c r="B2119" s="309"/>
      <c r="C2119" s="309"/>
      <c r="I2119" s="309"/>
      <c r="J2119" s="309"/>
    </row>
    <row r="2120">
      <c r="B2120" s="309"/>
      <c r="C2120" s="309"/>
      <c r="I2120" s="309"/>
      <c r="J2120" s="309"/>
    </row>
    <row r="2121">
      <c r="B2121" s="309"/>
      <c r="C2121" s="309"/>
      <c r="I2121" s="309"/>
      <c r="J2121" s="309"/>
    </row>
    <row r="2122">
      <c r="B2122" s="309"/>
      <c r="C2122" s="309"/>
      <c r="I2122" s="309"/>
      <c r="J2122" s="309"/>
    </row>
    <row r="2123">
      <c r="B2123" s="309"/>
      <c r="C2123" s="309"/>
      <c r="I2123" s="309"/>
      <c r="J2123" s="309"/>
    </row>
    <row r="2124">
      <c r="B2124" s="309"/>
      <c r="C2124" s="309"/>
      <c r="I2124" s="309"/>
      <c r="J2124" s="309"/>
    </row>
    <row r="2125">
      <c r="B2125" s="309"/>
      <c r="C2125" s="309"/>
      <c r="I2125" s="309"/>
      <c r="J2125" s="309"/>
    </row>
    <row r="2126">
      <c r="B2126" s="309"/>
      <c r="C2126" s="309"/>
      <c r="I2126" s="309"/>
      <c r="J2126" s="309"/>
    </row>
    <row r="2127">
      <c r="B2127" s="309"/>
      <c r="C2127" s="309"/>
      <c r="I2127" s="309"/>
      <c r="J2127" s="309"/>
    </row>
    <row r="2128">
      <c r="B2128" s="309"/>
      <c r="C2128" s="309"/>
      <c r="I2128" s="309"/>
      <c r="J2128" s="309"/>
    </row>
    <row r="2129">
      <c r="B2129" s="309"/>
      <c r="C2129" s="309"/>
      <c r="I2129" s="309"/>
      <c r="J2129" s="309"/>
    </row>
    <row r="2130">
      <c r="B2130" s="309"/>
      <c r="C2130" s="309"/>
      <c r="I2130" s="309"/>
      <c r="J2130" s="309"/>
    </row>
    <row r="2131">
      <c r="B2131" s="309"/>
      <c r="C2131" s="309"/>
      <c r="I2131" s="309"/>
      <c r="J2131" s="309"/>
    </row>
    <row r="2132">
      <c r="B2132" s="309"/>
      <c r="C2132" s="309"/>
      <c r="I2132" s="309"/>
      <c r="J2132" s="309"/>
    </row>
    <row r="2133">
      <c r="B2133" s="309"/>
      <c r="C2133" s="309"/>
      <c r="I2133" s="309"/>
      <c r="J2133" s="309"/>
    </row>
    <row r="2134">
      <c r="B2134" s="309"/>
      <c r="C2134" s="309"/>
      <c r="I2134" s="309"/>
      <c r="J2134" s="309"/>
    </row>
    <row r="2135">
      <c r="B2135" s="309"/>
      <c r="C2135" s="309"/>
      <c r="I2135" s="309"/>
      <c r="J2135" s="309"/>
    </row>
    <row r="2136">
      <c r="B2136" s="309"/>
      <c r="C2136" s="309"/>
      <c r="I2136" s="309"/>
      <c r="J2136" s="309"/>
    </row>
    <row r="2137">
      <c r="B2137" s="309"/>
      <c r="C2137" s="309"/>
      <c r="I2137" s="309"/>
      <c r="J2137" s="309"/>
    </row>
    <row r="2138">
      <c r="B2138" s="309"/>
      <c r="C2138" s="309"/>
      <c r="I2138" s="309"/>
      <c r="J2138" s="309"/>
    </row>
    <row r="2139">
      <c r="B2139" s="309"/>
      <c r="C2139" s="309"/>
      <c r="I2139" s="309"/>
      <c r="J2139" s="309"/>
    </row>
    <row r="2140">
      <c r="B2140" s="309"/>
      <c r="C2140" s="309"/>
      <c r="I2140" s="309"/>
      <c r="J2140" s="309"/>
    </row>
    <row r="2141">
      <c r="B2141" s="309"/>
      <c r="C2141" s="309"/>
      <c r="I2141" s="309"/>
      <c r="J2141" s="309"/>
    </row>
    <row r="2142">
      <c r="B2142" s="309"/>
      <c r="C2142" s="309"/>
      <c r="I2142" s="309"/>
      <c r="J2142" s="309"/>
    </row>
    <row r="2143">
      <c r="B2143" s="309"/>
      <c r="C2143" s="309"/>
      <c r="I2143" s="309"/>
      <c r="J2143" s="309"/>
    </row>
    <row r="2144">
      <c r="B2144" s="309"/>
      <c r="C2144" s="309"/>
      <c r="I2144" s="309"/>
      <c r="J2144" s="309"/>
    </row>
    <row r="2145">
      <c r="B2145" s="309"/>
      <c r="C2145" s="309"/>
      <c r="I2145" s="309"/>
      <c r="J2145" s="309"/>
    </row>
    <row r="2146">
      <c r="B2146" s="309"/>
      <c r="C2146" s="309"/>
      <c r="I2146" s="309"/>
      <c r="J2146" s="309"/>
    </row>
    <row r="2147">
      <c r="B2147" s="309"/>
      <c r="C2147" s="309"/>
      <c r="I2147" s="309"/>
      <c r="J2147" s="309"/>
    </row>
    <row r="2148">
      <c r="B2148" s="309"/>
      <c r="C2148" s="309"/>
      <c r="I2148" s="309"/>
      <c r="J2148" s="309"/>
    </row>
    <row r="2149">
      <c r="B2149" s="309"/>
      <c r="C2149" s="309"/>
      <c r="I2149" s="309"/>
      <c r="J2149" s="309"/>
    </row>
    <row r="2150">
      <c r="B2150" s="309"/>
      <c r="C2150" s="309"/>
      <c r="I2150" s="309"/>
      <c r="J2150" s="309"/>
    </row>
    <row r="2151">
      <c r="B2151" s="309"/>
      <c r="C2151" s="309"/>
      <c r="I2151" s="309"/>
      <c r="J2151" s="309"/>
    </row>
    <row r="2152">
      <c r="B2152" s="309"/>
      <c r="C2152" s="309"/>
      <c r="I2152" s="309"/>
      <c r="J2152" s="309"/>
    </row>
    <row r="2153">
      <c r="B2153" s="309"/>
      <c r="C2153" s="309"/>
      <c r="I2153" s="309"/>
      <c r="J2153" s="309"/>
    </row>
    <row r="2154">
      <c r="B2154" s="309"/>
      <c r="C2154" s="309"/>
      <c r="I2154" s="309"/>
      <c r="J2154" s="309"/>
    </row>
    <row r="2155">
      <c r="B2155" s="309"/>
      <c r="C2155" s="309"/>
      <c r="I2155" s="309"/>
      <c r="J2155" s="309"/>
    </row>
    <row r="2156">
      <c r="B2156" s="309"/>
      <c r="C2156" s="309"/>
      <c r="I2156" s="309"/>
      <c r="J2156" s="309"/>
    </row>
    <row r="2157">
      <c r="B2157" s="309"/>
      <c r="C2157" s="309"/>
      <c r="I2157" s="309"/>
      <c r="J2157" s="309"/>
    </row>
    <row r="2158">
      <c r="B2158" s="309"/>
      <c r="C2158" s="309"/>
      <c r="I2158" s="309"/>
      <c r="J2158" s="309"/>
    </row>
    <row r="2159">
      <c r="B2159" s="309"/>
      <c r="C2159" s="309"/>
      <c r="I2159" s="309"/>
      <c r="J2159" s="309"/>
    </row>
    <row r="2160">
      <c r="B2160" s="309"/>
      <c r="C2160" s="309"/>
      <c r="I2160" s="309"/>
      <c r="J2160" s="309"/>
    </row>
    <row r="2161">
      <c r="B2161" s="309"/>
      <c r="C2161" s="309"/>
      <c r="I2161" s="309"/>
      <c r="J2161" s="309"/>
    </row>
    <row r="2162">
      <c r="B2162" s="309"/>
      <c r="C2162" s="309"/>
      <c r="I2162" s="309"/>
      <c r="J2162" s="309"/>
    </row>
    <row r="2163">
      <c r="B2163" s="309"/>
      <c r="C2163" s="309"/>
      <c r="I2163" s="309"/>
      <c r="J2163" s="309"/>
    </row>
    <row r="2164">
      <c r="B2164" s="309"/>
      <c r="C2164" s="309"/>
      <c r="I2164" s="309"/>
      <c r="J2164" s="309"/>
    </row>
    <row r="2165">
      <c r="B2165" s="309"/>
      <c r="C2165" s="309"/>
      <c r="I2165" s="309"/>
      <c r="J2165" s="309"/>
    </row>
    <row r="2166">
      <c r="B2166" s="309"/>
      <c r="C2166" s="309"/>
      <c r="I2166" s="309"/>
      <c r="J2166" s="309"/>
    </row>
    <row r="2167">
      <c r="B2167" s="309"/>
      <c r="C2167" s="309"/>
      <c r="I2167" s="309"/>
      <c r="J2167" s="309"/>
    </row>
    <row r="2168">
      <c r="B2168" s="309"/>
      <c r="C2168" s="309"/>
      <c r="I2168" s="309"/>
      <c r="J2168" s="309"/>
    </row>
    <row r="2169">
      <c r="B2169" s="309"/>
      <c r="C2169" s="309"/>
      <c r="I2169" s="309"/>
      <c r="J2169" s="309"/>
    </row>
    <row r="2170">
      <c r="B2170" s="309"/>
      <c r="C2170" s="309"/>
      <c r="I2170" s="309"/>
      <c r="J2170" s="309"/>
    </row>
    <row r="2171">
      <c r="B2171" s="309"/>
      <c r="C2171" s="309"/>
      <c r="I2171" s="309"/>
      <c r="J2171" s="309"/>
    </row>
    <row r="2172">
      <c r="B2172" s="309"/>
      <c r="C2172" s="309"/>
      <c r="I2172" s="309"/>
      <c r="J2172" s="309"/>
    </row>
    <row r="2173">
      <c r="B2173" s="309"/>
      <c r="C2173" s="309"/>
      <c r="I2173" s="309"/>
      <c r="J2173" s="309"/>
    </row>
    <row r="2174">
      <c r="B2174" s="309"/>
      <c r="C2174" s="309"/>
      <c r="I2174" s="309"/>
      <c r="J2174" s="309"/>
    </row>
    <row r="2175">
      <c r="B2175" s="309"/>
      <c r="C2175" s="309"/>
      <c r="I2175" s="309"/>
      <c r="J2175" s="309"/>
    </row>
    <row r="2176">
      <c r="B2176" s="309"/>
      <c r="C2176" s="309"/>
      <c r="I2176" s="309"/>
      <c r="J2176" s="309"/>
    </row>
    <row r="2177">
      <c r="B2177" s="309"/>
      <c r="C2177" s="309"/>
      <c r="I2177" s="309"/>
      <c r="J2177" s="309"/>
    </row>
    <row r="2178">
      <c r="B2178" s="309"/>
      <c r="C2178" s="309"/>
      <c r="I2178" s="309"/>
      <c r="J2178" s="309"/>
    </row>
    <row r="2179">
      <c r="B2179" s="309"/>
      <c r="C2179" s="309"/>
      <c r="I2179" s="309"/>
      <c r="J2179" s="309"/>
    </row>
    <row r="2180">
      <c r="B2180" s="309"/>
      <c r="C2180" s="309"/>
      <c r="I2180" s="309"/>
      <c r="J2180" s="309"/>
    </row>
    <row r="2181">
      <c r="B2181" s="309"/>
      <c r="C2181" s="309"/>
      <c r="I2181" s="309"/>
      <c r="J2181" s="309"/>
    </row>
    <row r="2182">
      <c r="B2182" s="309"/>
      <c r="C2182" s="309"/>
      <c r="I2182" s="309"/>
      <c r="J2182" s="309"/>
    </row>
    <row r="2183">
      <c r="B2183" s="309"/>
      <c r="C2183" s="309"/>
      <c r="I2183" s="309"/>
      <c r="J2183" s="309"/>
    </row>
    <row r="2184">
      <c r="B2184" s="309"/>
      <c r="C2184" s="309"/>
      <c r="I2184" s="309"/>
      <c r="J2184" s="309"/>
    </row>
    <row r="2185">
      <c r="B2185" s="309"/>
      <c r="C2185" s="309"/>
      <c r="I2185" s="309"/>
      <c r="J2185" s="309"/>
    </row>
    <row r="2186">
      <c r="B2186" s="309"/>
      <c r="C2186" s="309"/>
      <c r="I2186" s="309"/>
      <c r="J2186" s="309"/>
    </row>
    <row r="2187">
      <c r="B2187" s="309"/>
      <c r="C2187" s="309"/>
      <c r="I2187" s="309"/>
      <c r="J2187" s="309"/>
    </row>
    <row r="2188">
      <c r="B2188" s="309"/>
      <c r="C2188" s="309"/>
      <c r="I2188" s="309"/>
      <c r="J2188" s="309"/>
    </row>
    <row r="2189">
      <c r="B2189" s="309"/>
      <c r="C2189" s="309"/>
      <c r="I2189" s="309"/>
      <c r="J2189" s="309"/>
    </row>
    <row r="2190">
      <c r="B2190" s="309"/>
      <c r="C2190" s="309"/>
      <c r="I2190" s="309"/>
      <c r="J2190" s="309"/>
    </row>
    <row r="2191">
      <c r="B2191" s="309"/>
      <c r="C2191" s="309"/>
      <c r="I2191" s="309"/>
      <c r="J2191" s="309"/>
    </row>
    <row r="2192">
      <c r="B2192" s="309"/>
      <c r="C2192" s="309"/>
      <c r="I2192" s="309"/>
      <c r="J2192" s="309"/>
    </row>
    <row r="2193">
      <c r="B2193" s="309"/>
      <c r="C2193" s="309"/>
      <c r="I2193" s="309"/>
      <c r="J2193" s="309"/>
    </row>
    <row r="2194">
      <c r="B2194" s="309"/>
      <c r="C2194" s="309"/>
      <c r="I2194" s="309"/>
      <c r="J2194" s="309"/>
    </row>
    <row r="2195">
      <c r="B2195" s="309"/>
      <c r="C2195" s="309"/>
      <c r="I2195" s="309"/>
      <c r="J2195" s="309"/>
    </row>
    <row r="2196">
      <c r="B2196" s="309"/>
      <c r="C2196" s="309"/>
      <c r="I2196" s="309"/>
      <c r="J2196" s="309"/>
    </row>
    <row r="2197">
      <c r="B2197" s="309"/>
      <c r="C2197" s="309"/>
      <c r="I2197" s="309"/>
      <c r="J2197" s="309"/>
    </row>
    <row r="2198">
      <c r="B2198" s="309"/>
      <c r="C2198" s="309"/>
      <c r="I2198" s="309"/>
      <c r="J2198" s="309"/>
    </row>
    <row r="2199">
      <c r="B2199" s="309"/>
      <c r="C2199" s="309"/>
      <c r="I2199" s="309"/>
      <c r="J2199" s="309"/>
    </row>
    <row r="2200">
      <c r="B2200" s="309"/>
      <c r="C2200" s="309"/>
      <c r="I2200" s="309"/>
      <c r="J2200" s="309"/>
    </row>
    <row r="2201">
      <c r="B2201" s="309"/>
      <c r="C2201" s="309"/>
      <c r="I2201" s="309"/>
      <c r="J2201" s="309"/>
    </row>
    <row r="2202">
      <c r="B2202" s="309"/>
      <c r="C2202" s="309"/>
      <c r="I2202" s="309"/>
      <c r="J2202" s="309"/>
    </row>
    <row r="2203">
      <c r="B2203" s="309"/>
      <c r="C2203" s="309"/>
      <c r="I2203" s="309"/>
      <c r="J2203" s="309"/>
    </row>
    <row r="2204">
      <c r="B2204" s="309"/>
      <c r="C2204" s="309"/>
      <c r="I2204" s="309"/>
      <c r="J2204" s="309"/>
    </row>
    <row r="2205">
      <c r="B2205" s="309"/>
      <c r="C2205" s="309"/>
      <c r="I2205" s="309"/>
      <c r="J2205" s="309"/>
    </row>
    <row r="2206">
      <c r="B2206" s="309"/>
      <c r="C2206" s="309"/>
      <c r="I2206" s="309"/>
      <c r="J2206" s="309"/>
    </row>
    <row r="2207">
      <c r="B2207" s="309"/>
      <c r="C2207" s="309"/>
      <c r="I2207" s="309"/>
      <c r="J2207" s="309"/>
    </row>
    <row r="2208">
      <c r="B2208" s="309"/>
      <c r="C2208" s="309"/>
      <c r="I2208" s="309"/>
      <c r="J2208" s="309"/>
    </row>
    <row r="2209">
      <c r="B2209" s="309"/>
      <c r="C2209" s="309"/>
      <c r="I2209" s="309"/>
      <c r="J2209" s="309"/>
    </row>
    <row r="2210">
      <c r="B2210" s="309"/>
      <c r="C2210" s="309"/>
      <c r="I2210" s="309"/>
      <c r="J2210" s="309"/>
    </row>
    <row r="2211">
      <c r="B2211" s="309"/>
      <c r="C2211" s="309"/>
      <c r="I2211" s="309"/>
      <c r="J2211" s="309"/>
    </row>
    <row r="2212">
      <c r="B2212" s="309"/>
      <c r="C2212" s="309"/>
      <c r="I2212" s="309"/>
      <c r="J2212" s="309"/>
    </row>
    <row r="2213">
      <c r="B2213" s="309"/>
      <c r="C2213" s="309"/>
      <c r="I2213" s="309"/>
      <c r="J2213" s="309"/>
    </row>
    <row r="2214">
      <c r="B2214" s="309"/>
      <c r="C2214" s="309"/>
      <c r="I2214" s="309"/>
      <c r="J2214" s="309"/>
    </row>
    <row r="2215">
      <c r="B2215" s="309"/>
      <c r="C2215" s="309"/>
      <c r="I2215" s="309"/>
      <c r="J2215" s="309"/>
    </row>
    <row r="2216">
      <c r="B2216" s="309"/>
      <c r="C2216" s="309"/>
      <c r="I2216" s="309"/>
      <c r="J2216" s="309"/>
    </row>
    <row r="2217">
      <c r="B2217" s="309"/>
      <c r="C2217" s="309"/>
      <c r="I2217" s="309"/>
      <c r="J2217" s="309"/>
    </row>
    <row r="2218">
      <c r="B2218" s="309"/>
      <c r="C2218" s="309"/>
      <c r="I2218" s="309"/>
      <c r="J2218" s="309"/>
    </row>
    <row r="2219">
      <c r="B2219" s="309"/>
      <c r="C2219" s="309"/>
      <c r="I2219" s="309"/>
      <c r="J2219" s="309"/>
    </row>
    <row r="2220">
      <c r="B2220" s="309"/>
      <c r="C2220" s="309"/>
      <c r="I2220" s="309"/>
      <c r="J2220" s="309"/>
    </row>
    <row r="2221">
      <c r="B2221" s="309"/>
      <c r="C2221" s="309"/>
      <c r="I2221" s="309"/>
      <c r="J2221" s="309"/>
    </row>
    <row r="2222">
      <c r="B2222" s="309"/>
      <c r="C2222" s="309"/>
      <c r="I2222" s="309"/>
      <c r="J2222" s="309"/>
    </row>
    <row r="2223">
      <c r="B2223" s="309"/>
      <c r="C2223" s="309"/>
      <c r="I2223" s="309"/>
      <c r="J2223" s="309"/>
    </row>
    <row r="2224">
      <c r="B2224" s="309"/>
      <c r="C2224" s="309"/>
      <c r="I2224" s="309"/>
      <c r="J2224" s="309"/>
    </row>
    <row r="2225">
      <c r="B2225" s="309"/>
      <c r="C2225" s="309"/>
      <c r="I2225" s="309"/>
      <c r="J2225" s="309"/>
    </row>
    <row r="2226">
      <c r="B2226" s="309"/>
      <c r="C2226" s="309"/>
      <c r="I2226" s="309"/>
      <c r="J2226" s="309"/>
    </row>
    <row r="2227">
      <c r="B2227" s="309"/>
      <c r="C2227" s="309"/>
      <c r="I2227" s="309"/>
      <c r="J2227" s="309"/>
    </row>
    <row r="2228">
      <c r="B2228" s="309"/>
      <c r="C2228" s="309"/>
      <c r="I2228" s="309"/>
      <c r="J2228" s="309"/>
    </row>
    <row r="2229">
      <c r="B2229" s="309"/>
      <c r="C2229" s="309"/>
      <c r="I2229" s="309"/>
      <c r="J2229" s="309"/>
    </row>
    <row r="2230">
      <c r="B2230" s="309"/>
      <c r="C2230" s="309"/>
      <c r="I2230" s="309"/>
      <c r="J2230" s="309"/>
    </row>
    <row r="2231">
      <c r="B2231" s="309"/>
      <c r="C2231" s="309"/>
      <c r="I2231" s="309"/>
      <c r="J2231" s="309"/>
    </row>
    <row r="2232">
      <c r="B2232" s="309"/>
      <c r="C2232" s="309"/>
      <c r="I2232" s="309"/>
      <c r="J2232" s="309"/>
    </row>
    <row r="2233">
      <c r="B2233" s="309"/>
      <c r="C2233" s="309"/>
      <c r="I2233" s="309"/>
      <c r="J2233" s="309"/>
    </row>
    <row r="2234">
      <c r="B2234" s="309"/>
      <c r="C2234" s="309"/>
      <c r="I2234" s="309"/>
      <c r="J2234" s="309"/>
    </row>
    <row r="2235">
      <c r="B2235" s="309"/>
      <c r="C2235" s="309"/>
      <c r="I2235" s="309"/>
      <c r="J2235" s="309"/>
    </row>
    <row r="2236">
      <c r="B2236" s="309"/>
      <c r="C2236" s="309"/>
      <c r="I2236" s="309"/>
      <c r="J2236" s="309"/>
    </row>
    <row r="2237">
      <c r="B2237" s="309"/>
      <c r="C2237" s="309"/>
      <c r="I2237" s="309"/>
      <c r="J2237" s="309"/>
    </row>
    <row r="2238">
      <c r="B2238" s="309"/>
      <c r="C2238" s="309"/>
      <c r="I2238" s="309"/>
      <c r="J2238" s="309"/>
    </row>
    <row r="2239">
      <c r="B2239" s="309"/>
      <c r="C2239" s="309"/>
      <c r="I2239" s="309"/>
      <c r="J2239" s="309"/>
    </row>
    <row r="2240">
      <c r="B2240" s="309"/>
      <c r="C2240" s="309"/>
      <c r="I2240" s="309"/>
      <c r="J2240" s="309"/>
    </row>
    <row r="2241">
      <c r="B2241" s="309"/>
      <c r="C2241" s="309"/>
      <c r="I2241" s="309"/>
      <c r="J2241" s="309"/>
    </row>
    <row r="2242">
      <c r="B2242" s="309"/>
      <c r="C2242" s="309"/>
      <c r="I2242" s="309"/>
      <c r="J2242" s="309"/>
    </row>
    <row r="2243">
      <c r="B2243" s="309"/>
      <c r="C2243" s="309"/>
      <c r="I2243" s="309"/>
      <c r="J2243" s="309"/>
    </row>
    <row r="2244">
      <c r="B2244" s="309"/>
      <c r="C2244" s="309"/>
      <c r="I2244" s="309"/>
      <c r="J2244" s="309"/>
    </row>
    <row r="2245">
      <c r="B2245" s="309"/>
      <c r="C2245" s="309"/>
      <c r="I2245" s="309"/>
      <c r="J2245" s="309"/>
    </row>
    <row r="2246">
      <c r="B2246" s="309"/>
      <c r="C2246" s="309"/>
      <c r="I2246" s="309"/>
      <c r="J2246" s="309"/>
    </row>
    <row r="2247">
      <c r="B2247" s="309"/>
      <c r="C2247" s="309"/>
      <c r="I2247" s="309"/>
      <c r="J2247" s="309"/>
    </row>
    <row r="2248">
      <c r="B2248" s="309"/>
      <c r="C2248" s="309"/>
      <c r="I2248" s="309"/>
      <c r="J2248" s="309"/>
    </row>
    <row r="2249">
      <c r="B2249" s="309"/>
      <c r="C2249" s="309"/>
      <c r="I2249" s="309"/>
      <c r="J2249" s="309"/>
    </row>
    <row r="2250">
      <c r="B2250" s="309"/>
      <c r="C2250" s="309"/>
      <c r="I2250" s="309"/>
      <c r="J2250" s="309"/>
    </row>
    <row r="2251">
      <c r="B2251" s="309"/>
      <c r="C2251" s="309"/>
      <c r="I2251" s="309"/>
      <c r="J2251" s="309"/>
    </row>
    <row r="2252">
      <c r="B2252" s="309"/>
      <c r="C2252" s="309"/>
      <c r="I2252" s="309"/>
      <c r="J2252" s="309"/>
    </row>
    <row r="2253">
      <c r="B2253" s="309"/>
      <c r="C2253" s="309"/>
      <c r="I2253" s="309"/>
      <c r="J2253" s="309"/>
    </row>
    <row r="2254">
      <c r="B2254" s="309"/>
      <c r="C2254" s="309"/>
      <c r="I2254" s="309"/>
      <c r="J2254" s="309"/>
    </row>
    <row r="2255">
      <c r="B2255" s="309"/>
      <c r="C2255" s="309"/>
      <c r="I2255" s="309"/>
      <c r="J2255" s="309"/>
    </row>
    <row r="2256">
      <c r="B2256" s="309"/>
      <c r="C2256" s="309"/>
      <c r="I2256" s="309"/>
      <c r="J2256" s="309"/>
    </row>
    <row r="2257">
      <c r="B2257" s="309"/>
      <c r="C2257" s="309"/>
      <c r="I2257" s="309"/>
      <c r="J2257" s="309"/>
    </row>
    <row r="2258">
      <c r="B2258" s="309"/>
      <c r="C2258" s="309"/>
      <c r="I2258" s="309"/>
      <c r="J2258" s="309"/>
    </row>
    <row r="2259">
      <c r="B2259" s="309"/>
      <c r="C2259" s="309"/>
      <c r="I2259" s="309"/>
      <c r="J2259" s="309"/>
    </row>
    <row r="2260">
      <c r="B2260" s="309"/>
      <c r="C2260" s="309"/>
      <c r="I2260" s="309"/>
      <c r="J2260" s="309"/>
    </row>
    <row r="2261">
      <c r="B2261" s="309"/>
      <c r="C2261" s="309"/>
      <c r="I2261" s="309"/>
      <c r="J2261" s="309"/>
    </row>
    <row r="2262">
      <c r="B2262" s="309"/>
      <c r="C2262" s="309"/>
      <c r="I2262" s="309"/>
      <c r="J2262" s="309"/>
    </row>
    <row r="2263">
      <c r="B2263" s="309"/>
      <c r="C2263" s="309"/>
      <c r="I2263" s="309"/>
      <c r="J2263" s="309"/>
    </row>
    <row r="2264">
      <c r="B2264" s="309"/>
      <c r="C2264" s="309"/>
      <c r="I2264" s="309"/>
      <c r="J2264" s="309"/>
    </row>
    <row r="2265">
      <c r="B2265" s="309"/>
      <c r="C2265" s="309"/>
      <c r="I2265" s="309"/>
      <c r="J2265" s="309"/>
    </row>
    <row r="2266">
      <c r="B2266" s="309"/>
      <c r="C2266" s="309"/>
      <c r="I2266" s="309"/>
      <c r="J2266" s="309"/>
    </row>
    <row r="2267">
      <c r="B2267" s="309"/>
      <c r="C2267" s="309"/>
      <c r="I2267" s="309"/>
      <c r="J2267" s="309"/>
    </row>
    <row r="2268">
      <c r="B2268" s="309"/>
      <c r="C2268" s="309"/>
      <c r="I2268" s="309"/>
      <c r="J2268" s="309"/>
    </row>
    <row r="2269">
      <c r="B2269" s="309"/>
      <c r="C2269" s="309"/>
      <c r="I2269" s="309"/>
      <c r="J2269" s="309"/>
    </row>
    <row r="2270">
      <c r="B2270" s="309"/>
      <c r="C2270" s="309"/>
      <c r="I2270" s="309"/>
      <c r="J2270" s="309"/>
    </row>
    <row r="2271">
      <c r="B2271" s="309"/>
      <c r="C2271" s="309"/>
      <c r="I2271" s="309"/>
      <c r="J2271" s="309"/>
    </row>
    <row r="2272">
      <c r="B2272" s="309"/>
      <c r="C2272" s="309"/>
      <c r="I2272" s="309"/>
      <c r="J2272" s="309"/>
    </row>
    <row r="2273">
      <c r="B2273" s="309"/>
      <c r="C2273" s="309"/>
      <c r="I2273" s="309"/>
      <c r="J2273" s="309"/>
    </row>
    <row r="2274">
      <c r="B2274" s="309"/>
      <c r="C2274" s="309"/>
      <c r="I2274" s="309"/>
      <c r="J2274" s="309"/>
    </row>
    <row r="2275">
      <c r="B2275" s="309"/>
      <c r="C2275" s="309"/>
      <c r="I2275" s="309"/>
      <c r="J2275" s="309"/>
    </row>
    <row r="2276">
      <c r="B2276" s="309"/>
      <c r="C2276" s="309"/>
      <c r="I2276" s="309"/>
      <c r="J2276" s="309"/>
    </row>
    <row r="2277">
      <c r="B2277" s="309"/>
      <c r="C2277" s="309"/>
      <c r="I2277" s="309"/>
      <c r="J2277" s="309"/>
    </row>
    <row r="2278">
      <c r="B2278" s="309"/>
      <c r="C2278" s="309"/>
      <c r="I2278" s="309"/>
      <c r="J2278" s="309"/>
    </row>
    <row r="2279">
      <c r="B2279" s="309"/>
      <c r="C2279" s="309"/>
      <c r="I2279" s="309"/>
      <c r="J2279" s="309"/>
    </row>
    <row r="2280">
      <c r="B2280" s="309"/>
      <c r="C2280" s="309"/>
      <c r="I2280" s="309"/>
      <c r="J2280" s="309"/>
    </row>
    <row r="2281">
      <c r="B2281" s="309"/>
      <c r="C2281" s="309"/>
      <c r="I2281" s="309"/>
      <c r="J2281" s="309"/>
    </row>
    <row r="2282">
      <c r="B2282" s="309"/>
      <c r="C2282" s="309"/>
      <c r="I2282" s="309"/>
      <c r="J2282" s="309"/>
    </row>
    <row r="2283">
      <c r="B2283" s="309"/>
      <c r="C2283" s="309"/>
      <c r="I2283" s="309"/>
      <c r="J2283" s="309"/>
    </row>
    <row r="2284">
      <c r="B2284" s="309"/>
      <c r="C2284" s="309"/>
      <c r="I2284" s="309"/>
      <c r="J2284" s="309"/>
    </row>
    <row r="2285">
      <c r="B2285" s="309"/>
      <c r="C2285" s="309"/>
      <c r="I2285" s="309"/>
      <c r="J2285" s="309"/>
    </row>
    <row r="2286">
      <c r="B2286" s="309"/>
      <c r="C2286" s="309"/>
      <c r="I2286" s="309"/>
      <c r="J2286" s="309"/>
    </row>
    <row r="2287">
      <c r="B2287" s="309"/>
      <c r="C2287" s="309"/>
      <c r="I2287" s="309"/>
      <c r="J2287" s="309"/>
    </row>
    <row r="2288">
      <c r="B2288" s="309"/>
      <c r="C2288" s="309"/>
      <c r="I2288" s="309"/>
      <c r="J2288" s="309"/>
    </row>
    <row r="2289">
      <c r="B2289" s="309"/>
      <c r="C2289" s="309"/>
      <c r="I2289" s="309"/>
      <c r="J2289" s="309"/>
    </row>
    <row r="2290">
      <c r="B2290" s="309"/>
      <c r="C2290" s="309"/>
      <c r="I2290" s="309"/>
      <c r="J2290" s="309"/>
    </row>
    <row r="2291">
      <c r="B2291" s="309"/>
      <c r="C2291" s="309"/>
      <c r="I2291" s="309"/>
      <c r="J2291" s="309"/>
    </row>
    <row r="2292">
      <c r="B2292" s="309"/>
      <c r="C2292" s="309"/>
      <c r="I2292" s="309"/>
      <c r="J2292" s="309"/>
    </row>
    <row r="2293">
      <c r="B2293" s="309"/>
      <c r="C2293" s="309"/>
      <c r="I2293" s="309"/>
      <c r="J2293" s="309"/>
    </row>
    <row r="2294">
      <c r="B2294" s="309"/>
      <c r="C2294" s="309"/>
      <c r="I2294" s="309"/>
      <c r="J2294" s="309"/>
    </row>
    <row r="2295">
      <c r="B2295" s="309"/>
      <c r="C2295" s="309"/>
      <c r="I2295" s="309"/>
      <c r="J2295" s="309"/>
    </row>
    <row r="2296">
      <c r="B2296" s="309"/>
      <c r="C2296" s="309"/>
      <c r="I2296" s="309"/>
      <c r="J2296" s="309"/>
    </row>
    <row r="2297">
      <c r="B2297" s="309"/>
      <c r="C2297" s="309"/>
      <c r="I2297" s="309"/>
      <c r="J2297" s="309"/>
    </row>
    <row r="2298">
      <c r="B2298" s="309"/>
      <c r="C2298" s="309"/>
      <c r="I2298" s="309"/>
      <c r="J2298" s="309"/>
    </row>
    <row r="2299">
      <c r="B2299" s="309"/>
      <c r="C2299" s="309"/>
      <c r="I2299" s="309"/>
      <c r="J2299" s="309"/>
    </row>
    <row r="2300">
      <c r="B2300" s="309"/>
      <c r="C2300" s="309"/>
      <c r="I2300" s="309"/>
      <c r="J2300" s="309"/>
    </row>
    <row r="2301">
      <c r="B2301" s="309"/>
      <c r="C2301" s="309"/>
      <c r="I2301" s="309"/>
      <c r="J2301" s="309"/>
    </row>
    <row r="2302">
      <c r="B2302" s="309"/>
      <c r="C2302" s="309"/>
      <c r="I2302" s="309"/>
      <c r="J2302" s="309"/>
    </row>
    <row r="2303">
      <c r="B2303" s="309"/>
      <c r="C2303" s="309"/>
      <c r="I2303" s="309"/>
      <c r="J2303" s="309"/>
    </row>
    <row r="2304">
      <c r="B2304" s="309"/>
      <c r="C2304" s="309"/>
      <c r="I2304" s="309"/>
      <c r="J2304" s="309"/>
    </row>
    <row r="2305">
      <c r="B2305" s="309"/>
      <c r="C2305" s="309"/>
      <c r="I2305" s="309"/>
      <c r="J2305" s="309"/>
    </row>
    <row r="2306">
      <c r="B2306" s="309"/>
      <c r="C2306" s="309"/>
      <c r="I2306" s="309"/>
      <c r="J2306" s="309"/>
    </row>
    <row r="2307">
      <c r="B2307" s="309"/>
      <c r="C2307" s="309"/>
      <c r="I2307" s="309"/>
      <c r="J2307" s="309"/>
    </row>
    <row r="2308">
      <c r="B2308" s="309"/>
      <c r="C2308" s="309"/>
      <c r="I2308" s="309"/>
      <c r="J2308" s="309"/>
    </row>
    <row r="2309">
      <c r="B2309" s="309"/>
      <c r="C2309" s="309"/>
      <c r="I2309" s="309"/>
      <c r="J2309" s="309"/>
    </row>
    <row r="2310">
      <c r="B2310" s="309"/>
      <c r="C2310" s="309"/>
      <c r="I2310" s="309"/>
      <c r="J2310" s="309"/>
    </row>
    <row r="2311">
      <c r="B2311" s="309"/>
      <c r="C2311" s="309"/>
      <c r="I2311" s="309"/>
      <c r="J2311" s="309"/>
    </row>
    <row r="2312">
      <c r="B2312" s="309"/>
      <c r="C2312" s="309"/>
      <c r="I2312" s="309"/>
      <c r="J2312" s="309"/>
    </row>
    <row r="2313">
      <c r="B2313" s="309"/>
      <c r="C2313" s="309"/>
      <c r="I2313" s="309"/>
      <c r="J2313" s="309"/>
    </row>
    <row r="2314">
      <c r="B2314" s="309"/>
      <c r="C2314" s="309"/>
      <c r="I2314" s="309"/>
      <c r="J2314" s="309"/>
    </row>
    <row r="2315">
      <c r="B2315" s="309"/>
      <c r="C2315" s="309"/>
      <c r="I2315" s="309"/>
      <c r="J2315" s="309"/>
    </row>
    <row r="2316">
      <c r="B2316" s="309"/>
      <c r="C2316" s="309"/>
      <c r="I2316" s="309"/>
      <c r="J2316" s="309"/>
    </row>
    <row r="2317">
      <c r="B2317" s="309"/>
      <c r="C2317" s="309"/>
      <c r="I2317" s="309"/>
      <c r="J2317" s="309"/>
    </row>
    <row r="2318">
      <c r="B2318" s="309"/>
      <c r="C2318" s="309"/>
      <c r="I2318" s="309"/>
      <c r="J2318" s="309"/>
    </row>
    <row r="2319">
      <c r="B2319" s="309"/>
      <c r="C2319" s="309"/>
      <c r="I2319" s="309"/>
      <c r="J2319" s="309"/>
    </row>
    <row r="2320">
      <c r="B2320" s="309"/>
      <c r="C2320" s="309"/>
      <c r="I2320" s="309"/>
      <c r="J2320" s="309"/>
    </row>
    <row r="2321">
      <c r="B2321" s="309"/>
      <c r="C2321" s="309"/>
      <c r="I2321" s="309"/>
      <c r="J2321" s="309"/>
    </row>
    <row r="2322">
      <c r="B2322" s="309"/>
      <c r="C2322" s="309"/>
      <c r="I2322" s="309"/>
      <c r="J2322" s="309"/>
    </row>
    <row r="2323">
      <c r="B2323" s="309"/>
      <c r="C2323" s="309"/>
      <c r="I2323" s="309"/>
      <c r="J2323" s="309"/>
    </row>
    <row r="2324">
      <c r="B2324" s="309"/>
      <c r="C2324" s="309"/>
      <c r="I2324" s="309"/>
      <c r="J2324" s="309"/>
    </row>
    <row r="2325">
      <c r="B2325" s="309"/>
      <c r="C2325" s="309"/>
      <c r="I2325" s="309"/>
      <c r="J2325" s="309"/>
    </row>
    <row r="2326">
      <c r="B2326" s="309"/>
      <c r="C2326" s="309"/>
      <c r="I2326" s="309"/>
      <c r="J2326" s="309"/>
    </row>
    <row r="2327">
      <c r="B2327" s="309"/>
      <c r="C2327" s="309"/>
      <c r="I2327" s="309"/>
      <c r="J2327" s="309"/>
    </row>
    <row r="2328">
      <c r="B2328" s="309"/>
      <c r="C2328" s="309"/>
      <c r="I2328" s="309"/>
      <c r="J2328" s="309"/>
    </row>
    <row r="2329">
      <c r="B2329" s="309"/>
      <c r="C2329" s="309"/>
      <c r="I2329" s="309"/>
      <c r="J2329" s="309"/>
    </row>
    <row r="2330">
      <c r="B2330" s="309"/>
      <c r="C2330" s="309"/>
      <c r="I2330" s="309"/>
      <c r="J2330" s="309"/>
    </row>
    <row r="2331">
      <c r="B2331" s="309"/>
      <c r="C2331" s="309"/>
      <c r="I2331" s="309"/>
      <c r="J2331" s="309"/>
    </row>
    <row r="2332">
      <c r="B2332" s="309"/>
      <c r="C2332" s="309"/>
      <c r="I2332" s="309"/>
      <c r="J2332" s="309"/>
    </row>
    <row r="2333">
      <c r="B2333" s="309"/>
      <c r="C2333" s="309"/>
      <c r="I2333" s="309"/>
      <c r="J2333" s="309"/>
    </row>
    <row r="2334">
      <c r="B2334" s="309"/>
      <c r="C2334" s="309"/>
      <c r="I2334" s="309"/>
      <c r="J2334" s="309"/>
    </row>
    <row r="2335">
      <c r="B2335" s="309"/>
      <c r="C2335" s="309"/>
      <c r="I2335" s="309"/>
      <c r="J2335" s="309"/>
    </row>
    <row r="2336">
      <c r="B2336" s="309"/>
      <c r="C2336" s="309"/>
      <c r="I2336" s="309"/>
      <c r="J2336" s="309"/>
    </row>
    <row r="2337">
      <c r="B2337" s="309"/>
      <c r="C2337" s="309"/>
      <c r="I2337" s="309"/>
      <c r="J2337" s="309"/>
    </row>
    <row r="2338">
      <c r="B2338" s="309"/>
      <c r="C2338" s="309"/>
      <c r="I2338" s="309"/>
      <c r="J2338" s="309"/>
    </row>
    <row r="2339">
      <c r="B2339" s="309"/>
      <c r="C2339" s="309"/>
      <c r="I2339" s="309"/>
      <c r="J2339" s="309"/>
    </row>
    <row r="2340">
      <c r="B2340" s="309"/>
      <c r="C2340" s="309"/>
      <c r="I2340" s="309"/>
      <c r="J2340" s="309"/>
    </row>
    <row r="2341">
      <c r="B2341" s="309"/>
      <c r="C2341" s="309"/>
      <c r="I2341" s="309"/>
      <c r="J2341" s="309"/>
    </row>
    <row r="2342">
      <c r="B2342" s="309"/>
      <c r="C2342" s="309"/>
      <c r="I2342" s="309"/>
      <c r="J2342" s="309"/>
    </row>
    <row r="2343">
      <c r="B2343" s="309"/>
      <c r="C2343" s="309"/>
      <c r="I2343" s="309"/>
      <c r="J2343" s="309"/>
    </row>
    <row r="2344">
      <c r="B2344" s="309"/>
      <c r="C2344" s="309"/>
      <c r="I2344" s="309"/>
      <c r="J2344" s="309"/>
    </row>
    <row r="2345">
      <c r="B2345" s="309"/>
      <c r="C2345" s="309"/>
      <c r="I2345" s="309"/>
      <c r="J2345" s="309"/>
    </row>
    <row r="2346">
      <c r="B2346" s="309"/>
      <c r="C2346" s="309"/>
      <c r="I2346" s="309"/>
      <c r="J2346" s="309"/>
    </row>
    <row r="2347">
      <c r="B2347" s="309"/>
      <c r="C2347" s="309"/>
      <c r="I2347" s="309"/>
      <c r="J2347" s="309"/>
    </row>
    <row r="2348">
      <c r="B2348" s="309"/>
      <c r="C2348" s="309"/>
      <c r="I2348" s="309"/>
      <c r="J2348" s="309"/>
    </row>
    <row r="2349">
      <c r="B2349" s="309"/>
      <c r="C2349" s="309"/>
      <c r="I2349" s="309"/>
      <c r="J2349" s="309"/>
    </row>
    <row r="2350">
      <c r="B2350" s="309"/>
      <c r="C2350" s="309"/>
      <c r="I2350" s="309"/>
      <c r="J2350" s="309"/>
    </row>
    <row r="2351">
      <c r="B2351" s="309"/>
      <c r="C2351" s="309"/>
      <c r="I2351" s="309"/>
      <c r="J2351" s="309"/>
    </row>
    <row r="2352">
      <c r="B2352" s="309"/>
      <c r="C2352" s="309"/>
      <c r="I2352" s="309"/>
      <c r="J2352" s="309"/>
    </row>
    <row r="2353">
      <c r="B2353" s="309"/>
      <c r="C2353" s="309"/>
      <c r="I2353" s="309"/>
      <c r="J2353" s="309"/>
    </row>
    <row r="2354">
      <c r="B2354" s="309"/>
      <c r="C2354" s="309"/>
      <c r="I2354" s="309"/>
      <c r="J2354" s="309"/>
    </row>
    <row r="2355">
      <c r="B2355" s="309"/>
      <c r="C2355" s="309"/>
      <c r="I2355" s="309"/>
      <c r="J2355" s="309"/>
    </row>
    <row r="2356">
      <c r="B2356" s="309"/>
      <c r="C2356" s="309"/>
      <c r="I2356" s="309"/>
      <c r="J2356" s="309"/>
    </row>
    <row r="2357">
      <c r="B2357" s="309"/>
      <c r="C2357" s="309"/>
      <c r="I2357" s="309"/>
      <c r="J2357" s="309"/>
    </row>
    <row r="2358">
      <c r="B2358" s="309"/>
      <c r="C2358" s="309"/>
      <c r="I2358" s="309"/>
      <c r="J2358" s="309"/>
    </row>
    <row r="2359">
      <c r="B2359" s="309"/>
      <c r="C2359" s="309"/>
      <c r="I2359" s="309"/>
      <c r="J2359" s="309"/>
    </row>
    <row r="2360">
      <c r="B2360" s="309"/>
      <c r="C2360" s="309"/>
      <c r="I2360" s="309"/>
      <c r="J2360" s="309"/>
    </row>
    <row r="2361">
      <c r="B2361" s="309"/>
      <c r="C2361" s="309"/>
      <c r="I2361" s="309"/>
      <c r="J2361" s="309"/>
    </row>
    <row r="2362">
      <c r="B2362" s="309"/>
      <c r="C2362" s="309"/>
      <c r="I2362" s="309"/>
      <c r="J2362" s="309"/>
    </row>
    <row r="2363">
      <c r="B2363" s="309"/>
      <c r="C2363" s="309"/>
      <c r="I2363" s="309"/>
      <c r="J2363" s="309"/>
    </row>
    <row r="2364">
      <c r="B2364" s="309"/>
      <c r="C2364" s="309"/>
      <c r="I2364" s="309"/>
      <c r="J2364" s="309"/>
    </row>
    <row r="2365">
      <c r="B2365" s="309"/>
      <c r="C2365" s="309"/>
      <c r="I2365" s="309"/>
      <c r="J2365" s="309"/>
    </row>
    <row r="2366">
      <c r="B2366" s="309"/>
      <c r="C2366" s="309"/>
      <c r="I2366" s="309"/>
      <c r="J2366" s="309"/>
    </row>
    <row r="2367">
      <c r="B2367" s="309"/>
      <c r="C2367" s="309"/>
      <c r="I2367" s="309"/>
      <c r="J2367" s="309"/>
    </row>
    <row r="2368">
      <c r="B2368" s="309"/>
      <c r="C2368" s="309"/>
      <c r="I2368" s="309"/>
      <c r="J2368" s="309"/>
    </row>
    <row r="2369">
      <c r="B2369" s="309"/>
      <c r="C2369" s="309"/>
      <c r="I2369" s="309"/>
      <c r="J2369" s="309"/>
    </row>
    <row r="2370">
      <c r="B2370" s="309"/>
      <c r="C2370" s="309"/>
      <c r="I2370" s="309"/>
      <c r="J2370" s="309"/>
    </row>
    <row r="2371">
      <c r="B2371" s="309"/>
      <c r="C2371" s="309"/>
      <c r="I2371" s="309"/>
      <c r="J2371" s="309"/>
    </row>
    <row r="2372">
      <c r="B2372" s="309"/>
      <c r="C2372" s="309"/>
      <c r="I2372" s="309"/>
      <c r="J2372" s="309"/>
    </row>
    <row r="2373">
      <c r="B2373" s="309"/>
      <c r="C2373" s="309"/>
      <c r="I2373" s="309"/>
      <c r="J2373" s="309"/>
    </row>
    <row r="2374">
      <c r="B2374" s="309"/>
      <c r="C2374" s="309"/>
      <c r="I2374" s="309"/>
      <c r="J2374" s="309"/>
    </row>
    <row r="2375">
      <c r="B2375" s="309"/>
      <c r="C2375" s="309"/>
      <c r="I2375" s="309"/>
      <c r="J2375" s="309"/>
    </row>
    <row r="2376">
      <c r="B2376" s="309"/>
      <c r="C2376" s="309"/>
      <c r="I2376" s="309"/>
      <c r="J2376" s="309"/>
    </row>
    <row r="2377">
      <c r="B2377" s="309"/>
      <c r="C2377" s="309"/>
      <c r="I2377" s="309"/>
      <c r="J2377" s="309"/>
    </row>
    <row r="2378">
      <c r="B2378" s="309"/>
      <c r="C2378" s="309"/>
      <c r="I2378" s="309"/>
      <c r="J2378" s="309"/>
    </row>
    <row r="2379">
      <c r="B2379" s="309"/>
      <c r="C2379" s="309"/>
      <c r="I2379" s="309"/>
      <c r="J2379" s="309"/>
    </row>
    <row r="2380">
      <c r="B2380" s="309"/>
      <c r="C2380" s="309"/>
      <c r="I2380" s="309"/>
      <c r="J2380" s="309"/>
    </row>
    <row r="2381">
      <c r="B2381" s="309"/>
      <c r="C2381" s="309"/>
      <c r="I2381" s="309"/>
      <c r="J2381" s="309"/>
    </row>
    <row r="2382">
      <c r="B2382" s="309"/>
      <c r="C2382" s="309"/>
      <c r="I2382" s="309"/>
      <c r="J2382" s="309"/>
    </row>
    <row r="2383">
      <c r="B2383" s="309"/>
      <c r="C2383" s="309"/>
      <c r="I2383" s="309"/>
      <c r="J2383" s="309"/>
    </row>
    <row r="2384">
      <c r="B2384" s="309"/>
      <c r="C2384" s="309"/>
      <c r="I2384" s="309"/>
      <c r="J2384" s="309"/>
    </row>
    <row r="2385">
      <c r="B2385" s="309"/>
      <c r="C2385" s="309"/>
      <c r="I2385" s="309"/>
      <c r="J2385" s="309"/>
    </row>
    <row r="2386">
      <c r="B2386" s="309"/>
      <c r="C2386" s="309"/>
      <c r="I2386" s="309"/>
      <c r="J2386" s="309"/>
    </row>
    <row r="2387">
      <c r="B2387" s="309"/>
      <c r="C2387" s="309"/>
      <c r="I2387" s="309"/>
      <c r="J2387" s="309"/>
    </row>
    <row r="2388">
      <c r="B2388" s="309"/>
      <c r="C2388" s="309"/>
      <c r="I2388" s="309"/>
      <c r="J2388" s="309"/>
    </row>
    <row r="2389">
      <c r="B2389" s="309"/>
      <c r="C2389" s="309"/>
      <c r="I2389" s="309"/>
      <c r="J2389" s="309"/>
    </row>
    <row r="2390">
      <c r="B2390" s="309"/>
      <c r="C2390" s="309"/>
      <c r="I2390" s="309"/>
      <c r="J2390" s="309"/>
    </row>
    <row r="2391">
      <c r="B2391" s="309"/>
      <c r="C2391" s="309"/>
      <c r="I2391" s="309"/>
      <c r="J2391" s="309"/>
    </row>
    <row r="2392">
      <c r="B2392" s="309"/>
      <c r="C2392" s="309"/>
      <c r="I2392" s="309"/>
      <c r="J2392" s="309"/>
    </row>
    <row r="2393">
      <c r="B2393" s="309"/>
      <c r="C2393" s="309"/>
      <c r="I2393" s="309"/>
      <c r="J2393" s="309"/>
    </row>
    <row r="2394">
      <c r="B2394" s="309"/>
      <c r="C2394" s="309"/>
      <c r="I2394" s="309"/>
      <c r="J2394" s="309"/>
    </row>
    <row r="2395">
      <c r="B2395" s="309"/>
      <c r="C2395" s="309"/>
      <c r="I2395" s="309"/>
      <c r="J2395" s="309"/>
    </row>
    <row r="2396">
      <c r="B2396" s="309"/>
      <c r="C2396" s="309"/>
      <c r="I2396" s="309"/>
      <c r="J2396" s="309"/>
    </row>
    <row r="2397">
      <c r="B2397" s="309"/>
      <c r="C2397" s="309"/>
      <c r="I2397" s="309"/>
      <c r="J2397" s="309"/>
    </row>
    <row r="2398">
      <c r="B2398" s="309"/>
      <c r="C2398" s="309"/>
      <c r="I2398" s="309"/>
      <c r="J2398" s="309"/>
    </row>
    <row r="2399">
      <c r="B2399" s="309"/>
      <c r="C2399" s="309"/>
      <c r="I2399" s="309"/>
      <c r="J2399" s="309"/>
    </row>
    <row r="2400">
      <c r="B2400" s="309"/>
      <c r="C2400" s="309"/>
      <c r="I2400" s="309"/>
      <c r="J2400" s="309"/>
    </row>
    <row r="2401">
      <c r="B2401" s="309"/>
      <c r="C2401" s="309"/>
      <c r="I2401" s="309"/>
      <c r="J2401" s="309"/>
    </row>
    <row r="2402">
      <c r="B2402" s="309"/>
      <c r="C2402" s="309"/>
      <c r="I2402" s="309"/>
      <c r="J2402" s="309"/>
    </row>
    <row r="2403">
      <c r="B2403" s="309"/>
      <c r="C2403" s="309"/>
      <c r="I2403" s="309"/>
      <c r="J2403" s="309"/>
    </row>
    <row r="2404">
      <c r="B2404" s="309"/>
      <c r="C2404" s="309"/>
      <c r="I2404" s="309"/>
      <c r="J2404" s="309"/>
    </row>
    <row r="2405">
      <c r="B2405" s="309"/>
      <c r="C2405" s="309"/>
      <c r="I2405" s="309"/>
      <c r="J2405" s="309"/>
    </row>
    <row r="2406">
      <c r="B2406" s="309"/>
      <c r="C2406" s="309"/>
      <c r="I2406" s="309"/>
      <c r="J2406" s="309"/>
    </row>
    <row r="2407">
      <c r="B2407" s="309"/>
      <c r="C2407" s="309"/>
      <c r="I2407" s="309"/>
      <c r="J2407" s="309"/>
    </row>
    <row r="2408">
      <c r="B2408" s="309"/>
      <c r="C2408" s="309"/>
      <c r="I2408" s="309"/>
      <c r="J2408" s="309"/>
    </row>
    <row r="2409">
      <c r="B2409" s="309"/>
      <c r="C2409" s="309"/>
      <c r="I2409" s="309"/>
      <c r="J2409" s="309"/>
    </row>
    <row r="2410">
      <c r="B2410" s="309"/>
      <c r="C2410" s="309"/>
      <c r="I2410" s="309"/>
      <c r="J2410" s="309"/>
    </row>
    <row r="2411">
      <c r="B2411" s="309"/>
      <c r="C2411" s="309"/>
      <c r="I2411" s="309"/>
      <c r="J2411" s="309"/>
    </row>
    <row r="2412">
      <c r="B2412" s="309"/>
      <c r="C2412" s="309"/>
      <c r="I2412" s="309"/>
      <c r="J2412" s="309"/>
    </row>
    <row r="2413">
      <c r="B2413" s="309"/>
      <c r="C2413" s="309"/>
      <c r="I2413" s="309"/>
      <c r="J2413" s="309"/>
    </row>
    <row r="2414">
      <c r="B2414" s="309"/>
      <c r="C2414" s="309"/>
      <c r="I2414" s="309"/>
      <c r="J2414" s="309"/>
    </row>
    <row r="2415">
      <c r="B2415" s="309"/>
      <c r="C2415" s="309"/>
      <c r="I2415" s="309"/>
      <c r="J2415" s="309"/>
    </row>
    <row r="2416">
      <c r="B2416" s="309"/>
      <c r="C2416" s="309"/>
      <c r="I2416" s="309"/>
      <c r="J2416" s="309"/>
    </row>
    <row r="2417">
      <c r="B2417" s="309"/>
      <c r="C2417" s="309"/>
      <c r="I2417" s="309"/>
      <c r="J2417" s="309"/>
    </row>
    <row r="2418">
      <c r="B2418" s="309"/>
      <c r="C2418" s="309"/>
      <c r="I2418" s="309"/>
      <c r="J2418" s="309"/>
    </row>
    <row r="2419">
      <c r="B2419" s="309"/>
      <c r="C2419" s="309"/>
      <c r="I2419" s="309"/>
      <c r="J2419" s="309"/>
    </row>
    <row r="2420">
      <c r="B2420" s="309"/>
      <c r="C2420" s="309"/>
      <c r="I2420" s="309"/>
      <c r="J2420" s="309"/>
    </row>
    <row r="2421">
      <c r="B2421" s="309"/>
      <c r="C2421" s="309"/>
      <c r="I2421" s="309"/>
      <c r="J2421" s="309"/>
    </row>
    <row r="2422">
      <c r="B2422" s="309"/>
      <c r="C2422" s="309"/>
      <c r="I2422" s="309"/>
      <c r="J2422" s="309"/>
    </row>
    <row r="2423">
      <c r="B2423" s="309"/>
      <c r="C2423" s="309"/>
      <c r="I2423" s="309"/>
      <c r="J2423" s="309"/>
    </row>
    <row r="2424">
      <c r="B2424" s="309"/>
      <c r="C2424" s="309"/>
      <c r="I2424" s="309"/>
      <c r="J2424" s="309"/>
    </row>
    <row r="2425">
      <c r="B2425" s="309"/>
      <c r="C2425" s="309"/>
      <c r="I2425" s="309"/>
      <c r="J2425" s="309"/>
    </row>
    <row r="2426">
      <c r="B2426" s="309"/>
      <c r="C2426" s="309"/>
      <c r="I2426" s="309"/>
      <c r="J2426" s="309"/>
    </row>
    <row r="2427">
      <c r="B2427" s="309"/>
      <c r="C2427" s="309"/>
      <c r="I2427" s="309"/>
      <c r="J2427" s="309"/>
    </row>
    <row r="2428">
      <c r="B2428" s="309"/>
      <c r="C2428" s="309"/>
      <c r="I2428" s="309"/>
      <c r="J2428" s="309"/>
    </row>
    <row r="2429">
      <c r="B2429" s="309"/>
      <c r="C2429" s="309"/>
      <c r="I2429" s="309"/>
      <c r="J2429" s="309"/>
    </row>
    <row r="2430">
      <c r="B2430" s="309"/>
      <c r="C2430" s="309"/>
      <c r="I2430" s="309"/>
      <c r="J2430" s="309"/>
    </row>
    <row r="2431">
      <c r="B2431" s="309"/>
      <c r="C2431" s="309"/>
      <c r="I2431" s="309"/>
      <c r="J2431" s="309"/>
    </row>
    <row r="2432">
      <c r="B2432" s="309"/>
      <c r="C2432" s="309"/>
      <c r="I2432" s="309"/>
      <c r="J2432" s="309"/>
    </row>
    <row r="2433">
      <c r="B2433" s="309"/>
      <c r="C2433" s="309"/>
      <c r="I2433" s="309"/>
      <c r="J2433" s="309"/>
    </row>
    <row r="2434">
      <c r="B2434" s="309"/>
      <c r="C2434" s="309"/>
      <c r="I2434" s="309"/>
      <c r="J2434" s="309"/>
    </row>
    <row r="2435">
      <c r="B2435" s="309"/>
      <c r="C2435" s="309"/>
      <c r="I2435" s="309"/>
      <c r="J2435" s="309"/>
    </row>
    <row r="2436">
      <c r="B2436" s="309"/>
      <c r="C2436" s="309"/>
      <c r="I2436" s="309"/>
      <c r="J2436" s="309"/>
    </row>
    <row r="2437">
      <c r="B2437" s="309"/>
      <c r="C2437" s="309"/>
      <c r="I2437" s="309"/>
      <c r="J2437" s="309"/>
    </row>
    <row r="2438">
      <c r="B2438" s="309"/>
      <c r="C2438" s="309"/>
      <c r="I2438" s="309"/>
      <c r="J2438" s="309"/>
    </row>
    <row r="2439">
      <c r="B2439" s="309"/>
      <c r="C2439" s="309"/>
      <c r="I2439" s="309"/>
      <c r="J2439" s="309"/>
    </row>
    <row r="2440">
      <c r="B2440" s="309"/>
      <c r="C2440" s="309"/>
      <c r="I2440" s="309"/>
      <c r="J2440" s="309"/>
    </row>
    <row r="2441">
      <c r="B2441" s="309"/>
      <c r="C2441" s="309"/>
      <c r="I2441" s="309"/>
      <c r="J2441" s="309"/>
    </row>
    <row r="2442">
      <c r="B2442" s="309"/>
      <c r="C2442" s="309"/>
      <c r="I2442" s="309"/>
      <c r="J2442" s="309"/>
    </row>
    <row r="2443">
      <c r="B2443" s="309"/>
      <c r="C2443" s="309"/>
      <c r="I2443" s="309"/>
      <c r="J2443" s="309"/>
    </row>
    <row r="2444">
      <c r="B2444" s="309"/>
      <c r="C2444" s="309"/>
      <c r="I2444" s="309"/>
      <c r="J2444" s="309"/>
    </row>
    <row r="2445">
      <c r="B2445" s="309"/>
      <c r="C2445" s="309"/>
      <c r="I2445" s="309"/>
      <c r="J2445" s="309"/>
    </row>
    <row r="2446">
      <c r="B2446" s="309"/>
      <c r="C2446" s="309"/>
      <c r="I2446" s="309"/>
      <c r="J2446" s="309"/>
    </row>
    <row r="2447">
      <c r="B2447" s="309"/>
      <c r="C2447" s="309"/>
      <c r="I2447" s="309"/>
      <c r="J2447" s="309"/>
    </row>
    <row r="2448">
      <c r="B2448" s="309"/>
      <c r="C2448" s="309"/>
      <c r="I2448" s="309"/>
      <c r="J2448" s="309"/>
    </row>
    <row r="2449">
      <c r="B2449" s="309"/>
      <c r="C2449" s="309"/>
      <c r="I2449" s="309"/>
      <c r="J2449" s="309"/>
    </row>
    <row r="2450">
      <c r="B2450" s="309"/>
      <c r="C2450" s="309"/>
      <c r="I2450" s="309"/>
      <c r="J2450" s="309"/>
    </row>
    <row r="2451">
      <c r="B2451" s="309"/>
      <c r="C2451" s="309"/>
      <c r="I2451" s="309"/>
      <c r="J2451" s="309"/>
    </row>
    <row r="2452">
      <c r="B2452" s="309"/>
      <c r="C2452" s="309"/>
      <c r="I2452" s="309"/>
      <c r="J2452" s="309"/>
    </row>
    <row r="2453">
      <c r="B2453" s="309"/>
      <c r="C2453" s="309"/>
      <c r="I2453" s="309"/>
      <c r="J2453" s="309"/>
    </row>
    <row r="2454">
      <c r="B2454" s="309"/>
      <c r="C2454" s="309"/>
      <c r="I2454" s="309"/>
      <c r="J2454" s="309"/>
    </row>
    <row r="2455">
      <c r="B2455" s="309"/>
      <c r="C2455" s="309"/>
      <c r="I2455" s="309"/>
      <c r="J2455" s="309"/>
    </row>
    <row r="2456">
      <c r="B2456" s="309"/>
      <c r="C2456" s="309"/>
      <c r="I2456" s="309"/>
      <c r="J2456" s="309"/>
    </row>
    <row r="2457">
      <c r="B2457" s="309"/>
      <c r="C2457" s="309"/>
      <c r="I2457" s="309"/>
      <c r="J2457" s="309"/>
    </row>
    <row r="2458">
      <c r="B2458" s="309"/>
      <c r="C2458" s="309"/>
      <c r="I2458" s="309"/>
      <c r="J2458" s="309"/>
    </row>
    <row r="2459">
      <c r="B2459" s="309"/>
      <c r="C2459" s="309"/>
      <c r="I2459" s="309"/>
      <c r="J2459" s="309"/>
    </row>
    <row r="2460">
      <c r="B2460" s="309"/>
      <c r="C2460" s="309"/>
      <c r="I2460" s="309"/>
      <c r="J2460" s="309"/>
    </row>
    <row r="2461">
      <c r="B2461" s="309"/>
      <c r="C2461" s="309"/>
      <c r="I2461" s="309"/>
      <c r="J2461" s="309"/>
    </row>
    <row r="2462">
      <c r="B2462" s="309"/>
      <c r="C2462" s="309"/>
      <c r="I2462" s="309"/>
      <c r="J2462" s="309"/>
    </row>
    <row r="2463">
      <c r="B2463" s="309"/>
      <c r="C2463" s="309"/>
      <c r="I2463" s="309"/>
      <c r="J2463" s="309"/>
    </row>
    <row r="2464">
      <c r="B2464" s="309"/>
      <c r="C2464" s="309"/>
      <c r="I2464" s="309"/>
      <c r="J2464" s="309"/>
    </row>
    <row r="2465">
      <c r="B2465" s="309"/>
      <c r="C2465" s="309"/>
      <c r="I2465" s="309"/>
      <c r="J2465" s="309"/>
    </row>
    <row r="2466">
      <c r="B2466" s="309"/>
      <c r="C2466" s="309"/>
      <c r="I2466" s="309"/>
      <c r="J2466" s="309"/>
    </row>
    <row r="2467">
      <c r="B2467" s="309"/>
      <c r="C2467" s="309"/>
      <c r="I2467" s="309"/>
      <c r="J2467" s="309"/>
    </row>
    <row r="2468">
      <c r="B2468" s="309"/>
      <c r="C2468" s="309"/>
      <c r="I2468" s="309"/>
      <c r="J2468" s="309"/>
    </row>
    <row r="2469">
      <c r="B2469" s="309"/>
      <c r="C2469" s="309"/>
      <c r="I2469" s="309"/>
      <c r="J2469" s="309"/>
    </row>
    <row r="2470">
      <c r="B2470" s="309"/>
      <c r="C2470" s="309"/>
      <c r="I2470" s="309"/>
      <c r="J2470" s="309"/>
    </row>
    <row r="2471">
      <c r="B2471" s="309"/>
      <c r="C2471" s="309"/>
      <c r="I2471" s="309"/>
      <c r="J2471" s="309"/>
    </row>
    <row r="2472">
      <c r="B2472" s="309"/>
      <c r="C2472" s="309"/>
      <c r="I2472" s="309"/>
      <c r="J2472" s="309"/>
    </row>
    <row r="2473">
      <c r="B2473" s="309"/>
      <c r="C2473" s="309"/>
      <c r="I2473" s="309"/>
      <c r="J2473" s="309"/>
    </row>
    <row r="2474">
      <c r="B2474" s="309"/>
      <c r="C2474" s="309"/>
      <c r="I2474" s="309"/>
      <c r="J2474" s="309"/>
    </row>
    <row r="2475">
      <c r="B2475" s="309"/>
      <c r="C2475" s="309"/>
      <c r="I2475" s="309"/>
      <c r="J2475" s="309"/>
    </row>
    <row r="2476">
      <c r="B2476" s="309"/>
      <c r="C2476" s="309"/>
      <c r="I2476" s="309"/>
      <c r="J2476" s="309"/>
    </row>
    <row r="2477">
      <c r="B2477" s="309"/>
      <c r="C2477" s="309"/>
      <c r="I2477" s="309"/>
      <c r="J2477" s="309"/>
    </row>
    <row r="2478">
      <c r="B2478" s="309"/>
      <c r="C2478" s="309"/>
      <c r="I2478" s="309"/>
      <c r="J2478" s="309"/>
    </row>
    <row r="2479">
      <c r="B2479" s="309"/>
      <c r="C2479" s="309"/>
      <c r="I2479" s="309"/>
      <c r="J2479" s="309"/>
    </row>
    <row r="2480">
      <c r="B2480" s="309"/>
      <c r="C2480" s="309"/>
      <c r="I2480" s="309"/>
      <c r="J2480" s="309"/>
    </row>
    <row r="2481">
      <c r="B2481" s="309"/>
      <c r="C2481" s="309"/>
      <c r="I2481" s="309"/>
      <c r="J2481" s="309"/>
    </row>
    <row r="2482">
      <c r="B2482" s="309"/>
      <c r="C2482" s="309"/>
      <c r="I2482" s="309"/>
      <c r="J2482" s="309"/>
    </row>
    <row r="2483">
      <c r="B2483" s="309"/>
      <c r="C2483" s="309"/>
      <c r="I2483" s="309"/>
      <c r="J2483" s="309"/>
    </row>
    <row r="2484">
      <c r="B2484" s="309"/>
      <c r="C2484" s="309"/>
      <c r="I2484" s="309"/>
      <c r="J2484" s="309"/>
    </row>
    <row r="2485">
      <c r="B2485" s="309"/>
      <c r="C2485" s="309"/>
      <c r="I2485" s="309"/>
      <c r="J2485" s="309"/>
    </row>
    <row r="2486">
      <c r="B2486" s="309"/>
      <c r="C2486" s="309"/>
      <c r="I2486" s="309"/>
      <c r="J2486" s="309"/>
    </row>
    <row r="2487">
      <c r="B2487" s="309"/>
      <c r="C2487" s="309"/>
      <c r="I2487" s="309"/>
      <c r="J2487" s="309"/>
    </row>
    <row r="2488">
      <c r="B2488" s="309"/>
      <c r="C2488" s="309"/>
      <c r="I2488" s="309"/>
      <c r="J2488" s="309"/>
    </row>
    <row r="2489">
      <c r="B2489" s="309"/>
      <c r="C2489" s="309"/>
      <c r="I2489" s="309"/>
      <c r="J2489" s="309"/>
    </row>
    <row r="2490">
      <c r="B2490" s="309"/>
      <c r="C2490" s="309"/>
      <c r="I2490" s="309"/>
      <c r="J2490" s="309"/>
    </row>
    <row r="2491">
      <c r="B2491" s="309"/>
      <c r="C2491" s="309"/>
      <c r="I2491" s="309"/>
      <c r="J2491" s="309"/>
    </row>
    <row r="2492">
      <c r="B2492" s="309"/>
      <c r="C2492" s="309"/>
      <c r="I2492" s="309"/>
      <c r="J2492" s="309"/>
    </row>
    <row r="2493">
      <c r="B2493" s="309"/>
      <c r="C2493" s="309"/>
      <c r="I2493" s="309"/>
      <c r="J2493" s="309"/>
    </row>
    <row r="2494">
      <c r="B2494" s="309"/>
      <c r="C2494" s="309"/>
      <c r="I2494" s="309"/>
      <c r="J2494" s="309"/>
    </row>
    <row r="2495">
      <c r="B2495" s="309"/>
      <c r="C2495" s="309"/>
      <c r="I2495" s="309"/>
      <c r="J2495" s="309"/>
    </row>
    <row r="2496">
      <c r="B2496" s="309"/>
      <c r="C2496" s="309"/>
      <c r="I2496" s="309"/>
      <c r="J2496" s="309"/>
    </row>
    <row r="2497">
      <c r="B2497" s="309"/>
      <c r="C2497" s="309"/>
      <c r="I2497" s="309"/>
      <c r="J2497" s="309"/>
    </row>
    <row r="2498">
      <c r="B2498" s="309"/>
      <c r="C2498" s="309"/>
      <c r="I2498" s="309"/>
      <c r="J2498" s="309"/>
    </row>
    <row r="2499">
      <c r="B2499" s="309"/>
      <c r="C2499" s="309"/>
      <c r="I2499" s="309"/>
      <c r="J2499" s="309"/>
    </row>
    <row r="2500">
      <c r="B2500" s="309"/>
      <c r="C2500" s="309"/>
      <c r="I2500" s="309"/>
      <c r="J2500" s="309"/>
    </row>
    <row r="2501">
      <c r="B2501" s="309"/>
      <c r="C2501" s="309"/>
      <c r="I2501" s="309"/>
      <c r="J2501" s="309"/>
    </row>
    <row r="2502">
      <c r="B2502" s="309"/>
      <c r="C2502" s="309"/>
      <c r="I2502" s="309"/>
      <c r="J2502" s="309"/>
    </row>
    <row r="2503">
      <c r="B2503" s="309"/>
      <c r="C2503" s="309"/>
      <c r="I2503" s="309"/>
      <c r="J2503" s="309"/>
    </row>
    <row r="2504">
      <c r="B2504" s="309"/>
      <c r="C2504" s="309"/>
      <c r="I2504" s="309"/>
      <c r="J2504" s="309"/>
    </row>
    <row r="2505">
      <c r="B2505" s="309"/>
      <c r="C2505" s="309"/>
      <c r="I2505" s="309"/>
      <c r="J2505" s="309"/>
    </row>
    <row r="2506">
      <c r="B2506" s="309"/>
      <c r="C2506" s="309"/>
      <c r="I2506" s="309"/>
      <c r="J2506" s="309"/>
    </row>
    <row r="2507">
      <c r="B2507" s="309"/>
      <c r="C2507" s="309"/>
      <c r="I2507" s="309"/>
      <c r="J2507" s="309"/>
    </row>
    <row r="2508">
      <c r="B2508" s="309"/>
      <c r="C2508" s="309"/>
      <c r="I2508" s="309"/>
      <c r="J2508" s="309"/>
    </row>
    <row r="2509">
      <c r="B2509" s="309"/>
      <c r="C2509" s="309"/>
      <c r="I2509" s="309"/>
      <c r="J2509" s="309"/>
    </row>
    <row r="2510">
      <c r="B2510" s="309"/>
      <c r="C2510" s="309"/>
      <c r="I2510" s="309"/>
      <c r="J2510" s="309"/>
    </row>
    <row r="2511">
      <c r="B2511" s="309"/>
      <c r="C2511" s="309"/>
      <c r="I2511" s="309"/>
      <c r="J2511" s="309"/>
    </row>
    <row r="2512">
      <c r="B2512" s="309"/>
      <c r="C2512" s="309"/>
      <c r="I2512" s="309"/>
      <c r="J2512" s="309"/>
    </row>
    <row r="2513">
      <c r="B2513" s="309"/>
      <c r="C2513" s="309"/>
      <c r="I2513" s="309"/>
      <c r="J2513" s="309"/>
    </row>
    <row r="2514">
      <c r="B2514" s="309"/>
      <c r="C2514" s="309"/>
      <c r="I2514" s="309"/>
      <c r="J2514" s="309"/>
    </row>
    <row r="2515">
      <c r="B2515" s="309"/>
      <c r="C2515" s="309"/>
      <c r="I2515" s="309"/>
      <c r="J2515" s="309"/>
    </row>
    <row r="2516">
      <c r="B2516" s="309"/>
      <c r="C2516" s="309"/>
      <c r="I2516" s="309"/>
      <c r="J2516" s="309"/>
    </row>
    <row r="2517">
      <c r="B2517" s="309"/>
      <c r="C2517" s="309"/>
      <c r="I2517" s="309"/>
      <c r="J2517" s="309"/>
    </row>
    <row r="2518">
      <c r="B2518" s="309"/>
      <c r="C2518" s="309"/>
      <c r="I2518" s="309"/>
      <c r="J2518" s="309"/>
    </row>
    <row r="2519">
      <c r="B2519" s="309"/>
      <c r="C2519" s="309"/>
      <c r="I2519" s="309"/>
      <c r="J2519" s="309"/>
    </row>
    <row r="2520">
      <c r="B2520" s="309"/>
      <c r="C2520" s="309"/>
      <c r="I2520" s="309"/>
      <c r="J2520" s="309"/>
    </row>
    <row r="2521">
      <c r="B2521" s="309"/>
      <c r="C2521" s="309"/>
      <c r="I2521" s="309"/>
      <c r="J2521" s="309"/>
    </row>
    <row r="2522">
      <c r="B2522" s="309"/>
      <c r="C2522" s="309"/>
      <c r="I2522" s="309"/>
      <c r="J2522" s="309"/>
    </row>
    <row r="2523">
      <c r="B2523" s="309"/>
      <c r="C2523" s="309"/>
      <c r="I2523" s="309"/>
      <c r="J2523" s="309"/>
    </row>
    <row r="2524">
      <c r="B2524" s="309"/>
      <c r="C2524" s="309"/>
      <c r="I2524" s="309"/>
      <c r="J2524" s="309"/>
    </row>
    <row r="2525">
      <c r="B2525" s="309"/>
      <c r="C2525" s="309"/>
      <c r="I2525" s="309"/>
      <c r="J2525" s="309"/>
    </row>
    <row r="2526">
      <c r="B2526" s="309"/>
      <c r="C2526" s="309"/>
      <c r="I2526" s="309"/>
      <c r="J2526" s="309"/>
    </row>
    <row r="2527">
      <c r="B2527" s="309"/>
      <c r="C2527" s="309"/>
      <c r="I2527" s="309"/>
      <c r="J2527" s="309"/>
    </row>
    <row r="2528">
      <c r="B2528" s="309"/>
      <c r="C2528" s="309"/>
      <c r="I2528" s="309"/>
      <c r="J2528" s="309"/>
    </row>
    <row r="2529">
      <c r="B2529" s="309"/>
      <c r="C2529" s="309"/>
      <c r="I2529" s="309"/>
      <c r="J2529" s="309"/>
    </row>
    <row r="2530">
      <c r="B2530" s="309"/>
      <c r="C2530" s="309"/>
      <c r="I2530" s="309"/>
      <c r="J2530" s="309"/>
    </row>
    <row r="2531">
      <c r="B2531" s="309"/>
      <c r="C2531" s="309"/>
      <c r="I2531" s="309"/>
      <c r="J2531" s="309"/>
    </row>
    <row r="2532">
      <c r="B2532" s="309"/>
      <c r="C2532" s="309"/>
      <c r="I2532" s="309"/>
      <c r="J2532" s="309"/>
    </row>
    <row r="2533">
      <c r="B2533" s="309"/>
      <c r="C2533" s="309"/>
      <c r="I2533" s="309"/>
      <c r="J2533" s="309"/>
    </row>
    <row r="2534">
      <c r="B2534" s="309"/>
      <c r="C2534" s="309"/>
      <c r="I2534" s="309"/>
      <c r="J2534" s="309"/>
    </row>
    <row r="2535">
      <c r="B2535" s="309"/>
      <c r="C2535" s="309"/>
      <c r="I2535" s="309"/>
      <c r="J2535" s="309"/>
    </row>
    <row r="2536">
      <c r="B2536" s="309"/>
      <c r="C2536" s="309"/>
      <c r="I2536" s="309"/>
      <c r="J2536" s="309"/>
    </row>
    <row r="2537">
      <c r="B2537" s="309"/>
      <c r="C2537" s="309"/>
      <c r="I2537" s="309"/>
      <c r="J2537" s="309"/>
    </row>
    <row r="2538">
      <c r="B2538" s="309"/>
      <c r="C2538" s="309"/>
      <c r="I2538" s="309"/>
      <c r="J2538" s="309"/>
    </row>
    <row r="2539">
      <c r="B2539" s="309"/>
      <c r="C2539" s="309"/>
      <c r="I2539" s="309"/>
      <c r="J2539" s="309"/>
    </row>
    <row r="2540">
      <c r="B2540" s="309"/>
      <c r="C2540" s="309"/>
      <c r="I2540" s="309"/>
      <c r="J2540" s="309"/>
    </row>
    <row r="2541">
      <c r="B2541" s="309"/>
      <c r="C2541" s="309"/>
      <c r="I2541" s="309"/>
      <c r="J2541" s="309"/>
    </row>
    <row r="2542">
      <c r="B2542" s="309"/>
      <c r="C2542" s="309"/>
      <c r="I2542" s="309"/>
      <c r="J2542" s="309"/>
    </row>
    <row r="2543">
      <c r="B2543" s="309"/>
      <c r="C2543" s="309"/>
      <c r="I2543" s="309"/>
      <c r="J2543" s="309"/>
    </row>
    <row r="2544">
      <c r="B2544" s="309"/>
      <c r="C2544" s="309"/>
      <c r="I2544" s="309"/>
      <c r="J2544" s="309"/>
    </row>
    <row r="2545">
      <c r="B2545" s="309"/>
      <c r="C2545" s="309"/>
      <c r="I2545" s="309"/>
      <c r="J2545" s="309"/>
    </row>
    <row r="2546">
      <c r="B2546" s="309"/>
      <c r="C2546" s="309"/>
      <c r="I2546" s="309"/>
      <c r="J2546" s="309"/>
    </row>
    <row r="2547">
      <c r="B2547" s="309"/>
      <c r="C2547" s="309"/>
      <c r="I2547" s="309"/>
      <c r="J2547" s="309"/>
    </row>
    <row r="2548">
      <c r="B2548" s="309"/>
      <c r="C2548" s="309"/>
      <c r="I2548" s="309"/>
      <c r="J2548" s="309"/>
    </row>
    <row r="2549">
      <c r="B2549" s="309"/>
      <c r="C2549" s="309"/>
      <c r="I2549" s="309"/>
      <c r="J2549" s="309"/>
    </row>
    <row r="2550">
      <c r="B2550" s="309"/>
      <c r="C2550" s="309"/>
      <c r="I2550" s="309"/>
      <c r="J2550" s="309"/>
    </row>
    <row r="2551">
      <c r="B2551" s="309"/>
      <c r="C2551" s="309"/>
      <c r="I2551" s="309"/>
      <c r="J2551" s="309"/>
    </row>
    <row r="2552">
      <c r="B2552" s="309"/>
      <c r="C2552" s="309"/>
      <c r="I2552" s="309"/>
      <c r="J2552" s="309"/>
    </row>
    <row r="2553">
      <c r="B2553" s="309"/>
      <c r="C2553" s="309"/>
      <c r="I2553" s="309"/>
      <c r="J2553" s="309"/>
    </row>
    <row r="2554">
      <c r="B2554" s="309"/>
      <c r="C2554" s="309"/>
      <c r="I2554" s="309"/>
      <c r="J2554" s="309"/>
    </row>
    <row r="2555">
      <c r="B2555" s="309"/>
      <c r="C2555" s="309"/>
      <c r="I2555" s="309"/>
      <c r="J2555" s="309"/>
    </row>
    <row r="2556">
      <c r="B2556" s="309"/>
      <c r="C2556" s="309"/>
      <c r="I2556" s="309"/>
      <c r="J2556" s="309"/>
    </row>
    <row r="2557">
      <c r="B2557" s="309"/>
      <c r="C2557" s="309"/>
      <c r="I2557" s="309"/>
      <c r="J2557" s="309"/>
    </row>
    <row r="2558">
      <c r="B2558" s="309"/>
      <c r="C2558" s="309"/>
      <c r="I2558" s="309"/>
      <c r="J2558" s="309"/>
    </row>
    <row r="2559">
      <c r="B2559" s="309"/>
      <c r="C2559" s="309"/>
      <c r="I2559" s="309"/>
      <c r="J2559" s="309"/>
    </row>
    <row r="2560">
      <c r="B2560" s="309"/>
      <c r="C2560" s="309"/>
      <c r="I2560" s="309"/>
      <c r="J2560" s="309"/>
    </row>
    <row r="2561">
      <c r="B2561" s="309"/>
      <c r="C2561" s="309"/>
      <c r="I2561" s="309"/>
      <c r="J2561" s="309"/>
    </row>
    <row r="2562">
      <c r="B2562" s="309"/>
      <c r="C2562" s="309"/>
      <c r="I2562" s="309"/>
      <c r="J2562" s="309"/>
    </row>
    <row r="2563">
      <c r="B2563" s="309"/>
      <c r="C2563" s="309"/>
      <c r="I2563" s="309"/>
      <c r="J2563" s="309"/>
    </row>
    <row r="2564">
      <c r="B2564" s="309"/>
      <c r="C2564" s="309"/>
      <c r="I2564" s="309"/>
      <c r="J2564" s="309"/>
    </row>
    <row r="2565">
      <c r="B2565" s="309"/>
      <c r="C2565" s="309"/>
      <c r="I2565" s="309"/>
      <c r="J2565" s="309"/>
    </row>
    <row r="2566">
      <c r="B2566" s="309"/>
      <c r="C2566" s="309"/>
      <c r="I2566" s="309"/>
      <c r="J2566" s="309"/>
    </row>
    <row r="2567">
      <c r="B2567" s="309"/>
      <c r="C2567" s="309"/>
      <c r="I2567" s="309"/>
      <c r="J2567" s="309"/>
    </row>
    <row r="2568">
      <c r="B2568" s="309"/>
      <c r="C2568" s="309"/>
      <c r="I2568" s="309"/>
      <c r="J2568" s="309"/>
    </row>
    <row r="2569">
      <c r="B2569" s="309"/>
      <c r="C2569" s="309"/>
      <c r="I2569" s="309"/>
      <c r="J2569" s="309"/>
    </row>
    <row r="2570">
      <c r="B2570" s="309"/>
      <c r="C2570" s="309"/>
      <c r="I2570" s="309"/>
      <c r="J2570" s="309"/>
    </row>
    <row r="2571">
      <c r="B2571" s="309"/>
      <c r="C2571" s="309"/>
      <c r="I2571" s="309"/>
      <c r="J2571" s="309"/>
    </row>
    <row r="2572">
      <c r="B2572" s="309"/>
      <c r="C2572" s="309"/>
      <c r="I2572" s="309"/>
      <c r="J2572" s="309"/>
    </row>
    <row r="2573">
      <c r="B2573" s="309"/>
      <c r="C2573" s="309"/>
      <c r="I2573" s="309"/>
      <c r="J2573" s="309"/>
    </row>
    <row r="2574">
      <c r="B2574" s="309"/>
      <c r="C2574" s="309"/>
      <c r="I2574" s="309"/>
      <c r="J2574" s="309"/>
    </row>
    <row r="2575">
      <c r="B2575" s="309"/>
      <c r="C2575" s="309"/>
      <c r="I2575" s="309"/>
      <c r="J2575" s="309"/>
    </row>
    <row r="2576">
      <c r="B2576" s="309"/>
      <c r="C2576" s="309"/>
      <c r="I2576" s="309"/>
      <c r="J2576" s="309"/>
    </row>
    <row r="2577">
      <c r="B2577" s="309"/>
      <c r="C2577" s="309"/>
      <c r="I2577" s="309"/>
      <c r="J2577" s="309"/>
    </row>
    <row r="2578">
      <c r="B2578" s="309"/>
      <c r="C2578" s="309"/>
      <c r="I2578" s="309"/>
      <c r="J2578" s="309"/>
    </row>
    <row r="2579">
      <c r="B2579" s="309"/>
      <c r="C2579" s="309"/>
      <c r="I2579" s="309"/>
      <c r="J2579" s="309"/>
    </row>
    <row r="2580">
      <c r="B2580" s="309"/>
      <c r="C2580" s="309"/>
      <c r="I2580" s="309"/>
      <c r="J2580" s="309"/>
    </row>
    <row r="2581">
      <c r="B2581" s="309"/>
      <c r="C2581" s="309"/>
      <c r="I2581" s="309"/>
      <c r="J2581" s="309"/>
    </row>
    <row r="2582">
      <c r="B2582" s="309"/>
      <c r="C2582" s="309"/>
      <c r="I2582" s="309"/>
      <c r="J2582" s="309"/>
    </row>
    <row r="2583">
      <c r="B2583" s="309"/>
      <c r="C2583" s="309"/>
      <c r="I2583" s="309"/>
      <c r="J2583" s="309"/>
    </row>
    <row r="2584">
      <c r="B2584" s="309"/>
      <c r="C2584" s="309"/>
      <c r="I2584" s="309"/>
      <c r="J2584" s="309"/>
    </row>
    <row r="2585">
      <c r="B2585" s="309"/>
      <c r="C2585" s="309"/>
      <c r="I2585" s="309"/>
      <c r="J2585" s="309"/>
    </row>
    <row r="2586">
      <c r="B2586" s="309"/>
      <c r="C2586" s="309"/>
      <c r="I2586" s="309"/>
      <c r="J2586" s="309"/>
    </row>
    <row r="2587">
      <c r="B2587" s="309"/>
      <c r="C2587" s="309"/>
      <c r="I2587" s="309"/>
      <c r="J2587" s="309"/>
    </row>
    <row r="2588">
      <c r="B2588" s="309"/>
      <c r="C2588" s="309"/>
      <c r="I2588" s="309"/>
      <c r="J2588" s="309"/>
    </row>
    <row r="2589">
      <c r="B2589" s="309"/>
      <c r="C2589" s="309"/>
      <c r="I2589" s="309"/>
      <c r="J2589" s="309"/>
    </row>
    <row r="2590">
      <c r="B2590" s="309"/>
      <c r="C2590" s="309"/>
      <c r="I2590" s="309"/>
      <c r="J2590" s="309"/>
    </row>
    <row r="2591">
      <c r="B2591" s="309"/>
      <c r="C2591" s="309"/>
      <c r="I2591" s="309"/>
      <c r="J2591" s="309"/>
    </row>
    <row r="2592">
      <c r="B2592" s="309"/>
      <c r="C2592" s="309"/>
      <c r="I2592" s="309"/>
      <c r="J2592" s="309"/>
    </row>
    <row r="2593">
      <c r="B2593" s="309"/>
      <c r="C2593" s="309"/>
      <c r="I2593" s="309"/>
      <c r="J2593" s="309"/>
    </row>
    <row r="2594">
      <c r="B2594" s="309"/>
      <c r="C2594" s="309"/>
      <c r="I2594" s="309"/>
      <c r="J2594" s="309"/>
    </row>
    <row r="2595">
      <c r="B2595" s="309"/>
      <c r="C2595" s="309"/>
      <c r="I2595" s="309"/>
      <c r="J2595" s="309"/>
    </row>
    <row r="2596">
      <c r="B2596" s="309"/>
      <c r="C2596" s="309"/>
      <c r="I2596" s="309"/>
      <c r="J2596" s="309"/>
    </row>
    <row r="2597">
      <c r="B2597" s="309"/>
      <c r="C2597" s="309"/>
      <c r="I2597" s="309"/>
      <c r="J2597" s="309"/>
    </row>
    <row r="2598">
      <c r="B2598" s="309"/>
      <c r="C2598" s="309"/>
      <c r="I2598" s="309"/>
      <c r="J2598" s="309"/>
    </row>
    <row r="2599">
      <c r="B2599" s="309"/>
      <c r="C2599" s="309"/>
      <c r="I2599" s="309"/>
      <c r="J2599" s="309"/>
    </row>
    <row r="2600">
      <c r="B2600" s="309"/>
      <c r="C2600" s="309"/>
      <c r="I2600" s="309"/>
      <c r="J2600" s="309"/>
    </row>
    <row r="2601">
      <c r="B2601" s="309"/>
      <c r="C2601" s="309"/>
      <c r="I2601" s="309"/>
      <c r="J2601" s="309"/>
    </row>
    <row r="2602">
      <c r="B2602" s="309"/>
      <c r="C2602" s="309"/>
      <c r="I2602" s="309"/>
      <c r="J2602" s="309"/>
    </row>
    <row r="2603">
      <c r="B2603" s="309"/>
      <c r="C2603" s="309"/>
      <c r="I2603" s="309"/>
      <c r="J2603" s="309"/>
    </row>
    <row r="2604">
      <c r="B2604" s="309"/>
      <c r="C2604" s="309"/>
      <c r="I2604" s="309"/>
      <c r="J2604" s="309"/>
    </row>
    <row r="2605">
      <c r="B2605" s="309"/>
      <c r="C2605" s="309"/>
      <c r="I2605" s="309"/>
      <c r="J2605" s="309"/>
    </row>
    <row r="2606">
      <c r="B2606" s="309"/>
      <c r="C2606" s="309"/>
      <c r="I2606" s="309"/>
      <c r="J2606" s="309"/>
    </row>
    <row r="2607">
      <c r="B2607" s="309"/>
      <c r="C2607" s="309"/>
      <c r="I2607" s="309"/>
      <c r="J2607" s="309"/>
    </row>
    <row r="2608">
      <c r="B2608" s="309"/>
      <c r="C2608" s="309"/>
      <c r="I2608" s="309"/>
      <c r="J2608" s="309"/>
    </row>
    <row r="2609">
      <c r="B2609" s="309"/>
      <c r="C2609" s="309"/>
      <c r="I2609" s="309"/>
      <c r="J2609" s="309"/>
    </row>
    <row r="2610">
      <c r="B2610" s="309"/>
      <c r="C2610" s="309"/>
      <c r="I2610" s="309"/>
      <c r="J2610" s="309"/>
    </row>
    <row r="2611">
      <c r="B2611" s="309"/>
      <c r="C2611" s="309"/>
      <c r="I2611" s="309"/>
      <c r="J2611" s="309"/>
    </row>
    <row r="2612">
      <c r="B2612" s="309"/>
      <c r="C2612" s="309"/>
      <c r="I2612" s="309"/>
      <c r="J2612" s="309"/>
    </row>
    <row r="2613">
      <c r="B2613" s="309"/>
      <c r="C2613" s="309"/>
      <c r="I2613" s="309"/>
      <c r="J2613" s="309"/>
    </row>
    <row r="2614">
      <c r="B2614" s="309"/>
      <c r="C2614" s="309"/>
      <c r="I2614" s="309"/>
      <c r="J2614" s="309"/>
    </row>
    <row r="2615">
      <c r="B2615" s="309"/>
      <c r="C2615" s="309"/>
      <c r="I2615" s="309"/>
      <c r="J2615" s="309"/>
    </row>
    <row r="2616">
      <c r="B2616" s="309"/>
      <c r="C2616" s="309"/>
      <c r="I2616" s="309"/>
      <c r="J2616" s="309"/>
    </row>
    <row r="2617">
      <c r="B2617" s="309"/>
      <c r="C2617" s="309"/>
      <c r="I2617" s="309"/>
      <c r="J2617" s="309"/>
    </row>
    <row r="2618">
      <c r="B2618" s="309"/>
      <c r="C2618" s="309"/>
      <c r="I2618" s="309"/>
      <c r="J2618" s="309"/>
    </row>
    <row r="2619">
      <c r="B2619" s="309"/>
      <c r="C2619" s="309"/>
      <c r="I2619" s="309"/>
      <c r="J2619" s="309"/>
    </row>
    <row r="2620">
      <c r="B2620" s="309"/>
      <c r="C2620" s="309"/>
      <c r="I2620" s="309"/>
      <c r="J2620" s="309"/>
    </row>
    <row r="2621">
      <c r="B2621" s="309"/>
      <c r="C2621" s="309"/>
      <c r="I2621" s="309"/>
      <c r="J2621" s="309"/>
    </row>
    <row r="2622">
      <c r="B2622" s="309"/>
      <c r="C2622" s="309"/>
      <c r="I2622" s="309"/>
      <c r="J2622" s="309"/>
    </row>
    <row r="2623">
      <c r="B2623" s="309"/>
      <c r="C2623" s="309"/>
      <c r="I2623" s="309"/>
      <c r="J2623" s="309"/>
    </row>
    <row r="2624">
      <c r="B2624" s="309"/>
      <c r="C2624" s="309"/>
      <c r="I2624" s="309"/>
      <c r="J2624" s="309"/>
    </row>
    <row r="2625">
      <c r="B2625" s="309"/>
      <c r="C2625" s="309"/>
      <c r="I2625" s="309"/>
      <c r="J2625" s="309"/>
    </row>
    <row r="2626">
      <c r="B2626" s="309"/>
      <c r="C2626" s="309"/>
      <c r="I2626" s="309"/>
      <c r="J2626" s="309"/>
    </row>
    <row r="2627">
      <c r="B2627" s="309"/>
      <c r="C2627" s="309"/>
      <c r="I2627" s="309"/>
      <c r="J2627" s="309"/>
    </row>
    <row r="2628">
      <c r="B2628" s="309"/>
      <c r="C2628" s="309"/>
      <c r="I2628" s="309"/>
      <c r="J2628" s="309"/>
    </row>
    <row r="2629">
      <c r="B2629" s="309"/>
      <c r="C2629" s="309"/>
      <c r="I2629" s="309"/>
      <c r="J2629" s="309"/>
    </row>
    <row r="2630">
      <c r="B2630" s="309"/>
      <c r="C2630" s="309"/>
      <c r="I2630" s="309"/>
      <c r="J2630" s="309"/>
    </row>
    <row r="2631">
      <c r="B2631" s="309"/>
      <c r="C2631" s="309"/>
      <c r="I2631" s="309"/>
      <c r="J2631" s="309"/>
    </row>
    <row r="2632">
      <c r="B2632" s="309"/>
      <c r="C2632" s="309"/>
      <c r="I2632" s="309"/>
      <c r="J2632" s="309"/>
    </row>
    <row r="2633">
      <c r="B2633" s="309"/>
      <c r="C2633" s="309"/>
      <c r="I2633" s="309"/>
      <c r="J2633" s="309"/>
    </row>
    <row r="2634">
      <c r="B2634" s="309"/>
      <c r="C2634" s="309"/>
      <c r="I2634" s="309"/>
      <c r="J2634" s="309"/>
    </row>
    <row r="2635">
      <c r="B2635" s="309"/>
      <c r="C2635" s="309"/>
      <c r="I2635" s="309"/>
      <c r="J2635" s="309"/>
    </row>
    <row r="2636">
      <c r="B2636" s="309"/>
      <c r="C2636" s="309"/>
      <c r="I2636" s="309"/>
      <c r="J2636" s="309"/>
    </row>
    <row r="2637">
      <c r="B2637" s="309"/>
      <c r="C2637" s="309"/>
      <c r="I2637" s="309"/>
      <c r="J2637" s="309"/>
    </row>
    <row r="2638">
      <c r="B2638" s="309"/>
      <c r="C2638" s="309"/>
      <c r="I2638" s="309"/>
      <c r="J2638" s="309"/>
    </row>
    <row r="2639">
      <c r="B2639" s="309"/>
      <c r="C2639" s="309"/>
      <c r="I2639" s="309"/>
      <c r="J2639" s="309"/>
    </row>
    <row r="2640">
      <c r="B2640" s="309"/>
      <c r="C2640" s="309"/>
      <c r="I2640" s="309"/>
      <c r="J2640" s="309"/>
    </row>
    <row r="2641">
      <c r="B2641" s="309"/>
      <c r="C2641" s="309"/>
      <c r="I2641" s="309"/>
      <c r="J2641" s="309"/>
    </row>
    <row r="2642">
      <c r="B2642" s="309"/>
      <c r="C2642" s="309"/>
      <c r="I2642" s="309"/>
      <c r="J2642" s="309"/>
    </row>
    <row r="2643">
      <c r="B2643" s="309"/>
      <c r="C2643" s="309"/>
      <c r="I2643" s="309"/>
      <c r="J2643" s="309"/>
    </row>
    <row r="2644">
      <c r="B2644" s="309"/>
      <c r="C2644" s="309"/>
      <c r="I2644" s="309"/>
      <c r="J2644" s="309"/>
    </row>
    <row r="2645">
      <c r="B2645" s="309"/>
      <c r="C2645" s="309"/>
      <c r="I2645" s="309"/>
      <c r="J2645" s="309"/>
    </row>
    <row r="2646">
      <c r="B2646" s="309"/>
      <c r="C2646" s="309"/>
      <c r="I2646" s="309"/>
      <c r="J2646" s="309"/>
    </row>
    <row r="2647">
      <c r="B2647" s="309"/>
      <c r="C2647" s="309"/>
      <c r="I2647" s="309"/>
      <c r="J2647" s="309"/>
    </row>
    <row r="2648">
      <c r="B2648" s="309"/>
      <c r="C2648" s="309"/>
      <c r="I2648" s="309"/>
      <c r="J2648" s="309"/>
    </row>
    <row r="2649">
      <c r="B2649" s="309"/>
      <c r="C2649" s="309"/>
      <c r="I2649" s="309"/>
      <c r="J2649" s="309"/>
    </row>
    <row r="2650">
      <c r="B2650" s="309"/>
      <c r="C2650" s="309"/>
      <c r="I2650" s="309"/>
      <c r="J2650" s="309"/>
    </row>
    <row r="2651">
      <c r="B2651" s="309"/>
      <c r="C2651" s="309"/>
      <c r="I2651" s="309"/>
      <c r="J2651" s="309"/>
    </row>
    <row r="2652">
      <c r="B2652" s="309"/>
      <c r="C2652" s="309"/>
      <c r="I2652" s="309"/>
      <c r="J2652" s="309"/>
    </row>
    <row r="2653">
      <c r="B2653" s="309"/>
      <c r="C2653" s="309"/>
      <c r="I2653" s="309"/>
      <c r="J2653" s="309"/>
    </row>
    <row r="2654">
      <c r="B2654" s="309"/>
      <c r="C2654" s="309"/>
      <c r="I2654" s="309"/>
      <c r="J2654" s="309"/>
    </row>
    <row r="2655">
      <c r="B2655" s="309"/>
      <c r="C2655" s="309"/>
      <c r="I2655" s="309"/>
      <c r="J2655" s="309"/>
    </row>
    <row r="2656">
      <c r="B2656" s="309"/>
      <c r="C2656" s="309"/>
      <c r="I2656" s="309"/>
      <c r="J2656" s="309"/>
    </row>
    <row r="2657">
      <c r="B2657" s="309"/>
      <c r="C2657" s="309"/>
      <c r="I2657" s="309"/>
      <c r="J2657" s="309"/>
    </row>
    <row r="2658">
      <c r="B2658" s="309"/>
      <c r="C2658" s="309"/>
      <c r="I2658" s="309"/>
      <c r="J2658" s="309"/>
    </row>
    <row r="2659">
      <c r="B2659" s="309"/>
      <c r="C2659" s="309"/>
      <c r="I2659" s="309"/>
      <c r="J2659" s="309"/>
    </row>
    <row r="2660">
      <c r="B2660" s="309"/>
      <c r="C2660" s="309"/>
      <c r="I2660" s="309"/>
      <c r="J2660" s="309"/>
    </row>
    <row r="2661">
      <c r="B2661" s="309"/>
      <c r="C2661" s="309"/>
      <c r="I2661" s="309"/>
      <c r="J2661" s="309"/>
    </row>
    <row r="2662">
      <c r="B2662" s="309"/>
      <c r="C2662" s="309"/>
      <c r="I2662" s="309"/>
      <c r="J2662" s="309"/>
    </row>
    <row r="2663">
      <c r="B2663" s="309"/>
      <c r="C2663" s="309"/>
      <c r="I2663" s="309"/>
      <c r="J2663" s="309"/>
    </row>
    <row r="2664">
      <c r="B2664" s="309"/>
      <c r="C2664" s="309"/>
      <c r="I2664" s="309"/>
      <c r="J2664" s="309"/>
    </row>
    <row r="2665">
      <c r="B2665" s="309"/>
      <c r="C2665" s="309"/>
      <c r="I2665" s="309"/>
      <c r="J2665" s="309"/>
    </row>
    <row r="2666">
      <c r="B2666" s="309"/>
      <c r="C2666" s="309"/>
      <c r="I2666" s="309"/>
      <c r="J2666" s="309"/>
    </row>
    <row r="2667">
      <c r="B2667" s="309"/>
      <c r="C2667" s="309"/>
      <c r="I2667" s="309"/>
      <c r="J2667" s="309"/>
    </row>
    <row r="2668">
      <c r="B2668" s="309"/>
      <c r="C2668" s="309"/>
      <c r="I2668" s="309"/>
      <c r="J2668" s="309"/>
    </row>
    <row r="2669">
      <c r="B2669" s="309"/>
      <c r="C2669" s="309"/>
      <c r="I2669" s="309"/>
      <c r="J2669" s="309"/>
    </row>
    <row r="2670">
      <c r="B2670" s="309"/>
      <c r="C2670" s="309"/>
      <c r="I2670" s="309"/>
      <c r="J2670" s="309"/>
    </row>
    <row r="2671">
      <c r="B2671" s="309"/>
      <c r="C2671" s="309"/>
      <c r="I2671" s="309"/>
      <c r="J2671" s="309"/>
    </row>
    <row r="2672">
      <c r="B2672" s="309"/>
      <c r="C2672" s="309"/>
      <c r="I2672" s="309"/>
      <c r="J2672" s="309"/>
    </row>
    <row r="2673">
      <c r="B2673" s="309"/>
      <c r="C2673" s="309"/>
      <c r="I2673" s="309"/>
      <c r="J2673" s="309"/>
    </row>
    <row r="2674">
      <c r="B2674" s="309"/>
      <c r="C2674" s="309"/>
      <c r="I2674" s="309"/>
      <c r="J2674" s="309"/>
    </row>
    <row r="2675">
      <c r="B2675" s="309"/>
      <c r="C2675" s="309"/>
      <c r="I2675" s="309"/>
      <c r="J2675" s="309"/>
    </row>
    <row r="2676">
      <c r="B2676" s="309"/>
      <c r="C2676" s="309"/>
      <c r="I2676" s="309"/>
      <c r="J2676" s="309"/>
    </row>
    <row r="2677">
      <c r="B2677" s="309"/>
      <c r="C2677" s="309"/>
      <c r="I2677" s="309"/>
      <c r="J2677" s="309"/>
    </row>
    <row r="2678">
      <c r="B2678" s="309"/>
      <c r="C2678" s="309"/>
      <c r="I2678" s="309"/>
      <c r="J2678" s="309"/>
    </row>
    <row r="2679">
      <c r="B2679" s="309"/>
      <c r="C2679" s="309"/>
      <c r="I2679" s="309"/>
      <c r="J2679" s="309"/>
    </row>
    <row r="2680">
      <c r="B2680" s="309"/>
      <c r="C2680" s="309"/>
      <c r="I2680" s="309"/>
      <c r="J2680" s="309"/>
    </row>
    <row r="2681">
      <c r="B2681" s="309"/>
      <c r="C2681" s="309"/>
      <c r="I2681" s="309"/>
      <c r="J2681" s="309"/>
    </row>
    <row r="2682">
      <c r="B2682" s="309"/>
      <c r="C2682" s="309"/>
      <c r="I2682" s="309"/>
      <c r="J2682" s="309"/>
    </row>
    <row r="2683">
      <c r="B2683" s="309"/>
      <c r="C2683" s="309"/>
      <c r="I2683" s="309"/>
      <c r="J2683" s="309"/>
    </row>
    <row r="2684">
      <c r="B2684" s="309"/>
      <c r="C2684" s="309"/>
      <c r="I2684" s="309"/>
      <c r="J2684" s="309"/>
    </row>
    <row r="2685">
      <c r="B2685" s="309"/>
      <c r="C2685" s="309"/>
      <c r="I2685" s="309"/>
      <c r="J2685" s="309"/>
    </row>
    <row r="2686">
      <c r="B2686" s="309"/>
      <c r="C2686" s="309"/>
      <c r="I2686" s="309"/>
      <c r="J2686" s="309"/>
    </row>
    <row r="2687">
      <c r="B2687" s="309"/>
      <c r="C2687" s="309"/>
      <c r="I2687" s="309"/>
      <c r="J2687" s="309"/>
    </row>
    <row r="2688">
      <c r="B2688" s="309"/>
      <c r="C2688" s="309"/>
      <c r="I2688" s="309"/>
      <c r="J2688" s="309"/>
    </row>
    <row r="2689">
      <c r="B2689" s="309"/>
      <c r="C2689" s="309"/>
      <c r="I2689" s="309"/>
      <c r="J2689" s="309"/>
    </row>
    <row r="2690">
      <c r="B2690" s="309"/>
      <c r="C2690" s="309"/>
      <c r="I2690" s="309"/>
      <c r="J2690" s="309"/>
    </row>
    <row r="2691">
      <c r="B2691" s="309"/>
      <c r="C2691" s="309"/>
      <c r="I2691" s="309"/>
      <c r="J2691" s="309"/>
    </row>
    <row r="2692">
      <c r="B2692" s="309"/>
      <c r="C2692" s="309"/>
      <c r="I2692" s="309"/>
      <c r="J2692" s="309"/>
    </row>
    <row r="2693">
      <c r="B2693" s="309"/>
      <c r="C2693" s="309"/>
      <c r="I2693" s="309"/>
      <c r="J2693" s="309"/>
    </row>
    <row r="2694">
      <c r="B2694" s="309"/>
      <c r="C2694" s="309"/>
      <c r="I2694" s="309"/>
      <c r="J2694" s="309"/>
    </row>
    <row r="2695">
      <c r="B2695" s="309"/>
      <c r="C2695" s="309"/>
      <c r="I2695" s="309"/>
      <c r="J2695" s="309"/>
    </row>
    <row r="2696">
      <c r="B2696" s="309"/>
      <c r="C2696" s="309"/>
      <c r="I2696" s="309"/>
      <c r="J2696" s="309"/>
    </row>
    <row r="2697">
      <c r="B2697" s="309"/>
      <c r="C2697" s="309"/>
      <c r="I2697" s="309"/>
      <c r="J2697" s="309"/>
    </row>
    <row r="2698">
      <c r="B2698" s="309"/>
      <c r="C2698" s="309"/>
      <c r="I2698" s="309"/>
      <c r="J2698" s="309"/>
    </row>
    <row r="2699">
      <c r="B2699" s="309"/>
      <c r="C2699" s="309"/>
      <c r="I2699" s="309"/>
      <c r="J2699" s="309"/>
    </row>
    <row r="2700">
      <c r="B2700" s="309"/>
      <c r="C2700" s="309"/>
      <c r="I2700" s="309"/>
      <c r="J2700" s="309"/>
    </row>
    <row r="2701">
      <c r="B2701" s="309"/>
      <c r="C2701" s="309"/>
      <c r="I2701" s="309"/>
      <c r="J2701" s="309"/>
    </row>
    <row r="2702">
      <c r="B2702" s="309"/>
      <c r="C2702" s="309"/>
      <c r="I2702" s="309"/>
      <c r="J2702" s="309"/>
    </row>
    <row r="2703">
      <c r="B2703" s="309"/>
      <c r="C2703" s="309"/>
      <c r="I2703" s="309"/>
      <c r="J2703" s="309"/>
    </row>
    <row r="2704">
      <c r="B2704" s="309"/>
      <c r="C2704" s="309"/>
      <c r="I2704" s="309"/>
      <c r="J2704" s="309"/>
    </row>
    <row r="2705">
      <c r="B2705" s="309"/>
      <c r="C2705" s="309"/>
      <c r="I2705" s="309"/>
      <c r="J2705" s="309"/>
    </row>
    <row r="2706">
      <c r="B2706" s="309"/>
      <c r="C2706" s="309"/>
      <c r="I2706" s="309"/>
      <c r="J2706" s="309"/>
    </row>
    <row r="2707">
      <c r="B2707" s="309"/>
      <c r="C2707" s="309"/>
      <c r="I2707" s="309"/>
      <c r="J2707" s="309"/>
    </row>
    <row r="2708">
      <c r="B2708" s="309"/>
      <c r="C2708" s="309"/>
      <c r="I2708" s="309"/>
      <c r="J2708" s="309"/>
    </row>
    <row r="2709">
      <c r="B2709" s="309"/>
      <c r="C2709" s="309"/>
      <c r="I2709" s="309"/>
      <c r="J2709" s="309"/>
    </row>
    <row r="2710">
      <c r="B2710" s="309"/>
      <c r="C2710" s="309"/>
      <c r="I2710" s="309"/>
      <c r="J2710" s="309"/>
    </row>
    <row r="2711">
      <c r="B2711" s="309"/>
      <c r="C2711" s="309"/>
      <c r="I2711" s="309"/>
      <c r="J2711" s="309"/>
    </row>
    <row r="2712">
      <c r="B2712" s="309"/>
      <c r="C2712" s="309"/>
      <c r="I2712" s="309"/>
      <c r="J2712" s="309"/>
    </row>
    <row r="2713">
      <c r="B2713" s="309"/>
      <c r="C2713" s="309"/>
      <c r="I2713" s="309"/>
      <c r="J2713" s="309"/>
    </row>
    <row r="2714">
      <c r="B2714" s="309"/>
      <c r="C2714" s="309"/>
      <c r="I2714" s="309"/>
      <c r="J2714" s="309"/>
    </row>
    <row r="2715">
      <c r="B2715" s="309"/>
      <c r="C2715" s="309"/>
      <c r="I2715" s="309"/>
      <c r="J2715" s="309"/>
    </row>
    <row r="2716">
      <c r="B2716" s="309"/>
      <c r="C2716" s="309"/>
      <c r="I2716" s="309"/>
      <c r="J2716" s="309"/>
    </row>
    <row r="2717">
      <c r="B2717" s="309"/>
      <c r="C2717" s="309"/>
      <c r="I2717" s="309"/>
      <c r="J2717" s="309"/>
    </row>
    <row r="2718">
      <c r="B2718" s="309"/>
      <c r="C2718" s="309"/>
      <c r="I2718" s="309"/>
      <c r="J2718" s="309"/>
    </row>
    <row r="2719">
      <c r="B2719" s="309"/>
      <c r="C2719" s="309"/>
      <c r="I2719" s="309"/>
      <c r="J2719" s="309"/>
    </row>
    <row r="2720">
      <c r="B2720" s="309"/>
      <c r="C2720" s="309"/>
      <c r="I2720" s="309"/>
      <c r="J2720" s="309"/>
    </row>
    <row r="2721">
      <c r="B2721" s="309"/>
      <c r="C2721" s="309"/>
      <c r="I2721" s="309"/>
      <c r="J2721" s="309"/>
    </row>
    <row r="2722">
      <c r="B2722" s="309"/>
      <c r="C2722" s="309"/>
      <c r="I2722" s="309"/>
      <c r="J2722" s="309"/>
    </row>
    <row r="2723">
      <c r="B2723" s="309"/>
      <c r="C2723" s="309"/>
      <c r="I2723" s="309"/>
      <c r="J2723" s="309"/>
    </row>
    <row r="2724">
      <c r="B2724" s="309"/>
      <c r="C2724" s="309"/>
      <c r="I2724" s="309"/>
      <c r="J2724" s="309"/>
    </row>
    <row r="2725">
      <c r="B2725" s="309"/>
      <c r="C2725" s="309"/>
      <c r="I2725" s="309"/>
      <c r="J2725" s="309"/>
    </row>
    <row r="2726">
      <c r="B2726" s="309"/>
      <c r="C2726" s="309"/>
      <c r="I2726" s="309"/>
      <c r="J2726" s="309"/>
    </row>
    <row r="2727">
      <c r="B2727" s="309"/>
      <c r="C2727" s="309"/>
      <c r="I2727" s="309"/>
      <c r="J2727" s="309"/>
    </row>
    <row r="2728">
      <c r="B2728" s="309"/>
      <c r="C2728" s="309"/>
      <c r="I2728" s="309"/>
      <c r="J2728" s="309"/>
    </row>
    <row r="2729">
      <c r="B2729" s="309"/>
      <c r="C2729" s="309"/>
      <c r="I2729" s="309"/>
      <c r="J2729" s="309"/>
    </row>
    <row r="2730">
      <c r="B2730" s="309"/>
      <c r="C2730" s="309"/>
      <c r="I2730" s="309"/>
      <c r="J2730" s="309"/>
    </row>
    <row r="2731">
      <c r="B2731" s="309"/>
      <c r="C2731" s="309"/>
      <c r="I2731" s="309"/>
      <c r="J2731" s="309"/>
    </row>
    <row r="2732">
      <c r="B2732" s="309"/>
      <c r="C2732" s="309"/>
      <c r="I2732" s="309"/>
      <c r="J2732" s="309"/>
    </row>
    <row r="2733">
      <c r="B2733" s="309"/>
      <c r="C2733" s="309"/>
      <c r="I2733" s="309"/>
      <c r="J2733" s="309"/>
    </row>
    <row r="2734">
      <c r="B2734" s="309"/>
      <c r="C2734" s="309"/>
      <c r="I2734" s="309"/>
      <c r="J2734" s="309"/>
    </row>
    <row r="2735">
      <c r="B2735" s="309"/>
      <c r="C2735" s="309"/>
      <c r="I2735" s="309"/>
      <c r="J2735" s="309"/>
    </row>
    <row r="2736">
      <c r="B2736" s="309"/>
      <c r="C2736" s="309"/>
      <c r="I2736" s="309"/>
      <c r="J2736" s="309"/>
    </row>
    <row r="2737">
      <c r="B2737" s="309"/>
      <c r="C2737" s="309"/>
      <c r="I2737" s="309"/>
      <c r="J2737" s="309"/>
    </row>
    <row r="2738">
      <c r="B2738" s="309"/>
      <c r="C2738" s="309"/>
      <c r="I2738" s="309"/>
      <c r="J2738" s="309"/>
    </row>
    <row r="2739">
      <c r="B2739" s="309"/>
      <c r="C2739" s="309"/>
      <c r="I2739" s="309"/>
      <c r="J2739" s="309"/>
    </row>
    <row r="2740">
      <c r="B2740" s="309"/>
      <c r="C2740" s="309"/>
      <c r="I2740" s="309"/>
      <c r="J2740" s="309"/>
    </row>
    <row r="2741">
      <c r="B2741" s="309"/>
      <c r="C2741" s="309"/>
      <c r="I2741" s="309"/>
      <c r="J2741" s="309"/>
    </row>
    <row r="2742">
      <c r="B2742" s="309"/>
      <c r="C2742" s="309"/>
      <c r="I2742" s="309"/>
      <c r="J2742" s="309"/>
    </row>
    <row r="2743">
      <c r="B2743" s="309"/>
      <c r="C2743" s="309"/>
      <c r="I2743" s="309"/>
      <c r="J2743" s="309"/>
    </row>
    <row r="2744">
      <c r="B2744" s="309"/>
      <c r="C2744" s="309"/>
      <c r="I2744" s="309"/>
      <c r="J2744" s="309"/>
    </row>
    <row r="2745">
      <c r="B2745" s="309"/>
      <c r="C2745" s="309"/>
      <c r="I2745" s="309"/>
      <c r="J2745" s="309"/>
    </row>
    <row r="2746">
      <c r="B2746" s="309"/>
      <c r="C2746" s="309"/>
      <c r="I2746" s="309"/>
      <c r="J2746" s="309"/>
    </row>
    <row r="2747">
      <c r="B2747" s="309"/>
      <c r="C2747" s="309"/>
      <c r="I2747" s="309"/>
      <c r="J2747" s="309"/>
    </row>
    <row r="2748">
      <c r="B2748" s="309"/>
      <c r="C2748" s="309"/>
      <c r="I2748" s="309"/>
      <c r="J2748" s="309"/>
    </row>
    <row r="2749">
      <c r="B2749" s="309"/>
      <c r="C2749" s="309"/>
      <c r="I2749" s="309"/>
      <c r="J2749" s="309"/>
    </row>
    <row r="2750">
      <c r="B2750" s="309"/>
      <c r="C2750" s="309"/>
      <c r="I2750" s="309"/>
      <c r="J2750" s="309"/>
    </row>
    <row r="2751">
      <c r="B2751" s="309"/>
      <c r="C2751" s="309"/>
      <c r="I2751" s="309"/>
      <c r="J2751" s="309"/>
    </row>
    <row r="2752">
      <c r="B2752" s="309"/>
      <c r="C2752" s="309"/>
      <c r="I2752" s="309"/>
      <c r="J2752" s="309"/>
    </row>
    <row r="2753">
      <c r="B2753" s="309"/>
      <c r="C2753" s="309"/>
      <c r="I2753" s="309"/>
      <c r="J2753" s="309"/>
    </row>
    <row r="2754">
      <c r="B2754" s="309"/>
      <c r="C2754" s="309"/>
      <c r="I2754" s="309"/>
      <c r="J2754" s="309"/>
    </row>
    <row r="2755">
      <c r="B2755" s="309"/>
      <c r="C2755" s="309"/>
      <c r="I2755" s="309"/>
      <c r="J2755" s="309"/>
    </row>
    <row r="2756">
      <c r="B2756" s="309"/>
      <c r="C2756" s="309"/>
      <c r="I2756" s="309"/>
      <c r="J2756" s="309"/>
    </row>
    <row r="2757">
      <c r="B2757" s="309"/>
      <c r="C2757" s="309"/>
      <c r="I2757" s="309"/>
      <c r="J2757" s="309"/>
    </row>
    <row r="2758">
      <c r="B2758" s="309"/>
      <c r="C2758" s="309"/>
      <c r="I2758" s="309"/>
      <c r="J2758" s="309"/>
    </row>
    <row r="2759">
      <c r="B2759" s="309"/>
      <c r="C2759" s="309"/>
      <c r="I2759" s="309"/>
      <c r="J2759" s="309"/>
    </row>
    <row r="2760">
      <c r="B2760" s="309"/>
      <c r="C2760" s="309"/>
      <c r="I2760" s="309"/>
      <c r="J2760" s="309"/>
    </row>
    <row r="2761">
      <c r="B2761" s="309"/>
      <c r="C2761" s="309"/>
      <c r="I2761" s="309"/>
      <c r="J2761" s="309"/>
    </row>
    <row r="2762">
      <c r="B2762" s="309"/>
      <c r="C2762" s="309"/>
      <c r="I2762" s="309"/>
      <c r="J2762" s="309"/>
    </row>
    <row r="2763">
      <c r="B2763" s="309"/>
      <c r="C2763" s="309"/>
      <c r="I2763" s="309"/>
      <c r="J2763" s="309"/>
    </row>
    <row r="2764">
      <c r="B2764" s="309"/>
      <c r="C2764" s="309"/>
      <c r="I2764" s="309"/>
      <c r="J2764" s="309"/>
    </row>
    <row r="2765">
      <c r="B2765" s="309"/>
      <c r="C2765" s="309"/>
      <c r="I2765" s="309"/>
      <c r="J2765" s="309"/>
    </row>
    <row r="2766">
      <c r="B2766" s="309"/>
      <c r="C2766" s="309"/>
      <c r="I2766" s="309"/>
      <c r="J2766" s="309"/>
    </row>
    <row r="2767">
      <c r="B2767" s="309"/>
      <c r="C2767" s="309"/>
      <c r="I2767" s="309"/>
      <c r="J2767" s="309"/>
    </row>
    <row r="2768">
      <c r="B2768" s="309"/>
      <c r="C2768" s="309"/>
      <c r="I2768" s="309"/>
      <c r="J2768" s="309"/>
    </row>
    <row r="2769">
      <c r="B2769" s="309"/>
      <c r="C2769" s="309"/>
      <c r="I2769" s="309"/>
      <c r="J2769" s="309"/>
    </row>
    <row r="2770">
      <c r="B2770" s="309"/>
      <c r="C2770" s="309"/>
      <c r="I2770" s="309"/>
      <c r="J2770" s="309"/>
    </row>
    <row r="2771">
      <c r="B2771" s="309"/>
      <c r="C2771" s="309"/>
      <c r="I2771" s="309"/>
      <c r="J2771" s="309"/>
    </row>
    <row r="2772">
      <c r="B2772" s="309"/>
      <c r="C2772" s="309"/>
      <c r="I2772" s="309"/>
      <c r="J2772" s="309"/>
    </row>
    <row r="2773">
      <c r="B2773" s="309"/>
      <c r="C2773" s="309"/>
      <c r="I2773" s="309"/>
      <c r="J2773" s="309"/>
    </row>
    <row r="2774">
      <c r="B2774" s="309"/>
      <c r="C2774" s="309"/>
      <c r="I2774" s="309"/>
      <c r="J2774" s="309"/>
    </row>
    <row r="2775">
      <c r="B2775" s="309"/>
      <c r="C2775" s="309"/>
      <c r="I2775" s="309"/>
      <c r="J2775" s="309"/>
    </row>
    <row r="2776">
      <c r="B2776" s="309"/>
      <c r="C2776" s="309"/>
      <c r="I2776" s="309"/>
      <c r="J2776" s="309"/>
    </row>
    <row r="2777">
      <c r="B2777" s="309"/>
      <c r="C2777" s="309"/>
      <c r="I2777" s="309"/>
      <c r="J2777" s="309"/>
    </row>
    <row r="2778">
      <c r="B2778" s="309"/>
      <c r="C2778" s="309"/>
      <c r="I2778" s="309"/>
      <c r="J2778" s="309"/>
    </row>
    <row r="2779">
      <c r="B2779" s="309"/>
      <c r="C2779" s="309"/>
      <c r="I2779" s="309"/>
      <c r="J2779" s="309"/>
    </row>
    <row r="2780">
      <c r="B2780" s="309"/>
      <c r="C2780" s="309"/>
      <c r="I2780" s="309"/>
      <c r="J2780" s="309"/>
    </row>
    <row r="2781">
      <c r="B2781" s="309"/>
      <c r="C2781" s="309"/>
      <c r="I2781" s="309"/>
      <c r="J2781" s="309"/>
    </row>
    <row r="2782">
      <c r="B2782" s="309"/>
      <c r="C2782" s="309"/>
      <c r="I2782" s="309"/>
      <c r="J2782" s="309"/>
    </row>
    <row r="2783">
      <c r="B2783" s="309"/>
      <c r="C2783" s="309"/>
      <c r="I2783" s="309"/>
      <c r="J2783" s="309"/>
    </row>
    <row r="2784">
      <c r="B2784" s="309"/>
      <c r="C2784" s="309"/>
      <c r="I2784" s="309"/>
      <c r="J2784" s="309"/>
    </row>
    <row r="2785">
      <c r="B2785" s="309"/>
      <c r="C2785" s="309"/>
      <c r="I2785" s="309"/>
      <c r="J2785" s="309"/>
    </row>
    <row r="2786">
      <c r="B2786" s="309"/>
      <c r="C2786" s="309"/>
      <c r="I2786" s="309"/>
      <c r="J2786" s="309"/>
    </row>
    <row r="2787">
      <c r="B2787" s="309"/>
      <c r="C2787" s="309"/>
      <c r="I2787" s="309"/>
      <c r="J2787" s="309"/>
    </row>
    <row r="2788">
      <c r="B2788" s="309"/>
      <c r="C2788" s="309"/>
      <c r="I2788" s="309"/>
      <c r="J2788" s="309"/>
    </row>
    <row r="2789">
      <c r="B2789" s="309"/>
      <c r="C2789" s="309"/>
      <c r="I2789" s="309"/>
      <c r="J2789" s="309"/>
    </row>
    <row r="2790">
      <c r="B2790" s="309"/>
      <c r="C2790" s="309"/>
      <c r="I2790" s="309"/>
      <c r="J2790" s="309"/>
    </row>
    <row r="2791">
      <c r="B2791" s="309"/>
      <c r="C2791" s="309"/>
      <c r="I2791" s="309"/>
      <c r="J2791" s="309"/>
    </row>
    <row r="2792">
      <c r="B2792" s="309"/>
      <c r="C2792" s="309"/>
      <c r="I2792" s="309"/>
      <c r="J2792" s="309"/>
    </row>
    <row r="2793">
      <c r="B2793" s="309"/>
      <c r="C2793" s="309"/>
      <c r="I2793" s="309"/>
      <c r="J2793" s="309"/>
    </row>
    <row r="2794">
      <c r="B2794" s="309"/>
      <c r="C2794" s="309"/>
      <c r="I2794" s="309"/>
      <c r="J2794" s="309"/>
    </row>
    <row r="2795">
      <c r="B2795" s="309"/>
      <c r="C2795" s="309"/>
      <c r="I2795" s="309"/>
      <c r="J2795" s="309"/>
    </row>
    <row r="2796">
      <c r="B2796" s="309"/>
      <c r="C2796" s="309"/>
      <c r="I2796" s="309"/>
      <c r="J2796" s="309"/>
    </row>
    <row r="2797">
      <c r="B2797" s="309"/>
      <c r="C2797" s="309"/>
      <c r="I2797" s="309"/>
      <c r="J2797" s="309"/>
    </row>
    <row r="2798">
      <c r="B2798" s="309"/>
      <c r="C2798" s="309"/>
      <c r="I2798" s="309"/>
      <c r="J2798" s="309"/>
    </row>
    <row r="2799">
      <c r="B2799" s="309"/>
      <c r="C2799" s="309"/>
      <c r="I2799" s="309"/>
      <c r="J2799" s="309"/>
    </row>
    <row r="2800">
      <c r="B2800" s="309"/>
      <c r="C2800" s="309"/>
      <c r="I2800" s="309"/>
      <c r="J2800" s="309"/>
    </row>
    <row r="2801">
      <c r="B2801" s="309"/>
      <c r="C2801" s="309"/>
      <c r="I2801" s="309"/>
      <c r="J2801" s="309"/>
    </row>
    <row r="2802">
      <c r="B2802" s="309"/>
      <c r="C2802" s="309"/>
      <c r="I2802" s="309"/>
      <c r="J2802" s="309"/>
    </row>
    <row r="2803">
      <c r="B2803" s="309"/>
      <c r="C2803" s="309"/>
      <c r="I2803" s="309"/>
      <c r="J2803" s="309"/>
    </row>
    <row r="2804">
      <c r="B2804" s="309"/>
      <c r="C2804" s="309"/>
      <c r="I2804" s="309"/>
      <c r="J2804" s="309"/>
    </row>
    <row r="2805">
      <c r="B2805" s="309"/>
      <c r="C2805" s="309"/>
      <c r="I2805" s="309"/>
      <c r="J2805" s="309"/>
    </row>
    <row r="2806">
      <c r="B2806" s="309"/>
      <c r="C2806" s="309"/>
      <c r="I2806" s="309"/>
      <c r="J2806" s="309"/>
    </row>
    <row r="2807">
      <c r="B2807" s="309"/>
      <c r="C2807" s="309"/>
      <c r="I2807" s="309"/>
      <c r="J2807" s="309"/>
    </row>
    <row r="2808">
      <c r="B2808" s="309"/>
      <c r="C2808" s="309"/>
      <c r="I2808" s="309"/>
      <c r="J2808" s="309"/>
    </row>
    <row r="2809">
      <c r="B2809" s="309"/>
      <c r="C2809" s="309"/>
      <c r="I2809" s="309"/>
      <c r="J2809" s="309"/>
    </row>
    <row r="2810">
      <c r="B2810" s="309"/>
      <c r="C2810" s="309"/>
      <c r="I2810" s="309"/>
      <c r="J2810" s="309"/>
    </row>
    <row r="2811">
      <c r="B2811" s="309"/>
      <c r="C2811" s="309"/>
      <c r="I2811" s="309"/>
      <c r="J2811" s="309"/>
    </row>
    <row r="2812">
      <c r="B2812" s="309"/>
      <c r="C2812" s="309"/>
      <c r="I2812" s="309"/>
      <c r="J2812" s="309"/>
    </row>
    <row r="2813">
      <c r="B2813" s="309"/>
      <c r="C2813" s="309"/>
      <c r="I2813" s="309"/>
      <c r="J2813" s="309"/>
    </row>
    <row r="2814">
      <c r="B2814" s="309"/>
      <c r="C2814" s="309"/>
      <c r="I2814" s="309"/>
      <c r="J2814" s="309"/>
    </row>
    <row r="2815">
      <c r="B2815" s="309"/>
      <c r="C2815" s="309"/>
      <c r="I2815" s="309"/>
      <c r="J2815" s="309"/>
    </row>
    <row r="2816">
      <c r="B2816" s="309"/>
      <c r="C2816" s="309"/>
      <c r="I2816" s="309"/>
      <c r="J2816" s="309"/>
    </row>
    <row r="2817">
      <c r="B2817" s="309"/>
      <c r="C2817" s="309"/>
      <c r="I2817" s="309"/>
      <c r="J2817" s="309"/>
    </row>
    <row r="2818">
      <c r="B2818" s="309"/>
      <c r="C2818" s="309"/>
      <c r="I2818" s="309"/>
      <c r="J2818" s="309"/>
    </row>
    <row r="2819">
      <c r="B2819" s="309"/>
      <c r="C2819" s="309"/>
      <c r="I2819" s="309"/>
      <c r="J2819" s="309"/>
    </row>
    <row r="2820">
      <c r="B2820" s="309"/>
      <c r="C2820" s="309"/>
      <c r="I2820" s="309"/>
      <c r="J2820" s="309"/>
    </row>
    <row r="2821">
      <c r="B2821" s="309"/>
      <c r="C2821" s="309"/>
      <c r="I2821" s="309"/>
      <c r="J2821" s="309"/>
    </row>
    <row r="2822">
      <c r="B2822" s="309"/>
      <c r="C2822" s="309"/>
      <c r="I2822" s="309"/>
      <c r="J2822" s="309"/>
    </row>
    <row r="2823">
      <c r="B2823" s="309"/>
      <c r="C2823" s="309"/>
      <c r="I2823" s="309"/>
      <c r="J2823" s="309"/>
    </row>
    <row r="2824">
      <c r="B2824" s="309"/>
      <c r="C2824" s="309"/>
      <c r="I2824" s="309"/>
      <c r="J2824" s="309"/>
    </row>
    <row r="2825">
      <c r="B2825" s="309"/>
      <c r="C2825" s="309"/>
      <c r="I2825" s="309"/>
      <c r="J2825" s="309"/>
    </row>
    <row r="2826">
      <c r="B2826" s="309"/>
      <c r="C2826" s="309"/>
      <c r="I2826" s="309"/>
      <c r="J2826" s="309"/>
    </row>
    <row r="2827">
      <c r="B2827" s="309"/>
      <c r="C2827" s="309"/>
      <c r="I2827" s="309"/>
      <c r="J2827" s="309"/>
    </row>
    <row r="2828">
      <c r="B2828" s="309"/>
      <c r="C2828" s="309"/>
      <c r="I2828" s="309"/>
      <c r="J2828" s="309"/>
    </row>
    <row r="2829">
      <c r="B2829" s="309"/>
      <c r="C2829" s="309"/>
      <c r="I2829" s="309"/>
      <c r="J2829" s="309"/>
    </row>
    <row r="2830">
      <c r="B2830" s="309"/>
      <c r="C2830" s="309"/>
      <c r="I2830" s="309"/>
      <c r="J2830" s="309"/>
    </row>
    <row r="2831">
      <c r="B2831" s="309"/>
      <c r="C2831" s="309"/>
      <c r="I2831" s="309"/>
      <c r="J2831" s="309"/>
    </row>
    <row r="2832">
      <c r="B2832" s="309"/>
      <c r="C2832" s="309"/>
      <c r="I2832" s="309"/>
      <c r="J2832" s="309"/>
    </row>
    <row r="2833">
      <c r="B2833" s="309"/>
      <c r="C2833" s="309"/>
      <c r="I2833" s="309"/>
      <c r="J2833" s="309"/>
    </row>
    <row r="2834">
      <c r="B2834" s="309"/>
      <c r="C2834" s="309"/>
      <c r="I2834" s="309"/>
      <c r="J2834" s="309"/>
    </row>
    <row r="2835">
      <c r="B2835" s="309"/>
      <c r="C2835" s="309"/>
      <c r="I2835" s="309"/>
      <c r="J2835" s="309"/>
    </row>
    <row r="2836">
      <c r="B2836" s="309"/>
      <c r="C2836" s="309"/>
      <c r="I2836" s="309"/>
      <c r="J2836" s="309"/>
    </row>
    <row r="2837">
      <c r="B2837" s="309"/>
      <c r="C2837" s="309"/>
      <c r="I2837" s="309"/>
      <c r="J2837" s="309"/>
    </row>
    <row r="2838">
      <c r="B2838" s="309"/>
      <c r="C2838" s="309"/>
      <c r="I2838" s="309"/>
      <c r="J2838" s="309"/>
    </row>
    <row r="2839">
      <c r="B2839" s="309"/>
      <c r="C2839" s="309"/>
      <c r="I2839" s="309"/>
      <c r="J2839" s="309"/>
    </row>
    <row r="2840">
      <c r="B2840" s="309"/>
      <c r="C2840" s="309"/>
      <c r="I2840" s="309"/>
      <c r="J2840" s="309"/>
    </row>
    <row r="2841">
      <c r="B2841" s="309"/>
      <c r="C2841" s="309"/>
      <c r="I2841" s="309"/>
      <c r="J2841" s="309"/>
    </row>
    <row r="2842">
      <c r="B2842" s="309"/>
      <c r="C2842" s="309"/>
      <c r="I2842" s="309"/>
      <c r="J2842" s="309"/>
    </row>
    <row r="2843">
      <c r="B2843" s="309"/>
      <c r="C2843" s="309"/>
      <c r="I2843" s="309"/>
      <c r="J2843" s="309"/>
    </row>
    <row r="2844">
      <c r="B2844" s="309"/>
      <c r="C2844" s="309"/>
      <c r="I2844" s="309"/>
      <c r="J2844" s="309"/>
    </row>
    <row r="2845">
      <c r="B2845" s="309"/>
      <c r="C2845" s="309"/>
      <c r="I2845" s="309"/>
      <c r="J2845" s="309"/>
    </row>
    <row r="2846">
      <c r="B2846" s="309"/>
      <c r="C2846" s="309"/>
      <c r="I2846" s="309"/>
      <c r="J2846" s="309"/>
    </row>
    <row r="2847">
      <c r="B2847" s="309"/>
      <c r="C2847" s="309"/>
      <c r="I2847" s="309"/>
      <c r="J2847" s="309"/>
    </row>
    <row r="2848">
      <c r="B2848" s="309"/>
      <c r="C2848" s="309"/>
      <c r="I2848" s="309"/>
      <c r="J2848" s="309"/>
    </row>
    <row r="2849">
      <c r="B2849" s="309"/>
      <c r="C2849" s="309"/>
      <c r="I2849" s="309"/>
      <c r="J2849" s="309"/>
    </row>
    <row r="2850">
      <c r="B2850" s="309"/>
      <c r="C2850" s="309"/>
      <c r="I2850" s="309"/>
      <c r="J2850" s="309"/>
    </row>
    <row r="2851">
      <c r="B2851" s="309"/>
      <c r="C2851" s="309"/>
      <c r="I2851" s="309"/>
      <c r="J2851" s="309"/>
    </row>
    <row r="2852">
      <c r="B2852" s="309"/>
      <c r="C2852" s="309"/>
      <c r="I2852" s="309"/>
      <c r="J2852" s="309"/>
    </row>
    <row r="2853">
      <c r="B2853" s="309"/>
      <c r="C2853" s="309"/>
      <c r="I2853" s="309"/>
      <c r="J2853" s="309"/>
    </row>
    <row r="2854">
      <c r="B2854" s="309"/>
      <c r="C2854" s="309"/>
      <c r="I2854" s="309"/>
      <c r="J2854" s="309"/>
    </row>
    <row r="2855">
      <c r="B2855" s="309"/>
      <c r="C2855" s="309"/>
      <c r="I2855" s="309"/>
      <c r="J2855" s="309"/>
    </row>
    <row r="2856">
      <c r="B2856" s="309"/>
      <c r="C2856" s="309"/>
      <c r="I2856" s="309"/>
      <c r="J2856" s="309"/>
    </row>
    <row r="2857">
      <c r="B2857" s="309"/>
      <c r="C2857" s="309"/>
      <c r="I2857" s="309"/>
      <c r="J2857" s="309"/>
    </row>
    <row r="2858">
      <c r="B2858" s="309"/>
      <c r="C2858" s="309"/>
      <c r="I2858" s="309"/>
      <c r="J2858" s="309"/>
    </row>
    <row r="2859">
      <c r="B2859" s="309"/>
      <c r="C2859" s="309"/>
      <c r="I2859" s="309"/>
      <c r="J2859" s="309"/>
    </row>
    <row r="2860">
      <c r="B2860" s="309"/>
      <c r="C2860" s="309"/>
      <c r="I2860" s="309"/>
      <c r="J2860" s="309"/>
    </row>
    <row r="2861">
      <c r="B2861" s="309"/>
      <c r="C2861" s="309"/>
      <c r="I2861" s="309"/>
      <c r="J2861" s="309"/>
    </row>
    <row r="2862">
      <c r="B2862" s="309"/>
      <c r="C2862" s="309"/>
      <c r="I2862" s="309"/>
      <c r="J2862" s="309"/>
    </row>
    <row r="2863">
      <c r="B2863" s="309"/>
      <c r="C2863" s="309"/>
      <c r="I2863" s="309"/>
      <c r="J2863" s="309"/>
    </row>
    <row r="2864">
      <c r="B2864" s="309"/>
      <c r="C2864" s="309"/>
      <c r="I2864" s="309"/>
      <c r="J2864" s="309"/>
    </row>
    <row r="2865">
      <c r="B2865" s="309"/>
      <c r="C2865" s="309"/>
      <c r="I2865" s="309"/>
      <c r="J2865" s="309"/>
    </row>
    <row r="2866">
      <c r="B2866" s="309"/>
      <c r="C2866" s="309"/>
      <c r="I2866" s="309"/>
      <c r="J2866" s="309"/>
    </row>
    <row r="2867">
      <c r="B2867" s="309"/>
      <c r="C2867" s="309"/>
      <c r="I2867" s="309"/>
      <c r="J2867" s="309"/>
    </row>
    <row r="2868">
      <c r="B2868" s="309"/>
      <c r="C2868" s="309"/>
      <c r="I2868" s="309"/>
      <c r="J2868" s="309"/>
    </row>
    <row r="2869">
      <c r="B2869" s="309"/>
      <c r="C2869" s="309"/>
      <c r="I2869" s="309"/>
      <c r="J2869" s="309"/>
    </row>
    <row r="2870">
      <c r="B2870" s="309"/>
      <c r="C2870" s="309"/>
      <c r="I2870" s="309"/>
      <c r="J2870" s="309"/>
    </row>
    <row r="2871">
      <c r="B2871" s="309"/>
      <c r="C2871" s="309"/>
      <c r="I2871" s="309"/>
      <c r="J2871" s="309"/>
    </row>
    <row r="2872">
      <c r="B2872" s="309"/>
      <c r="C2872" s="309"/>
      <c r="I2872" s="309"/>
      <c r="J2872" s="309"/>
    </row>
    <row r="2873">
      <c r="B2873" s="309"/>
      <c r="C2873" s="309"/>
      <c r="I2873" s="309"/>
      <c r="J2873" s="309"/>
    </row>
    <row r="2874">
      <c r="B2874" s="309"/>
      <c r="C2874" s="309"/>
      <c r="I2874" s="309"/>
      <c r="J2874" s="309"/>
    </row>
    <row r="2875">
      <c r="B2875" s="309"/>
      <c r="C2875" s="309"/>
      <c r="I2875" s="309"/>
      <c r="J2875" s="309"/>
    </row>
    <row r="2876">
      <c r="B2876" s="309"/>
      <c r="C2876" s="309"/>
      <c r="I2876" s="309"/>
      <c r="J2876" s="309"/>
    </row>
    <row r="2877">
      <c r="B2877" s="309"/>
      <c r="C2877" s="309"/>
      <c r="I2877" s="309"/>
      <c r="J2877" s="309"/>
    </row>
    <row r="2878">
      <c r="B2878" s="309"/>
      <c r="C2878" s="309"/>
      <c r="I2878" s="309"/>
      <c r="J2878" s="309"/>
    </row>
    <row r="2879">
      <c r="B2879" s="309"/>
      <c r="C2879" s="309"/>
      <c r="I2879" s="309"/>
      <c r="J2879" s="309"/>
    </row>
    <row r="2880">
      <c r="B2880" s="309"/>
      <c r="C2880" s="309"/>
      <c r="I2880" s="309"/>
      <c r="J2880" s="309"/>
    </row>
    <row r="2881">
      <c r="B2881" s="309"/>
      <c r="C2881" s="309"/>
      <c r="I2881" s="309"/>
      <c r="J2881" s="309"/>
    </row>
    <row r="2882">
      <c r="B2882" s="309"/>
      <c r="C2882" s="309"/>
      <c r="I2882" s="309"/>
      <c r="J2882" s="309"/>
    </row>
    <row r="2883">
      <c r="B2883" s="309"/>
      <c r="C2883" s="309"/>
      <c r="I2883" s="309"/>
      <c r="J2883" s="309"/>
    </row>
    <row r="2884">
      <c r="B2884" s="309"/>
      <c r="C2884" s="309"/>
      <c r="I2884" s="309"/>
      <c r="J2884" s="309"/>
    </row>
    <row r="2885">
      <c r="B2885" s="309"/>
      <c r="C2885" s="309"/>
      <c r="I2885" s="309"/>
      <c r="J2885" s="309"/>
    </row>
    <row r="2886">
      <c r="B2886" s="309"/>
      <c r="C2886" s="309"/>
      <c r="I2886" s="309"/>
      <c r="J2886" s="309"/>
    </row>
    <row r="2887">
      <c r="B2887" s="309"/>
      <c r="C2887" s="309"/>
      <c r="I2887" s="309"/>
      <c r="J2887" s="309"/>
    </row>
    <row r="2888">
      <c r="B2888" s="309"/>
      <c r="C2888" s="309"/>
      <c r="I2888" s="309"/>
      <c r="J2888" s="309"/>
    </row>
    <row r="2889">
      <c r="B2889" s="309"/>
      <c r="C2889" s="309"/>
      <c r="I2889" s="309"/>
      <c r="J2889" s="309"/>
    </row>
    <row r="2890">
      <c r="B2890" s="309"/>
      <c r="C2890" s="309"/>
      <c r="I2890" s="309"/>
      <c r="J2890" s="309"/>
    </row>
    <row r="2891">
      <c r="B2891" s="309"/>
      <c r="C2891" s="309"/>
      <c r="I2891" s="309"/>
      <c r="J2891" s="309"/>
    </row>
    <row r="2892">
      <c r="B2892" s="309"/>
      <c r="C2892" s="309"/>
      <c r="I2892" s="309"/>
      <c r="J2892" s="309"/>
    </row>
    <row r="2893">
      <c r="B2893" s="309"/>
      <c r="C2893" s="309"/>
      <c r="I2893" s="309"/>
      <c r="J2893" s="309"/>
    </row>
    <row r="2894">
      <c r="B2894" s="309"/>
      <c r="C2894" s="309"/>
      <c r="I2894" s="309"/>
      <c r="J2894" s="309"/>
    </row>
    <row r="2895">
      <c r="B2895" s="309"/>
      <c r="C2895" s="309"/>
      <c r="I2895" s="309"/>
      <c r="J2895" s="309"/>
    </row>
    <row r="2896">
      <c r="B2896" s="309"/>
      <c r="C2896" s="309"/>
      <c r="I2896" s="309"/>
      <c r="J2896" s="309"/>
    </row>
    <row r="2897">
      <c r="B2897" s="309"/>
      <c r="C2897" s="309"/>
      <c r="I2897" s="309"/>
      <c r="J2897" s="309"/>
    </row>
    <row r="2898">
      <c r="B2898" s="309"/>
      <c r="C2898" s="309"/>
      <c r="I2898" s="309"/>
      <c r="J2898" s="309"/>
    </row>
    <row r="2899">
      <c r="B2899" s="309"/>
      <c r="C2899" s="309"/>
      <c r="I2899" s="309"/>
      <c r="J2899" s="309"/>
    </row>
    <row r="2900">
      <c r="B2900" s="309"/>
      <c r="C2900" s="309"/>
      <c r="I2900" s="309"/>
      <c r="J2900" s="309"/>
    </row>
    <row r="2901">
      <c r="B2901" s="309"/>
      <c r="C2901" s="309"/>
      <c r="I2901" s="309"/>
      <c r="J2901" s="309"/>
    </row>
    <row r="2902">
      <c r="B2902" s="309"/>
      <c r="C2902" s="309"/>
      <c r="I2902" s="309"/>
      <c r="J2902" s="309"/>
    </row>
    <row r="2903">
      <c r="B2903" s="309"/>
      <c r="C2903" s="309"/>
      <c r="I2903" s="309"/>
      <c r="J2903" s="309"/>
    </row>
    <row r="2904">
      <c r="B2904" s="309"/>
      <c r="C2904" s="309"/>
      <c r="I2904" s="309"/>
      <c r="J2904" s="309"/>
    </row>
    <row r="2905">
      <c r="B2905" s="309"/>
      <c r="C2905" s="309"/>
      <c r="I2905" s="309"/>
      <c r="J2905" s="309"/>
    </row>
    <row r="2906">
      <c r="B2906" s="309"/>
      <c r="C2906" s="309"/>
      <c r="I2906" s="309"/>
      <c r="J2906" s="309"/>
    </row>
    <row r="2907">
      <c r="B2907" s="309"/>
      <c r="C2907" s="309"/>
      <c r="I2907" s="309"/>
      <c r="J2907" s="309"/>
    </row>
    <row r="2908">
      <c r="B2908" s="309"/>
      <c r="C2908" s="309"/>
      <c r="I2908" s="309"/>
      <c r="J2908" s="309"/>
    </row>
    <row r="2909">
      <c r="B2909" s="309"/>
      <c r="C2909" s="309"/>
      <c r="I2909" s="309"/>
      <c r="J2909" s="309"/>
    </row>
    <row r="2910">
      <c r="B2910" s="309"/>
      <c r="C2910" s="309"/>
      <c r="I2910" s="309"/>
      <c r="J2910" s="309"/>
    </row>
    <row r="2911">
      <c r="B2911" s="309"/>
      <c r="C2911" s="309"/>
      <c r="I2911" s="309"/>
      <c r="J2911" s="309"/>
    </row>
    <row r="2912">
      <c r="B2912" s="309"/>
      <c r="C2912" s="309"/>
      <c r="I2912" s="309"/>
      <c r="J2912" s="309"/>
    </row>
    <row r="2913">
      <c r="B2913" s="309"/>
      <c r="C2913" s="309"/>
      <c r="I2913" s="309"/>
      <c r="J2913" s="309"/>
    </row>
    <row r="2914">
      <c r="B2914" s="309"/>
      <c r="C2914" s="309"/>
      <c r="I2914" s="309"/>
      <c r="J2914" s="309"/>
    </row>
    <row r="2915">
      <c r="B2915" s="309"/>
      <c r="C2915" s="309"/>
      <c r="I2915" s="309"/>
      <c r="J2915" s="309"/>
    </row>
    <row r="2916">
      <c r="B2916" s="309"/>
      <c r="C2916" s="309"/>
      <c r="I2916" s="309"/>
      <c r="J2916" s="309"/>
    </row>
    <row r="2917">
      <c r="B2917" s="309"/>
      <c r="C2917" s="309"/>
      <c r="I2917" s="309"/>
      <c r="J2917" s="309"/>
    </row>
    <row r="2918">
      <c r="B2918" s="309"/>
      <c r="C2918" s="309"/>
      <c r="I2918" s="309"/>
      <c r="J2918" s="309"/>
    </row>
    <row r="2919">
      <c r="B2919" s="309"/>
      <c r="C2919" s="309"/>
      <c r="I2919" s="309"/>
      <c r="J2919" s="309"/>
    </row>
    <row r="2920">
      <c r="B2920" s="309"/>
      <c r="C2920" s="309"/>
      <c r="I2920" s="309"/>
      <c r="J2920" s="309"/>
    </row>
    <row r="2921">
      <c r="B2921" s="309"/>
      <c r="C2921" s="309"/>
      <c r="I2921" s="309"/>
      <c r="J2921" s="309"/>
    </row>
    <row r="2922">
      <c r="B2922" s="309"/>
      <c r="C2922" s="309"/>
      <c r="I2922" s="309"/>
      <c r="J2922" s="309"/>
    </row>
    <row r="2923">
      <c r="B2923" s="309"/>
      <c r="C2923" s="309"/>
      <c r="I2923" s="309"/>
      <c r="J2923" s="309"/>
    </row>
    <row r="2924">
      <c r="B2924" s="309"/>
      <c r="C2924" s="309"/>
      <c r="I2924" s="309"/>
      <c r="J2924" s="309"/>
    </row>
    <row r="2925">
      <c r="B2925" s="309"/>
      <c r="C2925" s="309"/>
      <c r="I2925" s="309"/>
      <c r="J2925" s="309"/>
    </row>
    <row r="2926">
      <c r="B2926" s="309"/>
      <c r="C2926" s="309"/>
      <c r="I2926" s="309"/>
      <c r="J2926" s="309"/>
    </row>
    <row r="2927">
      <c r="B2927" s="309"/>
      <c r="C2927" s="309"/>
      <c r="I2927" s="309"/>
      <c r="J2927" s="309"/>
    </row>
    <row r="2928">
      <c r="B2928" s="309"/>
      <c r="C2928" s="309"/>
      <c r="I2928" s="309"/>
      <c r="J2928" s="309"/>
    </row>
    <row r="2929">
      <c r="B2929" s="309"/>
      <c r="C2929" s="309"/>
      <c r="I2929" s="309"/>
      <c r="J2929" s="309"/>
    </row>
    <row r="2930">
      <c r="B2930" s="309"/>
      <c r="C2930" s="309"/>
      <c r="I2930" s="309"/>
      <c r="J2930" s="309"/>
    </row>
    <row r="2931">
      <c r="B2931" s="309"/>
      <c r="C2931" s="309"/>
      <c r="I2931" s="309"/>
      <c r="J2931" s="309"/>
    </row>
    <row r="2932">
      <c r="B2932" s="309"/>
      <c r="C2932" s="309"/>
      <c r="I2932" s="309"/>
      <c r="J2932" s="309"/>
    </row>
    <row r="2933">
      <c r="B2933" s="309"/>
      <c r="C2933" s="309"/>
      <c r="I2933" s="309"/>
      <c r="J2933" s="309"/>
    </row>
    <row r="2934">
      <c r="B2934" s="309"/>
      <c r="C2934" s="309"/>
      <c r="I2934" s="309"/>
      <c r="J2934" s="309"/>
    </row>
    <row r="2935">
      <c r="B2935" s="309"/>
      <c r="C2935" s="309"/>
      <c r="I2935" s="309"/>
      <c r="J2935" s="309"/>
    </row>
    <row r="2936">
      <c r="B2936" s="309"/>
      <c r="C2936" s="309"/>
      <c r="I2936" s="309"/>
      <c r="J2936" s="309"/>
    </row>
    <row r="2937">
      <c r="B2937" s="309"/>
      <c r="C2937" s="309"/>
      <c r="I2937" s="309"/>
      <c r="J2937" s="309"/>
    </row>
    <row r="2938">
      <c r="B2938" s="309"/>
      <c r="C2938" s="309"/>
      <c r="I2938" s="309"/>
      <c r="J2938" s="309"/>
    </row>
    <row r="2939">
      <c r="B2939" s="309"/>
      <c r="C2939" s="309"/>
      <c r="I2939" s="309"/>
      <c r="J2939" s="309"/>
    </row>
    <row r="2940">
      <c r="B2940" s="309"/>
      <c r="C2940" s="309"/>
      <c r="I2940" s="309"/>
      <c r="J2940" s="309"/>
    </row>
    <row r="2941">
      <c r="B2941" s="309"/>
      <c r="C2941" s="309"/>
      <c r="I2941" s="309"/>
      <c r="J2941" s="309"/>
    </row>
    <row r="2942">
      <c r="B2942" s="309"/>
      <c r="C2942" s="309"/>
      <c r="I2942" s="309"/>
      <c r="J2942" s="309"/>
    </row>
    <row r="2943">
      <c r="B2943" s="309"/>
      <c r="C2943" s="309"/>
      <c r="I2943" s="309"/>
      <c r="J2943" s="309"/>
    </row>
    <row r="2944">
      <c r="B2944" s="309"/>
      <c r="C2944" s="309"/>
      <c r="I2944" s="309"/>
      <c r="J2944" s="309"/>
    </row>
    <row r="2945">
      <c r="B2945" s="309"/>
      <c r="C2945" s="309"/>
      <c r="I2945" s="309"/>
      <c r="J2945" s="309"/>
    </row>
    <row r="2946">
      <c r="B2946" s="309"/>
      <c r="C2946" s="309"/>
      <c r="I2946" s="309"/>
      <c r="J2946" s="309"/>
    </row>
    <row r="2947">
      <c r="B2947" s="309"/>
      <c r="C2947" s="309"/>
      <c r="I2947" s="309"/>
      <c r="J2947" s="309"/>
    </row>
    <row r="2948">
      <c r="B2948" s="309"/>
      <c r="C2948" s="309"/>
      <c r="I2948" s="309"/>
      <c r="J2948" s="309"/>
    </row>
    <row r="2949">
      <c r="B2949" s="309"/>
      <c r="C2949" s="309"/>
      <c r="I2949" s="309"/>
      <c r="J2949" s="309"/>
    </row>
    <row r="2950">
      <c r="B2950" s="309"/>
      <c r="C2950" s="309"/>
      <c r="I2950" s="309"/>
      <c r="J2950" s="309"/>
    </row>
    <row r="2951">
      <c r="B2951" s="309"/>
      <c r="C2951" s="309"/>
      <c r="I2951" s="309"/>
      <c r="J2951" s="309"/>
    </row>
    <row r="2952">
      <c r="B2952" s="309"/>
      <c r="C2952" s="309"/>
      <c r="I2952" s="309"/>
      <c r="J2952" s="309"/>
    </row>
    <row r="2953">
      <c r="B2953" s="309"/>
      <c r="C2953" s="309"/>
      <c r="I2953" s="309"/>
      <c r="J2953" s="309"/>
    </row>
    <row r="2954">
      <c r="B2954" s="309"/>
      <c r="C2954" s="309"/>
      <c r="I2954" s="309"/>
      <c r="J2954" s="309"/>
    </row>
    <row r="2955">
      <c r="B2955" s="309"/>
      <c r="C2955" s="309"/>
      <c r="I2955" s="309"/>
      <c r="J2955" s="309"/>
    </row>
    <row r="2956">
      <c r="B2956" s="309"/>
      <c r="C2956" s="309"/>
      <c r="I2956" s="309"/>
      <c r="J2956" s="309"/>
    </row>
    <row r="2957">
      <c r="B2957" s="309"/>
      <c r="C2957" s="309"/>
      <c r="I2957" s="309"/>
      <c r="J2957" s="309"/>
    </row>
    <row r="2958">
      <c r="B2958" s="309"/>
      <c r="C2958" s="309"/>
      <c r="I2958" s="309"/>
      <c r="J2958" s="309"/>
    </row>
    <row r="2959">
      <c r="B2959" s="309"/>
      <c r="C2959" s="309"/>
      <c r="I2959" s="309"/>
      <c r="J2959" s="309"/>
    </row>
    <row r="2960">
      <c r="B2960" s="309"/>
      <c r="C2960" s="309"/>
      <c r="I2960" s="309"/>
      <c r="J2960" s="309"/>
    </row>
    <row r="2961">
      <c r="B2961" s="309"/>
      <c r="C2961" s="309"/>
      <c r="I2961" s="309"/>
      <c r="J2961" s="309"/>
    </row>
    <row r="2962">
      <c r="B2962" s="309"/>
      <c r="C2962" s="309"/>
      <c r="I2962" s="309"/>
      <c r="J2962" s="309"/>
    </row>
    <row r="2963">
      <c r="B2963" s="309"/>
      <c r="C2963" s="309"/>
      <c r="I2963" s="309"/>
      <c r="J2963" s="309"/>
    </row>
    <row r="2964">
      <c r="B2964" s="309"/>
      <c r="C2964" s="309"/>
      <c r="I2964" s="309"/>
      <c r="J2964" s="309"/>
    </row>
    <row r="2965">
      <c r="B2965" s="309"/>
      <c r="C2965" s="309"/>
      <c r="I2965" s="309"/>
      <c r="J2965" s="309"/>
    </row>
    <row r="2966">
      <c r="B2966" s="309"/>
      <c r="C2966" s="309"/>
      <c r="I2966" s="309"/>
      <c r="J2966" s="309"/>
    </row>
    <row r="2967">
      <c r="B2967" s="309"/>
      <c r="C2967" s="309"/>
      <c r="I2967" s="309"/>
      <c r="J2967" s="309"/>
    </row>
    <row r="2968">
      <c r="B2968" s="309"/>
      <c r="C2968" s="309"/>
      <c r="I2968" s="309"/>
      <c r="J2968" s="309"/>
    </row>
    <row r="2969">
      <c r="B2969" s="309"/>
      <c r="C2969" s="309"/>
      <c r="I2969" s="309"/>
      <c r="J2969" s="309"/>
    </row>
    <row r="2970">
      <c r="B2970" s="309"/>
      <c r="C2970" s="309"/>
      <c r="I2970" s="309"/>
      <c r="J2970" s="309"/>
    </row>
    <row r="2971">
      <c r="B2971" s="309"/>
      <c r="C2971" s="309"/>
      <c r="I2971" s="309"/>
      <c r="J2971" s="309"/>
    </row>
    <row r="2972">
      <c r="B2972" s="309"/>
      <c r="C2972" s="309"/>
      <c r="I2972" s="309"/>
      <c r="J2972" s="309"/>
    </row>
    <row r="2973">
      <c r="B2973" s="309"/>
      <c r="C2973" s="309"/>
      <c r="I2973" s="309"/>
      <c r="J2973" s="309"/>
    </row>
    <row r="2974">
      <c r="B2974" s="309"/>
      <c r="C2974" s="309"/>
      <c r="I2974" s="309"/>
      <c r="J2974" s="309"/>
    </row>
    <row r="2975">
      <c r="B2975" s="309"/>
      <c r="C2975" s="309"/>
      <c r="I2975" s="309"/>
      <c r="J2975" s="309"/>
    </row>
    <row r="2976">
      <c r="B2976" s="309"/>
      <c r="C2976" s="309"/>
      <c r="I2976" s="309"/>
      <c r="J2976" s="309"/>
    </row>
    <row r="2977">
      <c r="B2977" s="309"/>
      <c r="C2977" s="309"/>
      <c r="I2977" s="309"/>
      <c r="J2977" s="309"/>
    </row>
    <row r="2978">
      <c r="B2978" s="309"/>
      <c r="C2978" s="309"/>
      <c r="I2978" s="309"/>
      <c r="J2978" s="309"/>
    </row>
    <row r="2979">
      <c r="B2979" s="309"/>
      <c r="C2979" s="309"/>
      <c r="I2979" s="309"/>
      <c r="J2979" s="309"/>
    </row>
    <row r="2980">
      <c r="B2980" s="309"/>
      <c r="C2980" s="309"/>
      <c r="I2980" s="309"/>
      <c r="J2980" s="309"/>
    </row>
    <row r="2981">
      <c r="B2981" s="309"/>
      <c r="C2981" s="309"/>
      <c r="I2981" s="309"/>
      <c r="J2981" s="309"/>
    </row>
    <row r="2982">
      <c r="B2982" s="309"/>
      <c r="C2982" s="309"/>
      <c r="I2982" s="309"/>
      <c r="J2982" s="309"/>
    </row>
    <row r="2983">
      <c r="B2983" s="309"/>
      <c r="C2983" s="309"/>
      <c r="I2983" s="309"/>
      <c r="J2983" s="309"/>
    </row>
    <row r="2984">
      <c r="B2984" s="309"/>
      <c r="C2984" s="309"/>
      <c r="I2984" s="309"/>
      <c r="J2984" s="309"/>
    </row>
    <row r="2985">
      <c r="B2985" s="309"/>
      <c r="C2985" s="309"/>
      <c r="I2985" s="309"/>
      <c r="J2985" s="309"/>
    </row>
    <row r="2986">
      <c r="B2986" s="309"/>
      <c r="C2986" s="309"/>
      <c r="I2986" s="309"/>
      <c r="J2986" s="309"/>
    </row>
    <row r="2987">
      <c r="B2987" s="309"/>
      <c r="C2987" s="309"/>
      <c r="I2987" s="309"/>
      <c r="J2987" s="309"/>
    </row>
    <row r="2988">
      <c r="B2988" s="309"/>
      <c r="C2988" s="309"/>
      <c r="I2988" s="309"/>
      <c r="J2988" s="309"/>
    </row>
    <row r="2989">
      <c r="B2989" s="309"/>
      <c r="C2989" s="309"/>
      <c r="I2989" s="309"/>
      <c r="J2989" s="309"/>
    </row>
    <row r="2990">
      <c r="B2990" s="309"/>
      <c r="C2990" s="309"/>
      <c r="I2990" s="309"/>
      <c r="J2990" s="309"/>
    </row>
    <row r="2991">
      <c r="B2991" s="309"/>
      <c r="C2991" s="309"/>
      <c r="I2991" s="309"/>
      <c r="J2991" s="309"/>
    </row>
    <row r="2992">
      <c r="B2992" s="309"/>
      <c r="C2992" s="309"/>
      <c r="I2992" s="309"/>
      <c r="J2992" s="309"/>
    </row>
    <row r="2993">
      <c r="B2993" s="309"/>
      <c r="C2993" s="309"/>
      <c r="I2993" s="309"/>
      <c r="J2993" s="309"/>
    </row>
    <row r="2994">
      <c r="B2994" s="309"/>
      <c r="C2994" s="309"/>
      <c r="I2994" s="309"/>
      <c r="J2994" s="309"/>
    </row>
    <row r="2995">
      <c r="B2995" s="309"/>
      <c r="C2995" s="309"/>
      <c r="I2995" s="309"/>
      <c r="J2995" s="309"/>
    </row>
    <row r="2996">
      <c r="B2996" s="309"/>
      <c r="C2996" s="309"/>
      <c r="I2996" s="309"/>
      <c r="J2996" s="309"/>
    </row>
    <row r="2997">
      <c r="B2997" s="309"/>
      <c r="C2997" s="309"/>
      <c r="I2997" s="309"/>
      <c r="J2997" s="309"/>
    </row>
    <row r="2998">
      <c r="B2998" s="309"/>
      <c r="C2998" s="309"/>
      <c r="I2998" s="309"/>
      <c r="J2998" s="309"/>
    </row>
    <row r="2999">
      <c r="B2999" s="309"/>
      <c r="C2999" s="309"/>
      <c r="I2999" s="309"/>
      <c r="J2999" s="309"/>
    </row>
    <row r="3000">
      <c r="B3000" s="309"/>
      <c r="C3000" s="309"/>
      <c r="I3000" s="309"/>
      <c r="J3000" s="309"/>
    </row>
    <row r="3001">
      <c r="B3001" s="309"/>
      <c r="C3001" s="309"/>
      <c r="I3001" s="309"/>
      <c r="J3001" s="309"/>
    </row>
    <row r="3002">
      <c r="B3002" s="309"/>
      <c r="C3002" s="309"/>
      <c r="I3002" s="309"/>
      <c r="J3002" s="309"/>
    </row>
    <row r="3003">
      <c r="B3003" s="309"/>
      <c r="C3003" s="309"/>
      <c r="I3003" s="309"/>
      <c r="J3003" s="309"/>
    </row>
    <row r="3004">
      <c r="B3004" s="309"/>
      <c r="C3004" s="309"/>
      <c r="I3004" s="309"/>
      <c r="J3004" s="309"/>
    </row>
    <row r="3005">
      <c r="B3005" s="309"/>
      <c r="C3005" s="309"/>
      <c r="I3005" s="309"/>
      <c r="J3005" s="309"/>
    </row>
    <row r="3006">
      <c r="B3006" s="309"/>
      <c r="C3006" s="309"/>
      <c r="I3006" s="309"/>
      <c r="J3006" s="309"/>
    </row>
    <row r="3007">
      <c r="B3007" s="309"/>
      <c r="C3007" s="309"/>
      <c r="I3007" s="309"/>
      <c r="J3007" s="309"/>
    </row>
    <row r="3008">
      <c r="B3008" s="309"/>
      <c r="C3008" s="309"/>
      <c r="I3008" s="309"/>
      <c r="J3008" s="309"/>
    </row>
    <row r="3009">
      <c r="B3009" s="309"/>
      <c r="C3009" s="309"/>
      <c r="I3009" s="309"/>
      <c r="J3009" s="309"/>
    </row>
    <row r="3010">
      <c r="B3010" s="309"/>
      <c r="C3010" s="309"/>
      <c r="I3010" s="309"/>
      <c r="J3010" s="309"/>
    </row>
    <row r="3011">
      <c r="B3011" s="309"/>
      <c r="C3011" s="309"/>
      <c r="I3011" s="309"/>
      <c r="J3011" s="309"/>
    </row>
    <row r="3012">
      <c r="B3012" s="309"/>
      <c r="C3012" s="309"/>
      <c r="I3012" s="309"/>
      <c r="J3012" s="309"/>
    </row>
    <row r="3013">
      <c r="B3013" s="309"/>
      <c r="C3013" s="309"/>
      <c r="I3013" s="309"/>
      <c r="J3013" s="309"/>
    </row>
    <row r="3014">
      <c r="B3014" s="309"/>
      <c r="C3014" s="309"/>
      <c r="I3014" s="309"/>
      <c r="J3014" s="309"/>
    </row>
    <row r="3015">
      <c r="B3015" s="309"/>
      <c r="C3015" s="309"/>
      <c r="I3015" s="309"/>
      <c r="J3015" s="309"/>
    </row>
    <row r="3016">
      <c r="B3016" s="309"/>
      <c r="C3016" s="309"/>
      <c r="I3016" s="309"/>
      <c r="J3016" s="309"/>
    </row>
    <row r="3017">
      <c r="B3017" s="309"/>
      <c r="C3017" s="309"/>
      <c r="I3017" s="309"/>
      <c r="J3017" s="309"/>
    </row>
    <row r="3018">
      <c r="B3018" s="309"/>
      <c r="C3018" s="309"/>
      <c r="I3018" s="309"/>
      <c r="J3018" s="309"/>
    </row>
    <row r="3019">
      <c r="B3019" s="309"/>
      <c r="C3019" s="309"/>
      <c r="I3019" s="309"/>
      <c r="J3019" s="309"/>
    </row>
    <row r="3020">
      <c r="B3020" s="309"/>
      <c r="C3020" s="309"/>
      <c r="I3020" s="309"/>
      <c r="J3020" s="309"/>
    </row>
    <row r="3021">
      <c r="B3021" s="309"/>
      <c r="C3021" s="309"/>
      <c r="I3021" s="309"/>
      <c r="J3021" s="309"/>
    </row>
    <row r="3022">
      <c r="B3022" s="309"/>
      <c r="C3022" s="309"/>
      <c r="I3022" s="309"/>
      <c r="J3022" s="309"/>
    </row>
    <row r="3023">
      <c r="B3023" s="309"/>
      <c r="C3023" s="309"/>
      <c r="I3023" s="309"/>
      <c r="J3023" s="309"/>
    </row>
    <row r="3024">
      <c r="B3024" s="309"/>
      <c r="C3024" s="309"/>
      <c r="I3024" s="309"/>
      <c r="J3024" s="309"/>
    </row>
    <row r="3025">
      <c r="B3025" s="309"/>
      <c r="C3025" s="309"/>
      <c r="I3025" s="309"/>
      <c r="J3025" s="309"/>
    </row>
    <row r="3026">
      <c r="B3026" s="309"/>
      <c r="C3026" s="309"/>
      <c r="I3026" s="309"/>
      <c r="J3026" s="309"/>
    </row>
    <row r="3027">
      <c r="B3027" s="309"/>
      <c r="C3027" s="309"/>
      <c r="I3027" s="309"/>
      <c r="J3027" s="309"/>
    </row>
    <row r="3028">
      <c r="B3028" s="309"/>
      <c r="C3028" s="309"/>
      <c r="I3028" s="309"/>
      <c r="J3028" s="309"/>
    </row>
    <row r="3029">
      <c r="B3029" s="309"/>
      <c r="C3029" s="309"/>
      <c r="I3029" s="309"/>
      <c r="J3029" s="309"/>
    </row>
    <row r="3030">
      <c r="B3030" s="309"/>
      <c r="C3030" s="309"/>
      <c r="I3030" s="309"/>
      <c r="J3030" s="309"/>
    </row>
    <row r="3031">
      <c r="B3031" s="309"/>
      <c r="C3031" s="309"/>
      <c r="I3031" s="309"/>
      <c r="J3031" s="309"/>
    </row>
    <row r="3032">
      <c r="B3032" s="309"/>
      <c r="C3032" s="309"/>
      <c r="I3032" s="309"/>
      <c r="J3032" s="309"/>
    </row>
    <row r="3033">
      <c r="B3033" s="309"/>
      <c r="C3033" s="309"/>
      <c r="I3033" s="309"/>
      <c r="J3033" s="309"/>
    </row>
    <row r="3034">
      <c r="B3034" s="309"/>
      <c r="C3034" s="309"/>
      <c r="I3034" s="309"/>
      <c r="J3034" s="309"/>
    </row>
    <row r="3035">
      <c r="B3035" s="309"/>
      <c r="C3035" s="309"/>
      <c r="I3035" s="309"/>
      <c r="J3035" s="309"/>
    </row>
    <row r="3036">
      <c r="B3036" s="309"/>
      <c r="C3036" s="309"/>
      <c r="I3036" s="309"/>
      <c r="J3036" s="309"/>
    </row>
    <row r="3037">
      <c r="B3037" s="309"/>
      <c r="C3037" s="309"/>
      <c r="I3037" s="309"/>
      <c r="J3037" s="309"/>
    </row>
    <row r="3038">
      <c r="B3038" s="309"/>
      <c r="C3038" s="309"/>
      <c r="I3038" s="309"/>
      <c r="J3038" s="309"/>
    </row>
    <row r="3039">
      <c r="B3039" s="309"/>
      <c r="C3039" s="309"/>
      <c r="I3039" s="309"/>
      <c r="J3039" s="309"/>
    </row>
    <row r="3040">
      <c r="B3040" s="309"/>
      <c r="C3040" s="309"/>
      <c r="I3040" s="309"/>
      <c r="J3040" s="309"/>
    </row>
    <row r="3041">
      <c r="B3041" s="309"/>
      <c r="C3041" s="309"/>
      <c r="I3041" s="309"/>
      <c r="J3041" s="309"/>
    </row>
    <row r="3042">
      <c r="B3042" s="309"/>
      <c r="C3042" s="309"/>
      <c r="I3042" s="309"/>
      <c r="J3042" s="309"/>
    </row>
    <row r="3043">
      <c r="B3043" s="309"/>
      <c r="C3043" s="309"/>
      <c r="I3043" s="309"/>
      <c r="J3043" s="309"/>
    </row>
    <row r="3044">
      <c r="B3044" s="309"/>
      <c r="C3044" s="309"/>
      <c r="I3044" s="309"/>
      <c r="J3044" s="309"/>
    </row>
    <row r="3045">
      <c r="B3045" s="309"/>
      <c r="C3045" s="309"/>
      <c r="I3045" s="309"/>
      <c r="J3045" s="309"/>
    </row>
    <row r="3046">
      <c r="B3046" s="309"/>
      <c r="C3046" s="309"/>
      <c r="I3046" s="309"/>
      <c r="J3046" s="309"/>
    </row>
    <row r="3047">
      <c r="B3047" s="309"/>
      <c r="C3047" s="309"/>
      <c r="I3047" s="309"/>
      <c r="J3047" s="309"/>
    </row>
    <row r="3048">
      <c r="B3048" s="309"/>
      <c r="C3048" s="309"/>
      <c r="I3048" s="309"/>
      <c r="J3048" s="309"/>
    </row>
    <row r="3049">
      <c r="B3049" s="309"/>
      <c r="C3049" s="309"/>
      <c r="I3049" s="309"/>
      <c r="J3049" s="309"/>
    </row>
    <row r="3050">
      <c r="B3050" s="309"/>
      <c r="C3050" s="309"/>
      <c r="I3050" s="309"/>
      <c r="J3050" s="309"/>
    </row>
    <row r="3051">
      <c r="B3051" s="309"/>
      <c r="C3051" s="309"/>
      <c r="I3051" s="309"/>
      <c r="J3051" s="309"/>
    </row>
    <row r="3052">
      <c r="B3052" s="309"/>
      <c r="C3052" s="309"/>
      <c r="I3052" s="309"/>
      <c r="J3052" s="309"/>
    </row>
    <row r="3053">
      <c r="B3053" s="309"/>
      <c r="C3053" s="309"/>
      <c r="I3053" s="309"/>
      <c r="J3053" s="309"/>
    </row>
    <row r="3054">
      <c r="B3054" s="309"/>
      <c r="C3054" s="309"/>
      <c r="I3054" s="309"/>
      <c r="J3054" s="309"/>
    </row>
    <row r="3055">
      <c r="B3055" s="309"/>
      <c r="C3055" s="309"/>
      <c r="I3055" s="309"/>
      <c r="J3055" s="309"/>
    </row>
    <row r="3056">
      <c r="B3056" s="309"/>
      <c r="C3056" s="309"/>
      <c r="I3056" s="309"/>
      <c r="J3056" s="309"/>
    </row>
    <row r="3057">
      <c r="B3057" s="309"/>
      <c r="C3057" s="309"/>
      <c r="I3057" s="309"/>
      <c r="J3057" s="309"/>
    </row>
    <row r="3058">
      <c r="B3058" s="309"/>
      <c r="C3058" s="309"/>
      <c r="I3058" s="309"/>
      <c r="J3058" s="309"/>
    </row>
    <row r="3059">
      <c r="B3059" s="309"/>
      <c r="C3059" s="309"/>
      <c r="I3059" s="309"/>
      <c r="J3059" s="309"/>
    </row>
    <row r="3060">
      <c r="B3060" s="309"/>
      <c r="C3060" s="309"/>
      <c r="I3060" s="309"/>
      <c r="J3060" s="309"/>
    </row>
    <row r="3061">
      <c r="B3061" s="309"/>
      <c r="C3061" s="309"/>
      <c r="I3061" s="309"/>
      <c r="J3061" s="309"/>
    </row>
    <row r="3062">
      <c r="B3062" s="309"/>
      <c r="C3062" s="309"/>
      <c r="I3062" s="309"/>
      <c r="J3062" s="309"/>
    </row>
    <row r="3063">
      <c r="B3063" s="309"/>
      <c r="C3063" s="309"/>
      <c r="I3063" s="309"/>
      <c r="J3063" s="309"/>
    </row>
    <row r="3064">
      <c r="B3064" s="309"/>
      <c r="C3064" s="309"/>
      <c r="I3064" s="309"/>
      <c r="J3064" s="309"/>
    </row>
    <row r="3065">
      <c r="B3065" s="309"/>
      <c r="C3065" s="309"/>
      <c r="I3065" s="309"/>
      <c r="J3065" s="309"/>
    </row>
    <row r="3066">
      <c r="B3066" s="309"/>
      <c r="C3066" s="309"/>
      <c r="I3066" s="309"/>
      <c r="J3066" s="309"/>
    </row>
    <row r="3067">
      <c r="B3067" s="309"/>
      <c r="C3067" s="309"/>
      <c r="I3067" s="309"/>
      <c r="J3067" s="309"/>
    </row>
    <row r="3068">
      <c r="B3068" s="309"/>
      <c r="C3068" s="309"/>
      <c r="I3068" s="309"/>
      <c r="J3068" s="309"/>
    </row>
    <row r="3069">
      <c r="B3069" s="309"/>
      <c r="C3069" s="309"/>
      <c r="I3069" s="309"/>
      <c r="J3069" s="309"/>
    </row>
    <row r="3070">
      <c r="B3070" s="309"/>
      <c r="C3070" s="309"/>
      <c r="I3070" s="309"/>
      <c r="J3070" s="309"/>
    </row>
    <row r="3071">
      <c r="B3071" s="309"/>
      <c r="C3071" s="309"/>
      <c r="I3071" s="309"/>
      <c r="J3071" s="309"/>
    </row>
    <row r="3072">
      <c r="B3072" s="309"/>
      <c r="C3072" s="309"/>
      <c r="I3072" s="309"/>
      <c r="J3072" s="309"/>
    </row>
    <row r="3073">
      <c r="B3073" s="309"/>
      <c r="C3073" s="309"/>
      <c r="I3073" s="309"/>
      <c r="J3073" s="309"/>
    </row>
    <row r="3074">
      <c r="B3074" s="309"/>
      <c r="C3074" s="309"/>
      <c r="I3074" s="309"/>
      <c r="J3074" s="309"/>
    </row>
    <row r="3075">
      <c r="B3075" s="309"/>
      <c r="C3075" s="309"/>
      <c r="I3075" s="309"/>
      <c r="J3075" s="309"/>
    </row>
    <row r="3076">
      <c r="B3076" s="309"/>
      <c r="C3076" s="309"/>
      <c r="I3076" s="309"/>
      <c r="J3076" s="309"/>
    </row>
    <row r="3077">
      <c r="B3077" s="309"/>
      <c r="C3077" s="309"/>
      <c r="I3077" s="309"/>
      <c r="J3077" s="309"/>
    </row>
    <row r="3078">
      <c r="B3078" s="309"/>
      <c r="C3078" s="309"/>
      <c r="I3078" s="309"/>
      <c r="J3078" s="309"/>
    </row>
    <row r="3079">
      <c r="B3079" s="309"/>
      <c r="C3079" s="309"/>
      <c r="I3079" s="309"/>
      <c r="J3079" s="309"/>
    </row>
    <row r="3080">
      <c r="B3080" s="309"/>
      <c r="C3080" s="309"/>
      <c r="I3080" s="309"/>
      <c r="J3080" s="309"/>
    </row>
    <row r="3081">
      <c r="B3081" s="309"/>
      <c r="C3081" s="309"/>
      <c r="I3081" s="309"/>
      <c r="J3081" s="309"/>
    </row>
    <row r="3082">
      <c r="B3082" s="309"/>
      <c r="C3082" s="309"/>
      <c r="I3082" s="309"/>
      <c r="J3082" s="309"/>
    </row>
    <row r="3083">
      <c r="B3083" s="309"/>
      <c r="C3083" s="309"/>
      <c r="I3083" s="309"/>
      <c r="J3083" s="309"/>
    </row>
    <row r="3084">
      <c r="B3084" s="309"/>
      <c r="C3084" s="309"/>
      <c r="I3084" s="309"/>
      <c r="J3084" s="309"/>
    </row>
    <row r="3085">
      <c r="B3085" s="309"/>
      <c r="C3085" s="309"/>
      <c r="I3085" s="309"/>
      <c r="J3085" s="309"/>
    </row>
    <row r="3086">
      <c r="B3086" s="309"/>
      <c r="C3086" s="309"/>
      <c r="I3086" s="309"/>
      <c r="J3086" s="309"/>
    </row>
    <row r="3087">
      <c r="B3087" s="309"/>
      <c r="C3087" s="309"/>
      <c r="I3087" s="309"/>
      <c r="J3087" s="309"/>
    </row>
    <row r="3088">
      <c r="B3088" s="309"/>
      <c r="C3088" s="309"/>
      <c r="I3088" s="309"/>
      <c r="J3088" s="309"/>
    </row>
    <row r="3089">
      <c r="B3089" s="309"/>
      <c r="C3089" s="309"/>
      <c r="I3089" s="309"/>
      <c r="J3089" s="309"/>
    </row>
    <row r="3090">
      <c r="B3090" s="309"/>
      <c r="C3090" s="309"/>
      <c r="I3090" s="309"/>
      <c r="J3090" s="309"/>
    </row>
    <row r="3091">
      <c r="B3091" s="309"/>
      <c r="C3091" s="309"/>
      <c r="I3091" s="309"/>
      <c r="J3091" s="309"/>
    </row>
    <row r="3092">
      <c r="B3092" s="309"/>
      <c r="C3092" s="309"/>
      <c r="I3092" s="309"/>
      <c r="J3092" s="309"/>
    </row>
    <row r="3093">
      <c r="B3093" s="309"/>
      <c r="C3093" s="309"/>
      <c r="I3093" s="309"/>
      <c r="J3093" s="309"/>
    </row>
    <row r="3094">
      <c r="B3094" s="309"/>
      <c r="C3094" s="309"/>
      <c r="I3094" s="309"/>
      <c r="J3094" s="309"/>
    </row>
    <row r="3095">
      <c r="B3095" s="309"/>
      <c r="C3095" s="309"/>
      <c r="I3095" s="309"/>
      <c r="J3095" s="309"/>
    </row>
    <row r="3096">
      <c r="B3096" s="309"/>
      <c r="C3096" s="309"/>
      <c r="I3096" s="309"/>
      <c r="J3096" s="309"/>
    </row>
    <row r="3097">
      <c r="B3097" s="309"/>
      <c r="C3097" s="309"/>
      <c r="I3097" s="309"/>
      <c r="J3097" s="309"/>
    </row>
    <row r="3098">
      <c r="B3098" s="309"/>
      <c r="C3098" s="309"/>
      <c r="I3098" s="309"/>
      <c r="J3098" s="309"/>
    </row>
    <row r="3099">
      <c r="B3099" s="309"/>
      <c r="C3099" s="309"/>
      <c r="I3099" s="309"/>
      <c r="J3099" s="309"/>
    </row>
    <row r="3100">
      <c r="B3100" s="309"/>
      <c r="C3100" s="309"/>
      <c r="I3100" s="309"/>
      <c r="J3100" s="309"/>
    </row>
    <row r="3101">
      <c r="B3101" s="309"/>
      <c r="C3101" s="309"/>
      <c r="I3101" s="309"/>
      <c r="J3101" s="309"/>
    </row>
    <row r="3102">
      <c r="B3102" s="309"/>
      <c r="C3102" s="309"/>
      <c r="I3102" s="309"/>
      <c r="J3102" s="309"/>
    </row>
    <row r="3103">
      <c r="B3103" s="309"/>
      <c r="C3103" s="309"/>
      <c r="I3103" s="309"/>
      <c r="J3103" s="309"/>
    </row>
    <row r="3104">
      <c r="B3104" s="309"/>
      <c r="C3104" s="309"/>
      <c r="I3104" s="309"/>
      <c r="J3104" s="309"/>
    </row>
    <row r="3105">
      <c r="B3105" s="309"/>
      <c r="C3105" s="309"/>
      <c r="I3105" s="309"/>
      <c r="J3105" s="309"/>
    </row>
    <row r="3106">
      <c r="B3106" s="309"/>
      <c r="C3106" s="309"/>
      <c r="I3106" s="309"/>
      <c r="J3106" s="309"/>
    </row>
    <row r="3107">
      <c r="B3107" s="309"/>
      <c r="C3107" s="309"/>
      <c r="I3107" s="309"/>
      <c r="J3107" s="309"/>
    </row>
    <row r="3108">
      <c r="B3108" s="309"/>
      <c r="C3108" s="309"/>
      <c r="I3108" s="309"/>
      <c r="J3108" s="309"/>
    </row>
    <row r="3109">
      <c r="B3109" s="309"/>
      <c r="C3109" s="309"/>
      <c r="I3109" s="309"/>
      <c r="J3109" s="309"/>
    </row>
    <row r="3110">
      <c r="B3110" s="309"/>
      <c r="C3110" s="309"/>
      <c r="I3110" s="309"/>
      <c r="J3110" s="309"/>
    </row>
    <row r="3111">
      <c r="B3111" s="309"/>
      <c r="C3111" s="309"/>
      <c r="I3111" s="309"/>
      <c r="J3111" s="309"/>
    </row>
    <row r="3112">
      <c r="B3112" s="309"/>
      <c r="C3112" s="309"/>
      <c r="I3112" s="309"/>
      <c r="J3112" s="309"/>
    </row>
    <row r="3113">
      <c r="B3113" s="309"/>
      <c r="C3113" s="309"/>
      <c r="I3113" s="309"/>
      <c r="J3113" s="309"/>
    </row>
    <row r="3114">
      <c r="B3114" s="309"/>
      <c r="C3114" s="309"/>
      <c r="I3114" s="309"/>
      <c r="J3114" s="309"/>
    </row>
    <row r="3115">
      <c r="B3115" s="309"/>
      <c r="C3115" s="309"/>
      <c r="I3115" s="309"/>
      <c r="J3115" s="309"/>
    </row>
    <row r="3116">
      <c r="B3116" s="309"/>
      <c r="C3116" s="309"/>
      <c r="I3116" s="309"/>
      <c r="J3116" s="309"/>
    </row>
    <row r="3117">
      <c r="B3117" s="309"/>
      <c r="C3117" s="309"/>
      <c r="I3117" s="309"/>
      <c r="J3117" s="309"/>
    </row>
    <row r="3118">
      <c r="B3118" s="309"/>
      <c r="C3118" s="309"/>
      <c r="I3118" s="309"/>
      <c r="J3118" s="309"/>
    </row>
    <row r="3119">
      <c r="B3119" s="309"/>
      <c r="C3119" s="309"/>
      <c r="I3119" s="309"/>
      <c r="J3119" s="309"/>
    </row>
    <row r="3120">
      <c r="B3120" s="309"/>
      <c r="C3120" s="309"/>
      <c r="I3120" s="309"/>
      <c r="J3120" s="309"/>
    </row>
    <row r="3121">
      <c r="B3121" s="309"/>
      <c r="C3121" s="309"/>
      <c r="I3121" s="309"/>
      <c r="J3121" s="309"/>
    </row>
    <row r="3122">
      <c r="B3122" s="309"/>
      <c r="C3122" s="309"/>
      <c r="I3122" s="309"/>
      <c r="J3122" s="309"/>
    </row>
    <row r="3123">
      <c r="B3123" s="309"/>
      <c r="C3123" s="309"/>
      <c r="I3123" s="309"/>
      <c r="J3123" s="309"/>
    </row>
    <row r="3124">
      <c r="B3124" s="309"/>
      <c r="C3124" s="309"/>
      <c r="I3124" s="309"/>
      <c r="J3124" s="309"/>
    </row>
    <row r="3125">
      <c r="B3125" s="309"/>
      <c r="C3125" s="309"/>
      <c r="I3125" s="309"/>
      <c r="J3125" s="309"/>
    </row>
    <row r="3126">
      <c r="B3126" s="309"/>
      <c r="C3126" s="309"/>
      <c r="I3126" s="309"/>
      <c r="J3126" s="309"/>
    </row>
    <row r="3127">
      <c r="B3127" s="309"/>
      <c r="C3127" s="309"/>
      <c r="I3127" s="309"/>
      <c r="J3127" s="309"/>
    </row>
    <row r="3128">
      <c r="B3128" s="309"/>
      <c r="C3128" s="309"/>
      <c r="I3128" s="309"/>
      <c r="J3128" s="309"/>
    </row>
    <row r="3129">
      <c r="B3129" s="309"/>
      <c r="C3129" s="309"/>
      <c r="I3129" s="309"/>
      <c r="J3129" s="309"/>
    </row>
    <row r="3130">
      <c r="B3130" s="309"/>
      <c r="C3130" s="309"/>
      <c r="I3130" s="309"/>
      <c r="J3130" s="309"/>
    </row>
    <row r="3131">
      <c r="B3131" s="309"/>
      <c r="C3131" s="309"/>
      <c r="I3131" s="309"/>
      <c r="J3131" s="309"/>
    </row>
    <row r="3132">
      <c r="B3132" s="309"/>
      <c r="C3132" s="309"/>
      <c r="I3132" s="309"/>
      <c r="J3132" s="309"/>
    </row>
    <row r="3133">
      <c r="B3133" s="309"/>
      <c r="C3133" s="309"/>
      <c r="I3133" s="309"/>
      <c r="J3133" s="309"/>
    </row>
    <row r="3134">
      <c r="B3134" s="309"/>
      <c r="C3134" s="309"/>
      <c r="I3134" s="309"/>
      <c r="J3134" s="309"/>
    </row>
    <row r="3135">
      <c r="B3135" s="309"/>
      <c r="C3135" s="309"/>
      <c r="I3135" s="309"/>
      <c r="J3135" s="309"/>
    </row>
    <row r="3136">
      <c r="B3136" s="309"/>
      <c r="C3136" s="309"/>
      <c r="I3136" s="309"/>
      <c r="J3136" s="309"/>
    </row>
    <row r="3137">
      <c r="B3137" s="309"/>
      <c r="C3137" s="309"/>
      <c r="I3137" s="309"/>
      <c r="J3137" s="309"/>
    </row>
    <row r="3138">
      <c r="B3138" s="309"/>
      <c r="C3138" s="309"/>
      <c r="I3138" s="309"/>
      <c r="J3138" s="309"/>
    </row>
    <row r="3139">
      <c r="B3139" s="309"/>
      <c r="C3139" s="309"/>
      <c r="I3139" s="309"/>
      <c r="J3139" s="309"/>
    </row>
    <row r="3140">
      <c r="B3140" s="309"/>
      <c r="C3140" s="309"/>
      <c r="I3140" s="309"/>
      <c r="J3140" s="309"/>
    </row>
    <row r="3141">
      <c r="B3141" s="309"/>
      <c r="C3141" s="309"/>
      <c r="I3141" s="309"/>
      <c r="J3141" s="309"/>
    </row>
    <row r="3142">
      <c r="B3142" s="309"/>
      <c r="C3142" s="309"/>
      <c r="I3142" s="309"/>
      <c r="J3142" s="309"/>
    </row>
    <row r="3143">
      <c r="B3143" s="309"/>
      <c r="C3143" s="309"/>
      <c r="I3143" s="309"/>
      <c r="J3143" s="309"/>
    </row>
    <row r="3144">
      <c r="B3144" s="309"/>
      <c r="C3144" s="309"/>
      <c r="I3144" s="309"/>
      <c r="J3144" s="309"/>
    </row>
    <row r="3145">
      <c r="B3145" s="309"/>
      <c r="C3145" s="309"/>
      <c r="I3145" s="309"/>
      <c r="J3145" s="309"/>
    </row>
    <row r="3146">
      <c r="B3146" s="309"/>
      <c r="C3146" s="309"/>
      <c r="I3146" s="309"/>
      <c r="J3146" s="309"/>
    </row>
    <row r="3147">
      <c r="B3147" s="309"/>
      <c r="C3147" s="309"/>
      <c r="I3147" s="309"/>
      <c r="J3147" s="309"/>
    </row>
    <row r="3148">
      <c r="B3148" s="309"/>
      <c r="C3148" s="309"/>
      <c r="I3148" s="309"/>
      <c r="J3148" s="309"/>
    </row>
    <row r="3149">
      <c r="B3149" s="309"/>
      <c r="C3149" s="309"/>
      <c r="I3149" s="309"/>
      <c r="J3149" s="309"/>
    </row>
    <row r="3150">
      <c r="B3150" s="309"/>
      <c r="C3150" s="309"/>
      <c r="I3150" s="309"/>
      <c r="J3150" s="309"/>
    </row>
    <row r="3151">
      <c r="B3151" s="309"/>
      <c r="C3151" s="309"/>
      <c r="I3151" s="309"/>
      <c r="J3151" s="309"/>
    </row>
    <row r="3152">
      <c r="B3152" s="309"/>
      <c r="C3152" s="309"/>
      <c r="I3152" s="309"/>
      <c r="J3152" s="309"/>
    </row>
    <row r="3153">
      <c r="B3153" s="309"/>
      <c r="C3153" s="309"/>
      <c r="I3153" s="309"/>
      <c r="J3153" s="309"/>
    </row>
    <row r="3154">
      <c r="B3154" s="309"/>
      <c r="C3154" s="309"/>
      <c r="I3154" s="309"/>
      <c r="J3154" s="309"/>
    </row>
    <row r="3155">
      <c r="B3155" s="309"/>
      <c r="C3155" s="309"/>
      <c r="I3155" s="309"/>
      <c r="J3155" s="309"/>
    </row>
    <row r="3156">
      <c r="B3156" s="309"/>
      <c r="C3156" s="309"/>
      <c r="I3156" s="309"/>
      <c r="J3156" s="309"/>
    </row>
    <row r="3157">
      <c r="B3157" s="309"/>
      <c r="C3157" s="309"/>
      <c r="I3157" s="309"/>
      <c r="J3157" s="309"/>
    </row>
    <row r="3158">
      <c r="B3158" s="309"/>
      <c r="C3158" s="309"/>
      <c r="I3158" s="309"/>
      <c r="J3158" s="309"/>
    </row>
    <row r="3159">
      <c r="B3159" s="309"/>
      <c r="C3159" s="309"/>
      <c r="I3159" s="309"/>
      <c r="J3159" s="309"/>
    </row>
    <row r="3160">
      <c r="B3160" s="309"/>
      <c r="C3160" s="309"/>
      <c r="I3160" s="309"/>
      <c r="J3160" s="309"/>
    </row>
    <row r="3161">
      <c r="B3161" s="309"/>
      <c r="C3161" s="309"/>
      <c r="I3161" s="309"/>
      <c r="J3161" s="309"/>
    </row>
    <row r="3162">
      <c r="B3162" s="309"/>
      <c r="C3162" s="309"/>
      <c r="I3162" s="309"/>
      <c r="J3162" s="309"/>
    </row>
    <row r="3163">
      <c r="B3163" s="309"/>
      <c r="C3163" s="309"/>
      <c r="I3163" s="309"/>
      <c r="J3163" s="309"/>
    </row>
    <row r="3164">
      <c r="B3164" s="309"/>
      <c r="C3164" s="309"/>
      <c r="I3164" s="309"/>
      <c r="J3164" s="309"/>
    </row>
    <row r="3165">
      <c r="B3165" s="309"/>
      <c r="C3165" s="309"/>
      <c r="I3165" s="309"/>
      <c r="J3165" s="309"/>
    </row>
    <row r="3166">
      <c r="B3166" s="309"/>
      <c r="C3166" s="309"/>
      <c r="I3166" s="309"/>
      <c r="J3166" s="309"/>
    </row>
    <row r="3167">
      <c r="B3167" s="309"/>
      <c r="C3167" s="309"/>
      <c r="I3167" s="309"/>
      <c r="J3167" s="309"/>
    </row>
    <row r="3168">
      <c r="B3168" s="309"/>
      <c r="C3168" s="309"/>
      <c r="I3168" s="309"/>
      <c r="J3168" s="309"/>
    </row>
    <row r="3169">
      <c r="B3169" s="309"/>
      <c r="C3169" s="309"/>
      <c r="I3169" s="309"/>
      <c r="J3169" s="309"/>
    </row>
    <row r="3170">
      <c r="B3170" s="309"/>
      <c r="C3170" s="309"/>
      <c r="I3170" s="309"/>
      <c r="J3170" s="309"/>
    </row>
    <row r="3171">
      <c r="B3171" s="309"/>
      <c r="C3171" s="309"/>
      <c r="I3171" s="309"/>
      <c r="J3171" s="309"/>
    </row>
    <row r="3172">
      <c r="B3172" s="309"/>
      <c r="C3172" s="309"/>
      <c r="I3172" s="309"/>
      <c r="J3172" s="309"/>
    </row>
    <row r="3173">
      <c r="B3173" s="309"/>
      <c r="C3173" s="309"/>
      <c r="I3173" s="309"/>
      <c r="J3173" s="309"/>
    </row>
    <row r="3174">
      <c r="B3174" s="309"/>
      <c r="C3174" s="309"/>
      <c r="I3174" s="309"/>
      <c r="J3174" s="309"/>
    </row>
    <row r="3175">
      <c r="B3175" s="309"/>
      <c r="C3175" s="309"/>
      <c r="I3175" s="309"/>
      <c r="J3175" s="309"/>
    </row>
    <row r="3176">
      <c r="B3176" s="309"/>
      <c r="C3176" s="309"/>
      <c r="I3176" s="309"/>
      <c r="J3176" s="309"/>
    </row>
    <row r="3177">
      <c r="B3177" s="309"/>
      <c r="C3177" s="309"/>
      <c r="I3177" s="309"/>
      <c r="J3177" s="309"/>
    </row>
    <row r="3178">
      <c r="B3178" s="309"/>
      <c r="C3178" s="309"/>
      <c r="I3178" s="309"/>
      <c r="J3178" s="309"/>
    </row>
    <row r="3179">
      <c r="B3179" s="309"/>
      <c r="C3179" s="309"/>
      <c r="I3179" s="309"/>
      <c r="J3179" s="309"/>
    </row>
    <row r="3180">
      <c r="B3180" s="309"/>
      <c r="C3180" s="309"/>
      <c r="I3180" s="309"/>
      <c r="J3180" s="309"/>
    </row>
    <row r="3181">
      <c r="B3181" s="309"/>
      <c r="C3181" s="309"/>
      <c r="I3181" s="309"/>
      <c r="J3181" s="309"/>
    </row>
    <row r="3182">
      <c r="B3182" s="309"/>
      <c r="C3182" s="309"/>
      <c r="I3182" s="309"/>
      <c r="J3182" s="309"/>
    </row>
    <row r="3183">
      <c r="B3183" s="309"/>
      <c r="C3183" s="309"/>
      <c r="I3183" s="309"/>
      <c r="J3183" s="309"/>
    </row>
    <row r="3184">
      <c r="B3184" s="309"/>
      <c r="C3184" s="309"/>
      <c r="I3184" s="309"/>
      <c r="J3184" s="309"/>
    </row>
    <row r="3185">
      <c r="B3185" s="309"/>
      <c r="C3185" s="309"/>
      <c r="I3185" s="309"/>
      <c r="J3185" s="309"/>
    </row>
    <row r="3186">
      <c r="B3186" s="309"/>
      <c r="C3186" s="309"/>
      <c r="I3186" s="309"/>
      <c r="J3186" s="309"/>
    </row>
    <row r="3187">
      <c r="B3187" s="309"/>
      <c r="C3187" s="309"/>
      <c r="I3187" s="309"/>
      <c r="J3187" s="309"/>
    </row>
    <row r="3188">
      <c r="B3188" s="309"/>
      <c r="C3188" s="309"/>
      <c r="I3188" s="309"/>
      <c r="J3188" s="309"/>
    </row>
    <row r="3189">
      <c r="B3189" s="309"/>
      <c r="C3189" s="309"/>
      <c r="I3189" s="309"/>
      <c r="J3189" s="309"/>
    </row>
    <row r="3190">
      <c r="B3190" s="309"/>
      <c r="C3190" s="309"/>
      <c r="I3190" s="309"/>
      <c r="J3190" s="309"/>
    </row>
    <row r="3191">
      <c r="B3191" s="309"/>
      <c r="C3191" s="309"/>
      <c r="I3191" s="309"/>
      <c r="J3191" s="309"/>
    </row>
    <row r="3192">
      <c r="B3192" s="309"/>
      <c r="C3192" s="309"/>
      <c r="I3192" s="309"/>
      <c r="J3192" s="309"/>
    </row>
    <row r="3193">
      <c r="B3193" s="309"/>
      <c r="C3193" s="309"/>
      <c r="I3193" s="309"/>
      <c r="J3193" s="309"/>
    </row>
    <row r="3194">
      <c r="B3194" s="309"/>
      <c r="C3194" s="309"/>
      <c r="I3194" s="309"/>
      <c r="J3194" s="309"/>
    </row>
    <row r="3195">
      <c r="B3195" s="309"/>
      <c r="C3195" s="309"/>
      <c r="I3195" s="309"/>
      <c r="J3195" s="309"/>
    </row>
    <row r="3196">
      <c r="B3196" s="309"/>
      <c r="C3196" s="309"/>
      <c r="I3196" s="309"/>
      <c r="J3196" s="309"/>
    </row>
    <row r="3197">
      <c r="B3197" s="309"/>
      <c r="C3197" s="309"/>
      <c r="I3197" s="309"/>
      <c r="J3197" s="309"/>
    </row>
    <row r="3198">
      <c r="B3198" s="309"/>
      <c r="C3198" s="309"/>
      <c r="I3198" s="309"/>
      <c r="J3198" s="309"/>
    </row>
    <row r="3199">
      <c r="B3199" s="309"/>
      <c r="C3199" s="309"/>
      <c r="I3199" s="309"/>
      <c r="J3199" s="309"/>
    </row>
    <row r="3200">
      <c r="B3200" s="309"/>
      <c r="C3200" s="309"/>
      <c r="I3200" s="309"/>
      <c r="J3200" s="309"/>
    </row>
    <row r="3201">
      <c r="B3201" s="309"/>
      <c r="C3201" s="309"/>
      <c r="I3201" s="309"/>
      <c r="J3201" s="309"/>
    </row>
    <row r="3202">
      <c r="B3202" s="309"/>
      <c r="C3202" s="309"/>
      <c r="I3202" s="309"/>
      <c r="J3202" s="309"/>
    </row>
    <row r="3203">
      <c r="B3203" s="309"/>
      <c r="C3203" s="309"/>
      <c r="I3203" s="309"/>
      <c r="J3203" s="309"/>
    </row>
    <row r="3204">
      <c r="B3204" s="309"/>
      <c r="C3204" s="309"/>
      <c r="I3204" s="309"/>
      <c r="J3204" s="309"/>
    </row>
    <row r="3205">
      <c r="B3205" s="309"/>
      <c r="C3205" s="309"/>
      <c r="I3205" s="309"/>
      <c r="J3205" s="309"/>
    </row>
    <row r="3206">
      <c r="B3206" s="309"/>
      <c r="C3206" s="309"/>
      <c r="I3206" s="309"/>
      <c r="J3206" s="309"/>
    </row>
    <row r="3207">
      <c r="B3207" s="309"/>
      <c r="C3207" s="309"/>
      <c r="I3207" s="309"/>
      <c r="J3207" s="309"/>
    </row>
    <row r="3208">
      <c r="B3208" s="309"/>
      <c r="C3208" s="309"/>
      <c r="I3208" s="309"/>
      <c r="J3208" s="309"/>
    </row>
    <row r="3209">
      <c r="B3209" s="309"/>
      <c r="C3209" s="309"/>
      <c r="I3209" s="309"/>
      <c r="J3209" s="309"/>
    </row>
    <row r="3210">
      <c r="B3210" s="309"/>
      <c r="C3210" s="309"/>
      <c r="I3210" s="309"/>
      <c r="J3210" s="309"/>
    </row>
    <row r="3211">
      <c r="B3211" s="309"/>
      <c r="C3211" s="309"/>
      <c r="I3211" s="309"/>
      <c r="J3211" s="309"/>
    </row>
    <row r="3212">
      <c r="B3212" s="309"/>
      <c r="C3212" s="309"/>
      <c r="I3212" s="309"/>
      <c r="J3212" s="309"/>
    </row>
    <row r="3213">
      <c r="B3213" s="309"/>
      <c r="C3213" s="309"/>
      <c r="I3213" s="309"/>
      <c r="J3213" s="309"/>
    </row>
    <row r="3214">
      <c r="B3214" s="309"/>
      <c r="C3214" s="309"/>
      <c r="I3214" s="309"/>
      <c r="J3214" s="309"/>
    </row>
    <row r="3215">
      <c r="B3215" s="309"/>
      <c r="C3215" s="309"/>
      <c r="I3215" s="309"/>
      <c r="J3215" s="309"/>
    </row>
    <row r="3216">
      <c r="B3216" s="309"/>
      <c r="C3216" s="309"/>
      <c r="I3216" s="309"/>
      <c r="J3216" s="309"/>
    </row>
    <row r="3217">
      <c r="B3217" s="309"/>
      <c r="C3217" s="309"/>
      <c r="I3217" s="309"/>
      <c r="J3217" s="309"/>
    </row>
    <row r="3218">
      <c r="B3218" s="309"/>
      <c r="C3218" s="309"/>
      <c r="I3218" s="309"/>
      <c r="J3218" s="309"/>
    </row>
    <row r="3219">
      <c r="B3219" s="309"/>
      <c r="C3219" s="309"/>
      <c r="I3219" s="309"/>
      <c r="J3219" s="309"/>
    </row>
    <row r="3220">
      <c r="B3220" s="309"/>
      <c r="C3220" s="309"/>
      <c r="I3220" s="309"/>
      <c r="J3220" s="309"/>
    </row>
    <row r="3221">
      <c r="B3221" s="309"/>
      <c r="C3221" s="309"/>
      <c r="I3221" s="309"/>
      <c r="J3221" s="309"/>
    </row>
    <row r="3222">
      <c r="B3222" s="309"/>
      <c r="C3222" s="309"/>
      <c r="I3222" s="309"/>
      <c r="J3222" s="309"/>
    </row>
    <row r="3223">
      <c r="B3223" s="309"/>
      <c r="C3223" s="309"/>
      <c r="I3223" s="309"/>
      <c r="J3223" s="309"/>
    </row>
    <row r="3224">
      <c r="B3224" s="309"/>
      <c r="C3224" s="309"/>
      <c r="I3224" s="309"/>
      <c r="J3224" s="309"/>
    </row>
    <row r="3225">
      <c r="B3225" s="309"/>
      <c r="C3225" s="309"/>
      <c r="I3225" s="309"/>
      <c r="J3225" s="309"/>
    </row>
    <row r="3226">
      <c r="B3226" s="309"/>
      <c r="C3226" s="309"/>
      <c r="I3226" s="309"/>
      <c r="J3226" s="309"/>
    </row>
    <row r="3227">
      <c r="B3227" s="309"/>
      <c r="C3227" s="309"/>
      <c r="I3227" s="309"/>
      <c r="J3227" s="309"/>
    </row>
    <row r="3228">
      <c r="B3228" s="309"/>
      <c r="C3228" s="309"/>
      <c r="I3228" s="309"/>
      <c r="J3228" s="309"/>
    </row>
    <row r="3229">
      <c r="B3229" s="309"/>
      <c r="C3229" s="309"/>
      <c r="I3229" s="309"/>
      <c r="J3229" s="309"/>
    </row>
    <row r="3230">
      <c r="B3230" s="309"/>
      <c r="C3230" s="309"/>
      <c r="I3230" s="309"/>
      <c r="J3230" s="309"/>
    </row>
    <row r="3231">
      <c r="B3231" s="309"/>
      <c r="C3231" s="309"/>
      <c r="I3231" s="309"/>
      <c r="J3231" s="309"/>
    </row>
    <row r="3232">
      <c r="B3232" s="309"/>
      <c r="C3232" s="309"/>
      <c r="I3232" s="309"/>
      <c r="J3232" s="309"/>
    </row>
    <row r="3233">
      <c r="B3233" s="309"/>
      <c r="C3233" s="309"/>
      <c r="I3233" s="309"/>
      <c r="J3233" s="309"/>
    </row>
    <row r="3234">
      <c r="B3234" s="309"/>
      <c r="C3234" s="309"/>
      <c r="I3234" s="309"/>
      <c r="J3234" s="309"/>
    </row>
    <row r="3235">
      <c r="B3235" s="309"/>
      <c r="C3235" s="309"/>
      <c r="I3235" s="309"/>
      <c r="J3235" s="309"/>
    </row>
    <row r="3236">
      <c r="B3236" s="309"/>
      <c r="C3236" s="309"/>
      <c r="I3236" s="309"/>
      <c r="J3236" s="309"/>
    </row>
    <row r="3237">
      <c r="B3237" s="309"/>
      <c r="C3237" s="309"/>
      <c r="I3237" s="309"/>
      <c r="J3237" s="309"/>
    </row>
    <row r="3238">
      <c r="B3238" s="309"/>
      <c r="C3238" s="309"/>
      <c r="I3238" s="309"/>
      <c r="J3238" s="309"/>
    </row>
    <row r="3239">
      <c r="B3239" s="309"/>
      <c r="C3239" s="309"/>
      <c r="I3239" s="309"/>
      <c r="J3239" s="309"/>
    </row>
    <row r="3240">
      <c r="B3240" s="309"/>
      <c r="C3240" s="309"/>
      <c r="I3240" s="309"/>
      <c r="J3240" s="309"/>
    </row>
    <row r="3241">
      <c r="B3241" s="309"/>
      <c r="C3241" s="309"/>
      <c r="I3241" s="309"/>
      <c r="J3241" s="309"/>
    </row>
    <row r="3242">
      <c r="B3242" s="309"/>
      <c r="C3242" s="309"/>
      <c r="I3242" s="309"/>
      <c r="J3242" s="309"/>
    </row>
    <row r="3243">
      <c r="B3243" s="309"/>
      <c r="C3243" s="309"/>
      <c r="I3243" s="309"/>
      <c r="J3243" s="309"/>
    </row>
    <row r="3244">
      <c r="B3244" s="309"/>
      <c r="C3244" s="309"/>
      <c r="I3244" s="309"/>
      <c r="J3244" s="309"/>
    </row>
    <row r="3245">
      <c r="B3245" s="309"/>
      <c r="C3245" s="309"/>
      <c r="I3245" s="309"/>
      <c r="J3245" s="309"/>
    </row>
    <row r="3246">
      <c r="B3246" s="309"/>
      <c r="C3246" s="309"/>
      <c r="I3246" s="309"/>
      <c r="J3246" s="309"/>
    </row>
    <row r="3247">
      <c r="B3247" s="309"/>
      <c r="C3247" s="309"/>
      <c r="I3247" s="309"/>
      <c r="J3247" s="309"/>
    </row>
    <row r="3248">
      <c r="B3248" s="309"/>
      <c r="C3248" s="309"/>
      <c r="I3248" s="309"/>
      <c r="J3248" s="309"/>
    </row>
    <row r="3249">
      <c r="B3249" s="309"/>
      <c r="C3249" s="309"/>
      <c r="I3249" s="309"/>
      <c r="J3249" s="309"/>
    </row>
    <row r="3250">
      <c r="B3250" s="309"/>
      <c r="C3250" s="309"/>
      <c r="I3250" s="309"/>
      <c r="J3250" s="309"/>
    </row>
    <row r="3251">
      <c r="B3251" s="309"/>
      <c r="C3251" s="309"/>
      <c r="I3251" s="309"/>
      <c r="J3251" s="309"/>
    </row>
    <row r="3252">
      <c r="B3252" s="309"/>
      <c r="C3252" s="309"/>
      <c r="I3252" s="309"/>
      <c r="J3252" s="309"/>
    </row>
    <row r="3253">
      <c r="B3253" s="309"/>
      <c r="C3253" s="309"/>
      <c r="I3253" s="309"/>
      <c r="J3253" s="309"/>
    </row>
    <row r="3254">
      <c r="B3254" s="309"/>
      <c r="C3254" s="309"/>
      <c r="I3254" s="309"/>
      <c r="J3254" s="309"/>
    </row>
    <row r="3255">
      <c r="B3255" s="309"/>
      <c r="C3255" s="309"/>
      <c r="I3255" s="309"/>
      <c r="J3255" s="309"/>
    </row>
    <row r="3256">
      <c r="B3256" s="309"/>
      <c r="C3256" s="309"/>
      <c r="I3256" s="309"/>
      <c r="J3256" s="309"/>
    </row>
    <row r="3257">
      <c r="B3257" s="309"/>
      <c r="C3257" s="309"/>
      <c r="I3257" s="309"/>
      <c r="J3257" s="309"/>
    </row>
    <row r="3258">
      <c r="B3258" s="309"/>
      <c r="C3258" s="309"/>
      <c r="I3258" s="309"/>
      <c r="J3258" s="309"/>
    </row>
    <row r="3259">
      <c r="B3259" s="309"/>
      <c r="C3259" s="309"/>
      <c r="I3259" s="309"/>
      <c r="J3259" s="309"/>
    </row>
    <row r="3260">
      <c r="B3260" s="309"/>
      <c r="C3260" s="309"/>
      <c r="I3260" s="309"/>
      <c r="J3260" s="309"/>
    </row>
    <row r="3261">
      <c r="B3261" s="309"/>
      <c r="C3261" s="309"/>
      <c r="I3261" s="309"/>
      <c r="J3261" s="309"/>
    </row>
    <row r="3262">
      <c r="B3262" s="309"/>
      <c r="C3262" s="309"/>
      <c r="I3262" s="309"/>
      <c r="J3262" s="309"/>
    </row>
    <row r="3263">
      <c r="B3263" s="309"/>
      <c r="C3263" s="309"/>
      <c r="I3263" s="309"/>
      <c r="J3263" s="309"/>
    </row>
    <row r="3264">
      <c r="B3264" s="309"/>
      <c r="C3264" s="309"/>
      <c r="I3264" s="309"/>
      <c r="J3264" s="309"/>
    </row>
    <row r="3265">
      <c r="B3265" s="309"/>
      <c r="C3265" s="309"/>
      <c r="I3265" s="309"/>
      <c r="J3265" s="309"/>
    </row>
    <row r="3266">
      <c r="B3266" s="309"/>
      <c r="C3266" s="309"/>
      <c r="I3266" s="309"/>
      <c r="J3266" s="309"/>
    </row>
    <row r="3267">
      <c r="B3267" s="309"/>
      <c r="C3267" s="309"/>
      <c r="I3267" s="309"/>
      <c r="J3267" s="309"/>
    </row>
    <row r="3268">
      <c r="B3268" s="309"/>
      <c r="C3268" s="309"/>
      <c r="I3268" s="309"/>
      <c r="J3268" s="309"/>
    </row>
    <row r="3269">
      <c r="B3269" s="309"/>
      <c r="C3269" s="309"/>
      <c r="I3269" s="309"/>
      <c r="J3269" s="309"/>
    </row>
    <row r="3270">
      <c r="B3270" s="309"/>
      <c r="C3270" s="309"/>
      <c r="I3270" s="309"/>
      <c r="J3270" s="309"/>
    </row>
    <row r="3271">
      <c r="B3271" s="309"/>
      <c r="C3271" s="309"/>
      <c r="I3271" s="309"/>
      <c r="J3271" s="309"/>
    </row>
    <row r="3272">
      <c r="B3272" s="309"/>
      <c r="C3272" s="309"/>
      <c r="I3272" s="309"/>
      <c r="J3272" s="309"/>
    </row>
    <row r="3273">
      <c r="B3273" s="309"/>
      <c r="C3273" s="309"/>
      <c r="I3273" s="309"/>
      <c r="J3273" s="309"/>
    </row>
    <row r="3274">
      <c r="B3274" s="309"/>
      <c r="C3274" s="309"/>
      <c r="I3274" s="309"/>
      <c r="J3274" s="309"/>
    </row>
    <row r="3275">
      <c r="B3275" s="309"/>
      <c r="C3275" s="309"/>
      <c r="I3275" s="309"/>
      <c r="J3275" s="309"/>
    </row>
    <row r="3276">
      <c r="B3276" s="309"/>
      <c r="C3276" s="309"/>
      <c r="I3276" s="309"/>
      <c r="J3276" s="309"/>
    </row>
    <row r="3277">
      <c r="B3277" s="309"/>
      <c r="C3277" s="309"/>
      <c r="I3277" s="309"/>
      <c r="J3277" s="309"/>
    </row>
    <row r="3278">
      <c r="B3278" s="309"/>
      <c r="C3278" s="309"/>
      <c r="I3278" s="309"/>
      <c r="J3278" s="309"/>
    </row>
    <row r="3279">
      <c r="B3279" s="309"/>
      <c r="C3279" s="309"/>
      <c r="I3279" s="309"/>
      <c r="J3279" s="309"/>
    </row>
    <row r="3280">
      <c r="B3280" s="309"/>
      <c r="C3280" s="309"/>
      <c r="I3280" s="309"/>
      <c r="J3280" s="309"/>
    </row>
    <row r="3281">
      <c r="B3281" s="309"/>
      <c r="C3281" s="309"/>
      <c r="I3281" s="309"/>
      <c r="J3281" s="309"/>
    </row>
    <row r="3282">
      <c r="B3282" s="309"/>
      <c r="C3282" s="309"/>
      <c r="I3282" s="309"/>
      <c r="J3282" s="309"/>
    </row>
    <row r="3283">
      <c r="B3283" s="309"/>
      <c r="C3283" s="309"/>
      <c r="I3283" s="309"/>
      <c r="J3283" s="309"/>
    </row>
    <row r="3284">
      <c r="B3284" s="309"/>
      <c r="C3284" s="309"/>
      <c r="I3284" s="309"/>
      <c r="J3284" s="309"/>
    </row>
    <row r="3285">
      <c r="B3285" s="309"/>
      <c r="C3285" s="309"/>
      <c r="I3285" s="309"/>
      <c r="J3285" s="309"/>
    </row>
    <row r="3286">
      <c r="B3286" s="309"/>
      <c r="C3286" s="309"/>
      <c r="I3286" s="309"/>
      <c r="J3286" s="309"/>
    </row>
    <row r="3287">
      <c r="B3287" s="309"/>
      <c r="C3287" s="309"/>
      <c r="I3287" s="309"/>
      <c r="J3287" s="309"/>
    </row>
    <row r="3288">
      <c r="B3288" s="309"/>
      <c r="C3288" s="309"/>
      <c r="I3288" s="309"/>
      <c r="J3288" s="309"/>
    </row>
    <row r="3289">
      <c r="B3289" s="309"/>
      <c r="C3289" s="309"/>
      <c r="I3289" s="309"/>
      <c r="J3289" s="309"/>
    </row>
    <row r="3290">
      <c r="B3290" s="309"/>
      <c r="C3290" s="309"/>
      <c r="I3290" s="309"/>
      <c r="J3290" s="309"/>
    </row>
    <row r="3291">
      <c r="B3291" s="309"/>
      <c r="C3291" s="309"/>
      <c r="I3291" s="309"/>
      <c r="J3291" s="309"/>
    </row>
    <row r="3292">
      <c r="B3292" s="309"/>
      <c r="C3292" s="309"/>
      <c r="I3292" s="309"/>
      <c r="J3292" s="309"/>
    </row>
    <row r="3293">
      <c r="B3293" s="309"/>
      <c r="C3293" s="309"/>
      <c r="I3293" s="309"/>
      <c r="J3293" s="309"/>
    </row>
    <row r="3294">
      <c r="B3294" s="309"/>
      <c r="C3294" s="309"/>
      <c r="I3294" s="309"/>
      <c r="J3294" s="309"/>
    </row>
    <row r="3295">
      <c r="B3295" s="309"/>
      <c r="C3295" s="309"/>
      <c r="I3295" s="309"/>
      <c r="J3295" s="309"/>
    </row>
    <row r="3296">
      <c r="B3296" s="309"/>
      <c r="C3296" s="309"/>
      <c r="I3296" s="309"/>
      <c r="J3296" s="309"/>
    </row>
    <row r="3297">
      <c r="B3297" s="309"/>
      <c r="C3297" s="309"/>
      <c r="I3297" s="309"/>
      <c r="J3297" s="309"/>
    </row>
    <row r="3298">
      <c r="B3298" s="309"/>
      <c r="C3298" s="309"/>
      <c r="I3298" s="309"/>
      <c r="J3298" s="309"/>
    </row>
    <row r="3299">
      <c r="B3299" s="309"/>
      <c r="C3299" s="309"/>
      <c r="I3299" s="309"/>
      <c r="J3299" s="309"/>
    </row>
    <row r="3300">
      <c r="B3300" s="309"/>
      <c r="C3300" s="309"/>
      <c r="I3300" s="309"/>
      <c r="J3300" s="309"/>
    </row>
    <row r="3301">
      <c r="B3301" s="309"/>
      <c r="C3301" s="309"/>
      <c r="I3301" s="309"/>
      <c r="J3301" s="309"/>
    </row>
    <row r="3302">
      <c r="B3302" s="309"/>
      <c r="C3302" s="309"/>
      <c r="I3302" s="309"/>
      <c r="J3302" s="309"/>
    </row>
    <row r="3303">
      <c r="B3303" s="309"/>
      <c r="C3303" s="309"/>
      <c r="I3303" s="309"/>
      <c r="J3303" s="309"/>
    </row>
    <row r="3304">
      <c r="B3304" s="309"/>
      <c r="C3304" s="309"/>
      <c r="I3304" s="309"/>
      <c r="J3304" s="309"/>
    </row>
    <row r="3305">
      <c r="B3305" s="309"/>
      <c r="C3305" s="309"/>
      <c r="I3305" s="309"/>
      <c r="J3305" s="309"/>
    </row>
    <row r="3306">
      <c r="B3306" s="309"/>
      <c r="C3306" s="309"/>
      <c r="I3306" s="309"/>
      <c r="J3306" s="309"/>
    </row>
    <row r="3307">
      <c r="B3307" s="309"/>
      <c r="C3307" s="309"/>
      <c r="I3307" s="309"/>
      <c r="J3307" s="309"/>
    </row>
    <row r="3308">
      <c r="B3308" s="309"/>
      <c r="C3308" s="309"/>
      <c r="I3308" s="309"/>
      <c r="J3308" s="309"/>
    </row>
    <row r="3309">
      <c r="B3309" s="309"/>
      <c r="C3309" s="309"/>
      <c r="I3309" s="309"/>
      <c r="J3309" s="309"/>
    </row>
    <row r="3310">
      <c r="B3310" s="309"/>
      <c r="C3310" s="309"/>
      <c r="I3310" s="309"/>
      <c r="J3310" s="309"/>
    </row>
    <row r="3311">
      <c r="B3311" s="309"/>
      <c r="C3311" s="309"/>
      <c r="I3311" s="309"/>
      <c r="J3311" s="309"/>
    </row>
    <row r="3312">
      <c r="B3312" s="309"/>
      <c r="C3312" s="309"/>
      <c r="I3312" s="309"/>
      <c r="J3312" s="309"/>
    </row>
    <row r="3313">
      <c r="B3313" s="309"/>
      <c r="C3313" s="309"/>
      <c r="I3313" s="309"/>
      <c r="J3313" s="309"/>
    </row>
    <row r="3314">
      <c r="B3314" s="309"/>
      <c r="C3314" s="309"/>
      <c r="I3314" s="309"/>
      <c r="J3314" s="309"/>
    </row>
    <row r="3315">
      <c r="B3315" s="309"/>
      <c r="C3315" s="309"/>
      <c r="I3315" s="309"/>
      <c r="J3315" s="309"/>
    </row>
    <row r="3316">
      <c r="B3316" s="309"/>
      <c r="C3316" s="309"/>
      <c r="I3316" s="309"/>
      <c r="J3316" s="309"/>
    </row>
    <row r="3317">
      <c r="B3317" s="309"/>
      <c r="C3317" s="309"/>
      <c r="I3317" s="309"/>
      <c r="J3317" s="309"/>
    </row>
    <row r="3318">
      <c r="B3318" s="309"/>
      <c r="C3318" s="309"/>
      <c r="I3318" s="309"/>
      <c r="J3318" s="309"/>
    </row>
    <row r="3319">
      <c r="B3319" s="309"/>
      <c r="C3319" s="309"/>
      <c r="I3319" s="309"/>
      <c r="J3319" s="309"/>
    </row>
    <row r="3320">
      <c r="B3320" s="309"/>
      <c r="C3320" s="309"/>
      <c r="I3320" s="309"/>
      <c r="J3320" s="309"/>
    </row>
    <row r="3321">
      <c r="B3321" s="309"/>
      <c r="C3321" s="309"/>
      <c r="I3321" s="309"/>
      <c r="J3321" s="309"/>
    </row>
    <row r="3322">
      <c r="B3322" s="309"/>
      <c r="C3322" s="309"/>
      <c r="I3322" s="309"/>
      <c r="J3322" s="309"/>
    </row>
    <row r="3323">
      <c r="B3323" s="309"/>
      <c r="C3323" s="309"/>
      <c r="I3323" s="309"/>
      <c r="J3323" s="309"/>
    </row>
    <row r="3324">
      <c r="B3324" s="309"/>
      <c r="C3324" s="309"/>
      <c r="I3324" s="309"/>
      <c r="J3324" s="309"/>
    </row>
    <row r="3325">
      <c r="B3325" s="309"/>
      <c r="C3325" s="309"/>
      <c r="I3325" s="309"/>
      <c r="J3325" s="309"/>
    </row>
    <row r="3326">
      <c r="B3326" s="309"/>
      <c r="C3326" s="309"/>
      <c r="I3326" s="309"/>
      <c r="J3326" s="309"/>
    </row>
    <row r="3327">
      <c r="B3327" s="309"/>
      <c r="C3327" s="309"/>
      <c r="I3327" s="309"/>
      <c r="J3327" s="309"/>
    </row>
    <row r="3328">
      <c r="B3328" s="309"/>
      <c r="C3328" s="309"/>
      <c r="I3328" s="309"/>
      <c r="J3328" s="309"/>
    </row>
    <row r="3329">
      <c r="B3329" s="309"/>
      <c r="C3329" s="309"/>
      <c r="I3329" s="309"/>
      <c r="J3329" s="309"/>
    </row>
    <row r="3330">
      <c r="B3330" s="309"/>
      <c r="C3330" s="309"/>
      <c r="I3330" s="309"/>
      <c r="J3330" s="309"/>
    </row>
    <row r="3331">
      <c r="B3331" s="309"/>
      <c r="C3331" s="309"/>
      <c r="I3331" s="309"/>
      <c r="J3331" s="309"/>
    </row>
    <row r="3332">
      <c r="B3332" s="309"/>
      <c r="C3332" s="309"/>
      <c r="I3332" s="309"/>
      <c r="J3332" s="309"/>
    </row>
    <row r="3333">
      <c r="B3333" s="309"/>
      <c r="C3333" s="309"/>
      <c r="I3333" s="309"/>
      <c r="J3333" s="309"/>
    </row>
    <row r="3334">
      <c r="B3334" s="309"/>
      <c r="C3334" s="309"/>
      <c r="I3334" s="309"/>
      <c r="J3334" s="309"/>
    </row>
    <row r="3335">
      <c r="B3335" s="309"/>
      <c r="C3335" s="309"/>
      <c r="I3335" s="309"/>
      <c r="J3335" s="309"/>
    </row>
    <row r="3336">
      <c r="B3336" s="309"/>
      <c r="C3336" s="309"/>
      <c r="I3336" s="309"/>
      <c r="J3336" s="309"/>
    </row>
    <row r="3337">
      <c r="B3337" s="309"/>
      <c r="C3337" s="309"/>
      <c r="I3337" s="309"/>
      <c r="J3337" s="309"/>
    </row>
    <row r="3338">
      <c r="B3338" s="309"/>
      <c r="C3338" s="309"/>
      <c r="I3338" s="309"/>
      <c r="J3338" s="309"/>
    </row>
    <row r="3339">
      <c r="B3339" s="309"/>
      <c r="C3339" s="309"/>
      <c r="I3339" s="309"/>
      <c r="J3339" s="309"/>
    </row>
    <row r="3340">
      <c r="B3340" s="309"/>
      <c r="C3340" s="309"/>
      <c r="I3340" s="309"/>
      <c r="J3340" s="309"/>
    </row>
    <row r="3341">
      <c r="B3341" s="309"/>
      <c r="C3341" s="309"/>
      <c r="I3341" s="309"/>
      <c r="J3341" s="309"/>
    </row>
    <row r="3342">
      <c r="B3342" s="309"/>
      <c r="C3342" s="309"/>
      <c r="I3342" s="309"/>
      <c r="J3342" s="309"/>
    </row>
    <row r="3343">
      <c r="B3343" s="309"/>
      <c r="C3343" s="309"/>
      <c r="I3343" s="309"/>
      <c r="J3343" s="309"/>
    </row>
    <row r="3344">
      <c r="B3344" s="309"/>
      <c r="C3344" s="309"/>
      <c r="I3344" s="309"/>
      <c r="J3344" s="309"/>
    </row>
    <row r="3345">
      <c r="B3345" s="309"/>
      <c r="C3345" s="309"/>
      <c r="I3345" s="309"/>
      <c r="J3345" s="309"/>
    </row>
    <row r="3346">
      <c r="B3346" s="309"/>
      <c r="C3346" s="309"/>
      <c r="I3346" s="309"/>
      <c r="J3346" s="309"/>
    </row>
    <row r="3347">
      <c r="B3347" s="309"/>
      <c r="C3347" s="309"/>
      <c r="I3347" s="309"/>
      <c r="J3347" s="309"/>
    </row>
    <row r="3348">
      <c r="B3348" s="309"/>
      <c r="C3348" s="309"/>
      <c r="I3348" s="309"/>
      <c r="J3348" s="309"/>
    </row>
    <row r="3349">
      <c r="B3349" s="309"/>
      <c r="C3349" s="309"/>
      <c r="I3349" s="309"/>
      <c r="J3349" s="309"/>
    </row>
    <row r="3350">
      <c r="B3350" s="309"/>
      <c r="C3350" s="309"/>
      <c r="I3350" s="309"/>
      <c r="J3350" s="309"/>
    </row>
    <row r="3351">
      <c r="B3351" s="309"/>
      <c r="C3351" s="309"/>
      <c r="I3351" s="309"/>
      <c r="J3351" s="309"/>
    </row>
    <row r="3352">
      <c r="B3352" s="309"/>
      <c r="C3352" s="309"/>
      <c r="I3352" s="309"/>
      <c r="J3352" s="309"/>
    </row>
    <row r="3353">
      <c r="B3353" s="309"/>
      <c r="C3353" s="309"/>
      <c r="I3353" s="309"/>
      <c r="J3353" s="309"/>
    </row>
    <row r="3354">
      <c r="B3354" s="309"/>
      <c r="C3354" s="309"/>
      <c r="I3354" s="309"/>
      <c r="J3354" s="309"/>
    </row>
    <row r="3355">
      <c r="B3355" s="309"/>
      <c r="C3355" s="309"/>
      <c r="I3355" s="309"/>
      <c r="J3355" s="309"/>
    </row>
    <row r="3356">
      <c r="B3356" s="309"/>
      <c r="C3356" s="309"/>
      <c r="I3356" s="309"/>
      <c r="J3356" s="309"/>
    </row>
    <row r="3357">
      <c r="B3357" s="309"/>
      <c r="C3357" s="309"/>
      <c r="I3357" s="309"/>
      <c r="J3357" s="309"/>
    </row>
    <row r="3358">
      <c r="B3358" s="309"/>
      <c r="C3358" s="309"/>
      <c r="I3358" s="309"/>
      <c r="J3358" s="309"/>
    </row>
    <row r="3359">
      <c r="B3359" s="309"/>
      <c r="C3359" s="309"/>
      <c r="I3359" s="309"/>
      <c r="J3359" s="309"/>
    </row>
    <row r="3360">
      <c r="B3360" s="309"/>
      <c r="C3360" s="309"/>
      <c r="I3360" s="309"/>
      <c r="J3360" s="309"/>
    </row>
    <row r="3361">
      <c r="B3361" s="309"/>
      <c r="C3361" s="309"/>
      <c r="I3361" s="309"/>
      <c r="J3361" s="309"/>
    </row>
    <row r="3362">
      <c r="B3362" s="309"/>
      <c r="C3362" s="309"/>
      <c r="I3362" s="309"/>
      <c r="J3362" s="309"/>
    </row>
    <row r="3363">
      <c r="B3363" s="309"/>
      <c r="C3363" s="309"/>
      <c r="I3363" s="309"/>
      <c r="J3363" s="309"/>
    </row>
    <row r="3364">
      <c r="B3364" s="309"/>
      <c r="C3364" s="309"/>
      <c r="I3364" s="309"/>
      <c r="J3364" s="309"/>
    </row>
    <row r="3365">
      <c r="B3365" s="309"/>
      <c r="C3365" s="309"/>
      <c r="I3365" s="309"/>
      <c r="J3365" s="309"/>
    </row>
    <row r="3366">
      <c r="B3366" s="309"/>
      <c r="C3366" s="309"/>
      <c r="I3366" s="309"/>
      <c r="J3366" s="309"/>
    </row>
    <row r="3367">
      <c r="B3367" s="309"/>
      <c r="C3367" s="309"/>
      <c r="I3367" s="309"/>
      <c r="J3367" s="309"/>
    </row>
    <row r="3368">
      <c r="B3368" s="309"/>
      <c r="C3368" s="309"/>
      <c r="I3368" s="309"/>
      <c r="J3368" s="309"/>
    </row>
    <row r="3369">
      <c r="B3369" s="309"/>
      <c r="C3369" s="309"/>
      <c r="I3369" s="309"/>
      <c r="J3369" s="309"/>
    </row>
    <row r="3370">
      <c r="B3370" s="309"/>
      <c r="C3370" s="309"/>
      <c r="I3370" s="309"/>
      <c r="J3370" s="309"/>
    </row>
    <row r="3371">
      <c r="B3371" s="309"/>
      <c r="C3371" s="309"/>
      <c r="I3371" s="309"/>
      <c r="J3371" s="309"/>
    </row>
    <row r="3372">
      <c r="B3372" s="309"/>
      <c r="C3372" s="309"/>
      <c r="I3372" s="309"/>
      <c r="J3372" s="309"/>
    </row>
    <row r="3373">
      <c r="B3373" s="309"/>
      <c r="C3373" s="309"/>
      <c r="I3373" s="309"/>
      <c r="J3373" s="309"/>
    </row>
    <row r="3374">
      <c r="B3374" s="309"/>
      <c r="C3374" s="309"/>
      <c r="I3374" s="309"/>
      <c r="J3374" s="309"/>
    </row>
    <row r="3375">
      <c r="B3375" s="309"/>
      <c r="C3375" s="309"/>
      <c r="I3375" s="309"/>
      <c r="J3375" s="309"/>
    </row>
    <row r="3376">
      <c r="B3376" s="309"/>
      <c r="C3376" s="309"/>
      <c r="I3376" s="309"/>
      <c r="J3376" s="309"/>
    </row>
    <row r="3377">
      <c r="B3377" s="309"/>
      <c r="C3377" s="309"/>
      <c r="I3377" s="309"/>
      <c r="J3377" s="309"/>
    </row>
    <row r="3378">
      <c r="B3378" s="309"/>
      <c r="C3378" s="309"/>
      <c r="I3378" s="309"/>
      <c r="J3378" s="309"/>
    </row>
    <row r="3379">
      <c r="B3379" s="309"/>
      <c r="C3379" s="309"/>
      <c r="I3379" s="309"/>
      <c r="J3379" s="309"/>
    </row>
    <row r="3380">
      <c r="B3380" s="309"/>
      <c r="C3380" s="309"/>
      <c r="I3380" s="309"/>
      <c r="J3380" s="309"/>
    </row>
    <row r="3381">
      <c r="B3381" s="309"/>
      <c r="C3381" s="309"/>
      <c r="I3381" s="309"/>
      <c r="J3381" s="309"/>
    </row>
    <row r="3382">
      <c r="B3382" s="309"/>
      <c r="C3382" s="309"/>
      <c r="I3382" s="309"/>
      <c r="J3382" s="309"/>
    </row>
    <row r="3383">
      <c r="B3383" s="309"/>
      <c r="C3383" s="309"/>
      <c r="I3383" s="309"/>
      <c r="J3383" s="309"/>
    </row>
    <row r="3384">
      <c r="B3384" s="309"/>
      <c r="C3384" s="309"/>
      <c r="I3384" s="309"/>
      <c r="J3384" s="309"/>
    </row>
    <row r="3385">
      <c r="B3385" s="309"/>
      <c r="C3385" s="309"/>
      <c r="I3385" s="309"/>
      <c r="J3385" s="309"/>
    </row>
    <row r="3386">
      <c r="B3386" s="309"/>
      <c r="C3386" s="309"/>
      <c r="I3386" s="309"/>
      <c r="J3386" s="309"/>
    </row>
    <row r="3387">
      <c r="B3387" s="309"/>
      <c r="C3387" s="309"/>
      <c r="I3387" s="309"/>
      <c r="J3387" s="309"/>
    </row>
    <row r="3388">
      <c r="B3388" s="309"/>
      <c r="C3388" s="309"/>
      <c r="I3388" s="309"/>
      <c r="J3388" s="309"/>
    </row>
    <row r="3389">
      <c r="B3389" s="309"/>
      <c r="C3389" s="309"/>
      <c r="I3389" s="309"/>
      <c r="J3389" s="309"/>
    </row>
    <row r="3390">
      <c r="B3390" s="309"/>
      <c r="C3390" s="309"/>
      <c r="I3390" s="309"/>
      <c r="J3390" s="309"/>
    </row>
    <row r="3391">
      <c r="B3391" s="309"/>
      <c r="C3391" s="309"/>
      <c r="I3391" s="309"/>
      <c r="J3391" s="309"/>
    </row>
    <row r="3392">
      <c r="B3392" s="309"/>
      <c r="C3392" s="309"/>
      <c r="I3392" s="309"/>
      <c r="J3392" s="309"/>
    </row>
    <row r="3393">
      <c r="B3393" s="309"/>
      <c r="C3393" s="309"/>
      <c r="I3393" s="309"/>
      <c r="J3393" s="309"/>
    </row>
    <row r="3394">
      <c r="B3394" s="309"/>
      <c r="C3394" s="309"/>
      <c r="I3394" s="309"/>
      <c r="J3394" s="309"/>
    </row>
    <row r="3395">
      <c r="B3395" s="309"/>
      <c r="C3395" s="309"/>
      <c r="I3395" s="309"/>
      <c r="J3395" s="309"/>
    </row>
    <row r="3396">
      <c r="B3396" s="309"/>
      <c r="C3396" s="309"/>
      <c r="I3396" s="309"/>
      <c r="J3396" s="309"/>
    </row>
    <row r="3397">
      <c r="B3397" s="309"/>
      <c r="C3397" s="309"/>
      <c r="I3397" s="309"/>
      <c r="J3397" s="309"/>
    </row>
    <row r="3398">
      <c r="B3398" s="309"/>
      <c r="C3398" s="309"/>
      <c r="I3398" s="309"/>
      <c r="J3398" s="309"/>
    </row>
    <row r="3399">
      <c r="B3399" s="309"/>
      <c r="C3399" s="309"/>
      <c r="I3399" s="309"/>
      <c r="J3399" s="309"/>
    </row>
    <row r="3400">
      <c r="B3400" s="309"/>
      <c r="C3400" s="309"/>
      <c r="I3400" s="309"/>
      <c r="J3400" s="309"/>
    </row>
    <row r="3401">
      <c r="B3401" s="309"/>
      <c r="C3401" s="309"/>
      <c r="I3401" s="309"/>
      <c r="J3401" s="309"/>
    </row>
    <row r="3402">
      <c r="B3402" s="309"/>
      <c r="C3402" s="309"/>
      <c r="I3402" s="309"/>
      <c r="J3402" s="309"/>
    </row>
    <row r="3403">
      <c r="B3403" s="309"/>
      <c r="C3403" s="309"/>
      <c r="I3403" s="309"/>
      <c r="J3403" s="309"/>
    </row>
    <row r="3404">
      <c r="B3404" s="309"/>
      <c r="C3404" s="309"/>
      <c r="I3404" s="309"/>
      <c r="J3404" s="309"/>
    </row>
    <row r="3405">
      <c r="B3405" s="309"/>
      <c r="C3405" s="309"/>
      <c r="I3405" s="309"/>
      <c r="J3405" s="309"/>
    </row>
    <row r="3406">
      <c r="B3406" s="309"/>
      <c r="C3406" s="309"/>
      <c r="I3406" s="309"/>
      <c r="J3406" s="309"/>
    </row>
    <row r="3407">
      <c r="B3407" s="309"/>
      <c r="C3407" s="309"/>
      <c r="I3407" s="309"/>
      <c r="J3407" s="309"/>
    </row>
    <row r="3408">
      <c r="B3408" s="309"/>
      <c r="C3408" s="309"/>
      <c r="I3408" s="309"/>
      <c r="J3408" s="309"/>
    </row>
    <row r="3409">
      <c r="B3409" s="309"/>
      <c r="C3409" s="309"/>
      <c r="I3409" s="309"/>
      <c r="J3409" s="309"/>
    </row>
    <row r="3410">
      <c r="B3410" s="309"/>
      <c r="C3410" s="309"/>
      <c r="I3410" s="309"/>
      <c r="J3410" s="309"/>
    </row>
    <row r="3411">
      <c r="B3411" s="309"/>
      <c r="C3411" s="309"/>
      <c r="I3411" s="309"/>
      <c r="J3411" s="309"/>
    </row>
    <row r="3412">
      <c r="B3412" s="309"/>
      <c r="C3412" s="309"/>
      <c r="I3412" s="309"/>
      <c r="J3412" s="309"/>
    </row>
    <row r="3413">
      <c r="B3413" s="309"/>
      <c r="C3413" s="309"/>
      <c r="I3413" s="309"/>
      <c r="J3413" s="309"/>
    </row>
    <row r="3414">
      <c r="B3414" s="309"/>
      <c r="C3414" s="309"/>
      <c r="I3414" s="309"/>
      <c r="J3414" s="309"/>
    </row>
    <row r="3415">
      <c r="B3415" s="309"/>
      <c r="C3415" s="309"/>
      <c r="I3415" s="309"/>
      <c r="J3415" s="309"/>
    </row>
    <row r="3416">
      <c r="B3416" s="309"/>
      <c r="C3416" s="309"/>
      <c r="I3416" s="309"/>
      <c r="J3416" s="309"/>
    </row>
    <row r="3417">
      <c r="B3417" s="309"/>
      <c r="C3417" s="309"/>
      <c r="I3417" s="309"/>
      <c r="J3417" s="309"/>
    </row>
    <row r="3418">
      <c r="B3418" s="309"/>
      <c r="C3418" s="309"/>
      <c r="I3418" s="309"/>
      <c r="J3418" s="309"/>
    </row>
    <row r="3419">
      <c r="B3419" s="309"/>
      <c r="C3419" s="309"/>
      <c r="I3419" s="309"/>
      <c r="J3419" s="309"/>
    </row>
    <row r="3420">
      <c r="B3420" s="309"/>
      <c r="C3420" s="309"/>
      <c r="I3420" s="309"/>
      <c r="J3420" s="309"/>
    </row>
    <row r="3421">
      <c r="B3421" s="309"/>
      <c r="C3421" s="309"/>
      <c r="I3421" s="309"/>
      <c r="J3421" s="309"/>
    </row>
    <row r="3422">
      <c r="B3422" s="309"/>
      <c r="C3422" s="309"/>
      <c r="I3422" s="309"/>
      <c r="J3422" s="309"/>
    </row>
    <row r="3423">
      <c r="B3423" s="309"/>
      <c r="C3423" s="309"/>
      <c r="I3423" s="309"/>
      <c r="J3423" s="309"/>
    </row>
    <row r="3424">
      <c r="B3424" s="309"/>
      <c r="C3424" s="309"/>
      <c r="I3424" s="309"/>
      <c r="J3424" s="309"/>
    </row>
    <row r="3425">
      <c r="B3425" s="309"/>
      <c r="C3425" s="309"/>
      <c r="I3425" s="309"/>
      <c r="J3425" s="309"/>
    </row>
    <row r="3426">
      <c r="B3426" s="309"/>
      <c r="C3426" s="309"/>
      <c r="I3426" s="309"/>
      <c r="J3426" s="309"/>
    </row>
    <row r="3427">
      <c r="B3427" s="309"/>
      <c r="C3427" s="309"/>
      <c r="I3427" s="309"/>
      <c r="J3427" s="309"/>
    </row>
    <row r="3428">
      <c r="B3428" s="309"/>
      <c r="C3428" s="309"/>
      <c r="I3428" s="309"/>
      <c r="J3428" s="309"/>
    </row>
    <row r="3429">
      <c r="B3429" s="309"/>
      <c r="C3429" s="309"/>
      <c r="I3429" s="309"/>
      <c r="J3429" s="309"/>
    </row>
    <row r="3430">
      <c r="B3430" s="309"/>
      <c r="C3430" s="309"/>
      <c r="I3430" s="309"/>
      <c r="J3430" s="309"/>
    </row>
    <row r="3431">
      <c r="B3431" s="309"/>
      <c r="C3431" s="309"/>
      <c r="I3431" s="309"/>
      <c r="J3431" s="309"/>
    </row>
    <row r="3432">
      <c r="B3432" s="309"/>
      <c r="C3432" s="309"/>
      <c r="I3432" s="309"/>
      <c r="J3432" s="309"/>
    </row>
    <row r="3433">
      <c r="B3433" s="309"/>
      <c r="C3433" s="309"/>
      <c r="I3433" s="309"/>
      <c r="J3433" s="309"/>
    </row>
    <row r="3434">
      <c r="B3434" s="309"/>
      <c r="C3434" s="309"/>
      <c r="I3434" s="309"/>
      <c r="J3434" s="309"/>
    </row>
    <row r="3435">
      <c r="B3435" s="309"/>
      <c r="C3435" s="309"/>
      <c r="I3435" s="309"/>
      <c r="J3435" s="309"/>
    </row>
    <row r="3436">
      <c r="B3436" s="309"/>
      <c r="C3436" s="309"/>
      <c r="I3436" s="309"/>
      <c r="J3436" s="309"/>
    </row>
    <row r="3437">
      <c r="B3437" s="309"/>
      <c r="C3437" s="309"/>
      <c r="I3437" s="309"/>
      <c r="J3437" s="309"/>
    </row>
    <row r="3438">
      <c r="B3438" s="309"/>
      <c r="C3438" s="309"/>
      <c r="I3438" s="309"/>
      <c r="J3438" s="309"/>
    </row>
    <row r="3439">
      <c r="B3439" s="309"/>
      <c r="C3439" s="309"/>
      <c r="I3439" s="309"/>
      <c r="J3439" s="309"/>
    </row>
    <row r="3440">
      <c r="B3440" s="309"/>
      <c r="C3440" s="309"/>
      <c r="I3440" s="309"/>
      <c r="J3440" s="309"/>
    </row>
    <row r="3441">
      <c r="B3441" s="309"/>
      <c r="C3441" s="309"/>
      <c r="I3441" s="309"/>
      <c r="J3441" s="309"/>
    </row>
    <row r="3442">
      <c r="B3442" s="309"/>
      <c r="C3442" s="309"/>
      <c r="I3442" s="309"/>
      <c r="J3442" s="309"/>
    </row>
    <row r="3443">
      <c r="B3443" s="309"/>
      <c r="C3443" s="309"/>
      <c r="I3443" s="309"/>
      <c r="J3443" s="309"/>
    </row>
    <row r="3444">
      <c r="B3444" s="309"/>
      <c r="C3444" s="309"/>
      <c r="I3444" s="309"/>
      <c r="J3444" s="309"/>
    </row>
    <row r="3445">
      <c r="B3445" s="309"/>
      <c r="C3445" s="309"/>
      <c r="I3445" s="309"/>
      <c r="J3445" s="309"/>
    </row>
    <row r="3446">
      <c r="B3446" s="309"/>
      <c r="C3446" s="309"/>
      <c r="I3446" s="309"/>
      <c r="J3446" s="309"/>
    </row>
    <row r="3447">
      <c r="B3447" s="309"/>
      <c r="C3447" s="309"/>
      <c r="I3447" s="309"/>
      <c r="J3447" s="309"/>
    </row>
    <row r="3448">
      <c r="B3448" s="309"/>
      <c r="C3448" s="309"/>
      <c r="I3448" s="309"/>
      <c r="J3448" s="309"/>
    </row>
    <row r="3449">
      <c r="B3449" s="309"/>
      <c r="C3449" s="309"/>
      <c r="I3449" s="309"/>
      <c r="J3449" s="309"/>
    </row>
    <row r="3450">
      <c r="B3450" s="309"/>
      <c r="C3450" s="309"/>
      <c r="I3450" s="309"/>
      <c r="J3450" s="309"/>
    </row>
    <row r="3451">
      <c r="B3451" s="309"/>
      <c r="C3451" s="309"/>
      <c r="I3451" s="309"/>
      <c r="J3451" s="309"/>
    </row>
    <row r="3452">
      <c r="B3452" s="309"/>
      <c r="C3452" s="309"/>
      <c r="I3452" s="309"/>
      <c r="J3452" s="309"/>
    </row>
    <row r="3453">
      <c r="B3453" s="309"/>
      <c r="C3453" s="309"/>
      <c r="I3453" s="309"/>
      <c r="J3453" s="309"/>
    </row>
    <row r="3454">
      <c r="B3454" s="309"/>
      <c r="C3454" s="309"/>
      <c r="I3454" s="309"/>
      <c r="J3454" s="309"/>
    </row>
    <row r="3455">
      <c r="B3455" s="309"/>
      <c r="C3455" s="309"/>
      <c r="I3455" s="309"/>
      <c r="J3455" s="309"/>
    </row>
    <row r="3456">
      <c r="B3456" s="309"/>
      <c r="C3456" s="309"/>
      <c r="I3456" s="309"/>
      <c r="J3456" s="309"/>
    </row>
    <row r="3457">
      <c r="B3457" s="309"/>
      <c r="C3457" s="309"/>
      <c r="I3457" s="309"/>
      <c r="J3457" s="309"/>
    </row>
    <row r="3458">
      <c r="B3458" s="309"/>
      <c r="C3458" s="309"/>
      <c r="I3458" s="309"/>
      <c r="J3458" s="309"/>
    </row>
    <row r="3459">
      <c r="B3459" s="309"/>
      <c r="C3459" s="309"/>
      <c r="I3459" s="309"/>
      <c r="J3459" s="309"/>
    </row>
    <row r="3460">
      <c r="B3460" s="309"/>
      <c r="C3460" s="309"/>
      <c r="I3460" s="309"/>
      <c r="J3460" s="309"/>
    </row>
    <row r="3461">
      <c r="B3461" s="309"/>
      <c r="C3461" s="309"/>
      <c r="I3461" s="309"/>
      <c r="J3461" s="309"/>
    </row>
    <row r="3462">
      <c r="B3462" s="309"/>
      <c r="C3462" s="309"/>
      <c r="I3462" s="309"/>
      <c r="J3462" s="309"/>
    </row>
    <row r="3463">
      <c r="B3463" s="309"/>
      <c r="C3463" s="309"/>
      <c r="I3463" s="309"/>
      <c r="J3463" s="309"/>
    </row>
    <row r="3464">
      <c r="B3464" s="309"/>
      <c r="C3464" s="309"/>
      <c r="I3464" s="309"/>
      <c r="J3464" s="309"/>
    </row>
    <row r="3465">
      <c r="B3465" s="309"/>
      <c r="C3465" s="309"/>
      <c r="I3465" s="309"/>
      <c r="J3465" s="309"/>
    </row>
    <row r="3466">
      <c r="B3466" s="309"/>
      <c r="C3466" s="309"/>
      <c r="I3466" s="309"/>
      <c r="J3466" s="309"/>
    </row>
    <row r="3467">
      <c r="B3467" s="309"/>
      <c r="C3467" s="309"/>
      <c r="I3467" s="309"/>
      <c r="J3467" s="309"/>
    </row>
    <row r="3468">
      <c r="B3468" s="309"/>
      <c r="C3468" s="309"/>
      <c r="I3468" s="309"/>
      <c r="J3468" s="309"/>
    </row>
    <row r="3469">
      <c r="B3469" s="309"/>
      <c r="C3469" s="309"/>
      <c r="I3469" s="309"/>
      <c r="J3469" s="309"/>
    </row>
    <row r="3470">
      <c r="B3470" s="309"/>
      <c r="C3470" s="309"/>
      <c r="I3470" s="309"/>
      <c r="J3470" s="309"/>
    </row>
    <row r="3471">
      <c r="B3471" s="309"/>
      <c r="C3471" s="309"/>
      <c r="I3471" s="309"/>
      <c r="J3471" s="309"/>
    </row>
    <row r="3472">
      <c r="B3472" s="309"/>
      <c r="C3472" s="309"/>
      <c r="I3472" s="309"/>
      <c r="J3472" s="309"/>
    </row>
    <row r="3473">
      <c r="B3473" s="309"/>
      <c r="C3473" s="309"/>
      <c r="I3473" s="309"/>
      <c r="J3473" s="309"/>
    </row>
    <row r="3474">
      <c r="B3474" s="309"/>
      <c r="C3474" s="309"/>
      <c r="I3474" s="309"/>
      <c r="J3474" s="309"/>
    </row>
    <row r="3475">
      <c r="B3475" s="309"/>
      <c r="C3475" s="309"/>
      <c r="I3475" s="309"/>
      <c r="J3475" s="309"/>
    </row>
    <row r="3476">
      <c r="B3476" s="309"/>
      <c r="C3476" s="309"/>
      <c r="I3476" s="309"/>
      <c r="J3476" s="309"/>
    </row>
    <row r="3477">
      <c r="B3477" s="309"/>
      <c r="C3477" s="309"/>
      <c r="I3477" s="309"/>
      <c r="J3477" s="309"/>
    </row>
    <row r="3478">
      <c r="B3478" s="309"/>
      <c r="C3478" s="309"/>
      <c r="I3478" s="309"/>
      <c r="J3478" s="309"/>
    </row>
    <row r="3479">
      <c r="B3479" s="309"/>
      <c r="C3479" s="309"/>
      <c r="I3479" s="309"/>
      <c r="J3479" s="309"/>
    </row>
    <row r="3480">
      <c r="B3480" s="309"/>
      <c r="C3480" s="309"/>
      <c r="I3480" s="309"/>
      <c r="J3480" s="309"/>
    </row>
    <row r="3481">
      <c r="B3481" s="309"/>
      <c r="C3481" s="309"/>
      <c r="I3481" s="309"/>
      <c r="J3481" s="309"/>
    </row>
    <row r="3482">
      <c r="B3482" s="309"/>
      <c r="C3482" s="309"/>
      <c r="I3482" s="309"/>
      <c r="J3482" s="309"/>
    </row>
    <row r="3483">
      <c r="B3483" s="309"/>
      <c r="C3483" s="309"/>
      <c r="I3483" s="309"/>
      <c r="J3483" s="309"/>
    </row>
    <row r="3484">
      <c r="B3484" s="309"/>
      <c r="C3484" s="309"/>
      <c r="I3484" s="309"/>
      <c r="J3484" s="309"/>
    </row>
    <row r="3485">
      <c r="B3485" s="309"/>
      <c r="C3485" s="309"/>
      <c r="I3485" s="309"/>
      <c r="J3485" s="309"/>
    </row>
    <row r="3486">
      <c r="B3486" s="309"/>
      <c r="C3486" s="309"/>
      <c r="I3486" s="309"/>
      <c r="J3486" s="309"/>
    </row>
    <row r="3487">
      <c r="B3487" s="309"/>
      <c r="C3487" s="309"/>
      <c r="I3487" s="309"/>
      <c r="J3487" s="309"/>
    </row>
    <row r="3488">
      <c r="B3488" s="309"/>
      <c r="C3488" s="309"/>
      <c r="I3488" s="309"/>
      <c r="J3488" s="309"/>
    </row>
    <row r="3489">
      <c r="B3489" s="309"/>
      <c r="C3489" s="309"/>
      <c r="I3489" s="309"/>
      <c r="J3489" s="309"/>
    </row>
    <row r="3490">
      <c r="B3490" s="309"/>
      <c r="C3490" s="309"/>
      <c r="I3490" s="309"/>
      <c r="J3490" s="309"/>
    </row>
    <row r="3491">
      <c r="B3491" s="309"/>
      <c r="C3491" s="309"/>
      <c r="I3491" s="309"/>
      <c r="J3491" s="309"/>
    </row>
    <row r="3492">
      <c r="B3492" s="309"/>
      <c r="C3492" s="309"/>
      <c r="I3492" s="309"/>
      <c r="J3492" s="309"/>
    </row>
    <row r="3493">
      <c r="B3493" s="309"/>
      <c r="C3493" s="309"/>
      <c r="I3493" s="309"/>
      <c r="J3493" s="309"/>
    </row>
    <row r="3494">
      <c r="B3494" s="309"/>
      <c r="C3494" s="309"/>
      <c r="I3494" s="309"/>
      <c r="J3494" s="309"/>
    </row>
    <row r="3495">
      <c r="B3495" s="309"/>
      <c r="C3495" s="309"/>
      <c r="I3495" s="309"/>
      <c r="J3495" s="309"/>
    </row>
    <row r="3496">
      <c r="B3496" s="309"/>
      <c r="C3496" s="309"/>
      <c r="I3496" s="309"/>
      <c r="J3496" s="309"/>
    </row>
    <row r="3497">
      <c r="B3497" s="309"/>
      <c r="C3497" s="309"/>
      <c r="I3497" s="309"/>
      <c r="J3497" s="309"/>
    </row>
    <row r="3498">
      <c r="B3498" s="309"/>
      <c r="C3498" s="309"/>
      <c r="I3498" s="309"/>
      <c r="J3498" s="309"/>
    </row>
    <row r="3499">
      <c r="B3499" s="309"/>
      <c r="C3499" s="309"/>
      <c r="I3499" s="309"/>
      <c r="J3499" s="309"/>
    </row>
    <row r="3500">
      <c r="B3500" s="309"/>
      <c r="C3500" s="309"/>
      <c r="I3500" s="309"/>
      <c r="J3500" s="309"/>
    </row>
    <row r="3501">
      <c r="B3501" s="309"/>
      <c r="C3501" s="309"/>
      <c r="I3501" s="309"/>
      <c r="J3501" s="309"/>
    </row>
    <row r="3502">
      <c r="B3502" s="309"/>
      <c r="C3502" s="309"/>
      <c r="I3502" s="309"/>
      <c r="J3502" s="309"/>
    </row>
    <row r="3503">
      <c r="B3503" s="309"/>
      <c r="C3503" s="309"/>
      <c r="I3503" s="309"/>
      <c r="J3503" s="309"/>
    </row>
    <row r="3504">
      <c r="B3504" s="309"/>
      <c r="C3504" s="309"/>
      <c r="I3504" s="309"/>
      <c r="J3504" s="309"/>
    </row>
    <row r="3505">
      <c r="B3505" s="309"/>
      <c r="C3505" s="309"/>
      <c r="I3505" s="309"/>
      <c r="J3505" s="309"/>
    </row>
    <row r="3506">
      <c r="B3506" s="309"/>
      <c r="C3506" s="309"/>
      <c r="I3506" s="309"/>
      <c r="J3506" s="309"/>
    </row>
    <row r="3507">
      <c r="B3507" s="309"/>
      <c r="C3507" s="309"/>
      <c r="I3507" s="309"/>
      <c r="J3507" s="309"/>
    </row>
    <row r="3508">
      <c r="B3508" s="309"/>
      <c r="C3508" s="309"/>
      <c r="I3508" s="309"/>
      <c r="J3508" s="309"/>
    </row>
    <row r="3509">
      <c r="B3509" s="309"/>
      <c r="C3509" s="309"/>
      <c r="I3509" s="309"/>
      <c r="J3509" s="309"/>
    </row>
    <row r="3510">
      <c r="B3510" s="309"/>
      <c r="C3510" s="309"/>
      <c r="I3510" s="309"/>
      <c r="J3510" s="309"/>
    </row>
    <row r="3511">
      <c r="B3511" s="309"/>
      <c r="C3511" s="309"/>
      <c r="I3511" s="309"/>
      <c r="J3511" s="309"/>
    </row>
    <row r="3512">
      <c r="B3512" s="309"/>
      <c r="C3512" s="309"/>
      <c r="I3512" s="309"/>
      <c r="J3512" s="309"/>
    </row>
    <row r="3513">
      <c r="B3513" s="309"/>
      <c r="C3513" s="309"/>
      <c r="I3513" s="309"/>
      <c r="J3513" s="309"/>
    </row>
    <row r="3514">
      <c r="B3514" s="309"/>
      <c r="C3514" s="309"/>
      <c r="I3514" s="309"/>
      <c r="J3514" s="309"/>
    </row>
    <row r="3515">
      <c r="B3515" s="309"/>
      <c r="C3515" s="309"/>
      <c r="I3515" s="309"/>
      <c r="J3515" s="309"/>
    </row>
    <row r="3516">
      <c r="B3516" s="309"/>
      <c r="C3516" s="309"/>
      <c r="I3516" s="309"/>
      <c r="J3516" s="309"/>
    </row>
    <row r="3517">
      <c r="B3517" s="309"/>
      <c r="C3517" s="309"/>
      <c r="I3517" s="309"/>
      <c r="J3517" s="309"/>
    </row>
    <row r="3518">
      <c r="B3518" s="309"/>
      <c r="C3518" s="309"/>
      <c r="I3518" s="309"/>
      <c r="J3518" s="309"/>
    </row>
    <row r="3519">
      <c r="B3519" s="309"/>
      <c r="C3519" s="309"/>
      <c r="I3519" s="309"/>
      <c r="J3519" s="309"/>
    </row>
    <row r="3520">
      <c r="B3520" s="309"/>
      <c r="C3520" s="309"/>
      <c r="I3520" s="309"/>
      <c r="J3520" s="309"/>
    </row>
    <row r="3521">
      <c r="B3521" s="309"/>
      <c r="C3521" s="309"/>
      <c r="I3521" s="309"/>
      <c r="J3521" s="309"/>
    </row>
    <row r="3522">
      <c r="B3522" s="309"/>
      <c r="C3522" s="309"/>
      <c r="I3522" s="309"/>
      <c r="J3522" s="309"/>
    </row>
    <row r="3523">
      <c r="B3523" s="309"/>
      <c r="C3523" s="309"/>
      <c r="I3523" s="309"/>
      <c r="J3523" s="309"/>
    </row>
    <row r="3524">
      <c r="B3524" s="309"/>
      <c r="C3524" s="309"/>
      <c r="I3524" s="309"/>
      <c r="J3524" s="309"/>
    </row>
    <row r="3525">
      <c r="B3525" s="309"/>
      <c r="C3525" s="309"/>
      <c r="I3525" s="309"/>
      <c r="J3525" s="309"/>
    </row>
    <row r="3526">
      <c r="B3526" s="309"/>
      <c r="C3526" s="309"/>
      <c r="I3526" s="309"/>
      <c r="J3526" s="309"/>
    </row>
    <row r="3527">
      <c r="B3527" s="309"/>
      <c r="C3527" s="309"/>
      <c r="I3527" s="309"/>
      <c r="J3527" s="309"/>
    </row>
    <row r="3528">
      <c r="B3528" s="309"/>
      <c r="C3528" s="309"/>
      <c r="I3528" s="309"/>
      <c r="J3528" s="309"/>
    </row>
    <row r="3529">
      <c r="B3529" s="309"/>
      <c r="C3529" s="309"/>
      <c r="I3529" s="309"/>
      <c r="J3529" s="309"/>
    </row>
    <row r="3530">
      <c r="B3530" s="309"/>
      <c r="C3530" s="309"/>
      <c r="I3530" s="309"/>
      <c r="J3530" s="309"/>
    </row>
    <row r="3531">
      <c r="B3531" s="309"/>
      <c r="C3531" s="309"/>
      <c r="I3531" s="309"/>
      <c r="J3531" s="309"/>
    </row>
    <row r="3532">
      <c r="B3532" s="309"/>
      <c r="C3532" s="309"/>
      <c r="I3532" s="309"/>
      <c r="J3532" s="309"/>
    </row>
    <row r="3533">
      <c r="B3533" s="309"/>
      <c r="C3533" s="309"/>
      <c r="I3533" s="309"/>
      <c r="J3533" s="309"/>
    </row>
    <row r="3534">
      <c r="B3534" s="309"/>
      <c r="C3534" s="309"/>
      <c r="I3534" s="309"/>
      <c r="J3534" s="309"/>
    </row>
    <row r="3535">
      <c r="B3535" s="309"/>
      <c r="C3535" s="309"/>
      <c r="I3535" s="309"/>
      <c r="J3535" s="309"/>
    </row>
    <row r="3536">
      <c r="B3536" s="309"/>
      <c r="C3536" s="309"/>
      <c r="I3536" s="309"/>
      <c r="J3536" s="309"/>
    </row>
    <row r="3537">
      <c r="B3537" s="309"/>
      <c r="C3537" s="309"/>
      <c r="I3537" s="309"/>
      <c r="J3537" s="309"/>
    </row>
    <row r="3538">
      <c r="B3538" s="309"/>
      <c r="C3538" s="309"/>
      <c r="I3538" s="309"/>
      <c r="J3538" s="309"/>
    </row>
    <row r="3539">
      <c r="B3539" s="309"/>
      <c r="C3539" s="309"/>
      <c r="I3539" s="309"/>
      <c r="J3539" s="309"/>
    </row>
    <row r="3540">
      <c r="B3540" s="309"/>
      <c r="C3540" s="309"/>
      <c r="I3540" s="309"/>
      <c r="J3540" s="309"/>
    </row>
    <row r="3541">
      <c r="B3541" s="309"/>
      <c r="C3541" s="309"/>
      <c r="I3541" s="309"/>
      <c r="J3541" s="309"/>
    </row>
    <row r="3542">
      <c r="B3542" s="309"/>
      <c r="C3542" s="309"/>
      <c r="I3542" s="309"/>
      <c r="J3542" s="309"/>
    </row>
    <row r="3543">
      <c r="B3543" s="309"/>
      <c r="C3543" s="309"/>
      <c r="I3543" s="309"/>
      <c r="J3543" s="309"/>
    </row>
    <row r="3544">
      <c r="B3544" s="309"/>
      <c r="C3544" s="309"/>
      <c r="I3544" s="309"/>
      <c r="J3544" s="309"/>
    </row>
    <row r="3545">
      <c r="B3545" s="309"/>
      <c r="C3545" s="309"/>
      <c r="I3545" s="309"/>
      <c r="J3545" s="309"/>
    </row>
    <row r="3546">
      <c r="B3546" s="309"/>
      <c r="C3546" s="309"/>
      <c r="I3546" s="309"/>
      <c r="J3546" s="309"/>
    </row>
    <row r="3547">
      <c r="B3547" s="309"/>
      <c r="C3547" s="309"/>
      <c r="I3547" s="309"/>
      <c r="J3547" s="309"/>
    </row>
    <row r="3548">
      <c r="B3548" s="309"/>
      <c r="C3548" s="309"/>
      <c r="I3548" s="309"/>
      <c r="J3548" s="309"/>
    </row>
    <row r="3549">
      <c r="B3549" s="309"/>
      <c r="C3549" s="309"/>
      <c r="I3549" s="309"/>
      <c r="J3549" s="309"/>
    </row>
    <row r="3550">
      <c r="B3550" s="309"/>
      <c r="C3550" s="309"/>
      <c r="I3550" s="309"/>
      <c r="J3550" s="309"/>
    </row>
    <row r="3551">
      <c r="B3551" s="309"/>
      <c r="C3551" s="309"/>
      <c r="I3551" s="309"/>
      <c r="J3551" s="309"/>
    </row>
    <row r="3552">
      <c r="B3552" s="309"/>
      <c r="C3552" s="309"/>
      <c r="I3552" s="309"/>
      <c r="J3552" s="309"/>
    </row>
    <row r="3553">
      <c r="B3553" s="309"/>
      <c r="C3553" s="309"/>
      <c r="I3553" s="309"/>
      <c r="J3553" s="309"/>
    </row>
    <row r="3554">
      <c r="B3554" s="309"/>
      <c r="C3554" s="309"/>
      <c r="I3554" s="309"/>
      <c r="J3554" s="309"/>
    </row>
    <row r="3555">
      <c r="B3555" s="309"/>
      <c r="C3555" s="309"/>
      <c r="I3555" s="309"/>
      <c r="J3555" s="309"/>
    </row>
    <row r="3556">
      <c r="B3556" s="309"/>
      <c r="C3556" s="309"/>
      <c r="I3556" s="309"/>
      <c r="J3556" s="309"/>
    </row>
    <row r="3557">
      <c r="B3557" s="309"/>
      <c r="C3557" s="309"/>
      <c r="I3557" s="309"/>
      <c r="J3557" s="309"/>
    </row>
    <row r="3558">
      <c r="B3558" s="309"/>
      <c r="C3558" s="309"/>
      <c r="I3558" s="309"/>
      <c r="J3558" s="309"/>
    </row>
    <row r="3559">
      <c r="B3559" s="309"/>
      <c r="C3559" s="309"/>
      <c r="I3559" s="309"/>
      <c r="J3559" s="309"/>
    </row>
    <row r="3560">
      <c r="B3560" s="309"/>
      <c r="C3560" s="309"/>
      <c r="I3560" s="309"/>
      <c r="J3560" s="309"/>
    </row>
    <row r="3561">
      <c r="B3561" s="309"/>
      <c r="C3561" s="309"/>
      <c r="I3561" s="309"/>
      <c r="J3561" s="309"/>
    </row>
    <row r="3562">
      <c r="B3562" s="309"/>
      <c r="C3562" s="309"/>
      <c r="I3562" s="309"/>
      <c r="J3562" s="309"/>
    </row>
    <row r="3563">
      <c r="B3563" s="309"/>
      <c r="C3563" s="309"/>
      <c r="I3563" s="309"/>
      <c r="J3563" s="309"/>
    </row>
    <row r="3564">
      <c r="B3564" s="309"/>
      <c r="C3564" s="309"/>
      <c r="I3564" s="309"/>
      <c r="J3564" s="309"/>
    </row>
    <row r="3565">
      <c r="B3565" s="309"/>
      <c r="C3565" s="309"/>
      <c r="I3565" s="309"/>
      <c r="J3565" s="309"/>
    </row>
    <row r="3566">
      <c r="B3566" s="309"/>
      <c r="C3566" s="309"/>
      <c r="I3566" s="309"/>
      <c r="J3566" s="309"/>
    </row>
    <row r="3567">
      <c r="B3567" s="309"/>
      <c r="C3567" s="309"/>
      <c r="I3567" s="309"/>
      <c r="J3567" s="309"/>
    </row>
    <row r="3568">
      <c r="B3568" s="309"/>
      <c r="C3568" s="309"/>
      <c r="I3568" s="309"/>
      <c r="J3568" s="309"/>
    </row>
    <row r="3569">
      <c r="B3569" s="309"/>
      <c r="C3569" s="309"/>
      <c r="I3569" s="309"/>
      <c r="J3569" s="309"/>
    </row>
    <row r="3570">
      <c r="B3570" s="309"/>
      <c r="C3570" s="309"/>
      <c r="I3570" s="309"/>
      <c r="J3570" s="309"/>
    </row>
    <row r="3571">
      <c r="B3571" s="309"/>
      <c r="C3571" s="309"/>
      <c r="I3571" s="309"/>
      <c r="J3571" s="309"/>
    </row>
    <row r="3572">
      <c r="B3572" s="309"/>
      <c r="C3572" s="309"/>
      <c r="I3572" s="309"/>
      <c r="J3572" s="309"/>
    </row>
    <row r="3573">
      <c r="B3573" s="309"/>
      <c r="C3573" s="309"/>
      <c r="I3573" s="309"/>
      <c r="J3573" s="309"/>
    </row>
    <row r="3574">
      <c r="B3574" s="309"/>
      <c r="C3574" s="309"/>
      <c r="I3574" s="309"/>
      <c r="J3574" s="309"/>
    </row>
    <row r="3575">
      <c r="B3575" s="309"/>
      <c r="C3575" s="309"/>
      <c r="I3575" s="309"/>
      <c r="J3575" s="309"/>
    </row>
    <row r="3576">
      <c r="B3576" s="309"/>
      <c r="C3576" s="309"/>
      <c r="I3576" s="309"/>
      <c r="J3576" s="309"/>
    </row>
    <row r="3577">
      <c r="B3577" s="309"/>
      <c r="C3577" s="309"/>
      <c r="I3577" s="309"/>
      <c r="J3577" s="309"/>
    </row>
    <row r="3578">
      <c r="B3578" s="309"/>
      <c r="C3578" s="309"/>
      <c r="I3578" s="309"/>
      <c r="J3578" s="309"/>
    </row>
    <row r="3579">
      <c r="B3579" s="309"/>
      <c r="C3579" s="309"/>
      <c r="I3579" s="309"/>
      <c r="J3579" s="309"/>
    </row>
    <row r="3580">
      <c r="B3580" s="309"/>
      <c r="C3580" s="309"/>
      <c r="I3580" s="309"/>
      <c r="J3580" s="309"/>
    </row>
    <row r="3581">
      <c r="B3581" s="309"/>
      <c r="C3581" s="309"/>
      <c r="I3581" s="309"/>
      <c r="J3581" s="309"/>
    </row>
    <row r="3582">
      <c r="B3582" s="309"/>
      <c r="C3582" s="309"/>
      <c r="I3582" s="309"/>
      <c r="J3582" s="309"/>
    </row>
    <row r="3583">
      <c r="B3583" s="309"/>
      <c r="C3583" s="309"/>
      <c r="I3583" s="309"/>
      <c r="J3583" s="309"/>
    </row>
    <row r="3584">
      <c r="B3584" s="309"/>
      <c r="C3584" s="309"/>
      <c r="I3584" s="309"/>
      <c r="J3584" s="309"/>
    </row>
    <row r="3585">
      <c r="B3585" s="309"/>
      <c r="C3585" s="309"/>
      <c r="I3585" s="309"/>
      <c r="J3585" s="309"/>
    </row>
    <row r="3586">
      <c r="B3586" s="309"/>
      <c r="C3586" s="309"/>
      <c r="I3586" s="309"/>
      <c r="J3586" s="309"/>
    </row>
    <row r="3587">
      <c r="B3587" s="309"/>
      <c r="C3587" s="309"/>
      <c r="I3587" s="309"/>
      <c r="J3587" s="309"/>
    </row>
    <row r="3588">
      <c r="B3588" s="309"/>
      <c r="C3588" s="309"/>
      <c r="I3588" s="309"/>
      <c r="J3588" s="309"/>
    </row>
    <row r="3589">
      <c r="B3589" s="309"/>
      <c r="C3589" s="309"/>
      <c r="I3589" s="309"/>
      <c r="J3589" s="309"/>
    </row>
    <row r="3590">
      <c r="B3590" s="309"/>
      <c r="C3590" s="309"/>
      <c r="I3590" s="309"/>
      <c r="J3590" s="309"/>
    </row>
    <row r="3591">
      <c r="B3591" s="309"/>
      <c r="C3591" s="309"/>
      <c r="I3591" s="309"/>
      <c r="J3591" s="309"/>
    </row>
    <row r="3592">
      <c r="B3592" s="309"/>
      <c r="C3592" s="309"/>
      <c r="I3592" s="309"/>
      <c r="J3592" s="309"/>
    </row>
    <row r="3593">
      <c r="B3593" s="309"/>
      <c r="C3593" s="309"/>
      <c r="I3593" s="309"/>
      <c r="J3593" s="309"/>
    </row>
    <row r="3594">
      <c r="B3594" s="309"/>
      <c r="C3594" s="309"/>
      <c r="I3594" s="309"/>
      <c r="J3594" s="309"/>
    </row>
    <row r="3595">
      <c r="B3595" s="309"/>
      <c r="C3595" s="309"/>
      <c r="I3595" s="309"/>
      <c r="J3595" s="309"/>
    </row>
    <row r="3596">
      <c r="B3596" s="309"/>
      <c r="C3596" s="309"/>
      <c r="I3596" s="309"/>
      <c r="J3596" s="309"/>
    </row>
    <row r="3597">
      <c r="B3597" s="309"/>
      <c r="C3597" s="309"/>
      <c r="I3597" s="309"/>
      <c r="J3597" s="309"/>
    </row>
    <row r="3598">
      <c r="B3598" s="309"/>
      <c r="C3598" s="309"/>
      <c r="I3598" s="309"/>
      <c r="J3598" s="309"/>
    </row>
    <row r="3599">
      <c r="B3599" s="309"/>
      <c r="C3599" s="309"/>
      <c r="I3599" s="309"/>
      <c r="J3599" s="309"/>
    </row>
    <row r="3600">
      <c r="B3600" s="309"/>
      <c r="C3600" s="309"/>
      <c r="I3600" s="309"/>
      <c r="J3600" s="309"/>
    </row>
    <row r="3601">
      <c r="B3601" s="309"/>
      <c r="C3601" s="309"/>
      <c r="I3601" s="309"/>
      <c r="J3601" s="309"/>
    </row>
    <row r="3602">
      <c r="B3602" s="309"/>
      <c r="C3602" s="309"/>
      <c r="I3602" s="309"/>
      <c r="J3602" s="309"/>
    </row>
    <row r="3603">
      <c r="B3603" s="309"/>
      <c r="C3603" s="309"/>
      <c r="I3603" s="309"/>
      <c r="J3603" s="309"/>
    </row>
    <row r="3604">
      <c r="B3604" s="309"/>
      <c r="C3604" s="309"/>
      <c r="I3604" s="309"/>
      <c r="J3604" s="309"/>
    </row>
    <row r="3605">
      <c r="B3605" s="309"/>
      <c r="C3605" s="309"/>
      <c r="I3605" s="309"/>
      <c r="J3605" s="309"/>
    </row>
    <row r="3606">
      <c r="B3606" s="309"/>
      <c r="C3606" s="309"/>
      <c r="I3606" s="309"/>
      <c r="J3606" s="309"/>
    </row>
    <row r="3607">
      <c r="B3607" s="309"/>
      <c r="C3607" s="309"/>
      <c r="I3607" s="309"/>
      <c r="J3607" s="309"/>
    </row>
    <row r="3608">
      <c r="B3608" s="309"/>
      <c r="C3608" s="309"/>
      <c r="I3608" s="309"/>
      <c r="J3608" s="309"/>
    </row>
    <row r="3609">
      <c r="B3609" s="309"/>
      <c r="C3609" s="309"/>
      <c r="I3609" s="309"/>
      <c r="J3609" s="309"/>
    </row>
    <row r="3610">
      <c r="B3610" s="309"/>
      <c r="C3610" s="309"/>
      <c r="I3610" s="309"/>
      <c r="J3610" s="309"/>
    </row>
    <row r="3611">
      <c r="B3611" s="309"/>
      <c r="C3611" s="309"/>
      <c r="I3611" s="309"/>
      <c r="J3611" s="309"/>
    </row>
    <row r="3612">
      <c r="B3612" s="309"/>
      <c r="C3612" s="309"/>
      <c r="I3612" s="309"/>
      <c r="J3612" s="309"/>
    </row>
    <row r="3613">
      <c r="B3613" s="309"/>
      <c r="C3613" s="309"/>
      <c r="I3613" s="309"/>
      <c r="J3613" s="309"/>
    </row>
    <row r="3614">
      <c r="B3614" s="309"/>
      <c r="C3614" s="309"/>
      <c r="I3614" s="309"/>
      <c r="J3614" s="309"/>
    </row>
    <row r="3615">
      <c r="B3615" s="309"/>
      <c r="C3615" s="309"/>
      <c r="I3615" s="309"/>
      <c r="J3615" s="309"/>
    </row>
    <row r="3616">
      <c r="B3616" s="309"/>
      <c r="C3616" s="309"/>
      <c r="I3616" s="309"/>
      <c r="J3616" s="309"/>
    </row>
    <row r="3617">
      <c r="B3617" s="309"/>
      <c r="C3617" s="309"/>
      <c r="I3617" s="309"/>
      <c r="J3617" s="309"/>
    </row>
    <row r="3618">
      <c r="B3618" s="309"/>
      <c r="C3618" s="309"/>
      <c r="I3618" s="309"/>
      <c r="J3618" s="309"/>
    </row>
    <row r="3619">
      <c r="B3619" s="309"/>
      <c r="C3619" s="309"/>
      <c r="I3619" s="309"/>
      <c r="J3619" s="309"/>
    </row>
    <row r="3620">
      <c r="B3620" s="309"/>
      <c r="C3620" s="309"/>
      <c r="I3620" s="309"/>
      <c r="J3620" s="309"/>
    </row>
    <row r="3621">
      <c r="B3621" s="309"/>
      <c r="C3621" s="309"/>
      <c r="I3621" s="309"/>
      <c r="J3621" s="309"/>
    </row>
    <row r="3622">
      <c r="B3622" s="309"/>
      <c r="C3622" s="309"/>
      <c r="I3622" s="309"/>
      <c r="J3622" s="309"/>
    </row>
    <row r="3623">
      <c r="B3623" s="309"/>
      <c r="C3623" s="309"/>
      <c r="I3623" s="309"/>
      <c r="J3623" s="309"/>
    </row>
    <row r="3624">
      <c r="B3624" s="309"/>
      <c r="C3624" s="309"/>
      <c r="I3624" s="309"/>
      <c r="J3624" s="309"/>
    </row>
    <row r="3625">
      <c r="B3625" s="309"/>
      <c r="C3625" s="309"/>
      <c r="I3625" s="309"/>
      <c r="J3625" s="309"/>
    </row>
    <row r="3626">
      <c r="B3626" s="309"/>
      <c r="C3626" s="309"/>
      <c r="I3626" s="309"/>
      <c r="J3626" s="309"/>
    </row>
    <row r="3627">
      <c r="B3627" s="309"/>
      <c r="C3627" s="309"/>
      <c r="I3627" s="309"/>
      <c r="J3627" s="309"/>
    </row>
    <row r="3628">
      <c r="B3628" s="309"/>
      <c r="C3628" s="309"/>
      <c r="I3628" s="309"/>
      <c r="J3628" s="309"/>
    </row>
    <row r="3629">
      <c r="B3629" s="309"/>
      <c r="C3629" s="309"/>
      <c r="I3629" s="309"/>
      <c r="J3629" s="309"/>
    </row>
    <row r="3630">
      <c r="B3630" s="309"/>
      <c r="C3630" s="309"/>
      <c r="I3630" s="309"/>
      <c r="J3630" s="309"/>
    </row>
    <row r="3631">
      <c r="B3631" s="309"/>
      <c r="C3631" s="309"/>
      <c r="I3631" s="309"/>
      <c r="J3631" s="309"/>
    </row>
    <row r="3632">
      <c r="B3632" s="309"/>
      <c r="C3632" s="309"/>
      <c r="I3632" s="309"/>
      <c r="J3632" s="309"/>
    </row>
    <row r="3633">
      <c r="B3633" s="309"/>
      <c r="C3633" s="309"/>
      <c r="I3633" s="309"/>
      <c r="J3633" s="309"/>
    </row>
    <row r="3634">
      <c r="B3634" s="309"/>
      <c r="C3634" s="309"/>
      <c r="I3634" s="309"/>
      <c r="J3634" s="309"/>
    </row>
    <row r="3635">
      <c r="B3635" s="309"/>
      <c r="C3635" s="309"/>
      <c r="I3635" s="309"/>
      <c r="J3635" s="309"/>
    </row>
    <row r="3636">
      <c r="B3636" s="309"/>
      <c r="C3636" s="309"/>
      <c r="I3636" s="309"/>
      <c r="J3636" s="309"/>
    </row>
    <row r="3637">
      <c r="B3637" s="309"/>
      <c r="C3637" s="309"/>
      <c r="I3637" s="309"/>
      <c r="J3637" s="309"/>
    </row>
    <row r="3638">
      <c r="B3638" s="309"/>
      <c r="C3638" s="309"/>
      <c r="I3638" s="309"/>
      <c r="J3638" s="309"/>
    </row>
    <row r="3639">
      <c r="B3639" s="309"/>
      <c r="C3639" s="309"/>
      <c r="I3639" s="309"/>
      <c r="J3639" s="309"/>
    </row>
    <row r="3640">
      <c r="B3640" s="309"/>
      <c r="C3640" s="309"/>
      <c r="I3640" s="309"/>
      <c r="J3640" s="309"/>
    </row>
    <row r="3641">
      <c r="B3641" s="309"/>
      <c r="C3641" s="309"/>
      <c r="I3641" s="309"/>
      <c r="J3641" s="309"/>
    </row>
    <row r="3642">
      <c r="B3642" s="309"/>
      <c r="C3642" s="309"/>
      <c r="I3642" s="309"/>
      <c r="J3642" s="309"/>
    </row>
    <row r="3643">
      <c r="B3643" s="309"/>
      <c r="C3643" s="309"/>
      <c r="I3643" s="309"/>
      <c r="J3643" s="309"/>
    </row>
    <row r="3644">
      <c r="B3644" s="309"/>
      <c r="C3644" s="309"/>
      <c r="I3644" s="309"/>
      <c r="J3644" s="309"/>
    </row>
    <row r="3645">
      <c r="B3645" s="309"/>
      <c r="C3645" s="309"/>
      <c r="I3645" s="309"/>
      <c r="J3645" s="309"/>
    </row>
    <row r="3646">
      <c r="B3646" s="309"/>
      <c r="C3646" s="309"/>
      <c r="I3646" s="309"/>
      <c r="J3646" s="309"/>
    </row>
    <row r="3647">
      <c r="B3647" s="309"/>
      <c r="C3647" s="309"/>
      <c r="I3647" s="309"/>
      <c r="J3647" s="309"/>
    </row>
    <row r="3648">
      <c r="B3648" s="309"/>
      <c r="C3648" s="309"/>
      <c r="I3648" s="309"/>
      <c r="J3648" s="309"/>
    </row>
    <row r="3649">
      <c r="B3649" s="309"/>
      <c r="C3649" s="309"/>
      <c r="I3649" s="309"/>
      <c r="J3649" s="309"/>
    </row>
    <row r="3650">
      <c r="B3650" s="309"/>
      <c r="C3650" s="309"/>
      <c r="I3650" s="309"/>
      <c r="J3650" s="309"/>
    </row>
    <row r="3651">
      <c r="B3651" s="309"/>
      <c r="C3651" s="309"/>
      <c r="I3651" s="309"/>
      <c r="J3651" s="309"/>
    </row>
    <row r="3652">
      <c r="B3652" s="309"/>
      <c r="C3652" s="309"/>
      <c r="I3652" s="309"/>
      <c r="J3652" s="309"/>
    </row>
    <row r="3653">
      <c r="B3653" s="309"/>
      <c r="C3653" s="309"/>
      <c r="I3653" s="309"/>
      <c r="J3653" s="309"/>
    </row>
    <row r="3654">
      <c r="B3654" s="309"/>
      <c r="C3654" s="309"/>
      <c r="I3654" s="309"/>
      <c r="J3654" s="309"/>
    </row>
    <row r="3655">
      <c r="B3655" s="309"/>
      <c r="C3655" s="309"/>
      <c r="I3655" s="309"/>
      <c r="J3655" s="309"/>
    </row>
    <row r="3656">
      <c r="B3656" s="309"/>
      <c r="C3656" s="309"/>
      <c r="I3656" s="309"/>
      <c r="J3656" s="309"/>
    </row>
    <row r="3657">
      <c r="B3657" s="309"/>
      <c r="C3657" s="309"/>
      <c r="I3657" s="309"/>
      <c r="J3657" s="309"/>
    </row>
    <row r="3658">
      <c r="B3658" s="309"/>
      <c r="C3658" s="309"/>
      <c r="I3658" s="309"/>
      <c r="J3658" s="309"/>
    </row>
    <row r="3659">
      <c r="B3659" s="309"/>
      <c r="C3659" s="309"/>
      <c r="I3659" s="309"/>
      <c r="J3659" s="309"/>
    </row>
    <row r="3660">
      <c r="B3660" s="309"/>
      <c r="C3660" s="309"/>
      <c r="I3660" s="309"/>
      <c r="J3660" s="309"/>
    </row>
    <row r="3661">
      <c r="B3661" s="309"/>
      <c r="C3661" s="309"/>
      <c r="I3661" s="309"/>
      <c r="J3661" s="309"/>
    </row>
    <row r="3662">
      <c r="B3662" s="309"/>
      <c r="C3662" s="309"/>
      <c r="I3662" s="309"/>
      <c r="J3662" s="309"/>
    </row>
    <row r="3663">
      <c r="B3663" s="309"/>
      <c r="C3663" s="309"/>
      <c r="I3663" s="309"/>
      <c r="J3663" s="309"/>
    </row>
    <row r="3664">
      <c r="B3664" s="309"/>
      <c r="C3664" s="309"/>
      <c r="I3664" s="309"/>
      <c r="J3664" s="309"/>
    </row>
    <row r="3665">
      <c r="B3665" s="309"/>
      <c r="C3665" s="309"/>
      <c r="I3665" s="309"/>
      <c r="J3665" s="309"/>
    </row>
    <row r="3666">
      <c r="B3666" s="309"/>
      <c r="C3666" s="309"/>
      <c r="I3666" s="309"/>
      <c r="J3666" s="309"/>
    </row>
    <row r="3667">
      <c r="B3667" s="309"/>
      <c r="C3667" s="309"/>
      <c r="I3667" s="309"/>
      <c r="J3667" s="309"/>
    </row>
    <row r="3668">
      <c r="B3668" s="309"/>
      <c r="C3668" s="309"/>
      <c r="I3668" s="309"/>
      <c r="J3668" s="309"/>
    </row>
    <row r="3669">
      <c r="B3669" s="309"/>
      <c r="C3669" s="309"/>
      <c r="I3669" s="309"/>
      <c r="J3669" s="309"/>
    </row>
    <row r="3670">
      <c r="B3670" s="309"/>
      <c r="C3670" s="309"/>
      <c r="I3670" s="309"/>
      <c r="J3670" s="309"/>
    </row>
    <row r="3671">
      <c r="B3671" s="309"/>
      <c r="C3671" s="309"/>
      <c r="I3671" s="309"/>
      <c r="J3671" s="309"/>
    </row>
    <row r="3672">
      <c r="B3672" s="309"/>
      <c r="C3672" s="309"/>
      <c r="I3672" s="309"/>
      <c r="J3672" s="309"/>
    </row>
    <row r="3673">
      <c r="B3673" s="309"/>
      <c r="C3673" s="309"/>
      <c r="I3673" s="309"/>
      <c r="J3673" s="309"/>
    </row>
    <row r="3674">
      <c r="B3674" s="309"/>
      <c r="C3674" s="309"/>
      <c r="I3674" s="309"/>
      <c r="J3674" s="309"/>
    </row>
    <row r="3675">
      <c r="B3675" s="309"/>
      <c r="C3675" s="309"/>
      <c r="I3675" s="309"/>
      <c r="J3675" s="309"/>
    </row>
    <row r="3676">
      <c r="B3676" s="309"/>
      <c r="C3676" s="309"/>
      <c r="I3676" s="309"/>
      <c r="J3676" s="309"/>
    </row>
    <row r="3677">
      <c r="B3677" s="309"/>
      <c r="C3677" s="309"/>
      <c r="I3677" s="309"/>
      <c r="J3677" s="309"/>
    </row>
    <row r="3678">
      <c r="B3678" s="309"/>
      <c r="C3678" s="309"/>
      <c r="I3678" s="309"/>
      <c r="J3678" s="309"/>
    </row>
    <row r="3679">
      <c r="B3679" s="309"/>
      <c r="C3679" s="309"/>
      <c r="I3679" s="309"/>
      <c r="J3679" s="309"/>
    </row>
    <row r="3680">
      <c r="B3680" s="309"/>
      <c r="C3680" s="309"/>
      <c r="I3680" s="309"/>
      <c r="J3680" s="309"/>
    </row>
    <row r="3681">
      <c r="B3681" s="309"/>
      <c r="C3681" s="309"/>
      <c r="I3681" s="309"/>
      <c r="J3681" s="309"/>
    </row>
    <row r="3682">
      <c r="B3682" s="309"/>
      <c r="C3682" s="309"/>
      <c r="I3682" s="309"/>
      <c r="J3682" s="309"/>
    </row>
    <row r="3683">
      <c r="B3683" s="309"/>
      <c r="C3683" s="309"/>
      <c r="I3683" s="309"/>
      <c r="J3683" s="309"/>
    </row>
    <row r="3684">
      <c r="B3684" s="309"/>
      <c r="C3684" s="309"/>
      <c r="I3684" s="309"/>
      <c r="J3684" s="309"/>
    </row>
    <row r="3685">
      <c r="B3685" s="309"/>
      <c r="C3685" s="309"/>
      <c r="I3685" s="309"/>
      <c r="J3685" s="309"/>
    </row>
    <row r="3686">
      <c r="B3686" s="309"/>
      <c r="C3686" s="309"/>
      <c r="I3686" s="309"/>
      <c r="J3686" s="309"/>
    </row>
    <row r="3687">
      <c r="B3687" s="309"/>
      <c r="C3687" s="309"/>
      <c r="I3687" s="309"/>
      <c r="J3687" s="309"/>
    </row>
    <row r="3688">
      <c r="B3688" s="309"/>
      <c r="C3688" s="309"/>
      <c r="I3688" s="309"/>
      <c r="J3688" s="309"/>
    </row>
    <row r="3689">
      <c r="B3689" s="309"/>
      <c r="C3689" s="309"/>
      <c r="I3689" s="309"/>
      <c r="J3689" s="309"/>
    </row>
    <row r="3690">
      <c r="B3690" s="309"/>
      <c r="C3690" s="309"/>
      <c r="I3690" s="309"/>
      <c r="J3690" s="309"/>
    </row>
    <row r="3691">
      <c r="B3691" s="309"/>
      <c r="C3691" s="309"/>
      <c r="I3691" s="309"/>
      <c r="J3691" s="309"/>
    </row>
    <row r="3692">
      <c r="B3692" s="309"/>
      <c r="C3692" s="309"/>
      <c r="I3692" s="309"/>
      <c r="J3692" s="309"/>
    </row>
    <row r="3693">
      <c r="B3693" s="309"/>
      <c r="C3693" s="309"/>
      <c r="I3693" s="309"/>
      <c r="J3693" s="309"/>
    </row>
    <row r="3694">
      <c r="B3694" s="309"/>
      <c r="C3694" s="309"/>
      <c r="I3694" s="309"/>
      <c r="J3694" s="309"/>
    </row>
    <row r="3695">
      <c r="B3695" s="309"/>
      <c r="C3695" s="309"/>
      <c r="I3695" s="309"/>
      <c r="J3695" s="309"/>
    </row>
    <row r="3696">
      <c r="B3696" s="309"/>
      <c r="C3696" s="309"/>
      <c r="I3696" s="309"/>
      <c r="J3696" s="309"/>
    </row>
    <row r="3697">
      <c r="B3697" s="309"/>
      <c r="C3697" s="309"/>
      <c r="I3697" s="309"/>
      <c r="J3697" s="309"/>
    </row>
    <row r="3698">
      <c r="B3698" s="309"/>
      <c r="C3698" s="309"/>
      <c r="I3698" s="309"/>
      <c r="J3698" s="309"/>
    </row>
    <row r="3699">
      <c r="B3699" s="309"/>
      <c r="C3699" s="309"/>
      <c r="I3699" s="309"/>
      <c r="J3699" s="309"/>
    </row>
    <row r="3700">
      <c r="B3700" s="309"/>
      <c r="C3700" s="309"/>
      <c r="I3700" s="309"/>
      <c r="J3700" s="309"/>
    </row>
    <row r="3701">
      <c r="B3701" s="309"/>
      <c r="C3701" s="309"/>
      <c r="I3701" s="309"/>
      <c r="J3701" s="309"/>
    </row>
    <row r="3702">
      <c r="B3702" s="309"/>
      <c r="C3702" s="309"/>
      <c r="I3702" s="309"/>
      <c r="J3702" s="309"/>
    </row>
    <row r="3703">
      <c r="B3703" s="309"/>
      <c r="C3703" s="309"/>
      <c r="I3703" s="309"/>
      <c r="J3703" s="309"/>
    </row>
    <row r="3704">
      <c r="B3704" s="309"/>
      <c r="C3704" s="309"/>
      <c r="I3704" s="309"/>
      <c r="J3704" s="309"/>
    </row>
    <row r="3705">
      <c r="B3705" s="309"/>
      <c r="C3705" s="309"/>
      <c r="I3705" s="309"/>
      <c r="J3705" s="309"/>
    </row>
    <row r="3706">
      <c r="B3706" s="309"/>
      <c r="C3706" s="309"/>
      <c r="I3706" s="309"/>
      <c r="J3706" s="309"/>
    </row>
    <row r="3707">
      <c r="B3707" s="309"/>
      <c r="C3707" s="309"/>
      <c r="I3707" s="309"/>
      <c r="J3707" s="309"/>
    </row>
    <row r="3708">
      <c r="B3708" s="309"/>
      <c r="C3708" s="309"/>
      <c r="I3708" s="309"/>
      <c r="J3708" s="309"/>
    </row>
    <row r="3709">
      <c r="B3709" s="309"/>
      <c r="C3709" s="309"/>
      <c r="I3709" s="309"/>
      <c r="J3709" s="309"/>
    </row>
    <row r="3710">
      <c r="B3710" s="309"/>
      <c r="C3710" s="309"/>
      <c r="I3710" s="309"/>
      <c r="J3710" s="309"/>
    </row>
    <row r="3711">
      <c r="B3711" s="309"/>
      <c r="C3711" s="309"/>
      <c r="I3711" s="309"/>
      <c r="J3711" s="309"/>
    </row>
    <row r="3712">
      <c r="B3712" s="309"/>
      <c r="C3712" s="309"/>
      <c r="I3712" s="309"/>
      <c r="J3712" s="309"/>
    </row>
    <row r="3713">
      <c r="B3713" s="309"/>
      <c r="C3713" s="309"/>
      <c r="I3713" s="309"/>
      <c r="J3713" s="309"/>
    </row>
    <row r="3714">
      <c r="B3714" s="309"/>
      <c r="C3714" s="309"/>
      <c r="I3714" s="309"/>
      <c r="J3714" s="309"/>
    </row>
    <row r="3715">
      <c r="B3715" s="309"/>
      <c r="C3715" s="309"/>
      <c r="I3715" s="309"/>
      <c r="J3715" s="309"/>
    </row>
    <row r="3716">
      <c r="B3716" s="309"/>
      <c r="C3716" s="309"/>
      <c r="I3716" s="309"/>
      <c r="J3716" s="309"/>
    </row>
    <row r="3717">
      <c r="B3717" s="309"/>
      <c r="C3717" s="309"/>
      <c r="I3717" s="309"/>
      <c r="J3717" s="309"/>
    </row>
    <row r="3718">
      <c r="B3718" s="309"/>
      <c r="C3718" s="309"/>
      <c r="I3718" s="309"/>
      <c r="J3718" s="309"/>
    </row>
    <row r="3719">
      <c r="B3719" s="309"/>
      <c r="C3719" s="309"/>
      <c r="I3719" s="309"/>
      <c r="J3719" s="309"/>
    </row>
    <row r="3720">
      <c r="B3720" s="309"/>
      <c r="C3720" s="309"/>
      <c r="I3720" s="309"/>
      <c r="J3720" s="309"/>
    </row>
    <row r="3721">
      <c r="B3721" s="309"/>
      <c r="C3721" s="309"/>
      <c r="I3721" s="309"/>
      <c r="J3721" s="309"/>
    </row>
    <row r="3722">
      <c r="B3722" s="309"/>
      <c r="C3722" s="309"/>
      <c r="I3722" s="309"/>
      <c r="J3722" s="309"/>
    </row>
    <row r="3723">
      <c r="B3723" s="309"/>
      <c r="C3723" s="309"/>
      <c r="I3723" s="309"/>
      <c r="J3723" s="309"/>
    </row>
    <row r="3724">
      <c r="B3724" s="309"/>
      <c r="C3724" s="309"/>
      <c r="I3724" s="309"/>
      <c r="J3724" s="309"/>
    </row>
    <row r="3725">
      <c r="B3725" s="309"/>
      <c r="C3725" s="309"/>
      <c r="I3725" s="309"/>
      <c r="J3725" s="309"/>
    </row>
    <row r="3726">
      <c r="B3726" s="309"/>
      <c r="C3726" s="309"/>
      <c r="I3726" s="309"/>
      <c r="J3726" s="309"/>
    </row>
    <row r="3727">
      <c r="B3727" s="309"/>
      <c r="C3727" s="309"/>
      <c r="I3727" s="309"/>
      <c r="J3727" s="309"/>
    </row>
    <row r="3728">
      <c r="B3728" s="309"/>
      <c r="C3728" s="309"/>
      <c r="I3728" s="309"/>
      <c r="J3728" s="309"/>
    </row>
    <row r="3729">
      <c r="B3729" s="309"/>
      <c r="C3729" s="309"/>
      <c r="I3729" s="309"/>
      <c r="J3729" s="309"/>
    </row>
    <row r="3730">
      <c r="B3730" s="309"/>
      <c r="C3730" s="309"/>
      <c r="I3730" s="309"/>
      <c r="J3730" s="309"/>
    </row>
    <row r="3731">
      <c r="B3731" s="309"/>
      <c r="C3731" s="309"/>
      <c r="I3731" s="309"/>
      <c r="J3731" s="309"/>
    </row>
    <row r="3732">
      <c r="B3732" s="309"/>
      <c r="C3732" s="309"/>
      <c r="I3732" s="309"/>
      <c r="J3732" s="309"/>
    </row>
    <row r="3733">
      <c r="B3733" s="309"/>
      <c r="C3733" s="309"/>
      <c r="I3733" s="309"/>
      <c r="J3733" s="309"/>
    </row>
    <row r="3734">
      <c r="B3734" s="309"/>
      <c r="C3734" s="309"/>
      <c r="I3734" s="309"/>
      <c r="J3734" s="309"/>
    </row>
    <row r="3735">
      <c r="B3735" s="309"/>
      <c r="C3735" s="309"/>
      <c r="I3735" s="309"/>
      <c r="J3735" s="309"/>
    </row>
    <row r="3736">
      <c r="B3736" s="309"/>
      <c r="C3736" s="309"/>
      <c r="I3736" s="309"/>
      <c r="J3736" s="309"/>
    </row>
    <row r="3737">
      <c r="B3737" s="309"/>
      <c r="C3737" s="309"/>
      <c r="I3737" s="309"/>
      <c r="J3737" s="309"/>
    </row>
    <row r="3738">
      <c r="B3738" s="309"/>
      <c r="C3738" s="309"/>
      <c r="I3738" s="309"/>
      <c r="J3738" s="309"/>
    </row>
    <row r="3739">
      <c r="B3739" s="309"/>
      <c r="C3739" s="309"/>
      <c r="I3739" s="309"/>
      <c r="J3739" s="309"/>
    </row>
    <row r="3740">
      <c r="B3740" s="309"/>
      <c r="C3740" s="309"/>
      <c r="I3740" s="309"/>
      <c r="J3740" s="309"/>
    </row>
    <row r="3741">
      <c r="B3741" s="309"/>
      <c r="C3741" s="309"/>
      <c r="I3741" s="309"/>
      <c r="J3741" s="309"/>
    </row>
    <row r="3742">
      <c r="B3742" s="309"/>
      <c r="C3742" s="309"/>
      <c r="I3742" s="309"/>
      <c r="J3742" s="309"/>
    </row>
    <row r="3743">
      <c r="B3743" s="309"/>
      <c r="C3743" s="309"/>
      <c r="I3743" s="309"/>
      <c r="J3743" s="309"/>
    </row>
    <row r="3744">
      <c r="B3744" s="309"/>
      <c r="C3744" s="309"/>
      <c r="I3744" s="309"/>
      <c r="J3744" s="309"/>
    </row>
    <row r="3745">
      <c r="B3745" s="309"/>
      <c r="C3745" s="309"/>
      <c r="I3745" s="309"/>
      <c r="J3745" s="309"/>
    </row>
    <row r="3746">
      <c r="B3746" s="309"/>
      <c r="C3746" s="309"/>
      <c r="I3746" s="309"/>
      <c r="J3746" s="309"/>
    </row>
    <row r="3747">
      <c r="B3747" s="309"/>
      <c r="C3747" s="309"/>
      <c r="I3747" s="309"/>
      <c r="J3747" s="309"/>
    </row>
    <row r="3748">
      <c r="B3748" s="309"/>
      <c r="C3748" s="309"/>
      <c r="I3748" s="309"/>
      <c r="J3748" s="309"/>
    </row>
    <row r="3749">
      <c r="B3749" s="309"/>
      <c r="C3749" s="309"/>
      <c r="I3749" s="309"/>
      <c r="J3749" s="309"/>
    </row>
    <row r="3750">
      <c r="B3750" s="309"/>
      <c r="C3750" s="309"/>
      <c r="I3750" s="309"/>
      <c r="J3750" s="309"/>
    </row>
    <row r="3751">
      <c r="B3751" s="309"/>
      <c r="C3751" s="309"/>
      <c r="I3751" s="309"/>
      <c r="J3751" s="309"/>
    </row>
    <row r="3752">
      <c r="B3752" s="309"/>
      <c r="C3752" s="309"/>
      <c r="I3752" s="309"/>
      <c r="J3752" s="309"/>
    </row>
    <row r="3753">
      <c r="B3753" s="309"/>
      <c r="C3753" s="309"/>
      <c r="I3753" s="309"/>
      <c r="J3753" s="309"/>
    </row>
    <row r="3754">
      <c r="B3754" s="309"/>
      <c r="C3754" s="309"/>
      <c r="I3754" s="309"/>
      <c r="J3754" s="309"/>
    </row>
    <row r="3755">
      <c r="B3755" s="309"/>
      <c r="C3755" s="309"/>
      <c r="I3755" s="309"/>
      <c r="J3755" s="309"/>
    </row>
    <row r="3756">
      <c r="B3756" s="309"/>
      <c r="C3756" s="309"/>
      <c r="I3756" s="309"/>
      <c r="J3756" s="309"/>
    </row>
    <row r="3757">
      <c r="B3757" s="309"/>
      <c r="C3757" s="309"/>
      <c r="I3757" s="309"/>
      <c r="J3757" s="309"/>
    </row>
    <row r="3758">
      <c r="B3758" s="309"/>
      <c r="C3758" s="309"/>
      <c r="I3758" s="309"/>
      <c r="J3758" s="309"/>
    </row>
    <row r="3759">
      <c r="B3759" s="309"/>
      <c r="C3759" s="309"/>
      <c r="I3759" s="309"/>
      <c r="J3759" s="309"/>
    </row>
    <row r="3760">
      <c r="B3760" s="309"/>
      <c r="C3760" s="309"/>
      <c r="I3760" s="309"/>
      <c r="J3760" s="309"/>
    </row>
    <row r="3761">
      <c r="B3761" s="309"/>
      <c r="C3761" s="309"/>
      <c r="I3761" s="309"/>
      <c r="J3761" s="309"/>
    </row>
    <row r="3762">
      <c r="B3762" s="309"/>
      <c r="C3762" s="309"/>
      <c r="I3762" s="309"/>
      <c r="J3762" s="309"/>
    </row>
    <row r="3763">
      <c r="B3763" s="309"/>
      <c r="C3763" s="309"/>
      <c r="I3763" s="309"/>
      <c r="J3763" s="309"/>
    </row>
    <row r="3764">
      <c r="B3764" s="309"/>
      <c r="C3764" s="309"/>
      <c r="I3764" s="309"/>
      <c r="J3764" s="309"/>
    </row>
    <row r="3765">
      <c r="B3765" s="309"/>
      <c r="C3765" s="309"/>
      <c r="I3765" s="309"/>
      <c r="J3765" s="309"/>
    </row>
    <row r="3766">
      <c r="B3766" s="309"/>
      <c r="C3766" s="309"/>
      <c r="I3766" s="309"/>
      <c r="J3766" s="309"/>
    </row>
    <row r="3767">
      <c r="B3767" s="309"/>
      <c r="C3767" s="309"/>
      <c r="I3767" s="309"/>
      <c r="J3767" s="309"/>
    </row>
    <row r="3768">
      <c r="B3768" s="309"/>
      <c r="C3768" s="309"/>
      <c r="I3768" s="309"/>
      <c r="J3768" s="309"/>
    </row>
    <row r="3769">
      <c r="B3769" s="309"/>
      <c r="C3769" s="309"/>
      <c r="I3769" s="309"/>
      <c r="J3769" s="309"/>
    </row>
    <row r="3770">
      <c r="B3770" s="309"/>
      <c r="C3770" s="309"/>
      <c r="I3770" s="309"/>
      <c r="J3770" s="309"/>
    </row>
    <row r="3771">
      <c r="B3771" s="309"/>
      <c r="C3771" s="309"/>
      <c r="I3771" s="309"/>
      <c r="J3771" s="309"/>
    </row>
    <row r="3772">
      <c r="B3772" s="309"/>
      <c r="C3772" s="309"/>
      <c r="I3772" s="309"/>
      <c r="J3772" s="309"/>
    </row>
    <row r="3773">
      <c r="B3773" s="309"/>
      <c r="C3773" s="309"/>
      <c r="I3773" s="309"/>
      <c r="J3773" s="309"/>
    </row>
    <row r="3774">
      <c r="B3774" s="309"/>
      <c r="C3774" s="309"/>
      <c r="I3774" s="309"/>
      <c r="J3774" s="309"/>
    </row>
    <row r="3775">
      <c r="B3775" s="309"/>
      <c r="C3775" s="309"/>
      <c r="I3775" s="309"/>
      <c r="J3775" s="309"/>
    </row>
    <row r="3776">
      <c r="B3776" s="309"/>
      <c r="C3776" s="309"/>
      <c r="I3776" s="309"/>
      <c r="J3776" s="309"/>
    </row>
    <row r="3777">
      <c r="B3777" s="309"/>
      <c r="C3777" s="309"/>
      <c r="I3777" s="309"/>
      <c r="J3777" s="309"/>
    </row>
    <row r="3778">
      <c r="B3778" s="309"/>
      <c r="C3778" s="309"/>
      <c r="I3778" s="309"/>
      <c r="J3778" s="309"/>
    </row>
    <row r="3779">
      <c r="B3779" s="309"/>
      <c r="C3779" s="309"/>
      <c r="I3779" s="309"/>
      <c r="J3779" s="309"/>
    </row>
    <row r="3780">
      <c r="B3780" s="309"/>
      <c r="C3780" s="309"/>
      <c r="I3780" s="309"/>
      <c r="J3780" s="309"/>
    </row>
    <row r="3781">
      <c r="B3781" s="309"/>
      <c r="C3781" s="309"/>
      <c r="I3781" s="309"/>
      <c r="J3781" s="309"/>
    </row>
    <row r="3782">
      <c r="B3782" s="309"/>
      <c r="C3782" s="309"/>
      <c r="I3782" s="309"/>
      <c r="J3782" s="309"/>
    </row>
    <row r="3783">
      <c r="B3783" s="309"/>
      <c r="C3783" s="309"/>
      <c r="I3783" s="309"/>
      <c r="J3783" s="309"/>
    </row>
    <row r="3784">
      <c r="B3784" s="309"/>
      <c r="C3784" s="309"/>
      <c r="I3784" s="309"/>
      <c r="J3784" s="309"/>
    </row>
    <row r="3785">
      <c r="B3785" s="309"/>
      <c r="C3785" s="309"/>
      <c r="I3785" s="309"/>
      <c r="J3785" s="309"/>
    </row>
    <row r="3786">
      <c r="B3786" s="309"/>
      <c r="C3786" s="309"/>
      <c r="I3786" s="309"/>
      <c r="J3786" s="309"/>
    </row>
    <row r="3787">
      <c r="B3787" s="309"/>
      <c r="C3787" s="309"/>
      <c r="I3787" s="309"/>
      <c r="J3787" s="309"/>
    </row>
    <row r="3788">
      <c r="B3788" s="309"/>
      <c r="C3788" s="309"/>
      <c r="I3788" s="309"/>
      <c r="J3788" s="309"/>
    </row>
    <row r="3789">
      <c r="B3789" s="309"/>
      <c r="C3789" s="309"/>
      <c r="I3789" s="309"/>
      <c r="J3789" s="309"/>
    </row>
    <row r="3790">
      <c r="B3790" s="309"/>
      <c r="C3790" s="309"/>
      <c r="I3790" s="309"/>
      <c r="J3790" s="309"/>
    </row>
    <row r="3791">
      <c r="B3791" s="309"/>
      <c r="C3791" s="309"/>
      <c r="I3791" s="309"/>
      <c r="J3791" s="309"/>
    </row>
    <row r="3792">
      <c r="B3792" s="309"/>
      <c r="C3792" s="309"/>
      <c r="I3792" s="309"/>
      <c r="J3792" s="309"/>
    </row>
    <row r="3793">
      <c r="B3793" s="309"/>
      <c r="C3793" s="309"/>
      <c r="I3793" s="309"/>
      <c r="J3793" s="309"/>
    </row>
    <row r="3794">
      <c r="B3794" s="309"/>
      <c r="C3794" s="309"/>
      <c r="I3794" s="309"/>
      <c r="J3794" s="309"/>
    </row>
    <row r="3795">
      <c r="B3795" s="309"/>
      <c r="C3795" s="309"/>
      <c r="I3795" s="309"/>
      <c r="J3795" s="309"/>
    </row>
    <row r="3796">
      <c r="B3796" s="309"/>
      <c r="C3796" s="309"/>
      <c r="I3796" s="309"/>
      <c r="J3796" s="309"/>
    </row>
    <row r="3797">
      <c r="B3797" s="309"/>
      <c r="C3797" s="309"/>
      <c r="I3797" s="309"/>
      <c r="J3797" s="309"/>
    </row>
    <row r="3798">
      <c r="B3798" s="309"/>
      <c r="C3798" s="309"/>
      <c r="I3798" s="309"/>
      <c r="J3798" s="309"/>
    </row>
    <row r="3799">
      <c r="B3799" s="309"/>
      <c r="C3799" s="309"/>
      <c r="I3799" s="309"/>
      <c r="J3799" s="309"/>
    </row>
    <row r="3800">
      <c r="B3800" s="309"/>
      <c r="C3800" s="309"/>
      <c r="I3800" s="309"/>
      <c r="J3800" s="309"/>
    </row>
    <row r="3801">
      <c r="B3801" s="309"/>
      <c r="C3801" s="309"/>
      <c r="I3801" s="309"/>
      <c r="J3801" s="309"/>
    </row>
    <row r="3802">
      <c r="B3802" s="309"/>
      <c r="C3802" s="309"/>
      <c r="I3802" s="309"/>
      <c r="J3802" s="309"/>
    </row>
    <row r="3803">
      <c r="B3803" s="309"/>
      <c r="C3803" s="309"/>
      <c r="I3803" s="309"/>
      <c r="J3803" s="309"/>
    </row>
    <row r="3804">
      <c r="B3804" s="309"/>
      <c r="C3804" s="309"/>
      <c r="I3804" s="309"/>
      <c r="J3804" s="309"/>
    </row>
    <row r="3805">
      <c r="B3805" s="309"/>
      <c r="C3805" s="309"/>
      <c r="I3805" s="309"/>
      <c r="J3805" s="309"/>
    </row>
    <row r="3806">
      <c r="B3806" s="309"/>
      <c r="C3806" s="309"/>
      <c r="I3806" s="309"/>
      <c r="J3806" s="309"/>
    </row>
    <row r="3807">
      <c r="B3807" s="309"/>
      <c r="C3807" s="309"/>
      <c r="I3807" s="309"/>
      <c r="J3807" s="309"/>
    </row>
    <row r="3808">
      <c r="B3808" s="309"/>
      <c r="C3808" s="309"/>
      <c r="I3808" s="309"/>
      <c r="J3808" s="309"/>
    </row>
    <row r="3809">
      <c r="B3809" s="309"/>
      <c r="C3809" s="309"/>
      <c r="I3809" s="309"/>
      <c r="J3809" s="309"/>
    </row>
    <row r="3810">
      <c r="B3810" s="309"/>
      <c r="C3810" s="309"/>
      <c r="I3810" s="309"/>
      <c r="J3810" s="309"/>
    </row>
    <row r="3811">
      <c r="B3811" s="309"/>
      <c r="C3811" s="309"/>
      <c r="I3811" s="309"/>
      <c r="J3811" s="309"/>
    </row>
    <row r="3812">
      <c r="B3812" s="309"/>
      <c r="C3812" s="309"/>
      <c r="I3812" s="309"/>
      <c r="J3812" s="309"/>
    </row>
    <row r="3813">
      <c r="B3813" s="309"/>
      <c r="C3813" s="309"/>
      <c r="I3813" s="309"/>
      <c r="J3813" s="309"/>
    </row>
    <row r="3814">
      <c r="B3814" s="309"/>
      <c r="C3814" s="309"/>
      <c r="I3814" s="309"/>
      <c r="J3814" s="309"/>
    </row>
    <row r="3815">
      <c r="B3815" s="309"/>
      <c r="C3815" s="309"/>
      <c r="I3815" s="309"/>
      <c r="J3815" s="309"/>
    </row>
    <row r="3816">
      <c r="B3816" s="309"/>
      <c r="C3816" s="309"/>
      <c r="I3816" s="309"/>
      <c r="J3816" s="309"/>
    </row>
    <row r="3817">
      <c r="B3817" s="309"/>
      <c r="C3817" s="309"/>
      <c r="I3817" s="309"/>
      <c r="J3817" s="309"/>
    </row>
    <row r="3818">
      <c r="B3818" s="309"/>
      <c r="C3818" s="309"/>
      <c r="I3818" s="309"/>
      <c r="J3818" s="309"/>
    </row>
    <row r="3819">
      <c r="B3819" s="309"/>
      <c r="C3819" s="309"/>
      <c r="I3819" s="309"/>
      <c r="J3819" s="309"/>
    </row>
    <row r="3820">
      <c r="B3820" s="309"/>
      <c r="C3820" s="309"/>
      <c r="I3820" s="309"/>
      <c r="J3820" s="309"/>
    </row>
    <row r="3821">
      <c r="B3821" s="309"/>
      <c r="C3821" s="309"/>
      <c r="I3821" s="309"/>
      <c r="J3821" s="309"/>
    </row>
    <row r="3822">
      <c r="B3822" s="309"/>
      <c r="C3822" s="309"/>
      <c r="I3822" s="309"/>
      <c r="J3822" s="309"/>
    </row>
    <row r="3823">
      <c r="B3823" s="309"/>
      <c r="C3823" s="309"/>
      <c r="I3823" s="309"/>
      <c r="J3823" s="309"/>
    </row>
    <row r="3824">
      <c r="B3824" s="309"/>
      <c r="C3824" s="309"/>
      <c r="I3824" s="309"/>
      <c r="J3824" s="309"/>
    </row>
    <row r="3825">
      <c r="B3825" s="309"/>
      <c r="C3825" s="309"/>
      <c r="I3825" s="309"/>
      <c r="J3825" s="309"/>
    </row>
    <row r="3826">
      <c r="B3826" s="309"/>
      <c r="C3826" s="309"/>
      <c r="I3826" s="309"/>
      <c r="J3826" s="309"/>
    </row>
    <row r="3827">
      <c r="B3827" s="309"/>
      <c r="C3827" s="309"/>
      <c r="I3827" s="309"/>
      <c r="J3827" s="309"/>
    </row>
    <row r="3828">
      <c r="B3828" s="309"/>
      <c r="C3828" s="309"/>
      <c r="I3828" s="309"/>
      <c r="J3828" s="309"/>
    </row>
    <row r="3829">
      <c r="B3829" s="309"/>
      <c r="C3829" s="309"/>
      <c r="I3829" s="309"/>
      <c r="J3829" s="309"/>
    </row>
    <row r="3830">
      <c r="B3830" s="309"/>
      <c r="C3830" s="309"/>
      <c r="I3830" s="309"/>
      <c r="J3830" s="309"/>
    </row>
    <row r="3831">
      <c r="B3831" s="309"/>
      <c r="C3831" s="309"/>
      <c r="I3831" s="309"/>
      <c r="J3831" s="309"/>
    </row>
    <row r="3832">
      <c r="B3832" s="309"/>
      <c r="C3832" s="309"/>
      <c r="I3832" s="309"/>
      <c r="J3832" s="309"/>
    </row>
    <row r="3833">
      <c r="B3833" s="309"/>
      <c r="C3833" s="309"/>
      <c r="I3833" s="309"/>
      <c r="J3833" s="309"/>
    </row>
    <row r="3834">
      <c r="B3834" s="309"/>
      <c r="C3834" s="309"/>
      <c r="I3834" s="309"/>
      <c r="J3834" s="309"/>
    </row>
    <row r="3835">
      <c r="B3835" s="309"/>
      <c r="C3835" s="309"/>
      <c r="I3835" s="309"/>
      <c r="J3835" s="309"/>
    </row>
    <row r="3836">
      <c r="B3836" s="309"/>
      <c r="C3836" s="309"/>
      <c r="I3836" s="309"/>
      <c r="J3836" s="309"/>
    </row>
    <row r="3837">
      <c r="B3837" s="309"/>
      <c r="C3837" s="309"/>
      <c r="I3837" s="309"/>
      <c r="J3837" s="309"/>
    </row>
    <row r="3838">
      <c r="B3838" s="309"/>
      <c r="C3838" s="309"/>
      <c r="I3838" s="309"/>
      <c r="J3838" s="309"/>
    </row>
    <row r="3839">
      <c r="B3839" s="309"/>
      <c r="C3839" s="309"/>
      <c r="I3839" s="309"/>
      <c r="J3839" s="309"/>
    </row>
    <row r="3840">
      <c r="B3840" s="309"/>
      <c r="C3840" s="309"/>
      <c r="I3840" s="309"/>
      <c r="J3840" s="309"/>
    </row>
    <row r="3841">
      <c r="B3841" s="309"/>
      <c r="C3841" s="309"/>
      <c r="I3841" s="309"/>
      <c r="J3841" s="309"/>
    </row>
    <row r="3842">
      <c r="B3842" s="309"/>
      <c r="C3842" s="309"/>
      <c r="I3842" s="309"/>
      <c r="J3842" s="309"/>
    </row>
    <row r="3843">
      <c r="B3843" s="309"/>
      <c r="C3843" s="309"/>
      <c r="I3843" s="309"/>
      <c r="J3843" s="309"/>
    </row>
    <row r="3844">
      <c r="B3844" s="309"/>
      <c r="C3844" s="309"/>
      <c r="I3844" s="309"/>
      <c r="J3844" s="309"/>
    </row>
    <row r="3845">
      <c r="B3845" s="309"/>
      <c r="C3845" s="309"/>
      <c r="I3845" s="309"/>
      <c r="J3845" s="309"/>
    </row>
    <row r="3846">
      <c r="B3846" s="309"/>
      <c r="C3846" s="309"/>
      <c r="I3846" s="309"/>
      <c r="J3846" s="309"/>
    </row>
    <row r="3847">
      <c r="B3847" s="309"/>
      <c r="C3847" s="309"/>
      <c r="I3847" s="309"/>
      <c r="J3847" s="309"/>
    </row>
    <row r="3848">
      <c r="B3848" s="309"/>
      <c r="C3848" s="309"/>
      <c r="I3848" s="309"/>
      <c r="J3848" s="309"/>
    </row>
    <row r="3849">
      <c r="B3849" s="309"/>
      <c r="C3849" s="309"/>
      <c r="I3849" s="309"/>
      <c r="J3849" s="309"/>
    </row>
    <row r="3850">
      <c r="B3850" s="309"/>
      <c r="C3850" s="309"/>
      <c r="I3850" s="309"/>
      <c r="J3850" s="309"/>
    </row>
    <row r="3851">
      <c r="B3851" s="309"/>
      <c r="C3851" s="309"/>
      <c r="I3851" s="309"/>
      <c r="J3851" s="309"/>
    </row>
    <row r="3852">
      <c r="B3852" s="309"/>
      <c r="C3852" s="309"/>
      <c r="I3852" s="309"/>
      <c r="J3852" s="309"/>
    </row>
    <row r="3853">
      <c r="B3853" s="309"/>
      <c r="C3853" s="309"/>
      <c r="I3853" s="309"/>
      <c r="J3853" s="309"/>
    </row>
    <row r="3854">
      <c r="B3854" s="309"/>
      <c r="C3854" s="309"/>
      <c r="I3854" s="309"/>
      <c r="J3854" s="309"/>
    </row>
    <row r="3855">
      <c r="B3855" s="309"/>
      <c r="C3855" s="309"/>
      <c r="I3855" s="309"/>
      <c r="J3855" s="309"/>
    </row>
    <row r="3856">
      <c r="B3856" s="309"/>
      <c r="C3856" s="309"/>
      <c r="I3856" s="309"/>
      <c r="J3856" s="309"/>
    </row>
    <row r="3857">
      <c r="B3857" s="309"/>
      <c r="C3857" s="309"/>
      <c r="I3857" s="309"/>
      <c r="J3857" s="309"/>
    </row>
    <row r="3858">
      <c r="B3858" s="309"/>
      <c r="C3858" s="309"/>
      <c r="I3858" s="309"/>
      <c r="J3858" s="309"/>
    </row>
    <row r="3859">
      <c r="B3859" s="309"/>
      <c r="C3859" s="309"/>
      <c r="I3859" s="309"/>
      <c r="J3859" s="309"/>
    </row>
    <row r="3860">
      <c r="B3860" s="309"/>
      <c r="C3860" s="309"/>
      <c r="I3860" s="309"/>
      <c r="J3860" s="309"/>
    </row>
    <row r="3861">
      <c r="B3861" s="309"/>
      <c r="C3861" s="309"/>
      <c r="I3861" s="309"/>
      <c r="J3861" s="309"/>
    </row>
    <row r="3862">
      <c r="B3862" s="309"/>
      <c r="C3862" s="309"/>
      <c r="I3862" s="309"/>
      <c r="J3862" s="309"/>
    </row>
    <row r="3863">
      <c r="B3863" s="309"/>
      <c r="C3863" s="309"/>
      <c r="I3863" s="309"/>
      <c r="J3863" s="309"/>
    </row>
    <row r="3864">
      <c r="B3864" s="309"/>
      <c r="C3864" s="309"/>
      <c r="I3864" s="309"/>
      <c r="J3864" s="309"/>
    </row>
    <row r="3865">
      <c r="B3865" s="309"/>
      <c r="C3865" s="309"/>
      <c r="I3865" s="309"/>
      <c r="J3865" s="309"/>
    </row>
    <row r="3866">
      <c r="B3866" s="309"/>
      <c r="C3866" s="309"/>
      <c r="I3866" s="309"/>
      <c r="J3866" s="309"/>
    </row>
    <row r="3867">
      <c r="B3867" s="309"/>
      <c r="C3867" s="309"/>
      <c r="I3867" s="309"/>
      <c r="J3867" s="309"/>
    </row>
    <row r="3868">
      <c r="B3868" s="309"/>
      <c r="C3868" s="309"/>
      <c r="I3868" s="309"/>
      <c r="J3868" s="309"/>
    </row>
    <row r="3869">
      <c r="B3869" s="309"/>
      <c r="C3869" s="309"/>
      <c r="I3869" s="309"/>
      <c r="J3869" s="309"/>
    </row>
    <row r="3870">
      <c r="B3870" s="309"/>
      <c r="C3870" s="309"/>
      <c r="I3870" s="309"/>
      <c r="J3870" s="309"/>
    </row>
    <row r="3871">
      <c r="B3871" s="309"/>
      <c r="C3871" s="309"/>
      <c r="I3871" s="309"/>
      <c r="J3871" s="309"/>
    </row>
    <row r="3872">
      <c r="B3872" s="309"/>
      <c r="C3872" s="309"/>
      <c r="I3872" s="309"/>
      <c r="J3872" s="309"/>
    </row>
    <row r="3873">
      <c r="B3873" s="309"/>
      <c r="C3873" s="309"/>
      <c r="I3873" s="309"/>
      <c r="J3873" s="309"/>
    </row>
    <row r="3874">
      <c r="B3874" s="309"/>
      <c r="C3874" s="309"/>
      <c r="I3874" s="309"/>
      <c r="J3874" s="309"/>
    </row>
    <row r="3875">
      <c r="B3875" s="309"/>
      <c r="C3875" s="309"/>
      <c r="I3875" s="309"/>
      <c r="J3875" s="309"/>
    </row>
    <row r="3876">
      <c r="B3876" s="309"/>
      <c r="C3876" s="309"/>
      <c r="I3876" s="309"/>
      <c r="J3876" s="309"/>
    </row>
    <row r="3877">
      <c r="B3877" s="309"/>
      <c r="C3877" s="309"/>
      <c r="I3877" s="309"/>
      <c r="J3877" s="309"/>
    </row>
    <row r="3878">
      <c r="B3878" s="309"/>
      <c r="C3878" s="309"/>
      <c r="I3878" s="309"/>
      <c r="J3878" s="309"/>
    </row>
    <row r="3879">
      <c r="B3879" s="309"/>
      <c r="C3879" s="309"/>
      <c r="I3879" s="309"/>
      <c r="J3879" s="309"/>
    </row>
    <row r="3880">
      <c r="B3880" s="309"/>
      <c r="C3880" s="309"/>
      <c r="I3880" s="309"/>
      <c r="J3880" s="309"/>
    </row>
    <row r="3881">
      <c r="B3881" s="309"/>
      <c r="C3881" s="309"/>
      <c r="I3881" s="309"/>
      <c r="J3881" s="309"/>
    </row>
    <row r="3882">
      <c r="B3882" s="309"/>
      <c r="C3882" s="309"/>
      <c r="I3882" s="309"/>
      <c r="J3882" s="309"/>
    </row>
    <row r="3883">
      <c r="B3883" s="309"/>
      <c r="C3883" s="309"/>
      <c r="I3883" s="309"/>
      <c r="J3883" s="309"/>
    </row>
    <row r="3884">
      <c r="B3884" s="309"/>
      <c r="C3884" s="309"/>
      <c r="I3884" s="309"/>
      <c r="J3884" s="309"/>
    </row>
    <row r="3885">
      <c r="B3885" s="309"/>
      <c r="C3885" s="309"/>
      <c r="I3885" s="309"/>
      <c r="J3885" s="309"/>
    </row>
    <row r="3886">
      <c r="B3886" s="309"/>
      <c r="C3886" s="309"/>
      <c r="I3886" s="309"/>
      <c r="J3886" s="309"/>
    </row>
    <row r="3887">
      <c r="B3887" s="309"/>
      <c r="C3887" s="309"/>
      <c r="I3887" s="309"/>
      <c r="J3887" s="309"/>
    </row>
    <row r="3888">
      <c r="B3888" s="309"/>
      <c r="C3888" s="309"/>
      <c r="I3888" s="309"/>
      <c r="J3888" s="309"/>
    </row>
    <row r="3889">
      <c r="B3889" s="309"/>
      <c r="C3889" s="309"/>
      <c r="I3889" s="309"/>
      <c r="J3889" s="309"/>
    </row>
    <row r="3890">
      <c r="B3890" s="309"/>
      <c r="C3890" s="309"/>
      <c r="I3890" s="309"/>
      <c r="J3890" s="309"/>
    </row>
    <row r="3891">
      <c r="B3891" s="309"/>
      <c r="C3891" s="309"/>
      <c r="I3891" s="309"/>
      <c r="J3891" s="309"/>
    </row>
    <row r="3892">
      <c r="B3892" s="309"/>
      <c r="C3892" s="309"/>
      <c r="I3892" s="309"/>
      <c r="J3892" s="309"/>
    </row>
    <row r="3893">
      <c r="B3893" s="309"/>
      <c r="C3893" s="309"/>
      <c r="I3893" s="309"/>
      <c r="J3893" s="309"/>
    </row>
    <row r="3894">
      <c r="B3894" s="309"/>
      <c r="C3894" s="309"/>
      <c r="I3894" s="309"/>
      <c r="J3894" s="309"/>
    </row>
    <row r="3895">
      <c r="B3895" s="309"/>
      <c r="C3895" s="309"/>
      <c r="I3895" s="309"/>
      <c r="J3895" s="309"/>
    </row>
    <row r="3896">
      <c r="B3896" s="309"/>
      <c r="C3896" s="309"/>
      <c r="I3896" s="309"/>
      <c r="J3896" s="309"/>
    </row>
    <row r="3897">
      <c r="B3897" s="309"/>
      <c r="C3897" s="309"/>
      <c r="I3897" s="309"/>
      <c r="J3897" s="309"/>
    </row>
    <row r="3898">
      <c r="B3898" s="309"/>
      <c r="C3898" s="309"/>
      <c r="I3898" s="309"/>
      <c r="J3898" s="309"/>
    </row>
    <row r="3899">
      <c r="B3899" s="309"/>
      <c r="C3899" s="309"/>
      <c r="I3899" s="309"/>
      <c r="J3899" s="309"/>
    </row>
    <row r="3900">
      <c r="B3900" s="309"/>
      <c r="C3900" s="309"/>
      <c r="I3900" s="309"/>
      <c r="J3900" s="309"/>
    </row>
    <row r="3901">
      <c r="B3901" s="309"/>
      <c r="C3901" s="309"/>
      <c r="I3901" s="309"/>
      <c r="J3901" s="309"/>
    </row>
    <row r="3902">
      <c r="B3902" s="309"/>
      <c r="C3902" s="309"/>
      <c r="I3902" s="309"/>
      <c r="J3902" s="309"/>
    </row>
    <row r="3903">
      <c r="B3903" s="309"/>
      <c r="C3903" s="309"/>
      <c r="I3903" s="309"/>
      <c r="J3903" s="309"/>
    </row>
    <row r="3904">
      <c r="B3904" s="309"/>
      <c r="C3904" s="309"/>
      <c r="I3904" s="309"/>
      <c r="J3904" s="309"/>
    </row>
    <row r="3905">
      <c r="B3905" s="309"/>
      <c r="C3905" s="309"/>
      <c r="I3905" s="309"/>
      <c r="J3905" s="309"/>
    </row>
    <row r="3906">
      <c r="B3906" s="309"/>
      <c r="C3906" s="309"/>
      <c r="I3906" s="309"/>
      <c r="J3906" s="309"/>
    </row>
    <row r="3907">
      <c r="B3907" s="309"/>
      <c r="C3907" s="309"/>
      <c r="I3907" s="309"/>
      <c r="J3907" s="309"/>
    </row>
    <row r="3908">
      <c r="B3908" s="309"/>
      <c r="C3908" s="309"/>
      <c r="I3908" s="309"/>
      <c r="J3908" s="309"/>
    </row>
    <row r="3909">
      <c r="B3909" s="309"/>
      <c r="C3909" s="309"/>
      <c r="I3909" s="309"/>
      <c r="J3909" s="309"/>
    </row>
    <row r="3910">
      <c r="B3910" s="309"/>
      <c r="C3910" s="309"/>
      <c r="I3910" s="309"/>
      <c r="J3910" s="309"/>
    </row>
    <row r="3911">
      <c r="B3911" s="309"/>
      <c r="C3911" s="309"/>
      <c r="I3911" s="309"/>
      <c r="J3911" s="309"/>
    </row>
    <row r="3912">
      <c r="B3912" s="309"/>
      <c r="C3912" s="309"/>
      <c r="I3912" s="309"/>
      <c r="J3912" s="309"/>
    </row>
    <row r="3913">
      <c r="B3913" s="309"/>
      <c r="C3913" s="309"/>
      <c r="I3913" s="309"/>
      <c r="J3913" s="309"/>
    </row>
    <row r="3914">
      <c r="B3914" s="309"/>
      <c r="C3914" s="309"/>
      <c r="I3914" s="309"/>
      <c r="J3914" s="309"/>
    </row>
    <row r="3915">
      <c r="B3915" s="309"/>
      <c r="C3915" s="309"/>
      <c r="I3915" s="309"/>
      <c r="J3915" s="309"/>
    </row>
    <row r="3916">
      <c r="B3916" s="309"/>
      <c r="C3916" s="309"/>
      <c r="I3916" s="309"/>
      <c r="J3916" s="309"/>
    </row>
    <row r="3917">
      <c r="B3917" s="309"/>
      <c r="C3917" s="309"/>
      <c r="I3917" s="309"/>
      <c r="J3917" s="309"/>
    </row>
    <row r="3918">
      <c r="B3918" s="309"/>
      <c r="C3918" s="309"/>
      <c r="I3918" s="309"/>
      <c r="J3918" s="309"/>
    </row>
    <row r="3919">
      <c r="B3919" s="309"/>
      <c r="C3919" s="309"/>
      <c r="I3919" s="309"/>
      <c r="J3919" s="309"/>
    </row>
    <row r="3920">
      <c r="B3920" s="309"/>
      <c r="C3920" s="309"/>
      <c r="I3920" s="309"/>
      <c r="J3920" s="309"/>
    </row>
    <row r="3921">
      <c r="B3921" s="309"/>
      <c r="C3921" s="309"/>
      <c r="I3921" s="309"/>
      <c r="J3921" s="309"/>
    </row>
    <row r="3922">
      <c r="B3922" s="309"/>
      <c r="C3922" s="309"/>
      <c r="I3922" s="309"/>
      <c r="J3922" s="309"/>
    </row>
    <row r="3923">
      <c r="B3923" s="309"/>
      <c r="C3923" s="309"/>
      <c r="I3923" s="309"/>
      <c r="J3923" s="309"/>
    </row>
    <row r="3924">
      <c r="B3924" s="309"/>
      <c r="C3924" s="309"/>
      <c r="I3924" s="309"/>
      <c r="J3924" s="309"/>
    </row>
    <row r="3925">
      <c r="B3925" s="309"/>
      <c r="C3925" s="309"/>
      <c r="I3925" s="309"/>
      <c r="J3925" s="309"/>
    </row>
    <row r="3926">
      <c r="B3926" s="309"/>
      <c r="C3926" s="309"/>
      <c r="I3926" s="309"/>
      <c r="J3926" s="309"/>
    </row>
    <row r="3927">
      <c r="B3927" s="309"/>
      <c r="C3927" s="309"/>
      <c r="I3927" s="309"/>
      <c r="J3927" s="309"/>
    </row>
    <row r="3928">
      <c r="B3928" s="309"/>
      <c r="C3928" s="309"/>
      <c r="I3928" s="309"/>
      <c r="J3928" s="309"/>
    </row>
    <row r="3929">
      <c r="B3929" s="309"/>
      <c r="C3929" s="309"/>
      <c r="I3929" s="309"/>
      <c r="J3929" s="309"/>
    </row>
    <row r="3930">
      <c r="B3930" s="309"/>
      <c r="C3930" s="309"/>
      <c r="I3930" s="309"/>
      <c r="J3930" s="309"/>
    </row>
    <row r="3931">
      <c r="B3931" s="309"/>
      <c r="C3931" s="309"/>
      <c r="I3931" s="309"/>
      <c r="J3931" s="309"/>
    </row>
    <row r="3932">
      <c r="B3932" s="309"/>
      <c r="C3932" s="309"/>
      <c r="I3932" s="309"/>
      <c r="J3932" s="309"/>
    </row>
    <row r="3933">
      <c r="B3933" s="309"/>
      <c r="C3933" s="309"/>
      <c r="I3933" s="309"/>
      <c r="J3933" s="309"/>
    </row>
    <row r="3934">
      <c r="B3934" s="309"/>
      <c r="C3934" s="309"/>
      <c r="I3934" s="309"/>
      <c r="J3934" s="309"/>
    </row>
    <row r="3935">
      <c r="B3935" s="309"/>
      <c r="C3935" s="309"/>
      <c r="I3935" s="309"/>
      <c r="J3935" s="309"/>
    </row>
    <row r="3936">
      <c r="B3936" s="309"/>
      <c r="C3936" s="309"/>
      <c r="I3936" s="309"/>
      <c r="J3936" s="309"/>
    </row>
    <row r="3937">
      <c r="B3937" s="309"/>
      <c r="C3937" s="309"/>
      <c r="I3937" s="309"/>
      <c r="J3937" s="309"/>
    </row>
    <row r="3938">
      <c r="B3938" s="309"/>
      <c r="C3938" s="309"/>
      <c r="I3938" s="309"/>
      <c r="J3938" s="309"/>
    </row>
    <row r="3939">
      <c r="B3939" s="309"/>
      <c r="C3939" s="309"/>
      <c r="I3939" s="309"/>
      <c r="J3939" s="309"/>
    </row>
    <row r="3940">
      <c r="B3940" s="309"/>
      <c r="C3940" s="309"/>
      <c r="I3940" s="309"/>
      <c r="J3940" s="309"/>
    </row>
    <row r="3941">
      <c r="B3941" s="309"/>
      <c r="C3941" s="309"/>
      <c r="I3941" s="309"/>
      <c r="J3941" s="309"/>
    </row>
    <row r="3942">
      <c r="B3942" s="309"/>
      <c r="C3942" s="309"/>
      <c r="I3942" s="309"/>
      <c r="J3942" s="309"/>
    </row>
    <row r="3943">
      <c r="B3943" s="309"/>
      <c r="C3943" s="309"/>
      <c r="I3943" s="309"/>
      <c r="J3943" s="309"/>
    </row>
    <row r="3944">
      <c r="B3944" s="309"/>
      <c r="C3944" s="309"/>
      <c r="I3944" s="309"/>
      <c r="J3944" s="309"/>
    </row>
    <row r="3945">
      <c r="B3945" s="309"/>
      <c r="C3945" s="309"/>
      <c r="I3945" s="309"/>
      <c r="J3945" s="309"/>
    </row>
    <row r="3946">
      <c r="B3946" s="309"/>
      <c r="C3946" s="309"/>
      <c r="I3946" s="309"/>
      <c r="J3946" s="309"/>
    </row>
    <row r="3947">
      <c r="B3947" s="309"/>
      <c r="C3947" s="309"/>
      <c r="I3947" s="309"/>
      <c r="J3947" s="309"/>
    </row>
    <row r="3948">
      <c r="B3948" s="309"/>
      <c r="C3948" s="309"/>
      <c r="I3948" s="309"/>
      <c r="J3948" s="309"/>
    </row>
    <row r="3949">
      <c r="B3949" s="309"/>
      <c r="C3949" s="309"/>
      <c r="I3949" s="309"/>
      <c r="J3949" s="309"/>
    </row>
    <row r="3950">
      <c r="B3950" s="309"/>
      <c r="C3950" s="309"/>
      <c r="I3950" s="309"/>
      <c r="J3950" s="309"/>
    </row>
    <row r="3951">
      <c r="B3951" s="309"/>
      <c r="C3951" s="309"/>
      <c r="I3951" s="309"/>
      <c r="J3951" s="309"/>
    </row>
    <row r="3952">
      <c r="B3952" s="309"/>
      <c r="C3952" s="309"/>
      <c r="I3952" s="309"/>
      <c r="J3952" s="309"/>
    </row>
    <row r="3953">
      <c r="B3953" s="309"/>
      <c r="C3953" s="309"/>
      <c r="I3953" s="309"/>
      <c r="J3953" s="309"/>
    </row>
    <row r="3954">
      <c r="B3954" s="309"/>
      <c r="C3954" s="309"/>
      <c r="I3954" s="309"/>
      <c r="J3954" s="309"/>
    </row>
    <row r="3955">
      <c r="B3955" s="309"/>
      <c r="C3955" s="309"/>
      <c r="I3955" s="309"/>
      <c r="J3955" s="309"/>
    </row>
    <row r="3956">
      <c r="B3956" s="309"/>
      <c r="C3956" s="309"/>
      <c r="I3956" s="309"/>
      <c r="J3956" s="309"/>
    </row>
    <row r="3957">
      <c r="B3957" s="309"/>
      <c r="C3957" s="309"/>
      <c r="I3957" s="309"/>
      <c r="J3957" s="309"/>
    </row>
    <row r="3958">
      <c r="B3958" s="309"/>
      <c r="C3958" s="309"/>
      <c r="I3958" s="309"/>
      <c r="J3958" s="309"/>
    </row>
    <row r="3959">
      <c r="B3959" s="309"/>
      <c r="C3959" s="309"/>
      <c r="I3959" s="309"/>
      <c r="J3959" s="309"/>
    </row>
    <row r="3960">
      <c r="B3960" s="309"/>
      <c r="C3960" s="309"/>
      <c r="I3960" s="309"/>
      <c r="J3960" s="309"/>
    </row>
    <row r="3961">
      <c r="B3961" s="309"/>
      <c r="C3961" s="309"/>
      <c r="I3961" s="309"/>
      <c r="J3961" s="309"/>
    </row>
    <row r="3962">
      <c r="B3962" s="309"/>
      <c r="C3962" s="309"/>
      <c r="I3962" s="309"/>
      <c r="J3962" s="309"/>
    </row>
    <row r="3963">
      <c r="B3963" s="309"/>
      <c r="C3963" s="309"/>
      <c r="I3963" s="309"/>
      <c r="J3963" s="309"/>
    </row>
    <row r="3964">
      <c r="B3964" s="309"/>
      <c r="C3964" s="309"/>
      <c r="I3964" s="309"/>
      <c r="J3964" s="309"/>
    </row>
    <row r="3965">
      <c r="B3965" s="309"/>
      <c r="C3965" s="309"/>
      <c r="I3965" s="309"/>
      <c r="J3965" s="309"/>
    </row>
    <row r="3966">
      <c r="B3966" s="309"/>
      <c r="C3966" s="309"/>
      <c r="I3966" s="309"/>
      <c r="J3966" s="309"/>
    </row>
    <row r="3967">
      <c r="B3967" s="309"/>
      <c r="C3967" s="309"/>
      <c r="I3967" s="309"/>
      <c r="J3967" s="309"/>
    </row>
    <row r="3968">
      <c r="B3968" s="309"/>
      <c r="C3968" s="309"/>
      <c r="I3968" s="309"/>
      <c r="J3968" s="309"/>
    </row>
    <row r="3969">
      <c r="B3969" s="309"/>
      <c r="C3969" s="309"/>
      <c r="I3969" s="309"/>
      <c r="J3969" s="309"/>
    </row>
    <row r="3970">
      <c r="B3970" s="309"/>
      <c r="C3970" s="309"/>
      <c r="I3970" s="309"/>
      <c r="J3970" s="309"/>
    </row>
    <row r="3971">
      <c r="B3971" s="309"/>
      <c r="C3971" s="309"/>
      <c r="I3971" s="309"/>
      <c r="J3971" s="309"/>
    </row>
    <row r="3972">
      <c r="B3972" s="309"/>
      <c r="C3972" s="309"/>
      <c r="I3972" s="309"/>
      <c r="J3972" s="309"/>
    </row>
    <row r="3973">
      <c r="B3973" s="309"/>
      <c r="C3973" s="309"/>
      <c r="I3973" s="309"/>
      <c r="J3973" s="309"/>
    </row>
    <row r="3974">
      <c r="B3974" s="309"/>
      <c r="C3974" s="309"/>
      <c r="I3974" s="309"/>
      <c r="J3974" s="309"/>
    </row>
    <row r="3975">
      <c r="B3975" s="309"/>
      <c r="C3975" s="309"/>
      <c r="I3975" s="309"/>
      <c r="J3975" s="309"/>
    </row>
    <row r="3976">
      <c r="B3976" s="309"/>
      <c r="C3976" s="309"/>
      <c r="I3976" s="309"/>
      <c r="J3976" s="309"/>
    </row>
    <row r="3977">
      <c r="B3977" s="309"/>
      <c r="C3977" s="309"/>
      <c r="I3977" s="309"/>
      <c r="J3977" s="309"/>
    </row>
    <row r="3978">
      <c r="B3978" s="309"/>
      <c r="C3978" s="309"/>
      <c r="I3978" s="309"/>
      <c r="J3978" s="309"/>
    </row>
    <row r="3979">
      <c r="B3979" s="309"/>
      <c r="C3979" s="309"/>
      <c r="I3979" s="309"/>
      <c r="J3979" s="309"/>
    </row>
    <row r="3980">
      <c r="B3980" s="309"/>
      <c r="C3980" s="309"/>
      <c r="I3980" s="309"/>
      <c r="J3980" s="309"/>
    </row>
    <row r="3981">
      <c r="B3981" s="309"/>
      <c r="C3981" s="309"/>
      <c r="I3981" s="309"/>
      <c r="J3981" s="309"/>
    </row>
    <row r="3982">
      <c r="B3982" s="309"/>
      <c r="C3982" s="309"/>
      <c r="I3982" s="309"/>
      <c r="J3982" s="309"/>
    </row>
    <row r="3983">
      <c r="B3983" s="309"/>
      <c r="C3983" s="309"/>
      <c r="I3983" s="309"/>
      <c r="J3983" s="309"/>
    </row>
    <row r="3984">
      <c r="B3984" s="309"/>
      <c r="C3984" s="309"/>
      <c r="I3984" s="309"/>
      <c r="J3984" s="309"/>
    </row>
    <row r="3985">
      <c r="B3985" s="309"/>
      <c r="C3985" s="309"/>
      <c r="I3985" s="309"/>
      <c r="J3985" s="309"/>
    </row>
    <row r="3986">
      <c r="B3986" s="309"/>
      <c r="C3986" s="309"/>
      <c r="I3986" s="309"/>
      <c r="J3986" s="309"/>
    </row>
    <row r="3987">
      <c r="B3987" s="309"/>
      <c r="C3987" s="309"/>
      <c r="I3987" s="309"/>
      <c r="J3987" s="309"/>
    </row>
    <row r="3988">
      <c r="B3988" s="309"/>
      <c r="C3988" s="309"/>
      <c r="I3988" s="309"/>
      <c r="J3988" s="309"/>
    </row>
    <row r="3989">
      <c r="B3989" s="309"/>
      <c r="C3989" s="309"/>
      <c r="I3989" s="309"/>
      <c r="J3989" s="309"/>
    </row>
    <row r="3990">
      <c r="B3990" s="309"/>
      <c r="C3990" s="309"/>
      <c r="I3990" s="309"/>
      <c r="J3990" s="309"/>
    </row>
    <row r="3991">
      <c r="B3991" s="309"/>
      <c r="C3991" s="309"/>
      <c r="I3991" s="309"/>
      <c r="J3991" s="309"/>
    </row>
    <row r="3992">
      <c r="B3992" s="309"/>
      <c r="C3992" s="309"/>
      <c r="I3992" s="309"/>
      <c r="J3992" s="309"/>
    </row>
    <row r="3993">
      <c r="B3993" s="309"/>
      <c r="C3993" s="309"/>
      <c r="I3993" s="309"/>
      <c r="J3993" s="309"/>
    </row>
    <row r="3994">
      <c r="B3994" s="309"/>
      <c r="C3994" s="309"/>
      <c r="I3994" s="309"/>
      <c r="J3994" s="309"/>
    </row>
    <row r="3995">
      <c r="B3995" s="309"/>
      <c r="C3995" s="309"/>
      <c r="I3995" s="309"/>
      <c r="J3995" s="309"/>
    </row>
    <row r="3996">
      <c r="B3996" s="309"/>
      <c r="C3996" s="309"/>
      <c r="I3996" s="309"/>
      <c r="J3996" s="309"/>
    </row>
    <row r="3997">
      <c r="B3997" s="309"/>
      <c r="C3997" s="309"/>
      <c r="I3997" s="309"/>
      <c r="J3997" s="309"/>
    </row>
    <row r="3998">
      <c r="B3998" s="309"/>
      <c r="C3998" s="309"/>
      <c r="I3998" s="309"/>
      <c r="J3998" s="309"/>
    </row>
    <row r="3999">
      <c r="B3999" s="309"/>
      <c r="C3999" s="309"/>
      <c r="I3999" s="309"/>
      <c r="J3999" s="309"/>
    </row>
    <row r="4000">
      <c r="B4000" s="309"/>
      <c r="C4000" s="309"/>
      <c r="I4000" s="309"/>
      <c r="J4000" s="309"/>
    </row>
    <row r="4001">
      <c r="B4001" s="309"/>
      <c r="C4001" s="309"/>
      <c r="I4001" s="309"/>
      <c r="J4001" s="309"/>
    </row>
    <row r="4002">
      <c r="B4002" s="309"/>
      <c r="C4002" s="309"/>
      <c r="I4002" s="309"/>
      <c r="J4002" s="309"/>
    </row>
    <row r="4003">
      <c r="B4003" s="309"/>
      <c r="C4003" s="309"/>
      <c r="I4003" s="309"/>
      <c r="J4003" s="309"/>
    </row>
    <row r="4004">
      <c r="B4004" s="309"/>
      <c r="C4004" s="309"/>
      <c r="I4004" s="309"/>
      <c r="J4004" s="309"/>
    </row>
    <row r="4005">
      <c r="B4005" s="309"/>
      <c r="C4005" s="309"/>
      <c r="I4005" s="309"/>
      <c r="J4005" s="309"/>
    </row>
    <row r="4006">
      <c r="B4006" s="309"/>
      <c r="C4006" s="309"/>
      <c r="I4006" s="309"/>
      <c r="J4006" s="309"/>
    </row>
    <row r="4007">
      <c r="B4007" s="309"/>
      <c r="C4007" s="309"/>
      <c r="I4007" s="309"/>
      <c r="J4007" s="309"/>
    </row>
    <row r="4008">
      <c r="B4008" s="309"/>
      <c r="C4008" s="309"/>
      <c r="I4008" s="309"/>
      <c r="J4008" s="309"/>
    </row>
    <row r="4009">
      <c r="B4009" s="309"/>
      <c r="C4009" s="309"/>
      <c r="I4009" s="309"/>
      <c r="J4009" s="309"/>
    </row>
    <row r="4010">
      <c r="B4010" s="309"/>
      <c r="C4010" s="309"/>
      <c r="I4010" s="309"/>
      <c r="J4010" s="309"/>
    </row>
    <row r="4011">
      <c r="B4011" s="309"/>
      <c r="C4011" s="309"/>
      <c r="I4011" s="309"/>
      <c r="J4011" s="309"/>
    </row>
    <row r="4012">
      <c r="B4012" s="309"/>
      <c r="C4012" s="309"/>
      <c r="I4012" s="309"/>
      <c r="J4012" s="309"/>
    </row>
    <row r="4013">
      <c r="B4013" s="309"/>
      <c r="C4013" s="309"/>
      <c r="I4013" s="309"/>
      <c r="J4013" s="309"/>
    </row>
    <row r="4014">
      <c r="B4014" s="309"/>
      <c r="C4014" s="309"/>
      <c r="I4014" s="309"/>
      <c r="J4014" s="309"/>
    </row>
    <row r="4015">
      <c r="B4015" s="309"/>
      <c r="C4015" s="309"/>
      <c r="I4015" s="309"/>
      <c r="J4015" s="309"/>
    </row>
    <row r="4016">
      <c r="B4016" s="309"/>
      <c r="C4016" s="309"/>
      <c r="I4016" s="309"/>
      <c r="J4016" s="309"/>
    </row>
    <row r="4017">
      <c r="B4017" s="309"/>
      <c r="C4017" s="309"/>
      <c r="I4017" s="309"/>
      <c r="J4017" s="309"/>
    </row>
    <row r="4018">
      <c r="B4018" s="309"/>
      <c r="C4018" s="309"/>
      <c r="I4018" s="309"/>
      <c r="J4018" s="309"/>
    </row>
    <row r="4019">
      <c r="B4019" s="309"/>
      <c r="C4019" s="309"/>
      <c r="I4019" s="309"/>
      <c r="J4019" s="309"/>
    </row>
    <row r="4020">
      <c r="B4020" s="309"/>
      <c r="C4020" s="309"/>
      <c r="I4020" s="309"/>
      <c r="J4020" s="309"/>
    </row>
    <row r="4021">
      <c r="B4021" s="309"/>
      <c r="C4021" s="309"/>
      <c r="I4021" s="309"/>
      <c r="J4021" s="309"/>
    </row>
    <row r="4022">
      <c r="B4022" s="309"/>
      <c r="C4022" s="309"/>
      <c r="I4022" s="309"/>
      <c r="J4022" s="309"/>
    </row>
    <row r="4023">
      <c r="B4023" s="309"/>
      <c r="C4023" s="309"/>
      <c r="I4023" s="309"/>
      <c r="J4023" s="309"/>
    </row>
    <row r="4024">
      <c r="B4024" s="309"/>
      <c r="C4024" s="309"/>
      <c r="I4024" s="309"/>
      <c r="J4024" s="309"/>
    </row>
    <row r="4025">
      <c r="B4025" s="309"/>
      <c r="C4025" s="309"/>
      <c r="I4025" s="309"/>
      <c r="J4025" s="309"/>
    </row>
    <row r="4026">
      <c r="B4026" s="309"/>
      <c r="C4026" s="309"/>
      <c r="I4026" s="309"/>
      <c r="J4026" s="309"/>
    </row>
    <row r="4027">
      <c r="B4027" s="309"/>
      <c r="C4027" s="309"/>
      <c r="I4027" s="309"/>
      <c r="J4027" s="309"/>
    </row>
    <row r="4028">
      <c r="B4028" s="309"/>
      <c r="C4028" s="309"/>
      <c r="I4028" s="309"/>
      <c r="J4028" s="309"/>
    </row>
    <row r="4029">
      <c r="B4029" s="309"/>
      <c r="C4029" s="309"/>
      <c r="I4029" s="309"/>
      <c r="J4029" s="309"/>
    </row>
    <row r="4030">
      <c r="B4030" s="309"/>
      <c r="C4030" s="309"/>
      <c r="I4030" s="309"/>
      <c r="J4030" s="309"/>
    </row>
    <row r="4031">
      <c r="B4031" s="309"/>
      <c r="C4031" s="309"/>
      <c r="I4031" s="309"/>
      <c r="J4031" s="309"/>
    </row>
    <row r="4032">
      <c r="B4032" s="309"/>
      <c r="C4032" s="309"/>
      <c r="I4032" s="309"/>
      <c r="J4032" s="309"/>
    </row>
    <row r="4033">
      <c r="B4033" s="309"/>
      <c r="C4033" s="309"/>
      <c r="I4033" s="309"/>
      <c r="J4033" s="309"/>
    </row>
    <row r="4034">
      <c r="B4034" s="309"/>
      <c r="C4034" s="309"/>
      <c r="I4034" s="309"/>
      <c r="J4034" s="309"/>
    </row>
    <row r="4035">
      <c r="B4035" s="309"/>
      <c r="C4035" s="309"/>
      <c r="I4035" s="309"/>
      <c r="J4035" s="309"/>
    </row>
    <row r="4036">
      <c r="B4036" s="309"/>
      <c r="C4036" s="309"/>
      <c r="I4036" s="309"/>
      <c r="J4036" s="309"/>
    </row>
    <row r="4037">
      <c r="B4037" s="309"/>
      <c r="C4037" s="309"/>
      <c r="I4037" s="309"/>
      <c r="J4037" s="309"/>
    </row>
    <row r="4038">
      <c r="B4038" s="309"/>
      <c r="C4038" s="309"/>
      <c r="I4038" s="309"/>
      <c r="J4038" s="309"/>
    </row>
    <row r="4039">
      <c r="B4039" s="309"/>
      <c r="C4039" s="309"/>
      <c r="I4039" s="309"/>
      <c r="J4039" s="309"/>
    </row>
    <row r="4040">
      <c r="B4040" s="309"/>
      <c r="C4040" s="309"/>
      <c r="I4040" s="309"/>
      <c r="J4040" s="309"/>
    </row>
    <row r="4041">
      <c r="B4041" s="309"/>
      <c r="C4041" s="309"/>
      <c r="I4041" s="309"/>
      <c r="J4041" s="309"/>
    </row>
    <row r="4042">
      <c r="B4042" s="309"/>
      <c r="C4042" s="309"/>
      <c r="I4042" s="309"/>
      <c r="J4042" s="309"/>
    </row>
    <row r="4043">
      <c r="B4043" s="309"/>
      <c r="C4043" s="309"/>
      <c r="I4043" s="309"/>
      <c r="J4043" s="309"/>
    </row>
    <row r="4044">
      <c r="B4044" s="309"/>
      <c r="C4044" s="309"/>
      <c r="I4044" s="309"/>
      <c r="J4044" s="309"/>
    </row>
    <row r="4045">
      <c r="B4045" s="309"/>
      <c r="C4045" s="309"/>
      <c r="I4045" s="309"/>
      <c r="J4045" s="309"/>
    </row>
    <row r="4046">
      <c r="B4046" s="309"/>
      <c r="C4046" s="309"/>
      <c r="I4046" s="309"/>
      <c r="J4046" s="309"/>
    </row>
    <row r="4047">
      <c r="B4047" s="309"/>
      <c r="C4047" s="309"/>
      <c r="I4047" s="309"/>
      <c r="J4047" s="309"/>
    </row>
    <row r="4048">
      <c r="B4048" s="309"/>
      <c r="C4048" s="309"/>
      <c r="I4048" s="309"/>
      <c r="J4048" s="309"/>
    </row>
    <row r="4049">
      <c r="B4049" s="309"/>
      <c r="C4049" s="309"/>
      <c r="I4049" s="309"/>
      <c r="J4049" s="309"/>
    </row>
    <row r="4050">
      <c r="B4050" s="309"/>
      <c r="C4050" s="309"/>
      <c r="I4050" s="309"/>
      <c r="J4050" s="309"/>
    </row>
    <row r="4051">
      <c r="B4051" s="309"/>
      <c r="C4051" s="309"/>
      <c r="I4051" s="309"/>
      <c r="J4051" s="309"/>
    </row>
    <row r="4052">
      <c r="B4052" s="309"/>
      <c r="C4052" s="309"/>
      <c r="I4052" s="309"/>
      <c r="J4052" s="309"/>
    </row>
    <row r="4053">
      <c r="B4053" s="309"/>
      <c r="C4053" s="309"/>
      <c r="I4053" s="309"/>
      <c r="J4053" s="309"/>
    </row>
    <row r="4054">
      <c r="B4054" s="309"/>
      <c r="C4054" s="309"/>
      <c r="I4054" s="309"/>
      <c r="J4054" s="309"/>
    </row>
    <row r="4055">
      <c r="B4055" s="309"/>
      <c r="C4055" s="309"/>
      <c r="I4055" s="309"/>
      <c r="J4055" s="309"/>
    </row>
    <row r="4056">
      <c r="B4056" s="309"/>
      <c r="C4056" s="309"/>
      <c r="I4056" s="309"/>
      <c r="J4056" s="309"/>
    </row>
    <row r="4057">
      <c r="B4057" s="309"/>
      <c r="C4057" s="309"/>
      <c r="I4057" s="309"/>
      <c r="J4057" s="309"/>
    </row>
    <row r="4058">
      <c r="B4058" s="309"/>
      <c r="C4058" s="309"/>
      <c r="I4058" s="309"/>
      <c r="J4058" s="309"/>
    </row>
    <row r="4059">
      <c r="B4059" s="309"/>
      <c r="C4059" s="309"/>
      <c r="I4059" s="309"/>
      <c r="J4059" s="309"/>
    </row>
    <row r="4060">
      <c r="B4060" s="309"/>
      <c r="C4060" s="309"/>
      <c r="I4060" s="309"/>
      <c r="J4060" s="309"/>
    </row>
    <row r="4061">
      <c r="B4061" s="309"/>
      <c r="C4061" s="309"/>
      <c r="I4061" s="309"/>
      <c r="J4061" s="309"/>
    </row>
    <row r="4062">
      <c r="B4062" s="309"/>
      <c r="C4062" s="309"/>
      <c r="I4062" s="309"/>
      <c r="J4062" s="309"/>
    </row>
    <row r="4063">
      <c r="B4063" s="309"/>
      <c r="C4063" s="309"/>
      <c r="I4063" s="309"/>
      <c r="J4063" s="309"/>
    </row>
    <row r="4064">
      <c r="B4064" s="309"/>
      <c r="C4064" s="309"/>
      <c r="I4064" s="309"/>
      <c r="J4064" s="309"/>
    </row>
    <row r="4065">
      <c r="B4065" s="309"/>
      <c r="C4065" s="309"/>
      <c r="I4065" s="309"/>
      <c r="J4065" s="309"/>
    </row>
    <row r="4066">
      <c r="B4066" s="309"/>
      <c r="C4066" s="309"/>
      <c r="I4066" s="309"/>
      <c r="J4066" s="309"/>
    </row>
    <row r="4067">
      <c r="B4067" s="309"/>
      <c r="C4067" s="309"/>
      <c r="I4067" s="309"/>
      <c r="J4067" s="309"/>
    </row>
    <row r="4068">
      <c r="B4068" s="309"/>
      <c r="C4068" s="309"/>
      <c r="I4068" s="309"/>
      <c r="J4068" s="309"/>
    </row>
    <row r="4069">
      <c r="B4069" s="309"/>
      <c r="C4069" s="309"/>
      <c r="I4069" s="309"/>
      <c r="J4069" s="309"/>
    </row>
    <row r="4070">
      <c r="B4070" s="309"/>
      <c r="C4070" s="309"/>
      <c r="I4070" s="309"/>
      <c r="J4070" s="309"/>
    </row>
    <row r="4071">
      <c r="B4071" s="309"/>
      <c r="C4071" s="309"/>
      <c r="I4071" s="309"/>
      <c r="J4071" s="309"/>
    </row>
    <row r="4072">
      <c r="B4072" s="309"/>
      <c r="C4072" s="309"/>
      <c r="I4072" s="309"/>
      <c r="J4072" s="309"/>
    </row>
    <row r="4073">
      <c r="B4073" s="309"/>
      <c r="C4073" s="309"/>
      <c r="I4073" s="309"/>
      <c r="J4073" s="309"/>
    </row>
    <row r="4074">
      <c r="B4074" s="309"/>
      <c r="C4074" s="309"/>
      <c r="I4074" s="309"/>
      <c r="J4074" s="309"/>
    </row>
    <row r="4075">
      <c r="B4075" s="309"/>
      <c r="C4075" s="309"/>
      <c r="I4075" s="309"/>
      <c r="J4075" s="309"/>
    </row>
    <row r="4076">
      <c r="B4076" s="309"/>
      <c r="C4076" s="309"/>
      <c r="I4076" s="309"/>
      <c r="J4076" s="309"/>
    </row>
    <row r="4077">
      <c r="B4077" s="309"/>
      <c r="C4077" s="309"/>
      <c r="I4077" s="309"/>
      <c r="J4077" s="309"/>
    </row>
    <row r="4078">
      <c r="B4078" s="309"/>
      <c r="C4078" s="309"/>
      <c r="I4078" s="309"/>
      <c r="J4078" s="309"/>
    </row>
    <row r="4079">
      <c r="B4079" s="309"/>
      <c r="C4079" s="309"/>
      <c r="I4079" s="309"/>
      <c r="J4079" s="309"/>
    </row>
    <row r="4080">
      <c r="B4080" s="309"/>
      <c r="C4080" s="309"/>
      <c r="I4080" s="309"/>
      <c r="J4080" s="309"/>
    </row>
    <row r="4081">
      <c r="B4081" s="309"/>
      <c r="C4081" s="309"/>
      <c r="I4081" s="309"/>
      <c r="J4081" s="309"/>
    </row>
    <row r="4082">
      <c r="B4082" s="309"/>
      <c r="C4082" s="309"/>
      <c r="I4082" s="309"/>
      <c r="J4082" s="309"/>
    </row>
    <row r="4083">
      <c r="B4083" s="309"/>
      <c r="C4083" s="309"/>
      <c r="I4083" s="309"/>
      <c r="J4083" s="309"/>
    </row>
    <row r="4084">
      <c r="B4084" s="309"/>
      <c r="C4084" s="309"/>
      <c r="I4084" s="309"/>
      <c r="J4084" s="309"/>
    </row>
    <row r="4085">
      <c r="B4085" s="309"/>
      <c r="C4085" s="309"/>
      <c r="I4085" s="309"/>
      <c r="J4085" s="309"/>
    </row>
    <row r="4086">
      <c r="B4086" s="309"/>
      <c r="C4086" s="309"/>
      <c r="I4086" s="309"/>
      <c r="J4086" s="309"/>
    </row>
    <row r="4087">
      <c r="B4087" s="309"/>
      <c r="C4087" s="309"/>
      <c r="I4087" s="309"/>
      <c r="J4087" s="309"/>
    </row>
    <row r="4088">
      <c r="B4088" s="309"/>
      <c r="C4088" s="309"/>
      <c r="I4088" s="309"/>
      <c r="J4088" s="309"/>
    </row>
    <row r="4089">
      <c r="B4089" s="309"/>
      <c r="C4089" s="309"/>
      <c r="I4089" s="309"/>
      <c r="J4089" s="309"/>
    </row>
    <row r="4090">
      <c r="B4090" s="309"/>
      <c r="C4090" s="309"/>
      <c r="I4090" s="309"/>
      <c r="J4090" s="309"/>
    </row>
    <row r="4091">
      <c r="B4091" s="309"/>
      <c r="C4091" s="309"/>
      <c r="I4091" s="309"/>
      <c r="J4091" s="309"/>
    </row>
    <row r="4092">
      <c r="B4092" s="309"/>
      <c r="C4092" s="309"/>
      <c r="I4092" s="309"/>
      <c r="J4092" s="309"/>
    </row>
    <row r="4093">
      <c r="B4093" s="309"/>
      <c r="C4093" s="309"/>
      <c r="I4093" s="309"/>
      <c r="J4093" s="309"/>
    </row>
    <row r="4094">
      <c r="B4094" s="309"/>
      <c r="C4094" s="309"/>
      <c r="I4094" s="309"/>
      <c r="J4094" s="309"/>
    </row>
    <row r="4095">
      <c r="B4095" s="309"/>
      <c r="C4095" s="309"/>
      <c r="I4095" s="309"/>
      <c r="J4095" s="309"/>
    </row>
    <row r="4096">
      <c r="B4096" s="309"/>
      <c r="C4096" s="309"/>
      <c r="I4096" s="309"/>
      <c r="J4096" s="309"/>
    </row>
    <row r="4097">
      <c r="B4097" s="309"/>
      <c r="C4097" s="309"/>
      <c r="I4097" s="309"/>
      <c r="J4097" s="309"/>
    </row>
    <row r="4098">
      <c r="B4098" s="309"/>
      <c r="C4098" s="309"/>
      <c r="I4098" s="309"/>
      <c r="J4098" s="309"/>
    </row>
    <row r="4099">
      <c r="B4099" s="309"/>
      <c r="C4099" s="309"/>
      <c r="I4099" s="309"/>
      <c r="J4099" s="309"/>
    </row>
    <row r="4100">
      <c r="B4100" s="309"/>
      <c r="C4100" s="309"/>
      <c r="I4100" s="309"/>
      <c r="J4100" s="309"/>
    </row>
    <row r="4101">
      <c r="B4101" s="309"/>
      <c r="C4101" s="309"/>
      <c r="I4101" s="309"/>
      <c r="J4101" s="309"/>
    </row>
    <row r="4102">
      <c r="B4102" s="309"/>
      <c r="C4102" s="309"/>
      <c r="I4102" s="309"/>
      <c r="J4102" s="309"/>
    </row>
    <row r="4103">
      <c r="B4103" s="309"/>
      <c r="C4103" s="309"/>
      <c r="I4103" s="309"/>
      <c r="J4103" s="309"/>
    </row>
    <row r="4104">
      <c r="B4104" s="309"/>
      <c r="C4104" s="309"/>
      <c r="I4104" s="309"/>
      <c r="J4104" s="309"/>
    </row>
    <row r="4105">
      <c r="B4105" s="309"/>
      <c r="C4105" s="309"/>
      <c r="I4105" s="309"/>
      <c r="J4105" s="309"/>
    </row>
    <row r="4106">
      <c r="B4106" s="309"/>
      <c r="C4106" s="309"/>
      <c r="I4106" s="309"/>
      <c r="J4106" s="309"/>
    </row>
    <row r="4107">
      <c r="B4107" s="309"/>
      <c r="C4107" s="309"/>
      <c r="I4107" s="309"/>
      <c r="J4107" s="309"/>
    </row>
    <row r="4108">
      <c r="B4108" s="309"/>
      <c r="C4108" s="309"/>
      <c r="I4108" s="309"/>
      <c r="J4108" s="309"/>
    </row>
    <row r="4109">
      <c r="B4109" s="309"/>
      <c r="C4109" s="309"/>
      <c r="I4109" s="309"/>
      <c r="J4109" s="309"/>
    </row>
    <row r="4110">
      <c r="B4110" s="309"/>
      <c r="C4110" s="309"/>
      <c r="I4110" s="309"/>
      <c r="J4110" s="309"/>
    </row>
    <row r="4111">
      <c r="B4111" s="309"/>
      <c r="C4111" s="309"/>
      <c r="I4111" s="309"/>
      <c r="J4111" s="309"/>
    </row>
    <row r="4112">
      <c r="B4112" s="309"/>
      <c r="C4112" s="309"/>
      <c r="I4112" s="309"/>
      <c r="J4112" s="309"/>
    </row>
    <row r="4113">
      <c r="B4113" s="309"/>
      <c r="C4113" s="309"/>
      <c r="I4113" s="309"/>
      <c r="J4113" s="309"/>
    </row>
    <row r="4114">
      <c r="B4114" s="309"/>
      <c r="C4114" s="309"/>
      <c r="I4114" s="309"/>
      <c r="J4114" s="309"/>
    </row>
    <row r="4115">
      <c r="B4115" s="309"/>
      <c r="C4115" s="309"/>
      <c r="I4115" s="309"/>
      <c r="J4115" s="309"/>
    </row>
    <row r="4116">
      <c r="B4116" s="309"/>
      <c r="C4116" s="309"/>
      <c r="I4116" s="309"/>
      <c r="J4116" s="309"/>
    </row>
    <row r="4117">
      <c r="B4117" s="309"/>
      <c r="C4117" s="309"/>
      <c r="I4117" s="309"/>
      <c r="J4117" s="309"/>
    </row>
    <row r="4118">
      <c r="B4118" s="309"/>
      <c r="C4118" s="309"/>
      <c r="I4118" s="309"/>
      <c r="J4118" s="309"/>
    </row>
    <row r="4119">
      <c r="B4119" s="309"/>
      <c r="C4119" s="309"/>
      <c r="I4119" s="309"/>
      <c r="J4119" s="309"/>
    </row>
    <row r="4120">
      <c r="B4120" s="309"/>
      <c r="C4120" s="309"/>
      <c r="I4120" s="309"/>
      <c r="J4120" s="309"/>
    </row>
    <row r="4121">
      <c r="B4121" s="309"/>
      <c r="C4121" s="309"/>
      <c r="I4121" s="309"/>
      <c r="J4121" s="309"/>
    </row>
    <row r="4122">
      <c r="B4122" s="309"/>
      <c r="C4122" s="309"/>
      <c r="I4122" s="309"/>
      <c r="J4122" s="309"/>
    </row>
    <row r="4123">
      <c r="B4123" s="309"/>
      <c r="C4123" s="309"/>
      <c r="I4123" s="309"/>
      <c r="J4123" s="309"/>
    </row>
    <row r="4124">
      <c r="B4124" s="309"/>
      <c r="C4124" s="309"/>
      <c r="I4124" s="309"/>
      <c r="J4124" s="309"/>
    </row>
    <row r="4125">
      <c r="B4125" s="309"/>
      <c r="C4125" s="309"/>
      <c r="I4125" s="309"/>
      <c r="J4125" s="309"/>
    </row>
    <row r="4126">
      <c r="B4126" s="309"/>
      <c r="C4126" s="309"/>
      <c r="I4126" s="309"/>
      <c r="J4126" s="309"/>
    </row>
    <row r="4127">
      <c r="B4127" s="309"/>
      <c r="C4127" s="309"/>
      <c r="I4127" s="309"/>
      <c r="J4127" s="309"/>
    </row>
    <row r="4128">
      <c r="B4128" s="309"/>
      <c r="C4128" s="309"/>
      <c r="I4128" s="309"/>
      <c r="J4128" s="309"/>
    </row>
    <row r="4129">
      <c r="B4129" s="309"/>
      <c r="C4129" s="309"/>
      <c r="I4129" s="309"/>
      <c r="J4129" s="309"/>
    </row>
    <row r="4130">
      <c r="B4130" s="309"/>
      <c r="C4130" s="309"/>
      <c r="I4130" s="309"/>
      <c r="J4130" s="309"/>
    </row>
    <row r="4131">
      <c r="B4131" s="309"/>
      <c r="C4131" s="309"/>
      <c r="I4131" s="309"/>
      <c r="J4131" s="309"/>
    </row>
    <row r="4132">
      <c r="B4132" s="309"/>
      <c r="C4132" s="309"/>
      <c r="I4132" s="309"/>
      <c r="J4132" s="309"/>
    </row>
    <row r="4133">
      <c r="B4133" s="309"/>
      <c r="C4133" s="309"/>
      <c r="I4133" s="309"/>
      <c r="J4133" s="309"/>
    </row>
    <row r="4134">
      <c r="B4134" s="309"/>
      <c r="C4134" s="309"/>
      <c r="I4134" s="309"/>
      <c r="J4134" s="309"/>
    </row>
    <row r="4135">
      <c r="B4135" s="309"/>
      <c r="C4135" s="309"/>
      <c r="I4135" s="309"/>
      <c r="J4135" s="309"/>
    </row>
    <row r="4136">
      <c r="B4136" s="309"/>
      <c r="C4136" s="309"/>
      <c r="I4136" s="309"/>
      <c r="J4136" s="309"/>
    </row>
    <row r="4137">
      <c r="B4137" s="309"/>
      <c r="C4137" s="309"/>
      <c r="I4137" s="309"/>
      <c r="J4137" s="309"/>
    </row>
    <row r="4138">
      <c r="B4138" s="309"/>
      <c r="C4138" s="309"/>
      <c r="I4138" s="309"/>
      <c r="J4138" s="309"/>
    </row>
    <row r="4139">
      <c r="B4139" s="309"/>
      <c r="C4139" s="309"/>
      <c r="I4139" s="309"/>
      <c r="J4139" s="309"/>
    </row>
    <row r="4140">
      <c r="B4140" s="309"/>
      <c r="C4140" s="309"/>
      <c r="I4140" s="309"/>
      <c r="J4140" s="309"/>
    </row>
    <row r="4141">
      <c r="B4141" s="309"/>
      <c r="C4141" s="309"/>
      <c r="I4141" s="309"/>
      <c r="J4141" s="309"/>
    </row>
    <row r="4142">
      <c r="B4142" s="309"/>
      <c r="C4142" s="309"/>
      <c r="I4142" s="309"/>
      <c r="J4142" s="309"/>
    </row>
    <row r="4143">
      <c r="B4143" s="309"/>
      <c r="C4143" s="309"/>
      <c r="I4143" s="309"/>
      <c r="J4143" s="309"/>
    </row>
    <row r="4144">
      <c r="B4144" s="309"/>
      <c r="C4144" s="309"/>
      <c r="I4144" s="309"/>
      <c r="J4144" s="309"/>
    </row>
    <row r="4145">
      <c r="B4145" s="309"/>
      <c r="C4145" s="309"/>
      <c r="I4145" s="309"/>
      <c r="J4145" s="309"/>
    </row>
    <row r="4146">
      <c r="B4146" s="309"/>
      <c r="C4146" s="309"/>
      <c r="I4146" s="309"/>
      <c r="J4146" s="309"/>
    </row>
    <row r="4147">
      <c r="B4147" s="309"/>
      <c r="C4147" s="309"/>
      <c r="I4147" s="309"/>
      <c r="J4147" s="309"/>
    </row>
    <row r="4148">
      <c r="B4148" s="309"/>
      <c r="C4148" s="309"/>
      <c r="I4148" s="309"/>
      <c r="J4148" s="309"/>
    </row>
    <row r="4149">
      <c r="B4149" s="309"/>
      <c r="C4149" s="309"/>
      <c r="I4149" s="309"/>
      <c r="J4149" s="309"/>
    </row>
    <row r="4150">
      <c r="B4150" s="309"/>
      <c r="C4150" s="309"/>
      <c r="I4150" s="309"/>
      <c r="J4150" s="309"/>
    </row>
    <row r="4151">
      <c r="B4151" s="309"/>
      <c r="C4151" s="309"/>
      <c r="I4151" s="309"/>
      <c r="J4151" s="309"/>
    </row>
    <row r="4152">
      <c r="B4152" s="309"/>
      <c r="C4152" s="309"/>
      <c r="I4152" s="309"/>
      <c r="J4152" s="309"/>
    </row>
    <row r="4153">
      <c r="B4153" s="309"/>
      <c r="C4153" s="309"/>
      <c r="I4153" s="309"/>
      <c r="J4153" s="309"/>
    </row>
    <row r="4154">
      <c r="B4154" s="309"/>
      <c r="C4154" s="309"/>
      <c r="I4154" s="309"/>
      <c r="J4154" s="309"/>
    </row>
    <row r="4155">
      <c r="B4155" s="309"/>
      <c r="C4155" s="309"/>
      <c r="I4155" s="309"/>
      <c r="J4155" s="309"/>
    </row>
    <row r="4156">
      <c r="B4156" s="309"/>
      <c r="C4156" s="309"/>
      <c r="I4156" s="309"/>
      <c r="J4156" s="309"/>
    </row>
    <row r="4157">
      <c r="B4157" s="309"/>
      <c r="C4157" s="309"/>
      <c r="I4157" s="309"/>
      <c r="J4157" s="309"/>
    </row>
    <row r="4158">
      <c r="B4158" s="309"/>
      <c r="C4158" s="309"/>
      <c r="I4158" s="309"/>
      <c r="J4158" s="309"/>
    </row>
    <row r="4159">
      <c r="B4159" s="309"/>
      <c r="C4159" s="309"/>
      <c r="I4159" s="309"/>
      <c r="J4159" s="309"/>
    </row>
    <row r="4160">
      <c r="B4160" s="309"/>
      <c r="C4160" s="309"/>
      <c r="I4160" s="309"/>
      <c r="J4160" s="309"/>
    </row>
    <row r="4161">
      <c r="B4161" s="309"/>
      <c r="C4161" s="309"/>
      <c r="I4161" s="309"/>
      <c r="J4161" s="309"/>
    </row>
    <row r="4162">
      <c r="B4162" s="309"/>
      <c r="C4162" s="309"/>
      <c r="I4162" s="309"/>
      <c r="J4162" s="309"/>
    </row>
    <row r="4163">
      <c r="B4163" s="309"/>
      <c r="C4163" s="309"/>
      <c r="I4163" s="309"/>
      <c r="J4163" s="309"/>
    </row>
    <row r="4164">
      <c r="B4164" s="309"/>
      <c r="C4164" s="309"/>
      <c r="I4164" s="309"/>
      <c r="J4164" s="309"/>
    </row>
    <row r="4165">
      <c r="B4165" s="309"/>
      <c r="C4165" s="309"/>
      <c r="I4165" s="309"/>
      <c r="J4165" s="309"/>
    </row>
    <row r="4166">
      <c r="B4166" s="309"/>
      <c r="C4166" s="309"/>
      <c r="I4166" s="309"/>
      <c r="J4166" s="309"/>
    </row>
    <row r="4167">
      <c r="B4167" s="309"/>
      <c r="C4167" s="309"/>
      <c r="I4167" s="309"/>
      <c r="J4167" s="309"/>
    </row>
    <row r="4168">
      <c r="B4168" s="309"/>
      <c r="C4168" s="309"/>
      <c r="I4168" s="309"/>
      <c r="J4168" s="309"/>
    </row>
    <row r="4169">
      <c r="B4169" s="309"/>
      <c r="C4169" s="309"/>
      <c r="I4169" s="309"/>
      <c r="J4169" s="309"/>
    </row>
    <row r="4170">
      <c r="B4170" s="309"/>
      <c r="C4170" s="309"/>
      <c r="I4170" s="309"/>
      <c r="J4170" s="309"/>
    </row>
    <row r="4171">
      <c r="B4171" s="309"/>
      <c r="C4171" s="309"/>
      <c r="I4171" s="309"/>
      <c r="J4171" s="309"/>
    </row>
    <row r="4172">
      <c r="B4172" s="309"/>
      <c r="C4172" s="309"/>
      <c r="I4172" s="309"/>
      <c r="J4172" s="309"/>
    </row>
    <row r="4173">
      <c r="B4173" s="309"/>
      <c r="C4173" s="309"/>
      <c r="I4173" s="309"/>
      <c r="J4173" s="309"/>
    </row>
    <row r="4174">
      <c r="B4174" s="309"/>
      <c r="C4174" s="309"/>
      <c r="I4174" s="309"/>
      <c r="J4174" s="309"/>
    </row>
    <row r="4175">
      <c r="B4175" s="309"/>
      <c r="C4175" s="309"/>
      <c r="I4175" s="309"/>
      <c r="J4175" s="309"/>
    </row>
    <row r="4176">
      <c r="B4176" s="309"/>
      <c r="C4176" s="309"/>
      <c r="I4176" s="309"/>
      <c r="J4176" s="309"/>
    </row>
    <row r="4177">
      <c r="B4177" s="309"/>
      <c r="C4177" s="309"/>
      <c r="I4177" s="309"/>
      <c r="J4177" s="309"/>
    </row>
    <row r="4178">
      <c r="B4178" s="309"/>
      <c r="C4178" s="309"/>
      <c r="I4178" s="309"/>
      <c r="J4178" s="309"/>
    </row>
    <row r="4179">
      <c r="B4179" s="309"/>
      <c r="C4179" s="309"/>
      <c r="I4179" s="309"/>
      <c r="J4179" s="309"/>
    </row>
    <row r="4180">
      <c r="B4180" s="309"/>
      <c r="C4180" s="309"/>
      <c r="I4180" s="309"/>
      <c r="J4180" s="309"/>
    </row>
    <row r="4181">
      <c r="B4181" s="309"/>
      <c r="C4181" s="309"/>
      <c r="I4181" s="309"/>
      <c r="J4181" s="309"/>
    </row>
    <row r="4182">
      <c r="B4182" s="309"/>
      <c r="C4182" s="309"/>
      <c r="I4182" s="309"/>
      <c r="J4182" s="309"/>
    </row>
    <row r="4183">
      <c r="B4183" s="309"/>
      <c r="C4183" s="309"/>
      <c r="I4183" s="309"/>
      <c r="J4183" s="309"/>
    </row>
    <row r="4184">
      <c r="B4184" s="309"/>
      <c r="C4184" s="309"/>
      <c r="I4184" s="309"/>
      <c r="J4184" s="309"/>
    </row>
    <row r="4185">
      <c r="B4185" s="309"/>
      <c r="C4185" s="309"/>
      <c r="I4185" s="309"/>
      <c r="J4185" s="309"/>
    </row>
    <row r="4186">
      <c r="B4186" s="309"/>
      <c r="C4186" s="309"/>
      <c r="I4186" s="309"/>
      <c r="J4186" s="309"/>
    </row>
    <row r="4187">
      <c r="B4187" s="309"/>
      <c r="C4187" s="309"/>
      <c r="I4187" s="309"/>
      <c r="J4187" s="309"/>
    </row>
    <row r="4188">
      <c r="B4188" s="309"/>
      <c r="C4188" s="309"/>
      <c r="I4188" s="309"/>
      <c r="J4188" s="309"/>
    </row>
    <row r="4189">
      <c r="B4189" s="309"/>
      <c r="C4189" s="309"/>
      <c r="I4189" s="309"/>
      <c r="J4189" s="309"/>
    </row>
    <row r="4190">
      <c r="B4190" s="309"/>
      <c r="C4190" s="309"/>
      <c r="I4190" s="309"/>
      <c r="J4190" s="309"/>
    </row>
    <row r="4191">
      <c r="B4191" s="309"/>
      <c r="C4191" s="309"/>
      <c r="I4191" s="309"/>
      <c r="J4191" s="309"/>
    </row>
    <row r="4192">
      <c r="B4192" s="309"/>
      <c r="C4192" s="309"/>
      <c r="I4192" s="309"/>
      <c r="J4192" s="309"/>
    </row>
    <row r="4193">
      <c r="B4193" s="309"/>
      <c r="C4193" s="309"/>
      <c r="I4193" s="309"/>
      <c r="J4193" s="309"/>
    </row>
    <row r="4194">
      <c r="B4194" s="309"/>
      <c r="C4194" s="309"/>
      <c r="I4194" s="309"/>
      <c r="J4194" s="309"/>
    </row>
    <row r="4195">
      <c r="B4195" s="309"/>
      <c r="C4195" s="309"/>
      <c r="I4195" s="309"/>
      <c r="J4195" s="309"/>
    </row>
    <row r="4196">
      <c r="B4196" s="309"/>
      <c r="C4196" s="309"/>
      <c r="I4196" s="309"/>
      <c r="J4196" s="309"/>
    </row>
    <row r="4197">
      <c r="B4197" s="309"/>
      <c r="C4197" s="309"/>
      <c r="I4197" s="309"/>
      <c r="J4197" s="309"/>
    </row>
    <row r="4198">
      <c r="B4198" s="309"/>
      <c r="C4198" s="309"/>
      <c r="I4198" s="309"/>
      <c r="J4198" s="309"/>
    </row>
    <row r="4199">
      <c r="B4199" s="309"/>
      <c r="C4199" s="309"/>
      <c r="I4199" s="309"/>
      <c r="J4199" s="309"/>
    </row>
    <row r="4200">
      <c r="B4200" s="309"/>
      <c r="C4200" s="309"/>
      <c r="I4200" s="309"/>
      <c r="J4200" s="309"/>
    </row>
    <row r="4201">
      <c r="B4201" s="309"/>
      <c r="C4201" s="309"/>
      <c r="I4201" s="309"/>
      <c r="J4201" s="309"/>
    </row>
    <row r="4202">
      <c r="B4202" s="309"/>
      <c r="C4202" s="309"/>
      <c r="I4202" s="309"/>
      <c r="J4202" s="309"/>
    </row>
    <row r="4203">
      <c r="B4203" s="309"/>
      <c r="C4203" s="309"/>
      <c r="I4203" s="309"/>
      <c r="J4203" s="309"/>
    </row>
    <row r="4204">
      <c r="B4204" s="309"/>
      <c r="C4204" s="309"/>
      <c r="I4204" s="309"/>
      <c r="J4204" s="309"/>
    </row>
    <row r="4205">
      <c r="B4205" s="309"/>
      <c r="C4205" s="309"/>
      <c r="I4205" s="309"/>
      <c r="J4205" s="309"/>
    </row>
    <row r="4206">
      <c r="B4206" s="309"/>
      <c r="C4206" s="309"/>
      <c r="I4206" s="309"/>
      <c r="J4206" s="309"/>
    </row>
    <row r="4207">
      <c r="B4207" s="309"/>
      <c r="C4207" s="309"/>
      <c r="I4207" s="309"/>
      <c r="J4207" s="309"/>
    </row>
    <row r="4208">
      <c r="B4208" s="309"/>
      <c r="C4208" s="309"/>
      <c r="I4208" s="309"/>
      <c r="J4208" s="309"/>
    </row>
    <row r="4209">
      <c r="B4209" s="309"/>
      <c r="C4209" s="309"/>
      <c r="I4209" s="309"/>
      <c r="J4209" s="309"/>
    </row>
    <row r="4210">
      <c r="B4210" s="309"/>
      <c r="C4210" s="309"/>
      <c r="I4210" s="309"/>
      <c r="J4210" s="309"/>
    </row>
    <row r="4211">
      <c r="B4211" s="309"/>
      <c r="C4211" s="309"/>
      <c r="I4211" s="309"/>
      <c r="J4211" s="309"/>
    </row>
    <row r="4212">
      <c r="B4212" s="309"/>
      <c r="C4212" s="309"/>
      <c r="I4212" s="309"/>
      <c r="J4212" s="309"/>
    </row>
    <row r="4213">
      <c r="B4213" s="309"/>
      <c r="C4213" s="309"/>
      <c r="I4213" s="309"/>
      <c r="J4213" s="309"/>
    </row>
    <row r="4214">
      <c r="B4214" s="309"/>
      <c r="C4214" s="309"/>
      <c r="I4214" s="309"/>
      <c r="J4214" s="309"/>
    </row>
    <row r="4215">
      <c r="B4215" s="309"/>
      <c r="C4215" s="309"/>
      <c r="I4215" s="309"/>
      <c r="J4215" s="309"/>
    </row>
    <row r="4216">
      <c r="B4216" s="309"/>
      <c r="C4216" s="309"/>
      <c r="I4216" s="309"/>
      <c r="J4216" s="309"/>
    </row>
    <row r="4217">
      <c r="B4217" s="309"/>
      <c r="C4217" s="309"/>
      <c r="I4217" s="309"/>
      <c r="J4217" s="309"/>
    </row>
    <row r="4218">
      <c r="B4218" s="309"/>
      <c r="C4218" s="309"/>
      <c r="I4218" s="309"/>
      <c r="J4218" s="309"/>
    </row>
    <row r="4219">
      <c r="B4219" s="309"/>
      <c r="C4219" s="309"/>
      <c r="I4219" s="309"/>
      <c r="J4219" s="309"/>
    </row>
    <row r="4220">
      <c r="B4220" s="309"/>
      <c r="C4220" s="309"/>
      <c r="I4220" s="309"/>
      <c r="J4220" s="309"/>
    </row>
    <row r="4221">
      <c r="B4221" s="309"/>
      <c r="C4221" s="309"/>
      <c r="I4221" s="309"/>
      <c r="J4221" s="309"/>
    </row>
    <row r="4222">
      <c r="B4222" s="309"/>
      <c r="C4222" s="309"/>
      <c r="I4222" s="309"/>
      <c r="J4222" s="309"/>
    </row>
    <row r="4223">
      <c r="B4223" s="309"/>
      <c r="C4223" s="309"/>
      <c r="I4223" s="309"/>
      <c r="J4223" s="309"/>
    </row>
    <row r="4224">
      <c r="B4224" s="309"/>
      <c r="C4224" s="309"/>
      <c r="I4224" s="309"/>
      <c r="J4224" s="309"/>
    </row>
    <row r="4225">
      <c r="B4225" s="309"/>
      <c r="C4225" s="309"/>
      <c r="I4225" s="309"/>
      <c r="J4225" s="309"/>
    </row>
    <row r="4226">
      <c r="B4226" s="309"/>
      <c r="C4226" s="309"/>
      <c r="I4226" s="309"/>
      <c r="J4226" s="309"/>
    </row>
    <row r="4227">
      <c r="B4227" s="309"/>
      <c r="C4227" s="309"/>
      <c r="I4227" s="309"/>
      <c r="J4227" s="309"/>
    </row>
    <row r="4228">
      <c r="B4228" s="309"/>
      <c r="C4228" s="309"/>
      <c r="I4228" s="309"/>
      <c r="J4228" s="309"/>
    </row>
    <row r="4229">
      <c r="B4229" s="309"/>
      <c r="C4229" s="309"/>
      <c r="I4229" s="309"/>
      <c r="J4229" s="309"/>
    </row>
    <row r="4230">
      <c r="B4230" s="309"/>
      <c r="C4230" s="309"/>
      <c r="I4230" s="309"/>
      <c r="J4230" s="309"/>
    </row>
    <row r="4231">
      <c r="B4231" s="309"/>
      <c r="C4231" s="309"/>
      <c r="I4231" s="309"/>
      <c r="J4231" s="309"/>
    </row>
    <row r="4232">
      <c r="B4232" s="309"/>
      <c r="C4232" s="309"/>
      <c r="I4232" s="309"/>
      <c r="J4232" s="309"/>
    </row>
    <row r="4233">
      <c r="B4233" s="309"/>
      <c r="C4233" s="309"/>
      <c r="I4233" s="309"/>
      <c r="J4233" s="309"/>
    </row>
    <row r="4234">
      <c r="B4234" s="309"/>
      <c r="C4234" s="309"/>
      <c r="I4234" s="309"/>
      <c r="J4234" s="309"/>
    </row>
    <row r="4235">
      <c r="B4235" s="309"/>
      <c r="C4235" s="309"/>
      <c r="I4235" s="309"/>
      <c r="J4235" s="309"/>
    </row>
    <row r="4236">
      <c r="B4236" s="309"/>
      <c r="C4236" s="309"/>
      <c r="I4236" s="309"/>
      <c r="J4236" s="309"/>
    </row>
    <row r="4237">
      <c r="B4237" s="309"/>
      <c r="C4237" s="309"/>
      <c r="I4237" s="309"/>
      <c r="J4237" s="309"/>
    </row>
    <row r="4238">
      <c r="B4238" s="309"/>
      <c r="C4238" s="309"/>
      <c r="I4238" s="309"/>
      <c r="J4238" s="309"/>
    </row>
    <row r="4239">
      <c r="B4239" s="309"/>
      <c r="C4239" s="309"/>
      <c r="I4239" s="309"/>
      <c r="J4239" s="309"/>
    </row>
    <row r="4240">
      <c r="B4240" s="309"/>
      <c r="C4240" s="309"/>
      <c r="I4240" s="309"/>
      <c r="J4240" s="309"/>
    </row>
    <row r="4241">
      <c r="B4241" s="309"/>
      <c r="C4241" s="309"/>
      <c r="I4241" s="309"/>
      <c r="J4241" s="309"/>
    </row>
    <row r="4242">
      <c r="B4242" s="309"/>
      <c r="C4242" s="309"/>
      <c r="I4242" s="309"/>
      <c r="J4242" s="309"/>
    </row>
    <row r="4243">
      <c r="B4243" s="309"/>
      <c r="C4243" s="309"/>
      <c r="I4243" s="309"/>
      <c r="J4243" s="309"/>
    </row>
    <row r="4244">
      <c r="B4244" s="309"/>
      <c r="C4244" s="309"/>
      <c r="I4244" s="309"/>
      <c r="J4244" s="309"/>
    </row>
    <row r="4245">
      <c r="B4245" s="309"/>
      <c r="C4245" s="309"/>
      <c r="I4245" s="309"/>
      <c r="J4245" s="309"/>
    </row>
    <row r="4246">
      <c r="B4246" s="309"/>
      <c r="C4246" s="309"/>
      <c r="I4246" s="309"/>
      <c r="J4246" s="309"/>
    </row>
    <row r="4247">
      <c r="B4247" s="309"/>
      <c r="C4247" s="309"/>
      <c r="I4247" s="309"/>
      <c r="J4247" s="309"/>
    </row>
    <row r="4248">
      <c r="B4248" s="309"/>
      <c r="C4248" s="309"/>
      <c r="I4248" s="309"/>
      <c r="J4248" s="309"/>
    </row>
    <row r="4249">
      <c r="B4249" s="309"/>
      <c r="C4249" s="309"/>
      <c r="I4249" s="309"/>
      <c r="J4249" s="309"/>
    </row>
    <row r="4250">
      <c r="B4250" s="309"/>
      <c r="C4250" s="309"/>
      <c r="I4250" s="309"/>
      <c r="J4250" s="309"/>
    </row>
    <row r="4251">
      <c r="B4251" s="309"/>
      <c r="C4251" s="309"/>
      <c r="I4251" s="309"/>
      <c r="J4251" s="309"/>
    </row>
    <row r="4252">
      <c r="B4252" s="309"/>
      <c r="C4252" s="309"/>
      <c r="I4252" s="309"/>
      <c r="J4252" s="309"/>
    </row>
    <row r="4253">
      <c r="B4253" s="309"/>
      <c r="C4253" s="309"/>
      <c r="I4253" s="309"/>
      <c r="J4253" s="309"/>
    </row>
    <row r="4254">
      <c r="B4254" s="309"/>
      <c r="C4254" s="309"/>
      <c r="I4254" s="309"/>
      <c r="J4254" s="309"/>
    </row>
    <row r="4255">
      <c r="B4255" s="309"/>
      <c r="C4255" s="309"/>
      <c r="I4255" s="309"/>
      <c r="J4255" s="309"/>
    </row>
    <row r="4256">
      <c r="B4256" s="309"/>
      <c r="C4256" s="309"/>
      <c r="I4256" s="309"/>
      <c r="J4256" s="309"/>
    </row>
    <row r="4257">
      <c r="B4257" s="309"/>
      <c r="C4257" s="309"/>
      <c r="I4257" s="309"/>
      <c r="J4257" s="309"/>
    </row>
    <row r="4258">
      <c r="B4258" s="309"/>
      <c r="C4258" s="309"/>
      <c r="I4258" s="309"/>
      <c r="J4258" s="309"/>
    </row>
    <row r="4259">
      <c r="B4259" s="309"/>
      <c r="C4259" s="309"/>
      <c r="I4259" s="309"/>
      <c r="J4259" s="309"/>
    </row>
    <row r="4260">
      <c r="B4260" s="309"/>
      <c r="C4260" s="309"/>
      <c r="I4260" s="309"/>
      <c r="J4260" s="309"/>
    </row>
    <row r="4261">
      <c r="B4261" s="309"/>
      <c r="C4261" s="309"/>
      <c r="I4261" s="309"/>
      <c r="J4261" s="309"/>
    </row>
    <row r="4262">
      <c r="B4262" s="309"/>
      <c r="C4262" s="309"/>
      <c r="I4262" s="309"/>
      <c r="J4262" s="309"/>
    </row>
    <row r="4263">
      <c r="B4263" s="309"/>
      <c r="C4263" s="309"/>
      <c r="I4263" s="309"/>
      <c r="J4263" s="309"/>
    </row>
    <row r="4264">
      <c r="B4264" s="309"/>
      <c r="C4264" s="309"/>
      <c r="I4264" s="309"/>
      <c r="J4264" s="309"/>
    </row>
    <row r="4265">
      <c r="B4265" s="309"/>
      <c r="C4265" s="309"/>
      <c r="I4265" s="309"/>
      <c r="J4265" s="309"/>
    </row>
    <row r="4266">
      <c r="B4266" s="309"/>
      <c r="C4266" s="309"/>
      <c r="I4266" s="309"/>
      <c r="J4266" s="309"/>
    </row>
    <row r="4267">
      <c r="B4267" s="309"/>
      <c r="C4267" s="309"/>
      <c r="I4267" s="309"/>
      <c r="J4267" s="309"/>
    </row>
    <row r="4268">
      <c r="B4268" s="309"/>
      <c r="C4268" s="309"/>
      <c r="I4268" s="309"/>
      <c r="J4268" s="309"/>
    </row>
    <row r="4269">
      <c r="B4269" s="309"/>
      <c r="C4269" s="309"/>
      <c r="I4269" s="309"/>
      <c r="J4269" s="309"/>
    </row>
    <row r="4270">
      <c r="B4270" s="309"/>
      <c r="C4270" s="309"/>
      <c r="I4270" s="309"/>
      <c r="J4270" s="309"/>
    </row>
    <row r="4271">
      <c r="B4271" s="309"/>
      <c r="C4271" s="309"/>
      <c r="I4271" s="309"/>
      <c r="J4271" s="309"/>
    </row>
    <row r="4272">
      <c r="B4272" s="309"/>
      <c r="C4272" s="309"/>
      <c r="I4272" s="309"/>
      <c r="J4272" s="309"/>
    </row>
    <row r="4273">
      <c r="B4273" s="309"/>
      <c r="C4273" s="309"/>
      <c r="I4273" s="309"/>
      <c r="J4273" s="309"/>
    </row>
    <row r="4274">
      <c r="B4274" s="309"/>
      <c r="C4274" s="309"/>
      <c r="I4274" s="309"/>
      <c r="J4274" s="309"/>
    </row>
    <row r="4275">
      <c r="B4275" s="309"/>
      <c r="C4275" s="309"/>
      <c r="I4275" s="309"/>
      <c r="J4275" s="309"/>
    </row>
    <row r="4276">
      <c r="B4276" s="309"/>
      <c r="C4276" s="309"/>
      <c r="I4276" s="309"/>
      <c r="J4276" s="309"/>
    </row>
    <row r="4277">
      <c r="B4277" s="309"/>
      <c r="C4277" s="309"/>
      <c r="I4277" s="309"/>
      <c r="J4277" s="309"/>
    </row>
    <row r="4278">
      <c r="B4278" s="309"/>
      <c r="C4278" s="309"/>
      <c r="I4278" s="309"/>
      <c r="J4278" s="309"/>
    </row>
    <row r="4279">
      <c r="B4279" s="309"/>
      <c r="C4279" s="309"/>
      <c r="I4279" s="309"/>
      <c r="J4279" s="309"/>
    </row>
    <row r="4280">
      <c r="B4280" s="309"/>
      <c r="C4280" s="309"/>
      <c r="I4280" s="309"/>
      <c r="J4280" s="309"/>
    </row>
    <row r="4281">
      <c r="B4281" s="309"/>
      <c r="C4281" s="309"/>
      <c r="I4281" s="309"/>
      <c r="J4281" s="309"/>
    </row>
    <row r="4282">
      <c r="B4282" s="309"/>
      <c r="C4282" s="309"/>
      <c r="I4282" s="309"/>
      <c r="J4282" s="309"/>
    </row>
    <row r="4283">
      <c r="B4283" s="309"/>
      <c r="C4283" s="309"/>
      <c r="I4283" s="309"/>
      <c r="J4283" s="309"/>
    </row>
    <row r="4284">
      <c r="B4284" s="309"/>
      <c r="C4284" s="309"/>
      <c r="I4284" s="309"/>
      <c r="J4284" s="309"/>
    </row>
    <row r="4285">
      <c r="B4285" s="309"/>
      <c r="C4285" s="309"/>
      <c r="I4285" s="309"/>
      <c r="J4285" s="309"/>
    </row>
    <row r="4286">
      <c r="B4286" s="309"/>
      <c r="C4286" s="309"/>
      <c r="I4286" s="309"/>
      <c r="J4286" s="309"/>
    </row>
    <row r="4287">
      <c r="B4287" s="309"/>
      <c r="C4287" s="309"/>
      <c r="I4287" s="309"/>
      <c r="J4287" s="309"/>
    </row>
    <row r="4288">
      <c r="B4288" s="309"/>
      <c r="C4288" s="309"/>
      <c r="I4288" s="309"/>
      <c r="J4288" s="309"/>
    </row>
    <row r="4289">
      <c r="B4289" s="309"/>
      <c r="C4289" s="309"/>
      <c r="I4289" s="309"/>
      <c r="J4289" s="309"/>
    </row>
    <row r="4290">
      <c r="B4290" s="309"/>
      <c r="C4290" s="309"/>
      <c r="I4290" s="309"/>
      <c r="J4290" s="309"/>
    </row>
    <row r="4291">
      <c r="B4291" s="309"/>
      <c r="C4291" s="309"/>
      <c r="I4291" s="309"/>
      <c r="J4291" s="309"/>
    </row>
    <row r="4292">
      <c r="B4292" s="309"/>
      <c r="C4292" s="309"/>
      <c r="I4292" s="309"/>
      <c r="J4292" s="309"/>
    </row>
    <row r="4293">
      <c r="B4293" s="309"/>
      <c r="C4293" s="309"/>
      <c r="I4293" s="309"/>
      <c r="J4293" s="309"/>
    </row>
    <row r="4294">
      <c r="B4294" s="309"/>
      <c r="C4294" s="309"/>
      <c r="I4294" s="309"/>
      <c r="J4294" s="309"/>
    </row>
    <row r="4295">
      <c r="B4295" s="309"/>
      <c r="C4295" s="309"/>
      <c r="I4295" s="309"/>
      <c r="J4295" s="309"/>
    </row>
    <row r="4296">
      <c r="B4296" s="309"/>
      <c r="C4296" s="309"/>
      <c r="I4296" s="309"/>
      <c r="J4296" s="309"/>
    </row>
    <row r="4297">
      <c r="B4297" s="309"/>
      <c r="C4297" s="309"/>
      <c r="I4297" s="309"/>
      <c r="J4297" s="309"/>
    </row>
    <row r="4298">
      <c r="B4298" s="309"/>
      <c r="C4298" s="309"/>
      <c r="I4298" s="309"/>
      <c r="J4298" s="309"/>
    </row>
    <row r="4299">
      <c r="B4299" s="309"/>
      <c r="C4299" s="309"/>
      <c r="I4299" s="309"/>
      <c r="J4299" s="309"/>
    </row>
    <row r="4300">
      <c r="B4300" s="309"/>
      <c r="C4300" s="309"/>
      <c r="I4300" s="309"/>
      <c r="J4300" s="309"/>
    </row>
    <row r="4301">
      <c r="B4301" s="309"/>
      <c r="C4301" s="309"/>
      <c r="I4301" s="309"/>
      <c r="J4301" s="309"/>
    </row>
    <row r="4302">
      <c r="B4302" s="309"/>
      <c r="C4302" s="309"/>
      <c r="I4302" s="309"/>
      <c r="J4302" s="309"/>
    </row>
    <row r="4303">
      <c r="B4303" s="309"/>
      <c r="C4303" s="309"/>
      <c r="I4303" s="309"/>
      <c r="J4303" s="309"/>
    </row>
    <row r="4304">
      <c r="B4304" s="309"/>
      <c r="C4304" s="309"/>
      <c r="I4304" s="309"/>
      <c r="J4304" s="309"/>
    </row>
    <row r="4305">
      <c r="B4305" s="309"/>
      <c r="C4305" s="309"/>
      <c r="I4305" s="309"/>
      <c r="J4305" s="309"/>
    </row>
    <row r="4306">
      <c r="B4306" s="309"/>
      <c r="C4306" s="309"/>
      <c r="I4306" s="309"/>
      <c r="J4306" s="309"/>
    </row>
    <row r="4307">
      <c r="B4307" s="309"/>
      <c r="C4307" s="309"/>
      <c r="I4307" s="309"/>
      <c r="J4307" s="309"/>
    </row>
    <row r="4308">
      <c r="B4308" s="309"/>
      <c r="C4308" s="309"/>
      <c r="I4308" s="309"/>
      <c r="J4308" s="309"/>
    </row>
    <row r="4309">
      <c r="B4309" s="309"/>
      <c r="C4309" s="309"/>
      <c r="I4309" s="309"/>
      <c r="J4309" s="309"/>
    </row>
    <row r="4310">
      <c r="B4310" s="309"/>
      <c r="C4310" s="309"/>
      <c r="I4310" s="309"/>
      <c r="J4310" s="309"/>
    </row>
    <row r="4311">
      <c r="B4311" s="309"/>
      <c r="C4311" s="309"/>
      <c r="I4311" s="309"/>
      <c r="J4311" s="309"/>
    </row>
    <row r="4312">
      <c r="B4312" s="309"/>
      <c r="C4312" s="309"/>
      <c r="I4312" s="309"/>
      <c r="J4312" s="309"/>
    </row>
    <row r="4313">
      <c r="B4313" s="309"/>
      <c r="C4313" s="309"/>
      <c r="I4313" s="309"/>
      <c r="J4313" s="309"/>
    </row>
    <row r="4314">
      <c r="B4314" s="309"/>
      <c r="C4314" s="309"/>
      <c r="I4314" s="309"/>
      <c r="J4314" s="309"/>
    </row>
    <row r="4315">
      <c r="B4315" s="309"/>
      <c r="C4315" s="309"/>
      <c r="I4315" s="309"/>
      <c r="J4315" s="309"/>
    </row>
    <row r="4316">
      <c r="B4316" s="309"/>
      <c r="C4316" s="309"/>
      <c r="I4316" s="309"/>
      <c r="J4316" s="309"/>
    </row>
    <row r="4317">
      <c r="B4317" s="309"/>
      <c r="C4317" s="309"/>
      <c r="I4317" s="309"/>
      <c r="J4317" s="309"/>
    </row>
    <row r="4318">
      <c r="B4318" s="309"/>
      <c r="C4318" s="309"/>
      <c r="I4318" s="309"/>
      <c r="J4318" s="309"/>
    </row>
    <row r="4319">
      <c r="B4319" s="309"/>
      <c r="C4319" s="309"/>
      <c r="I4319" s="309"/>
      <c r="J4319" s="309"/>
    </row>
    <row r="4320">
      <c r="B4320" s="309"/>
      <c r="C4320" s="309"/>
      <c r="I4320" s="309"/>
      <c r="J4320" s="309"/>
    </row>
    <row r="4321">
      <c r="B4321" s="309"/>
      <c r="C4321" s="309"/>
      <c r="I4321" s="309"/>
      <c r="J4321" s="309"/>
    </row>
    <row r="4322">
      <c r="B4322" s="309"/>
      <c r="C4322" s="309"/>
      <c r="I4322" s="309"/>
      <c r="J4322" s="309"/>
    </row>
    <row r="4323">
      <c r="B4323" s="309"/>
      <c r="C4323" s="309"/>
      <c r="I4323" s="309"/>
      <c r="J4323" s="309"/>
    </row>
    <row r="4324">
      <c r="B4324" s="309"/>
      <c r="C4324" s="309"/>
      <c r="I4324" s="309"/>
      <c r="J4324" s="309"/>
    </row>
    <row r="4325">
      <c r="B4325" s="309"/>
      <c r="C4325" s="309"/>
      <c r="I4325" s="309"/>
      <c r="J4325" s="309"/>
    </row>
    <row r="4326">
      <c r="B4326" s="309"/>
      <c r="C4326" s="309"/>
      <c r="I4326" s="309"/>
      <c r="J4326" s="309"/>
    </row>
    <row r="4327">
      <c r="B4327" s="309"/>
      <c r="C4327" s="309"/>
      <c r="I4327" s="309"/>
      <c r="J4327" s="309"/>
    </row>
    <row r="4328">
      <c r="B4328" s="309"/>
      <c r="C4328" s="309"/>
      <c r="I4328" s="309"/>
      <c r="J4328" s="309"/>
    </row>
    <row r="4329">
      <c r="B4329" s="309"/>
      <c r="C4329" s="309"/>
      <c r="I4329" s="309"/>
      <c r="J4329" s="309"/>
    </row>
    <row r="4330">
      <c r="B4330" s="309"/>
      <c r="C4330" s="309"/>
      <c r="I4330" s="309"/>
      <c r="J4330" s="309"/>
    </row>
    <row r="4331">
      <c r="B4331" s="309"/>
      <c r="C4331" s="309"/>
      <c r="I4331" s="309"/>
      <c r="J4331" s="309"/>
    </row>
    <row r="4332">
      <c r="B4332" s="309"/>
      <c r="C4332" s="309"/>
      <c r="I4332" s="309"/>
      <c r="J4332" s="309"/>
    </row>
    <row r="4333">
      <c r="B4333" s="309"/>
      <c r="C4333" s="309"/>
      <c r="I4333" s="309"/>
      <c r="J4333" s="309"/>
    </row>
    <row r="4334">
      <c r="B4334" s="309"/>
      <c r="C4334" s="309"/>
      <c r="I4334" s="309"/>
      <c r="J4334" s="309"/>
    </row>
    <row r="4335">
      <c r="B4335" s="309"/>
      <c r="C4335" s="309"/>
      <c r="I4335" s="309"/>
      <c r="J4335" s="309"/>
    </row>
    <row r="4336">
      <c r="B4336" s="309"/>
      <c r="C4336" s="309"/>
      <c r="I4336" s="309"/>
      <c r="J4336" s="309"/>
    </row>
    <row r="4337">
      <c r="B4337" s="309"/>
      <c r="C4337" s="309"/>
      <c r="I4337" s="309"/>
      <c r="J4337" s="309"/>
    </row>
    <row r="4338">
      <c r="B4338" s="309"/>
      <c r="C4338" s="309"/>
      <c r="I4338" s="309"/>
      <c r="J4338" s="309"/>
    </row>
    <row r="4339">
      <c r="B4339" s="309"/>
      <c r="C4339" s="309"/>
      <c r="I4339" s="309"/>
      <c r="J4339" s="309"/>
    </row>
    <row r="4340">
      <c r="B4340" s="309"/>
      <c r="C4340" s="309"/>
      <c r="I4340" s="309"/>
      <c r="J4340" s="309"/>
    </row>
    <row r="4341">
      <c r="B4341" s="309"/>
      <c r="C4341" s="309"/>
      <c r="I4341" s="309"/>
      <c r="J4341" s="309"/>
    </row>
    <row r="4342">
      <c r="B4342" s="309"/>
      <c r="C4342" s="309"/>
      <c r="I4342" s="309"/>
      <c r="J4342" s="309"/>
    </row>
    <row r="4343">
      <c r="B4343" s="309"/>
      <c r="C4343" s="309"/>
      <c r="I4343" s="309"/>
      <c r="J4343" s="309"/>
    </row>
    <row r="4344">
      <c r="B4344" s="309"/>
      <c r="C4344" s="309"/>
      <c r="I4344" s="309"/>
      <c r="J4344" s="309"/>
    </row>
    <row r="4345">
      <c r="B4345" s="309"/>
      <c r="C4345" s="309"/>
      <c r="I4345" s="309"/>
      <c r="J4345" s="309"/>
    </row>
    <row r="4346">
      <c r="B4346" s="309"/>
      <c r="C4346" s="309"/>
      <c r="I4346" s="309"/>
      <c r="J4346" s="309"/>
    </row>
    <row r="4347">
      <c r="B4347" s="309"/>
      <c r="C4347" s="309"/>
      <c r="I4347" s="309"/>
      <c r="J4347" s="309"/>
    </row>
    <row r="4348">
      <c r="B4348" s="309"/>
      <c r="C4348" s="309"/>
      <c r="I4348" s="309"/>
      <c r="J4348" s="309"/>
    </row>
    <row r="4349">
      <c r="B4349" s="309"/>
      <c r="C4349" s="309"/>
      <c r="I4349" s="309"/>
      <c r="J4349" s="309"/>
    </row>
    <row r="4350">
      <c r="B4350" s="309"/>
      <c r="C4350" s="309"/>
      <c r="I4350" s="309"/>
      <c r="J4350" s="309"/>
    </row>
    <row r="4351">
      <c r="B4351" s="309"/>
      <c r="C4351" s="309"/>
      <c r="I4351" s="309"/>
      <c r="J4351" s="309"/>
    </row>
    <row r="4352">
      <c r="B4352" s="309"/>
      <c r="C4352" s="309"/>
      <c r="I4352" s="309"/>
      <c r="J4352" s="309"/>
    </row>
    <row r="4353">
      <c r="B4353" s="309"/>
      <c r="C4353" s="309"/>
      <c r="I4353" s="309"/>
      <c r="J4353" s="309"/>
    </row>
    <row r="4354">
      <c r="B4354" s="309"/>
      <c r="C4354" s="309"/>
      <c r="I4354" s="309"/>
      <c r="J4354" s="309"/>
    </row>
    <row r="4355">
      <c r="B4355" s="309"/>
      <c r="C4355" s="309"/>
      <c r="I4355" s="309"/>
      <c r="J4355" s="309"/>
    </row>
    <row r="4356">
      <c r="B4356" s="309"/>
      <c r="C4356" s="309"/>
      <c r="I4356" s="309"/>
      <c r="J4356" s="309"/>
    </row>
    <row r="4357">
      <c r="B4357" s="309"/>
      <c r="C4357" s="309"/>
      <c r="I4357" s="309"/>
      <c r="J4357" s="309"/>
    </row>
    <row r="4358">
      <c r="B4358" s="309"/>
      <c r="C4358" s="309"/>
      <c r="I4358" s="309"/>
      <c r="J4358" s="309"/>
    </row>
    <row r="4359">
      <c r="B4359" s="309"/>
      <c r="C4359" s="309"/>
      <c r="I4359" s="309"/>
      <c r="J4359" s="309"/>
    </row>
    <row r="4360">
      <c r="B4360" s="309"/>
      <c r="C4360" s="309"/>
      <c r="I4360" s="309"/>
      <c r="J4360" s="309"/>
    </row>
    <row r="4361">
      <c r="B4361" s="309"/>
      <c r="C4361" s="309"/>
      <c r="I4361" s="309"/>
      <c r="J4361" s="309"/>
    </row>
    <row r="4362">
      <c r="B4362" s="309"/>
      <c r="C4362" s="309"/>
      <c r="I4362" s="309"/>
      <c r="J4362" s="309"/>
    </row>
    <row r="4363">
      <c r="B4363" s="309"/>
      <c r="C4363" s="309"/>
      <c r="I4363" s="309"/>
      <c r="J4363" s="309"/>
    </row>
    <row r="4364">
      <c r="B4364" s="309"/>
      <c r="C4364" s="309"/>
      <c r="I4364" s="309"/>
      <c r="J4364" s="309"/>
    </row>
    <row r="4365">
      <c r="B4365" s="309"/>
      <c r="C4365" s="309"/>
      <c r="I4365" s="309"/>
      <c r="J4365" s="309"/>
    </row>
    <row r="4366">
      <c r="B4366" s="309"/>
      <c r="C4366" s="309"/>
      <c r="I4366" s="309"/>
      <c r="J4366" s="309"/>
    </row>
    <row r="4367">
      <c r="B4367" s="309"/>
      <c r="C4367" s="309"/>
      <c r="I4367" s="309"/>
      <c r="J4367" s="309"/>
    </row>
    <row r="4368">
      <c r="B4368" s="309"/>
      <c r="C4368" s="309"/>
      <c r="I4368" s="309"/>
      <c r="J4368" s="309"/>
    </row>
    <row r="4369">
      <c r="B4369" s="309"/>
      <c r="C4369" s="309"/>
      <c r="I4369" s="309"/>
      <c r="J4369" s="309"/>
    </row>
    <row r="4370">
      <c r="B4370" s="309"/>
      <c r="C4370" s="309"/>
      <c r="I4370" s="309"/>
      <c r="J4370" s="309"/>
    </row>
    <row r="4371">
      <c r="B4371" s="309"/>
      <c r="C4371" s="309"/>
      <c r="I4371" s="309"/>
      <c r="J4371" s="309"/>
    </row>
    <row r="4372">
      <c r="B4372" s="309"/>
      <c r="C4372" s="309"/>
      <c r="I4372" s="309"/>
      <c r="J4372" s="309"/>
    </row>
    <row r="4373">
      <c r="B4373" s="309"/>
      <c r="C4373" s="309"/>
      <c r="I4373" s="309"/>
      <c r="J4373" s="309"/>
    </row>
    <row r="4374">
      <c r="B4374" s="309"/>
      <c r="C4374" s="309"/>
      <c r="I4374" s="309"/>
      <c r="J4374" s="309"/>
    </row>
    <row r="4375">
      <c r="B4375" s="309"/>
      <c r="C4375" s="309"/>
      <c r="I4375" s="309"/>
      <c r="J4375" s="309"/>
    </row>
    <row r="4376">
      <c r="B4376" s="309"/>
      <c r="C4376" s="309"/>
      <c r="I4376" s="309"/>
      <c r="J4376" s="309"/>
    </row>
    <row r="4377">
      <c r="B4377" s="309"/>
      <c r="C4377" s="309"/>
      <c r="I4377" s="309"/>
      <c r="J4377" s="309"/>
    </row>
    <row r="4378">
      <c r="B4378" s="309"/>
      <c r="C4378" s="309"/>
      <c r="I4378" s="309"/>
      <c r="J4378" s="309"/>
    </row>
    <row r="4379">
      <c r="B4379" s="309"/>
      <c r="C4379" s="309"/>
      <c r="I4379" s="309"/>
      <c r="J4379" s="309"/>
    </row>
    <row r="4380">
      <c r="B4380" s="309"/>
      <c r="C4380" s="309"/>
      <c r="I4380" s="309"/>
      <c r="J4380" s="309"/>
    </row>
    <row r="4381">
      <c r="B4381" s="309"/>
      <c r="C4381" s="309"/>
      <c r="I4381" s="309"/>
      <c r="J4381" s="309"/>
    </row>
    <row r="4382">
      <c r="B4382" s="309"/>
      <c r="C4382" s="309"/>
      <c r="I4382" s="309"/>
      <c r="J4382" s="309"/>
    </row>
    <row r="4383">
      <c r="B4383" s="309"/>
      <c r="C4383" s="309"/>
      <c r="I4383" s="309"/>
      <c r="J4383" s="309"/>
    </row>
    <row r="4384">
      <c r="B4384" s="309"/>
      <c r="C4384" s="309"/>
      <c r="I4384" s="309"/>
      <c r="J4384" s="309"/>
    </row>
    <row r="4385">
      <c r="B4385" s="309"/>
      <c r="C4385" s="309"/>
      <c r="I4385" s="309"/>
      <c r="J4385" s="309"/>
    </row>
    <row r="4386">
      <c r="B4386" s="309"/>
      <c r="C4386" s="309"/>
      <c r="I4386" s="309"/>
      <c r="J4386" s="309"/>
    </row>
    <row r="4387">
      <c r="B4387" s="309"/>
      <c r="C4387" s="309"/>
      <c r="I4387" s="309"/>
      <c r="J4387" s="309"/>
    </row>
    <row r="4388">
      <c r="B4388" s="309"/>
      <c r="C4388" s="309"/>
      <c r="I4388" s="309"/>
      <c r="J4388" s="309"/>
    </row>
    <row r="4389">
      <c r="B4389" s="309"/>
      <c r="C4389" s="309"/>
      <c r="I4389" s="309"/>
      <c r="J4389" s="309"/>
    </row>
    <row r="4390">
      <c r="B4390" s="309"/>
      <c r="C4390" s="309"/>
      <c r="I4390" s="309"/>
      <c r="J4390" s="309"/>
    </row>
    <row r="4391">
      <c r="B4391" s="309"/>
      <c r="C4391" s="309"/>
      <c r="I4391" s="309"/>
      <c r="J4391" s="309"/>
    </row>
    <row r="4392">
      <c r="B4392" s="309"/>
      <c r="C4392" s="309"/>
      <c r="I4392" s="309"/>
      <c r="J4392" s="309"/>
    </row>
    <row r="4393">
      <c r="B4393" s="309"/>
      <c r="C4393" s="309"/>
      <c r="I4393" s="309"/>
      <c r="J4393" s="309"/>
    </row>
    <row r="4394">
      <c r="B4394" s="309"/>
      <c r="C4394" s="309"/>
      <c r="I4394" s="309"/>
      <c r="J4394" s="309"/>
    </row>
    <row r="4395">
      <c r="B4395" s="309"/>
      <c r="C4395" s="309"/>
      <c r="I4395" s="309"/>
      <c r="J4395" s="309"/>
    </row>
    <row r="4396">
      <c r="B4396" s="309"/>
      <c r="C4396" s="309"/>
      <c r="I4396" s="309"/>
      <c r="J4396" s="309"/>
    </row>
    <row r="4397">
      <c r="B4397" s="309"/>
      <c r="C4397" s="309"/>
      <c r="I4397" s="309"/>
      <c r="J4397" s="309"/>
    </row>
    <row r="4398">
      <c r="B4398" s="309"/>
      <c r="C4398" s="309"/>
      <c r="I4398" s="309"/>
      <c r="J4398" s="309"/>
    </row>
    <row r="4399">
      <c r="B4399" s="309"/>
      <c r="C4399" s="309"/>
      <c r="I4399" s="309"/>
      <c r="J4399" s="309"/>
    </row>
    <row r="4400">
      <c r="B4400" s="309"/>
      <c r="C4400" s="309"/>
      <c r="I4400" s="309"/>
      <c r="J4400" s="309"/>
    </row>
    <row r="4401">
      <c r="B4401" s="309"/>
      <c r="C4401" s="309"/>
      <c r="I4401" s="309"/>
      <c r="J4401" s="309"/>
    </row>
    <row r="4402">
      <c r="B4402" s="309"/>
      <c r="C4402" s="309"/>
      <c r="I4402" s="309"/>
      <c r="J4402" s="309"/>
    </row>
    <row r="4403">
      <c r="B4403" s="309"/>
      <c r="C4403" s="309"/>
      <c r="I4403" s="309"/>
      <c r="J4403" s="309"/>
    </row>
    <row r="4404">
      <c r="B4404" s="309"/>
      <c r="C4404" s="309"/>
      <c r="I4404" s="309"/>
      <c r="J4404" s="309"/>
    </row>
    <row r="4405">
      <c r="B4405" s="309"/>
      <c r="C4405" s="309"/>
      <c r="I4405" s="309"/>
      <c r="J4405" s="309"/>
    </row>
    <row r="4406">
      <c r="B4406" s="309"/>
      <c r="C4406" s="309"/>
      <c r="I4406" s="309"/>
      <c r="J4406" s="309"/>
    </row>
    <row r="4407">
      <c r="B4407" s="309"/>
      <c r="C4407" s="309"/>
      <c r="I4407" s="309"/>
      <c r="J4407" s="309"/>
    </row>
    <row r="4408">
      <c r="B4408" s="309"/>
      <c r="C4408" s="309"/>
      <c r="I4408" s="309"/>
      <c r="J4408" s="309"/>
    </row>
    <row r="4409">
      <c r="B4409" s="309"/>
      <c r="C4409" s="309"/>
      <c r="I4409" s="309"/>
      <c r="J4409" s="309"/>
    </row>
    <row r="4410">
      <c r="B4410" s="309"/>
      <c r="C4410" s="309"/>
      <c r="I4410" s="309"/>
      <c r="J4410" s="309"/>
    </row>
    <row r="4411">
      <c r="B4411" s="309"/>
      <c r="C4411" s="309"/>
      <c r="I4411" s="309"/>
      <c r="J4411" s="309"/>
    </row>
    <row r="4412">
      <c r="B4412" s="309"/>
      <c r="C4412" s="309"/>
      <c r="I4412" s="309"/>
      <c r="J4412" s="309"/>
    </row>
    <row r="4413">
      <c r="B4413" s="309"/>
      <c r="C4413" s="309"/>
      <c r="I4413" s="309"/>
      <c r="J4413" s="309"/>
    </row>
    <row r="4414">
      <c r="B4414" s="309"/>
      <c r="C4414" s="309"/>
      <c r="I4414" s="309"/>
      <c r="J4414" s="309"/>
    </row>
    <row r="4415">
      <c r="B4415" s="309"/>
      <c r="C4415" s="309"/>
      <c r="I4415" s="309"/>
      <c r="J4415" s="309"/>
    </row>
    <row r="4416">
      <c r="B4416" s="309"/>
      <c r="C4416" s="309"/>
      <c r="I4416" s="309"/>
      <c r="J4416" s="309"/>
    </row>
    <row r="4417">
      <c r="B4417" s="309"/>
      <c r="C4417" s="309"/>
      <c r="I4417" s="309"/>
      <c r="J4417" s="309"/>
    </row>
    <row r="4418">
      <c r="B4418" s="309"/>
      <c r="C4418" s="309"/>
      <c r="I4418" s="309"/>
      <c r="J4418" s="309"/>
    </row>
    <row r="4419">
      <c r="B4419" s="309"/>
      <c r="C4419" s="309"/>
      <c r="I4419" s="309"/>
      <c r="J4419" s="309"/>
    </row>
    <row r="4420">
      <c r="B4420" s="309"/>
      <c r="C4420" s="309"/>
      <c r="I4420" s="309"/>
      <c r="J4420" s="309"/>
    </row>
    <row r="4421">
      <c r="B4421" s="309"/>
      <c r="C4421" s="309"/>
      <c r="I4421" s="309"/>
      <c r="J4421" s="309"/>
    </row>
    <row r="4422">
      <c r="B4422" s="309"/>
      <c r="C4422" s="309"/>
      <c r="I4422" s="309"/>
      <c r="J4422" s="309"/>
    </row>
    <row r="4423">
      <c r="B4423" s="309"/>
      <c r="C4423" s="309"/>
      <c r="I4423" s="309"/>
      <c r="J4423" s="309"/>
    </row>
    <row r="4424">
      <c r="B4424" s="309"/>
      <c r="C4424" s="309"/>
      <c r="I4424" s="309"/>
      <c r="J4424" s="309"/>
    </row>
    <row r="4425">
      <c r="B4425" s="309"/>
      <c r="C4425" s="309"/>
      <c r="I4425" s="309"/>
      <c r="J4425" s="309"/>
    </row>
    <row r="4426">
      <c r="B4426" s="309"/>
      <c r="C4426" s="309"/>
      <c r="I4426" s="309"/>
      <c r="J4426" s="309"/>
    </row>
    <row r="4427">
      <c r="B4427" s="309"/>
      <c r="C4427" s="309"/>
      <c r="I4427" s="309"/>
      <c r="J4427" s="309"/>
    </row>
    <row r="4428">
      <c r="B4428" s="309"/>
      <c r="C4428" s="309"/>
      <c r="I4428" s="309"/>
      <c r="J4428" s="309"/>
    </row>
    <row r="4429">
      <c r="B4429" s="309"/>
      <c r="C4429" s="309"/>
      <c r="I4429" s="309"/>
      <c r="J4429" s="309"/>
    </row>
    <row r="4430">
      <c r="B4430" s="309"/>
      <c r="C4430" s="309"/>
      <c r="I4430" s="309"/>
      <c r="J4430" s="309"/>
    </row>
    <row r="4431">
      <c r="B4431" s="309"/>
      <c r="C4431" s="309"/>
      <c r="I4431" s="309"/>
      <c r="J4431" s="309"/>
    </row>
    <row r="4432">
      <c r="B4432" s="309"/>
      <c r="C4432" s="309"/>
      <c r="I4432" s="309"/>
      <c r="J4432" s="309"/>
    </row>
    <row r="4433">
      <c r="B4433" s="309"/>
      <c r="C4433" s="309"/>
      <c r="I4433" s="309"/>
      <c r="J4433" s="309"/>
    </row>
    <row r="4434">
      <c r="B4434" s="309"/>
      <c r="C4434" s="309"/>
      <c r="I4434" s="309"/>
      <c r="J4434" s="309"/>
    </row>
    <row r="4435">
      <c r="B4435" s="309"/>
      <c r="C4435" s="309"/>
      <c r="I4435" s="309"/>
      <c r="J4435" s="309"/>
    </row>
    <row r="4436">
      <c r="B4436" s="309"/>
      <c r="C4436" s="309"/>
      <c r="I4436" s="309"/>
      <c r="J4436" s="309"/>
    </row>
    <row r="4437">
      <c r="B4437" s="309"/>
      <c r="C4437" s="309"/>
      <c r="I4437" s="309"/>
      <c r="J4437" s="309"/>
    </row>
    <row r="4438">
      <c r="B4438" s="309"/>
      <c r="C4438" s="309"/>
      <c r="I4438" s="309"/>
      <c r="J4438" s="309"/>
    </row>
    <row r="4439">
      <c r="B4439" s="309"/>
      <c r="C4439" s="309"/>
      <c r="I4439" s="309"/>
      <c r="J4439" s="309"/>
    </row>
    <row r="4440">
      <c r="B4440" s="309"/>
      <c r="C4440" s="309"/>
      <c r="I4440" s="309"/>
      <c r="J4440" s="309"/>
    </row>
    <row r="4441">
      <c r="B4441" s="309"/>
      <c r="C4441" s="309"/>
      <c r="I4441" s="309"/>
      <c r="J4441" s="309"/>
    </row>
    <row r="4442">
      <c r="B4442" s="309"/>
      <c r="C4442" s="309"/>
      <c r="I4442" s="309"/>
      <c r="J4442" s="309"/>
    </row>
    <row r="4443">
      <c r="B4443" s="309"/>
      <c r="C4443" s="309"/>
      <c r="I4443" s="309"/>
      <c r="J4443" s="309"/>
    </row>
    <row r="4444">
      <c r="B4444" s="309"/>
      <c r="C4444" s="309"/>
      <c r="I4444" s="309"/>
      <c r="J4444" s="309"/>
    </row>
    <row r="4445">
      <c r="B4445" s="309"/>
      <c r="C4445" s="309"/>
      <c r="I4445" s="309"/>
      <c r="J4445" s="309"/>
    </row>
    <row r="4446">
      <c r="B4446" s="309"/>
      <c r="C4446" s="309"/>
      <c r="I4446" s="309"/>
      <c r="J4446" s="309"/>
    </row>
    <row r="4447">
      <c r="B4447" s="309"/>
      <c r="C4447" s="309"/>
      <c r="I4447" s="309"/>
      <c r="J4447" s="309"/>
    </row>
    <row r="4448">
      <c r="B4448" s="309"/>
      <c r="C4448" s="309"/>
      <c r="I4448" s="309"/>
      <c r="J4448" s="309"/>
    </row>
    <row r="4449">
      <c r="B4449" s="309"/>
      <c r="C4449" s="309"/>
      <c r="I4449" s="309"/>
      <c r="J4449" s="309"/>
    </row>
    <row r="4450">
      <c r="B4450" s="309"/>
      <c r="C4450" s="309"/>
      <c r="I4450" s="309"/>
      <c r="J4450" s="309"/>
    </row>
    <row r="4451">
      <c r="B4451" s="309"/>
      <c r="C4451" s="309"/>
      <c r="I4451" s="309"/>
      <c r="J4451" s="309"/>
    </row>
    <row r="4452">
      <c r="B4452" s="309"/>
      <c r="C4452" s="309"/>
      <c r="I4452" s="309"/>
      <c r="J4452" s="309"/>
    </row>
    <row r="4453">
      <c r="B4453" s="309"/>
      <c r="C4453" s="309"/>
      <c r="I4453" s="309"/>
      <c r="J4453" s="309"/>
    </row>
    <row r="4454">
      <c r="B4454" s="309"/>
      <c r="C4454" s="309"/>
      <c r="I4454" s="309"/>
      <c r="J4454" s="309"/>
    </row>
    <row r="4455">
      <c r="B4455" s="309"/>
      <c r="C4455" s="309"/>
      <c r="I4455" s="309"/>
      <c r="J4455" s="309"/>
    </row>
    <row r="4456">
      <c r="B4456" s="309"/>
      <c r="C4456" s="309"/>
      <c r="I4456" s="309"/>
      <c r="J4456" s="309"/>
    </row>
    <row r="4457">
      <c r="B4457" s="309"/>
      <c r="C4457" s="309"/>
      <c r="I4457" s="309"/>
      <c r="J4457" s="309"/>
    </row>
    <row r="4458">
      <c r="B4458" s="309"/>
      <c r="C4458" s="309"/>
      <c r="I4458" s="309"/>
      <c r="J4458" s="309"/>
    </row>
    <row r="4459">
      <c r="B4459" s="309"/>
      <c r="C4459" s="309"/>
      <c r="I4459" s="309"/>
      <c r="J4459" s="309"/>
    </row>
    <row r="4460">
      <c r="B4460" s="309"/>
      <c r="C4460" s="309"/>
      <c r="I4460" s="309"/>
      <c r="J4460" s="309"/>
    </row>
    <row r="4461">
      <c r="B4461" s="309"/>
      <c r="C4461" s="309"/>
      <c r="I4461" s="309"/>
      <c r="J4461" s="309"/>
    </row>
    <row r="4462">
      <c r="B4462" s="309"/>
      <c r="C4462" s="309"/>
      <c r="I4462" s="309"/>
      <c r="J4462" s="309"/>
    </row>
    <row r="4463">
      <c r="B4463" s="309"/>
      <c r="C4463" s="309"/>
      <c r="I4463" s="309"/>
      <c r="J4463" s="309"/>
    </row>
    <row r="4464">
      <c r="B4464" s="309"/>
      <c r="C4464" s="309"/>
      <c r="I4464" s="309"/>
      <c r="J4464" s="309"/>
    </row>
    <row r="4465">
      <c r="B4465" s="309"/>
      <c r="C4465" s="309"/>
      <c r="I4465" s="309"/>
      <c r="J4465" s="309"/>
    </row>
    <row r="4466">
      <c r="B4466" s="309"/>
      <c r="C4466" s="309"/>
      <c r="I4466" s="309"/>
      <c r="J4466" s="309"/>
    </row>
    <row r="4467">
      <c r="B4467" s="309"/>
      <c r="C4467" s="309"/>
      <c r="I4467" s="309"/>
      <c r="J4467" s="309"/>
    </row>
    <row r="4468">
      <c r="B4468" s="309"/>
      <c r="C4468" s="309"/>
      <c r="I4468" s="309"/>
      <c r="J4468" s="309"/>
    </row>
    <row r="4469">
      <c r="B4469" s="309"/>
      <c r="C4469" s="309"/>
      <c r="I4469" s="309"/>
      <c r="J4469" s="309"/>
    </row>
    <row r="4470">
      <c r="B4470" s="309"/>
      <c r="C4470" s="309"/>
      <c r="I4470" s="309"/>
      <c r="J4470" s="309"/>
    </row>
    <row r="4471">
      <c r="B4471" s="309"/>
      <c r="C4471" s="309"/>
      <c r="I4471" s="309"/>
      <c r="J4471" s="309"/>
    </row>
    <row r="4472">
      <c r="B4472" s="309"/>
      <c r="C4472" s="309"/>
      <c r="I4472" s="309"/>
      <c r="J4472" s="309"/>
    </row>
    <row r="4473">
      <c r="B4473" s="309"/>
      <c r="C4473" s="309"/>
      <c r="I4473" s="309"/>
      <c r="J4473" s="309"/>
    </row>
    <row r="4474">
      <c r="B4474" s="309"/>
      <c r="C4474" s="309"/>
      <c r="I4474" s="309"/>
      <c r="J4474" s="309"/>
    </row>
    <row r="4475">
      <c r="B4475" s="309"/>
      <c r="C4475" s="309"/>
      <c r="I4475" s="309"/>
      <c r="J4475" s="309"/>
    </row>
    <row r="4476">
      <c r="B4476" s="309"/>
      <c r="C4476" s="309"/>
      <c r="I4476" s="309"/>
      <c r="J4476" s="309"/>
    </row>
    <row r="4477">
      <c r="B4477" s="309"/>
      <c r="C4477" s="309"/>
      <c r="I4477" s="309"/>
      <c r="J4477" s="309"/>
    </row>
    <row r="4478">
      <c r="B4478" s="309"/>
      <c r="C4478" s="309"/>
      <c r="I4478" s="309"/>
      <c r="J4478" s="309"/>
    </row>
    <row r="4479">
      <c r="B4479" s="309"/>
      <c r="C4479" s="309"/>
      <c r="I4479" s="309"/>
      <c r="J4479" s="309"/>
    </row>
    <row r="4480">
      <c r="B4480" s="309"/>
      <c r="C4480" s="309"/>
      <c r="I4480" s="309"/>
      <c r="J4480" s="309"/>
    </row>
    <row r="4481">
      <c r="B4481" s="309"/>
      <c r="C4481" s="309"/>
      <c r="I4481" s="309"/>
      <c r="J4481" s="309"/>
    </row>
    <row r="4482">
      <c r="B4482" s="309"/>
      <c r="C4482" s="309"/>
      <c r="I4482" s="309"/>
      <c r="J4482" s="309"/>
    </row>
    <row r="4483">
      <c r="B4483" s="309"/>
      <c r="C4483" s="309"/>
      <c r="I4483" s="309"/>
      <c r="J4483" s="309"/>
    </row>
    <row r="4484">
      <c r="B4484" s="309"/>
      <c r="C4484" s="309"/>
      <c r="I4484" s="309"/>
      <c r="J4484" s="309"/>
    </row>
    <row r="4485">
      <c r="B4485" s="309"/>
      <c r="C4485" s="309"/>
      <c r="I4485" s="309"/>
      <c r="J4485" s="309"/>
    </row>
    <row r="4486">
      <c r="B4486" s="309"/>
      <c r="C4486" s="309"/>
      <c r="I4486" s="309"/>
      <c r="J4486" s="309"/>
    </row>
    <row r="4487">
      <c r="B4487" s="309"/>
      <c r="C4487" s="309"/>
      <c r="I4487" s="309"/>
      <c r="J4487" s="309"/>
    </row>
    <row r="4488">
      <c r="B4488" s="309"/>
      <c r="C4488" s="309"/>
      <c r="I4488" s="309"/>
      <c r="J4488" s="309"/>
    </row>
    <row r="4489">
      <c r="B4489" s="309"/>
      <c r="C4489" s="309"/>
      <c r="I4489" s="309"/>
      <c r="J4489" s="309"/>
    </row>
    <row r="4490">
      <c r="B4490" s="309"/>
      <c r="C4490" s="309"/>
      <c r="I4490" s="309"/>
      <c r="J4490" s="309"/>
    </row>
    <row r="4491">
      <c r="B4491" s="309"/>
      <c r="C4491" s="309"/>
      <c r="I4491" s="309"/>
      <c r="J4491" s="309"/>
    </row>
    <row r="4492">
      <c r="B4492" s="309"/>
      <c r="C4492" s="309"/>
      <c r="I4492" s="309"/>
      <c r="J4492" s="309"/>
    </row>
    <row r="4493">
      <c r="B4493" s="309"/>
      <c r="C4493" s="309"/>
      <c r="I4493" s="309"/>
      <c r="J4493" s="309"/>
    </row>
    <row r="4494">
      <c r="B4494" s="309"/>
      <c r="C4494" s="309"/>
      <c r="I4494" s="309"/>
      <c r="J4494" s="309"/>
    </row>
    <row r="4495">
      <c r="B4495" s="309"/>
      <c r="C4495" s="309"/>
      <c r="I4495" s="309"/>
      <c r="J4495" s="309"/>
    </row>
    <row r="4496">
      <c r="B4496" s="309"/>
      <c r="C4496" s="309"/>
      <c r="I4496" s="309"/>
      <c r="J4496" s="309"/>
    </row>
    <row r="4497">
      <c r="B4497" s="309"/>
      <c r="C4497" s="309"/>
      <c r="I4497" s="309"/>
      <c r="J4497" s="309"/>
    </row>
    <row r="4498">
      <c r="B4498" s="309"/>
      <c r="C4498" s="309"/>
      <c r="I4498" s="309"/>
      <c r="J4498" s="309"/>
    </row>
    <row r="4499">
      <c r="B4499" s="309"/>
      <c r="C4499" s="309"/>
      <c r="I4499" s="309"/>
      <c r="J4499" s="309"/>
    </row>
    <row r="4500">
      <c r="B4500" s="309"/>
      <c r="C4500" s="309"/>
      <c r="I4500" s="309"/>
      <c r="J4500" s="309"/>
    </row>
    <row r="4501">
      <c r="B4501" s="309"/>
      <c r="C4501" s="309"/>
      <c r="I4501" s="309"/>
      <c r="J4501" s="309"/>
    </row>
    <row r="4502">
      <c r="B4502" s="309"/>
      <c r="C4502" s="309"/>
      <c r="I4502" s="309"/>
      <c r="J4502" s="309"/>
    </row>
    <row r="4503">
      <c r="B4503" s="309"/>
      <c r="C4503" s="309"/>
      <c r="I4503" s="309"/>
      <c r="J4503" s="309"/>
    </row>
    <row r="4504">
      <c r="B4504" s="309"/>
      <c r="C4504" s="309"/>
      <c r="I4504" s="309"/>
      <c r="J4504" s="309"/>
    </row>
    <row r="4505">
      <c r="B4505" s="309"/>
      <c r="C4505" s="309"/>
      <c r="I4505" s="309"/>
      <c r="J4505" s="309"/>
    </row>
    <row r="4506">
      <c r="B4506" s="309"/>
      <c r="C4506" s="309"/>
      <c r="I4506" s="309"/>
      <c r="J4506" s="309"/>
    </row>
    <row r="4507">
      <c r="B4507" s="309"/>
      <c r="C4507" s="309"/>
      <c r="I4507" s="309"/>
      <c r="J4507" s="309"/>
    </row>
    <row r="4508">
      <c r="B4508" s="309"/>
      <c r="C4508" s="309"/>
      <c r="I4508" s="309"/>
      <c r="J4508" s="309"/>
    </row>
    <row r="4509">
      <c r="B4509" s="309"/>
      <c r="C4509" s="309"/>
      <c r="I4509" s="309"/>
      <c r="J4509" s="309"/>
    </row>
    <row r="4510">
      <c r="B4510" s="309"/>
      <c r="C4510" s="309"/>
      <c r="I4510" s="309"/>
      <c r="J4510" s="309"/>
    </row>
    <row r="4511">
      <c r="B4511" s="309"/>
      <c r="C4511" s="309"/>
      <c r="I4511" s="309"/>
      <c r="J4511" s="309"/>
    </row>
    <row r="4512">
      <c r="B4512" s="309"/>
      <c r="C4512" s="309"/>
      <c r="I4512" s="309"/>
      <c r="J4512" s="309"/>
    </row>
    <row r="4513">
      <c r="B4513" s="309"/>
      <c r="C4513" s="309"/>
      <c r="I4513" s="309"/>
      <c r="J4513" s="309"/>
    </row>
    <row r="4514">
      <c r="B4514" s="309"/>
      <c r="C4514" s="309"/>
      <c r="I4514" s="309"/>
      <c r="J4514" s="309"/>
    </row>
    <row r="4515">
      <c r="B4515" s="309"/>
      <c r="C4515" s="309"/>
      <c r="I4515" s="309"/>
      <c r="J4515" s="309"/>
    </row>
    <row r="4516">
      <c r="B4516" s="309"/>
      <c r="C4516" s="309"/>
      <c r="I4516" s="309"/>
      <c r="J4516" s="309"/>
    </row>
    <row r="4517">
      <c r="B4517" s="309"/>
      <c r="C4517" s="309"/>
      <c r="I4517" s="309"/>
      <c r="J4517" s="309"/>
    </row>
    <row r="4518">
      <c r="B4518" s="309"/>
      <c r="C4518" s="309"/>
      <c r="I4518" s="309"/>
      <c r="J4518" s="309"/>
    </row>
    <row r="4519">
      <c r="B4519" s="309"/>
      <c r="C4519" s="309"/>
      <c r="I4519" s="309"/>
      <c r="J4519" s="309"/>
    </row>
    <row r="4520">
      <c r="B4520" s="309"/>
      <c r="C4520" s="309"/>
      <c r="I4520" s="309"/>
      <c r="J4520" s="309"/>
    </row>
    <row r="4521">
      <c r="B4521" s="309"/>
      <c r="C4521" s="309"/>
      <c r="I4521" s="309"/>
      <c r="J4521" s="309"/>
    </row>
    <row r="4522">
      <c r="B4522" s="309"/>
      <c r="C4522" s="309"/>
      <c r="I4522" s="309"/>
      <c r="J4522" s="309"/>
    </row>
    <row r="4523">
      <c r="B4523" s="309"/>
      <c r="C4523" s="309"/>
      <c r="I4523" s="309"/>
      <c r="J4523" s="309"/>
    </row>
    <row r="4524">
      <c r="B4524" s="309"/>
      <c r="C4524" s="309"/>
      <c r="I4524" s="309"/>
      <c r="J4524" s="309"/>
    </row>
    <row r="4525">
      <c r="B4525" s="309"/>
      <c r="C4525" s="309"/>
      <c r="I4525" s="309"/>
      <c r="J4525" s="309"/>
    </row>
    <row r="4526">
      <c r="B4526" s="309"/>
      <c r="C4526" s="309"/>
      <c r="I4526" s="309"/>
      <c r="J4526" s="309"/>
    </row>
    <row r="4527">
      <c r="B4527" s="309"/>
      <c r="C4527" s="309"/>
      <c r="I4527" s="309"/>
      <c r="J4527" s="309"/>
    </row>
    <row r="4528">
      <c r="B4528" s="309"/>
      <c r="C4528" s="309"/>
      <c r="I4528" s="309"/>
      <c r="J4528" s="309"/>
    </row>
    <row r="4529">
      <c r="B4529" s="309"/>
      <c r="C4529" s="309"/>
      <c r="I4529" s="309"/>
      <c r="J4529" s="309"/>
    </row>
    <row r="4530">
      <c r="B4530" s="309"/>
      <c r="C4530" s="309"/>
      <c r="I4530" s="309"/>
      <c r="J4530" s="309"/>
    </row>
    <row r="4531">
      <c r="B4531" s="309"/>
      <c r="C4531" s="309"/>
      <c r="I4531" s="309"/>
      <c r="J4531" s="309"/>
    </row>
    <row r="4532">
      <c r="B4532" s="309"/>
      <c r="C4532" s="309"/>
      <c r="I4532" s="309"/>
      <c r="J4532" s="309"/>
    </row>
    <row r="4533">
      <c r="B4533" s="309"/>
      <c r="C4533" s="309"/>
      <c r="I4533" s="309"/>
      <c r="J4533" s="309"/>
    </row>
    <row r="4534">
      <c r="B4534" s="309"/>
      <c r="C4534" s="309"/>
      <c r="I4534" s="309"/>
      <c r="J4534" s="309"/>
    </row>
    <row r="4535">
      <c r="B4535" s="309"/>
      <c r="C4535" s="309"/>
      <c r="I4535" s="309"/>
      <c r="J4535" s="309"/>
    </row>
    <row r="4536">
      <c r="B4536" s="309"/>
      <c r="C4536" s="309"/>
      <c r="I4536" s="309"/>
      <c r="J4536" s="309"/>
    </row>
    <row r="4537">
      <c r="B4537" s="309"/>
      <c r="C4537" s="309"/>
      <c r="I4537" s="309"/>
      <c r="J4537" s="309"/>
    </row>
    <row r="4538">
      <c r="B4538" s="309"/>
      <c r="C4538" s="309"/>
      <c r="I4538" s="309"/>
      <c r="J4538" s="309"/>
    </row>
    <row r="4539">
      <c r="B4539" s="309"/>
      <c r="C4539" s="309"/>
      <c r="I4539" s="309"/>
      <c r="J4539" s="309"/>
    </row>
    <row r="4540">
      <c r="B4540" s="309"/>
      <c r="C4540" s="309"/>
      <c r="I4540" s="309"/>
      <c r="J4540" s="309"/>
    </row>
    <row r="4541">
      <c r="B4541" s="309"/>
      <c r="C4541" s="309"/>
      <c r="I4541" s="309"/>
      <c r="J4541" s="309"/>
    </row>
    <row r="4542">
      <c r="B4542" s="309"/>
      <c r="C4542" s="309"/>
      <c r="I4542" s="309"/>
      <c r="J4542" s="309"/>
    </row>
    <row r="4543">
      <c r="B4543" s="309"/>
      <c r="C4543" s="309"/>
      <c r="I4543" s="309"/>
      <c r="J4543" s="309"/>
    </row>
    <row r="4544">
      <c r="B4544" s="309"/>
      <c r="C4544" s="309"/>
      <c r="I4544" s="309"/>
      <c r="J4544" s="309"/>
    </row>
    <row r="4545">
      <c r="B4545" s="309"/>
      <c r="C4545" s="309"/>
      <c r="I4545" s="309"/>
      <c r="J4545" s="309"/>
    </row>
    <row r="4546">
      <c r="B4546" s="309"/>
      <c r="C4546" s="309"/>
      <c r="I4546" s="309"/>
      <c r="J4546" s="309"/>
    </row>
    <row r="4547">
      <c r="B4547" s="309"/>
      <c r="C4547" s="309"/>
      <c r="I4547" s="309"/>
      <c r="J4547" s="309"/>
    </row>
    <row r="4548">
      <c r="B4548" s="309"/>
      <c r="C4548" s="309"/>
      <c r="I4548" s="309"/>
      <c r="J4548" s="309"/>
    </row>
    <row r="4549">
      <c r="B4549" s="309"/>
      <c r="C4549" s="309"/>
      <c r="I4549" s="309"/>
      <c r="J4549" s="309"/>
    </row>
    <row r="4550">
      <c r="B4550" s="309"/>
      <c r="C4550" s="309"/>
      <c r="I4550" s="309"/>
      <c r="J4550" s="309"/>
    </row>
    <row r="4551">
      <c r="B4551" s="309"/>
      <c r="C4551" s="309"/>
      <c r="I4551" s="309"/>
      <c r="J4551" s="309"/>
    </row>
    <row r="4552">
      <c r="B4552" s="309"/>
      <c r="C4552" s="309"/>
      <c r="I4552" s="309"/>
      <c r="J4552" s="309"/>
    </row>
    <row r="4553">
      <c r="B4553" s="309"/>
      <c r="C4553" s="309"/>
      <c r="I4553" s="309"/>
      <c r="J4553" s="309"/>
    </row>
    <row r="4554">
      <c r="B4554" s="309"/>
      <c r="C4554" s="309"/>
      <c r="I4554" s="309"/>
      <c r="J4554" s="309"/>
    </row>
    <row r="4555">
      <c r="B4555" s="309"/>
      <c r="C4555" s="309"/>
      <c r="I4555" s="309"/>
      <c r="J4555" s="309"/>
    </row>
    <row r="4556">
      <c r="B4556" s="309"/>
      <c r="C4556" s="309"/>
      <c r="I4556" s="309"/>
      <c r="J4556" s="309"/>
    </row>
    <row r="4557">
      <c r="B4557" s="309"/>
      <c r="C4557" s="309"/>
      <c r="I4557" s="309"/>
      <c r="J4557" s="309"/>
    </row>
    <row r="4558">
      <c r="B4558" s="309"/>
      <c r="C4558" s="309"/>
      <c r="I4558" s="309"/>
      <c r="J4558" s="309"/>
    </row>
    <row r="4559">
      <c r="B4559" s="309"/>
      <c r="C4559" s="309"/>
      <c r="I4559" s="309"/>
      <c r="J4559" s="309"/>
    </row>
    <row r="4560">
      <c r="B4560" s="309"/>
      <c r="C4560" s="309"/>
      <c r="I4560" s="309"/>
      <c r="J4560" s="309"/>
    </row>
    <row r="4561">
      <c r="B4561" s="309"/>
      <c r="C4561" s="309"/>
      <c r="I4561" s="309"/>
      <c r="J4561" s="309"/>
    </row>
    <row r="4562">
      <c r="B4562" s="309"/>
      <c r="C4562" s="309"/>
      <c r="I4562" s="309"/>
      <c r="J4562" s="309"/>
    </row>
    <row r="4563">
      <c r="B4563" s="309"/>
      <c r="C4563" s="309"/>
      <c r="I4563" s="309"/>
      <c r="J4563" s="309"/>
    </row>
    <row r="4564">
      <c r="B4564" s="309"/>
      <c r="C4564" s="309"/>
      <c r="I4564" s="309"/>
      <c r="J4564" s="309"/>
    </row>
    <row r="4565">
      <c r="B4565" s="309"/>
      <c r="C4565" s="309"/>
      <c r="I4565" s="309"/>
      <c r="J4565" s="309"/>
    </row>
    <row r="4566">
      <c r="B4566" s="309"/>
      <c r="C4566" s="309"/>
      <c r="I4566" s="309"/>
      <c r="J4566" s="309"/>
    </row>
    <row r="4567">
      <c r="B4567" s="309"/>
      <c r="C4567" s="309"/>
      <c r="I4567" s="309"/>
      <c r="J4567" s="309"/>
    </row>
    <row r="4568">
      <c r="B4568" s="309"/>
      <c r="C4568" s="309"/>
      <c r="I4568" s="309"/>
      <c r="J4568" s="309"/>
    </row>
    <row r="4569">
      <c r="B4569" s="309"/>
      <c r="C4569" s="309"/>
      <c r="I4569" s="309"/>
      <c r="J4569" s="309"/>
    </row>
    <row r="4570">
      <c r="B4570" s="309"/>
      <c r="C4570" s="309"/>
      <c r="I4570" s="309"/>
      <c r="J4570" s="309"/>
    </row>
    <row r="4571">
      <c r="B4571" s="309"/>
      <c r="C4571" s="309"/>
      <c r="I4571" s="309"/>
      <c r="J4571" s="309"/>
    </row>
    <row r="4572">
      <c r="B4572" s="309"/>
      <c r="C4572" s="309"/>
      <c r="I4572" s="309"/>
      <c r="J4572" s="309"/>
    </row>
    <row r="4573">
      <c r="B4573" s="309"/>
      <c r="C4573" s="309"/>
      <c r="I4573" s="309"/>
      <c r="J4573" s="309"/>
    </row>
    <row r="4574">
      <c r="B4574" s="309"/>
      <c r="C4574" s="309"/>
      <c r="I4574" s="309"/>
      <c r="J4574" s="309"/>
    </row>
    <row r="4575">
      <c r="B4575" s="309"/>
      <c r="C4575" s="309"/>
      <c r="I4575" s="309"/>
      <c r="J4575" s="309"/>
    </row>
    <row r="4576">
      <c r="B4576" s="309"/>
      <c r="C4576" s="309"/>
      <c r="I4576" s="309"/>
      <c r="J4576" s="309"/>
    </row>
    <row r="4577">
      <c r="B4577" s="309"/>
      <c r="C4577" s="309"/>
      <c r="I4577" s="309"/>
      <c r="J4577" s="309"/>
    </row>
    <row r="4578">
      <c r="B4578" s="309"/>
      <c r="C4578" s="309"/>
      <c r="I4578" s="309"/>
      <c r="J4578" s="309"/>
    </row>
    <row r="4579">
      <c r="B4579" s="309"/>
      <c r="C4579" s="309"/>
      <c r="I4579" s="309"/>
      <c r="J4579" s="309"/>
    </row>
    <row r="4580">
      <c r="B4580" s="309"/>
      <c r="C4580" s="309"/>
      <c r="I4580" s="309"/>
      <c r="J4580" s="309"/>
    </row>
    <row r="4581">
      <c r="B4581" s="309"/>
      <c r="C4581" s="309"/>
      <c r="I4581" s="309"/>
      <c r="J4581" s="309"/>
    </row>
    <row r="4582">
      <c r="B4582" s="309"/>
      <c r="C4582" s="309"/>
      <c r="I4582" s="309"/>
      <c r="J4582" s="309"/>
    </row>
    <row r="4583">
      <c r="B4583" s="309"/>
      <c r="C4583" s="309"/>
      <c r="I4583" s="309"/>
      <c r="J4583" s="309"/>
    </row>
    <row r="4584">
      <c r="B4584" s="309"/>
      <c r="C4584" s="309"/>
      <c r="I4584" s="309"/>
      <c r="J4584" s="309"/>
    </row>
    <row r="4585">
      <c r="B4585" s="309"/>
      <c r="C4585" s="309"/>
      <c r="I4585" s="309"/>
      <c r="J4585" s="309"/>
    </row>
    <row r="4586">
      <c r="B4586" s="309"/>
      <c r="C4586" s="309"/>
      <c r="I4586" s="309"/>
      <c r="J4586" s="309"/>
    </row>
    <row r="4587">
      <c r="B4587" s="309"/>
      <c r="C4587" s="309"/>
      <c r="I4587" s="309"/>
      <c r="J4587" s="309"/>
    </row>
    <row r="4588">
      <c r="B4588" s="309"/>
      <c r="C4588" s="309"/>
      <c r="I4588" s="309"/>
      <c r="J4588" s="309"/>
    </row>
    <row r="4589">
      <c r="B4589" s="309"/>
      <c r="C4589" s="309"/>
      <c r="I4589" s="309"/>
      <c r="J4589" s="309"/>
    </row>
    <row r="4590">
      <c r="B4590" s="309"/>
      <c r="C4590" s="309"/>
      <c r="I4590" s="309"/>
      <c r="J4590" s="309"/>
    </row>
    <row r="4591">
      <c r="B4591" s="309"/>
      <c r="C4591" s="309"/>
      <c r="I4591" s="309"/>
      <c r="J4591" s="309"/>
    </row>
    <row r="4592">
      <c r="B4592" s="309"/>
      <c r="C4592" s="309"/>
      <c r="I4592" s="309"/>
      <c r="J4592" s="309"/>
    </row>
    <row r="4593">
      <c r="B4593" s="309"/>
      <c r="C4593" s="309"/>
      <c r="I4593" s="309"/>
      <c r="J4593" s="309"/>
    </row>
    <row r="4594">
      <c r="B4594" s="309"/>
      <c r="C4594" s="309"/>
      <c r="I4594" s="309"/>
      <c r="J4594" s="309"/>
    </row>
    <row r="4595">
      <c r="B4595" s="309"/>
      <c r="C4595" s="309"/>
      <c r="I4595" s="309"/>
      <c r="J4595" s="309"/>
    </row>
    <row r="4596">
      <c r="B4596" s="309"/>
      <c r="C4596" s="309"/>
      <c r="I4596" s="309"/>
      <c r="J4596" s="309"/>
    </row>
    <row r="4597">
      <c r="B4597" s="309"/>
      <c r="C4597" s="309"/>
      <c r="I4597" s="309"/>
      <c r="J4597" s="309"/>
    </row>
    <row r="4598">
      <c r="B4598" s="309"/>
      <c r="C4598" s="309"/>
      <c r="I4598" s="309"/>
      <c r="J4598" s="309"/>
    </row>
    <row r="4599">
      <c r="B4599" s="309"/>
      <c r="C4599" s="309"/>
      <c r="I4599" s="309"/>
      <c r="J4599" s="309"/>
    </row>
    <row r="4600">
      <c r="B4600" s="309"/>
      <c r="C4600" s="309"/>
      <c r="I4600" s="309"/>
      <c r="J4600" s="309"/>
    </row>
    <row r="4601">
      <c r="B4601" s="309"/>
      <c r="C4601" s="309"/>
      <c r="I4601" s="309"/>
      <c r="J4601" s="309"/>
    </row>
    <row r="4602">
      <c r="B4602" s="309"/>
      <c r="C4602" s="309"/>
      <c r="I4602" s="309"/>
      <c r="J4602" s="309"/>
    </row>
    <row r="4603">
      <c r="B4603" s="309"/>
      <c r="C4603" s="309"/>
      <c r="I4603" s="309"/>
      <c r="J4603" s="309"/>
    </row>
    <row r="4604">
      <c r="B4604" s="309"/>
      <c r="C4604" s="309"/>
      <c r="I4604" s="309"/>
      <c r="J4604" s="309"/>
    </row>
    <row r="4605">
      <c r="B4605" s="309"/>
      <c r="C4605" s="309"/>
      <c r="I4605" s="309"/>
      <c r="J4605" s="309"/>
    </row>
    <row r="4606">
      <c r="B4606" s="309"/>
      <c r="C4606" s="309"/>
      <c r="I4606" s="309"/>
      <c r="J4606" s="309"/>
    </row>
    <row r="4607">
      <c r="B4607" s="309"/>
      <c r="C4607" s="309"/>
      <c r="I4607" s="309"/>
      <c r="J4607" s="309"/>
    </row>
    <row r="4608">
      <c r="B4608" s="309"/>
      <c r="C4608" s="309"/>
      <c r="I4608" s="309"/>
      <c r="J4608" s="309"/>
    </row>
    <row r="4609">
      <c r="B4609" s="309"/>
      <c r="C4609" s="309"/>
      <c r="I4609" s="309"/>
      <c r="J4609" s="309"/>
    </row>
    <row r="4610">
      <c r="B4610" s="309"/>
      <c r="C4610" s="309"/>
      <c r="I4610" s="309"/>
      <c r="J4610" s="309"/>
    </row>
    <row r="4611">
      <c r="B4611" s="309"/>
      <c r="C4611" s="309"/>
      <c r="I4611" s="309"/>
      <c r="J4611" s="309"/>
    </row>
    <row r="4612">
      <c r="B4612" s="309"/>
      <c r="C4612" s="309"/>
      <c r="I4612" s="309"/>
      <c r="J4612" s="309"/>
    </row>
    <row r="4613">
      <c r="B4613" s="309"/>
      <c r="C4613" s="309"/>
      <c r="I4613" s="309"/>
      <c r="J4613" s="309"/>
    </row>
    <row r="4614">
      <c r="B4614" s="309"/>
      <c r="C4614" s="309"/>
      <c r="I4614" s="309"/>
      <c r="J4614" s="309"/>
    </row>
    <row r="4615">
      <c r="B4615" s="309"/>
      <c r="C4615" s="309"/>
      <c r="I4615" s="309"/>
      <c r="J4615" s="309"/>
    </row>
    <row r="4616">
      <c r="B4616" s="309"/>
      <c r="C4616" s="309"/>
      <c r="I4616" s="309"/>
      <c r="J4616" s="309"/>
    </row>
    <row r="4617">
      <c r="B4617" s="309"/>
      <c r="C4617" s="309"/>
      <c r="I4617" s="309"/>
      <c r="J4617" s="309"/>
    </row>
    <row r="4618">
      <c r="B4618" s="309"/>
      <c r="C4618" s="309"/>
      <c r="I4618" s="309"/>
      <c r="J4618" s="309"/>
    </row>
    <row r="4619">
      <c r="B4619" s="309"/>
      <c r="C4619" s="309"/>
      <c r="I4619" s="309"/>
      <c r="J4619" s="309"/>
    </row>
    <row r="4620">
      <c r="B4620" s="309"/>
      <c r="C4620" s="309"/>
      <c r="I4620" s="309"/>
      <c r="J4620" s="309"/>
    </row>
    <row r="4621">
      <c r="B4621" s="309"/>
      <c r="C4621" s="309"/>
      <c r="I4621" s="309"/>
      <c r="J4621" s="309"/>
    </row>
    <row r="4622">
      <c r="B4622" s="309"/>
      <c r="C4622" s="309"/>
      <c r="I4622" s="309"/>
      <c r="J4622" s="309"/>
    </row>
    <row r="4623">
      <c r="B4623" s="309"/>
      <c r="C4623" s="309"/>
      <c r="I4623" s="309"/>
      <c r="J4623" s="309"/>
    </row>
    <row r="4624">
      <c r="B4624" s="309"/>
      <c r="C4624" s="309"/>
      <c r="I4624" s="309"/>
      <c r="J4624" s="309"/>
    </row>
    <row r="4625">
      <c r="B4625" s="309"/>
      <c r="C4625" s="309"/>
      <c r="I4625" s="309"/>
      <c r="J4625" s="309"/>
    </row>
    <row r="4626">
      <c r="B4626" s="309"/>
      <c r="C4626" s="309"/>
      <c r="I4626" s="309"/>
      <c r="J4626" s="309"/>
    </row>
    <row r="4627">
      <c r="B4627" s="309"/>
      <c r="C4627" s="309"/>
      <c r="I4627" s="309"/>
      <c r="J4627" s="309"/>
    </row>
    <row r="4628">
      <c r="B4628" s="309"/>
      <c r="C4628" s="309"/>
      <c r="I4628" s="309"/>
      <c r="J4628" s="309"/>
    </row>
    <row r="4629">
      <c r="B4629" s="309"/>
      <c r="C4629" s="309"/>
      <c r="I4629" s="309"/>
      <c r="J4629" s="309"/>
    </row>
    <row r="4630">
      <c r="B4630" s="309"/>
      <c r="C4630" s="309"/>
      <c r="I4630" s="309"/>
      <c r="J4630" s="309"/>
    </row>
    <row r="4631">
      <c r="B4631" s="309"/>
      <c r="C4631" s="309"/>
      <c r="I4631" s="309"/>
      <c r="J4631" s="309"/>
    </row>
    <row r="4632">
      <c r="B4632" s="309"/>
      <c r="C4632" s="309"/>
      <c r="I4632" s="309"/>
      <c r="J4632" s="309"/>
    </row>
    <row r="4633">
      <c r="B4633" s="309"/>
      <c r="C4633" s="309"/>
      <c r="I4633" s="309"/>
      <c r="J4633" s="309"/>
    </row>
    <row r="4634">
      <c r="B4634" s="309"/>
      <c r="C4634" s="309"/>
      <c r="I4634" s="309"/>
      <c r="J4634" s="309"/>
    </row>
    <row r="4635">
      <c r="B4635" s="309"/>
      <c r="C4635" s="309"/>
      <c r="I4635" s="309"/>
      <c r="J4635" s="309"/>
    </row>
    <row r="4636">
      <c r="B4636" s="309"/>
      <c r="C4636" s="309"/>
      <c r="I4636" s="309"/>
      <c r="J4636" s="309"/>
    </row>
    <row r="4637">
      <c r="B4637" s="309"/>
      <c r="C4637" s="309"/>
      <c r="I4637" s="309"/>
      <c r="J4637" s="309"/>
    </row>
    <row r="4638">
      <c r="B4638" s="309"/>
      <c r="C4638" s="309"/>
      <c r="I4638" s="309"/>
      <c r="J4638" s="309"/>
    </row>
    <row r="4639">
      <c r="B4639" s="309"/>
      <c r="C4639" s="309"/>
      <c r="I4639" s="309"/>
      <c r="J4639" s="309"/>
    </row>
    <row r="4640">
      <c r="B4640" s="309"/>
      <c r="C4640" s="309"/>
      <c r="I4640" s="309"/>
      <c r="J4640" s="309"/>
    </row>
    <row r="4641">
      <c r="B4641" s="309"/>
      <c r="C4641" s="309"/>
      <c r="I4641" s="309"/>
      <c r="J4641" s="309"/>
    </row>
    <row r="4642">
      <c r="B4642" s="309"/>
      <c r="C4642" s="309"/>
      <c r="I4642" s="309"/>
      <c r="J4642" s="309"/>
    </row>
    <row r="4643">
      <c r="B4643" s="309"/>
      <c r="C4643" s="309"/>
      <c r="I4643" s="309"/>
      <c r="J4643" s="309"/>
    </row>
    <row r="4644">
      <c r="B4644" s="309"/>
      <c r="C4644" s="309"/>
      <c r="I4644" s="309"/>
      <c r="J4644" s="309"/>
    </row>
    <row r="4645">
      <c r="B4645" s="309"/>
      <c r="C4645" s="309"/>
      <c r="I4645" s="309"/>
      <c r="J4645" s="309"/>
    </row>
    <row r="4646">
      <c r="B4646" s="309"/>
      <c r="C4646" s="309"/>
      <c r="I4646" s="309"/>
      <c r="J4646" s="309"/>
    </row>
    <row r="4647">
      <c r="B4647" s="309"/>
      <c r="C4647" s="309"/>
      <c r="I4647" s="309"/>
      <c r="J4647" s="309"/>
    </row>
    <row r="4648">
      <c r="B4648" s="309"/>
      <c r="C4648" s="309"/>
      <c r="I4648" s="309"/>
      <c r="J4648" s="309"/>
    </row>
    <row r="4649">
      <c r="B4649" s="309"/>
      <c r="C4649" s="309"/>
      <c r="I4649" s="309"/>
      <c r="J4649" s="309"/>
    </row>
    <row r="4650">
      <c r="B4650" s="309"/>
      <c r="C4650" s="309"/>
      <c r="I4650" s="309"/>
      <c r="J4650" s="309"/>
    </row>
    <row r="4651">
      <c r="B4651" s="309"/>
      <c r="C4651" s="309"/>
      <c r="I4651" s="309"/>
      <c r="J4651" s="309"/>
    </row>
    <row r="4652">
      <c r="B4652" s="309"/>
      <c r="C4652" s="309"/>
      <c r="I4652" s="309"/>
      <c r="J4652" s="309"/>
    </row>
    <row r="4653">
      <c r="B4653" s="309"/>
      <c r="C4653" s="309"/>
      <c r="I4653" s="309"/>
      <c r="J4653" s="309"/>
    </row>
    <row r="4654">
      <c r="B4654" s="309"/>
      <c r="C4654" s="309"/>
      <c r="I4654" s="309"/>
      <c r="J4654" s="309"/>
    </row>
    <row r="4655">
      <c r="B4655" s="309"/>
      <c r="C4655" s="309"/>
      <c r="I4655" s="309"/>
      <c r="J4655" s="309"/>
    </row>
    <row r="4656">
      <c r="B4656" s="309"/>
      <c r="C4656" s="309"/>
      <c r="I4656" s="309"/>
      <c r="J4656" s="309"/>
    </row>
    <row r="4657">
      <c r="B4657" s="309"/>
      <c r="C4657" s="309"/>
      <c r="I4657" s="309"/>
      <c r="J4657" s="309"/>
    </row>
    <row r="4658">
      <c r="B4658" s="309"/>
      <c r="C4658" s="309"/>
      <c r="I4658" s="309"/>
      <c r="J4658" s="309"/>
    </row>
    <row r="4659">
      <c r="B4659" s="309"/>
      <c r="C4659" s="309"/>
      <c r="I4659" s="309"/>
      <c r="J4659" s="309"/>
    </row>
    <row r="4660">
      <c r="B4660" s="309"/>
      <c r="C4660" s="309"/>
      <c r="I4660" s="309"/>
      <c r="J4660" s="309"/>
    </row>
    <row r="4661">
      <c r="B4661" s="309"/>
      <c r="C4661" s="309"/>
      <c r="I4661" s="309"/>
      <c r="J4661" s="309"/>
    </row>
    <row r="4662">
      <c r="B4662" s="309"/>
      <c r="C4662" s="309"/>
      <c r="I4662" s="309"/>
      <c r="J4662" s="309"/>
    </row>
    <row r="4663">
      <c r="B4663" s="309"/>
      <c r="C4663" s="309"/>
      <c r="I4663" s="309"/>
      <c r="J4663" s="309"/>
    </row>
    <row r="4664">
      <c r="B4664" s="309"/>
      <c r="C4664" s="309"/>
      <c r="I4664" s="309"/>
      <c r="J4664" s="309"/>
    </row>
    <row r="4665">
      <c r="B4665" s="309"/>
      <c r="C4665" s="309"/>
      <c r="I4665" s="309"/>
      <c r="J4665" s="309"/>
    </row>
    <row r="4666">
      <c r="B4666" s="309"/>
      <c r="C4666" s="309"/>
      <c r="I4666" s="309"/>
      <c r="J4666" s="309"/>
    </row>
    <row r="4667">
      <c r="B4667" s="309"/>
      <c r="C4667" s="309"/>
      <c r="I4667" s="309"/>
      <c r="J4667" s="309"/>
    </row>
    <row r="4668">
      <c r="B4668" s="309"/>
      <c r="C4668" s="309"/>
      <c r="I4668" s="309"/>
      <c r="J4668" s="309"/>
    </row>
    <row r="4669">
      <c r="B4669" s="309"/>
      <c r="C4669" s="309"/>
      <c r="I4669" s="309"/>
      <c r="J4669" s="309"/>
    </row>
    <row r="4670">
      <c r="B4670" s="309"/>
      <c r="C4670" s="309"/>
      <c r="I4670" s="309"/>
      <c r="J4670" s="309"/>
    </row>
    <row r="4671">
      <c r="B4671" s="309"/>
      <c r="C4671" s="309"/>
      <c r="I4671" s="309"/>
      <c r="J4671" s="309"/>
    </row>
    <row r="4672">
      <c r="B4672" s="309"/>
      <c r="C4672" s="309"/>
      <c r="I4672" s="309"/>
      <c r="J4672" s="309"/>
    </row>
    <row r="4673">
      <c r="B4673" s="309"/>
      <c r="C4673" s="309"/>
      <c r="I4673" s="309"/>
      <c r="J4673" s="309"/>
    </row>
    <row r="4674">
      <c r="B4674" s="309"/>
      <c r="C4674" s="309"/>
      <c r="I4674" s="309"/>
      <c r="J4674" s="309"/>
    </row>
    <row r="4675">
      <c r="B4675" s="309"/>
      <c r="C4675" s="309"/>
      <c r="I4675" s="309"/>
      <c r="J4675" s="309"/>
    </row>
    <row r="4676">
      <c r="B4676" s="309"/>
      <c r="C4676" s="309"/>
      <c r="I4676" s="309"/>
      <c r="J4676" s="309"/>
    </row>
    <row r="4677">
      <c r="B4677" s="309"/>
      <c r="C4677" s="309"/>
      <c r="I4677" s="309"/>
      <c r="J4677" s="309"/>
    </row>
    <row r="4678">
      <c r="B4678" s="309"/>
      <c r="C4678" s="309"/>
      <c r="I4678" s="309"/>
      <c r="J4678" s="309"/>
    </row>
    <row r="4679">
      <c r="B4679" s="309"/>
      <c r="C4679" s="309"/>
      <c r="I4679" s="309"/>
      <c r="J4679" s="309"/>
    </row>
    <row r="4680">
      <c r="B4680" s="309"/>
      <c r="C4680" s="309"/>
      <c r="I4680" s="309"/>
      <c r="J4680" s="309"/>
    </row>
    <row r="4681">
      <c r="B4681" s="309"/>
      <c r="C4681" s="309"/>
      <c r="I4681" s="309"/>
      <c r="J4681" s="309"/>
    </row>
    <row r="4682">
      <c r="B4682" s="309"/>
      <c r="C4682" s="309"/>
      <c r="I4682" s="309"/>
      <c r="J4682" s="309"/>
    </row>
    <row r="4683">
      <c r="B4683" s="309"/>
      <c r="C4683" s="309"/>
      <c r="I4683" s="309"/>
      <c r="J4683" s="309"/>
    </row>
    <row r="4684">
      <c r="B4684" s="309"/>
      <c r="C4684" s="309"/>
      <c r="I4684" s="309"/>
      <c r="J4684" s="309"/>
    </row>
    <row r="4685">
      <c r="B4685" s="309"/>
      <c r="C4685" s="309"/>
      <c r="I4685" s="309"/>
      <c r="J4685" s="309"/>
    </row>
    <row r="4686">
      <c r="B4686" s="309"/>
      <c r="C4686" s="309"/>
      <c r="I4686" s="309"/>
      <c r="J4686" s="309"/>
    </row>
    <row r="4687">
      <c r="B4687" s="309"/>
      <c r="C4687" s="309"/>
      <c r="I4687" s="309"/>
      <c r="J4687" s="309"/>
    </row>
    <row r="4688">
      <c r="B4688" s="309"/>
      <c r="C4688" s="309"/>
      <c r="I4688" s="309"/>
      <c r="J4688" s="309"/>
    </row>
    <row r="4689">
      <c r="B4689" s="309"/>
      <c r="C4689" s="309"/>
      <c r="I4689" s="309"/>
      <c r="J4689" s="309"/>
    </row>
    <row r="4690">
      <c r="B4690" s="309"/>
      <c r="C4690" s="309"/>
      <c r="I4690" s="309"/>
      <c r="J4690" s="309"/>
    </row>
    <row r="4691">
      <c r="B4691" s="309"/>
      <c r="C4691" s="309"/>
      <c r="I4691" s="309"/>
      <c r="J4691" s="309"/>
    </row>
    <row r="4692">
      <c r="B4692" s="309"/>
      <c r="C4692" s="309"/>
      <c r="I4692" s="309"/>
      <c r="J4692" s="309"/>
    </row>
    <row r="4693">
      <c r="B4693" s="309"/>
      <c r="C4693" s="309"/>
      <c r="I4693" s="309"/>
      <c r="J4693" s="309"/>
    </row>
    <row r="4694">
      <c r="B4694" s="309"/>
      <c r="C4694" s="309"/>
      <c r="I4694" s="309"/>
      <c r="J4694" s="309"/>
    </row>
    <row r="4695">
      <c r="B4695" s="309"/>
      <c r="C4695" s="309"/>
      <c r="I4695" s="309"/>
      <c r="J4695" s="309"/>
    </row>
    <row r="4696">
      <c r="B4696" s="309"/>
      <c r="C4696" s="309"/>
      <c r="I4696" s="309"/>
      <c r="J4696" s="309"/>
    </row>
    <row r="4697">
      <c r="B4697" s="309"/>
      <c r="C4697" s="309"/>
      <c r="I4697" s="309"/>
      <c r="J4697" s="309"/>
    </row>
    <row r="4698">
      <c r="B4698" s="309"/>
      <c r="C4698" s="309"/>
      <c r="I4698" s="309"/>
      <c r="J4698" s="309"/>
    </row>
    <row r="4699">
      <c r="B4699" s="309"/>
      <c r="C4699" s="309"/>
      <c r="I4699" s="309"/>
      <c r="J4699" s="309"/>
    </row>
    <row r="4700">
      <c r="B4700" s="309"/>
      <c r="C4700" s="309"/>
      <c r="I4700" s="309"/>
      <c r="J4700" s="309"/>
    </row>
    <row r="4701">
      <c r="B4701" s="309"/>
      <c r="C4701" s="309"/>
      <c r="I4701" s="309"/>
      <c r="J4701" s="309"/>
    </row>
    <row r="4702">
      <c r="B4702" s="309"/>
      <c r="C4702" s="309"/>
      <c r="I4702" s="309"/>
      <c r="J4702" s="309"/>
    </row>
    <row r="4703">
      <c r="B4703" s="309"/>
      <c r="C4703" s="309"/>
      <c r="I4703" s="309"/>
      <c r="J4703" s="309"/>
    </row>
    <row r="4704">
      <c r="B4704" s="309"/>
      <c r="C4704" s="309"/>
      <c r="I4704" s="309"/>
      <c r="J4704" s="309"/>
    </row>
    <row r="4705">
      <c r="B4705" s="309"/>
      <c r="C4705" s="309"/>
      <c r="I4705" s="309"/>
      <c r="J4705" s="309"/>
    </row>
    <row r="4706">
      <c r="B4706" s="309"/>
      <c r="C4706" s="309"/>
      <c r="I4706" s="309"/>
      <c r="J4706" s="309"/>
    </row>
    <row r="4707">
      <c r="B4707" s="309"/>
      <c r="C4707" s="309"/>
      <c r="I4707" s="309"/>
      <c r="J4707" s="309"/>
    </row>
    <row r="4708">
      <c r="B4708" s="309"/>
      <c r="C4708" s="309"/>
      <c r="I4708" s="309"/>
      <c r="J4708" s="309"/>
    </row>
    <row r="4709">
      <c r="B4709" s="309"/>
      <c r="C4709" s="309"/>
      <c r="I4709" s="309"/>
      <c r="J4709" s="309"/>
    </row>
    <row r="4710">
      <c r="B4710" s="309"/>
      <c r="C4710" s="309"/>
      <c r="I4710" s="309"/>
      <c r="J4710" s="309"/>
    </row>
    <row r="4711">
      <c r="B4711" s="309"/>
      <c r="C4711" s="309"/>
      <c r="I4711" s="309"/>
      <c r="J4711" s="309"/>
    </row>
    <row r="4712">
      <c r="B4712" s="309"/>
      <c r="C4712" s="309"/>
      <c r="I4712" s="309"/>
      <c r="J4712" s="309"/>
    </row>
    <row r="4713">
      <c r="B4713" s="309"/>
      <c r="C4713" s="309"/>
      <c r="I4713" s="309"/>
      <c r="J4713" s="309"/>
    </row>
    <row r="4714">
      <c r="B4714" s="309"/>
      <c r="C4714" s="309"/>
      <c r="I4714" s="309"/>
      <c r="J4714" s="309"/>
    </row>
    <row r="4715">
      <c r="B4715" s="309"/>
      <c r="C4715" s="309"/>
      <c r="I4715" s="309"/>
      <c r="J4715" s="309"/>
    </row>
    <row r="4716">
      <c r="B4716" s="309"/>
      <c r="C4716" s="309"/>
      <c r="I4716" s="309"/>
      <c r="J4716" s="309"/>
    </row>
    <row r="4717">
      <c r="B4717" s="309"/>
      <c r="C4717" s="309"/>
      <c r="I4717" s="309"/>
      <c r="J4717" s="309"/>
    </row>
    <row r="4718">
      <c r="B4718" s="309"/>
      <c r="C4718" s="309"/>
      <c r="I4718" s="309"/>
      <c r="J4718" s="309"/>
    </row>
    <row r="4719">
      <c r="B4719" s="309"/>
      <c r="C4719" s="309"/>
      <c r="I4719" s="309"/>
      <c r="J4719" s="309"/>
    </row>
    <row r="4720">
      <c r="B4720" s="309"/>
      <c r="C4720" s="309"/>
      <c r="I4720" s="309"/>
      <c r="J4720" s="309"/>
    </row>
    <row r="4721">
      <c r="B4721" s="309"/>
      <c r="C4721" s="309"/>
      <c r="I4721" s="309"/>
      <c r="J4721" s="309"/>
    </row>
    <row r="4722">
      <c r="B4722" s="309"/>
      <c r="C4722" s="309"/>
      <c r="I4722" s="309"/>
      <c r="J4722" s="309"/>
    </row>
    <row r="4723">
      <c r="B4723" s="309"/>
      <c r="C4723" s="309"/>
      <c r="I4723" s="309"/>
      <c r="J4723" s="309"/>
    </row>
    <row r="4724">
      <c r="B4724" s="309"/>
      <c r="C4724" s="309"/>
      <c r="I4724" s="309"/>
      <c r="J4724" s="309"/>
    </row>
    <row r="4725">
      <c r="B4725" s="309"/>
      <c r="C4725" s="309"/>
      <c r="I4725" s="309"/>
      <c r="J4725" s="309"/>
    </row>
    <row r="4726">
      <c r="B4726" s="309"/>
      <c r="C4726" s="309"/>
      <c r="I4726" s="309"/>
      <c r="J4726" s="309"/>
    </row>
    <row r="4727">
      <c r="B4727" s="309"/>
      <c r="C4727" s="309"/>
      <c r="I4727" s="309"/>
      <c r="J4727" s="309"/>
    </row>
    <row r="4728">
      <c r="B4728" s="309"/>
      <c r="C4728" s="309"/>
      <c r="I4728" s="309"/>
      <c r="J4728" s="309"/>
    </row>
    <row r="4729">
      <c r="B4729" s="309"/>
      <c r="C4729" s="309"/>
      <c r="I4729" s="309"/>
      <c r="J4729" s="309"/>
    </row>
    <row r="4730">
      <c r="B4730" s="309"/>
      <c r="C4730" s="309"/>
      <c r="I4730" s="309"/>
      <c r="J4730" s="309"/>
    </row>
    <row r="4731">
      <c r="B4731" s="309"/>
      <c r="C4731" s="309"/>
      <c r="I4731" s="309"/>
      <c r="J4731" s="309"/>
    </row>
    <row r="4732">
      <c r="B4732" s="309"/>
      <c r="C4732" s="309"/>
      <c r="I4732" s="309"/>
      <c r="J4732" s="309"/>
    </row>
    <row r="4733">
      <c r="B4733" s="309"/>
      <c r="C4733" s="309"/>
      <c r="I4733" s="309"/>
      <c r="J4733" s="309"/>
    </row>
    <row r="4734">
      <c r="B4734" s="309"/>
      <c r="C4734" s="309"/>
      <c r="I4734" s="309"/>
      <c r="J4734" s="309"/>
    </row>
    <row r="4735">
      <c r="B4735" s="309"/>
      <c r="C4735" s="309"/>
      <c r="I4735" s="309"/>
      <c r="J4735" s="309"/>
    </row>
    <row r="4736">
      <c r="B4736" s="309"/>
      <c r="C4736" s="309"/>
      <c r="I4736" s="309"/>
      <c r="J4736" s="309"/>
    </row>
    <row r="4737">
      <c r="B4737" s="309"/>
      <c r="C4737" s="309"/>
      <c r="I4737" s="309"/>
      <c r="J4737" s="309"/>
    </row>
    <row r="4738">
      <c r="B4738" s="309"/>
      <c r="C4738" s="309"/>
      <c r="I4738" s="309"/>
      <c r="J4738" s="309"/>
    </row>
    <row r="4739">
      <c r="B4739" s="309"/>
      <c r="C4739" s="309"/>
      <c r="I4739" s="309"/>
      <c r="J4739" s="309"/>
    </row>
    <row r="4740">
      <c r="B4740" s="309"/>
      <c r="C4740" s="309"/>
      <c r="I4740" s="309"/>
      <c r="J4740" s="309"/>
    </row>
    <row r="4741">
      <c r="B4741" s="309"/>
      <c r="C4741" s="309"/>
      <c r="I4741" s="309"/>
      <c r="J4741" s="309"/>
    </row>
    <row r="4742">
      <c r="B4742" s="309"/>
      <c r="C4742" s="309"/>
      <c r="I4742" s="309"/>
      <c r="J4742" s="309"/>
    </row>
    <row r="4743">
      <c r="B4743" s="309"/>
      <c r="C4743" s="309"/>
      <c r="I4743" s="309"/>
      <c r="J4743" s="309"/>
    </row>
    <row r="4744">
      <c r="B4744" s="309"/>
      <c r="C4744" s="309"/>
      <c r="I4744" s="309"/>
      <c r="J4744" s="309"/>
    </row>
    <row r="4745">
      <c r="B4745" s="309"/>
      <c r="C4745" s="309"/>
      <c r="I4745" s="309"/>
      <c r="J4745" s="309"/>
    </row>
    <row r="4746">
      <c r="B4746" s="309"/>
      <c r="C4746" s="309"/>
      <c r="I4746" s="309"/>
      <c r="J4746" s="309"/>
    </row>
    <row r="4747">
      <c r="B4747" s="309"/>
      <c r="C4747" s="309"/>
      <c r="I4747" s="309"/>
      <c r="J4747" s="309"/>
    </row>
    <row r="4748">
      <c r="B4748" s="309"/>
      <c r="C4748" s="309"/>
      <c r="I4748" s="309"/>
      <c r="J4748" s="309"/>
    </row>
    <row r="4749">
      <c r="B4749" s="309"/>
      <c r="C4749" s="309"/>
      <c r="I4749" s="309"/>
      <c r="J4749" s="309"/>
    </row>
    <row r="4750">
      <c r="B4750" s="309"/>
      <c r="C4750" s="309"/>
      <c r="I4750" s="309"/>
      <c r="J4750" s="309"/>
    </row>
    <row r="4751">
      <c r="B4751" s="309"/>
      <c r="C4751" s="309"/>
      <c r="I4751" s="309"/>
      <c r="J4751" s="309"/>
    </row>
    <row r="4752">
      <c r="B4752" s="309"/>
      <c r="C4752" s="309"/>
      <c r="I4752" s="309"/>
      <c r="J4752" s="309"/>
    </row>
    <row r="4753">
      <c r="B4753" s="309"/>
      <c r="C4753" s="309"/>
      <c r="I4753" s="309"/>
      <c r="J4753" s="309"/>
    </row>
    <row r="4754">
      <c r="B4754" s="309"/>
      <c r="C4754" s="309"/>
      <c r="I4754" s="309"/>
      <c r="J4754" s="309"/>
    </row>
    <row r="4755">
      <c r="B4755" s="309"/>
      <c r="C4755" s="309"/>
      <c r="I4755" s="309"/>
      <c r="J4755" s="309"/>
    </row>
    <row r="4756">
      <c r="B4756" s="309"/>
      <c r="C4756" s="309"/>
      <c r="I4756" s="309"/>
      <c r="J4756" s="309"/>
    </row>
    <row r="4757">
      <c r="B4757" s="309"/>
      <c r="C4757" s="309"/>
      <c r="I4757" s="309"/>
      <c r="J4757" s="309"/>
    </row>
    <row r="4758">
      <c r="B4758" s="309"/>
      <c r="C4758" s="309"/>
      <c r="I4758" s="309"/>
      <c r="J4758" s="309"/>
    </row>
    <row r="4759">
      <c r="B4759" s="309"/>
      <c r="C4759" s="309"/>
      <c r="I4759" s="309"/>
      <c r="J4759" s="309"/>
    </row>
    <row r="4760">
      <c r="B4760" s="309"/>
      <c r="C4760" s="309"/>
      <c r="I4760" s="309"/>
      <c r="J4760" s="309"/>
    </row>
    <row r="4761">
      <c r="B4761" s="309"/>
      <c r="C4761" s="309"/>
      <c r="I4761" s="309"/>
      <c r="J4761" s="309"/>
    </row>
    <row r="4762">
      <c r="B4762" s="309"/>
      <c r="C4762" s="309"/>
      <c r="I4762" s="309"/>
      <c r="J4762" s="309"/>
    </row>
    <row r="4763">
      <c r="B4763" s="309"/>
      <c r="C4763" s="309"/>
      <c r="I4763" s="309"/>
      <c r="J4763" s="309"/>
    </row>
    <row r="4764">
      <c r="B4764" s="309"/>
      <c r="C4764" s="309"/>
      <c r="I4764" s="309"/>
      <c r="J4764" s="309"/>
    </row>
    <row r="4765">
      <c r="B4765" s="309"/>
      <c r="C4765" s="309"/>
      <c r="I4765" s="309"/>
      <c r="J4765" s="309"/>
    </row>
    <row r="4766">
      <c r="B4766" s="309"/>
      <c r="C4766" s="309"/>
      <c r="I4766" s="309"/>
      <c r="J4766" s="309"/>
    </row>
    <row r="4767">
      <c r="B4767" s="309"/>
      <c r="C4767" s="309"/>
      <c r="I4767" s="309"/>
      <c r="J4767" s="309"/>
    </row>
    <row r="4768">
      <c r="B4768" s="309"/>
      <c r="C4768" s="309"/>
      <c r="I4768" s="309"/>
      <c r="J4768" s="309"/>
    </row>
    <row r="4769">
      <c r="B4769" s="309"/>
      <c r="C4769" s="309"/>
      <c r="I4769" s="309"/>
      <c r="J4769" s="309"/>
    </row>
    <row r="4770">
      <c r="B4770" s="309"/>
      <c r="C4770" s="309"/>
      <c r="I4770" s="309"/>
      <c r="J4770" s="309"/>
    </row>
    <row r="4771">
      <c r="B4771" s="309"/>
      <c r="C4771" s="309"/>
      <c r="I4771" s="309"/>
      <c r="J4771" s="309"/>
    </row>
    <row r="4772">
      <c r="B4772" s="309"/>
      <c r="C4772" s="309"/>
      <c r="I4772" s="309"/>
      <c r="J4772" s="309"/>
    </row>
    <row r="4773">
      <c r="B4773" s="309"/>
      <c r="C4773" s="309"/>
      <c r="I4773" s="309"/>
      <c r="J4773" s="309"/>
    </row>
    <row r="4774">
      <c r="B4774" s="309"/>
      <c r="C4774" s="309"/>
      <c r="I4774" s="309"/>
      <c r="J4774" s="309"/>
    </row>
    <row r="4775">
      <c r="B4775" s="309"/>
      <c r="C4775" s="309"/>
      <c r="I4775" s="309"/>
      <c r="J4775" s="309"/>
    </row>
    <row r="4776">
      <c r="B4776" s="309"/>
      <c r="C4776" s="309"/>
      <c r="I4776" s="309"/>
      <c r="J4776" s="309"/>
    </row>
    <row r="4777">
      <c r="B4777" s="309"/>
      <c r="C4777" s="309"/>
      <c r="I4777" s="309"/>
      <c r="J4777" s="309"/>
    </row>
    <row r="4778">
      <c r="B4778" s="309"/>
      <c r="C4778" s="309"/>
      <c r="I4778" s="309"/>
      <c r="J4778" s="309"/>
    </row>
    <row r="4779">
      <c r="B4779" s="309"/>
      <c r="C4779" s="309"/>
      <c r="I4779" s="309"/>
      <c r="J4779" s="309"/>
    </row>
    <row r="4780">
      <c r="B4780" s="309"/>
      <c r="C4780" s="309"/>
      <c r="I4780" s="309"/>
      <c r="J4780" s="309"/>
    </row>
    <row r="4781">
      <c r="B4781" s="309"/>
      <c r="C4781" s="309"/>
      <c r="I4781" s="309"/>
      <c r="J4781" s="309"/>
    </row>
    <row r="4782">
      <c r="B4782" s="309"/>
      <c r="C4782" s="309"/>
      <c r="I4782" s="309"/>
      <c r="J4782" s="309"/>
    </row>
    <row r="4783">
      <c r="B4783" s="309"/>
      <c r="C4783" s="309"/>
      <c r="I4783" s="309"/>
      <c r="J4783" s="309"/>
    </row>
    <row r="4784">
      <c r="B4784" s="309"/>
      <c r="C4784" s="309"/>
      <c r="I4784" s="309"/>
      <c r="J4784" s="309"/>
    </row>
    <row r="4785">
      <c r="B4785" s="309"/>
      <c r="C4785" s="309"/>
      <c r="I4785" s="309"/>
      <c r="J4785" s="309"/>
    </row>
    <row r="4786">
      <c r="B4786" s="309"/>
      <c r="C4786" s="309"/>
      <c r="I4786" s="309"/>
      <c r="J4786" s="309"/>
    </row>
    <row r="4787">
      <c r="B4787" s="309"/>
      <c r="C4787" s="309"/>
      <c r="I4787" s="309"/>
      <c r="J4787" s="309"/>
    </row>
    <row r="4788">
      <c r="B4788" s="309"/>
      <c r="C4788" s="309"/>
      <c r="I4788" s="309"/>
      <c r="J4788" s="309"/>
    </row>
    <row r="4789">
      <c r="B4789" s="309"/>
      <c r="C4789" s="309"/>
      <c r="I4789" s="309"/>
      <c r="J4789" s="309"/>
    </row>
    <row r="4790">
      <c r="B4790" s="309"/>
      <c r="C4790" s="309"/>
      <c r="I4790" s="309"/>
      <c r="J4790" s="309"/>
    </row>
    <row r="4791">
      <c r="B4791" s="309"/>
      <c r="C4791" s="309"/>
      <c r="I4791" s="309"/>
      <c r="J4791" s="309"/>
    </row>
    <row r="4792">
      <c r="B4792" s="309"/>
      <c r="C4792" s="309"/>
      <c r="I4792" s="309"/>
      <c r="J4792" s="309"/>
    </row>
    <row r="4793">
      <c r="B4793" s="309"/>
      <c r="C4793" s="309"/>
      <c r="I4793" s="309"/>
      <c r="J4793" s="309"/>
    </row>
    <row r="4794">
      <c r="B4794" s="309"/>
      <c r="C4794" s="309"/>
      <c r="I4794" s="309"/>
      <c r="J4794" s="309"/>
    </row>
    <row r="4795">
      <c r="B4795" s="309"/>
      <c r="C4795" s="309"/>
      <c r="I4795" s="309"/>
      <c r="J4795" s="309"/>
    </row>
    <row r="4796">
      <c r="B4796" s="309"/>
      <c r="C4796" s="309"/>
      <c r="I4796" s="309"/>
      <c r="J4796" s="309"/>
    </row>
    <row r="4797">
      <c r="B4797" s="309"/>
      <c r="C4797" s="309"/>
      <c r="I4797" s="309"/>
      <c r="J4797" s="309"/>
    </row>
    <row r="4798">
      <c r="B4798" s="309"/>
      <c r="C4798" s="309"/>
      <c r="I4798" s="309"/>
      <c r="J4798" s="309"/>
    </row>
    <row r="4799">
      <c r="B4799" s="309"/>
      <c r="C4799" s="309"/>
      <c r="I4799" s="309"/>
      <c r="J4799" s="309"/>
    </row>
    <row r="4800">
      <c r="B4800" s="309"/>
      <c r="C4800" s="309"/>
      <c r="I4800" s="309"/>
      <c r="J4800" s="309"/>
    </row>
    <row r="4801">
      <c r="B4801" s="309"/>
      <c r="C4801" s="309"/>
      <c r="I4801" s="309"/>
      <c r="J4801" s="309"/>
    </row>
    <row r="4802">
      <c r="B4802" s="309"/>
      <c r="C4802" s="309"/>
      <c r="I4802" s="309"/>
      <c r="J4802" s="309"/>
    </row>
    <row r="4803">
      <c r="B4803" s="309"/>
      <c r="C4803" s="309"/>
      <c r="I4803" s="309"/>
      <c r="J4803" s="309"/>
    </row>
    <row r="4804">
      <c r="B4804" s="309"/>
      <c r="C4804" s="309"/>
      <c r="I4804" s="309"/>
      <c r="J4804" s="309"/>
    </row>
    <row r="4805">
      <c r="B4805" s="309"/>
      <c r="C4805" s="309"/>
      <c r="I4805" s="309"/>
      <c r="J4805" s="309"/>
    </row>
    <row r="4806">
      <c r="B4806" s="309"/>
      <c r="C4806" s="309"/>
      <c r="I4806" s="309"/>
      <c r="J4806" s="309"/>
    </row>
    <row r="4807">
      <c r="B4807" s="309"/>
      <c r="C4807" s="309"/>
      <c r="I4807" s="309"/>
      <c r="J4807" s="309"/>
    </row>
    <row r="4808">
      <c r="B4808" s="309"/>
      <c r="C4808" s="309"/>
      <c r="I4808" s="309"/>
      <c r="J4808" s="309"/>
    </row>
    <row r="4809">
      <c r="B4809" s="309"/>
      <c r="C4809" s="309"/>
      <c r="I4809" s="309"/>
      <c r="J4809" s="309"/>
    </row>
    <row r="4810">
      <c r="B4810" s="309"/>
      <c r="C4810" s="309"/>
      <c r="I4810" s="309"/>
      <c r="J4810" s="309"/>
    </row>
    <row r="4811">
      <c r="B4811" s="309"/>
      <c r="C4811" s="309"/>
      <c r="I4811" s="309"/>
      <c r="J4811" s="309"/>
    </row>
    <row r="4812">
      <c r="B4812" s="309"/>
      <c r="C4812" s="309"/>
      <c r="I4812" s="309"/>
      <c r="J4812" s="309"/>
    </row>
    <row r="4813">
      <c r="B4813" s="309"/>
      <c r="C4813" s="309"/>
      <c r="I4813" s="309"/>
      <c r="J4813" s="309"/>
    </row>
    <row r="4814">
      <c r="B4814" s="309"/>
      <c r="C4814" s="309"/>
      <c r="I4814" s="309"/>
      <c r="J4814" s="309"/>
    </row>
    <row r="4815">
      <c r="B4815" s="309"/>
      <c r="C4815" s="309"/>
      <c r="I4815" s="309"/>
      <c r="J4815" s="309"/>
    </row>
    <row r="4816">
      <c r="B4816" s="309"/>
      <c r="C4816" s="309"/>
      <c r="I4816" s="309"/>
      <c r="J4816" s="309"/>
    </row>
    <row r="4817">
      <c r="B4817" s="309"/>
      <c r="C4817" s="309"/>
      <c r="I4817" s="309"/>
      <c r="J4817" s="309"/>
    </row>
    <row r="4818">
      <c r="B4818" s="309"/>
      <c r="C4818" s="309"/>
      <c r="I4818" s="309"/>
      <c r="J4818" s="309"/>
    </row>
    <row r="4819">
      <c r="B4819" s="309"/>
      <c r="C4819" s="309"/>
      <c r="I4819" s="309"/>
      <c r="J4819" s="309"/>
    </row>
    <row r="4820">
      <c r="B4820" s="309"/>
      <c r="C4820" s="309"/>
      <c r="I4820" s="309"/>
      <c r="J4820" s="309"/>
    </row>
    <row r="4821">
      <c r="B4821" s="309"/>
      <c r="C4821" s="309"/>
      <c r="I4821" s="309"/>
      <c r="J4821" s="309"/>
    </row>
    <row r="4822">
      <c r="B4822" s="309"/>
      <c r="C4822" s="309"/>
      <c r="I4822" s="309"/>
      <c r="J4822" s="309"/>
    </row>
    <row r="4823">
      <c r="B4823" s="309"/>
      <c r="C4823" s="309"/>
      <c r="I4823" s="309"/>
      <c r="J4823" s="309"/>
    </row>
    <row r="4824">
      <c r="B4824" s="309"/>
      <c r="C4824" s="309"/>
      <c r="I4824" s="309"/>
      <c r="J4824" s="309"/>
    </row>
    <row r="4825">
      <c r="B4825" s="309"/>
      <c r="C4825" s="309"/>
      <c r="I4825" s="309"/>
      <c r="J4825" s="309"/>
    </row>
    <row r="4826">
      <c r="B4826" s="309"/>
      <c r="C4826" s="309"/>
      <c r="I4826" s="309"/>
      <c r="J4826" s="309"/>
    </row>
    <row r="4827">
      <c r="B4827" s="309"/>
      <c r="C4827" s="309"/>
      <c r="I4827" s="309"/>
      <c r="J4827" s="309"/>
    </row>
    <row r="4828">
      <c r="B4828" s="309"/>
      <c r="C4828" s="309"/>
      <c r="I4828" s="309"/>
      <c r="J4828" s="309"/>
    </row>
    <row r="4829">
      <c r="B4829" s="309"/>
      <c r="C4829" s="309"/>
      <c r="I4829" s="309"/>
      <c r="J4829" s="309"/>
    </row>
    <row r="4830">
      <c r="B4830" s="309"/>
      <c r="C4830" s="309"/>
      <c r="I4830" s="309"/>
      <c r="J4830" s="309"/>
    </row>
    <row r="4831">
      <c r="B4831" s="309"/>
      <c r="C4831" s="309"/>
      <c r="I4831" s="309"/>
      <c r="J4831" s="309"/>
    </row>
    <row r="4832">
      <c r="B4832" s="309"/>
      <c r="C4832" s="309"/>
      <c r="I4832" s="309"/>
      <c r="J4832" s="309"/>
    </row>
    <row r="4833">
      <c r="B4833" s="309"/>
      <c r="C4833" s="309"/>
      <c r="I4833" s="309"/>
      <c r="J4833" s="309"/>
    </row>
    <row r="4834">
      <c r="B4834" s="309"/>
      <c r="C4834" s="309"/>
      <c r="I4834" s="309"/>
      <c r="J4834" s="309"/>
    </row>
    <row r="4835">
      <c r="B4835" s="309"/>
      <c r="C4835" s="309"/>
      <c r="I4835" s="309"/>
      <c r="J4835" s="309"/>
    </row>
    <row r="4836">
      <c r="B4836" s="309"/>
      <c r="C4836" s="309"/>
      <c r="I4836" s="309"/>
      <c r="J4836" s="309"/>
    </row>
    <row r="4837">
      <c r="B4837" s="309"/>
      <c r="C4837" s="309"/>
      <c r="I4837" s="309"/>
      <c r="J4837" s="309"/>
    </row>
    <row r="4838">
      <c r="B4838" s="309"/>
      <c r="C4838" s="309"/>
      <c r="I4838" s="309"/>
      <c r="J4838" s="309"/>
    </row>
    <row r="4839">
      <c r="B4839" s="309"/>
      <c r="C4839" s="309"/>
      <c r="I4839" s="309"/>
      <c r="J4839" s="309"/>
    </row>
    <row r="4840">
      <c r="B4840" s="309"/>
      <c r="C4840" s="309"/>
      <c r="I4840" s="309"/>
      <c r="J4840" s="309"/>
    </row>
    <row r="4841">
      <c r="B4841" s="309"/>
      <c r="C4841" s="309"/>
      <c r="I4841" s="309"/>
      <c r="J4841" s="309"/>
    </row>
    <row r="4842">
      <c r="B4842" s="309"/>
      <c r="C4842" s="309"/>
      <c r="I4842" s="309"/>
      <c r="J4842" s="309"/>
    </row>
    <row r="4843">
      <c r="B4843" s="309"/>
      <c r="C4843" s="309"/>
      <c r="I4843" s="309"/>
      <c r="J4843" s="309"/>
    </row>
    <row r="4844">
      <c r="B4844" s="309"/>
      <c r="C4844" s="309"/>
      <c r="I4844" s="309"/>
      <c r="J4844" s="309"/>
    </row>
    <row r="4845">
      <c r="B4845" s="309"/>
      <c r="C4845" s="309"/>
      <c r="I4845" s="309"/>
      <c r="J4845" s="309"/>
    </row>
    <row r="4846">
      <c r="B4846" s="309"/>
      <c r="C4846" s="309"/>
      <c r="I4846" s="309"/>
      <c r="J4846" s="309"/>
    </row>
    <row r="4847">
      <c r="B4847" s="309"/>
      <c r="C4847" s="309"/>
      <c r="I4847" s="309"/>
      <c r="J4847" s="309"/>
    </row>
    <row r="4848">
      <c r="B4848" s="309"/>
      <c r="C4848" s="309"/>
      <c r="I4848" s="309"/>
      <c r="J4848" s="309"/>
    </row>
    <row r="4849">
      <c r="B4849" s="309"/>
      <c r="C4849" s="309"/>
      <c r="I4849" s="309"/>
      <c r="J4849" s="309"/>
    </row>
    <row r="4850">
      <c r="B4850" s="309"/>
      <c r="C4850" s="309"/>
      <c r="I4850" s="309"/>
      <c r="J4850" s="309"/>
    </row>
    <row r="4851">
      <c r="B4851" s="309"/>
      <c r="C4851" s="309"/>
      <c r="I4851" s="309"/>
      <c r="J4851" s="309"/>
    </row>
    <row r="4852">
      <c r="B4852" s="309"/>
      <c r="C4852" s="309"/>
      <c r="I4852" s="309"/>
      <c r="J4852" s="309"/>
    </row>
    <row r="4853">
      <c r="B4853" s="309"/>
      <c r="C4853" s="309"/>
      <c r="I4853" s="309"/>
      <c r="J4853" s="309"/>
    </row>
    <row r="4854">
      <c r="B4854" s="309"/>
      <c r="C4854" s="309"/>
      <c r="I4854" s="309"/>
      <c r="J4854" s="309"/>
    </row>
    <row r="4855">
      <c r="B4855" s="309"/>
      <c r="C4855" s="309"/>
      <c r="I4855" s="309"/>
      <c r="J4855" s="309"/>
    </row>
    <row r="4856">
      <c r="B4856" s="309"/>
      <c r="C4856" s="309"/>
      <c r="I4856" s="309"/>
      <c r="J4856" s="309"/>
    </row>
    <row r="4857">
      <c r="B4857" s="309"/>
      <c r="C4857" s="309"/>
      <c r="I4857" s="309"/>
      <c r="J4857" s="309"/>
    </row>
    <row r="4858">
      <c r="B4858" s="309"/>
      <c r="C4858" s="309"/>
      <c r="I4858" s="309"/>
      <c r="J4858" s="309"/>
    </row>
    <row r="4859">
      <c r="B4859" s="309"/>
      <c r="C4859" s="309"/>
      <c r="I4859" s="309"/>
      <c r="J4859" s="309"/>
    </row>
    <row r="4860">
      <c r="B4860" s="309"/>
      <c r="C4860" s="309"/>
      <c r="I4860" s="309"/>
      <c r="J4860" s="309"/>
    </row>
    <row r="4861">
      <c r="B4861" s="309"/>
      <c r="C4861" s="309"/>
      <c r="I4861" s="309"/>
      <c r="J4861" s="309"/>
    </row>
    <row r="4862">
      <c r="B4862" s="309"/>
      <c r="C4862" s="309"/>
      <c r="I4862" s="309"/>
      <c r="J4862" s="309"/>
    </row>
    <row r="4863">
      <c r="B4863" s="309"/>
      <c r="C4863" s="309"/>
      <c r="I4863" s="309"/>
      <c r="J4863" s="309"/>
    </row>
    <row r="4864">
      <c r="B4864" s="309"/>
      <c r="C4864" s="309"/>
      <c r="I4864" s="309"/>
      <c r="J4864" s="309"/>
    </row>
    <row r="4865">
      <c r="B4865" s="309"/>
      <c r="C4865" s="309"/>
      <c r="I4865" s="309"/>
      <c r="J4865" s="309"/>
    </row>
    <row r="4866">
      <c r="B4866" s="309"/>
      <c r="C4866" s="309"/>
      <c r="I4866" s="309"/>
      <c r="J4866" s="309"/>
    </row>
    <row r="4867">
      <c r="B4867" s="309"/>
      <c r="C4867" s="309"/>
      <c r="I4867" s="309"/>
      <c r="J4867" s="309"/>
    </row>
    <row r="4868">
      <c r="B4868" s="309"/>
      <c r="C4868" s="309"/>
      <c r="I4868" s="309"/>
      <c r="J4868" s="309"/>
    </row>
    <row r="4869">
      <c r="B4869" s="309"/>
      <c r="C4869" s="309"/>
      <c r="I4869" s="309"/>
      <c r="J4869" s="309"/>
    </row>
    <row r="4870">
      <c r="B4870" s="309"/>
      <c r="C4870" s="309"/>
      <c r="I4870" s="309"/>
      <c r="J4870" s="309"/>
    </row>
    <row r="4871">
      <c r="B4871" s="309"/>
      <c r="C4871" s="309"/>
      <c r="I4871" s="309"/>
      <c r="J4871" s="309"/>
    </row>
    <row r="4872">
      <c r="B4872" s="309"/>
      <c r="C4872" s="309"/>
      <c r="I4872" s="309"/>
      <c r="J4872" s="309"/>
    </row>
    <row r="4873">
      <c r="B4873" s="309"/>
      <c r="C4873" s="309"/>
      <c r="I4873" s="309"/>
      <c r="J4873" s="309"/>
    </row>
    <row r="4874">
      <c r="B4874" s="309"/>
      <c r="C4874" s="309"/>
      <c r="I4874" s="309"/>
      <c r="J4874" s="309"/>
    </row>
    <row r="4875">
      <c r="B4875" s="309"/>
      <c r="C4875" s="309"/>
      <c r="I4875" s="309"/>
      <c r="J4875" s="309"/>
    </row>
    <row r="4876">
      <c r="B4876" s="309"/>
      <c r="C4876" s="309"/>
      <c r="I4876" s="309"/>
      <c r="J4876" s="309"/>
    </row>
    <row r="4877">
      <c r="B4877" s="309"/>
      <c r="C4877" s="309"/>
      <c r="I4877" s="309"/>
      <c r="J4877" s="309"/>
    </row>
    <row r="4878">
      <c r="B4878" s="309"/>
      <c r="C4878" s="309"/>
      <c r="I4878" s="309"/>
      <c r="J4878" s="309"/>
    </row>
    <row r="4879">
      <c r="B4879" s="309"/>
      <c r="C4879" s="309"/>
      <c r="I4879" s="309"/>
      <c r="J4879" s="309"/>
    </row>
    <row r="4880">
      <c r="B4880" s="309"/>
      <c r="C4880" s="309"/>
      <c r="I4880" s="309"/>
      <c r="J4880" s="309"/>
    </row>
    <row r="4881">
      <c r="B4881" s="309"/>
      <c r="C4881" s="309"/>
      <c r="I4881" s="309"/>
      <c r="J4881" s="309"/>
    </row>
    <row r="4882">
      <c r="B4882" s="309"/>
      <c r="C4882" s="309"/>
      <c r="I4882" s="309"/>
      <c r="J4882" s="309"/>
    </row>
    <row r="4883">
      <c r="B4883" s="309"/>
      <c r="C4883" s="309"/>
      <c r="I4883" s="309"/>
      <c r="J4883" s="309"/>
    </row>
    <row r="4884">
      <c r="B4884" s="309"/>
      <c r="C4884" s="309"/>
      <c r="I4884" s="309"/>
      <c r="J4884" s="309"/>
    </row>
    <row r="4885">
      <c r="B4885" s="309"/>
      <c r="C4885" s="309"/>
      <c r="I4885" s="309"/>
      <c r="J4885" s="309"/>
    </row>
    <row r="4886">
      <c r="B4886" s="309"/>
      <c r="C4886" s="309"/>
      <c r="I4886" s="309"/>
      <c r="J4886" s="309"/>
    </row>
    <row r="4887">
      <c r="B4887" s="309"/>
      <c r="C4887" s="309"/>
      <c r="I4887" s="309"/>
      <c r="J4887" s="309"/>
    </row>
    <row r="4888">
      <c r="B4888" s="309"/>
      <c r="C4888" s="309"/>
      <c r="I4888" s="309"/>
      <c r="J4888" s="309"/>
    </row>
    <row r="4889">
      <c r="B4889" s="309"/>
      <c r="C4889" s="309"/>
      <c r="I4889" s="309"/>
      <c r="J4889" s="309"/>
    </row>
    <row r="4890">
      <c r="B4890" s="309"/>
      <c r="C4890" s="309"/>
      <c r="I4890" s="309"/>
      <c r="J4890" s="309"/>
    </row>
    <row r="4891">
      <c r="B4891" s="309"/>
      <c r="C4891" s="309"/>
      <c r="I4891" s="309"/>
      <c r="J4891" s="309"/>
    </row>
    <row r="4892">
      <c r="B4892" s="309"/>
      <c r="C4892" s="309"/>
      <c r="I4892" s="309"/>
      <c r="J4892" s="309"/>
    </row>
    <row r="4893">
      <c r="B4893" s="309"/>
      <c r="C4893" s="309"/>
      <c r="I4893" s="309"/>
      <c r="J4893" s="309"/>
    </row>
    <row r="4894">
      <c r="B4894" s="309"/>
      <c r="C4894" s="309"/>
      <c r="I4894" s="309"/>
      <c r="J4894" s="309"/>
    </row>
    <row r="4895">
      <c r="B4895" s="309"/>
      <c r="C4895" s="309"/>
      <c r="I4895" s="309"/>
      <c r="J4895" s="309"/>
    </row>
    <row r="4896">
      <c r="B4896" s="309"/>
      <c r="C4896" s="309"/>
      <c r="I4896" s="309"/>
      <c r="J4896" s="309"/>
    </row>
    <row r="4897">
      <c r="B4897" s="309"/>
      <c r="C4897" s="309"/>
      <c r="I4897" s="309"/>
      <c r="J4897" s="309"/>
    </row>
    <row r="4898">
      <c r="B4898" s="309"/>
      <c r="C4898" s="309"/>
      <c r="I4898" s="309"/>
      <c r="J4898" s="309"/>
    </row>
    <row r="4899">
      <c r="B4899" s="309"/>
      <c r="C4899" s="309"/>
      <c r="I4899" s="309"/>
      <c r="J4899" s="309"/>
    </row>
    <row r="4900">
      <c r="B4900" s="309"/>
      <c r="C4900" s="309"/>
      <c r="I4900" s="309"/>
      <c r="J4900" s="309"/>
    </row>
    <row r="4901">
      <c r="B4901" s="309"/>
      <c r="C4901" s="309"/>
      <c r="I4901" s="309"/>
      <c r="J4901" s="309"/>
    </row>
    <row r="4902">
      <c r="B4902" s="309"/>
      <c r="C4902" s="309"/>
      <c r="I4902" s="309"/>
      <c r="J4902" s="309"/>
    </row>
    <row r="4903">
      <c r="B4903" s="309"/>
      <c r="C4903" s="309"/>
      <c r="I4903" s="309"/>
      <c r="J4903" s="309"/>
    </row>
    <row r="4904">
      <c r="B4904" s="309"/>
      <c r="C4904" s="309"/>
      <c r="I4904" s="309"/>
      <c r="J4904" s="309"/>
    </row>
    <row r="4905">
      <c r="B4905" s="309"/>
      <c r="C4905" s="309"/>
      <c r="I4905" s="309"/>
      <c r="J4905" s="309"/>
    </row>
    <row r="4906">
      <c r="B4906" s="309"/>
      <c r="C4906" s="309"/>
      <c r="I4906" s="309"/>
      <c r="J4906" s="309"/>
    </row>
    <row r="4907">
      <c r="B4907" s="309"/>
      <c r="C4907" s="309"/>
      <c r="I4907" s="309"/>
      <c r="J4907" s="309"/>
    </row>
    <row r="4908">
      <c r="B4908" s="309"/>
      <c r="C4908" s="309"/>
      <c r="I4908" s="309"/>
      <c r="J4908" s="309"/>
    </row>
    <row r="4909">
      <c r="B4909" s="309"/>
      <c r="C4909" s="309"/>
      <c r="I4909" s="309"/>
      <c r="J4909" s="309"/>
    </row>
    <row r="4910">
      <c r="B4910" s="309"/>
      <c r="C4910" s="309"/>
      <c r="I4910" s="309"/>
      <c r="J4910" s="309"/>
    </row>
    <row r="4911">
      <c r="B4911" s="309"/>
      <c r="C4911" s="309"/>
      <c r="I4911" s="309"/>
      <c r="J4911" s="309"/>
    </row>
    <row r="4912">
      <c r="B4912" s="309"/>
      <c r="C4912" s="309"/>
      <c r="I4912" s="309"/>
      <c r="J4912" s="309"/>
    </row>
    <row r="4913">
      <c r="B4913" s="309"/>
      <c r="C4913" s="309"/>
      <c r="I4913" s="309"/>
      <c r="J4913" s="309"/>
    </row>
    <row r="4914">
      <c r="B4914" s="309"/>
      <c r="C4914" s="309"/>
      <c r="I4914" s="309"/>
      <c r="J4914" s="309"/>
    </row>
    <row r="4915">
      <c r="B4915" s="309"/>
      <c r="C4915" s="309"/>
      <c r="I4915" s="309"/>
      <c r="J4915" s="309"/>
    </row>
    <row r="4916">
      <c r="B4916" s="309"/>
      <c r="C4916" s="309"/>
      <c r="I4916" s="309"/>
      <c r="J4916" s="309"/>
    </row>
    <row r="4917">
      <c r="B4917" s="309"/>
      <c r="C4917" s="309"/>
      <c r="I4917" s="309"/>
      <c r="J4917" s="309"/>
    </row>
    <row r="4918">
      <c r="B4918" s="309"/>
      <c r="C4918" s="309"/>
      <c r="I4918" s="309"/>
      <c r="J4918" s="309"/>
    </row>
    <row r="4919">
      <c r="B4919" s="309"/>
      <c r="C4919" s="309"/>
      <c r="I4919" s="309"/>
      <c r="J4919" s="309"/>
    </row>
    <row r="4920">
      <c r="B4920" s="309"/>
      <c r="C4920" s="309"/>
      <c r="I4920" s="309"/>
      <c r="J4920" s="309"/>
    </row>
    <row r="4921">
      <c r="B4921" s="309"/>
      <c r="C4921" s="309"/>
      <c r="I4921" s="309"/>
      <c r="J4921" s="309"/>
    </row>
    <row r="4922">
      <c r="B4922" s="309"/>
      <c r="C4922" s="309"/>
      <c r="I4922" s="309"/>
      <c r="J4922" s="309"/>
    </row>
    <row r="4923">
      <c r="B4923" s="309"/>
      <c r="C4923" s="309"/>
      <c r="I4923" s="309"/>
      <c r="J4923" s="309"/>
    </row>
    <row r="4924">
      <c r="B4924" s="309"/>
      <c r="C4924" s="309"/>
      <c r="I4924" s="309"/>
      <c r="J4924" s="309"/>
    </row>
    <row r="4925">
      <c r="B4925" s="309"/>
      <c r="C4925" s="309"/>
      <c r="I4925" s="309"/>
      <c r="J4925" s="309"/>
    </row>
    <row r="4926">
      <c r="B4926" s="309"/>
      <c r="C4926" s="309"/>
      <c r="I4926" s="309"/>
      <c r="J4926" s="309"/>
    </row>
    <row r="4927">
      <c r="B4927" s="309"/>
      <c r="C4927" s="309"/>
      <c r="I4927" s="309"/>
      <c r="J4927" s="309"/>
    </row>
    <row r="4928">
      <c r="B4928" s="309"/>
      <c r="C4928" s="309"/>
      <c r="I4928" s="309"/>
      <c r="J4928" s="309"/>
    </row>
    <row r="4929">
      <c r="B4929" s="309"/>
      <c r="C4929" s="309"/>
      <c r="I4929" s="309"/>
      <c r="J4929" s="309"/>
    </row>
    <row r="4930">
      <c r="B4930" s="309"/>
      <c r="C4930" s="309"/>
      <c r="I4930" s="309"/>
      <c r="J4930" s="309"/>
    </row>
    <row r="4931">
      <c r="B4931" s="309"/>
      <c r="C4931" s="309"/>
      <c r="I4931" s="309"/>
      <c r="J4931" s="309"/>
    </row>
    <row r="4932">
      <c r="B4932" s="309"/>
      <c r="C4932" s="309"/>
      <c r="I4932" s="309"/>
      <c r="J4932" s="309"/>
    </row>
    <row r="4933">
      <c r="B4933" s="309"/>
      <c r="C4933" s="309"/>
      <c r="I4933" s="309"/>
      <c r="J4933" s="309"/>
    </row>
    <row r="4934">
      <c r="B4934" s="309"/>
      <c r="C4934" s="309"/>
      <c r="I4934" s="309"/>
      <c r="J4934" s="309"/>
    </row>
    <row r="4935">
      <c r="B4935" s="309"/>
      <c r="C4935" s="309"/>
      <c r="I4935" s="309"/>
      <c r="J4935" s="309"/>
    </row>
    <row r="4936">
      <c r="B4936" s="309"/>
      <c r="C4936" s="309"/>
      <c r="I4936" s="309"/>
      <c r="J4936" s="309"/>
    </row>
    <row r="4937">
      <c r="B4937" s="309"/>
      <c r="C4937" s="309"/>
      <c r="I4937" s="309"/>
      <c r="J4937" s="309"/>
    </row>
    <row r="4938">
      <c r="B4938" s="309"/>
      <c r="C4938" s="309"/>
      <c r="I4938" s="309"/>
      <c r="J4938" s="309"/>
    </row>
    <row r="4939">
      <c r="B4939" s="309"/>
      <c r="C4939" s="309"/>
      <c r="I4939" s="309"/>
      <c r="J4939" s="309"/>
    </row>
    <row r="4940">
      <c r="B4940" s="309"/>
      <c r="C4940" s="309"/>
      <c r="I4940" s="309"/>
      <c r="J4940" s="309"/>
    </row>
    <row r="4941">
      <c r="B4941" s="309"/>
      <c r="C4941" s="309"/>
      <c r="I4941" s="309"/>
      <c r="J4941" s="309"/>
    </row>
    <row r="4942">
      <c r="B4942" s="309"/>
      <c r="C4942" s="309"/>
      <c r="I4942" s="309"/>
      <c r="J4942" s="309"/>
    </row>
    <row r="4943">
      <c r="B4943" s="309"/>
      <c r="C4943" s="309"/>
      <c r="I4943" s="309"/>
      <c r="J4943" s="309"/>
    </row>
    <row r="4944">
      <c r="B4944" s="309"/>
      <c r="C4944" s="309"/>
      <c r="I4944" s="309"/>
      <c r="J4944" s="309"/>
    </row>
    <row r="4945">
      <c r="B4945" s="309"/>
      <c r="C4945" s="309"/>
      <c r="I4945" s="309"/>
      <c r="J4945" s="309"/>
    </row>
    <row r="4946">
      <c r="B4946" s="309"/>
      <c r="C4946" s="309"/>
      <c r="I4946" s="309"/>
      <c r="J4946" s="309"/>
    </row>
    <row r="4947">
      <c r="B4947" s="309"/>
      <c r="C4947" s="309"/>
      <c r="I4947" s="309"/>
      <c r="J4947" s="309"/>
    </row>
    <row r="4948">
      <c r="B4948" s="309"/>
      <c r="C4948" s="309"/>
      <c r="I4948" s="309"/>
      <c r="J4948" s="309"/>
    </row>
    <row r="4949">
      <c r="B4949" s="309"/>
      <c r="C4949" s="309"/>
      <c r="I4949" s="309"/>
      <c r="J4949" s="309"/>
    </row>
    <row r="4950">
      <c r="B4950" s="309"/>
      <c r="C4950" s="309"/>
      <c r="I4950" s="309"/>
      <c r="J4950" s="309"/>
    </row>
    <row r="4951">
      <c r="B4951" s="309"/>
      <c r="C4951" s="309"/>
      <c r="I4951" s="309"/>
      <c r="J4951" s="309"/>
    </row>
    <row r="4952">
      <c r="B4952" s="309"/>
      <c r="C4952" s="309"/>
      <c r="I4952" s="309"/>
      <c r="J4952" s="309"/>
    </row>
    <row r="4953">
      <c r="B4953" s="309"/>
      <c r="C4953" s="309"/>
      <c r="I4953" s="309"/>
      <c r="J4953" s="309"/>
    </row>
    <row r="4954">
      <c r="B4954" s="309"/>
      <c r="C4954" s="309"/>
      <c r="I4954" s="309"/>
      <c r="J4954" s="309"/>
    </row>
    <row r="4955">
      <c r="B4955" s="309"/>
      <c r="C4955" s="309"/>
      <c r="I4955" s="309"/>
      <c r="J4955" s="309"/>
    </row>
    <row r="4956">
      <c r="B4956" s="309"/>
      <c r="C4956" s="309"/>
      <c r="I4956" s="309"/>
      <c r="J4956" s="309"/>
    </row>
    <row r="4957">
      <c r="B4957" s="309"/>
      <c r="C4957" s="309"/>
      <c r="I4957" s="309"/>
      <c r="J4957" s="309"/>
    </row>
    <row r="4958">
      <c r="B4958" s="309"/>
      <c r="C4958" s="309"/>
      <c r="I4958" s="309"/>
      <c r="J4958" s="309"/>
    </row>
    <row r="4959">
      <c r="B4959" s="309"/>
      <c r="C4959" s="309"/>
      <c r="I4959" s="309"/>
      <c r="J4959" s="309"/>
    </row>
    <row r="4960">
      <c r="B4960" s="309"/>
      <c r="C4960" s="309"/>
      <c r="I4960" s="309"/>
      <c r="J4960" s="309"/>
    </row>
    <row r="4961">
      <c r="B4961" s="309"/>
      <c r="C4961" s="309"/>
      <c r="I4961" s="309"/>
      <c r="J4961" s="309"/>
    </row>
    <row r="4962">
      <c r="B4962" s="309"/>
      <c r="C4962" s="309"/>
      <c r="I4962" s="309"/>
      <c r="J4962" s="309"/>
    </row>
    <row r="4963">
      <c r="B4963" s="309"/>
      <c r="C4963" s="309"/>
      <c r="I4963" s="309"/>
      <c r="J4963" s="309"/>
    </row>
    <row r="4964">
      <c r="B4964" s="309"/>
      <c r="C4964" s="309"/>
      <c r="I4964" s="309"/>
      <c r="J4964" s="309"/>
    </row>
    <row r="4965">
      <c r="B4965" s="309"/>
      <c r="C4965" s="309"/>
      <c r="I4965" s="309"/>
      <c r="J4965" s="309"/>
    </row>
    <row r="4966">
      <c r="B4966" s="309"/>
      <c r="C4966" s="309"/>
      <c r="I4966" s="309"/>
      <c r="J4966" s="309"/>
    </row>
    <row r="4967">
      <c r="B4967" s="309"/>
      <c r="C4967" s="309"/>
      <c r="I4967" s="309"/>
      <c r="J4967" s="309"/>
    </row>
    <row r="4968">
      <c r="B4968" s="309"/>
      <c r="C4968" s="309"/>
      <c r="I4968" s="309"/>
      <c r="J4968" s="309"/>
    </row>
    <row r="4969">
      <c r="B4969" s="309"/>
      <c r="C4969" s="309"/>
      <c r="I4969" s="309"/>
      <c r="J4969" s="309"/>
    </row>
    <row r="4970">
      <c r="B4970" s="309"/>
      <c r="C4970" s="309"/>
      <c r="I4970" s="309"/>
      <c r="J4970" s="309"/>
    </row>
    <row r="4971">
      <c r="B4971" s="309"/>
      <c r="C4971" s="309"/>
      <c r="I4971" s="309"/>
      <c r="J4971" s="309"/>
    </row>
    <row r="4972">
      <c r="B4972" s="309"/>
      <c r="C4972" s="309"/>
      <c r="I4972" s="309"/>
      <c r="J4972" s="309"/>
    </row>
    <row r="4973">
      <c r="B4973" s="309"/>
      <c r="C4973" s="309"/>
      <c r="I4973" s="309"/>
      <c r="J4973" s="309"/>
    </row>
    <row r="4974">
      <c r="B4974" s="309"/>
      <c r="C4974" s="309"/>
      <c r="I4974" s="309"/>
      <c r="J4974" s="309"/>
    </row>
    <row r="4975">
      <c r="B4975" s="309"/>
      <c r="C4975" s="309"/>
      <c r="I4975" s="309"/>
      <c r="J4975" s="309"/>
    </row>
    <row r="4976">
      <c r="B4976" s="309"/>
      <c r="C4976" s="309"/>
      <c r="I4976" s="309"/>
      <c r="J4976" s="309"/>
    </row>
    <row r="4977">
      <c r="B4977" s="309"/>
      <c r="C4977" s="309"/>
      <c r="I4977" s="309"/>
      <c r="J4977" s="309"/>
    </row>
    <row r="4978">
      <c r="B4978" s="309"/>
      <c r="C4978" s="309"/>
      <c r="I4978" s="309"/>
      <c r="J4978" s="309"/>
    </row>
    <row r="4979">
      <c r="B4979" s="309"/>
      <c r="C4979" s="309"/>
      <c r="I4979" s="309"/>
      <c r="J4979" s="309"/>
    </row>
    <row r="4980">
      <c r="B4980" s="309"/>
      <c r="C4980" s="309"/>
      <c r="I4980" s="309"/>
      <c r="J4980" s="309"/>
    </row>
    <row r="4981">
      <c r="B4981" s="309"/>
      <c r="C4981" s="309"/>
      <c r="I4981" s="309"/>
      <c r="J4981" s="309"/>
    </row>
    <row r="4982">
      <c r="B4982" s="309"/>
      <c r="C4982" s="309"/>
      <c r="I4982" s="309"/>
      <c r="J4982" s="309"/>
    </row>
    <row r="4983">
      <c r="B4983" s="309"/>
      <c r="C4983" s="309"/>
      <c r="I4983" s="309"/>
      <c r="J4983" s="309"/>
    </row>
    <row r="4984">
      <c r="B4984" s="309"/>
      <c r="C4984" s="309"/>
      <c r="I4984" s="309"/>
      <c r="J4984" s="309"/>
    </row>
    <row r="4985">
      <c r="B4985" s="309"/>
      <c r="C4985" s="309"/>
      <c r="I4985" s="309"/>
      <c r="J4985" s="309"/>
    </row>
    <row r="4986">
      <c r="B4986" s="309"/>
      <c r="C4986" s="309"/>
      <c r="I4986" s="309"/>
      <c r="J4986" s="309"/>
    </row>
    <row r="4987">
      <c r="B4987" s="309"/>
      <c r="C4987" s="309"/>
      <c r="I4987" s="309"/>
      <c r="J4987" s="309"/>
    </row>
    <row r="4988">
      <c r="B4988" s="309"/>
      <c r="C4988" s="309"/>
      <c r="I4988" s="309"/>
      <c r="J4988" s="309"/>
    </row>
    <row r="4989">
      <c r="B4989" s="309"/>
      <c r="C4989" s="309"/>
      <c r="I4989" s="309"/>
      <c r="J4989" s="309"/>
    </row>
    <row r="4990">
      <c r="B4990" s="309"/>
      <c r="C4990" s="309"/>
      <c r="I4990" s="309"/>
      <c r="J4990" s="309"/>
    </row>
    <row r="4991">
      <c r="B4991" s="309"/>
      <c r="C4991" s="309"/>
      <c r="I4991" s="309"/>
      <c r="J4991" s="309"/>
    </row>
    <row r="4992">
      <c r="B4992" s="309"/>
      <c r="C4992" s="309"/>
      <c r="I4992" s="309"/>
      <c r="J4992" s="309"/>
    </row>
    <row r="4993">
      <c r="B4993" s="309"/>
      <c r="C4993" s="309"/>
      <c r="I4993" s="309"/>
      <c r="J4993" s="309"/>
    </row>
    <row r="4994">
      <c r="B4994" s="309"/>
      <c r="C4994" s="309"/>
      <c r="I4994" s="309"/>
      <c r="J4994" s="309"/>
    </row>
    <row r="4995">
      <c r="B4995" s="309"/>
      <c r="C4995" s="309"/>
      <c r="I4995" s="309"/>
      <c r="J4995" s="309"/>
    </row>
    <row r="4996">
      <c r="B4996" s="309"/>
      <c r="C4996" s="309"/>
      <c r="I4996" s="309"/>
      <c r="J4996" s="309"/>
    </row>
    <row r="4997">
      <c r="B4997" s="309"/>
      <c r="C4997" s="309"/>
      <c r="I4997" s="309"/>
      <c r="J4997" s="309"/>
    </row>
    <row r="4998">
      <c r="B4998" s="309"/>
      <c r="C4998" s="309"/>
      <c r="I4998" s="309"/>
      <c r="J4998" s="309"/>
    </row>
    <row r="4999">
      <c r="B4999" s="309"/>
      <c r="C4999" s="309"/>
      <c r="I4999" s="309"/>
      <c r="J4999" s="309"/>
    </row>
    <row r="5000">
      <c r="B5000" s="309"/>
      <c r="C5000" s="309"/>
      <c r="I5000" s="309"/>
      <c r="J5000" s="309"/>
    </row>
    <row r="5001">
      <c r="B5001" s="309"/>
      <c r="C5001" s="309"/>
      <c r="I5001" s="309"/>
      <c r="J5001" s="309"/>
    </row>
    <row r="5002">
      <c r="B5002" s="309"/>
      <c r="C5002" s="309"/>
      <c r="I5002" s="309"/>
      <c r="J5002" s="309"/>
    </row>
    <row r="5003">
      <c r="B5003" s="309"/>
      <c r="C5003" s="309"/>
      <c r="I5003" s="309"/>
      <c r="J5003" s="309"/>
    </row>
    <row r="5004">
      <c r="B5004" s="309"/>
      <c r="C5004" s="309"/>
      <c r="I5004" s="309"/>
      <c r="J5004" s="309"/>
    </row>
    <row r="5005">
      <c r="B5005" s="309"/>
      <c r="C5005" s="309"/>
      <c r="I5005" s="309"/>
      <c r="J5005" s="309"/>
    </row>
    <row r="5006">
      <c r="B5006" s="309"/>
      <c r="C5006" s="309"/>
      <c r="I5006" s="309"/>
      <c r="J5006" s="309"/>
    </row>
    <row r="5007">
      <c r="B5007" s="309"/>
      <c r="C5007" s="309"/>
      <c r="I5007" s="309"/>
      <c r="J5007" s="309"/>
    </row>
    <row r="5008">
      <c r="B5008" s="309"/>
      <c r="C5008" s="309"/>
      <c r="I5008" s="309"/>
      <c r="J5008" s="309"/>
    </row>
    <row r="5009">
      <c r="B5009" s="309"/>
      <c r="C5009" s="309"/>
      <c r="I5009" s="309"/>
      <c r="J5009" s="309"/>
    </row>
    <row r="5010">
      <c r="B5010" s="309"/>
      <c r="C5010" s="309"/>
      <c r="I5010" s="309"/>
      <c r="J5010" s="309"/>
    </row>
    <row r="5011">
      <c r="B5011" s="309"/>
      <c r="C5011" s="309"/>
      <c r="I5011" s="309"/>
      <c r="J5011" s="309"/>
    </row>
    <row r="5012">
      <c r="B5012" s="309"/>
      <c r="C5012" s="309"/>
      <c r="I5012" s="309"/>
      <c r="J5012" s="309"/>
    </row>
    <row r="5013">
      <c r="B5013" s="309"/>
      <c r="C5013" s="309"/>
      <c r="I5013" s="309"/>
      <c r="J5013" s="309"/>
    </row>
    <row r="5014">
      <c r="B5014" s="309"/>
      <c r="C5014" s="309"/>
      <c r="I5014" s="309"/>
      <c r="J5014" s="309"/>
    </row>
    <row r="5015">
      <c r="B5015" s="309"/>
      <c r="C5015" s="309"/>
      <c r="I5015" s="309"/>
      <c r="J5015" s="309"/>
    </row>
    <row r="5016">
      <c r="B5016" s="309"/>
      <c r="C5016" s="309"/>
      <c r="I5016" s="309"/>
      <c r="J5016" s="309"/>
    </row>
    <row r="5017">
      <c r="B5017" s="309"/>
      <c r="C5017" s="309"/>
      <c r="I5017" s="309"/>
      <c r="J5017" s="309"/>
    </row>
    <row r="5018">
      <c r="B5018" s="309"/>
      <c r="C5018" s="309"/>
      <c r="I5018" s="309"/>
      <c r="J5018" s="309"/>
    </row>
    <row r="5019">
      <c r="B5019" s="309"/>
      <c r="C5019" s="309"/>
      <c r="I5019" s="309"/>
      <c r="J5019" s="309"/>
    </row>
    <row r="5020">
      <c r="B5020" s="309"/>
      <c r="C5020" s="309"/>
      <c r="I5020" s="309"/>
      <c r="J5020" s="309"/>
    </row>
    <row r="5021">
      <c r="B5021" s="309"/>
      <c r="C5021" s="309"/>
      <c r="I5021" s="309"/>
      <c r="J5021" s="309"/>
    </row>
    <row r="5022">
      <c r="B5022" s="309"/>
      <c r="C5022" s="309"/>
      <c r="I5022" s="309"/>
      <c r="J5022" s="309"/>
    </row>
    <row r="5023">
      <c r="B5023" s="309"/>
      <c r="C5023" s="309"/>
      <c r="I5023" s="309"/>
      <c r="J5023" s="309"/>
    </row>
    <row r="5024">
      <c r="B5024" s="309"/>
      <c r="C5024" s="309"/>
      <c r="I5024" s="309"/>
      <c r="J5024" s="309"/>
    </row>
    <row r="5025">
      <c r="B5025" s="309"/>
      <c r="C5025" s="309"/>
      <c r="I5025" s="309"/>
      <c r="J5025" s="309"/>
    </row>
    <row r="5026">
      <c r="B5026" s="309"/>
      <c r="C5026" s="309"/>
      <c r="I5026" s="309"/>
      <c r="J5026" s="309"/>
    </row>
    <row r="5027">
      <c r="B5027" s="309"/>
      <c r="C5027" s="309"/>
      <c r="I5027" s="309"/>
      <c r="J5027" s="309"/>
    </row>
    <row r="5028">
      <c r="B5028" s="309"/>
      <c r="C5028" s="309"/>
      <c r="I5028" s="309"/>
      <c r="J5028" s="309"/>
    </row>
    <row r="5029">
      <c r="B5029" s="309"/>
      <c r="C5029" s="309"/>
      <c r="I5029" s="309"/>
      <c r="J5029" s="309"/>
    </row>
    <row r="5030">
      <c r="B5030" s="309"/>
      <c r="C5030" s="309"/>
      <c r="I5030" s="309"/>
      <c r="J5030" s="309"/>
    </row>
    <row r="5031">
      <c r="B5031" s="309"/>
      <c r="C5031" s="309"/>
      <c r="I5031" s="309"/>
      <c r="J5031" s="309"/>
    </row>
    <row r="5032">
      <c r="B5032" s="309"/>
      <c r="C5032" s="309"/>
      <c r="I5032" s="309"/>
      <c r="J5032" s="309"/>
    </row>
    <row r="5033">
      <c r="B5033" s="309"/>
      <c r="C5033" s="309"/>
      <c r="I5033" s="309"/>
      <c r="J5033" s="309"/>
    </row>
    <row r="5034">
      <c r="B5034" s="309"/>
      <c r="C5034" s="309"/>
      <c r="I5034" s="309"/>
      <c r="J5034" s="309"/>
    </row>
    <row r="5035">
      <c r="B5035" s="309"/>
      <c r="C5035" s="309"/>
      <c r="I5035" s="309"/>
      <c r="J5035" s="309"/>
    </row>
    <row r="5036">
      <c r="B5036" s="309"/>
      <c r="C5036" s="309"/>
      <c r="I5036" s="309"/>
      <c r="J5036" s="309"/>
    </row>
    <row r="5037">
      <c r="B5037" s="309"/>
      <c r="C5037" s="309"/>
      <c r="I5037" s="309"/>
      <c r="J5037" s="309"/>
    </row>
    <row r="5038">
      <c r="B5038" s="309"/>
      <c r="C5038" s="309"/>
      <c r="I5038" s="309"/>
      <c r="J5038" s="309"/>
    </row>
    <row r="5039">
      <c r="B5039" s="309"/>
      <c r="C5039" s="309"/>
      <c r="I5039" s="309"/>
      <c r="J5039" s="309"/>
    </row>
    <row r="5040">
      <c r="B5040" s="309"/>
      <c r="C5040" s="309"/>
      <c r="I5040" s="309"/>
      <c r="J5040" s="309"/>
    </row>
    <row r="5041">
      <c r="B5041" s="309"/>
      <c r="C5041" s="309"/>
      <c r="I5041" s="309"/>
      <c r="J5041" s="309"/>
    </row>
    <row r="5042">
      <c r="B5042" s="309"/>
      <c r="C5042" s="309"/>
      <c r="I5042" s="309"/>
      <c r="J5042" s="309"/>
    </row>
    <row r="5043">
      <c r="B5043" s="309"/>
      <c r="C5043" s="309"/>
      <c r="I5043" s="309"/>
      <c r="J5043" s="309"/>
    </row>
    <row r="5044">
      <c r="B5044" s="309"/>
      <c r="C5044" s="309"/>
      <c r="I5044" s="309"/>
      <c r="J5044" s="309"/>
    </row>
    <row r="5045">
      <c r="B5045" s="309"/>
      <c r="C5045" s="309"/>
      <c r="I5045" s="309"/>
      <c r="J5045" s="309"/>
    </row>
    <row r="5046">
      <c r="B5046" s="309"/>
      <c r="C5046" s="309"/>
      <c r="I5046" s="309"/>
      <c r="J5046" s="309"/>
    </row>
    <row r="5047">
      <c r="B5047" s="309"/>
      <c r="C5047" s="309"/>
      <c r="I5047" s="309"/>
      <c r="J5047" s="309"/>
    </row>
    <row r="5048">
      <c r="B5048" s="309"/>
      <c r="C5048" s="309"/>
      <c r="I5048" s="309"/>
      <c r="J5048" s="309"/>
    </row>
    <row r="5049">
      <c r="B5049" s="309"/>
      <c r="C5049" s="309"/>
      <c r="I5049" s="309"/>
      <c r="J5049" s="309"/>
    </row>
    <row r="5050">
      <c r="B5050" s="309"/>
      <c r="C5050" s="309"/>
      <c r="I5050" s="309"/>
      <c r="J5050" s="309"/>
    </row>
    <row r="5051">
      <c r="B5051" s="309"/>
      <c r="C5051" s="309"/>
      <c r="I5051" s="309"/>
      <c r="J5051" s="309"/>
    </row>
    <row r="5052">
      <c r="B5052" s="309"/>
      <c r="C5052" s="309"/>
      <c r="I5052" s="309"/>
      <c r="J5052" s="309"/>
    </row>
    <row r="5053">
      <c r="B5053" s="309"/>
      <c r="C5053" s="309"/>
      <c r="I5053" s="309"/>
      <c r="J5053" s="309"/>
    </row>
    <row r="5054">
      <c r="B5054" s="309"/>
      <c r="C5054" s="309"/>
      <c r="I5054" s="309"/>
      <c r="J5054" s="309"/>
    </row>
    <row r="5055">
      <c r="B5055" s="309"/>
      <c r="C5055" s="309"/>
      <c r="I5055" s="309"/>
      <c r="J5055" s="309"/>
    </row>
    <row r="5056">
      <c r="B5056" s="309"/>
      <c r="C5056" s="309"/>
      <c r="I5056" s="309"/>
      <c r="J5056" s="309"/>
    </row>
    <row r="5057">
      <c r="B5057" s="309"/>
      <c r="C5057" s="309"/>
      <c r="I5057" s="309"/>
      <c r="J5057" s="309"/>
    </row>
    <row r="5058">
      <c r="B5058" s="309"/>
      <c r="C5058" s="309"/>
      <c r="I5058" s="309"/>
      <c r="J5058" s="309"/>
    </row>
    <row r="5059">
      <c r="B5059" s="309"/>
      <c r="C5059" s="309"/>
      <c r="I5059" s="309"/>
      <c r="J5059" s="309"/>
    </row>
    <row r="5060">
      <c r="B5060" s="309"/>
      <c r="C5060" s="309"/>
      <c r="I5060" s="309"/>
      <c r="J5060" s="309"/>
    </row>
    <row r="5061">
      <c r="B5061" s="309"/>
      <c r="C5061" s="309"/>
      <c r="I5061" s="309"/>
      <c r="J5061" s="309"/>
    </row>
    <row r="5062">
      <c r="B5062" s="309"/>
      <c r="C5062" s="309"/>
      <c r="I5062" s="309"/>
      <c r="J5062" s="309"/>
    </row>
    <row r="5063">
      <c r="B5063" s="309"/>
      <c r="C5063" s="309"/>
      <c r="I5063" s="309"/>
      <c r="J5063" s="309"/>
    </row>
    <row r="5064">
      <c r="B5064" s="309"/>
      <c r="C5064" s="309"/>
      <c r="I5064" s="309"/>
      <c r="J5064" s="309"/>
    </row>
    <row r="5065">
      <c r="B5065" s="309"/>
      <c r="C5065" s="309"/>
      <c r="I5065" s="309"/>
      <c r="J5065" s="309"/>
    </row>
    <row r="5066">
      <c r="B5066" s="309"/>
      <c r="C5066" s="309"/>
      <c r="I5066" s="309"/>
      <c r="J5066" s="309"/>
    </row>
    <row r="5067">
      <c r="B5067" s="309"/>
      <c r="C5067" s="309"/>
      <c r="I5067" s="309"/>
      <c r="J5067" s="309"/>
    </row>
    <row r="5068">
      <c r="B5068" s="309"/>
      <c r="C5068" s="309"/>
      <c r="I5068" s="309"/>
      <c r="J5068" s="309"/>
    </row>
    <row r="5069">
      <c r="B5069" s="309"/>
      <c r="C5069" s="309"/>
      <c r="I5069" s="309"/>
      <c r="J5069" s="309"/>
    </row>
    <row r="5070">
      <c r="B5070" s="309"/>
      <c r="C5070" s="309"/>
      <c r="I5070" s="309"/>
      <c r="J5070" s="309"/>
    </row>
    <row r="5071">
      <c r="B5071" s="309"/>
      <c r="C5071" s="309"/>
      <c r="I5071" s="309"/>
      <c r="J5071" s="309"/>
    </row>
    <row r="5072">
      <c r="B5072" s="309"/>
      <c r="C5072" s="309"/>
      <c r="I5072" s="309"/>
      <c r="J5072" s="309"/>
    </row>
    <row r="5073">
      <c r="B5073" s="309"/>
      <c r="C5073" s="309"/>
      <c r="I5073" s="309"/>
      <c r="J5073" s="309"/>
    </row>
    <row r="5074">
      <c r="B5074" s="309"/>
      <c r="C5074" s="309"/>
      <c r="I5074" s="309"/>
      <c r="J5074" s="309"/>
    </row>
    <row r="5075">
      <c r="B5075" s="309"/>
      <c r="C5075" s="309"/>
      <c r="I5075" s="309"/>
      <c r="J5075" s="309"/>
    </row>
    <row r="5076">
      <c r="B5076" s="309"/>
      <c r="C5076" s="309"/>
      <c r="I5076" s="309"/>
      <c r="J5076" s="309"/>
    </row>
    <row r="5077">
      <c r="B5077" s="309"/>
      <c r="C5077" s="309"/>
      <c r="I5077" s="309"/>
      <c r="J5077" s="309"/>
    </row>
    <row r="5078">
      <c r="B5078" s="309"/>
      <c r="C5078" s="309"/>
      <c r="I5078" s="309"/>
      <c r="J5078" s="309"/>
    </row>
    <row r="5079">
      <c r="B5079" s="309"/>
      <c r="C5079" s="309"/>
      <c r="I5079" s="309"/>
      <c r="J5079" s="309"/>
    </row>
    <row r="5080">
      <c r="B5080" s="309"/>
      <c r="C5080" s="309"/>
      <c r="I5080" s="309"/>
      <c r="J5080" s="309"/>
    </row>
    <row r="5081">
      <c r="B5081" s="309"/>
      <c r="C5081" s="309"/>
      <c r="I5081" s="309"/>
      <c r="J5081" s="309"/>
    </row>
    <row r="5082">
      <c r="B5082" s="309"/>
      <c r="C5082" s="309"/>
      <c r="I5082" s="309"/>
      <c r="J5082" s="309"/>
    </row>
    <row r="5083">
      <c r="B5083" s="309"/>
      <c r="C5083" s="309"/>
      <c r="I5083" s="309"/>
      <c r="J5083" s="309"/>
    </row>
    <row r="5084">
      <c r="B5084" s="309"/>
      <c r="C5084" s="309"/>
      <c r="I5084" s="309"/>
      <c r="J5084" s="309"/>
    </row>
    <row r="5085">
      <c r="B5085" s="309"/>
      <c r="C5085" s="309"/>
      <c r="I5085" s="309"/>
      <c r="J5085" s="309"/>
    </row>
    <row r="5086">
      <c r="B5086" s="309"/>
      <c r="C5086" s="309"/>
      <c r="I5086" s="309"/>
      <c r="J5086" s="309"/>
    </row>
    <row r="5087">
      <c r="B5087" s="309"/>
      <c r="C5087" s="309"/>
      <c r="I5087" s="309"/>
      <c r="J5087" s="309"/>
    </row>
    <row r="5088">
      <c r="B5088" s="309"/>
      <c r="C5088" s="309"/>
      <c r="I5088" s="309"/>
      <c r="J5088" s="309"/>
    </row>
    <row r="5089">
      <c r="B5089" s="309"/>
      <c r="C5089" s="309"/>
      <c r="I5089" s="309"/>
      <c r="J5089" s="309"/>
    </row>
    <row r="5090">
      <c r="B5090" s="309"/>
      <c r="C5090" s="309"/>
      <c r="I5090" s="309"/>
      <c r="J5090" s="309"/>
    </row>
    <row r="5091">
      <c r="B5091" s="309"/>
      <c r="C5091" s="309"/>
      <c r="I5091" s="309"/>
      <c r="J5091" s="309"/>
    </row>
    <row r="5092">
      <c r="B5092" s="309"/>
      <c r="C5092" s="309"/>
      <c r="I5092" s="309"/>
      <c r="J5092" s="309"/>
    </row>
    <row r="5093">
      <c r="B5093" s="309"/>
      <c r="C5093" s="309"/>
      <c r="I5093" s="309"/>
      <c r="J5093" s="309"/>
    </row>
    <row r="5094">
      <c r="B5094" s="309"/>
      <c r="C5094" s="309"/>
      <c r="I5094" s="309"/>
      <c r="J5094" s="309"/>
    </row>
    <row r="5095">
      <c r="B5095" s="309"/>
      <c r="C5095" s="309"/>
      <c r="I5095" s="309"/>
      <c r="J5095" s="309"/>
    </row>
    <row r="5096">
      <c r="B5096" s="309"/>
      <c r="C5096" s="309"/>
      <c r="I5096" s="309"/>
      <c r="J5096" s="309"/>
    </row>
    <row r="5097">
      <c r="B5097" s="309"/>
      <c r="C5097" s="309"/>
      <c r="I5097" s="309"/>
      <c r="J5097" s="309"/>
    </row>
    <row r="5098">
      <c r="B5098" s="309"/>
      <c r="C5098" s="309"/>
      <c r="I5098" s="309"/>
      <c r="J5098" s="309"/>
    </row>
    <row r="5099">
      <c r="B5099" s="309"/>
      <c r="C5099" s="309"/>
      <c r="I5099" s="309"/>
      <c r="J5099" s="309"/>
    </row>
    <row r="5100">
      <c r="B5100" s="309"/>
      <c r="C5100" s="309"/>
      <c r="I5100" s="309"/>
      <c r="J5100" s="309"/>
    </row>
    <row r="5101">
      <c r="B5101" s="309"/>
      <c r="C5101" s="309"/>
      <c r="I5101" s="309"/>
      <c r="J5101" s="309"/>
    </row>
    <row r="5102">
      <c r="B5102" s="309"/>
      <c r="C5102" s="309"/>
      <c r="I5102" s="309"/>
      <c r="J5102" s="309"/>
    </row>
    <row r="5103">
      <c r="B5103" s="309"/>
      <c r="C5103" s="309"/>
      <c r="I5103" s="309"/>
      <c r="J5103" s="309"/>
    </row>
    <row r="5104">
      <c r="B5104" s="309"/>
      <c r="C5104" s="309"/>
      <c r="I5104" s="309"/>
      <c r="J5104" s="309"/>
    </row>
    <row r="5105">
      <c r="B5105" s="309"/>
      <c r="C5105" s="309"/>
      <c r="I5105" s="309"/>
      <c r="J5105" s="309"/>
    </row>
    <row r="5106">
      <c r="B5106" s="309"/>
      <c r="C5106" s="309"/>
      <c r="I5106" s="309"/>
      <c r="J5106" s="309"/>
    </row>
    <row r="5107">
      <c r="B5107" s="309"/>
      <c r="C5107" s="309"/>
      <c r="I5107" s="309"/>
      <c r="J5107" s="309"/>
    </row>
    <row r="5108">
      <c r="B5108" s="309"/>
      <c r="C5108" s="309"/>
      <c r="I5108" s="309"/>
      <c r="J5108" s="309"/>
    </row>
    <row r="5109">
      <c r="B5109" s="309"/>
      <c r="C5109" s="309"/>
      <c r="I5109" s="309"/>
      <c r="J5109" s="309"/>
    </row>
    <row r="5110">
      <c r="B5110" s="309"/>
      <c r="C5110" s="309"/>
      <c r="I5110" s="309"/>
      <c r="J5110" s="309"/>
    </row>
    <row r="5111">
      <c r="B5111" s="309"/>
      <c r="C5111" s="309"/>
      <c r="I5111" s="309"/>
      <c r="J5111" s="309"/>
    </row>
    <row r="5112">
      <c r="B5112" s="309"/>
      <c r="C5112" s="309"/>
      <c r="I5112" s="309"/>
      <c r="J5112" s="309"/>
    </row>
    <row r="5113">
      <c r="B5113" s="309"/>
      <c r="C5113" s="309"/>
      <c r="I5113" s="309"/>
      <c r="J5113" s="309"/>
    </row>
    <row r="5114">
      <c r="B5114" s="309"/>
      <c r="C5114" s="309"/>
      <c r="I5114" s="309"/>
      <c r="J5114" s="309"/>
    </row>
    <row r="5115">
      <c r="B5115" s="309"/>
      <c r="C5115" s="309"/>
      <c r="I5115" s="309"/>
      <c r="J5115" s="309"/>
    </row>
    <row r="5116">
      <c r="B5116" s="309"/>
      <c r="C5116" s="309"/>
      <c r="I5116" s="309"/>
      <c r="J5116" s="309"/>
    </row>
    <row r="5117">
      <c r="B5117" s="309"/>
      <c r="C5117" s="309"/>
      <c r="I5117" s="309"/>
      <c r="J5117" s="309"/>
    </row>
    <row r="5118">
      <c r="B5118" s="309"/>
      <c r="C5118" s="309"/>
      <c r="I5118" s="309"/>
      <c r="J5118" s="309"/>
    </row>
    <row r="5119">
      <c r="B5119" s="309"/>
      <c r="C5119" s="309"/>
      <c r="I5119" s="309"/>
      <c r="J5119" s="309"/>
    </row>
    <row r="5120">
      <c r="B5120" s="309"/>
      <c r="C5120" s="309"/>
      <c r="I5120" s="309"/>
      <c r="J5120" s="309"/>
    </row>
    <row r="5121">
      <c r="B5121" s="309"/>
      <c r="C5121" s="309"/>
      <c r="I5121" s="309"/>
      <c r="J5121" s="309"/>
    </row>
    <row r="5122">
      <c r="B5122" s="309"/>
      <c r="C5122" s="309"/>
      <c r="I5122" s="309"/>
      <c r="J5122" s="309"/>
    </row>
    <row r="5123">
      <c r="B5123" s="309"/>
      <c r="C5123" s="309"/>
      <c r="I5123" s="309"/>
      <c r="J5123" s="309"/>
    </row>
    <row r="5124">
      <c r="B5124" s="309"/>
      <c r="C5124" s="309"/>
      <c r="I5124" s="309"/>
      <c r="J5124" s="309"/>
    </row>
    <row r="5125">
      <c r="B5125" s="309"/>
      <c r="C5125" s="309"/>
      <c r="I5125" s="309"/>
      <c r="J5125" s="309"/>
    </row>
    <row r="5126">
      <c r="B5126" s="309"/>
      <c r="C5126" s="309"/>
      <c r="I5126" s="309"/>
      <c r="J5126" s="309"/>
    </row>
    <row r="5127">
      <c r="B5127" s="309"/>
      <c r="C5127" s="309"/>
      <c r="I5127" s="309"/>
      <c r="J5127" s="309"/>
    </row>
    <row r="5128">
      <c r="B5128" s="309"/>
      <c r="C5128" s="309"/>
      <c r="I5128" s="309"/>
      <c r="J5128" s="309"/>
    </row>
    <row r="5129">
      <c r="B5129" s="309"/>
      <c r="C5129" s="309"/>
      <c r="I5129" s="309"/>
      <c r="J5129" s="309"/>
    </row>
    <row r="5130">
      <c r="B5130" s="309"/>
      <c r="C5130" s="309"/>
      <c r="I5130" s="309"/>
      <c r="J5130" s="309"/>
    </row>
    <row r="5131">
      <c r="B5131" s="309"/>
      <c r="C5131" s="309"/>
      <c r="I5131" s="309"/>
      <c r="J5131" s="309"/>
    </row>
    <row r="5132">
      <c r="B5132" s="309"/>
      <c r="C5132" s="309"/>
      <c r="I5132" s="309"/>
      <c r="J5132" s="309"/>
    </row>
    <row r="5133">
      <c r="B5133" s="309"/>
      <c r="C5133" s="309"/>
      <c r="I5133" s="309"/>
      <c r="J5133" s="309"/>
    </row>
    <row r="5134">
      <c r="B5134" s="309"/>
      <c r="C5134" s="309"/>
      <c r="I5134" s="309"/>
      <c r="J5134" s="309"/>
    </row>
    <row r="5135">
      <c r="B5135" s="309"/>
      <c r="C5135" s="309"/>
      <c r="I5135" s="309"/>
      <c r="J5135" s="309"/>
    </row>
    <row r="5136">
      <c r="B5136" s="309"/>
      <c r="C5136" s="309"/>
      <c r="I5136" s="309"/>
      <c r="J5136" s="309"/>
    </row>
    <row r="5137">
      <c r="B5137" s="309"/>
      <c r="C5137" s="309"/>
      <c r="I5137" s="309"/>
      <c r="J5137" s="309"/>
    </row>
    <row r="5138">
      <c r="B5138" s="309"/>
      <c r="C5138" s="309"/>
      <c r="I5138" s="309"/>
      <c r="J5138" s="309"/>
    </row>
    <row r="5139">
      <c r="B5139" s="309"/>
      <c r="C5139" s="309"/>
      <c r="I5139" s="309"/>
      <c r="J5139" s="309"/>
    </row>
    <row r="5140">
      <c r="B5140" s="309"/>
      <c r="C5140" s="309"/>
      <c r="I5140" s="309"/>
      <c r="J5140" s="309"/>
    </row>
    <row r="5141">
      <c r="B5141" s="309"/>
      <c r="C5141" s="309"/>
      <c r="I5141" s="309"/>
      <c r="J5141" s="309"/>
    </row>
    <row r="5142">
      <c r="B5142" s="309"/>
      <c r="C5142" s="309"/>
      <c r="I5142" s="309"/>
      <c r="J5142" s="309"/>
    </row>
    <row r="5143">
      <c r="B5143" s="309"/>
      <c r="C5143" s="309"/>
      <c r="I5143" s="309"/>
      <c r="J5143" s="309"/>
    </row>
    <row r="5144">
      <c r="B5144" s="309"/>
      <c r="C5144" s="309"/>
      <c r="I5144" s="309"/>
      <c r="J5144" s="309"/>
    </row>
    <row r="5145">
      <c r="B5145" s="309"/>
      <c r="C5145" s="309"/>
      <c r="I5145" s="309"/>
      <c r="J5145" s="309"/>
    </row>
    <row r="5146">
      <c r="B5146" s="309"/>
      <c r="C5146" s="309"/>
      <c r="I5146" s="309"/>
      <c r="J5146" s="309"/>
    </row>
    <row r="5147">
      <c r="B5147" s="309"/>
      <c r="C5147" s="309"/>
      <c r="I5147" s="309"/>
      <c r="J5147" s="309"/>
    </row>
    <row r="5148">
      <c r="B5148" s="309"/>
      <c r="C5148" s="309"/>
      <c r="I5148" s="309"/>
      <c r="J5148" s="309"/>
    </row>
    <row r="5149">
      <c r="B5149" s="309"/>
      <c r="C5149" s="309"/>
      <c r="I5149" s="309"/>
      <c r="J5149" s="309"/>
    </row>
    <row r="5150">
      <c r="B5150" s="309"/>
      <c r="C5150" s="309"/>
      <c r="I5150" s="309"/>
      <c r="J5150" s="309"/>
    </row>
    <row r="5151">
      <c r="B5151" s="309"/>
      <c r="C5151" s="309"/>
      <c r="I5151" s="309"/>
      <c r="J5151" s="309"/>
    </row>
    <row r="5152">
      <c r="B5152" s="309"/>
      <c r="C5152" s="309"/>
      <c r="I5152" s="309"/>
      <c r="J5152" s="309"/>
    </row>
    <row r="5153">
      <c r="B5153" s="309"/>
      <c r="C5153" s="309"/>
      <c r="I5153" s="309"/>
      <c r="J5153" s="309"/>
    </row>
    <row r="5154">
      <c r="B5154" s="309"/>
      <c r="C5154" s="309"/>
      <c r="I5154" s="309"/>
      <c r="J5154" s="309"/>
    </row>
    <row r="5155">
      <c r="B5155" s="309"/>
      <c r="C5155" s="309"/>
      <c r="I5155" s="309"/>
      <c r="J5155" s="309"/>
    </row>
    <row r="5156">
      <c r="B5156" s="309"/>
      <c r="C5156" s="309"/>
      <c r="I5156" s="309"/>
      <c r="J5156" s="309"/>
    </row>
    <row r="5157">
      <c r="B5157" s="309"/>
      <c r="C5157" s="309"/>
      <c r="I5157" s="309"/>
      <c r="J5157" s="309"/>
    </row>
    <row r="5158">
      <c r="B5158" s="309"/>
      <c r="C5158" s="309"/>
      <c r="I5158" s="309"/>
      <c r="J5158" s="309"/>
    </row>
    <row r="5159">
      <c r="B5159" s="309"/>
      <c r="C5159" s="309"/>
      <c r="I5159" s="309"/>
      <c r="J5159" s="309"/>
    </row>
    <row r="5160">
      <c r="B5160" s="309"/>
      <c r="C5160" s="309"/>
      <c r="I5160" s="309"/>
      <c r="J5160" s="309"/>
    </row>
    <row r="5161">
      <c r="B5161" s="309"/>
      <c r="C5161" s="309"/>
      <c r="I5161" s="309"/>
      <c r="J5161" s="309"/>
    </row>
    <row r="5162">
      <c r="B5162" s="309"/>
      <c r="C5162" s="309"/>
      <c r="I5162" s="309"/>
      <c r="J5162" s="309"/>
    </row>
    <row r="5163">
      <c r="B5163" s="309"/>
      <c r="C5163" s="309"/>
      <c r="I5163" s="309"/>
      <c r="J5163" s="309"/>
    </row>
    <row r="5164">
      <c r="B5164" s="309"/>
      <c r="C5164" s="309"/>
      <c r="I5164" s="309"/>
      <c r="J5164" s="309"/>
    </row>
    <row r="5165">
      <c r="B5165" s="309"/>
      <c r="C5165" s="309"/>
      <c r="I5165" s="309"/>
      <c r="J5165" s="309"/>
    </row>
    <row r="5166">
      <c r="B5166" s="309"/>
      <c r="C5166" s="309"/>
      <c r="I5166" s="309"/>
      <c r="J5166" s="309"/>
    </row>
    <row r="5167">
      <c r="B5167" s="309"/>
      <c r="C5167" s="309"/>
      <c r="I5167" s="309"/>
      <c r="J5167" s="309"/>
    </row>
    <row r="5168">
      <c r="B5168" s="309"/>
      <c r="C5168" s="309"/>
      <c r="I5168" s="309"/>
      <c r="J5168" s="309"/>
    </row>
    <row r="5169">
      <c r="B5169" s="309"/>
      <c r="C5169" s="309"/>
      <c r="I5169" s="309"/>
      <c r="J5169" s="309"/>
    </row>
    <row r="5170">
      <c r="B5170" s="309"/>
      <c r="C5170" s="309"/>
      <c r="I5170" s="309"/>
      <c r="J5170" s="309"/>
    </row>
    <row r="5171">
      <c r="B5171" s="309"/>
      <c r="C5171" s="309"/>
      <c r="I5171" s="309"/>
      <c r="J5171" s="309"/>
    </row>
    <row r="5172">
      <c r="B5172" s="309"/>
      <c r="C5172" s="309"/>
      <c r="I5172" s="309"/>
      <c r="J5172" s="309"/>
    </row>
    <row r="5173">
      <c r="B5173" s="309"/>
      <c r="C5173" s="309"/>
      <c r="I5173" s="309"/>
      <c r="J5173" s="309"/>
    </row>
    <row r="5174">
      <c r="B5174" s="309"/>
      <c r="C5174" s="309"/>
      <c r="I5174" s="309"/>
      <c r="J5174" s="309"/>
    </row>
    <row r="5175">
      <c r="B5175" s="309"/>
      <c r="C5175" s="309"/>
      <c r="I5175" s="309"/>
      <c r="J5175" s="309"/>
    </row>
    <row r="5176">
      <c r="B5176" s="309"/>
      <c r="C5176" s="309"/>
      <c r="I5176" s="309"/>
      <c r="J5176" s="309"/>
    </row>
    <row r="5177">
      <c r="B5177" s="309"/>
      <c r="C5177" s="309"/>
      <c r="I5177" s="309"/>
      <c r="J5177" s="309"/>
    </row>
    <row r="5178">
      <c r="B5178" s="309"/>
      <c r="C5178" s="309"/>
      <c r="I5178" s="309"/>
      <c r="J5178" s="309"/>
    </row>
    <row r="5179">
      <c r="B5179" s="309"/>
      <c r="C5179" s="309"/>
      <c r="I5179" s="309"/>
      <c r="J5179" s="309"/>
    </row>
    <row r="5180">
      <c r="B5180" s="309"/>
      <c r="C5180" s="309"/>
      <c r="I5180" s="309"/>
      <c r="J5180" s="309"/>
    </row>
    <row r="5181">
      <c r="B5181" s="309"/>
      <c r="C5181" s="309"/>
      <c r="I5181" s="309"/>
      <c r="J5181" s="309"/>
    </row>
    <row r="5182">
      <c r="B5182" s="309"/>
      <c r="C5182" s="309"/>
      <c r="I5182" s="309"/>
      <c r="J5182" s="309"/>
    </row>
    <row r="5183">
      <c r="B5183" s="309"/>
      <c r="C5183" s="309"/>
      <c r="I5183" s="309"/>
      <c r="J5183" s="309"/>
    </row>
    <row r="5184">
      <c r="B5184" s="309"/>
      <c r="C5184" s="309"/>
      <c r="I5184" s="309"/>
      <c r="J5184" s="309"/>
    </row>
    <row r="5185">
      <c r="B5185" s="309"/>
      <c r="C5185" s="309"/>
      <c r="I5185" s="309"/>
      <c r="J5185" s="309"/>
    </row>
    <row r="5186">
      <c r="B5186" s="309"/>
      <c r="C5186" s="309"/>
      <c r="I5186" s="309"/>
      <c r="J5186" s="309"/>
    </row>
    <row r="5187">
      <c r="B5187" s="309"/>
      <c r="C5187" s="309"/>
      <c r="I5187" s="309"/>
      <c r="J5187" s="309"/>
    </row>
    <row r="5188">
      <c r="B5188" s="309"/>
      <c r="C5188" s="309"/>
      <c r="I5188" s="309"/>
      <c r="J5188" s="309"/>
    </row>
    <row r="5189">
      <c r="B5189" s="309"/>
      <c r="C5189" s="309"/>
      <c r="I5189" s="309"/>
      <c r="J5189" s="309"/>
    </row>
    <row r="5190">
      <c r="B5190" s="309"/>
      <c r="C5190" s="309"/>
      <c r="I5190" s="309"/>
      <c r="J5190" s="309"/>
    </row>
    <row r="5191">
      <c r="B5191" s="309"/>
      <c r="C5191" s="309"/>
      <c r="I5191" s="309"/>
      <c r="J5191" s="309"/>
    </row>
    <row r="5192">
      <c r="B5192" s="309"/>
      <c r="C5192" s="309"/>
      <c r="I5192" s="309"/>
      <c r="J5192" s="309"/>
    </row>
    <row r="5193">
      <c r="B5193" s="309"/>
      <c r="C5193" s="309"/>
      <c r="I5193" s="309"/>
      <c r="J5193" s="309"/>
    </row>
    <row r="5194">
      <c r="B5194" s="309"/>
      <c r="C5194" s="309"/>
      <c r="I5194" s="309"/>
      <c r="J5194" s="309"/>
    </row>
    <row r="5195">
      <c r="B5195" s="309"/>
      <c r="C5195" s="309"/>
      <c r="I5195" s="309"/>
      <c r="J5195" s="309"/>
    </row>
    <row r="5196">
      <c r="B5196" s="309"/>
      <c r="C5196" s="309"/>
      <c r="I5196" s="309"/>
      <c r="J5196" s="309"/>
    </row>
    <row r="5197">
      <c r="B5197" s="309"/>
      <c r="C5197" s="309"/>
      <c r="I5197" s="309"/>
      <c r="J5197" s="309"/>
    </row>
    <row r="5198">
      <c r="B5198" s="309"/>
      <c r="C5198" s="309"/>
      <c r="I5198" s="309"/>
      <c r="J5198" s="309"/>
    </row>
    <row r="5199">
      <c r="B5199" s="309"/>
      <c r="C5199" s="309"/>
      <c r="I5199" s="309"/>
      <c r="J5199" s="309"/>
    </row>
    <row r="5200">
      <c r="B5200" s="309"/>
      <c r="C5200" s="309"/>
      <c r="I5200" s="309"/>
      <c r="J5200" s="309"/>
    </row>
    <row r="5201">
      <c r="B5201" s="309"/>
      <c r="C5201" s="309"/>
      <c r="I5201" s="309"/>
      <c r="J5201" s="309"/>
    </row>
    <row r="5202">
      <c r="B5202" s="309"/>
      <c r="C5202" s="309"/>
      <c r="I5202" s="309"/>
      <c r="J5202" s="309"/>
    </row>
    <row r="5203">
      <c r="B5203" s="309"/>
      <c r="C5203" s="309"/>
      <c r="I5203" s="309"/>
      <c r="J5203" s="309"/>
    </row>
    <row r="5204">
      <c r="B5204" s="309"/>
      <c r="C5204" s="309"/>
      <c r="I5204" s="309"/>
      <c r="J5204" s="309"/>
    </row>
    <row r="5205">
      <c r="B5205" s="309"/>
      <c r="C5205" s="309"/>
      <c r="I5205" s="309"/>
      <c r="J5205" s="309"/>
    </row>
    <row r="5206">
      <c r="B5206" s="309"/>
      <c r="C5206" s="309"/>
      <c r="I5206" s="309"/>
      <c r="J5206" s="309"/>
    </row>
    <row r="5207">
      <c r="B5207" s="309"/>
      <c r="C5207" s="309"/>
      <c r="I5207" s="309"/>
      <c r="J5207" s="309"/>
    </row>
    <row r="5208">
      <c r="B5208" s="309"/>
      <c r="C5208" s="309"/>
      <c r="I5208" s="309"/>
      <c r="J5208" s="309"/>
    </row>
    <row r="5209">
      <c r="B5209" s="309"/>
      <c r="C5209" s="309"/>
      <c r="I5209" s="309"/>
      <c r="J5209" s="309"/>
    </row>
    <row r="5210">
      <c r="B5210" s="309"/>
      <c r="C5210" s="309"/>
      <c r="I5210" s="309"/>
      <c r="J5210" s="309"/>
    </row>
    <row r="5211">
      <c r="B5211" s="309"/>
      <c r="C5211" s="309"/>
      <c r="I5211" s="309"/>
      <c r="J5211" s="309"/>
    </row>
    <row r="5212">
      <c r="B5212" s="309"/>
      <c r="C5212" s="309"/>
      <c r="I5212" s="309"/>
      <c r="J5212" s="309"/>
    </row>
    <row r="5213">
      <c r="B5213" s="309"/>
      <c r="C5213" s="309"/>
      <c r="I5213" s="309"/>
      <c r="J5213" s="309"/>
    </row>
    <row r="5214">
      <c r="B5214" s="309"/>
      <c r="C5214" s="309"/>
      <c r="I5214" s="309"/>
      <c r="J5214" s="309"/>
    </row>
    <row r="5215">
      <c r="B5215" s="309"/>
      <c r="C5215" s="309"/>
      <c r="I5215" s="309"/>
      <c r="J5215" s="309"/>
    </row>
    <row r="5216">
      <c r="B5216" s="309"/>
      <c r="C5216" s="309"/>
      <c r="I5216" s="309"/>
      <c r="J5216" s="309"/>
    </row>
    <row r="5217">
      <c r="B5217" s="309"/>
      <c r="C5217" s="309"/>
      <c r="I5217" s="309"/>
      <c r="J5217" s="309"/>
    </row>
    <row r="5218">
      <c r="B5218" s="309"/>
      <c r="C5218" s="309"/>
      <c r="I5218" s="309"/>
      <c r="J5218" s="309"/>
    </row>
    <row r="5219">
      <c r="B5219" s="309"/>
      <c r="C5219" s="309"/>
      <c r="I5219" s="309"/>
      <c r="J5219" s="309"/>
    </row>
    <row r="5220">
      <c r="B5220" s="309"/>
      <c r="C5220" s="309"/>
      <c r="I5220" s="309"/>
      <c r="J5220" s="309"/>
    </row>
    <row r="5221">
      <c r="B5221" s="309"/>
      <c r="C5221" s="309"/>
      <c r="I5221" s="309"/>
      <c r="J5221" s="309"/>
    </row>
    <row r="5222">
      <c r="B5222" s="309"/>
      <c r="C5222" s="309"/>
      <c r="I5222" s="309"/>
      <c r="J5222" s="309"/>
    </row>
    <row r="5223">
      <c r="B5223" s="309"/>
      <c r="C5223" s="309"/>
      <c r="I5223" s="309"/>
      <c r="J5223" s="309"/>
    </row>
    <row r="5224">
      <c r="B5224" s="309"/>
      <c r="C5224" s="309"/>
      <c r="I5224" s="309"/>
      <c r="J5224" s="309"/>
    </row>
    <row r="5225">
      <c r="B5225" s="309"/>
      <c r="C5225" s="309"/>
      <c r="I5225" s="309"/>
      <c r="J5225" s="309"/>
    </row>
    <row r="5226">
      <c r="B5226" s="309"/>
      <c r="C5226" s="309"/>
      <c r="I5226" s="309"/>
      <c r="J5226" s="309"/>
    </row>
    <row r="5227">
      <c r="B5227" s="309"/>
      <c r="C5227" s="309"/>
      <c r="I5227" s="309"/>
      <c r="J5227" s="309"/>
    </row>
    <row r="5228">
      <c r="B5228" s="309"/>
      <c r="C5228" s="309"/>
      <c r="I5228" s="309"/>
      <c r="J5228" s="309"/>
    </row>
    <row r="5229">
      <c r="B5229" s="309"/>
      <c r="C5229" s="309"/>
      <c r="I5229" s="309"/>
      <c r="J5229" s="309"/>
    </row>
    <row r="5230">
      <c r="B5230" s="309"/>
      <c r="C5230" s="309"/>
      <c r="I5230" s="309"/>
      <c r="J5230" s="309"/>
    </row>
    <row r="5231">
      <c r="B5231" s="309"/>
      <c r="C5231" s="309"/>
      <c r="I5231" s="309"/>
      <c r="J5231" s="309"/>
    </row>
    <row r="5232">
      <c r="B5232" s="309"/>
      <c r="C5232" s="309"/>
      <c r="I5232" s="309"/>
      <c r="J5232" s="309"/>
    </row>
    <row r="5233">
      <c r="B5233" s="309"/>
      <c r="C5233" s="309"/>
      <c r="I5233" s="309"/>
      <c r="J5233" s="309"/>
    </row>
    <row r="5234">
      <c r="B5234" s="309"/>
      <c r="C5234" s="309"/>
      <c r="I5234" s="309"/>
      <c r="J5234" s="309"/>
    </row>
    <row r="5235">
      <c r="B5235" s="309"/>
      <c r="C5235" s="309"/>
      <c r="I5235" s="309"/>
      <c r="J5235" s="309"/>
    </row>
    <row r="5236">
      <c r="B5236" s="309"/>
      <c r="C5236" s="309"/>
      <c r="I5236" s="309"/>
      <c r="J5236" s="309"/>
    </row>
    <row r="5237">
      <c r="B5237" s="309"/>
      <c r="C5237" s="309"/>
      <c r="I5237" s="309"/>
      <c r="J5237" s="309"/>
    </row>
    <row r="5238">
      <c r="B5238" s="309"/>
      <c r="C5238" s="309"/>
      <c r="I5238" s="309"/>
      <c r="J5238" s="309"/>
    </row>
    <row r="5239">
      <c r="B5239" s="309"/>
      <c r="C5239" s="309"/>
      <c r="I5239" s="309"/>
      <c r="J5239" s="309"/>
    </row>
    <row r="5240">
      <c r="B5240" s="309"/>
      <c r="C5240" s="309"/>
      <c r="I5240" s="309"/>
      <c r="J5240" s="309"/>
    </row>
    <row r="5241">
      <c r="B5241" s="309"/>
      <c r="C5241" s="309"/>
      <c r="I5241" s="309"/>
      <c r="J5241" s="309"/>
    </row>
    <row r="5242">
      <c r="B5242" s="309"/>
      <c r="C5242" s="309"/>
      <c r="I5242" s="309"/>
      <c r="J5242" s="309"/>
    </row>
    <row r="5243">
      <c r="B5243" s="309"/>
      <c r="C5243" s="309"/>
      <c r="I5243" s="309"/>
      <c r="J5243" s="309"/>
    </row>
    <row r="5244">
      <c r="B5244" s="309"/>
      <c r="C5244" s="309"/>
      <c r="I5244" s="309"/>
      <c r="J5244" s="309"/>
    </row>
    <row r="5245">
      <c r="B5245" s="309"/>
      <c r="C5245" s="309"/>
      <c r="I5245" s="309"/>
      <c r="J5245" s="309"/>
    </row>
    <row r="5246">
      <c r="B5246" s="309"/>
      <c r="C5246" s="309"/>
      <c r="I5246" s="309"/>
      <c r="J5246" s="309"/>
    </row>
    <row r="5247">
      <c r="B5247" s="309"/>
      <c r="C5247" s="309"/>
      <c r="I5247" s="309"/>
      <c r="J5247" s="309"/>
    </row>
    <row r="5248">
      <c r="B5248" s="309"/>
      <c r="C5248" s="309"/>
      <c r="I5248" s="309"/>
      <c r="J5248" s="309"/>
    </row>
    <row r="5249">
      <c r="B5249" s="309"/>
      <c r="C5249" s="309"/>
      <c r="I5249" s="309"/>
      <c r="J5249" s="309"/>
    </row>
    <row r="5250">
      <c r="B5250" s="309"/>
      <c r="C5250" s="309"/>
      <c r="I5250" s="309"/>
      <c r="J5250" s="309"/>
    </row>
    <row r="5251">
      <c r="B5251" s="309"/>
      <c r="C5251" s="309"/>
      <c r="I5251" s="309"/>
      <c r="J5251" s="309"/>
    </row>
    <row r="5252">
      <c r="B5252" s="309"/>
      <c r="C5252" s="309"/>
      <c r="I5252" s="309"/>
      <c r="J5252" s="309"/>
    </row>
    <row r="5253">
      <c r="B5253" s="309"/>
      <c r="C5253" s="309"/>
      <c r="I5253" s="309"/>
      <c r="J5253" s="309"/>
    </row>
    <row r="5254">
      <c r="B5254" s="309"/>
      <c r="C5254" s="309"/>
      <c r="I5254" s="309"/>
      <c r="J5254" s="309"/>
    </row>
    <row r="5255">
      <c r="B5255" s="309"/>
      <c r="C5255" s="309"/>
      <c r="I5255" s="309"/>
      <c r="J5255" s="309"/>
    </row>
    <row r="5256">
      <c r="B5256" s="309"/>
      <c r="C5256" s="309"/>
      <c r="I5256" s="309"/>
      <c r="J5256" s="309"/>
    </row>
    <row r="5257">
      <c r="B5257" s="309"/>
      <c r="C5257" s="309"/>
      <c r="I5257" s="309"/>
      <c r="J5257" s="309"/>
    </row>
    <row r="5258">
      <c r="B5258" s="309"/>
      <c r="C5258" s="309"/>
      <c r="I5258" s="309"/>
      <c r="J5258" s="309"/>
    </row>
    <row r="5259">
      <c r="B5259" s="309"/>
      <c r="C5259" s="309"/>
      <c r="I5259" s="309"/>
      <c r="J5259" s="309"/>
    </row>
    <row r="5260">
      <c r="B5260" s="309"/>
      <c r="C5260" s="309"/>
      <c r="I5260" s="309"/>
      <c r="J5260" s="309"/>
    </row>
    <row r="5261">
      <c r="B5261" s="309"/>
      <c r="C5261" s="309"/>
      <c r="I5261" s="309"/>
      <c r="J5261" s="309"/>
    </row>
    <row r="5262">
      <c r="B5262" s="309"/>
      <c r="C5262" s="309"/>
      <c r="I5262" s="309"/>
      <c r="J5262" s="309"/>
    </row>
    <row r="5263">
      <c r="B5263" s="309"/>
      <c r="C5263" s="309"/>
      <c r="I5263" s="309"/>
      <c r="J5263" s="309"/>
    </row>
    <row r="5264">
      <c r="B5264" s="309"/>
      <c r="C5264" s="309"/>
      <c r="I5264" s="309"/>
      <c r="J5264" s="309"/>
    </row>
    <row r="5265">
      <c r="B5265" s="309"/>
      <c r="C5265" s="309"/>
      <c r="I5265" s="309"/>
      <c r="J5265" s="309"/>
    </row>
    <row r="5266">
      <c r="B5266" s="309"/>
      <c r="C5266" s="309"/>
      <c r="I5266" s="309"/>
      <c r="J5266" s="309"/>
    </row>
    <row r="5267">
      <c r="B5267" s="309"/>
      <c r="C5267" s="309"/>
      <c r="I5267" s="309"/>
      <c r="J5267" s="309"/>
    </row>
    <row r="5268">
      <c r="B5268" s="309"/>
      <c r="C5268" s="309"/>
      <c r="I5268" s="309"/>
      <c r="J5268" s="309"/>
    </row>
    <row r="5269">
      <c r="B5269" s="309"/>
      <c r="C5269" s="309"/>
      <c r="I5269" s="309"/>
      <c r="J5269" s="309"/>
    </row>
    <row r="5270">
      <c r="B5270" s="309"/>
      <c r="C5270" s="309"/>
      <c r="I5270" s="309"/>
      <c r="J5270" s="309"/>
    </row>
    <row r="5271">
      <c r="B5271" s="309"/>
      <c r="C5271" s="309"/>
      <c r="I5271" s="309"/>
      <c r="J5271" s="309"/>
    </row>
    <row r="5272">
      <c r="B5272" s="309"/>
      <c r="C5272" s="309"/>
      <c r="I5272" s="309"/>
      <c r="J5272" s="309"/>
    </row>
    <row r="5273">
      <c r="B5273" s="309"/>
      <c r="C5273" s="309"/>
      <c r="I5273" s="309"/>
      <c r="J5273" s="309"/>
    </row>
    <row r="5274">
      <c r="B5274" s="309"/>
      <c r="C5274" s="309"/>
      <c r="I5274" s="309"/>
      <c r="J5274" s="309"/>
    </row>
    <row r="5275">
      <c r="B5275" s="309"/>
      <c r="C5275" s="309"/>
      <c r="I5275" s="309"/>
      <c r="J5275" s="309"/>
    </row>
    <row r="5276">
      <c r="B5276" s="309"/>
      <c r="C5276" s="309"/>
      <c r="I5276" s="309"/>
      <c r="J5276" s="309"/>
    </row>
    <row r="5277">
      <c r="B5277" s="309"/>
      <c r="C5277" s="309"/>
      <c r="I5277" s="309"/>
      <c r="J5277" s="309"/>
    </row>
    <row r="5278">
      <c r="B5278" s="309"/>
      <c r="C5278" s="309"/>
      <c r="I5278" s="309"/>
      <c r="J5278" s="309"/>
    </row>
    <row r="5279">
      <c r="B5279" s="309"/>
      <c r="C5279" s="309"/>
      <c r="I5279" s="309"/>
      <c r="J5279" s="309"/>
    </row>
    <row r="5280">
      <c r="B5280" s="309"/>
      <c r="C5280" s="309"/>
      <c r="I5280" s="309"/>
      <c r="J5280" s="309"/>
    </row>
    <row r="5281">
      <c r="B5281" s="309"/>
      <c r="C5281" s="309"/>
      <c r="I5281" s="309"/>
      <c r="J5281" s="309"/>
    </row>
    <row r="5282">
      <c r="B5282" s="309"/>
      <c r="C5282" s="309"/>
      <c r="I5282" s="309"/>
      <c r="J5282" s="309"/>
    </row>
    <row r="5283">
      <c r="B5283" s="309"/>
      <c r="C5283" s="309"/>
      <c r="I5283" s="309"/>
      <c r="J5283" s="309"/>
    </row>
    <row r="5284">
      <c r="B5284" s="309"/>
      <c r="C5284" s="309"/>
      <c r="I5284" s="309"/>
      <c r="J5284" s="309"/>
    </row>
    <row r="5285">
      <c r="B5285" s="309"/>
      <c r="C5285" s="309"/>
      <c r="I5285" s="309"/>
      <c r="J5285" s="309"/>
    </row>
    <row r="5286">
      <c r="B5286" s="309"/>
      <c r="C5286" s="309"/>
      <c r="I5286" s="309"/>
      <c r="J5286" s="309"/>
    </row>
    <row r="5287">
      <c r="B5287" s="309"/>
      <c r="C5287" s="309"/>
      <c r="I5287" s="309"/>
      <c r="J5287" s="309"/>
    </row>
    <row r="5288">
      <c r="B5288" s="309"/>
      <c r="C5288" s="309"/>
      <c r="I5288" s="309"/>
      <c r="J5288" s="309"/>
    </row>
    <row r="5289">
      <c r="B5289" s="309"/>
      <c r="C5289" s="309"/>
      <c r="I5289" s="309"/>
      <c r="J5289" s="309"/>
    </row>
    <row r="5290">
      <c r="B5290" s="309"/>
      <c r="C5290" s="309"/>
      <c r="I5290" s="309"/>
      <c r="J5290" s="309"/>
    </row>
    <row r="5291">
      <c r="B5291" s="309"/>
      <c r="C5291" s="309"/>
      <c r="I5291" s="309"/>
      <c r="J5291" s="309"/>
    </row>
    <row r="5292">
      <c r="B5292" s="309"/>
      <c r="C5292" s="309"/>
      <c r="I5292" s="309"/>
      <c r="J5292" s="309"/>
    </row>
    <row r="5293">
      <c r="B5293" s="309"/>
      <c r="C5293" s="309"/>
      <c r="I5293" s="309"/>
      <c r="J5293" s="309"/>
    </row>
    <row r="5294">
      <c r="B5294" s="309"/>
      <c r="C5294" s="309"/>
      <c r="I5294" s="309"/>
      <c r="J5294" s="309"/>
    </row>
    <row r="5295">
      <c r="B5295" s="309"/>
      <c r="C5295" s="309"/>
      <c r="I5295" s="309"/>
      <c r="J5295" s="309"/>
    </row>
    <row r="5296">
      <c r="B5296" s="309"/>
      <c r="C5296" s="309"/>
      <c r="I5296" s="309"/>
      <c r="J5296" s="309"/>
    </row>
    <row r="5297">
      <c r="B5297" s="309"/>
      <c r="C5297" s="309"/>
      <c r="I5297" s="309"/>
      <c r="J5297" s="309"/>
    </row>
    <row r="5298">
      <c r="B5298" s="309"/>
      <c r="C5298" s="309"/>
      <c r="I5298" s="309"/>
      <c r="J5298" s="309"/>
    </row>
    <row r="5299">
      <c r="B5299" s="309"/>
      <c r="C5299" s="309"/>
      <c r="I5299" s="309"/>
      <c r="J5299" s="309"/>
    </row>
    <row r="5300">
      <c r="B5300" s="309"/>
      <c r="C5300" s="309"/>
      <c r="I5300" s="309"/>
      <c r="J5300" s="309"/>
    </row>
    <row r="5301">
      <c r="B5301" s="309"/>
      <c r="C5301" s="309"/>
      <c r="I5301" s="309"/>
      <c r="J5301" s="309"/>
    </row>
    <row r="5302">
      <c r="B5302" s="309"/>
      <c r="C5302" s="309"/>
      <c r="I5302" s="309"/>
      <c r="J5302" s="309"/>
    </row>
    <row r="5303">
      <c r="B5303" s="309"/>
      <c r="C5303" s="309"/>
      <c r="I5303" s="309"/>
      <c r="J5303" s="309"/>
    </row>
    <row r="5304">
      <c r="B5304" s="309"/>
      <c r="C5304" s="309"/>
      <c r="I5304" s="309"/>
      <c r="J5304" s="309"/>
    </row>
    <row r="5305">
      <c r="B5305" s="309"/>
      <c r="C5305" s="309"/>
      <c r="I5305" s="309"/>
      <c r="J5305" s="309"/>
    </row>
    <row r="5306">
      <c r="B5306" s="309"/>
      <c r="C5306" s="309"/>
      <c r="I5306" s="309"/>
      <c r="J5306" s="309"/>
    </row>
    <row r="5307">
      <c r="B5307" s="309"/>
      <c r="C5307" s="309"/>
      <c r="I5307" s="309"/>
      <c r="J5307" s="309"/>
    </row>
    <row r="5308">
      <c r="B5308" s="309"/>
      <c r="C5308" s="309"/>
      <c r="I5308" s="309"/>
      <c r="J5308" s="309"/>
    </row>
    <row r="5309">
      <c r="B5309" s="309"/>
      <c r="C5309" s="309"/>
      <c r="I5309" s="309"/>
      <c r="J5309" s="309"/>
    </row>
    <row r="5310">
      <c r="B5310" s="309"/>
      <c r="C5310" s="309"/>
      <c r="I5310" s="309"/>
      <c r="J5310" s="309"/>
    </row>
    <row r="5311">
      <c r="B5311" s="309"/>
      <c r="C5311" s="309"/>
      <c r="I5311" s="309"/>
      <c r="J5311" s="309"/>
    </row>
    <row r="5312">
      <c r="B5312" s="309"/>
      <c r="C5312" s="309"/>
      <c r="I5312" s="309"/>
      <c r="J5312" s="309"/>
    </row>
    <row r="5313">
      <c r="B5313" s="309"/>
      <c r="C5313" s="309"/>
      <c r="I5313" s="309"/>
      <c r="J5313" s="309"/>
    </row>
    <row r="5314">
      <c r="B5314" s="309"/>
      <c r="C5314" s="309"/>
      <c r="I5314" s="309"/>
      <c r="J5314" s="309"/>
    </row>
    <row r="5315">
      <c r="B5315" s="309"/>
      <c r="C5315" s="309"/>
      <c r="I5315" s="309"/>
      <c r="J5315" s="309"/>
    </row>
    <row r="5316">
      <c r="B5316" s="309"/>
      <c r="C5316" s="309"/>
      <c r="I5316" s="309"/>
      <c r="J5316" s="309"/>
    </row>
    <row r="5317">
      <c r="B5317" s="309"/>
      <c r="C5317" s="309"/>
      <c r="I5317" s="309"/>
      <c r="J5317" s="309"/>
    </row>
    <row r="5318">
      <c r="B5318" s="309"/>
      <c r="C5318" s="309"/>
      <c r="I5318" s="309"/>
      <c r="J5318" s="309"/>
    </row>
    <row r="5319">
      <c r="B5319" s="309"/>
      <c r="C5319" s="309"/>
      <c r="I5319" s="309"/>
      <c r="J5319" s="309"/>
    </row>
    <row r="5320">
      <c r="B5320" s="309"/>
      <c r="C5320" s="309"/>
      <c r="I5320" s="309"/>
      <c r="J5320" s="309"/>
    </row>
    <row r="5321">
      <c r="B5321" s="309"/>
      <c r="C5321" s="309"/>
      <c r="I5321" s="309"/>
      <c r="J5321" s="309"/>
    </row>
    <row r="5322">
      <c r="B5322" s="309"/>
      <c r="C5322" s="309"/>
      <c r="I5322" s="309"/>
      <c r="J5322" s="309"/>
    </row>
    <row r="5323">
      <c r="B5323" s="309"/>
      <c r="C5323" s="309"/>
      <c r="I5323" s="309"/>
      <c r="J5323" s="309"/>
    </row>
    <row r="5324">
      <c r="B5324" s="309"/>
      <c r="C5324" s="309"/>
      <c r="I5324" s="309"/>
      <c r="J5324" s="309"/>
    </row>
    <row r="5325">
      <c r="B5325" s="309"/>
      <c r="C5325" s="309"/>
      <c r="I5325" s="309"/>
      <c r="J5325" s="309"/>
    </row>
    <row r="5326">
      <c r="B5326" s="309"/>
      <c r="C5326" s="309"/>
      <c r="I5326" s="309"/>
      <c r="J5326" s="309"/>
    </row>
    <row r="5327">
      <c r="B5327" s="309"/>
      <c r="C5327" s="309"/>
      <c r="I5327" s="309"/>
      <c r="J5327" s="309"/>
    </row>
    <row r="5328">
      <c r="B5328" s="309"/>
      <c r="C5328" s="309"/>
      <c r="I5328" s="309"/>
      <c r="J5328" s="309"/>
    </row>
    <row r="5329">
      <c r="B5329" s="309"/>
      <c r="C5329" s="309"/>
      <c r="I5329" s="309"/>
      <c r="J5329" s="309"/>
    </row>
    <row r="5330">
      <c r="B5330" s="309"/>
      <c r="C5330" s="309"/>
      <c r="I5330" s="309"/>
      <c r="J5330" s="309"/>
    </row>
    <row r="5331">
      <c r="B5331" s="309"/>
      <c r="C5331" s="309"/>
      <c r="I5331" s="309"/>
      <c r="J5331" s="309"/>
    </row>
    <row r="5332">
      <c r="B5332" s="309"/>
      <c r="C5332" s="309"/>
      <c r="I5332" s="309"/>
      <c r="J5332" s="309"/>
    </row>
    <row r="5333">
      <c r="B5333" s="309"/>
      <c r="C5333" s="309"/>
      <c r="I5333" s="309"/>
      <c r="J5333" s="309"/>
    </row>
    <row r="5334">
      <c r="B5334" s="309"/>
      <c r="C5334" s="309"/>
      <c r="I5334" s="309"/>
      <c r="J5334" s="309"/>
    </row>
    <row r="5335">
      <c r="B5335" s="309"/>
      <c r="C5335" s="309"/>
      <c r="I5335" s="309"/>
      <c r="J5335" s="309"/>
    </row>
    <row r="5336">
      <c r="B5336" s="309"/>
      <c r="C5336" s="309"/>
      <c r="I5336" s="309"/>
      <c r="J5336" s="309"/>
    </row>
    <row r="5337">
      <c r="B5337" s="309"/>
      <c r="C5337" s="309"/>
      <c r="I5337" s="309"/>
      <c r="J5337" s="309"/>
    </row>
    <row r="5338">
      <c r="B5338" s="309"/>
      <c r="C5338" s="309"/>
      <c r="I5338" s="309"/>
      <c r="J5338" s="309"/>
    </row>
    <row r="5339">
      <c r="B5339" s="309"/>
      <c r="C5339" s="309"/>
      <c r="I5339" s="309"/>
      <c r="J5339" s="309"/>
    </row>
    <row r="5340">
      <c r="B5340" s="309"/>
      <c r="C5340" s="309"/>
      <c r="I5340" s="309"/>
      <c r="J5340" s="309"/>
    </row>
    <row r="5341">
      <c r="B5341" s="309"/>
      <c r="C5341" s="309"/>
      <c r="I5341" s="309"/>
      <c r="J5341" s="309"/>
    </row>
    <row r="5342">
      <c r="B5342" s="309"/>
      <c r="C5342" s="309"/>
      <c r="I5342" s="309"/>
      <c r="J5342" s="309"/>
    </row>
    <row r="5343">
      <c r="B5343" s="309"/>
      <c r="C5343" s="309"/>
      <c r="I5343" s="309"/>
      <c r="J5343" s="309"/>
    </row>
    <row r="5344">
      <c r="B5344" s="309"/>
      <c r="C5344" s="309"/>
      <c r="I5344" s="309"/>
      <c r="J5344" s="309"/>
    </row>
    <row r="5345">
      <c r="B5345" s="309"/>
      <c r="C5345" s="309"/>
      <c r="I5345" s="309"/>
      <c r="J5345" s="309"/>
    </row>
    <row r="5346">
      <c r="B5346" s="309"/>
      <c r="C5346" s="309"/>
      <c r="I5346" s="309"/>
      <c r="J5346" s="309"/>
    </row>
    <row r="5347">
      <c r="B5347" s="309"/>
      <c r="C5347" s="309"/>
      <c r="I5347" s="309"/>
      <c r="J5347" s="309"/>
    </row>
    <row r="5348">
      <c r="B5348" s="309"/>
      <c r="C5348" s="309"/>
      <c r="I5348" s="309"/>
      <c r="J5348" s="309"/>
    </row>
    <row r="5349">
      <c r="B5349" s="309"/>
      <c r="C5349" s="309"/>
      <c r="I5349" s="309"/>
      <c r="J5349" s="309"/>
    </row>
    <row r="5350">
      <c r="B5350" s="309"/>
      <c r="C5350" s="309"/>
      <c r="I5350" s="309"/>
      <c r="J5350" s="309"/>
    </row>
    <row r="5351">
      <c r="B5351" s="309"/>
      <c r="C5351" s="309"/>
      <c r="I5351" s="309"/>
      <c r="J5351" s="309"/>
    </row>
    <row r="5352">
      <c r="B5352" s="309"/>
      <c r="C5352" s="309"/>
      <c r="I5352" s="309"/>
      <c r="J5352" s="309"/>
    </row>
    <row r="5353">
      <c r="B5353" s="309"/>
      <c r="C5353" s="309"/>
      <c r="I5353" s="309"/>
      <c r="J5353" s="309"/>
    </row>
    <row r="5354">
      <c r="B5354" s="309"/>
      <c r="C5354" s="309"/>
      <c r="I5354" s="309"/>
      <c r="J5354" s="309"/>
    </row>
    <row r="5355">
      <c r="B5355" s="309"/>
      <c r="C5355" s="309"/>
      <c r="I5355" s="309"/>
      <c r="J5355" s="309"/>
    </row>
    <row r="5356">
      <c r="B5356" s="309"/>
      <c r="C5356" s="309"/>
      <c r="I5356" s="309"/>
      <c r="J5356" s="309"/>
    </row>
    <row r="5357">
      <c r="B5357" s="309"/>
      <c r="C5357" s="309"/>
      <c r="I5357" s="309"/>
      <c r="J5357" s="309"/>
    </row>
    <row r="5358">
      <c r="B5358" s="309"/>
      <c r="C5358" s="309"/>
      <c r="I5358" s="309"/>
      <c r="J5358" s="309"/>
    </row>
    <row r="5359">
      <c r="B5359" s="309"/>
      <c r="C5359" s="309"/>
      <c r="I5359" s="309"/>
      <c r="J5359" s="309"/>
    </row>
    <row r="5360">
      <c r="B5360" s="309"/>
      <c r="C5360" s="309"/>
      <c r="I5360" s="309"/>
      <c r="J5360" s="309"/>
    </row>
    <row r="5361">
      <c r="B5361" s="309"/>
      <c r="C5361" s="309"/>
      <c r="I5361" s="309"/>
      <c r="J5361" s="309"/>
    </row>
    <row r="5362">
      <c r="B5362" s="309"/>
      <c r="C5362" s="309"/>
      <c r="I5362" s="309"/>
      <c r="J5362" s="309"/>
    </row>
    <row r="5363">
      <c r="B5363" s="309"/>
      <c r="C5363" s="309"/>
      <c r="I5363" s="309"/>
      <c r="J5363" s="309"/>
    </row>
    <row r="5364">
      <c r="B5364" s="309"/>
      <c r="C5364" s="309"/>
      <c r="I5364" s="309"/>
      <c r="J5364" s="309"/>
    </row>
    <row r="5365">
      <c r="B5365" s="309"/>
      <c r="C5365" s="309"/>
      <c r="I5365" s="309"/>
      <c r="J5365" s="309"/>
    </row>
    <row r="5366">
      <c r="B5366" s="309"/>
      <c r="C5366" s="309"/>
      <c r="I5366" s="309"/>
      <c r="J5366" s="309"/>
    </row>
    <row r="5367">
      <c r="B5367" s="309"/>
      <c r="C5367" s="309"/>
      <c r="I5367" s="309"/>
      <c r="J5367" s="309"/>
    </row>
    <row r="5368">
      <c r="B5368" s="309"/>
      <c r="C5368" s="309"/>
      <c r="I5368" s="309"/>
      <c r="J5368" s="309"/>
    </row>
    <row r="5369">
      <c r="B5369" s="309"/>
      <c r="C5369" s="309"/>
      <c r="I5369" s="309"/>
      <c r="J5369" s="309"/>
    </row>
    <row r="5370">
      <c r="B5370" s="309"/>
      <c r="C5370" s="309"/>
      <c r="I5370" s="309"/>
      <c r="J5370" s="309"/>
    </row>
    <row r="5371">
      <c r="B5371" s="309"/>
      <c r="C5371" s="309"/>
      <c r="I5371" s="309"/>
      <c r="J5371" s="309"/>
    </row>
    <row r="5372">
      <c r="B5372" s="309"/>
      <c r="C5372" s="309"/>
      <c r="I5372" s="309"/>
      <c r="J5372" s="309"/>
    </row>
    <row r="5373">
      <c r="B5373" s="309"/>
      <c r="C5373" s="309"/>
      <c r="I5373" s="309"/>
      <c r="J5373" s="309"/>
    </row>
    <row r="5374">
      <c r="B5374" s="309"/>
      <c r="C5374" s="309"/>
      <c r="I5374" s="309"/>
      <c r="J5374" s="309"/>
    </row>
    <row r="5375">
      <c r="B5375" s="309"/>
      <c r="C5375" s="309"/>
      <c r="I5375" s="309"/>
      <c r="J5375" s="309"/>
    </row>
    <row r="5376">
      <c r="B5376" s="309"/>
      <c r="C5376" s="309"/>
      <c r="I5376" s="309"/>
      <c r="J5376" s="309"/>
    </row>
    <row r="5377">
      <c r="B5377" s="309"/>
      <c r="C5377" s="309"/>
      <c r="I5377" s="309"/>
      <c r="J5377" s="309"/>
    </row>
    <row r="5378">
      <c r="B5378" s="309"/>
      <c r="C5378" s="309"/>
      <c r="I5378" s="309"/>
      <c r="J5378" s="309"/>
    </row>
    <row r="5379">
      <c r="B5379" s="309"/>
      <c r="C5379" s="309"/>
      <c r="I5379" s="309"/>
      <c r="J5379" s="309"/>
    </row>
    <row r="5380">
      <c r="B5380" s="309"/>
      <c r="C5380" s="309"/>
      <c r="I5380" s="309"/>
      <c r="J5380" s="309"/>
    </row>
    <row r="5381">
      <c r="B5381" s="309"/>
      <c r="C5381" s="309"/>
      <c r="I5381" s="309"/>
      <c r="J5381" s="309"/>
    </row>
    <row r="5382">
      <c r="B5382" s="309"/>
      <c r="C5382" s="309"/>
      <c r="I5382" s="309"/>
      <c r="J5382" s="309"/>
    </row>
    <row r="5383">
      <c r="B5383" s="309"/>
      <c r="C5383" s="309"/>
      <c r="I5383" s="309"/>
      <c r="J5383" s="309"/>
    </row>
    <row r="5384">
      <c r="B5384" s="309"/>
      <c r="C5384" s="309"/>
      <c r="I5384" s="309"/>
      <c r="J5384" s="309"/>
    </row>
    <row r="5385">
      <c r="B5385" s="309"/>
      <c r="C5385" s="309"/>
      <c r="I5385" s="309"/>
      <c r="J5385" s="309"/>
    </row>
    <row r="5386">
      <c r="B5386" s="309"/>
      <c r="C5386" s="309"/>
      <c r="I5386" s="309"/>
      <c r="J5386" s="309"/>
    </row>
    <row r="5387">
      <c r="B5387" s="309"/>
      <c r="C5387" s="309"/>
      <c r="I5387" s="309"/>
      <c r="J5387" s="309"/>
    </row>
    <row r="5388">
      <c r="B5388" s="309"/>
      <c r="C5388" s="309"/>
      <c r="I5388" s="309"/>
      <c r="J5388" s="309"/>
    </row>
    <row r="5389">
      <c r="B5389" s="309"/>
      <c r="C5389" s="309"/>
      <c r="I5389" s="309"/>
      <c r="J5389" s="309"/>
    </row>
    <row r="5390">
      <c r="B5390" s="309"/>
      <c r="C5390" s="309"/>
      <c r="I5390" s="309"/>
      <c r="J5390" s="309"/>
    </row>
    <row r="5391">
      <c r="B5391" s="309"/>
      <c r="C5391" s="309"/>
      <c r="I5391" s="309"/>
      <c r="J5391" s="309"/>
    </row>
    <row r="5392">
      <c r="B5392" s="309"/>
      <c r="C5392" s="309"/>
      <c r="I5392" s="309"/>
      <c r="J5392" s="309"/>
    </row>
    <row r="5393">
      <c r="B5393" s="309"/>
      <c r="C5393" s="309"/>
      <c r="I5393" s="309"/>
      <c r="J5393" s="309"/>
    </row>
    <row r="5394">
      <c r="B5394" s="309"/>
      <c r="C5394" s="309"/>
      <c r="I5394" s="309"/>
      <c r="J5394" s="309"/>
    </row>
    <row r="5395">
      <c r="B5395" s="309"/>
      <c r="C5395" s="309"/>
      <c r="I5395" s="309"/>
      <c r="J5395" s="309"/>
    </row>
    <row r="5396">
      <c r="B5396" s="309"/>
      <c r="C5396" s="309"/>
      <c r="I5396" s="309"/>
      <c r="J5396" s="309"/>
    </row>
    <row r="5397">
      <c r="B5397" s="309"/>
      <c r="C5397" s="309"/>
      <c r="I5397" s="309"/>
      <c r="J5397" s="309"/>
    </row>
    <row r="5398">
      <c r="B5398" s="309"/>
      <c r="C5398" s="309"/>
      <c r="I5398" s="309"/>
      <c r="J5398" s="309"/>
    </row>
    <row r="5399">
      <c r="B5399" s="309"/>
      <c r="C5399" s="309"/>
      <c r="I5399" s="309"/>
      <c r="J5399" s="309"/>
    </row>
    <row r="5400">
      <c r="B5400" s="309"/>
      <c r="C5400" s="309"/>
      <c r="I5400" s="309"/>
      <c r="J5400" s="309"/>
    </row>
    <row r="5401">
      <c r="B5401" s="309"/>
      <c r="C5401" s="309"/>
      <c r="I5401" s="309"/>
      <c r="J5401" s="309"/>
    </row>
    <row r="5402">
      <c r="B5402" s="309"/>
      <c r="C5402" s="309"/>
      <c r="I5402" s="309"/>
      <c r="J5402" s="309"/>
    </row>
    <row r="5403">
      <c r="B5403" s="309"/>
      <c r="C5403" s="309"/>
      <c r="I5403" s="309"/>
      <c r="J5403" s="309"/>
    </row>
    <row r="5404">
      <c r="B5404" s="309"/>
      <c r="C5404" s="309"/>
      <c r="I5404" s="309"/>
      <c r="J5404" s="309"/>
    </row>
    <row r="5405">
      <c r="B5405" s="309"/>
      <c r="C5405" s="309"/>
      <c r="I5405" s="309"/>
      <c r="J5405" s="309"/>
    </row>
    <row r="5406">
      <c r="B5406" s="309"/>
      <c r="C5406" s="309"/>
      <c r="I5406" s="309"/>
      <c r="J5406" s="309"/>
    </row>
    <row r="5407">
      <c r="B5407" s="309"/>
      <c r="C5407" s="309"/>
      <c r="I5407" s="309"/>
      <c r="J5407" s="309"/>
    </row>
    <row r="5408">
      <c r="B5408" s="309"/>
      <c r="C5408" s="309"/>
      <c r="I5408" s="309"/>
      <c r="J5408" s="309"/>
    </row>
    <row r="5409">
      <c r="B5409" s="309"/>
      <c r="C5409" s="309"/>
      <c r="I5409" s="309"/>
      <c r="J5409" s="309"/>
    </row>
    <row r="5410">
      <c r="B5410" s="309"/>
      <c r="C5410" s="309"/>
      <c r="I5410" s="309"/>
      <c r="J5410" s="309"/>
    </row>
    <row r="5411">
      <c r="B5411" s="309"/>
      <c r="C5411" s="309"/>
      <c r="I5411" s="309"/>
      <c r="J5411" s="309"/>
    </row>
    <row r="5412">
      <c r="B5412" s="309"/>
      <c r="C5412" s="309"/>
      <c r="I5412" s="309"/>
      <c r="J5412" s="309"/>
    </row>
    <row r="5413">
      <c r="B5413" s="309"/>
      <c r="C5413" s="309"/>
      <c r="I5413" s="309"/>
      <c r="J5413" s="309"/>
    </row>
    <row r="5414">
      <c r="B5414" s="309"/>
      <c r="C5414" s="309"/>
      <c r="I5414" s="309"/>
      <c r="J5414" s="309"/>
    </row>
    <row r="5415">
      <c r="B5415" s="309"/>
      <c r="C5415" s="309"/>
      <c r="I5415" s="309"/>
      <c r="J5415" s="309"/>
    </row>
    <row r="5416">
      <c r="B5416" s="309"/>
      <c r="C5416" s="309"/>
      <c r="I5416" s="309"/>
      <c r="J5416" s="309"/>
    </row>
    <row r="5417">
      <c r="B5417" s="309"/>
      <c r="C5417" s="309"/>
      <c r="I5417" s="309"/>
      <c r="J5417" s="309"/>
    </row>
    <row r="5418">
      <c r="B5418" s="309"/>
      <c r="C5418" s="309"/>
      <c r="I5418" s="309"/>
      <c r="J5418" s="309"/>
    </row>
    <row r="5419">
      <c r="B5419" s="309"/>
      <c r="C5419" s="309"/>
      <c r="I5419" s="309"/>
      <c r="J5419" s="309"/>
    </row>
    <row r="5420">
      <c r="B5420" s="309"/>
      <c r="C5420" s="309"/>
      <c r="I5420" s="309"/>
      <c r="J5420" s="309"/>
    </row>
    <row r="5421">
      <c r="B5421" s="309"/>
      <c r="C5421" s="309"/>
      <c r="I5421" s="309"/>
      <c r="J5421" s="309"/>
    </row>
    <row r="5422">
      <c r="B5422" s="309"/>
      <c r="C5422" s="309"/>
      <c r="I5422" s="309"/>
      <c r="J5422" s="309"/>
    </row>
    <row r="5423">
      <c r="B5423" s="309"/>
      <c r="C5423" s="309"/>
      <c r="I5423" s="309"/>
      <c r="J5423" s="309"/>
    </row>
    <row r="5424">
      <c r="B5424" s="309"/>
      <c r="C5424" s="309"/>
      <c r="I5424" s="309"/>
      <c r="J5424" s="309"/>
    </row>
    <row r="5425">
      <c r="B5425" s="309"/>
      <c r="C5425" s="309"/>
      <c r="I5425" s="309"/>
      <c r="J5425" s="309"/>
    </row>
    <row r="5426">
      <c r="B5426" s="309"/>
      <c r="C5426" s="309"/>
      <c r="I5426" s="309"/>
      <c r="J5426" s="309"/>
    </row>
    <row r="5427">
      <c r="B5427" s="309"/>
      <c r="C5427" s="309"/>
      <c r="I5427" s="309"/>
      <c r="J5427" s="309"/>
    </row>
    <row r="5428">
      <c r="B5428" s="309"/>
      <c r="C5428" s="309"/>
      <c r="I5428" s="309"/>
      <c r="J5428" s="309"/>
    </row>
    <row r="5429">
      <c r="B5429" s="309"/>
      <c r="C5429" s="309"/>
      <c r="I5429" s="309"/>
      <c r="J5429" s="309"/>
    </row>
    <row r="5430">
      <c r="B5430" s="309"/>
      <c r="C5430" s="309"/>
      <c r="I5430" s="309"/>
      <c r="J5430" s="309"/>
    </row>
    <row r="5431">
      <c r="B5431" s="309"/>
      <c r="C5431" s="309"/>
      <c r="I5431" s="309"/>
      <c r="J5431" s="309"/>
    </row>
    <row r="5432">
      <c r="B5432" s="309"/>
      <c r="C5432" s="309"/>
      <c r="I5432" s="309"/>
      <c r="J5432" s="309"/>
    </row>
    <row r="5433">
      <c r="B5433" s="309"/>
      <c r="C5433" s="309"/>
      <c r="I5433" s="309"/>
      <c r="J5433" s="309"/>
    </row>
    <row r="5434">
      <c r="B5434" s="309"/>
      <c r="C5434" s="309"/>
      <c r="I5434" s="309"/>
      <c r="J5434" s="309"/>
    </row>
    <row r="5435">
      <c r="B5435" s="309"/>
      <c r="C5435" s="309"/>
      <c r="I5435" s="309"/>
      <c r="J5435" s="309"/>
    </row>
    <row r="5436">
      <c r="B5436" s="309"/>
      <c r="C5436" s="309"/>
      <c r="I5436" s="309"/>
      <c r="J5436" s="309"/>
    </row>
    <row r="5437">
      <c r="B5437" s="309"/>
      <c r="C5437" s="309"/>
      <c r="I5437" s="309"/>
      <c r="J5437" s="309"/>
    </row>
    <row r="5438">
      <c r="B5438" s="309"/>
      <c r="C5438" s="309"/>
      <c r="I5438" s="309"/>
      <c r="J5438" s="309"/>
    </row>
    <row r="5439">
      <c r="B5439" s="309"/>
      <c r="C5439" s="309"/>
      <c r="I5439" s="309"/>
      <c r="J5439" s="309"/>
    </row>
    <row r="5440">
      <c r="B5440" s="309"/>
      <c r="C5440" s="309"/>
      <c r="I5440" s="309"/>
      <c r="J5440" s="309"/>
    </row>
    <row r="5441">
      <c r="B5441" s="309"/>
      <c r="C5441" s="309"/>
      <c r="I5441" s="309"/>
      <c r="J5441" s="309"/>
    </row>
    <row r="5442">
      <c r="B5442" s="309"/>
      <c r="C5442" s="309"/>
      <c r="I5442" s="309"/>
      <c r="J5442" s="309"/>
    </row>
    <row r="5443">
      <c r="B5443" s="309"/>
      <c r="C5443" s="309"/>
      <c r="I5443" s="309"/>
      <c r="J5443" s="309"/>
    </row>
    <row r="5444">
      <c r="B5444" s="309"/>
      <c r="C5444" s="309"/>
      <c r="I5444" s="309"/>
      <c r="J5444" s="309"/>
    </row>
    <row r="5445">
      <c r="B5445" s="309"/>
      <c r="C5445" s="309"/>
      <c r="I5445" s="309"/>
      <c r="J5445" s="309"/>
    </row>
    <row r="5446">
      <c r="B5446" s="309"/>
      <c r="C5446" s="309"/>
      <c r="I5446" s="309"/>
      <c r="J5446" s="309"/>
    </row>
    <row r="5447">
      <c r="B5447" s="309"/>
      <c r="C5447" s="309"/>
      <c r="I5447" s="309"/>
      <c r="J5447" s="309"/>
    </row>
    <row r="5448">
      <c r="B5448" s="309"/>
      <c r="C5448" s="309"/>
      <c r="I5448" s="309"/>
      <c r="J5448" s="309"/>
    </row>
    <row r="5449">
      <c r="B5449" s="309"/>
      <c r="C5449" s="309"/>
      <c r="I5449" s="309"/>
      <c r="J5449" s="309"/>
    </row>
    <row r="5450">
      <c r="B5450" s="309"/>
      <c r="C5450" s="309"/>
      <c r="I5450" s="309"/>
      <c r="J5450" s="309"/>
    </row>
    <row r="5451">
      <c r="B5451" s="309"/>
      <c r="C5451" s="309"/>
      <c r="I5451" s="309"/>
      <c r="J5451" s="309"/>
    </row>
    <row r="5452">
      <c r="B5452" s="309"/>
      <c r="C5452" s="309"/>
      <c r="I5452" s="309"/>
      <c r="J5452" s="309"/>
    </row>
    <row r="5453">
      <c r="B5453" s="309"/>
      <c r="C5453" s="309"/>
      <c r="I5453" s="309"/>
      <c r="J5453" s="309"/>
    </row>
    <row r="5454">
      <c r="B5454" s="309"/>
      <c r="C5454" s="309"/>
      <c r="I5454" s="309"/>
      <c r="J5454" s="309"/>
    </row>
    <row r="5455">
      <c r="B5455" s="309"/>
      <c r="C5455" s="309"/>
      <c r="I5455" s="309"/>
      <c r="J5455" s="309"/>
    </row>
    <row r="5456">
      <c r="B5456" s="309"/>
      <c r="C5456" s="309"/>
      <c r="I5456" s="309"/>
      <c r="J5456" s="309"/>
    </row>
    <row r="5457">
      <c r="B5457" s="309"/>
      <c r="C5457" s="309"/>
      <c r="I5457" s="309"/>
      <c r="J5457" s="309"/>
    </row>
    <row r="5458">
      <c r="B5458" s="309"/>
      <c r="C5458" s="309"/>
      <c r="I5458" s="309"/>
      <c r="J5458" s="309"/>
    </row>
    <row r="5459">
      <c r="B5459" s="309"/>
      <c r="C5459" s="309"/>
      <c r="I5459" s="309"/>
      <c r="J5459" s="309"/>
    </row>
    <row r="5460">
      <c r="B5460" s="309"/>
      <c r="C5460" s="309"/>
      <c r="I5460" s="309"/>
      <c r="J5460" s="309"/>
    </row>
    <row r="5461">
      <c r="B5461" s="309"/>
      <c r="C5461" s="309"/>
      <c r="I5461" s="309"/>
      <c r="J5461" s="309"/>
    </row>
    <row r="5462">
      <c r="B5462" s="309"/>
      <c r="C5462" s="309"/>
      <c r="I5462" s="309"/>
      <c r="J5462" s="309"/>
    </row>
    <row r="5463">
      <c r="B5463" s="309"/>
      <c r="C5463" s="309"/>
      <c r="I5463" s="309"/>
      <c r="J5463" s="309"/>
    </row>
    <row r="5464">
      <c r="B5464" s="309"/>
      <c r="C5464" s="309"/>
      <c r="I5464" s="309"/>
      <c r="J5464" s="309"/>
    </row>
    <row r="5465">
      <c r="B5465" s="309"/>
      <c r="C5465" s="309"/>
      <c r="I5465" s="309"/>
      <c r="J5465" s="309"/>
    </row>
    <row r="5466">
      <c r="B5466" s="309"/>
      <c r="C5466" s="309"/>
      <c r="I5466" s="309"/>
      <c r="J5466" s="309"/>
    </row>
    <row r="5467">
      <c r="B5467" s="309"/>
      <c r="C5467" s="309"/>
      <c r="I5467" s="309"/>
      <c r="J5467" s="309"/>
    </row>
    <row r="5468">
      <c r="B5468" s="309"/>
      <c r="C5468" s="309"/>
      <c r="I5468" s="309"/>
      <c r="J5468" s="309"/>
    </row>
    <row r="5469">
      <c r="B5469" s="309"/>
      <c r="C5469" s="309"/>
      <c r="I5469" s="309"/>
      <c r="J5469" s="309"/>
    </row>
    <row r="5470">
      <c r="B5470" s="309"/>
      <c r="C5470" s="309"/>
      <c r="I5470" s="309"/>
      <c r="J5470" s="309"/>
    </row>
    <row r="5471">
      <c r="B5471" s="309"/>
      <c r="C5471" s="309"/>
      <c r="I5471" s="309"/>
      <c r="J5471" s="309"/>
    </row>
    <row r="5472">
      <c r="B5472" s="309"/>
      <c r="C5472" s="309"/>
      <c r="I5472" s="309"/>
      <c r="J5472" s="309"/>
    </row>
    <row r="5473">
      <c r="B5473" s="309"/>
      <c r="C5473" s="309"/>
      <c r="I5473" s="309"/>
      <c r="J5473" s="309"/>
    </row>
    <row r="5474">
      <c r="B5474" s="309"/>
      <c r="C5474" s="309"/>
      <c r="I5474" s="309"/>
      <c r="J5474" s="309"/>
    </row>
    <row r="5475">
      <c r="B5475" s="309"/>
      <c r="C5475" s="309"/>
      <c r="I5475" s="309"/>
      <c r="J5475" s="309"/>
    </row>
    <row r="5476">
      <c r="B5476" s="309"/>
      <c r="C5476" s="309"/>
      <c r="I5476" s="309"/>
      <c r="J5476" s="309"/>
    </row>
    <row r="5477">
      <c r="B5477" s="309"/>
      <c r="C5477" s="309"/>
      <c r="I5477" s="309"/>
      <c r="J5477" s="309"/>
    </row>
    <row r="5478">
      <c r="B5478" s="309"/>
      <c r="C5478" s="309"/>
      <c r="I5478" s="309"/>
      <c r="J5478" s="309"/>
    </row>
    <row r="5479">
      <c r="B5479" s="309"/>
      <c r="C5479" s="309"/>
      <c r="I5479" s="309"/>
      <c r="J5479" s="309"/>
    </row>
    <row r="5480">
      <c r="B5480" s="309"/>
      <c r="C5480" s="309"/>
      <c r="I5480" s="309"/>
      <c r="J5480" s="309"/>
    </row>
    <row r="5481">
      <c r="B5481" s="309"/>
      <c r="C5481" s="309"/>
      <c r="I5481" s="309"/>
      <c r="J5481" s="309"/>
    </row>
    <row r="5482">
      <c r="B5482" s="309"/>
      <c r="C5482" s="309"/>
      <c r="I5482" s="309"/>
      <c r="J5482" s="309"/>
    </row>
    <row r="5483">
      <c r="B5483" s="309"/>
      <c r="C5483" s="309"/>
      <c r="I5483" s="309"/>
      <c r="J5483" s="309"/>
    </row>
    <row r="5484">
      <c r="B5484" s="309"/>
      <c r="C5484" s="309"/>
      <c r="I5484" s="309"/>
      <c r="J5484" s="309"/>
    </row>
    <row r="5485">
      <c r="B5485" s="309"/>
      <c r="C5485" s="309"/>
      <c r="I5485" s="309"/>
      <c r="J5485" s="309"/>
    </row>
    <row r="5486">
      <c r="B5486" s="309"/>
      <c r="C5486" s="309"/>
      <c r="I5486" s="309"/>
      <c r="J5486" s="309"/>
    </row>
    <row r="5487">
      <c r="B5487" s="309"/>
      <c r="C5487" s="309"/>
      <c r="I5487" s="309"/>
      <c r="J5487" s="309"/>
    </row>
    <row r="5488">
      <c r="B5488" s="309"/>
      <c r="C5488" s="309"/>
      <c r="I5488" s="309"/>
      <c r="J5488" s="309"/>
    </row>
    <row r="5489">
      <c r="B5489" s="309"/>
      <c r="C5489" s="309"/>
      <c r="I5489" s="309"/>
      <c r="J5489" s="309"/>
    </row>
    <row r="5490">
      <c r="B5490" s="309"/>
      <c r="C5490" s="309"/>
      <c r="I5490" s="309"/>
      <c r="J5490" s="309"/>
    </row>
    <row r="5491">
      <c r="B5491" s="309"/>
      <c r="C5491" s="309"/>
      <c r="I5491" s="309"/>
      <c r="J5491" s="309"/>
    </row>
    <row r="5492">
      <c r="B5492" s="309"/>
      <c r="C5492" s="309"/>
      <c r="I5492" s="309"/>
      <c r="J5492" s="309"/>
    </row>
    <row r="5493">
      <c r="B5493" s="309"/>
      <c r="C5493" s="309"/>
      <c r="I5493" s="309"/>
      <c r="J5493" s="309"/>
    </row>
    <row r="5494">
      <c r="B5494" s="309"/>
      <c r="C5494" s="309"/>
      <c r="I5494" s="309"/>
      <c r="J5494" s="309"/>
    </row>
    <row r="5495">
      <c r="B5495" s="309"/>
      <c r="C5495" s="309"/>
      <c r="I5495" s="309"/>
      <c r="J5495" s="309"/>
    </row>
    <row r="5496">
      <c r="B5496" s="309"/>
      <c r="C5496" s="309"/>
      <c r="I5496" s="309"/>
      <c r="J5496" s="309"/>
    </row>
    <row r="5497">
      <c r="B5497" s="309"/>
      <c r="C5497" s="309"/>
      <c r="I5497" s="309"/>
      <c r="J5497" s="309"/>
    </row>
    <row r="5498">
      <c r="B5498" s="309"/>
      <c r="C5498" s="309"/>
      <c r="I5498" s="309"/>
      <c r="J5498" s="309"/>
    </row>
    <row r="5499">
      <c r="B5499" s="309"/>
      <c r="C5499" s="309"/>
      <c r="I5499" s="309"/>
      <c r="J5499" s="309"/>
    </row>
    <row r="5500">
      <c r="B5500" s="309"/>
      <c r="C5500" s="309"/>
      <c r="I5500" s="309"/>
      <c r="J5500" s="309"/>
    </row>
    <row r="5501">
      <c r="B5501" s="309"/>
      <c r="C5501" s="309"/>
      <c r="I5501" s="309"/>
      <c r="J5501" s="309"/>
    </row>
    <row r="5502">
      <c r="B5502" s="309"/>
      <c r="C5502" s="309"/>
      <c r="I5502" s="309"/>
      <c r="J5502" s="309"/>
    </row>
    <row r="5503">
      <c r="B5503" s="309"/>
      <c r="C5503" s="309"/>
      <c r="I5503" s="309"/>
      <c r="J5503" s="309"/>
    </row>
    <row r="5504">
      <c r="B5504" s="309"/>
      <c r="C5504" s="309"/>
      <c r="I5504" s="309"/>
      <c r="J5504" s="309"/>
    </row>
    <row r="5505">
      <c r="B5505" s="309"/>
      <c r="C5505" s="309"/>
      <c r="I5505" s="309"/>
      <c r="J5505" s="309"/>
    </row>
    <row r="5506">
      <c r="B5506" s="309"/>
      <c r="C5506" s="309"/>
      <c r="I5506" s="309"/>
      <c r="J5506" s="309"/>
    </row>
    <row r="5507">
      <c r="B5507" s="309"/>
      <c r="C5507" s="309"/>
      <c r="I5507" s="309"/>
      <c r="J5507" s="309"/>
    </row>
    <row r="5508">
      <c r="B5508" s="309"/>
      <c r="C5508" s="309"/>
      <c r="I5508" s="309"/>
      <c r="J5508" s="309"/>
    </row>
    <row r="5509">
      <c r="B5509" s="309"/>
      <c r="C5509" s="309"/>
      <c r="I5509" s="309"/>
      <c r="J5509" s="309"/>
    </row>
    <row r="5510">
      <c r="B5510" s="309"/>
      <c r="C5510" s="309"/>
      <c r="I5510" s="309"/>
      <c r="J5510" s="309"/>
    </row>
    <row r="5511">
      <c r="B5511" s="309"/>
      <c r="C5511" s="309"/>
      <c r="I5511" s="309"/>
      <c r="J5511" s="309"/>
    </row>
    <row r="5512">
      <c r="B5512" s="309"/>
      <c r="C5512" s="309"/>
      <c r="I5512" s="309"/>
      <c r="J5512" s="309"/>
    </row>
    <row r="5513">
      <c r="B5513" s="309"/>
      <c r="C5513" s="309"/>
      <c r="I5513" s="309"/>
      <c r="J5513" s="309"/>
    </row>
    <row r="5514">
      <c r="B5514" s="309"/>
      <c r="C5514" s="309"/>
      <c r="I5514" s="309"/>
      <c r="J5514" s="309"/>
    </row>
    <row r="5515">
      <c r="B5515" s="309"/>
      <c r="C5515" s="309"/>
      <c r="I5515" s="309"/>
      <c r="J5515" s="309"/>
    </row>
    <row r="5516">
      <c r="B5516" s="309"/>
      <c r="C5516" s="309"/>
      <c r="I5516" s="309"/>
      <c r="J5516" s="309"/>
    </row>
    <row r="5517">
      <c r="B5517" s="309"/>
      <c r="C5517" s="309"/>
      <c r="I5517" s="309"/>
      <c r="J5517" s="309"/>
    </row>
    <row r="5518">
      <c r="B5518" s="309"/>
      <c r="C5518" s="309"/>
      <c r="I5518" s="309"/>
      <c r="J5518" s="309"/>
    </row>
    <row r="5519">
      <c r="B5519" s="309"/>
      <c r="C5519" s="309"/>
      <c r="I5519" s="309"/>
      <c r="J5519" s="309"/>
    </row>
    <row r="5520">
      <c r="B5520" s="309"/>
      <c r="C5520" s="309"/>
      <c r="I5520" s="309"/>
      <c r="J5520" s="309"/>
    </row>
    <row r="5521">
      <c r="B5521" s="309"/>
      <c r="C5521" s="309"/>
      <c r="I5521" s="309"/>
      <c r="J5521" s="309"/>
    </row>
    <row r="5522">
      <c r="B5522" s="309"/>
      <c r="C5522" s="309"/>
      <c r="I5522" s="309"/>
      <c r="J5522" s="309"/>
    </row>
    <row r="5523">
      <c r="B5523" s="309"/>
      <c r="C5523" s="309"/>
      <c r="I5523" s="309"/>
      <c r="J5523" s="309"/>
    </row>
    <row r="5524">
      <c r="B5524" s="309"/>
      <c r="C5524" s="309"/>
      <c r="I5524" s="309"/>
      <c r="J5524" s="309"/>
    </row>
    <row r="5525">
      <c r="B5525" s="309"/>
      <c r="C5525" s="309"/>
      <c r="I5525" s="309"/>
      <c r="J5525" s="309"/>
    </row>
    <row r="5526">
      <c r="B5526" s="309"/>
      <c r="C5526" s="309"/>
      <c r="I5526" s="309"/>
      <c r="J5526" s="309"/>
    </row>
    <row r="5527">
      <c r="B5527" s="309"/>
      <c r="C5527" s="309"/>
      <c r="I5527" s="309"/>
      <c r="J5527" s="309"/>
    </row>
    <row r="5528">
      <c r="B5528" s="309"/>
      <c r="C5528" s="309"/>
      <c r="I5528" s="309"/>
      <c r="J5528" s="309"/>
    </row>
    <row r="5529">
      <c r="B5529" s="309"/>
      <c r="C5529" s="309"/>
      <c r="I5529" s="309"/>
      <c r="J5529" s="309"/>
    </row>
    <row r="5530">
      <c r="B5530" s="309"/>
      <c r="C5530" s="309"/>
      <c r="I5530" s="309"/>
      <c r="J5530" s="309"/>
    </row>
    <row r="5531">
      <c r="B5531" s="309"/>
      <c r="C5531" s="309"/>
      <c r="I5531" s="309"/>
      <c r="J5531" s="309"/>
    </row>
    <row r="5532">
      <c r="B5532" s="309"/>
      <c r="C5532" s="309"/>
      <c r="I5532" s="309"/>
      <c r="J5532" s="309"/>
    </row>
    <row r="5533">
      <c r="B5533" s="309"/>
      <c r="C5533" s="309"/>
      <c r="I5533" s="309"/>
      <c r="J5533" s="309"/>
    </row>
    <row r="5534">
      <c r="B5534" s="309"/>
      <c r="C5534" s="309"/>
      <c r="I5534" s="309"/>
      <c r="J5534" s="309"/>
    </row>
    <row r="5535">
      <c r="B5535" s="309"/>
      <c r="C5535" s="309"/>
      <c r="I5535" s="309"/>
      <c r="J5535" s="309"/>
    </row>
    <row r="5536">
      <c r="B5536" s="309"/>
      <c r="C5536" s="309"/>
      <c r="I5536" s="309"/>
      <c r="J5536" s="309"/>
    </row>
    <row r="5537">
      <c r="B5537" s="309"/>
      <c r="C5537" s="309"/>
      <c r="I5537" s="309"/>
      <c r="J5537" s="309"/>
    </row>
    <row r="5538">
      <c r="B5538" s="309"/>
      <c r="C5538" s="309"/>
      <c r="I5538" s="309"/>
      <c r="J5538" s="309"/>
    </row>
    <row r="5539">
      <c r="B5539" s="309"/>
      <c r="C5539" s="309"/>
      <c r="I5539" s="309"/>
      <c r="J5539" s="309"/>
    </row>
    <row r="5540">
      <c r="B5540" s="309"/>
      <c r="C5540" s="309"/>
      <c r="I5540" s="309"/>
      <c r="J5540" s="309"/>
    </row>
    <row r="5541">
      <c r="B5541" s="309"/>
      <c r="C5541" s="309"/>
      <c r="I5541" s="309"/>
      <c r="J5541" s="309"/>
    </row>
    <row r="5542">
      <c r="B5542" s="309"/>
      <c r="C5542" s="309"/>
      <c r="I5542" s="309"/>
      <c r="J5542" s="309"/>
    </row>
    <row r="5543">
      <c r="B5543" s="309"/>
      <c r="C5543" s="309"/>
      <c r="I5543" s="309"/>
      <c r="J5543" s="309"/>
    </row>
    <row r="5544">
      <c r="B5544" s="309"/>
      <c r="C5544" s="309"/>
      <c r="I5544" s="309"/>
      <c r="J5544" s="309"/>
    </row>
    <row r="5545">
      <c r="B5545" s="309"/>
      <c r="C5545" s="309"/>
      <c r="I5545" s="309"/>
      <c r="J5545" s="309"/>
    </row>
    <row r="5546">
      <c r="B5546" s="309"/>
      <c r="C5546" s="309"/>
      <c r="I5546" s="309"/>
      <c r="J5546" s="309"/>
    </row>
    <row r="5547">
      <c r="B5547" s="309"/>
      <c r="C5547" s="309"/>
      <c r="I5547" s="309"/>
      <c r="J5547" s="309"/>
    </row>
    <row r="5548">
      <c r="B5548" s="309"/>
      <c r="C5548" s="309"/>
      <c r="I5548" s="309"/>
      <c r="J5548" s="309"/>
    </row>
    <row r="5549">
      <c r="B5549" s="309"/>
      <c r="C5549" s="309"/>
      <c r="I5549" s="309"/>
      <c r="J5549" s="309"/>
    </row>
    <row r="5550">
      <c r="B5550" s="309"/>
      <c r="C5550" s="309"/>
      <c r="I5550" s="309"/>
      <c r="J5550" s="309"/>
    </row>
    <row r="5551">
      <c r="B5551" s="309"/>
      <c r="C5551" s="309"/>
      <c r="I5551" s="309"/>
      <c r="J5551" s="309"/>
    </row>
    <row r="5552">
      <c r="B5552" s="309"/>
      <c r="C5552" s="309"/>
      <c r="I5552" s="309"/>
      <c r="J5552" s="309"/>
    </row>
    <row r="5553">
      <c r="B5553" s="309"/>
      <c r="C5553" s="309"/>
      <c r="I5553" s="309"/>
      <c r="J5553" s="309"/>
    </row>
    <row r="5554">
      <c r="B5554" s="309"/>
      <c r="C5554" s="309"/>
      <c r="I5554" s="309"/>
      <c r="J5554" s="309"/>
    </row>
    <row r="5555">
      <c r="B5555" s="309"/>
      <c r="C5555" s="309"/>
      <c r="I5555" s="309"/>
      <c r="J5555" s="309"/>
    </row>
    <row r="5556">
      <c r="B5556" s="309"/>
      <c r="C5556" s="309"/>
      <c r="I5556" s="309"/>
      <c r="J5556" s="309"/>
    </row>
    <row r="5557">
      <c r="B5557" s="309"/>
      <c r="C5557" s="309"/>
      <c r="I5557" s="309"/>
      <c r="J5557" s="309"/>
    </row>
    <row r="5558">
      <c r="B5558" s="309"/>
      <c r="C5558" s="309"/>
      <c r="I5558" s="309"/>
      <c r="J5558" s="309"/>
    </row>
    <row r="5559">
      <c r="B5559" s="309"/>
      <c r="C5559" s="309"/>
      <c r="I5559" s="309"/>
      <c r="J5559" s="309"/>
    </row>
    <row r="5560">
      <c r="B5560" s="309"/>
      <c r="C5560" s="309"/>
      <c r="I5560" s="309"/>
      <c r="J5560" s="309"/>
    </row>
    <row r="5561">
      <c r="B5561" s="309"/>
      <c r="C5561" s="309"/>
      <c r="I5561" s="309"/>
      <c r="J5561" s="309"/>
    </row>
    <row r="5562">
      <c r="B5562" s="309"/>
      <c r="C5562" s="309"/>
      <c r="I5562" s="309"/>
      <c r="J5562" s="309"/>
    </row>
    <row r="5563">
      <c r="B5563" s="309"/>
      <c r="C5563" s="309"/>
      <c r="I5563" s="309"/>
      <c r="J5563" s="309"/>
    </row>
    <row r="5564">
      <c r="B5564" s="309"/>
      <c r="C5564" s="309"/>
      <c r="I5564" s="309"/>
      <c r="J5564" s="309"/>
    </row>
    <row r="5565">
      <c r="B5565" s="309"/>
      <c r="C5565" s="309"/>
      <c r="I5565" s="309"/>
      <c r="J5565" s="309"/>
    </row>
    <row r="5566">
      <c r="B5566" s="309"/>
      <c r="C5566" s="309"/>
      <c r="I5566" s="309"/>
      <c r="J5566" s="309"/>
    </row>
    <row r="5567">
      <c r="B5567" s="309"/>
      <c r="C5567" s="309"/>
      <c r="I5567" s="309"/>
      <c r="J5567" s="309"/>
    </row>
    <row r="5568">
      <c r="B5568" s="309"/>
      <c r="C5568" s="309"/>
      <c r="I5568" s="309"/>
      <c r="J5568" s="309"/>
    </row>
    <row r="5569">
      <c r="B5569" s="309"/>
      <c r="C5569" s="309"/>
      <c r="I5569" s="309"/>
      <c r="J5569" s="309"/>
    </row>
    <row r="5570">
      <c r="B5570" s="309"/>
      <c r="C5570" s="309"/>
      <c r="I5570" s="309"/>
      <c r="J5570" s="309"/>
    </row>
    <row r="5571">
      <c r="B5571" s="309"/>
      <c r="C5571" s="309"/>
      <c r="I5571" s="309"/>
      <c r="J5571" s="309"/>
    </row>
    <row r="5572">
      <c r="B5572" s="309"/>
      <c r="C5572" s="309"/>
      <c r="I5572" s="309"/>
      <c r="J5572" s="309"/>
    </row>
    <row r="5573">
      <c r="B5573" s="309"/>
      <c r="C5573" s="309"/>
      <c r="I5573" s="309"/>
      <c r="J5573" s="309"/>
    </row>
    <row r="5574">
      <c r="B5574" s="309"/>
      <c r="C5574" s="309"/>
      <c r="I5574" s="309"/>
      <c r="J5574" s="309"/>
    </row>
    <row r="5575">
      <c r="B5575" s="309"/>
      <c r="C5575" s="309"/>
      <c r="I5575" s="309"/>
      <c r="J5575" s="309"/>
    </row>
    <row r="5576">
      <c r="B5576" s="309"/>
      <c r="C5576" s="309"/>
      <c r="I5576" s="309"/>
      <c r="J5576" s="309"/>
    </row>
    <row r="5577">
      <c r="B5577" s="309"/>
      <c r="C5577" s="309"/>
      <c r="I5577" s="309"/>
      <c r="J5577" s="309"/>
    </row>
    <row r="5578">
      <c r="B5578" s="309"/>
      <c r="C5578" s="309"/>
      <c r="I5578" s="309"/>
      <c r="J5578" s="309"/>
    </row>
    <row r="5579">
      <c r="B5579" s="309"/>
      <c r="C5579" s="309"/>
      <c r="I5579" s="309"/>
      <c r="J5579" s="309"/>
    </row>
    <row r="5580">
      <c r="B5580" s="309"/>
      <c r="C5580" s="309"/>
      <c r="I5580" s="309"/>
      <c r="J5580" s="309"/>
    </row>
    <row r="5581">
      <c r="B5581" s="309"/>
      <c r="C5581" s="309"/>
      <c r="I5581" s="309"/>
      <c r="J5581" s="309"/>
    </row>
    <row r="5582">
      <c r="B5582" s="309"/>
      <c r="C5582" s="309"/>
      <c r="I5582" s="309"/>
      <c r="J5582" s="309"/>
    </row>
    <row r="5583">
      <c r="B5583" s="309"/>
      <c r="C5583" s="309"/>
      <c r="I5583" s="309"/>
      <c r="J5583" s="309"/>
    </row>
    <row r="5584">
      <c r="B5584" s="309"/>
      <c r="C5584" s="309"/>
      <c r="I5584" s="309"/>
      <c r="J5584" s="309"/>
    </row>
    <row r="5585">
      <c r="B5585" s="309"/>
      <c r="C5585" s="309"/>
      <c r="I5585" s="309"/>
      <c r="J5585" s="309"/>
    </row>
    <row r="5586">
      <c r="B5586" s="309"/>
      <c r="C5586" s="309"/>
      <c r="I5586" s="309"/>
      <c r="J5586" s="309"/>
    </row>
    <row r="5587">
      <c r="B5587" s="309"/>
      <c r="C5587" s="309"/>
      <c r="I5587" s="309"/>
      <c r="J5587" s="309"/>
    </row>
    <row r="5588">
      <c r="B5588" s="309"/>
      <c r="C5588" s="309"/>
      <c r="I5588" s="309"/>
      <c r="J5588" s="309"/>
    </row>
    <row r="5589">
      <c r="B5589" s="309"/>
      <c r="C5589" s="309"/>
      <c r="I5589" s="309"/>
      <c r="J5589" s="309"/>
    </row>
    <row r="5590">
      <c r="B5590" s="309"/>
      <c r="C5590" s="309"/>
      <c r="I5590" s="309"/>
      <c r="J5590" s="309"/>
    </row>
    <row r="5591">
      <c r="B5591" s="309"/>
      <c r="C5591" s="309"/>
      <c r="I5591" s="309"/>
      <c r="J5591" s="309"/>
    </row>
    <row r="5592">
      <c r="B5592" s="309"/>
      <c r="C5592" s="309"/>
      <c r="I5592" s="309"/>
      <c r="J5592" s="309"/>
    </row>
    <row r="5593">
      <c r="B5593" s="309"/>
      <c r="C5593" s="309"/>
      <c r="I5593" s="309"/>
      <c r="J5593" s="309"/>
    </row>
    <row r="5594">
      <c r="B5594" s="309"/>
      <c r="C5594" s="309"/>
      <c r="I5594" s="309"/>
      <c r="J5594" s="309"/>
    </row>
    <row r="5595">
      <c r="B5595" s="309"/>
      <c r="C5595" s="309"/>
      <c r="I5595" s="309"/>
      <c r="J5595" s="309"/>
    </row>
    <row r="5596">
      <c r="B5596" s="309"/>
      <c r="C5596" s="309"/>
      <c r="I5596" s="309"/>
      <c r="J5596" s="309"/>
    </row>
    <row r="5597">
      <c r="B5597" s="309"/>
      <c r="C5597" s="309"/>
      <c r="I5597" s="309"/>
      <c r="J5597" s="309"/>
    </row>
    <row r="5598">
      <c r="B5598" s="309"/>
      <c r="C5598" s="309"/>
      <c r="I5598" s="309"/>
      <c r="J5598" s="309"/>
    </row>
    <row r="5599">
      <c r="B5599" s="309"/>
      <c r="C5599" s="309"/>
      <c r="I5599" s="309"/>
      <c r="J5599" s="309"/>
    </row>
    <row r="5600">
      <c r="B5600" s="309"/>
      <c r="C5600" s="309"/>
      <c r="I5600" s="309"/>
      <c r="J5600" s="309"/>
    </row>
    <row r="5601">
      <c r="B5601" s="309"/>
      <c r="C5601" s="309"/>
      <c r="I5601" s="309"/>
      <c r="J5601" s="309"/>
    </row>
    <row r="5602">
      <c r="B5602" s="309"/>
      <c r="C5602" s="309"/>
      <c r="I5602" s="309"/>
      <c r="J5602" s="309"/>
    </row>
    <row r="5603">
      <c r="B5603" s="309"/>
      <c r="C5603" s="309"/>
      <c r="I5603" s="309"/>
      <c r="J5603" s="309"/>
    </row>
    <row r="5604">
      <c r="B5604" s="309"/>
      <c r="C5604" s="309"/>
      <c r="I5604" s="309"/>
      <c r="J5604" s="309"/>
    </row>
    <row r="5605">
      <c r="B5605" s="309"/>
      <c r="C5605" s="309"/>
      <c r="I5605" s="309"/>
      <c r="J5605" s="309"/>
    </row>
    <row r="5606">
      <c r="B5606" s="309"/>
      <c r="C5606" s="309"/>
      <c r="I5606" s="309"/>
      <c r="J5606" s="309"/>
    </row>
    <row r="5607">
      <c r="B5607" s="309"/>
      <c r="C5607" s="309"/>
      <c r="I5607" s="309"/>
      <c r="J5607" s="309"/>
    </row>
    <row r="5608">
      <c r="B5608" s="309"/>
      <c r="C5608" s="309"/>
      <c r="I5608" s="309"/>
      <c r="J5608" s="309"/>
    </row>
    <row r="5609">
      <c r="B5609" s="309"/>
      <c r="C5609" s="309"/>
      <c r="I5609" s="309"/>
      <c r="J5609" s="309"/>
    </row>
    <row r="5610">
      <c r="B5610" s="309"/>
      <c r="C5610" s="309"/>
      <c r="I5610" s="309"/>
      <c r="J5610" s="309"/>
    </row>
    <row r="5611">
      <c r="B5611" s="309"/>
      <c r="C5611" s="309"/>
      <c r="I5611" s="309"/>
      <c r="J5611" s="309"/>
    </row>
    <row r="5612">
      <c r="B5612" s="309"/>
      <c r="C5612" s="309"/>
      <c r="I5612" s="309"/>
      <c r="J5612" s="309"/>
    </row>
    <row r="5613">
      <c r="B5613" s="309"/>
      <c r="C5613" s="309"/>
      <c r="I5613" s="309"/>
      <c r="J5613" s="309"/>
    </row>
    <row r="5614">
      <c r="B5614" s="309"/>
      <c r="C5614" s="309"/>
      <c r="I5614" s="309"/>
      <c r="J5614" s="309"/>
    </row>
    <row r="5615">
      <c r="B5615" s="309"/>
      <c r="C5615" s="309"/>
      <c r="I5615" s="309"/>
      <c r="J5615" s="309"/>
    </row>
    <row r="5616">
      <c r="B5616" s="309"/>
      <c r="C5616" s="309"/>
      <c r="I5616" s="309"/>
      <c r="J5616" s="309"/>
    </row>
    <row r="5617">
      <c r="B5617" s="309"/>
      <c r="C5617" s="309"/>
      <c r="I5617" s="309"/>
      <c r="J5617" s="309"/>
    </row>
    <row r="5618">
      <c r="B5618" s="309"/>
      <c r="C5618" s="309"/>
      <c r="I5618" s="309"/>
      <c r="J5618" s="309"/>
    </row>
    <row r="5619">
      <c r="B5619" s="309"/>
      <c r="C5619" s="309"/>
      <c r="I5619" s="309"/>
      <c r="J5619" s="309"/>
    </row>
    <row r="5620">
      <c r="B5620" s="309"/>
      <c r="C5620" s="309"/>
      <c r="I5620" s="309"/>
      <c r="J5620" s="309"/>
    </row>
    <row r="5621">
      <c r="B5621" s="309"/>
      <c r="C5621" s="309"/>
      <c r="I5621" s="309"/>
      <c r="J5621" s="309"/>
    </row>
    <row r="5622">
      <c r="B5622" s="309"/>
      <c r="C5622" s="309"/>
      <c r="I5622" s="309"/>
      <c r="J5622" s="309"/>
    </row>
    <row r="5623">
      <c r="B5623" s="309"/>
      <c r="C5623" s="309"/>
      <c r="I5623" s="309"/>
      <c r="J5623" s="309"/>
    </row>
    <row r="5624">
      <c r="B5624" s="309"/>
      <c r="C5624" s="309"/>
      <c r="I5624" s="309"/>
      <c r="J5624" s="309"/>
    </row>
    <row r="5625">
      <c r="B5625" s="309"/>
      <c r="C5625" s="309"/>
      <c r="I5625" s="309"/>
      <c r="J5625" s="309"/>
    </row>
    <row r="5626">
      <c r="B5626" s="309"/>
      <c r="C5626" s="309"/>
      <c r="I5626" s="309"/>
      <c r="J5626" s="309"/>
    </row>
    <row r="5627">
      <c r="B5627" s="309"/>
      <c r="C5627" s="309"/>
      <c r="I5627" s="309"/>
      <c r="J5627" s="309"/>
    </row>
    <row r="5628">
      <c r="B5628" s="309"/>
      <c r="C5628" s="309"/>
      <c r="I5628" s="309"/>
      <c r="J5628" s="309"/>
    </row>
    <row r="5629">
      <c r="B5629" s="309"/>
      <c r="C5629" s="309"/>
      <c r="I5629" s="309"/>
      <c r="J5629" s="309"/>
    </row>
    <row r="5630">
      <c r="B5630" s="309"/>
      <c r="C5630" s="309"/>
      <c r="I5630" s="309"/>
      <c r="J5630" s="309"/>
    </row>
    <row r="5631">
      <c r="B5631" s="309"/>
      <c r="C5631" s="309"/>
      <c r="I5631" s="309"/>
      <c r="J5631" s="309"/>
    </row>
    <row r="5632">
      <c r="B5632" s="309"/>
      <c r="C5632" s="309"/>
      <c r="I5632" s="309"/>
      <c r="J5632" s="309"/>
    </row>
    <row r="5633">
      <c r="B5633" s="309"/>
      <c r="C5633" s="309"/>
      <c r="I5633" s="309"/>
      <c r="J5633" s="309"/>
    </row>
    <row r="5634">
      <c r="B5634" s="309"/>
      <c r="C5634" s="309"/>
      <c r="I5634" s="309"/>
      <c r="J5634" s="309"/>
    </row>
    <row r="5635">
      <c r="B5635" s="309"/>
      <c r="C5635" s="309"/>
      <c r="I5635" s="309"/>
      <c r="J5635" s="309"/>
    </row>
    <row r="5636">
      <c r="B5636" s="309"/>
      <c r="C5636" s="309"/>
      <c r="I5636" s="309"/>
      <c r="J5636" s="309"/>
    </row>
    <row r="5637">
      <c r="B5637" s="309"/>
      <c r="C5637" s="309"/>
      <c r="I5637" s="309"/>
      <c r="J5637" s="309"/>
    </row>
    <row r="5638">
      <c r="B5638" s="309"/>
      <c r="C5638" s="309"/>
      <c r="I5638" s="309"/>
      <c r="J5638" s="309"/>
    </row>
    <row r="5639">
      <c r="B5639" s="309"/>
      <c r="C5639" s="309"/>
      <c r="I5639" s="309"/>
      <c r="J5639" s="309"/>
    </row>
    <row r="5640">
      <c r="B5640" s="309"/>
      <c r="C5640" s="309"/>
      <c r="I5640" s="309"/>
      <c r="J5640" s="309"/>
    </row>
    <row r="5641">
      <c r="B5641" s="309"/>
      <c r="C5641" s="309"/>
      <c r="I5641" s="309"/>
      <c r="J5641" s="309"/>
    </row>
    <row r="5642">
      <c r="B5642" s="309"/>
      <c r="C5642" s="309"/>
      <c r="I5642" s="309"/>
      <c r="J5642" s="309"/>
    </row>
    <row r="5643">
      <c r="B5643" s="309"/>
      <c r="C5643" s="309"/>
      <c r="I5643" s="309"/>
      <c r="J5643" s="309"/>
    </row>
    <row r="5644">
      <c r="B5644" s="309"/>
      <c r="C5644" s="309"/>
      <c r="I5644" s="309"/>
      <c r="J5644" s="309"/>
    </row>
    <row r="5645">
      <c r="B5645" s="309"/>
      <c r="C5645" s="309"/>
      <c r="I5645" s="309"/>
      <c r="J5645" s="309"/>
    </row>
    <row r="5646">
      <c r="B5646" s="309"/>
      <c r="C5646" s="309"/>
      <c r="I5646" s="309"/>
      <c r="J5646" s="309"/>
    </row>
    <row r="5647">
      <c r="B5647" s="309"/>
      <c r="C5647" s="309"/>
      <c r="I5647" s="309"/>
      <c r="J5647" s="309"/>
    </row>
    <row r="5648">
      <c r="B5648" s="309"/>
      <c r="C5648" s="309"/>
      <c r="I5648" s="309"/>
      <c r="J5648" s="309"/>
    </row>
    <row r="5649">
      <c r="B5649" s="309"/>
      <c r="C5649" s="309"/>
      <c r="I5649" s="309"/>
      <c r="J5649" s="309"/>
    </row>
    <row r="5650">
      <c r="B5650" s="309"/>
      <c r="C5650" s="309"/>
      <c r="I5650" s="309"/>
      <c r="J5650" s="309"/>
    </row>
    <row r="5651">
      <c r="B5651" s="309"/>
      <c r="C5651" s="309"/>
      <c r="I5651" s="309"/>
      <c r="J5651" s="309"/>
    </row>
    <row r="5652">
      <c r="B5652" s="309"/>
      <c r="C5652" s="309"/>
      <c r="I5652" s="309"/>
      <c r="J5652" s="309"/>
    </row>
    <row r="5653">
      <c r="B5653" s="309"/>
      <c r="C5653" s="309"/>
      <c r="I5653" s="309"/>
      <c r="J5653" s="309"/>
    </row>
    <row r="5654">
      <c r="B5654" s="309"/>
      <c r="C5654" s="309"/>
      <c r="I5654" s="309"/>
      <c r="J5654" s="309"/>
    </row>
    <row r="5655">
      <c r="B5655" s="309"/>
      <c r="C5655" s="309"/>
      <c r="I5655" s="309"/>
      <c r="J5655" s="309"/>
    </row>
    <row r="5656">
      <c r="B5656" s="309"/>
      <c r="C5656" s="309"/>
      <c r="I5656" s="309"/>
      <c r="J5656" s="309"/>
    </row>
    <row r="5657">
      <c r="B5657" s="309"/>
      <c r="C5657" s="309"/>
      <c r="I5657" s="309"/>
      <c r="J5657" s="309"/>
    </row>
    <row r="5658">
      <c r="B5658" s="309"/>
      <c r="C5658" s="309"/>
      <c r="I5658" s="309"/>
      <c r="J5658" s="309"/>
    </row>
    <row r="5659">
      <c r="B5659" s="309"/>
      <c r="C5659" s="309"/>
      <c r="I5659" s="309"/>
      <c r="J5659" s="309"/>
    </row>
    <row r="5660">
      <c r="B5660" s="309"/>
      <c r="C5660" s="309"/>
      <c r="I5660" s="309"/>
      <c r="J5660" s="309"/>
    </row>
    <row r="5661">
      <c r="B5661" s="309"/>
      <c r="C5661" s="309"/>
      <c r="I5661" s="309"/>
      <c r="J5661" s="309"/>
    </row>
    <row r="5662">
      <c r="B5662" s="309"/>
      <c r="C5662" s="309"/>
      <c r="I5662" s="309"/>
      <c r="J5662" s="309"/>
    </row>
    <row r="5663">
      <c r="B5663" s="309"/>
      <c r="C5663" s="309"/>
      <c r="I5663" s="309"/>
      <c r="J5663" s="309"/>
    </row>
    <row r="5664">
      <c r="B5664" s="309"/>
      <c r="C5664" s="309"/>
      <c r="I5664" s="309"/>
      <c r="J5664" s="309"/>
    </row>
    <row r="5665">
      <c r="B5665" s="309"/>
      <c r="C5665" s="309"/>
      <c r="I5665" s="309"/>
      <c r="J5665" s="309"/>
    </row>
    <row r="5666">
      <c r="B5666" s="309"/>
      <c r="C5666" s="309"/>
      <c r="I5666" s="309"/>
      <c r="J5666" s="309"/>
    </row>
    <row r="5667">
      <c r="B5667" s="309"/>
      <c r="C5667" s="309"/>
      <c r="I5667" s="309"/>
      <c r="J5667" s="309"/>
    </row>
    <row r="5668">
      <c r="B5668" s="309"/>
      <c r="C5668" s="309"/>
      <c r="I5668" s="309"/>
      <c r="J5668" s="309"/>
    </row>
    <row r="5669">
      <c r="B5669" s="309"/>
      <c r="C5669" s="309"/>
      <c r="I5669" s="309"/>
      <c r="J5669" s="309"/>
    </row>
    <row r="5670">
      <c r="B5670" s="309"/>
      <c r="C5670" s="309"/>
      <c r="I5670" s="309"/>
      <c r="J5670" s="309"/>
    </row>
    <row r="5671">
      <c r="B5671" s="309"/>
      <c r="C5671" s="309"/>
      <c r="I5671" s="309"/>
      <c r="J5671" s="309"/>
    </row>
    <row r="5672">
      <c r="B5672" s="309"/>
      <c r="C5672" s="309"/>
      <c r="I5672" s="309"/>
      <c r="J5672" s="309"/>
    </row>
    <row r="5673">
      <c r="B5673" s="309"/>
      <c r="C5673" s="309"/>
      <c r="I5673" s="309"/>
      <c r="J5673" s="309"/>
    </row>
    <row r="5674">
      <c r="B5674" s="309"/>
      <c r="C5674" s="309"/>
      <c r="I5674" s="309"/>
      <c r="J5674" s="309"/>
    </row>
    <row r="5675">
      <c r="B5675" s="309"/>
      <c r="C5675" s="309"/>
      <c r="I5675" s="309"/>
      <c r="J5675" s="309"/>
    </row>
    <row r="5676">
      <c r="B5676" s="309"/>
      <c r="C5676" s="309"/>
      <c r="I5676" s="309"/>
      <c r="J5676" s="309"/>
    </row>
    <row r="5677">
      <c r="B5677" s="309"/>
      <c r="C5677" s="309"/>
      <c r="I5677" s="309"/>
      <c r="J5677" s="309"/>
    </row>
    <row r="5678">
      <c r="B5678" s="309"/>
      <c r="C5678" s="309"/>
      <c r="I5678" s="309"/>
      <c r="J5678" s="309"/>
    </row>
    <row r="5679">
      <c r="B5679" s="309"/>
      <c r="C5679" s="309"/>
      <c r="I5679" s="309"/>
      <c r="J5679" s="309"/>
    </row>
    <row r="5680">
      <c r="B5680" s="309"/>
      <c r="C5680" s="309"/>
      <c r="I5680" s="309"/>
      <c r="J5680" s="309"/>
    </row>
    <row r="5681">
      <c r="B5681" s="309"/>
      <c r="C5681" s="309"/>
      <c r="I5681" s="309"/>
      <c r="J5681" s="309"/>
    </row>
    <row r="5682">
      <c r="B5682" s="309"/>
      <c r="C5682" s="309"/>
      <c r="I5682" s="309"/>
      <c r="J5682" s="309"/>
    </row>
    <row r="5683">
      <c r="B5683" s="309"/>
      <c r="C5683" s="309"/>
      <c r="I5683" s="309"/>
      <c r="J5683" s="309"/>
    </row>
    <row r="5684">
      <c r="B5684" s="309"/>
      <c r="C5684" s="309"/>
      <c r="I5684" s="309"/>
      <c r="J5684" s="309"/>
    </row>
    <row r="5685">
      <c r="B5685" s="309"/>
      <c r="C5685" s="309"/>
      <c r="I5685" s="309"/>
      <c r="J5685" s="309"/>
    </row>
    <row r="5686">
      <c r="B5686" s="309"/>
      <c r="C5686" s="309"/>
      <c r="I5686" s="309"/>
      <c r="J5686" s="309"/>
    </row>
    <row r="5687">
      <c r="B5687" s="309"/>
      <c r="C5687" s="309"/>
      <c r="I5687" s="309"/>
      <c r="J5687" s="309"/>
    </row>
    <row r="5688">
      <c r="B5688" s="309"/>
      <c r="C5688" s="309"/>
      <c r="I5688" s="309"/>
      <c r="J5688" s="309"/>
    </row>
    <row r="5689">
      <c r="B5689" s="309"/>
      <c r="C5689" s="309"/>
      <c r="I5689" s="309"/>
      <c r="J5689" s="309"/>
    </row>
    <row r="5690">
      <c r="B5690" s="309"/>
      <c r="C5690" s="309"/>
      <c r="I5690" s="309"/>
      <c r="J5690" s="309"/>
    </row>
    <row r="5691">
      <c r="B5691" s="309"/>
      <c r="C5691" s="309"/>
      <c r="I5691" s="309"/>
      <c r="J5691" s="309"/>
    </row>
    <row r="5692">
      <c r="B5692" s="309"/>
      <c r="C5692" s="309"/>
      <c r="I5692" s="309"/>
      <c r="J5692" s="309"/>
    </row>
    <row r="5693">
      <c r="B5693" s="309"/>
      <c r="C5693" s="309"/>
      <c r="I5693" s="309"/>
      <c r="J5693" s="309"/>
    </row>
    <row r="5694">
      <c r="B5694" s="309"/>
      <c r="C5694" s="309"/>
      <c r="I5694" s="309"/>
      <c r="J5694" s="309"/>
    </row>
    <row r="5695">
      <c r="B5695" s="309"/>
      <c r="C5695" s="309"/>
      <c r="I5695" s="309"/>
      <c r="J5695" s="309"/>
    </row>
    <row r="5696">
      <c r="B5696" s="309"/>
      <c r="C5696" s="309"/>
      <c r="I5696" s="309"/>
      <c r="J5696" s="309"/>
    </row>
    <row r="5697">
      <c r="B5697" s="309"/>
      <c r="C5697" s="309"/>
      <c r="I5697" s="309"/>
      <c r="J5697" s="309"/>
    </row>
    <row r="5698">
      <c r="B5698" s="309"/>
      <c r="C5698" s="309"/>
      <c r="I5698" s="309"/>
      <c r="J5698" s="309"/>
    </row>
    <row r="5699">
      <c r="B5699" s="309"/>
      <c r="C5699" s="309"/>
      <c r="I5699" s="309"/>
      <c r="J5699" s="309"/>
    </row>
    <row r="5700">
      <c r="B5700" s="309"/>
      <c r="C5700" s="309"/>
      <c r="I5700" s="309"/>
      <c r="J5700" s="309"/>
    </row>
    <row r="5701">
      <c r="B5701" s="309"/>
      <c r="C5701" s="309"/>
      <c r="I5701" s="309"/>
      <c r="J5701" s="309"/>
    </row>
    <row r="5702">
      <c r="B5702" s="309"/>
      <c r="C5702" s="309"/>
      <c r="I5702" s="309"/>
      <c r="J5702" s="309"/>
    </row>
    <row r="5703">
      <c r="B5703" s="309"/>
      <c r="C5703" s="309"/>
      <c r="I5703" s="309"/>
      <c r="J5703" s="309"/>
    </row>
    <row r="5704">
      <c r="B5704" s="309"/>
      <c r="C5704" s="309"/>
      <c r="I5704" s="309"/>
      <c r="J5704" s="309"/>
    </row>
    <row r="5705">
      <c r="B5705" s="309"/>
      <c r="C5705" s="309"/>
      <c r="I5705" s="309"/>
      <c r="J5705" s="309"/>
    </row>
    <row r="5706">
      <c r="B5706" s="309"/>
      <c r="C5706" s="309"/>
      <c r="I5706" s="309"/>
      <c r="J5706" s="309"/>
    </row>
    <row r="5707">
      <c r="B5707" s="309"/>
      <c r="C5707" s="309"/>
      <c r="I5707" s="309"/>
      <c r="J5707" s="309"/>
    </row>
    <row r="5708">
      <c r="B5708" s="309"/>
      <c r="C5708" s="309"/>
      <c r="I5708" s="309"/>
      <c r="J5708" s="309"/>
    </row>
    <row r="5709">
      <c r="B5709" s="309"/>
      <c r="C5709" s="309"/>
      <c r="I5709" s="309"/>
      <c r="J5709" s="309"/>
    </row>
    <row r="5710">
      <c r="B5710" s="309"/>
      <c r="C5710" s="309"/>
      <c r="I5710" s="309"/>
      <c r="J5710" s="309"/>
    </row>
    <row r="5711">
      <c r="B5711" s="309"/>
      <c r="C5711" s="309"/>
      <c r="I5711" s="309"/>
      <c r="J5711" s="309"/>
    </row>
    <row r="5712">
      <c r="B5712" s="309"/>
      <c r="C5712" s="309"/>
      <c r="I5712" s="309"/>
      <c r="J5712" s="309"/>
    </row>
    <row r="5713">
      <c r="B5713" s="309"/>
      <c r="C5713" s="309"/>
      <c r="I5713" s="309"/>
      <c r="J5713" s="309"/>
    </row>
    <row r="5714">
      <c r="B5714" s="309"/>
      <c r="C5714" s="309"/>
      <c r="I5714" s="309"/>
      <c r="J5714" s="309"/>
    </row>
    <row r="5715">
      <c r="B5715" s="309"/>
      <c r="C5715" s="309"/>
      <c r="I5715" s="309"/>
      <c r="J5715" s="309"/>
    </row>
    <row r="5716">
      <c r="B5716" s="309"/>
      <c r="C5716" s="309"/>
      <c r="I5716" s="309"/>
      <c r="J5716" s="309"/>
    </row>
    <row r="5717">
      <c r="B5717" s="309"/>
      <c r="C5717" s="309"/>
      <c r="I5717" s="309"/>
      <c r="J5717" s="309"/>
    </row>
    <row r="5718">
      <c r="B5718" s="309"/>
      <c r="C5718" s="309"/>
      <c r="I5718" s="309"/>
      <c r="J5718" s="309"/>
    </row>
    <row r="5719">
      <c r="B5719" s="309"/>
      <c r="C5719" s="309"/>
      <c r="I5719" s="309"/>
      <c r="J5719" s="309"/>
    </row>
    <row r="5720">
      <c r="B5720" s="309"/>
      <c r="C5720" s="309"/>
      <c r="I5720" s="309"/>
      <c r="J5720" s="309"/>
    </row>
    <row r="5721">
      <c r="B5721" s="309"/>
      <c r="C5721" s="309"/>
      <c r="I5721" s="309"/>
      <c r="J5721" s="309"/>
    </row>
    <row r="5722">
      <c r="B5722" s="309"/>
      <c r="C5722" s="309"/>
      <c r="I5722" s="309"/>
      <c r="J5722" s="309"/>
    </row>
    <row r="5723">
      <c r="B5723" s="309"/>
      <c r="C5723" s="309"/>
      <c r="I5723" s="309"/>
      <c r="J5723" s="309"/>
    </row>
    <row r="5724">
      <c r="B5724" s="309"/>
      <c r="C5724" s="309"/>
      <c r="I5724" s="309"/>
      <c r="J5724" s="309"/>
    </row>
    <row r="5725">
      <c r="B5725" s="309"/>
      <c r="C5725" s="309"/>
      <c r="I5725" s="309"/>
      <c r="J5725" s="309"/>
    </row>
    <row r="5726">
      <c r="B5726" s="309"/>
      <c r="C5726" s="309"/>
      <c r="I5726" s="309"/>
      <c r="J5726" s="309"/>
    </row>
    <row r="5727">
      <c r="B5727" s="309"/>
      <c r="C5727" s="309"/>
      <c r="I5727" s="309"/>
      <c r="J5727" s="309"/>
    </row>
    <row r="5728">
      <c r="B5728" s="309"/>
      <c r="C5728" s="309"/>
      <c r="I5728" s="309"/>
      <c r="J5728" s="309"/>
    </row>
    <row r="5729">
      <c r="B5729" s="309"/>
      <c r="C5729" s="309"/>
      <c r="I5729" s="309"/>
      <c r="J5729" s="309"/>
    </row>
    <row r="5730">
      <c r="B5730" s="309"/>
      <c r="C5730" s="309"/>
      <c r="I5730" s="309"/>
      <c r="J5730" s="309"/>
    </row>
    <row r="5731">
      <c r="B5731" s="309"/>
      <c r="C5731" s="309"/>
      <c r="I5731" s="309"/>
      <c r="J5731" s="309"/>
    </row>
    <row r="5732">
      <c r="B5732" s="309"/>
      <c r="C5732" s="309"/>
      <c r="I5732" s="309"/>
      <c r="J5732" s="309"/>
    </row>
    <row r="5733">
      <c r="B5733" s="309"/>
      <c r="C5733" s="309"/>
      <c r="I5733" s="309"/>
      <c r="J5733" s="309"/>
    </row>
    <row r="5734">
      <c r="B5734" s="309"/>
      <c r="C5734" s="309"/>
      <c r="I5734" s="309"/>
      <c r="J5734" s="309"/>
    </row>
    <row r="5735">
      <c r="B5735" s="309"/>
      <c r="C5735" s="309"/>
      <c r="I5735" s="309"/>
      <c r="J5735" s="309"/>
    </row>
    <row r="5736">
      <c r="B5736" s="309"/>
      <c r="C5736" s="309"/>
      <c r="I5736" s="309"/>
      <c r="J5736" s="309"/>
    </row>
    <row r="5737">
      <c r="B5737" s="309"/>
      <c r="C5737" s="309"/>
      <c r="I5737" s="309"/>
      <c r="J5737" s="309"/>
    </row>
    <row r="5738">
      <c r="B5738" s="309"/>
      <c r="C5738" s="309"/>
      <c r="I5738" s="309"/>
      <c r="J5738" s="309"/>
    </row>
    <row r="5739">
      <c r="B5739" s="309"/>
      <c r="C5739" s="309"/>
      <c r="I5739" s="309"/>
      <c r="J5739" s="309"/>
    </row>
    <row r="5740">
      <c r="B5740" s="309"/>
      <c r="C5740" s="309"/>
      <c r="I5740" s="309"/>
      <c r="J5740" s="309"/>
    </row>
    <row r="5741">
      <c r="B5741" s="309"/>
      <c r="C5741" s="309"/>
      <c r="I5741" s="309"/>
      <c r="J5741" s="309"/>
    </row>
    <row r="5742">
      <c r="B5742" s="309"/>
      <c r="C5742" s="309"/>
      <c r="I5742" s="309"/>
      <c r="J5742" s="309"/>
    </row>
    <row r="5743">
      <c r="B5743" s="309"/>
      <c r="C5743" s="309"/>
      <c r="I5743" s="309"/>
      <c r="J5743" s="309"/>
    </row>
    <row r="5744">
      <c r="B5744" s="309"/>
      <c r="C5744" s="309"/>
      <c r="I5744" s="309"/>
      <c r="J5744" s="309"/>
    </row>
    <row r="5745">
      <c r="B5745" s="309"/>
      <c r="C5745" s="309"/>
      <c r="I5745" s="309"/>
      <c r="J5745" s="309"/>
    </row>
    <row r="5746">
      <c r="B5746" s="309"/>
      <c r="C5746" s="309"/>
      <c r="I5746" s="309"/>
      <c r="J5746" s="309"/>
    </row>
    <row r="5747">
      <c r="B5747" s="309"/>
      <c r="C5747" s="309"/>
      <c r="I5747" s="309"/>
      <c r="J5747" s="309"/>
    </row>
    <row r="5748">
      <c r="B5748" s="309"/>
      <c r="C5748" s="309"/>
      <c r="I5748" s="309"/>
      <c r="J5748" s="309"/>
    </row>
    <row r="5749">
      <c r="B5749" s="309"/>
      <c r="C5749" s="309"/>
      <c r="I5749" s="309"/>
      <c r="J5749" s="309"/>
    </row>
    <row r="5750">
      <c r="B5750" s="309"/>
      <c r="C5750" s="309"/>
      <c r="I5750" s="309"/>
      <c r="J5750" s="309"/>
    </row>
    <row r="5751">
      <c r="B5751" s="309"/>
      <c r="C5751" s="309"/>
      <c r="I5751" s="309"/>
      <c r="J5751" s="309"/>
    </row>
    <row r="5752">
      <c r="B5752" s="309"/>
      <c r="C5752" s="309"/>
      <c r="I5752" s="309"/>
      <c r="J5752" s="309"/>
    </row>
    <row r="5753">
      <c r="B5753" s="309"/>
      <c r="C5753" s="309"/>
      <c r="I5753" s="309"/>
      <c r="J5753" s="309"/>
    </row>
    <row r="5754">
      <c r="B5754" s="309"/>
      <c r="C5754" s="309"/>
      <c r="I5754" s="309"/>
      <c r="J5754" s="309"/>
    </row>
    <row r="5755">
      <c r="B5755" s="309"/>
      <c r="C5755" s="309"/>
      <c r="I5755" s="309"/>
      <c r="J5755" s="309"/>
    </row>
    <row r="5756">
      <c r="B5756" s="309"/>
      <c r="C5756" s="309"/>
      <c r="I5756" s="309"/>
      <c r="J5756" s="309"/>
    </row>
    <row r="5757">
      <c r="B5757" s="309"/>
      <c r="C5757" s="309"/>
      <c r="I5757" s="309"/>
      <c r="J5757" s="309"/>
    </row>
    <row r="5758">
      <c r="B5758" s="309"/>
      <c r="C5758" s="309"/>
      <c r="I5758" s="309"/>
      <c r="J5758" s="309"/>
    </row>
    <row r="5759">
      <c r="B5759" s="309"/>
      <c r="C5759" s="309"/>
      <c r="I5759" s="309"/>
      <c r="J5759" s="309"/>
    </row>
    <row r="5760">
      <c r="B5760" s="309"/>
      <c r="C5760" s="309"/>
      <c r="I5760" s="309"/>
      <c r="J5760" s="309"/>
    </row>
    <row r="5761">
      <c r="B5761" s="309"/>
      <c r="C5761" s="309"/>
      <c r="I5761" s="309"/>
      <c r="J5761" s="309"/>
    </row>
    <row r="5762">
      <c r="B5762" s="309"/>
      <c r="C5762" s="309"/>
      <c r="I5762" s="309"/>
      <c r="J5762" s="309"/>
    </row>
    <row r="5763">
      <c r="B5763" s="309"/>
      <c r="C5763" s="309"/>
      <c r="I5763" s="309"/>
      <c r="J5763" s="309"/>
    </row>
    <row r="5764">
      <c r="B5764" s="309"/>
      <c r="C5764" s="309"/>
      <c r="I5764" s="309"/>
      <c r="J5764" s="309"/>
    </row>
    <row r="5765">
      <c r="B5765" s="309"/>
      <c r="C5765" s="309"/>
      <c r="I5765" s="309"/>
      <c r="J5765" s="309"/>
    </row>
    <row r="5766">
      <c r="B5766" s="309"/>
      <c r="C5766" s="309"/>
      <c r="I5766" s="309"/>
      <c r="J5766" s="309"/>
    </row>
    <row r="5767">
      <c r="B5767" s="309"/>
      <c r="C5767" s="309"/>
      <c r="I5767" s="309"/>
      <c r="J5767" s="309"/>
    </row>
    <row r="5768">
      <c r="B5768" s="309"/>
      <c r="C5768" s="309"/>
      <c r="I5768" s="309"/>
      <c r="J5768" s="309"/>
    </row>
    <row r="5769">
      <c r="B5769" s="309"/>
      <c r="C5769" s="309"/>
      <c r="I5769" s="309"/>
      <c r="J5769" s="309"/>
    </row>
    <row r="5770">
      <c r="B5770" s="309"/>
      <c r="C5770" s="309"/>
      <c r="I5770" s="309"/>
      <c r="J5770" s="309"/>
    </row>
    <row r="5771">
      <c r="B5771" s="309"/>
      <c r="C5771" s="309"/>
      <c r="I5771" s="309"/>
      <c r="J5771" s="309"/>
    </row>
    <row r="5772">
      <c r="B5772" s="309"/>
      <c r="C5772" s="309"/>
      <c r="I5772" s="309"/>
      <c r="J5772" s="309"/>
    </row>
    <row r="5773">
      <c r="B5773" s="309"/>
      <c r="C5773" s="309"/>
      <c r="I5773" s="309"/>
      <c r="J5773" s="309"/>
    </row>
    <row r="5774">
      <c r="B5774" s="309"/>
      <c r="C5774" s="309"/>
      <c r="I5774" s="309"/>
      <c r="J5774" s="309"/>
    </row>
    <row r="5775">
      <c r="B5775" s="309"/>
      <c r="C5775" s="309"/>
      <c r="I5775" s="309"/>
      <c r="J5775" s="309"/>
    </row>
    <row r="5776">
      <c r="B5776" s="309"/>
      <c r="C5776" s="309"/>
      <c r="I5776" s="309"/>
      <c r="J5776" s="309"/>
    </row>
    <row r="5777">
      <c r="B5777" s="309"/>
      <c r="C5777" s="309"/>
      <c r="I5777" s="309"/>
      <c r="J5777" s="309"/>
    </row>
    <row r="5778">
      <c r="B5778" s="309"/>
      <c r="C5778" s="309"/>
      <c r="I5778" s="309"/>
      <c r="J5778" s="309"/>
    </row>
    <row r="5779">
      <c r="B5779" s="309"/>
      <c r="C5779" s="309"/>
      <c r="I5779" s="309"/>
      <c r="J5779" s="309"/>
    </row>
    <row r="5780">
      <c r="B5780" s="309"/>
      <c r="C5780" s="309"/>
      <c r="I5780" s="309"/>
      <c r="J5780" s="309"/>
    </row>
    <row r="5781">
      <c r="B5781" s="309"/>
      <c r="C5781" s="309"/>
      <c r="I5781" s="309"/>
      <c r="J5781" s="309"/>
    </row>
    <row r="5782">
      <c r="B5782" s="309"/>
      <c r="C5782" s="309"/>
      <c r="I5782" s="309"/>
      <c r="J5782" s="309"/>
    </row>
    <row r="5783">
      <c r="B5783" s="309"/>
      <c r="C5783" s="309"/>
      <c r="I5783" s="309"/>
      <c r="J5783" s="309"/>
    </row>
    <row r="5784">
      <c r="B5784" s="309"/>
      <c r="C5784" s="309"/>
      <c r="I5784" s="309"/>
      <c r="J5784" s="309"/>
    </row>
    <row r="5785">
      <c r="B5785" s="309"/>
      <c r="C5785" s="309"/>
      <c r="I5785" s="309"/>
      <c r="J5785" s="309"/>
    </row>
    <row r="5786">
      <c r="B5786" s="309"/>
      <c r="C5786" s="309"/>
      <c r="I5786" s="309"/>
      <c r="J5786" s="309"/>
    </row>
    <row r="5787">
      <c r="B5787" s="309"/>
      <c r="C5787" s="309"/>
      <c r="I5787" s="309"/>
      <c r="J5787" s="309"/>
    </row>
    <row r="5788">
      <c r="B5788" s="309"/>
      <c r="C5788" s="309"/>
      <c r="I5788" s="309"/>
      <c r="J5788" s="309"/>
    </row>
    <row r="5789">
      <c r="B5789" s="309"/>
      <c r="C5789" s="309"/>
      <c r="I5789" s="309"/>
      <c r="J5789" s="309"/>
    </row>
    <row r="5790">
      <c r="B5790" s="309"/>
      <c r="C5790" s="309"/>
      <c r="I5790" s="309"/>
      <c r="J5790" s="309"/>
    </row>
    <row r="5791">
      <c r="B5791" s="309"/>
      <c r="C5791" s="309"/>
      <c r="I5791" s="309"/>
      <c r="J5791" s="309"/>
    </row>
    <row r="5792">
      <c r="B5792" s="309"/>
      <c r="C5792" s="309"/>
      <c r="I5792" s="309"/>
      <c r="J5792" s="309"/>
    </row>
    <row r="5793">
      <c r="B5793" s="309"/>
      <c r="C5793" s="309"/>
      <c r="I5793" s="309"/>
      <c r="J5793" s="309"/>
    </row>
    <row r="5794">
      <c r="B5794" s="309"/>
      <c r="C5794" s="309"/>
      <c r="I5794" s="309"/>
      <c r="J5794" s="309"/>
    </row>
    <row r="5795">
      <c r="B5795" s="309"/>
      <c r="C5795" s="309"/>
      <c r="I5795" s="309"/>
      <c r="J5795" s="309"/>
    </row>
    <row r="5796">
      <c r="B5796" s="309"/>
      <c r="C5796" s="309"/>
      <c r="I5796" s="309"/>
      <c r="J5796" s="309"/>
    </row>
    <row r="5797">
      <c r="B5797" s="309"/>
      <c r="C5797" s="309"/>
      <c r="I5797" s="309"/>
      <c r="J5797" s="309"/>
    </row>
    <row r="5798">
      <c r="B5798" s="309"/>
      <c r="C5798" s="309"/>
      <c r="I5798" s="309"/>
      <c r="J5798" s="309"/>
    </row>
    <row r="5799">
      <c r="B5799" s="309"/>
      <c r="C5799" s="309"/>
      <c r="I5799" s="309"/>
      <c r="J5799" s="309"/>
    </row>
    <row r="5800">
      <c r="B5800" s="309"/>
      <c r="C5800" s="309"/>
      <c r="I5800" s="309"/>
      <c r="J5800" s="309"/>
    </row>
    <row r="5801">
      <c r="B5801" s="309"/>
      <c r="C5801" s="309"/>
      <c r="I5801" s="309"/>
      <c r="J5801" s="309"/>
    </row>
    <row r="5802">
      <c r="B5802" s="309"/>
      <c r="C5802" s="309"/>
      <c r="I5802" s="309"/>
      <c r="J5802" s="309"/>
    </row>
    <row r="5803">
      <c r="B5803" s="309"/>
      <c r="C5803" s="309"/>
      <c r="I5803" s="309"/>
      <c r="J5803" s="309"/>
    </row>
    <row r="5804">
      <c r="B5804" s="309"/>
      <c r="C5804" s="309"/>
      <c r="I5804" s="309"/>
      <c r="J5804" s="309"/>
    </row>
    <row r="5805">
      <c r="B5805" s="309"/>
      <c r="C5805" s="309"/>
      <c r="I5805" s="309"/>
      <c r="J5805" s="309"/>
    </row>
    <row r="5806">
      <c r="B5806" s="309"/>
      <c r="C5806" s="309"/>
      <c r="I5806" s="309"/>
      <c r="J5806" s="309"/>
    </row>
    <row r="5807">
      <c r="B5807" s="309"/>
      <c r="C5807" s="309"/>
      <c r="I5807" s="309"/>
      <c r="J5807" s="309"/>
    </row>
    <row r="5808">
      <c r="B5808" s="309"/>
      <c r="C5808" s="309"/>
      <c r="I5808" s="309"/>
      <c r="J5808" s="309"/>
    </row>
    <row r="5809">
      <c r="B5809" s="309"/>
      <c r="C5809" s="309"/>
      <c r="I5809" s="309"/>
      <c r="J5809" s="309"/>
    </row>
    <row r="5810">
      <c r="B5810" s="309"/>
      <c r="C5810" s="309"/>
      <c r="I5810" s="309"/>
      <c r="J5810" s="309"/>
    </row>
    <row r="5811">
      <c r="B5811" s="309"/>
      <c r="C5811" s="309"/>
      <c r="I5811" s="309"/>
      <c r="J5811" s="309"/>
    </row>
    <row r="5812">
      <c r="B5812" s="309"/>
      <c r="C5812" s="309"/>
      <c r="I5812" s="309"/>
      <c r="J5812" s="309"/>
    </row>
    <row r="5813">
      <c r="B5813" s="309"/>
      <c r="C5813" s="309"/>
      <c r="I5813" s="309"/>
      <c r="J5813" s="309"/>
    </row>
    <row r="5814">
      <c r="B5814" s="309"/>
      <c r="C5814" s="309"/>
      <c r="I5814" s="309"/>
      <c r="J5814" s="309"/>
    </row>
    <row r="5815">
      <c r="B5815" s="309"/>
      <c r="C5815" s="309"/>
      <c r="I5815" s="309"/>
      <c r="J5815" s="309"/>
    </row>
    <row r="5816">
      <c r="B5816" s="309"/>
      <c r="C5816" s="309"/>
      <c r="I5816" s="309"/>
      <c r="J5816" s="309"/>
    </row>
    <row r="5817">
      <c r="B5817" s="309"/>
      <c r="C5817" s="309"/>
      <c r="I5817" s="309"/>
      <c r="J5817" s="309"/>
    </row>
    <row r="5818">
      <c r="B5818" s="309"/>
      <c r="C5818" s="309"/>
      <c r="I5818" s="309"/>
      <c r="J5818" s="309"/>
    </row>
    <row r="5819">
      <c r="B5819" s="309"/>
      <c r="C5819" s="309"/>
      <c r="I5819" s="309"/>
      <c r="J5819" s="309"/>
    </row>
    <row r="5820">
      <c r="B5820" s="309"/>
      <c r="C5820" s="309"/>
      <c r="I5820" s="309"/>
      <c r="J5820" s="309"/>
    </row>
    <row r="5821">
      <c r="B5821" s="309"/>
      <c r="C5821" s="309"/>
      <c r="I5821" s="309"/>
      <c r="J5821" s="309"/>
    </row>
    <row r="5822">
      <c r="B5822" s="309"/>
      <c r="C5822" s="309"/>
      <c r="I5822" s="309"/>
      <c r="J5822" s="309"/>
    </row>
    <row r="5823">
      <c r="B5823" s="309"/>
      <c r="C5823" s="309"/>
      <c r="I5823" s="309"/>
      <c r="J5823" s="309"/>
    </row>
    <row r="5824">
      <c r="B5824" s="309"/>
      <c r="C5824" s="309"/>
      <c r="I5824" s="309"/>
      <c r="J5824" s="309"/>
    </row>
    <row r="5825">
      <c r="B5825" s="309"/>
      <c r="C5825" s="309"/>
      <c r="I5825" s="309"/>
      <c r="J5825" s="309"/>
    </row>
    <row r="5826">
      <c r="B5826" s="309"/>
      <c r="C5826" s="309"/>
      <c r="I5826" s="309"/>
      <c r="J5826" s="309"/>
    </row>
    <row r="5827">
      <c r="B5827" s="309"/>
      <c r="C5827" s="309"/>
      <c r="I5827" s="309"/>
      <c r="J5827" s="309"/>
    </row>
    <row r="5828">
      <c r="B5828" s="309"/>
      <c r="C5828" s="309"/>
      <c r="I5828" s="309"/>
      <c r="J5828" s="309"/>
    </row>
    <row r="5829">
      <c r="B5829" s="309"/>
      <c r="C5829" s="309"/>
      <c r="I5829" s="309"/>
      <c r="J5829" s="309"/>
    </row>
    <row r="5830">
      <c r="B5830" s="309"/>
      <c r="C5830" s="309"/>
      <c r="I5830" s="309"/>
      <c r="J5830" s="309"/>
    </row>
    <row r="5831">
      <c r="B5831" s="309"/>
      <c r="C5831" s="309"/>
      <c r="I5831" s="309"/>
      <c r="J5831" s="309"/>
    </row>
    <row r="5832">
      <c r="B5832" s="309"/>
      <c r="C5832" s="309"/>
      <c r="I5832" s="309"/>
      <c r="J5832" s="309"/>
    </row>
    <row r="5833">
      <c r="B5833" s="309"/>
      <c r="C5833" s="309"/>
      <c r="I5833" s="309"/>
      <c r="J5833" s="309"/>
    </row>
    <row r="5834">
      <c r="B5834" s="309"/>
      <c r="C5834" s="309"/>
      <c r="I5834" s="309"/>
      <c r="J5834" s="309"/>
    </row>
    <row r="5835">
      <c r="B5835" s="309"/>
      <c r="C5835" s="309"/>
      <c r="I5835" s="309"/>
      <c r="J5835" s="309"/>
    </row>
    <row r="5836">
      <c r="B5836" s="309"/>
      <c r="C5836" s="309"/>
      <c r="I5836" s="309"/>
      <c r="J5836" s="309"/>
    </row>
    <row r="5837">
      <c r="B5837" s="309"/>
      <c r="C5837" s="309"/>
      <c r="I5837" s="309"/>
      <c r="J5837" s="309"/>
    </row>
    <row r="5838">
      <c r="B5838" s="309"/>
      <c r="C5838" s="309"/>
      <c r="I5838" s="309"/>
      <c r="J5838" s="309"/>
    </row>
    <row r="5839">
      <c r="B5839" s="309"/>
      <c r="C5839" s="309"/>
      <c r="I5839" s="309"/>
      <c r="J5839" s="309"/>
    </row>
    <row r="5840">
      <c r="B5840" s="309"/>
      <c r="C5840" s="309"/>
      <c r="I5840" s="309"/>
      <c r="J5840" s="309"/>
    </row>
    <row r="5841">
      <c r="B5841" s="309"/>
      <c r="C5841" s="309"/>
      <c r="I5841" s="309"/>
      <c r="J5841" s="309"/>
    </row>
    <row r="5842">
      <c r="B5842" s="309"/>
      <c r="C5842" s="309"/>
      <c r="I5842" s="309"/>
      <c r="J5842" s="309"/>
    </row>
    <row r="5843">
      <c r="B5843" s="309"/>
      <c r="C5843" s="309"/>
      <c r="I5843" s="309"/>
      <c r="J5843" s="309"/>
    </row>
    <row r="5844">
      <c r="B5844" s="309"/>
      <c r="C5844" s="309"/>
      <c r="I5844" s="309"/>
      <c r="J5844" s="309"/>
    </row>
    <row r="5845">
      <c r="B5845" s="309"/>
      <c r="C5845" s="309"/>
      <c r="I5845" s="309"/>
      <c r="J5845" s="309"/>
    </row>
    <row r="5846">
      <c r="B5846" s="309"/>
      <c r="C5846" s="309"/>
      <c r="I5846" s="309"/>
      <c r="J5846" s="309"/>
    </row>
    <row r="5847">
      <c r="B5847" s="309"/>
      <c r="C5847" s="309"/>
      <c r="I5847" s="309"/>
      <c r="J5847" s="309"/>
    </row>
    <row r="5848">
      <c r="B5848" s="309"/>
      <c r="C5848" s="309"/>
      <c r="I5848" s="309"/>
      <c r="J5848" s="309"/>
    </row>
    <row r="5849">
      <c r="B5849" s="309"/>
      <c r="C5849" s="309"/>
      <c r="I5849" s="309"/>
      <c r="J5849" s="309"/>
    </row>
    <row r="5850">
      <c r="B5850" s="309"/>
      <c r="C5850" s="309"/>
      <c r="I5850" s="309"/>
      <c r="J5850" s="309"/>
    </row>
    <row r="5851">
      <c r="B5851" s="309"/>
      <c r="C5851" s="309"/>
      <c r="I5851" s="309"/>
      <c r="J5851" s="309"/>
    </row>
    <row r="5852">
      <c r="B5852" s="309"/>
      <c r="C5852" s="309"/>
      <c r="I5852" s="309"/>
      <c r="J5852" s="309"/>
    </row>
    <row r="5853">
      <c r="B5853" s="309"/>
      <c r="C5853" s="309"/>
      <c r="I5853" s="309"/>
      <c r="J5853" s="309"/>
    </row>
    <row r="5854">
      <c r="B5854" s="309"/>
      <c r="C5854" s="309"/>
      <c r="I5854" s="309"/>
      <c r="J5854" s="309"/>
    </row>
    <row r="5855">
      <c r="B5855" s="309"/>
      <c r="C5855" s="309"/>
      <c r="I5855" s="309"/>
      <c r="J5855" s="309"/>
    </row>
    <row r="5856">
      <c r="B5856" s="309"/>
      <c r="C5856" s="309"/>
      <c r="I5856" s="309"/>
      <c r="J5856" s="309"/>
    </row>
    <row r="5857">
      <c r="B5857" s="309"/>
      <c r="C5857" s="309"/>
      <c r="I5857" s="309"/>
      <c r="J5857" s="309"/>
    </row>
    <row r="5858">
      <c r="B5858" s="309"/>
      <c r="C5858" s="309"/>
      <c r="I5858" s="309"/>
      <c r="J5858" s="309"/>
    </row>
    <row r="5859">
      <c r="B5859" s="309"/>
      <c r="C5859" s="309"/>
      <c r="I5859" s="309"/>
      <c r="J5859" s="309"/>
    </row>
    <row r="5860">
      <c r="B5860" s="309"/>
      <c r="C5860" s="309"/>
      <c r="I5860" s="309"/>
      <c r="J5860" s="309"/>
    </row>
    <row r="5861">
      <c r="B5861" s="309"/>
      <c r="C5861" s="309"/>
      <c r="I5861" s="309"/>
      <c r="J5861" s="309"/>
    </row>
    <row r="5862">
      <c r="B5862" s="309"/>
      <c r="C5862" s="309"/>
      <c r="I5862" s="309"/>
      <c r="J5862" s="309"/>
    </row>
    <row r="5863">
      <c r="B5863" s="309"/>
      <c r="C5863" s="309"/>
      <c r="I5863" s="309"/>
      <c r="J5863" s="309"/>
    </row>
    <row r="5864">
      <c r="B5864" s="309"/>
      <c r="C5864" s="309"/>
      <c r="I5864" s="309"/>
      <c r="J5864" s="309"/>
    </row>
    <row r="5865">
      <c r="B5865" s="309"/>
      <c r="C5865" s="309"/>
      <c r="I5865" s="309"/>
      <c r="J5865" s="309"/>
    </row>
    <row r="5866">
      <c r="B5866" s="309"/>
      <c r="C5866" s="309"/>
      <c r="I5866" s="309"/>
      <c r="J5866" s="309"/>
    </row>
    <row r="5867">
      <c r="B5867" s="309"/>
      <c r="C5867" s="309"/>
      <c r="I5867" s="309"/>
      <c r="J5867" s="309"/>
    </row>
    <row r="5868">
      <c r="B5868" s="309"/>
      <c r="C5868" s="309"/>
      <c r="I5868" s="309"/>
      <c r="J5868" s="309"/>
    </row>
    <row r="5869">
      <c r="B5869" s="309"/>
      <c r="C5869" s="309"/>
      <c r="I5869" s="309"/>
      <c r="J5869" s="309"/>
    </row>
    <row r="5870">
      <c r="B5870" s="309"/>
      <c r="C5870" s="309"/>
      <c r="I5870" s="309"/>
      <c r="J5870" s="309"/>
    </row>
    <row r="5871">
      <c r="B5871" s="309"/>
      <c r="C5871" s="309"/>
      <c r="I5871" s="309"/>
      <c r="J5871" s="309"/>
    </row>
    <row r="5872">
      <c r="B5872" s="309"/>
      <c r="C5872" s="309"/>
      <c r="I5872" s="309"/>
      <c r="J5872" s="309"/>
    </row>
    <row r="5873">
      <c r="B5873" s="309"/>
      <c r="C5873" s="309"/>
      <c r="I5873" s="309"/>
      <c r="J5873" s="309"/>
    </row>
    <row r="5874">
      <c r="B5874" s="309"/>
      <c r="C5874" s="309"/>
      <c r="I5874" s="309"/>
      <c r="J5874" s="309"/>
    </row>
    <row r="5875">
      <c r="B5875" s="309"/>
      <c r="C5875" s="309"/>
      <c r="I5875" s="309"/>
      <c r="J5875" s="309"/>
    </row>
    <row r="5876">
      <c r="B5876" s="309"/>
      <c r="C5876" s="309"/>
      <c r="I5876" s="309"/>
      <c r="J5876" s="309"/>
    </row>
    <row r="5877">
      <c r="B5877" s="309"/>
      <c r="C5877" s="309"/>
      <c r="I5877" s="309"/>
      <c r="J5877" s="309"/>
    </row>
    <row r="5878">
      <c r="B5878" s="309"/>
      <c r="C5878" s="309"/>
      <c r="I5878" s="309"/>
      <c r="J5878" s="309"/>
    </row>
    <row r="5879">
      <c r="B5879" s="309"/>
      <c r="C5879" s="309"/>
      <c r="I5879" s="309"/>
      <c r="J5879" s="309"/>
    </row>
    <row r="5880">
      <c r="B5880" s="309"/>
      <c r="C5880" s="309"/>
      <c r="I5880" s="309"/>
      <c r="J5880" s="309"/>
    </row>
    <row r="5881">
      <c r="B5881" s="309"/>
      <c r="C5881" s="309"/>
      <c r="I5881" s="309"/>
      <c r="J5881" s="309"/>
    </row>
    <row r="5882">
      <c r="B5882" s="309"/>
      <c r="C5882" s="309"/>
      <c r="I5882" s="309"/>
      <c r="J5882" s="309"/>
    </row>
    <row r="5883">
      <c r="B5883" s="309"/>
      <c r="C5883" s="309"/>
      <c r="I5883" s="309"/>
      <c r="J5883" s="309"/>
    </row>
    <row r="5884">
      <c r="B5884" s="309"/>
      <c r="C5884" s="309"/>
      <c r="I5884" s="309"/>
      <c r="J5884" s="309"/>
    </row>
    <row r="5885">
      <c r="B5885" s="309"/>
      <c r="C5885" s="309"/>
      <c r="I5885" s="309"/>
      <c r="J5885" s="309"/>
    </row>
    <row r="5886">
      <c r="B5886" s="309"/>
      <c r="C5886" s="309"/>
      <c r="I5886" s="309"/>
      <c r="J5886" s="309"/>
    </row>
    <row r="5887">
      <c r="B5887" s="309"/>
      <c r="C5887" s="309"/>
      <c r="I5887" s="309"/>
      <c r="J5887" s="309"/>
    </row>
    <row r="5888">
      <c r="B5888" s="309"/>
      <c r="C5888" s="309"/>
      <c r="I5888" s="309"/>
      <c r="J5888" s="309"/>
    </row>
    <row r="5889">
      <c r="B5889" s="309"/>
      <c r="C5889" s="309"/>
      <c r="I5889" s="309"/>
      <c r="J5889" s="309"/>
    </row>
    <row r="5890">
      <c r="B5890" s="309"/>
      <c r="C5890" s="309"/>
      <c r="I5890" s="309"/>
      <c r="J5890" s="309"/>
    </row>
    <row r="5891">
      <c r="B5891" s="309"/>
      <c r="C5891" s="309"/>
      <c r="I5891" s="309"/>
      <c r="J5891" s="309"/>
    </row>
    <row r="5892">
      <c r="B5892" s="309"/>
      <c r="C5892" s="309"/>
      <c r="I5892" s="309"/>
      <c r="J5892" s="309"/>
    </row>
    <row r="5893">
      <c r="B5893" s="309"/>
      <c r="C5893" s="309"/>
      <c r="I5893" s="309"/>
      <c r="J5893" s="309"/>
    </row>
    <row r="5894">
      <c r="B5894" s="309"/>
      <c r="C5894" s="309"/>
      <c r="I5894" s="309"/>
      <c r="J5894" s="309"/>
    </row>
    <row r="5895">
      <c r="B5895" s="309"/>
      <c r="C5895" s="309"/>
      <c r="I5895" s="309"/>
      <c r="J5895" s="309"/>
    </row>
    <row r="5896">
      <c r="B5896" s="309"/>
      <c r="C5896" s="309"/>
      <c r="I5896" s="309"/>
      <c r="J5896" s="309"/>
    </row>
    <row r="5897">
      <c r="B5897" s="309"/>
      <c r="C5897" s="309"/>
      <c r="I5897" s="309"/>
      <c r="J5897" s="309"/>
    </row>
    <row r="5898">
      <c r="B5898" s="309"/>
      <c r="C5898" s="309"/>
      <c r="I5898" s="309"/>
      <c r="J5898" s="309"/>
    </row>
    <row r="5899">
      <c r="B5899" s="309"/>
      <c r="C5899" s="309"/>
      <c r="I5899" s="309"/>
      <c r="J5899" s="309"/>
    </row>
    <row r="5900">
      <c r="B5900" s="309"/>
      <c r="C5900" s="309"/>
      <c r="I5900" s="309"/>
      <c r="J5900" s="309"/>
    </row>
    <row r="5901">
      <c r="B5901" s="309"/>
      <c r="C5901" s="309"/>
      <c r="I5901" s="309"/>
      <c r="J5901" s="309"/>
    </row>
    <row r="5902">
      <c r="B5902" s="309"/>
      <c r="C5902" s="309"/>
      <c r="I5902" s="309"/>
      <c r="J5902" s="309"/>
    </row>
    <row r="5903">
      <c r="B5903" s="309"/>
      <c r="C5903" s="309"/>
      <c r="I5903" s="309"/>
      <c r="J5903" s="309"/>
    </row>
    <row r="5904">
      <c r="B5904" s="309"/>
      <c r="C5904" s="309"/>
      <c r="I5904" s="309"/>
      <c r="J5904" s="309"/>
    </row>
    <row r="5905">
      <c r="B5905" s="309"/>
      <c r="C5905" s="309"/>
      <c r="I5905" s="309"/>
      <c r="J5905" s="309"/>
    </row>
    <row r="5906">
      <c r="B5906" s="309"/>
      <c r="C5906" s="309"/>
      <c r="I5906" s="309"/>
      <c r="J5906" s="309"/>
    </row>
    <row r="5907">
      <c r="B5907" s="309"/>
      <c r="C5907" s="309"/>
      <c r="I5907" s="309"/>
      <c r="J5907" s="309"/>
    </row>
    <row r="5908">
      <c r="B5908" s="309"/>
      <c r="C5908" s="309"/>
      <c r="I5908" s="309"/>
      <c r="J5908" s="309"/>
    </row>
    <row r="5909">
      <c r="B5909" s="309"/>
      <c r="C5909" s="309"/>
      <c r="I5909" s="309"/>
      <c r="J5909" s="309"/>
    </row>
    <row r="5910">
      <c r="B5910" s="309"/>
      <c r="C5910" s="309"/>
      <c r="I5910" s="309"/>
      <c r="J5910" s="309"/>
    </row>
    <row r="5911">
      <c r="B5911" s="309"/>
      <c r="C5911" s="309"/>
      <c r="I5911" s="309"/>
      <c r="J5911" s="309"/>
    </row>
    <row r="5912">
      <c r="B5912" s="309"/>
      <c r="C5912" s="309"/>
      <c r="I5912" s="309"/>
      <c r="J5912" s="309"/>
    </row>
    <row r="5913">
      <c r="B5913" s="309"/>
      <c r="C5913" s="309"/>
      <c r="I5913" s="309"/>
      <c r="J5913" s="309"/>
    </row>
    <row r="5914">
      <c r="B5914" s="309"/>
      <c r="C5914" s="309"/>
      <c r="I5914" s="309"/>
      <c r="J5914" s="309"/>
    </row>
    <row r="5915">
      <c r="B5915" s="309"/>
      <c r="C5915" s="309"/>
      <c r="I5915" s="309"/>
      <c r="J5915" s="309"/>
    </row>
    <row r="5916">
      <c r="B5916" s="309"/>
      <c r="C5916" s="309"/>
      <c r="I5916" s="309"/>
      <c r="J5916" s="309"/>
    </row>
    <row r="5917">
      <c r="B5917" s="309"/>
      <c r="C5917" s="309"/>
      <c r="I5917" s="309"/>
      <c r="J5917" s="309"/>
    </row>
    <row r="5918">
      <c r="B5918" s="309"/>
      <c r="C5918" s="309"/>
      <c r="I5918" s="309"/>
      <c r="J5918" s="309"/>
    </row>
    <row r="5919">
      <c r="B5919" s="309"/>
      <c r="C5919" s="309"/>
      <c r="I5919" s="309"/>
      <c r="J5919" s="309"/>
    </row>
    <row r="5920">
      <c r="B5920" s="309"/>
      <c r="C5920" s="309"/>
      <c r="I5920" s="309"/>
      <c r="J5920" s="309"/>
    </row>
    <row r="5921">
      <c r="B5921" s="309"/>
      <c r="C5921" s="309"/>
      <c r="I5921" s="309"/>
      <c r="J5921" s="309"/>
    </row>
    <row r="5922">
      <c r="B5922" s="309"/>
      <c r="C5922" s="309"/>
      <c r="I5922" s="309"/>
      <c r="J5922" s="309"/>
    </row>
    <row r="5923">
      <c r="B5923" s="309"/>
      <c r="C5923" s="309"/>
      <c r="I5923" s="309"/>
      <c r="J5923" s="309"/>
    </row>
    <row r="5924">
      <c r="B5924" s="309"/>
      <c r="C5924" s="309"/>
      <c r="I5924" s="309"/>
      <c r="J5924" s="309"/>
    </row>
    <row r="5925">
      <c r="B5925" s="309"/>
      <c r="C5925" s="309"/>
      <c r="I5925" s="309"/>
      <c r="J5925" s="309"/>
    </row>
    <row r="5926">
      <c r="B5926" s="309"/>
      <c r="C5926" s="309"/>
      <c r="I5926" s="309"/>
      <c r="J5926" s="309"/>
    </row>
    <row r="5927">
      <c r="B5927" s="309"/>
      <c r="C5927" s="309"/>
      <c r="I5927" s="309"/>
      <c r="J5927" s="309"/>
    </row>
    <row r="5928">
      <c r="B5928" s="309"/>
      <c r="C5928" s="309"/>
      <c r="I5928" s="309"/>
      <c r="J5928" s="309"/>
    </row>
    <row r="5929">
      <c r="B5929" s="309"/>
      <c r="C5929" s="309"/>
      <c r="I5929" s="309"/>
      <c r="J5929" s="309"/>
    </row>
    <row r="5930">
      <c r="B5930" s="309"/>
      <c r="C5930" s="309"/>
      <c r="I5930" s="309"/>
      <c r="J5930" s="309"/>
    </row>
    <row r="5931">
      <c r="B5931" s="309"/>
      <c r="C5931" s="309"/>
      <c r="I5931" s="309"/>
      <c r="J5931" s="309"/>
    </row>
    <row r="5932">
      <c r="B5932" s="309"/>
      <c r="C5932" s="309"/>
      <c r="I5932" s="309"/>
      <c r="J5932" s="309"/>
    </row>
    <row r="5933">
      <c r="B5933" s="309"/>
      <c r="C5933" s="309"/>
      <c r="I5933" s="309"/>
      <c r="J5933" s="309"/>
    </row>
    <row r="5934">
      <c r="B5934" s="309"/>
      <c r="C5934" s="309"/>
      <c r="I5934" s="309"/>
      <c r="J5934" s="309"/>
    </row>
    <row r="5935">
      <c r="B5935" s="309"/>
      <c r="C5935" s="309"/>
      <c r="I5935" s="309"/>
      <c r="J5935" s="309"/>
    </row>
    <row r="5936">
      <c r="B5936" s="309"/>
      <c r="C5936" s="309"/>
      <c r="I5936" s="309"/>
      <c r="J5936" s="309"/>
    </row>
    <row r="5937">
      <c r="B5937" s="309"/>
      <c r="C5937" s="309"/>
      <c r="I5937" s="309"/>
      <c r="J5937" s="309"/>
    </row>
    <row r="5938">
      <c r="B5938" s="309"/>
      <c r="C5938" s="309"/>
      <c r="I5938" s="309"/>
      <c r="J5938" s="309"/>
    </row>
    <row r="5939">
      <c r="B5939" s="309"/>
      <c r="C5939" s="309"/>
      <c r="I5939" s="309"/>
      <c r="J5939" s="309"/>
    </row>
    <row r="5940">
      <c r="B5940" s="309"/>
      <c r="C5940" s="309"/>
      <c r="I5940" s="309"/>
      <c r="J5940" s="309"/>
    </row>
    <row r="5941">
      <c r="B5941" s="309"/>
      <c r="C5941" s="309"/>
      <c r="I5941" s="309"/>
      <c r="J5941" s="309"/>
    </row>
    <row r="5942">
      <c r="B5942" s="309"/>
      <c r="C5942" s="309"/>
      <c r="I5942" s="309"/>
      <c r="J5942" s="309"/>
    </row>
    <row r="5943">
      <c r="B5943" s="309"/>
      <c r="C5943" s="309"/>
      <c r="I5943" s="309"/>
      <c r="J5943" s="309"/>
    </row>
    <row r="5944">
      <c r="B5944" s="309"/>
      <c r="C5944" s="309"/>
      <c r="I5944" s="309"/>
      <c r="J5944" s="309"/>
    </row>
    <row r="5945">
      <c r="B5945" s="309"/>
      <c r="C5945" s="309"/>
      <c r="I5945" s="309"/>
      <c r="J5945" s="309"/>
    </row>
    <row r="5946">
      <c r="B5946" s="309"/>
      <c r="C5946" s="309"/>
      <c r="I5946" s="309"/>
      <c r="J5946" s="309"/>
    </row>
    <row r="5947">
      <c r="B5947" s="309"/>
      <c r="C5947" s="309"/>
      <c r="I5947" s="309"/>
      <c r="J5947" s="309"/>
    </row>
    <row r="5948">
      <c r="B5948" s="309"/>
      <c r="C5948" s="309"/>
      <c r="I5948" s="309"/>
      <c r="J5948" s="309"/>
    </row>
    <row r="5949">
      <c r="B5949" s="309"/>
      <c r="C5949" s="309"/>
      <c r="I5949" s="309"/>
      <c r="J5949" s="309"/>
    </row>
    <row r="5950">
      <c r="B5950" s="309"/>
      <c r="C5950" s="309"/>
      <c r="I5950" s="309"/>
      <c r="J5950" s="309"/>
    </row>
    <row r="5951">
      <c r="B5951" s="309"/>
      <c r="C5951" s="309"/>
      <c r="I5951" s="309"/>
      <c r="J5951" s="309"/>
    </row>
    <row r="5952">
      <c r="B5952" s="309"/>
      <c r="C5952" s="309"/>
      <c r="I5952" s="309"/>
      <c r="J5952" s="309"/>
    </row>
    <row r="5953">
      <c r="B5953" s="309"/>
      <c r="C5953" s="309"/>
      <c r="I5953" s="309"/>
      <c r="J5953" s="309"/>
    </row>
    <row r="5954">
      <c r="B5954" s="309"/>
      <c r="C5954" s="309"/>
      <c r="I5954" s="309"/>
      <c r="J5954" s="309"/>
    </row>
    <row r="5955">
      <c r="B5955" s="309"/>
      <c r="C5955" s="309"/>
      <c r="I5955" s="309"/>
      <c r="J5955" s="309"/>
    </row>
    <row r="5956">
      <c r="B5956" s="309"/>
      <c r="C5956" s="309"/>
      <c r="I5956" s="309"/>
      <c r="J5956" s="309"/>
    </row>
    <row r="5957">
      <c r="B5957" s="309"/>
      <c r="C5957" s="309"/>
      <c r="I5957" s="309"/>
      <c r="J5957" s="309"/>
    </row>
    <row r="5958">
      <c r="B5958" s="309"/>
      <c r="C5958" s="309"/>
      <c r="I5958" s="309"/>
      <c r="J5958" s="309"/>
    </row>
    <row r="5959">
      <c r="B5959" s="309"/>
      <c r="C5959" s="309"/>
      <c r="I5959" s="309"/>
      <c r="J5959" s="309"/>
    </row>
    <row r="5960">
      <c r="B5960" s="309"/>
      <c r="C5960" s="309"/>
      <c r="I5960" s="309"/>
      <c r="J5960" s="309"/>
    </row>
    <row r="5961">
      <c r="B5961" s="309"/>
      <c r="C5961" s="309"/>
      <c r="I5961" s="309"/>
      <c r="J5961" s="309"/>
    </row>
    <row r="5962">
      <c r="B5962" s="309"/>
      <c r="C5962" s="309"/>
      <c r="I5962" s="309"/>
      <c r="J5962" s="309"/>
    </row>
    <row r="5963">
      <c r="B5963" s="309"/>
      <c r="C5963" s="309"/>
      <c r="I5963" s="309"/>
      <c r="J5963" s="309"/>
    </row>
    <row r="5964">
      <c r="B5964" s="309"/>
      <c r="C5964" s="309"/>
      <c r="I5964" s="309"/>
      <c r="J5964" s="309"/>
    </row>
    <row r="5965">
      <c r="B5965" s="309"/>
      <c r="C5965" s="309"/>
      <c r="I5965" s="309"/>
      <c r="J5965" s="309"/>
    </row>
    <row r="5966">
      <c r="B5966" s="309"/>
      <c r="C5966" s="309"/>
      <c r="I5966" s="309"/>
      <c r="J5966" s="309"/>
    </row>
    <row r="5967">
      <c r="B5967" s="309"/>
      <c r="C5967" s="309"/>
      <c r="I5967" s="309"/>
      <c r="J5967" s="309"/>
    </row>
    <row r="5968">
      <c r="B5968" s="309"/>
      <c r="C5968" s="309"/>
      <c r="I5968" s="309"/>
      <c r="J5968" s="309"/>
    </row>
    <row r="5969">
      <c r="B5969" s="309"/>
      <c r="C5969" s="309"/>
      <c r="I5969" s="309"/>
      <c r="J5969" s="309"/>
    </row>
    <row r="5970">
      <c r="B5970" s="309"/>
      <c r="C5970" s="309"/>
      <c r="I5970" s="309"/>
      <c r="J5970" s="309"/>
    </row>
    <row r="5971">
      <c r="B5971" s="309"/>
      <c r="C5971" s="309"/>
      <c r="I5971" s="309"/>
      <c r="J5971" s="309"/>
    </row>
    <row r="5972">
      <c r="B5972" s="309"/>
      <c r="C5972" s="309"/>
      <c r="I5972" s="309"/>
      <c r="J5972" s="309"/>
    </row>
    <row r="5973">
      <c r="B5973" s="309"/>
      <c r="C5973" s="309"/>
      <c r="I5973" s="309"/>
      <c r="J5973" s="309"/>
    </row>
    <row r="5974">
      <c r="B5974" s="309"/>
      <c r="C5974" s="309"/>
      <c r="I5974" s="309"/>
      <c r="J5974" s="309"/>
    </row>
    <row r="5975">
      <c r="B5975" s="309"/>
      <c r="C5975" s="309"/>
      <c r="I5975" s="309"/>
      <c r="J5975" s="309"/>
    </row>
    <row r="5976">
      <c r="B5976" s="309"/>
      <c r="C5976" s="309"/>
      <c r="I5976" s="309"/>
      <c r="J5976" s="309"/>
    </row>
    <row r="5977">
      <c r="B5977" s="309"/>
      <c r="C5977" s="309"/>
      <c r="I5977" s="309"/>
      <c r="J5977" s="309"/>
    </row>
    <row r="5978">
      <c r="B5978" s="309"/>
      <c r="C5978" s="309"/>
      <c r="I5978" s="309"/>
      <c r="J5978" s="309"/>
    </row>
    <row r="5979">
      <c r="B5979" s="309"/>
      <c r="C5979" s="309"/>
      <c r="I5979" s="309"/>
      <c r="J5979" s="309"/>
    </row>
    <row r="5980">
      <c r="B5980" s="309"/>
      <c r="C5980" s="309"/>
      <c r="I5980" s="309"/>
      <c r="J5980" s="309"/>
    </row>
    <row r="5981">
      <c r="B5981" s="309"/>
      <c r="C5981" s="309"/>
      <c r="I5981" s="309"/>
      <c r="J5981" s="309"/>
    </row>
    <row r="5982">
      <c r="B5982" s="309"/>
      <c r="C5982" s="309"/>
      <c r="I5982" s="309"/>
      <c r="J5982" s="309"/>
    </row>
    <row r="5983">
      <c r="B5983" s="309"/>
      <c r="C5983" s="309"/>
      <c r="I5983" s="309"/>
      <c r="J5983" s="309"/>
    </row>
    <row r="5984">
      <c r="B5984" s="309"/>
      <c r="C5984" s="309"/>
      <c r="I5984" s="309"/>
      <c r="J5984" s="309"/>
    </row>
    <row r="5985">
      <c r="B5985" s="309"/>
      <c r="C5985" s="309"/>
      <c r="I5985" s="309"/>
      <c r="J5985" s="309"/>
    </row>
    <row r="5986">
      <c r="B5986" s="309"/>
      <c r="C5986" s="309"/>
      <c r="I5986" s="309"/>
      <c r="J5986" s="309"/>
    </row>
    <row r="5987">
      <c r="B5987" s="309"/>
      <c r="C5987" s="309"/>
      <c r="I5987" s="309"/>
      <c r="J5987" s="309"/>
    </row>
    <row r="5988">
      <c r="B5988" s="309"/>
      <c r="C5988" s="309"/>
      <c r="I5988" s="309"/>
      <c r="J5988" s="309"/>
    </row>
    <row r="5989">
      <c r="B5989" s="309"/>
      <c r="C5989" s="309"/>
      <c r="I5989" s="309"/>
      <c r="J5989" s="309"/>
    </row>
    <row r="5990">
      <c r="B5990" s="309"/>
      <c r="C5990" s="309"/>
      <c r="I5990" s="309"/>
      <c r="J5990" s="309"/>
    </row>
    <row r="5991">
      <c r="B5991" s="309"/>
      <c r="C5991" s="309"/>
      <c r="I5991" s="309"/>
      <c r="J5991" s="309"/>
    </row>
    <row r="5992">
      <c r="B5992" s="309"/>
      <c r="C5992" s="309"/>
      <c r="I5992" s="309"/>
      <c r="J5992" s="309"/>
    </row>
    <row r="5993">
      <c r="B5993" s="309"/>
      <c r="C5993" s="309"/>
      <c r="I5993" s="309"/>
      <c r="J5993" s="309"/>
    </row>
    <row r="5994">
      <c r="B5994" s="309"/>
      <c r="C5994" s="309"/>
      <c r="I5994" s="309"/>
      <c r="J5994" s="309"/>
    </row>
    <row r="5995">
      <c r="B5995" s="309"/>
      <c r="C5995" s="309"/>
      <c r="I5995" s="309"/>
      <c r="J5995" s="309"/>
    </row>
    <row r="5996">
      <c r="B5996" s="309"/>
      <c r="C5996" s="309"/>
      <c r="I5996" s="309"/>
      <c r="J5996" s="309"/>
    </row>
    <row r="5997">
      <c r="B5997" s="309"/>
      <c r="C5997" s="309"/>
      <c r="I5997" s="309"/>
      <c r="J5997" s="309"/>
    </row>
    <row r="5998">
      <c r="B5998" s="309"/>
      <c r="C5998" s="309"/>
      <c r="I5998" s="309"/>
      <c r="J5998" s="309"/>
    </row>
    <row r="5999">
      <c r="B5999" s="309"/>
      <c r="C5999" s="309"/>
      <c r="I5999" s="309"/>
      <c r="J5999" s="309"/>
    </row>
    <row r="6000">
      <c r="B6000" s="309"/>
      <c r="C6000" s="309"/>
      <c r="I6000" s="309"/>
      <c r="J6000" s="309"/>
    </row>
    <row r="6001">
      <c r="B6001" s="309"/>
      <c r="C6001" s="309"/>
      <c r="I6001" s="309"/>
      <c r="J6001" s="309"/>
    </row>
    <row r="6002">
      <c r="B6002" s="309"/>
      <c r="C6002" s="309"/>
      <c r="I6002" s="309"/>
      <c r="J6002" s="309"/>
    </row>
    <row r="6003">
      <c r="B6003" s="309"/>
      <c r="C6003" s="309"/>
      <c r="I6003" s="309"/>
      <c r="J6003" s="309"/>
    </row>
    <row r="6004">
      <c r="B6004" s="309"/>
      <c r="C6004" s="309"/>
      <c r="I6004" s="309"/>
      <c r="J6004" s="309"/>
    </row>
    <row r="6005">
      <c r="B6005" s="309"/>
      <c r="C6005" s="309"/>
      <c r="I6005" s="309"/>
      <c r="J6005" s="309"/>
    </row>
    <row r="6006">
      <c r="B6006" s="309"/>
      <c r="C6006" s="309"/>
      <c r="I6006" s="309"/>
      <c r="J6006" s="309"/>
    </row>
    <row r="6007">
      <c r="B6007" s="309"/>
      <c r="C6007" s="309"/>
      <c r="I6007" s="309"/>
      <c r="J6007" s="309"/>
    </row>
    <row r="6008">
      <c r="B6008" s="309"/>
      <c r="C6008" s="309"/>
      <c r="I6008" s="309"/>
      <c r="J6008" s="309"/>
    </row>
    <row r="6009">
      <c r="B6009" s="309"/>
      <c r="C6009" s="309"/>
      <c r="I6009" s="309"/>
      <c r="J6009" s="309"/>
    </row>
    <row r="6010">
      <c r="B6010" s="309"/>
      <c r="C6010" s="309"/>
      <c r="I6010" s="309"/>
      <c r="J6010" s="309"/>
    </row>
    <row r="6011">
      <c r="B6011" s="309"/>
      <c r="C6011" s="309"/>
      <c r="I6011" s="309"/>
      <c r="J6011" s="309"/>
    </row>
    <row r="6012">
      <c r="B6012" s="309"/>
      <c r="C6012" s="309"/>
      <c r="I6012" s="309"/>
      <c r="J6012" s="309"/>
    </row>
    <row r="6013">
      <c r="B6013" s="309"/>
      <c r="C6013" s="309"/>
      <c r="I6013" s="309"/>
      <c r="J6013" s="309"/>
    </row>
    <row r="6014">
      <c r="B6014" s="309"/>
      <c r="C6014" s="309"/>
      <c r="I6014" s="309"/>
      <c r="J6014" s="309"/>
    </row>
    <row r="6015">
      <c r="B6015" s="309"/>
      <c r="C6015" s="309"/>
      <c r="I6015" s="309"/>
      <c r="J6015" s="309"/>
    </row>
    <row r="6016">
      <c r="B6016" s="309"/>
      <c r="C6016" s="309"/>
      <c r="I6016" s="309"/>
      <c r="J6016" s="309"/>
    </row>
    <row r="6017">
      <c r="B6017" s="309"/>
      <c r="C6017" s="309"/>
      <c r="I6017" s="309"/>
      <c r="J6017" s="309"/>
    </row>
    <row r="6018">
      <c r="B6018" s="309"/>
      <c r="C6018" s="309"/>
      <c r="I6018" s="309"/>
      <c r="J6018" s="309"/>
    </row>
    <row r="6019">
      <c r="B6019" s="309"/>
      <c r="C6019" s="309"/>
      <c r="I6019" s="309"/>
      <c r="J6019" s="309"/>
    </row>
    <row r="6020">
      <c r="B6020" s="309"/>
      <c r="C6020" s="309"/>
      <c r="I6020" s="309"/>
      <c r="J6020" s="309"/>
    </row>
    <row r="6021">
      <c r="B6021" s="309"/>
      <c r="C6021" s="309"/>
      <c r="I6021" s="309"/>
      <c r="J6021" s="309"/>
    </row>
    <row r="6022">
      <c r="B6022" s="309"/>
      <c r="C6022" s="309"/>
      <c r="I6022" s="309"/>
      <c r="J6022" s="309"/>
    </row>
    <row r="6023">
      <c r="B6023" s="309"/>
      <c r="C6023" s="309"/>
      <c r="I6023" s="309"/>
      <c r="J6023" s="309"/>
    </row>
    <row r="6024">
      <c r="B6024" s="309"/>
      <c r="C6024" s="309"/>
      <c r="I6024" s="309"/>
      <c r="J6024" s="309"/>
    </row>
    <row r="6025">
      <c r="B6025" s="309"/>
      <c r="C6025" s="309"/>
      <c r="I6025" s="309"/>
      <c r="J6025" s="309"/>
    </row>
    <row r="6026">
      <c r="B6026" s="309"/>
      <c r="C6026" s="309"/>
      <c r="I6026" s="309"/>
      <c r="J6026" s="309"/>
    </row>
    <row r="6027">
      <c r="B6027" s="309"/>
      <c r="C6027" s="309"/>
      <c r="I6027" s="309"/>
      <c r="J6027" s="309"/>
    </row>
    <row r="6028">
      <c r="B6028" s="309"/>
      <c r="C6028" s="309"/>
      <c r="I6028" s="309"/>
      <c r="J6028" s="309"/>
    </row>
    <row r="6029">
      <c r="B6029" s="309"/>
      <c r="C6029" s="309"/>
      <c r="I6029" s="309"/>
      <c r="J6029" s="309"/>
    </row>
    <row r="6030">
      <c r="B6030" s="309"/>
      <c r="C6030" s="309"/>
      <c r="I6030" s="309"/>
      <c r="J6030" s="309"/>
    </row>
    <row r="6031">
      <c r="B6031" s="309"/>
      <c r="C6031" s="309"/>
      <c r="I6031" s="309"/>
      <c r="J6031" s="309"/>
    </row>
    <row r="6032">
      <c r="B6032" s="309"/>
      <c r="C6032" s="309"/>
      <c r="I6032" s="309"/>
      <c r="J6032" s="309"/>
    </row>
    <row r="6033">
      <c r="B6033" s="309"/>
      <c r="C6033" s="309"/>
      <c r="I6033" s="309"/>
      <c r="J6033" s="309"/>
    </row>
    <row r="6034">
      <c r="B6034" s="309"/>
      <c r="C6034" s="309"/>
      <c r="I6034" s="309"/>
      <c r="J6034" s="309"/>
    </row>
    <row r="6035">
      <c r="B6035" s="309"/>
      <c r="C6035" s="309"/>
      <c r="I6035" s="309"/>
      <c r="J6035" s="309"/>
    </row>
    <row r="6036">
      <c r="B6036" s="309"/>
      <c r="C6036" s="309"/>
      <c r="I6036" s="309"/>
      <c r="J6036" s="309"/>
    </row>
    <row r="6037">
      <c r="B6037" s="309"/>
      <c r="C6037" s="309"/>
      <c r="I6037" s="309"/>
      <c r="J6037" s="309"/>
    </row>
    <row r="6038">
      <c r="B6038" s="309"/>
      <c r="C6038" s="309"/>
      <c r="I6038" s="309"/>
      <c r="J6038" s="309"/>
    </row>
    <row r="6039">
      <c r="B6039" s="309"/>
      <c r="C6039" s="309"/>
      <c r="I6039" s="309"/>
      <c r="J6039" s="309"/>
    </row>
    <row r="6040">
      <c r="B6040" s="309"/>
      <c r="C6040" s="309"/>
      <c r="I6040" s="309"/>
      <c r="J6040" s="309"/>
    </row>
    <row r="6041">
      <c r="B6041" s="309"/>
      <c r="C6041" s="309"/>
      <c r="I6041" s="309"/>
      <c r="J6041" s="309"/>
    </row>
    <row r="6042">
      <c r="B6042" s="309"/>
      <c r="C6042" s="309"/>
      <c r="I6042" s="309"/>
      <c r="J6042" s="309"/>
    </row>
    <row r="6043">
      <c r="B6043" s="309"/>
      <c r="C6043" s="309"/>
      <c r="I6043" s="309"/>
      <c r="J6043" s="309"/>
    </row>
    <row r="6044">
      <c r="B6044" s="309"/>
      <c r="C6044" s="309"/>
      <c r="I6044" s="309"/>
      <c r="J6044" s="309"/>
    </row>
    <row r="6045">
      <c r="B6045" s="309"/>
      <c r="C6045" s="309"/>
      <c r="I6045" s="309"/>
      <c r="J6045" s="309"/>
    </row>
    <row r="6046">
      <c r="B6046" s="309"/>
      <c r="C6046" s="309"/>
      <c r="I6046" s="309"/>
      <c r="J6046" s="309"/>
    </row>
    <row r="6047">
      <c r="B6047" s="309"/>
      <c r="C6047" s="309"/>
      <c r="I6047" s="309"/>
      <c r="J6047" s="309"/>
    </row>
    <row r="6048">
      <c r="B6048" s="309"/>
      <c r="C6048" s="309"/>
      <c r="I6048" s="309"/>
      <c r="J6048" s="309"/>
    </row>
    <row r="6049">
      <c r="B6049" s="309"/>
      <c r="C6049" s="309"/>
      <c r="I6049" s="309"/>
      <c r="J6049" s="309"/>
    </row>
    <row r="6050">
      <c r="B6050" s="309"/>
      <c r="C6050" s="309"/>
      <c r="I6050" s="309"/>
      <c r="J6050" s="309"/>
    </row>
    <row r="6051">
      <c r="B6051" s="309"/>
      <c r="C6051" s="309"/>
      <c r="I6051" s="309"/>
      <c r="J6051" s="309"/>
    </row>
    <row r="6052">
      <c r="B6052" s="309"/>
      <c r="C6052" s="309"/>
      <c r="I6052" s="309"/>
      <c r="J6052" s="309"/>
    </row>
    <row r="6053">
      <c r="B6053" s="309"/>
      <c r="C6053" s="309"/>
      <c r="I6053" s="309"/>
      <c r="J6053" s="309"/>
    </row>
    <row r="6054">
      <c r="B6054" s="309"/>
      <c r="C6054" s="309"/>
      <c r="I6054" s="309"/>
      <c r="J6054" s="309"/>
    </row>
    <row r="6055">
      <c r="B6055" s="309"/>
      <c r="C6055" s="309"/>
      <c r="I6055" s="309"/>
      <c r="J6055" s="309"/>
    </row>
    <row r="6056">
      <c r="B6056" s="309"/>
      <c r="C6056" s="309"/>
      <c r="I6056" s="309"/>
      <c r="J6056" s="309"/>
    </row>
    <row r="6057">
      <c r="B6057" s="309"/>
      <c r="C6057" s="309"/>
      <c r="I6057" s="309"/>
      <c r="J6057" s="309"/>
    </row>
    <row r="6058">
      <c r="B6058" s="309"/>
      <c r="C6058" s="309"/>
      <c r="I6058" s="309"/>
      <c r="J6058" s="309"/>
    </row>
    <row r="6059">
      <c r="B6059" s="309"/>
      <c r="C6059" s="309"/>
      <c r="I6059" s="309"/>
      <c r="J6059" s="309"/>
    </row>
    <row r="6060">
      <c r="B6060" s="309"/>
      <c r="C6060" s="309"/>
      <c r="I6060" s="309"/>
      <c r="J6060" s="309"/>
    </row>
    <row r="6061">
      <c r="B6061" s="309"/>
      <c r="C6061" s="309"/>
      <c r="I6061" s="309"/>
      <c r="J6061" s="309"/>
    </row>
    <row r="6062">
      <c r="B6062" s="309"/>
      <c r="C6062" s="309"/>
      <c r="I6062" s="309"/>
      <c r="J6062" s="309"/>
    </row>
    <row r="6063">
      <c r="B6063" s="309"/>
      <c r="C6063" s="309"/>
      <c r="I6063" s="309"/>
      <c r="J6063" s="309"/>
    </row>
    <row r="6064">
      <c r="B6064" s="309"/>
      <c r="C6064" s="309"/>
      <c r="I6064" s="309"/>
      <c r="J6064" s="309"/>
    </row>
    <row r="6065">
      <c r="B6065" s="309"/>
      <c r="C6065" s="309"/>
      <c r="I6065" s="309"/>
      <c r="J6065" s="309"/>
    </row>
    <row r="6066">
      <c r="B6066" s="309"/>
      <c r="C6066" s="309"/>
      <c r="I6066" s="309"/>
      <c r="J6066" s="309"/>
    </row>
    <row r="6067">
      <c r="B6067" s="309"/>
      <c r="C6067" s="309"/>
      <c r="I6067" s="309"/>
      <c r="J6067" s="309"/>
    </row>
    <row r="6068">
      <c r="B6068" s="309"/>
      <c r="C6068" s="309"/>
      <c r="I6068" s="309"/>
      <c r="J6068" s="309"/>
    </row>
    <row r="6069">
      <c r="B6069" s="309"/>
      <c r="C6069" s="309"/>
      <c r="I6069" s="309"/>
      <c r="J6069" s="309"/>
    </row>
    <row r="6070">
      <c r="B6070" s="309"/>
      <c r="C6070" s="309"/>
      <c r="I6070" s="309"/>
      <c r="J6070" s="309"/>
    </row>
    <row r="6071">
      <c r="B6071" s="309"/>
      <c r="C6071" s="309"/>
      <c r="I6071" s="309"/>
      <c r="J6071" s="309"/>
    </row>
    <row r="6072">
      <c r="B6072" s="309"/>
      <c r="C6072" s="309"/>
      <c r="I6072" s="309"/>
      <c r="J6072" s="309"/>
    </row>
    <row r="6073">
      <c r="B6073" s="309"/>
      <c r="C6073" s="309"/>
      <c r="I6073" s="309"/>
      <c r="J6073" s="309"/>
    </row>
    <row r="6074">
      <c r="B6074" s="309"/>
      <c r="C6074" s="309"/>
      <c r="I6074" s="309"/>
      <c r="J6074" s="309"/>
    </row>
    <row r="6075">
      <c r="B6075" s="309"/>
      <c r="C6075" s="309"/>
      <c r="I6075" s="309"/>
      <c r="J6075" s="309"/>
    </row>
    <row r="6076">
      <c r="B6076" s="309"/>
      <c r="C6076" s="309"/>
      <c r="I6076" s="309"/>
      <c r="J6076" s="309"/>
    </row>
    <row r="6077">
      <c r="B6077" s="309"/>
      <c r="C6077" s="309"/>
      <c r="I6077" s="309"/>
      <c r="J6077" s="309"/>
    </row>
    <row r="6078">
      <c r="B6078" s="309"/>
      <c r="C6078" s="309"/>
      <c r="I6078" s="309"/>
      <c r="J6078" s="309"/>
    </row>
    <row r="6079">
      <c r="B6079" s="309"/>
      <c r="C6079" s="309"/>
      <c r="I6079" s="309"/>
      <c r="J6079" s="309"/>
    </row>
    <row r="6080">
      <c r="B6080" s="309"/>
      <c r="C6080" s="309"/>
      <c r="I6080" s="309"/>
      <c r="J6080" s="309"/>
    </row>
    <row r="6081">
      <c r="B6081" s="309"/>
      <c r="C6081" s="309"/>
      <c r="I6081" s="309"/>
      <c r="J6081" s="309"/>
    </row>
    <row r="6082">
      <c r="B6082" s="309"/>
      <c r="C6082" s="309"/>
      <c r="I6082" s="309"/>
      <c r="J6082" s="309"/>
    </row>
    <row r="6083">
      <c r="B6083" s="309"/>
      <c r="C6083" s="309"/>
      <c r="I6083" s="309"/>
      <c r="J6083" s="309"/>
    </row>
    <row r="6084">
      <c r="B6084" s="309"/>
      <c r="C6084" s="309"/>
      <c r="I6084" s="309"/>
      <c r="J6084" s="309"/>
    </row>
    <row r="6085">
      <c r="B6085" s="309"/>
      <c r="C6085" s="309"/>
      <c r="I6085" s="309"/>
      <c r="J6085" s="309"/>
    </row>
    <row r="6086">
      <c r="B6086" s="309"/>
      <c r="C6086" s="309"/>
      <c r="I6086" s="309"/>
      <c r="J6086" s="309"/>
    </row>
    <row r="6087">
      <c r="B6087" s="309"/>
      <c r="C6087" s="309"/>
      <c r="I6087" s="309"/>
      <c r="J6087" s="309"/>
    </row>
    <row r="6088">
      <c r="B6088" s="309"/>
      <c r="C6088" s="309"/>
      <c r="I6088" s="309"/>
      <c r="J6088" s="309"/>
    </row>
    <row r="6089">
      <c r="B6089" s="309"/>
      <c r="C6089" s="309"/>
      <c r="I6089" s="309"/>
      <c r="J6089" s="309"/>
    </row>
    <row r="6090">
      <c r="B6090" s="309"/>
      <c r="C6090" s="309"/>
      <c r="I6090" s="309"/>
      <c r="J6090" s="309"/>
    </row>
    <row r="6091">
      <c r="B6091" s="309"/>
      <c r="C6091" s="309"/>
      <c r="I6091" s="309"/>
      <c r="J6091" s="309"/>
    </row>
    <row r="6092">
      <c r="B6092" s="309"/>
      <c r="C6092" s="309"/>
      <c r="I6092" s="309"/>
      <c r="J6092" s="309"/>
    </row>
    <row r="6093">
      <c r="B6093" s="309"/>
      <c r="C6093" s="309"/>
      <c r="I6093" s="309"/>
      <c r="J6093" s="309"/>
    </row>
    <row r="6094">
      <c r="B6094" s="309"/>
      <c r="C6094" s="309"/>
      <c r="I6094" s="309"/>
      <c r="J6094" s="309"/>
    </row>
    <row r="6095">
      <c r="B6095" s="309"/>
      <c r="C6095" s="309"/>
      <c r="I6095" s="309"/>
      <c r="J6095" s="309"/>
    </row>
    <row r="6096">
      <c r="B6096" s="309"/>
      <c r="C6096" s="309"/>
      <c r="I6096" s="309"/>
      <c r="J6096" s="309"/>
    </row>
    <row r="6097">
      <c r="B6097" s="309"/>
      <c r="C6097" s="309"/>
      <c r="I6097" s="309"/>
      <c r="J6097" s="309"/>
    </row>
    <row r="6098">
      <c r="B6098" s="309"/>
      <c r="C6098" s="309"/>
      <c r="I6098" s="309"/>
      <c r="J6098" s="309"/>
    </row>
    <row r="6099">
      <c r="B6099" s="309"/>
      <c r="C6099" s="309"/>
      <c r="I6099" s="309"/>
      <c r="J6099" s="309"/>
    </row>
    <row r="6100">
      <c r="B6100" s="309"/>
      <c r="C6100" s="309"/>
      <c r="I6100" s="309"/>
      <c r="J6100" s="309"/>
    </row>
    <row r="6101">
      <c r="B6101" s="309"/>
      <c r="C6101" s="309"/>
      <c r="I6101" s="309"/>
      <c r="J6101" s="309"/>
    </row>
    <row r="6102">
      <c r="B6102" s="309"/>
      <c r="C6102" s="309"/>
      <c r="I6102" s="309"/>
      <c r="J6102" s="309"/>
    </row>
    <row r="6103">
      <c r="B6103" s="309"/>
      <c r="C6103" s="309"/>
      <c r="I6103" s="309"/>
      <c r="J6103" s="309"/>
    </row>
    <row r="6104">
      <c r="B6104" s="309"/>
      <c r="C6104" s="309"/>
      <c r="I6104" s="309"/>
      <c r="J6104" s="309"/>
    </row>
    <row r="6105">
      <c r="B6105" s="309"/>
      <c r="C6105" s="309"/>
      <c r="I6105" s="309"/>
      <c r="J6105" s="309"/>
    </row>
    <row r="6106">
      <c r="B6106" s="309"/>
      <c r="C6106" s="309"/>
      <c r="I6106" s="309"/>
      <c r="J6106" s="309"/>
    </row>
    <row r="6107">
      <c r="B6107" s="309"/>
      <c r="C6107" s="309"/>
      <c r="I6107" s="309"/>
      <c r="J6107" s="309"/>
    </row>
    <row r="6108">
      <c r="B6108" s="309"/>
      <c r="C6108" s="309"/>
      <c r="I6108" s="309"/>
      <c r="J6108" s="309"/>
    </row>
    <row r="6109">
      <c r="B6109" s="309"/>
      <c r="C6109" s="309"/>
      <c r="I6109" s="309"/>
      <c r="J6109" s="309"/>
    </row>
    <row r="6110">
      <c r="B6110" s="309"/>
      <c r="C6110" s="309"/>
      <c r="I6110" s="309"/>
      <c r="J6110" s="309"/>
    </row>
    <row r="6111">
      <c r="B6111" s="309"/>
      <c r="C6111" s="309"/>
      <c r="I6111" s="309"/>
      <c r="J6111" s="309"/>
    </row>
    <row r="6112">
      <c r="B6112" s="309"/>
      <c r="C6112" s="309"/>
      <c r="I6112" s="309"/>
      <c r="J6112" s="309"/>
    </row>
    <row r="6113">
      <c r="B6113" s="309"/>
      <c r="C6113" s="309"/>
      <c r="I6113" s="309"/>
      <c r="J6113" s="309"/>
    </row>
    <row r="6114">
      <c r="B6114" s="309"/>
      <c r="C6114" s="309"/>
      <c r="I6114" s="309"/>
      <c r="J6114" s="309"/>
    </row>
    <row r="6115">
      <c r="B6115" s="309"/>
      <c r="C6115" s="309"/>
      <c r="I6115" s="309"/>
      <c r="J6115" s="309"/>
    </row>
    <row r="6116">
      <c r="B6116" s="309"/>
      <c r="C6116" s="309"/>
      <c r="I6116" s="309"/>
      <c r="J6116" s="309"/>
    </row>
    <row r="6117">
      <c r="B6117" s="309"/>
      <c r="C6117" s="309"/>
      <c r="I6117" s="309"/>
      <c r="J6117" s="309"/>
    </row>
    <row r="6118">
      <c r="B6118" s="309"/>
      <c r="C6118" s="309"/>
      <c r="I6118" s="309"/>
      <c r="J6118" s="309"/>
    </row>
    <row r="6119">
      <c r="B6119" s="309"/>
      <c r="C6119" s="309"/>
      <c r="I6119" s="309"/>
      <c r="J6119" s="309"/>
    </row>
    <row r="6120">
      <c r="B6120" s="309"/>
      <c r="C6120" s="309"/>
      <c r="I6120" s="309"/>
      <c r="J6120" s="309"/>
    </row>
    <row r="6121">
      <c r="B6121" s="309"/>
      <c r="C6121" s="309"/>
      <c r="I6121" s="309"/>
      <c r="J6121" s="309"/>
    </row>
    <row r="6122">
      <c r="B6122" s="309"/>
      <c r="C6122" s="309"/>
      <c r="I6122" s="309"/>
      <c r="J6122" s="309"/>
    </row>
    <row r="6123">
      <c r="B6123" s="309"/>
      <c r="C6123" s="309"/>
      <c r="I6123" s="309"/>
      <c r="J6123" s="309"/>
    </row>
    <row r="6124">
      <c r="B6124" s="309"/>
      <c r="C6124" s="309"/>
      <c r="I6124" s="309"/>
      <c r="J6124" s="309"/>
    </row>
    <row r="6125">
      <c r="B6125" s="309"/>
      <c r="C6125" s="309"/>
      <c r="I6125" s="309"/>
      <c r="J6125" s="309"/>
    </row>
    <row r="6126">
      <c r="B6126" s="309"/>
      <c r="C6126" s="309"/>
      <c r="I6126" s="309"/>
      <c r="J6126" s="309"/>
    </row>
    <row r="6127">
      <c r="B6127" s="309"/>
      <c r="C6127" s="309"/>
      <c r="I6127" s="309"/>
      <c r="J6127" s="309"/>
    </row>
    <row r="6128">
      <c r="B6128" s="309"/>
      <c r="C6128" s="309"/>
      <c r="I6128" s="309"/>
      <c r="J6128" s="309"/>
    </row>
    <row r="6129">
      <c r="B6129" s="309"/>
      <c r="C6129" s="309"/>
      <c r="I6129" s="309"/>
      <c r="J6129" s="309"/>
    </row>
    <row r="6130">
      <c r="B6130" s="309"/>
      <c r="C6130" s="309"/>
      <c r="I6130" s="309"/>
      <c r="J6130" s="309"/>
    </row>
    <row r="6131">
      <c r="B6131" s="309"/>
      <c r="C6131" s="309"/>
      <c r="I6131" s="309"/>
      <c r="J6131" s="309"/>
    </row>
    <row r="6132">
      <c r="B6132" s="309"/>
      <c r="C6132" s="309"/>
      <c r="I6132" s="309"/>
      <c r="J6132" s="309"/>
    </row>
    <row r="6133">
      <c r="B6133" s="309"/>
      <c r="C6133" s="309"/>
      <c r="I6133" s="309"/>
      <c r="J6133" s="309"/>
    </row>
    <row r="6134">
      <c r="B6134" s="309"/>
      <c r="C6134" s="309"/>
      <c r="I6134" s="309"/>
      <c r="J6134" s="309"/>
    </row>
    <row r="6135">
      <c r="B6135" s="309"/>
      <c r="C6135" s="309"/>
      <c r="I6135" s="309"/>
      <c r="J6135" s="309"/>
    </row>
    <row r="6136">
      <c r="B6136" s="309"/>
      <c r="C6136" s="309"/>
      <c r="I6136" s="309"/>
      <c r="J6136" s="309"/>
    </row>
    <row r="6137">
      <c r="B6137" s="309"/>
      <c r="C6137" s="309"/>
      <c r="I6137" s="309"/>
      <c r="J6137" s="309"/>
    </row>
    <row r="6138">
      <c r="B6138" s="309"/>
      <c r="C6138" s="309"/>
      <c r="I6138" s="309"/>
      <c r="J6138" s="309"/>
    </row>
    <row r="6139">
      <c r="B6139" s="309"/>
      <c r="C6139" s="309"/>
      <c r="I6139" s="309"/>
      <c r="J6139" s="309"/>
    </row>
    <row r="6140">
      <c r="B6140" s="309"/>
      <c r="C6140" s="309"/>
      <c r="I6140" s="309"/>
      <c r="J6140" s="309"/>
    </row>
    <row r="6141">
      <c r="B6141" s="309"/>
      <c r="C6141" s="309"/>
      <c r="I6141" s="309"/>
      <c r="J6141" s="309"/>
    </row>
    <row r="6142">
      <c r="B6142" s="309"/>
      <c r="C6142" s="309"/>
      <c r="I6142" s="309"/>
      <c r="J6142" s="309"/>
    </row>
    <row r="6143">
      <c r="B6143" s="309"/>
      <c r="C6143" s="309"/>
      <c r="I6143" s="309"/>
      <c r="J6143" s="309"/>
    </row>
    <row r="6144">
      <c r="B6144" s="309"/>
      <c r="C6144" s="309"/>
      <c r="I6144" s="309"/>
      <c r="J6144" s="309"/>
    </row>
    <row r="6145">
      <c r="B6145" s="309"/>
      <c r="C6145" s="309"/>
      <c r="I6145" s="309"/>
      <c r="J6145" s="309"/>
    </row>
    <row r="6146">
      <c r="B6146" s="309"/>
      <c r="C6146" s="309"/>
      <c r="I6146" s="309"/>
      <c r="J6146" s="309"/>
    </row>
    <row r="6147">
      <c r="B6147" s="309"/>
      <c r="C6147" s="309"/>
      <c r="I6147" s="309"/>
      <c r="J6147" s="309"/>
    </row>
    <row r="6148">
      <c r="B6148" s="309"/>
      <c r="C6148" s="309"/>
      <c r="I6148" s="309"/>
      <c r="J6148" s="309"/>
    </row>
    <row r="6149">
      <c r="B6149" s="309"/>
      <c r="C6149" s="309"/>
      <c r="I6149" s="309"/>
      <c r="J6149" s="309"/>
    </row>
    <row r="6150">
      <c r="B6150" s="309"/>
      <c r="C6150" s="309"/>
      <c r="I6150" s="309"/>
      <c r="J6150" s="309"/>
    </row>
    <row r="6151">
      <c r="B6151" s="309"/>
      <c r="C6151" s="309"/>
      <c r="I6151" s="309"/>
      <c r="J6151" s="309"/>
    </row>
    <row r="6152">
      <c r="B6152" s="309"/>
      <c r="C6152" s="309"/>
      <c r="I6152" s="309"/>
      <c r="J6152" s="309"/>
    </row>
    <row r="6153">
      <c r="B6153" s="309"/>
      <c r="C6153" s="309"/>
      <c r="I6153" s="309"/>
      <c r="J6153" s="309"/>
    </row>
    <row r="6154">
      <c r="B6154" s="309"/>
      <c r="C6154" s="309"/>
      <c r="I6154" s="309"/>
      <c r="J6154" s="309"/>
    </row>
    <row r="6155">
      <c r="B6155" s="309"/>
      <c r="C6155" s="309"/>
      <c r="I6155" s="309"/>
      <c r="J6155" s="309"/>
    </row>
    <row r="6156">
      <c r="B6156" s="309"/>
      <c r="C6156" s="309"/>
      <c r="I6156" s="309"/>
      <c r="J6156" s="309"/>
    </row>
    <row r="6157">
      <c r="B6157" s="309"/>
      <c r="C6157" s="309"/>
      <c r="I6157" s="309"/>
      <c r="J6157" s="309"/>
    </row>
    <row r="6158">
      <c r="B6158" s="309"/>
      <c r="C6158" s="309"/>
      <c r="I6158" s="309"/>
      <c r="J6158" s="309"/>
    </row>
    <row r="6159">
      <c r="B6159" s="309"/>
      <c r="C6159" s="309"/>
      <c r="I6159" s="309"/>
      <c r="J6159" s="309"/>
    </row>
    <row r="6160">
      <c r="B6160" s="309"/>
      <c r="C6160" s="309"/>
      <c r="I6160" s="309"/>
      <c r="J6160" s="309"/>
    </row>
    <row r="6161">
      <c r="B6161" s="309"/>
      <c r="C6161" s="309"/>
      <c r="I6161" s="309"/>
      <c r="J6161" s="309"/>
    </row>
    <row r="6162">
      <c r="B6162" s="309"/>
      <c r="C6162" s="309"/>
      <c r="I6162" s="309"/>
      <c r="J6162" s="309"/>
    </row>
    <row r="6163">
      <c r="B6163" s="309"/>
      <c r="C6163" s="309"/>
      <c r="I6163" s="309"/>
      <c r="J6163" s="309"/>
    </row>
    <row r="6164">
      <c r="B6164" s="309"/>
      <c r="C6164" s="309"/>
      <c r="I6164" s="309"/>
      <c r="J6164" s="309"/>
    </row>
    <row r="6165">
      <c r="B6165" s="309"/>
      <c r="C6165" s="309"/>
      <c r="I6165" s="309"/>
      <c r="J6165" s="309"/>
    </row>
    <row r="6166">
      <c r="B6166" s="309"/>
      <c r="C6166" s="309"/>
      <c r="I6166" s="309"/>
      <c r="J6166" s="309"/>
    </row>
    <row r="6167">
      <c r="B6167" s="309"/>
      <c r="C6167" s="309"/>
      <c r="I6167" s="309"/>
      <c r="J6167" s="309"/>
    </row>
    <row r="6168">
      <c r="B6168" s="309"/>
      <c r="C6168" s="309"/>
      <c r="I6168" s="309"/>
      <c r="J6168" s="309"/>
    </row>
    <row r="6169">
      <c r="B6169" s="309"/>
      <c r="C6169" s="309"/>
      <c r="I6169" s="309"/>
      <c r="J6169" s="309"/>
    </row>
    <row r="6170">
      <c r="B6170" s="309"/>
      <c r="C6170" s="309"/>
      <c r="I6170" s="309"/>
      <c r="J6170" s="309"/>
    </row>
    <row r="6171">
      <c r="B6171" s="309"/>
      <c r="C6171" s="309"/>
      <c r="I6171" s="309"/>
      <c r="J6171" s="309"/>
    </row>
    <row r="6172">
      <c r="B6172" s="309"/>
      <c r="C6172" s="309"/>
      <c r="I6172" s="309"/>
      <c r="J6172" s="309"/>
    </row>
    <row r="6173">
      <c r="B6173" s="309"/>
      <c r="C6173" s="309"/>
      <c r="I6173" s="309"/>
      <c r="J6173" s="309"/>
    </row>
    <row r="6174">
      <c r="B6174" s="309"/>
      <c r="C6174" s="309"/>
      <c r="I6174" s="309"/>
      <c r="J6174" s="309"/>
    </row>
    <row r="6175">
      <c r="B6175" s="309"/>
      <c r="C6175" s="309"/>
      <c r="I6175" s="309"/>
      <c r="J6175" s="309"/>
    </row>
    <row r="6176">
      <c r="B6176" s="309"/>
      <c r="C6176" s="309"/>
      <c r="I6176" s="309"/>
      <c r="J6176" s="309"/>
    </row>
    <row r="6177">
      <c r="B6177" s="309"/>
      <c r="C6177" s="309"/>
      <c r="I6177" s="309"/>
      <c r="J6177" s="309"/>
    </row>
    <row r="6178">
      <c r="B6178" s="309"/>
      <c r="C6178" s="309"/>
      <c r="I6178" s="309"/>
      <c r="J6178" s="309"/>
    </row>
    <row r="6179">
      <c r="B6179" s="309"/>
      <c r="C6179" s="309"/>
      <c r="I6179" s="309"/>
      <c r="J6179" s="309"/>
    </row>
    <row r="6180">
      <c r="B6180" s="309"/>
      <c r="C6180" s="309"/>
      <c r="I6180" s="309"/>
      <c r="J6180" s="309"/>
    </row>
    <row r="6181">
      <c r="B6181" s="309"/>
      <c r="C6181" s="309"/>
      <c r="I6181" s="309"/>
      <c r="J6181" s="309"/>
    </row>
    <row r="6182">
      <c r="B6182" s="309"/>
      <c r="C6182" s="309"/>
      <c r="I6182" s="309"/>
      <c r="J6182" s="309"/>
    </row>
    <row r="6183">
      <c r="B6183" s="309"/>
      <c r="C6183" s="309"/>
      <c r="I6183" s="309"/>
      <c r="J6183" s="309"/>
    </row>
    <row r="6184">
      <c r="B6184" s="309"/>
      <c r="C6184" s="309"/>
      <c r="I6184" s="309"/>
      <c r="J6184" s="309"/>
    </row>
    <row r="6185">
      <c r="B6185" s="309"/>
      <c r="C6185" s="309"/>
      <c r="I6185" s="309"/>
      <c r="J6185" s="309"/>
    </row>
    <row r="6186">
      <c r="B6186" s="309"/>
      <c r="C6186" s="309"/>
      <c r="I6186" s="309"/>
      <c r="J6186" s="309"/>
    </row>
    <row r="6187">
      <c r="B6187" s="309"/>
      <c r="C6187" s="309"/>
      <c r="I6187" s="309"/>
      <c r="J6187" s="309"/>
    </row>
    <row r="6188">
      <c r="B6188" s="309"/>
      <c r="C6188" s="309"/>
      <c r="I6188" s="309"/>
      <c r="J6188" s="309"/>
    </row>
    <row r="6189">
      <c r="B6189" s="309"/>
      <c r="C6189" s="309"/>
      <c r="I6189" s="309"/>
      <c r="J6189" s="309"/>
    </row>
    <row r="6190">
      <c r="B6190" s="309"/>
      <c r="C6190" s="309"/>
      <c r="I6190" s="309"/>
      <c r="J6190" s="309"/>
    </row>
    <row r="6191">
      <c r="B6191" s="309"/>
      <c r="C6191" s="309"/>
      <c r="I6191" s="309"/>
      <c r="J6191" s="309"/>
    </row>
    <row r="6192">
      <c r="B6192" s="309"/>
      <c r="C6192" s="309"/>
      <c r="I6192" s="309"/>
      <c r="J6192" s="309"/>
    </row>
    <row r="6193">
      <c r="B6193" s="309"/>
      <c r="C6193" s="309"/>
      <c r="I6193" s="309"/>
      <c r="J6193" s="309"/>
    </row>
    <row r="6194">
      <c r="B6194" s="309"/>
      <c r="C6194" s="309"/>
      <c r="I6194" s="309"/>
      <c r="J6194" s="309"/>
    </row>
    <row r="6195">
      <c r="B6195" s="309"/>
      <c r="C6195" s="309"/>
      <c r="I6195" s="309"/>
      <c r="J6195" s="309"/>
    </row>
    <row r="6196">
      <c r="B6196" s="309"/>
      <c r="C6196" s="309"/>
      <c r="I6196" s="309"/>
      <c r="J6196" s="309"/>
    </row>
    <row r="6197">
      <c r="B6197" s="309"/>
      <c r="C6197" s="309"/>
      <c r="I6197" s="309"/>
      <c r="J6197" s="309"/>
    </row>
    <row r="6198">
      <c r="B6198" s="309"/>
      <c r="C6198" s="309"/>
      <c r="I6198" s="309"/>
      <c r="J6198" s="309"/>
    </row>
    <row r="6199">
      <c r="B6199" s="309"/>
      <c r="C6199" s="309"/>
      <c r="I6199" s="309"/>
      <c r="J6199" s="309"/>
    </row>
    <row r="6200">
      <c r="B6200" s="309"/>
      <c r="C6200" s="309"/>
      <c r="I6200" s="309"/>
      <c r="J6200" s="309"/>
    </row>
    <row r="6201">
      <c r="B6201" s="309"/>
      <c r="C6201" s="309"/>
      <c r="I6201" s="309"/>
      <c r="J6201" s="309"/>
    </row>
    <row r="6202">
      <c r="B6202" s="309"/>
      <c r="C6202" s="309"/>
      <c r="I6202" s="309"/>
      <c r="J6202" s="309"/>
    </row>
    <row r="6203">
      <c r="B6203" s="309"/>
      <c r="C6203" s="309"/>
      <c r="I6203" s="309"/>
      <c r="J6203" s="309"/>
    </row>
    <row r="6204">
      <c r="B6204" s="309"/>
      <c r="C6204" s="309"/>
      <c r="I6204" s="309"/>
      <c r="J6204" s="309"/>
    </row>
    <row r="6205">
      <c r="B6205" s="309"/>
      <c r="C6205" s="309"/>
      <c r="I6205" s="309"/>
      <c r="J6205" s="309"/>
    </row>
    <row r="6206">
      <c r="B6206" s="309"/>
      <c r="C6206" s="309"/>
      <c r="I6206" s="309"/>
      <c r="J6206" s="309"/>
    </row>
    <row r="6207">
      <c r="B6207" s="309"/>
      <c r="C6207" s="309"/>
      <c r="I6207" s="309"/>
      <c r="J6207" s="309"/>
    </row>
    <row r="6208">
      <c r="B6208" s="309"/>
      <c r="C6208" s="309"/>
      <c r="I6208" s="309"/>
      <c r="J6208" s="309"/>
    </row>
    <row r="6209">
      <c r="B6209" s="309"/>
      <c r="C6209" s="309"/>
      <c r="I6209" s="309"/>
      <c r="J6209" s="309"/>
    </row>
    <row r="6210">
      <c r="B6210" s="309"/>
      <c r="C6210" s="309"/>
      <c r="I6210" s="309"/>
      <c r="J6210" s="309"/>
    </row>
    <row r="6211">
      <c r="B6211" s="309"/>
      <c r="C6211" s="309"/>
      <c r="I6211" s="309"/>
      <c r="J6211" s="309"/>
    </row>
    <row r="6212">
      <c r="B6212" s="309"/>
      <c r="C6212" s="309"/>
      <c r="I6212" s="309"/>
      <c r="J6212" s="309"/>
    </row>
    <row r="6213">
      <c r="B6213" s="309"/>
      <c r="C6213" s="309"/>
      <c r="I6213" s="309"/>
      <c r="J6213" s="309"/>
    </row>
    <row r="6214">
      <c r="B6214" s="309"/>
      <c r="C6214" s="309"/>
      <c r="I6214" s="309"/>
      <c r="J6214" s="309"/>
    </row>
    <row r="6215">
      <c r="B6215" s="309"/>
      <c r="C6215" s="309"/>
      <c r="I6215" s="309"/>
      <c r="J6215" s="309"/>
    </row>
    <row r="6216">
      <c r="B6216" s="309"/>
      <c r="C6216" s="309"/>
      <c r="I6216" s="309"/>
      <c r="J6216" s="309"/>
    </row>
    <row r="6217">
      <c r="B6217" s="309"/>
      <c r="C6217" s="309"/>
      <c r="I6217" s="309"/>
      <c r="J6217" s="309"/>
    </row>
    <row r="6218">
      <c r="B6218" s="309"/>
      <c r="C6218" s="309"/>
      <c r="I6218" s="309"/>
      <c r="J6218" s="309"/>
    </row>
    <row r="6219">
      <c r="B6219" s="309"/>
      <c r="C6219" s="309"/>
      <c r="I6219" s="309"/>
      <c r="J6219" s="309"/>
    </row>
    <row r="6220">
      <c r="B6220" s="309"/>
      <c r="C6220" s="309"/>
      <c r="I6220" s="309"/>
      <c r="J6220" s="309"/>
    </row>
    <row r="6221">
      <c r="B6221" s="309"/>
      <c r="C6221" s="309"/>
      <c r="I6221" s="309"/>
      <c r="J6221" s="309"/>
    </row>
    <row r="6222">
      <c r="B6222" s="309"/>
      <c r="C6222" s="309"/>
      <c r="I6222" s="309"/>
      <c r="J6222" s="309"/>
    </row>
    <row r="6223">
      <c r="B6223" s="309"/>
      <c r="C6223" s="309"/>
      <c r="I6223" s="309"/>
      <c r="J6223" s="309"/>
    </row>
    <row r="6224">
      <c r="B6224" s="309"/>
      <c r="C6224" s="309"/>
      <c r="I6224" s="309"/>
      <c r="J6224" s="309"/>
    </row>
    <row r="6225">
      <c r="B6225" s="309"/>
      <c r="C6225" s="309"/>
      <c r="I6225" s="309"/>
      <c r="J6225" s="309"/>
    </row>
    <row r="6226">
      <c r="B6226" s="309"/>
      <c r="C6226" s="309"/>
      <c r="I6226" s="309"/>
      <c r="J6226" s="309"/>
    </row>
    <row r="6227">
      <c r="B6227" s="309"/>
      <c r="C6227" s="309"/>
      <c r="I6227" s="309"/>
      <c r="J6227" s="309"/>
    </row>
    <row r="6228">
      <c r="B6228" s="309"/>
      <c r="C6228" s="309"/>
      <c r="I6228" s="309"/>
      <c r="J6228" s="309"/>
    </row>
    <row r="6229">
      <c r="B6229" s="309"/>
      <c r="C6229" s="309"/>
      <c r="I6229" s="309"/>
      <c r="J6229" s="309"/>
    </row>
    <row r="6230">
      <c r="B6230" s="309"/>
      <c r="C6230" s="309"/>
      <c r="I6230" s="309"/>
      <c r="J6230" s="309"/>
    </row>
    <row r="6231">
      <c r="B6231" s="309"/>
      <c r="C6231" s="309"/>
      <c r="I6231" s="309"/>
      <c r="J6231" s="309"/>
    </row>
    <row r="6232">
      <c r="B6232" s="309"/>
      <c r="C6232" s="309"/>
      <c r="I6232" s="309"/>
      <c r="J6232" s="309"/>
    </row>
    <row r="6233">
      <c r="B6233" s="309"/>
      <c r="C6233" s="309"/>
      <c r="I6233" s="309"/>
      <c r="J6233" s="309"/>
    </row>
    <row r="6234">
      <c r="B6234" s="309"/>
      <c r="C6234" s="309"/>
      <c r="I6234" s="309"/>
      <c r="J6234" s="309"/>
    </row>
    <row r="6235">
      <c r="B6235" s="309"/>
      <c r="C6235" s="309"/>
      <c r="I6235" s="309"/>
      <c r="J6235" s="309"/>
    </row>
    <row r="6236">
      <c r="B6236" s="309"/>
      <c r="C6236" s="309"/>
      <c r="I6236" s="309"/>
      <c r="J6236" s="309"/>
    </row>
    <row r="6237">
      <c r="B6237" s="309"/>
      <c r="C6237" s="309"/>
      <c r="I6237" s="309"/>
      <c r="J6237" s="309"/>
    </row>
    <row r="6238">
      <c r="B6238" s="309"/>
      <c r="C6238" s="309"/>
      <c r="I6238" s="309"/>
      <c r="J6238" s="309"/>
    </row>
    <row r="6239">
      <c r="B6239" s="309"/>
      <c r="C6239" s="309"/>
      <c r="I6239" s="309"/>
      <c r="J6239" s="309"/>
    </row>
    <row r="6240">
      <c r="B6240" s="309"/>
      <c r="C6240" s="309"/>
      <c r="I6240" s="309"/>
      <c r="J6240" s="309"/>
    </row>
    <row r="6241">
      <c r="B6241" s="309"/>
      <c r="C6241" s="309"/>
      <c r="I6241" s="309"/>
      <c r="J6241" s="309"/>
    </row>
    <row r="6242">
      <c r="B6242" s="309"/>
      <c r="C6242" s="309"/>
      <c r="I6242" s="309"/>
      <c r="J6242" s="309"/>
    </row>
    <row r="6243">
      <c r="B6243" s="309"/>
      <c r="C6243" s="309"/>
      <c r="I6243" s="309"/>
      <c r="J6243" s="309"/>
    </row>
    <row r="6244">
      <c r="B6244" s="309"/>
      <c r="C6244" s="309"/>
      <c r="I6244" s="309"/>
      <c r="J6244" s="309"/>
    </row>
    <row r="6245">
      <c r="B6245" s="309"/>
      <c r="C6245" s="309"/>
      <c r="I6245" s="309"/>
      <c r="J6245" s="309"/>
    </row>
    <row r="6246">
      <c r="B6246" s="309"/>
      <c r="C6246" s="309"/>
      <c r="I6246" s="309"/>
      <c r="J6246" s="309"/>
    </row>
    <row r="6247">
      <c r="B6247" s="309"/>
      <c r="C6247" s="309"/>
      <c r="I6247" s="309"/>
      <c r="J6247" s="309"/>
    </row>
    <row r="6248">
      <c r="B6248" s="309"/>
      <c r="C6248" s="309"/>
      <c r="I6248" s="309"/>
      <c r="J6248" s="309"/>
    </row>
    <row r="6249">
      <c r="B6249" s="309"/>
      <c r="C6249" s="309"/>
      <c r="I6249" s="309"/>
      <c r="J6249" s="309"/>
    </row>
    <row r="6250">
      <c r="B6250" s="309"/>
      <c r="C6250" s="309"/>
      <c r="I6250" s="309"/>
      <c r="J6250" s="309"/>
    </row>
    <row r="6251">
      <c r="B6251" s="309"/>
      <c r="C6251" s="309"/>
      <c r="I6251" s="309"/>
      <c r="J6251" s="309"/>
    </row>
    <row r="6252">
      <c r="B6252" s="309"/>
      <c r="C6252" s="309"/>
      <c r="I6252" s="309"/>
      <c r="J6252" s="309"/>
    </row>
    <row r="6253">
      <c r="B6253" s="309"/>
      <c r="C6253" s="309"/>
      <c r="I6253" s="309"/>
      <c r="J6253" s="309"/>
    </row>
    <row r="6254">
      <c r="B6254" s="309"/>
      <c r="C6254" s="309"/>
      <c r="I6254" s="309"/>
      <c r="J6254" s="309"/>
    </row>
    <row r="6255">
      <c r="B6255" s="309"/>
      <c r="C6255" s="309"/>
      <c r="I6255" s="309"/>
      <c r="J6255" s="309"/>
    </row>
    <row r="6256">
      <c r="B6256" s="309"/>
      <c r="C6256" s="309"/>
      <c r="I6256" s="309"/>
      <c r="J6256" s="309"/>
    </row>
    <row r="6257">
      <c r="B6257" s="309"/>
      <c r="C6257" s="309"/>
      <c r="I6257" s="309"/>
      <c r="J6257" s="309"/>
    </row>
    <row r="6258">
      <c r="B6258" s="309"/>
      <c r="C6258" s="309"/>
      <c r="I6258" s="309"/>
      <c r="J6258" s="309"/>
    </row>
    <row r="6259">
      <c r="B6259" s="309"/>
      <c r="C6259" s="309"/>
      <c r="I6259" s="309"/>
      <c r="J6259" s="309"/>
    </row>
    <row r="6260">
      <c r="B6260" s="309"/>
      <c r="C6260" s="309"/>
      <c r="I6260" s="309"/>
      <c r="J6260" s="309"/>
    </row>
    <row r="6261">
      <c r="B6261" s="309"/>
      <c r="C6261" s="309"/>
      <c r="I6261" s="309"/>
      <c r="J6261" s="309"/>
    </row>
    <row r="6262">
      <c r="B6262" s="309"/>
      <c r="C6262" s="309"/>
      <c r="I6262" s="309"/>
      <c r="J6262" s="309"/>
    </row>
    <row r="6263">
      <c r="B6263" s="309"/>
      <c r="C6263" s="309"/>
      <c r="I6263" s="309"/>
      <c r="J6263" s="309"/>
    </row>
    <row r="6264">
      <c r="B6264" s="309"/>
      <c r="C6264" s="309"/>
      <c r="I6264" s="309"/>
      <c r="J6264" s="309"/>
    </row>
    <row r="6265">
      <c r="B6265" s="309"/>
      <c r="C6265" s="309"/>
      <c r="I6265" s="309"/>
      <c r="J6265" s="309"/>
    </row>
    <row r="6266">
      <c r="B6266" s="309"/>
      <c r="C6266" s="309"/>
      <c r="I6266" s="309"/>
      <c r="J6266" s="309"/>
    </row>
    <row r="6267">
      <c r="B6267" s="309"/>
      <c r="C6267" s="309"/>
      <c r="I6267" s="309"/>
      <c r="J6267" s="309"/>
    </row>
    <row r="6268">
      <c r="B6268" s="309"/>
      <c r="C6268" s="309"/>
      <c r="I6268" s="309"/>
      <c r="J6268" s="309"/>
    </row>
    <row r="6269">
      <c r="B6269" s="309"/>
      <c r="C6269" s="309"/>
      <c r="I6269" s="309"/>
      <c r="J6269" s="309"/>
    </row>
    <row r="6270">
      <c r="B6270" s="309"/>
      <c r="C6270" s="309"/>
      <c r="I6270" s="309"/>
      <c r="J6270" s="309"/>
    </row>
    <row r="6271">
      <c r="B6271" s="309"/>
      <c r="C6271" s="309"/>
      <c r="I6271" s="309"/>
      <c r="J6271" s="309"/>
    </row>
    <row r="6272">
      <c r="B6272" s="309"/>
      <c r="C6272" s="309"/>
      <c r="I6272" s="309"/>
      <c r="J6272" s="309"/>
    </row>
    <row r="6273">
      <c r="B6273" s="309"/>
      <c r="C6273" s="309"/>
      <c r="I6273" s="309"/>
      <c r="J6273" s="309"/>
    </row>
    <row r="6274">
      <c r="B6274" s="309"/>
      <c r="C6274" s="309"/>
      <c r="I6274" s="309"/>
      <c r="J6274" s="309"/>
    </row>
    <row r="6275">
      <c r="B6275" s="309"/>
      <c r="C6275" s="309"/>
      <c r="I6275" s="309"/>
      <c r="J6275" s="309"/>
    </row>
    <row r="6276">
      <c r="B6276" s="309"/>
      <c r="C6276" s="309"/>
      <c r="I6276" s="309"/>
      <c r="J6276" s="309"/>
    </row>
    <row r="6277">
      <c r="B6277" s="309"/>
      <c r="C6277" s="309"/>
      <c r="I6277" s="309"/>
      <c r="J6277" s="309"/>
    </row>
    <row r="6278">
      <c r="B6278" s="309"/>
      <c r="C6278" s="309"/>
      <c r="I6278" s="309"/>
      <c r="J6278" s="309"/>
    </row>
    <row r="6279">
      <c r="B6279" s="309"/>
      <c r="C6279" s="309"/>
      <c r="I6279" s="309"/>
      <c r="J6279" s="309"/>
    </row>
    <row r="6280">
      <c r="B6280" s="309"/>
      <c r="C6280" s="309"/>
      <c r="I6280" s="309"/>
      <c r="J6280" s="309"/>
    </row>
    <row r="6281">
      <c r="B6281" s="309"/>
      <c r="C6281" s="309"/>
      <c r="I6281" s="309"/>
      <c r="J6281" s="309"/>
    </row>
    <row r="6282">
      <c r="B6282" s="309"/>
      <c r="C6282" s="309"/>
      <c r="I6282" s="309"/>
      <c r="J6282" s="309"/>
    </row>
    <row r="6283">
      <c r="B6283" s="309"/>
      <c r="C6283" s="309"/>
      <c r="I6283" s="309"/>
      <c r="J6283" s="309"/>
    </row>
    <row r="6284">
      <c r="B6284" s="309"/>
      <c r="C6284" s="309"/>
      <c r="I6284" s="309"/>
      <c r="J6284" s="309"/>
    </row>
    <row r="6285">
      <c r="B6285" s="309"/>
      <c r="C6285" s="309"/>
      <c r="I6285" s="309"/>
      <c r="J6285" s="309"/>
    </row>
    <row r="6286">
      <c r="B6286" s="309"/>
      <c r="C6286" s="309"/>
      <c r="I6286" s="309"/>
      <c r="J6286" s="309"/>
    </row>
    <row r="6287">
      <c r="B6287" s="309"/>
      <c r="C6287" s="309"/>
      <c r="I6287" s="309"/>
      <c r="J6287" s="309"/>
    </row>
    <row r="6288">
      <c r="B6288" s="309"/>
      <c r="C6288" s="309"/>
      <c r="I6288" s="309"/>
      <c r="J6288" s="309"/>
    </row>
    <row r="6289">
      <c r="B6289" s="309"/>
      <c r="C6289" s="309"/>
      <c r="I6289" s="309"/>
      <c r="J6289" s="309"/>
    </row>
    <row r="6290">
      <c r="B6290" s="309"/>
      <c r="C6290" s="309"/>
      <c r="I6290" s="309"/>
      <c r="J6290" s="309"/>
    </row>
    <row r="6291">
      <c r="B6291" s="309"/>
      <c r="C6291" s="309"/>
      <c r="I6291" s="309"/>
      <c r="J6291" s="309"/>
    </row>
    <row r="6292">
      <c r="B6292" s="309"/>
      <c r="C6292" s="309"/>
      <c r="I6292" s="309"/>
      <c r="J6292" s="309"/>
    </row>
    <row r="6293">
      <c r="B6293" s="309"/>
      <c r="C6293" s="309"/>
      <c r="I6293" s="309"/>
      <c r="J6293" s="309"/>
    </row>
    <row r="6294">
      <c r="B6294" s="309"/>
      <c r="C6294" s="309"/>
      <c r="I6294" s="309"/>
      <c r="J6294" s="309"/>
    </row>
    <row r="6295">
      <c r="B6295" s="309"/>
      <c r="C6295" s="309"/>
      <c r="I6295" s="309"/>
      <c r="J6295" s="309"/>
    </row>
    <row r="6296">
      <c r="B6296" s="309"/>
      <c r="C6296" s="309"/>
      <c r="I6296" s="309"/>
      <c r="J6296" s="309"/>
    </row>
    <row r="6297">
      <c r="B6297" s="309"/>
      <c r="C6297" s="309"/>
      <c r="I6297" s="309"/>
      <c r="J6297" s="309"/>
    </row>
    <row r="6298">
      <c r="B6298" s="309"/>
      <c r="C6298" s="309"/>
      <c r="I6298" s="309"/>
      <c r="J6298" s="309"/>
    </row>
    <row r="6299">
      <c r="B6299" s="309"/>
      <c r="C6299" s="309"/>
      <c r="I6299" s="309"/>
      <c r="J6299" s="309"/>
    </row>
    <row r="6300">
      <c r="B6300" s="309"/>
      <c r="C6300" s="309"/>
      <c r="I6300" s="309"/>
      <c r="J6300" s="309"/>
    </row>
    <row r="6301">
      <c r="B6301" s="309"/>
      <c r="C6301" s="309"/>
      <c r="I6301" s="309"/>
      <c r="J6301" s="309"/>
    </row>
    <row r="6302">
      <c r="B6302" s="309"/>
      <c r="C6302" s="309"/>
      <c r="I6302" s="309"/>
      <c r="J6302" s="309"/>
    </row>
    <row r="6303">
      <c r="B6303" s="309"/>
      <c r="C6303" s="309"/>
      <c r="I6303" s="309"/>
      <c r="J6303" s="309"/>
    </row>
    <row r="6304">
      <c r="B6304" s="309"/>
      <c r="C6304" s="309"/>
      <c r="I6304" s="309"/>
      <c r="J6304" s="309"/>
    </row>
    <row r="6305">
      <c r="B6305" s="309"/>
      <c r="C6305" s="309"/>
      <c r="I6305" s="309"/>
      <c r="J6305" s="309"/>
    </row>
    <row r="6306">
      <c r="B6306" s="309"/>
      <c r="C6306" s="309"/>
      <c r="I6306" s="309"/>
      <c r="J6306" s="309"/>
    </row>
    <row r="6307">
      <c r="B6307" s="309"/>
      <c r="C6307" s="309"/>
      <c r="I6307" s="309"/>
      <c r="J6307" s="309"/>
    </row>
    <row r="6308">
      <c r="B6308" s="309"/>
      <c r="C6308" s="309"/>
      <c r="I6308" s="309"/>
      <c r="J6308" s="309"/>
    </row>
    <row r="6309">
      <c r="B6309" s="309"/>
      <c r="C6309" s="309"/>
      <c r="I6309" s="309"/>
      <c r="J6309" s="309"/>
    </row>
    <row r="6310">
      <c r="B6310" s="309"/>
      <c r="C6310" s="309"/>
      <c r="I6310" s="309"/>
      <c r="J6310" s="309"/>
    </row>
    <row r="6311">
      <c r="B6311" s="309"/>
      <c r="C6311" s="309"/>
      <c r="I6311" s="309"/>
      <c r="J6311" s="309"/>
    </row>
    <row r="6312">
      <c r="B6312" s="309"/>
      <c r="C6312" s="309"/>
      <c r="I6312" s="309"/>
      <c r="J6312" s="309"/>
    </row>
    <row r="6313">
      <c r="B6313" s="309"/>
      <c r="C6313" s="309"/>
      <c r="I6313" s="309"/>
      <c r="J6313" s="309"/>
    </row>
    <row r="6314">
      <c r="B6314" s="309"/>
      <c r="C6314" s="309"/>
      <c r="I6314" s="309"/>
      <c r="J6314" s="309"/>
    </row>
    <row r="6315">
      <c r="B6315" s="309"/>
      <c r="C6315" s="309"/>
      <c r="I6315" s="309"/>
      <c r="J6315" s="309"/>
    </row>
    <row r="6316">
      <c r="B6316" s="309"/>
      <c r="C6316" s="309"/>
      <c r="I6316" s="309"/>
      <c r="J6316" s="309"/>
    </row>
    <row r="6317">
      <c r="B6317" s="309"/>
      <c r="C6317" s="309"/>
      <c r="I6317" s="309"/>
      <c r="J6317" s="309"/>
    </row>
    <row r="6318">
      <c r="B6318" s="309"/>
      <c r="C6318" s="309"/>
      <c r="I6318" s="309"/>
      <c r="J6318" s="309"/>
    </row>
    <row r="6319">
      <c r="B6319" s="309"/>
      <c r="C6319" s="309"/>
      <c r="I6319" s="309"/>
      <c r="J6319" s="309"/>
    </row>
    <row r="6320">
      <c r="B6320" s="309"/>
      <c r="C6320" s="309"/>
      <c r="I6320" s="309"/>
      <c r="J6320" s="309"/>
    </row>
    <row r="6321">
      <c r="B6321" s="309"/>
      <c r="C6321" s="309"/>
      <c r="I6321" s="309"/>
      <c r="J6321" s="309"/>
    </row>
    <row r="6322">
      <c r="B6322" s="309"/>
      <c r="C6322" s="309"/>
      <c r="I6322" s="309"/>
      <c r="J6322" s="309"/>
    </row>
    <row r="6323">
      <c r="B6323" s="309"/>
      <c r="C6323" s="309"/>
      <c r="I6323" s="309"/>
      <c r="J6323" s="309"/>
    </row>
    <row r="6324">
      <c r="B6324" s="309"/>
      <c r="C6324" s="309"/>
      <c r="I6324" s="309"/>
      <c r="J6324" s="309"/>
    </row>
    <row r="6325">
      <c r="B6325" s="309"/>
      <c r="C6325" s="309"/>
      <c r="I6325" s="309"/>
      <c r="J6325" s="309"/>
    </row>
    <row r="6326">
      <c r="B6326" s="309"/>
      <c r="C6326" s="309"/>
      <c r="I6326" s="309"/>
      <c r="J6326" s="309"/>
    </row>
    <row r="6327">
      <c r="B6327" s="309"/>
      <c r="C6327" s="309"/>
      <c r="I6327" s="309"/>
      <c r="J6327" s="309"/>
    </row>
    <row r="6328">
      <c r="B6328" s="309"/>
      <c r="C6328" s="309"/>
      <c r="I6328" s="309"/>
      <c r="J6328" s="309"/>
    </row>
    <row r="6329">
      <c r="B6329" s="309"/>
      <c r="C6329" s="309"/>
      <c r="I6329" s="309"/>
      <c r="J6329" s="309"/>
    </row>
    <row r="6330">
      <c r="B6330" s="309"/>
      <c r="C6330" s="309"/>
      <c r="I6330" s="309"/>
      <c r="J6330" s="309"/>
    </row>
    <row r="6331">
      <c r="B6331" s="309"/>
      <c r="C6331" s="309"/>
      <c r="I6331" s="309"/>
      <c r="J6331" s="309"/>
    </row>
    <row r="6332">
      <c r="B6332" s="309"/>
      <c r="C6332" s="309"/>
      <c r="I6332" s="309"/>
      <c r="J6332" s="309"/>
    </row>
    <row r="6333">
      <c r="B6333" s="309"/>
      <c r="C6333" s="309"/>
      <c r="I6333" s="309"/>
      <c r="J6333" s="309"/>
    </row>
    <row r="6334">
      <c r="B6334" s="309"/>
      <c r="C6334" s="309"/>
      <c r="I6334" s="309"/>
      <c r="J6334" s="309"/>
    </row>
    <row r="6335">
      <c r="B6335" s="309"/>
      <c r="C6335" s="309"/>
      <c r="I6335" s="309"/>
      <c r="J6335" s="309"/>
    </row>
    <row r="6336">
      <c r="B6336" s="309"/>
      <c r="C6336" s="309"/>
      <c r="I6336" s="309"/>
      <c r="J6336" s="309"/>
    </row>
    <row r="6337">
      <c r="B6337" s="309"/>
      <c r="C6337" s="309"/>
      <c r="I6337" s="309"/>
      <c r="J6337" s="309"/>
    </row>
    <row r="6338">
      <c r="B6338" s="309"/>
      <c r="C6338" s="309"/>
      <c r="I6338" s="309"/>
      <c r="J6338" s="309"/>
    </row>
    <row r="6339">
      <c r="B6339" s="309"/>
      <c r="C6339" s="309"/>
      <c r="I6339" s="309"/>
      <c r="J6339" s="309"/>
    </row>
    <row r="6340">
      <c r="B6340" s="309"/>
      <c r="C6340" s="309"/>
      <c r="I6340" s="309"/>
      <c r="J6340" s="309"/>
    </row>
    <row r="6341">
      <c r="B6341" s="309"/>
      <c r="C6341" s="309"/>
      <c r="I6341" s="309"/>
      <c r="J6341" s="309"/>
    </row>
    <row r="6342">
      <c r="B6342" s="309"/>
      <c r="C6342" s="309"/>
      <c r="I6342" s="309"/>
      <c r="J6342" s="309"/>
    </row>
    <row r="6343">
      <c r="B6343" s="309"/>
      <c r="C6343" s="309"/>
      <c r="I6343" s="309"/>
      <c r="J6343" s="309"/>
    </row>
    <row r="6344">
      <c r="B6344" s="309"/>
      <c r="C6344" s="309"/>
      <c r="I6344" s="309"/>
      <c r="J6344" s="309"/>
    </row>
    <row r="6345">
      <c r="B6345" s="309"/>
      <c r="C6345" s="309"/>
      <c r="I6345" s="309"/>
      <c r="J6345" s="309"/>
    </row>
    <row r="6346">
      <c r="B6346" s="309"/>
      <c r="C6346" s="309"/>
      <c r="I6346" s="309"/>
      <c r="J6346" s="309"/>
    </row>
    <row r="6347">
      <c r="B6347" s="309"/>
      <c r="C6347" s="309"/>
      <c r="I6347" s="309"/>
      <c r="J6347" s="309"/>
    </row>
    <row r="6348">
      <c r="B6348" s="309"/>
      <c r="C6348" s="309"/>
      <c r="I6348" s="309"/>
      <c r="J6348" s="309"/>
    </row>
    <row r="6349">
      <c r="B6349" s="309"/>
      <c r="C6349" s="309"/>
      <c r="I6349" s="309"/>
      <c r="J6349" s="309"/>
    </row>
    <row r="6350">
      <c r="B6350" s="309"/>
      <c r="C6350" s="309"/>
      <c r="I6350" s="309"/>
      <c r="J6350" s="309"/>
    </row>
    <row r="6351">
      <c r="B6351" s="309"/>
      <c r="C6351" s="309"/>
      <c r="I6351" s="309"/>
      <c r="J6351" s="309"/>
    </row>
    <row r="6352">
      <c r="B6352" s="309"/>
      <c r="C6352" s="309"/>
      <c r="I6352" s="309"/>
      <c r="J6352" s="309"/>
    </row>
    <row r="6353">
      <c r="B6353" s="309"/>
      <c r="C6353" s="309"/>
      <c r="I6353" s="309"/>
      <c r="J6353" s="309"/>
    </row>
    <row r="6354">
      <c r="B6354" s="309"/>
      <c r="C6354" s="309"/>
      <c r="I6354" s="309"/>
      <c r="J6354" s="309"/>
    </row>
    <row r="6355">
      <c r="B6355" s="309"/>
      <c r="C6355" s="309"/>
      <c r="I6355" s="309"/>
      <c r="J6355" s="309"/>
    </row>
    <row r="6356">
      <c r="B6356" s="309"/>
      <c r="C6356" s="309"/>
      <c r="I6356" s="309"/>
      <c r="J6356" s="309"/>
    </row>
    <row r="6357">
      <c r="B6357" s="309"/>
      <c r="C6357" s="309"/>
      <c r="I6357" s="309"/>
      <c r="J6357" s="309"/>
    </row>
    <row r="6358">
      <c r="B6358" s="309"/>
      <c r="C6358" s="309"/>
      <c r="I6358" s="309"/>
      <c r="J6358" s="309"/>
    </row>
    <row r="6359">
      <c r="B6359" s="309"/>
      <c r="C6359" s="309"/>
      <c r="I6359" s="309"/>
      <c r="J6359" s="309"/>
    </row>
    <row r="6360">
      <c r="B6360" s="309"/>
      <c r="C6360" s="309"/>
      <c r="I6360" s="309"/>
      <c r="J6360" s="309"/>
    </row>
    <row r="6361">
      <c r="B6361" s="309"/>
      <c r="C6361" s="309"/>
      <c r="I6361" s="309"/>
      <c r="J6361" s="309"/>
    </row>
    <row r="6362">
      <c r="B6362" s="309"/>
      <c r="C6362" s="309"/>
      <c r="I6362" s="309"/>
      <c r="J6362" s="309"/>
    </row>
    <row r="6363">
      <c r="B6363" s="309"/>
      <c r="C6363" s="309"/>
      <c r="I6363" s="309"/>
      <c r="J6363" s="309"/>
    </row>
    <row r="6364">
      <c r="B6364" s="309"/>
      <c r="C6364" s="309"/>
      <c r="I6364" s="309"/>
      <c r="J6364" s="309"/>
    </row>
    <row r="6365">
      <c r="B6365" s="309"/>
      <c r="C6365" s="309"/>
      <c r="I6365" s="309"/>
      <c r="J6365" s="309"/>
    </row>
    <row r="6366">
      <c r="B6366" s="309"/>
      <c r="C6366" s="309"/>
      <c r="I6366" s="309"/>
      <c r="J6366" s="309"/>
    </row>
    <row r="6367">
      <c r="B6367" s="309"/>
      <c r="C6367" s="309"/>
      <c r="I6367" s="309"/>
      <c r="J6367" s="309"/>
    </row>
    <row r="6368">
      <c r="B6368" s="309"/>
      <c r="C6368" s="309"/>
      <c r="I6368" s="309"/>
      <c r="J6368" s="309"/>
    </row>
    <row r="6369">
      <c r="B6369" s="309"/>
      <c r="C6369" s="309"/>
      <c r="I6369" s="309"/>
      <c r="J6369" s="309"/>
    </row>
    <row r="6370">
      <c r="B6370" s="309"/>
      <c r="C6370" s="309"/>
      <c r="I6370" s="309"/>
      <c r="J6370" s="309"/>
    </row>
    <row r="6371">
      <c r="B6371" s="309"/>
      <c r="C6371" s="309"/>
      <c r="I6371" s="309"/>
      <c r="J6371" s="309"/>
    </row>
    <row r="6372">
      <c r="B6372" s="309"/>
      <c r="C6372" s="309"/>
      <c r="I6372" s="309"/>
      <c r="J6372" s="309"/>
    </row>
    <row r="6373">
      <c r="B6373" s="309"/>
      <c r="C6373" s="309"/>
      <c r="I6373" s="309"/>
      <c r="J6373" s="309"/>
    </row>
    <row r="6374">
      <c r="B6374" s="309"/>
      <c r="C6374" s="309"/>
      <c r="I6374" s="309"/>
      <c r="J6374" s="309"/>
    </row>
    <row r="6375">
      <c r="B6375" s="309"/>
      <c r="C6375" s="309"/>
      <c r="I6375" s="309"/>
      <c r="J6375" s="309"/>
    </row>
    <row r="6376">
      <c r="B6376" s="309"/>
      <c r="C6376" s="309"/>
      <c r="I6376" s="309"/>
      <c r="J6376" s="309"/>
    </row>
    <row r="6377">
      <c r="B6377" s="309"/>
      <c r="C6377" s="309"/>
      <c r="I6377" s="309"/>
      <c r="J6377" s="309"/>
    </row>
    <row r="6378">
      <c r="B6378" s="309"/>
      <c r="C6378" s="309"/>
      <c r="I6378" s="309"/>
      <c r="J6378" s="309"/>
    </row>
    <row r="6379">
      <c r="B6379" s="309"/>
      <c r="C6379" s="309"/>
      <c r="I6379" s="309"/>
      <c r="J6379" s="309"/>
    </row>
    <row r="6380">
      <c r="B6380" s="309"/>
      <c r="C6380" s="309"/>
      <c r="I6380" s="309"/>
      <c r="J6380" s="309"/>
    </row>
    <row r="6381">
      <c r="B6381" s="309"/>
      <c r="C6381" s="309"/>
      <c r="I6381" s="309"/>
      <c r="J6381" s="309"/>
    </row>
    <row r="6382">
      <c r="B6382" s="309"/>
      <c r="C6382" s="309"/>
      <c r="I6382" s="309"/>
      <c r="J6382" s="309"/>
    </row>
    <row r="6383">
      <c r="B6383" s="309"/>
      <c r="C6383" s="309"/>
      <c r="I6383" s="309"/>
      <c r="J6383" s="309"/>
    </row>
    <row r="6384">
      <c r="B6384" s="309"/>
      <c r="C6384" s="309"/>
      <c r="I6384" s="309"/>
      <c r="J6384" s="309"/>
    </row>
    <row r="6385">
      <c r="B6385" s="309"/>
      <c r="C6385" s="309"/>
      <c r="I6385" s="309"/>
      <c r="J6385" s="309"/>
    </row>
    <row r="6386">
      <c r="B6386" s="309"/>
      <c r="C6386" s="309"/>
      <c r="I6386" s="309"/>
      <c r="J6386" s="309"/>
    </row>
    <row r="6387">
      <c r="B6387" s="309"/>
      <c r="C6387" s="309"/>
      <c r="I6387" s="309"/>
      <c r="J6387" s="309"/>
    </row>
    <row r="6388">
      <c r="B6388" s="309"/>
      <c r="C6388" s="309"/>
      <c r="I6388" s="309"/>
      <c r="J6388" s="309"/>
    </row>
    <row r="6389">
      <c r="B6389" s="309"/>
      <c r="C6389" s="309"/>
      <c r="I6389" s="309"/>
      <c r="J6389" s="309"/>
    </row>
    <row r="6390">
      <c r="B6390" s="309"/>
      <c r="C6390" s="309"/>
      <c r="I6390" s="309"/>
      <c r="J6390" s="309"/>
    </row>
    <row r="6391">
      <c r="B6391" s="309"/>
      <c r="C6391" s="309"/>
      <c r="I6391" s="309"/>
      <c r="J6391" s="309"/>
    </row>
    <row r="6392">
      <c r="B6392" s="309"/>
      <c r="C6392" s="309"/>
      <c r="I6392" s="309"/>
      <c r="J6392" s="309"/>
    </row>
    <row r="6393">
      <c r="B6393" s="309"/>
      <c r="C6393" s="309"/>
      <c r="I6393" s="309"/>
      <c r="J6393" s="309"/>
    </row>
    <row r="6394">
      <c r="B6394" s="309"/>
      <c r="C6394" s="309"/>
      <c r="I6394" s="309"/>
      <c r="J6394" s="309"/>
    </row>
    <row r="6395">
      <c r="B6395" s="309"/>
      <c r="C6395" s="309"/>
      <c r="I6395" s="309"/>
      <c r="J6395" s="309"/>
    </row>
    <row r="6396">
      <c r="B6396" s="309"/>
      <c r="C6396" s="309"/>
      <c r="I6396" s="309"/>
      <c r="J6396" s="309"/>
    </row>
    <row r="6397">
      <c r="B6397" s="309"/>
      <c r="C6397" s="309"/>
      <c r="I6397" s="309"/>
      <c r="J6397" s="309"/>
    </row>
    <row r="6398">
      <c r="B6398" s="309"/>
      <c r="C6398" s="309"/>
      <c r="I6398" s="309"/>
      <c r="J6398" s="309"/>
    </row>
    <row r="6399">
      <c r="B6399" s="309"/>
      <c r="C6399" s="309"/>
      <c r="I6399" s="309"/>
      <c r="J6399" s="309"/>
    </row>
    <row r="6400">
      <c r="B6400" s="309"/>
      <c r="C6400" s="309"/>
      <c r="I6400" s="309"/>
      <c r="J6400" s="309"/>
    </row>
    <row r="6401">
      <c r="B6401" s="309"/>
      <c r="C6401" s="309"/>
      <c r="I6401" s="309"/>
      <c r="J6401" s="309"/>
    </row>
    <row r="6402">
      <c r="B6402" s="309"/>
      <c r="C6402" s="309"/>
      <c r="I6402" s="309"/>
      <c r="J6402" s="309"/>
    </row>
    <row r="6403">
      <c r="B6403" s="309"/>
      <c r="C6403" s="309"/>
      <c r="I6403" s="309"/>
      <c r="J6403" s="309"/>
    </row>
    <row r="6404">
      <c r="B6404" s="309"/>
      <c r="C6404" s="309"/>
      <c r="I6404" s="309"/>
      <c r="J6404" s="309"/>
    </row>
    <row r="6405">
      <c r="B6405" s="309"/>
      <c r="C6405" s="309"/>
      <c r="I6405" s="309"/>
      <c r="J6405" s="309"/>
    </row>
    <row r="6406">
      <c r="B6406" s="309"/>
      <c r="C6406" s="309"/>
      <c r="I6406" s="309"/>
      <c r="J6406" s="309"/>
    </row>
    <row r="6407">
      <c r="B6407" s="309"/>
      <c r="C6407" s="309"/>
      <c r="I6407" s="309"/>
      <c r="J6407" s="309"/>
    </row>
    <row r="6408">
      <c r="B6408" s="309"/>
      <c r="C6408" s="309"/>
      <c r="I6408" s="309"/>
      <c r="J6408" s="309"/>
    </row>
    <row r="6409">
      <c r="B6409" s="309"/>
      <c r="C6409" s="309"/>
      <c r="I6409" s="309"/>
      <c r="J6409" s="309"/>
    </row>
    <row r="6410">
      <c r="B6410" s="309"/>
      <c r="C6410" s="309"/>
      <c r="I6410" s="309"/>
      <c r="J6410" s="309"/>
    </row>
    <row r="6411">
      <c r="B6411" s="309"/>
      <c r="C6411" s="309"/>
      <c r="I6411" s="309"/>
      <c r="J6411" s="309"/>
    </row>
    <row r="6412">
      <c r="B6412" s="309"/>
      <c r="C6412" s="309"/>
      <c r="I6412" s="309"/>
      <c r="J6412" s="309"/>
    </row>
    <row r="6413">
      <c r="B6413" s="309"/>
      <c r="C6413" s="309"/>
      <c r="I6413" s="309"/>
      <c r="J6413" s="309"/>
    </row>
    <row r="6414">
      <c r="B6414" s="309"/>
      <c r="C6414" s="309"/>
      <c r="I6414" s="309"/>
      <c r="J6414" s="309"/>
    </row>
    <row r="6415">
      <c r="B6415" s="309"/>
      <c r="C6415" s="309"/>
      <c r="I6415" s="309"/>
      <c r="J6415" s="309"/>
    </row>
    <row r="6416">
      <c r="B6416" s="309"/>
      <c r="C6416" s="309"/>
      <c r="I6416" s="309"/>
      <c r="J6416" s="309"/>
    </row>
    <row r="6417">
      <c r="B6417" s="309"/>
      <c r="C6417" s="309"/>
      <c r="I6417" s="309"/>
      <c r="J6417" s="309"/>
    </row>
    <row r="6418">
      <c r="B6418" s="309"/>
      <c r="C6418" s="309"/>
      <c r="I6418" s="309"/>
      <c r="J6418" s="309"/>
    </row>
    <row r="6419">
      <c r="B6419" s="309"/>
      <c r="C6419" s="309"/>
      <c r="I6419" s="309"/>
      <c r="J6419" s="309"/>
    </row>
    <row r="6420">
      <c r="B6420" s="309"/>
      <c r="C6420" s="309"/>
      <c r="I6420" s="309"/>
      <c r="J6420" s="309"/>
    </row>
    <row r="6421">
      <c r="B6421" s="309"/>
      <c r="C6421" s="309"/>
      <c r="I6421" s="309"/>
      <c r="J6421" s="309"/>
    </row>
    <row r="6422">
      <c r="B6422" s="309"/>
      <c r="C6422" s="309"/>
      <c r="I6422" s="309"/>
      <c r="J6422" s="309"/>
    </row>
    <row r="6423">
      <c r="B6423" s="309"/>
      <c r="C6423" s="309"/>
      <c r="I6423" s="309"/>
      <c r="J6423" s="309"/>
    </row>
    <row r="6424">
      <c r="B6424" s="309"/>
      <c r="C6424" s="309"/>
      <c r="I6424" s="309"/>
      <c r="J6424" s="309"/>
    </row>
    <row r="6425">
      <c r="B6425" s="309"/>
      <c r="C6425" s="309"/>
      <c r="I6425" s="309"/>
      <c r="J6425" s="309"/>
    </row>
    <row r="6426">
      <c r="B6426" s="309"/>
      <c r="C6426" s="309"/>
      <c r="I6426" s="309"/>
      <c r="J6426" s="309"/>
    </row>
    <row r="6427">
      <c r="B6427" s="309"/>
      <c r="C6427" s="309"/>
      <c r="I6427" s="309"/>
      <c r="J6427" s="309"/>
    </row>
    <row r="6428">
      <c r="B6428" s="309"/>
      <c r="C6428" s="309"/>
      <c r="I6428" s="309"/>
      <c r="J6428" s="309"/>
    </row>
    <row r="6429">
      <c r="B6429" s="309"/>
      <c r="C6429" s="309"/>
      <c r="I6429" s="309"/>
      <c r="J6429" s="309"/>
    </row>
    <row r="6430">
      <c r="B6430" s="309"/>
      <c r="C6430" s="309"/>
      <c r="I6430" s="309"/>
      <c r="J6430" s="309"/>
    </row>
    <row r="6431">
      <c r="B6431" s="309"/>
      <c r="C6431" s="309"/>
      <c r="I6431" s="309"/>
      <c r="J6431" s="309"/>
    </row>
    <row r="6432">
      <c r="B6432" s="309"/>
      <c r="C6432" s="309"/>
      <c r="I6432" s="309"/>
      <c r="J6432" s="309"/>
    </row>
    <row r="6433">
      <c r="B6433" s="309"/>
      <c r="C6433" s="309"/>
      <c r="I6433" s="309"/>
      <c r="J6433" s="309"/>
    </row>
    <row r="6434">
      <c r="B6434" s="309"/>
      <c r="C6434" s="309"/>
      <c r="I6434" s="309"/>
      <c r="J6434" s="309"/>
    </row>
    <row r="6435">
      <c r="B6435" s="309"/>
      <c r="C6435" s="309"/>
      <c r="I6435" s="309"/>
      <c r="J6435" s="309"/>
    </row>
    <row r="6436">
      <c r="B6436" s="309"/>
      <c r="C6436" s="309"/>
      <c r="I6436" s="309"/>
      <c r="J6436" s="309"/>
    </row>
    <row r="6437">
      <c r="B6437" s="309"/>
      <c r="C6437" s="309"/>
      <c r="I6437" s="309"/>
      <c r="J6437" s="309"/>
    </row>
    <row r="6438">
      <c r="B6438" s="309"/>
      <c r="C6438" s="309"/>
      <c r="I6438" s="309"/>
      <c r="J6438" s="309"/>
    </row>
    <row r="6439">
      <c r="B6439" s="309"/>
      <c r="C6439" s="309"/>
      <c r="I6439" s="309"/>
      <c r="J6439" s="309"/>
    </row>
    <row r="6440">
      <c r="B6440" s="309"/>
      <c r="C6440" s="309"/>
      <c r="I6440" s="309"/>
      <c r="J6440" s="309"/>
    </row>
    <row r="6441">
      <c r="B6441" s="309"/>
      <c r="C6441" s="309"/>
      <c r="I6441" s="309"/>
      <c r="J6441" s="309"/>
    </row>
    <row r="6442">
      <c r="B6442" s="309"/>
      <c r="C6442" s="309"/>
      <c r="I6442" s="309"/>
      <c r="J6442" s="309"/>
    </row>
    <row r="6443">
      <c r="B6443" s="309"/>
      <c r="C6443" s="309"/>
      <c r="I6443" s="309"/>
      <c r="J6443" s="309"/>
    </row>
    <row r="6444">
      <c r="B6444" s="309"/>
      <c r="C6444" s="309"/>
      <c r="I6444" s="309"/>
      <c r="J6444" s="309"/>
    </row>
    <row r="6445">
      <c r="B6445" s="309"/>
      <c r="C6445" s="309"/>
      <c r="I6445" s="309"/>
      <c r="J6445" s="309"/>
    </row>
    <row r="6446">
      <c r="B6446" s="309"/>
      <c r="C6446" s="309"/>
      <c r="I6446" s="309"/>
      <c r="J6446" s="309"/>
    </row>
    <row r="6447">
      <c r="B6447" s="309"/>
      <c r="C6447" s="309"/>
      <c r="I6447" s="309"/>
      <c r="J6447" s="309"/>
    </row>
    <row r="6448">
      <c r="B6448" s="309"/>
      <c r="C6448" s="309"/>
      <c r="I6448" s="309"/>
      <c r="J6448" s="309"/>
    </row>
    <row r="6449">
      <c r="B6449" s="309"/>
      <c r="C6449" s="309"/>
      <c r="I6449" s="309"/>
      <c r="J6449" s="309"/>
    </row>
    <row r="6450">
      <c r="B6450" s="309"/>
      <c r="C6450" s="309"/>
      <c r="I6450" s="309"/>
      <c r="J6450" s="309"/>
    </row>
    <row r="6451">
      <c r="B6451" s="309"/>
      <c r="C6451" s="309"/>
      <c r="I6451" s="309"/>
      <c r="J6451" s="309"/>
    </row>
    <row r="6452">
      <c r="B6452" s="309"/>
      <c r="C6452" s="309"/>
      <c r="I6452" s="309"/>
      <c r="J6452" s="309"/>
    </row>
    <row r="6453">
      <c r="B6453" s="309"/>
      <c r="C6453" s="309"/>
      <c r="I6453" s="309"/>
      <c r="J6453" s="309"/>
    </row>
    <row r="6454">
      <c r="B6454" s="309"/>
      <c r="C6454" s="309"/>
      <c r="I6454" s="309"/>
      <c r="J6454" s="309"/>
    </row>
    <row r="6455">
      <c r="B6455" s="309"/>
      <c r="C6455" s="309"/>
      <c r="I6455" s="309"/>
      <c r="J6455" s="309"/>
    </row>
    <row r="6456">
      <c r="B6456" s="309"/>
      <c r="C6456" s="309"/>
      <c r="I6456" s="309"/>
      <c r="J6456" s="309"/>
    </row>
    <row r="6457">
      <c r="B6457" s="309"/>
      <c r="C6457" s="309"/>
      <c r="I6457" s="309"/>
      <c r="J6457" s="309"/>
    </row>
    <row r="6458">
      <c r="B6458" s="309"/>
      <c r="C6458" s="309"/>
      <c r="I6458" s="309"/>
      <c r="J6458" s="309"/>
    </row>
    <row r="6459">
      <c r="B6459" s="309"/>
      <c r="C6459" s="309"/>
      <c r="I6459" s="309"/>
      <c r="J6459" s="309"/>
    </row>
    <row r="6460">
      <c r="B6460" s="309"/>
      <c r="C6460" s="309"/>
      <c r="I6460" s="309"/>
      <c r="J6460" s="309"/>
    </row>
    <row r="6461">
      <c r="B6461" s="309"/>
      <c r="C6461" s="309"/>
      <c r="I6461" s="309"/>
      <c r="J6461" s="309"/>
    </row>
    <row r="6462">
      <c r="B6462" s="309"/>
      <c r="C6462" s="309"/>
      <c r="I6462" s="309"/>
      <c r="J6462" s="309"/>
    </row>
    <row r="6463">
      <c r="B6463" s="309"/>
      <c r="C6463" s="309"/>
      <c r="I6463" s="309"/>
      <c r="J6463" s="309"/>
    </row>
    <row r="6464">
      <c r="B6464" s="309"/>
      <c r="C6464" s="309"/>
      <c r="I6464" s="309"/>
      <c r="J6464" s="309"/>
    </row>
    <row r="6465">
      <c r="B6465" s="309"/>
      <c r="C6465" s="309"/>
      <c r="I6465" s="309"/>
      <c r="J6465" s="309"/>
    </row>
    <row r="6466">
      <c r="B6466" s="309"/>
      <c r="C6466" s="309"/>
      <c r="I6466" s="309"/>
      <c r="J6466" s="309"/>
    </row>
    <row r="6467">
      <c r="B6467" s="309"/>
      <c r="C6467" s="309"/>
      <c r="I6467" s="309"/>
      <c r="J6467" s="309"/>
    </row>
    <row r="6468">
      <c r="B6468" s="309"/>
      <c r="C6468" s="309"/>
      <c r="I6468" s="309"/>
      <c r="J6468" s="309"/>
    </row>
    <row r="6469">
      <c r="B6469" s="309"/>
      <c r="C6469" s="309"/>
      <c r="I6469" s="309"/>
      <c r="J6469" s="309"/>
    </row>
    <row r="6470">
      <c r="B6470" s="309"/>
      <c r="C6470" s="309"/>
      <c r="I6470" s="309"/>
      <c r="J6470" s="309"/>
    </row>
    <row r="6471">
      <c r="B6471" s="309"/>
      <c r="C6471" s="309"/>
      <c r="I6471" s="309"/>
      <c r="J6471" s="309"/>
    </row>
    <row r="6472">
      <c r="B6472" s="309"/>
      <c r="C6472" s="309"/>
      <c r="I6472" s="309"/>
      <c r="J6472" s="309"/>
    </row>
    <row r="6473">
      <c r="B6473" s="309"/>
      <c r="C6473" s="309"/>
      <c r="I6473" s="309"/>
      <c r="J6473" s="309"/>
    </row>
    <row r="6474">
      <c r="B6474" s="309"/>
      <c r="C6474" s="309"/>
      <c r="I6474" s="309"/>
      <c r="J6474" s="309"/>
    </row>
    <row r="6475">
      <c r="B6475" s="309"/>
      <c r="C6475" s="309"/>
      <c r="I6475" s="309"/>
      <c r="J6475" s="309"/>
    </row>
    <row r="6476">
      <c r="B6476" s="309"/>
      <c r="C6476" s="309"/>
      <c r="I6476" s="309"/>
      <c r="J6476" s="309"/>
    </row>
    <row r="6477">
      <c r="B6477" s="309"/>
      <c r="C6477" s="309"/>
      <c r="I6477" s="309"/>
      <c r="J6477" s="309"/>
    </row>
    <row r="6478">
      <c r="B6478" s="309"/>
      <c r="C6478" s="309"/>
      <c r="I6478" s="309"/>
      <c r="J6478" s="309"/>
    </row>
    <row r="6479">
      <c r="B6479" s="309"/>
      <c r="C6479" s="309"/>
      <c r="I6479" s="309"/>
      <c r="J6479" s="309"/>
    </row>
    <row r="6480">
      <c r="B6480" s="309"/>
      <c r="C6480" s="309"/>
      <c r="I6480" s="309"/>
      <c r="J6480" s="309"/>
    </row>
    <row r="6481">
      <c r="B6481" s="309"/>
      <c r="C6481" s="309"/>
      <c r="I6481" s="309"/>
      <c r="J6481" s="309"/>
    </row>
    <row r="6482">
      <c r="B6482" s="309"/>
      <c r="C6482" s="309"/>
      <c r="I6482" s="309"/>
      <c r="J6482" s="309"/>
    </row>
    <row r="6483">
      <c r="B6483" s="309"/>
      <c r="C6483" s="309"/>
      <c r="I6483" s="309"/>
      <c r="J6483" s="309"/>
    </row>
    <row r="6484">
      <c r="B6484" s="309"/>
      <c r="C6484" s="309"/>
      <c r="I6484" s="309"/>
      <c r="J6484" s="309"/>
    </row>
    <row r="6485">
      <c r="B6485" s="309"/>
      <c r="C6485" s="309"/>
      <c r="I6485" s="309"/>
      <c r="J6485" s="309"/>
    </row>
    <row r="6486">
      <c r="B6486" s="309"/>
      <c r="C6486" s="309"/>
      <c r="I6486" s="309"/>
      <c r="J6486" s="309"/>
    </row>
    <row r="6487">
      <c r="B6487" s="309"/>
      <c r="C6487" s="309"/>
      <c r="I6487" s="309"/>
      <c r="J6487" s="309"/>
    </row>
    <row r="6488">
      <c r="B6488" s="309"/>
      <c r="C6488" s="309"/>
      <c r="I6488" s="309"/>
      <c r="J6488" s="309"/>
    </row>
    <row r="6489">
      <c r="B6489" s="309"/>
      <c r="C6489" s="309"/>
      <c r="I6489" s="309"/>
      <c r="J6489" s="309"/>
    </row>
    <row r="6490">
      <c r="B6490" s="309"/>
      <c r="C6490" s="309"/>
      <c r="I6490" s="309"/>
      <c r="J6490" s="309"/>
    </row>
    <row r="6491">
      <c r="B6491" s="309"/>
      <c r="C6491" s="309"/>
      <c r="I6491" s="309"/>
      <c r="J6491" s="309"/>
    </row>
    <row r="6492">
      <c r="B6492" s="309"/>
      <c r="C6492" s="309"/>
      <c r="I6492" s="309"/>
      <c r="J6492" s="309"/>
    </row>
    <row r="6493">
      <c r="B6493" s="309"/>
      <c r="C6493" s="309"/>
      <c r="I6493" s="309"/>
      <c r="J6493" s="309"/>
    </row>
    <row r="6494">
      <c r="B6494" s="309"/>
      <c r="C6494" s="309"/>
      <c r="I6494" s="309"/>
      <c r="J6494" s="309"/>
    </row>
    <row r="6495">
      <c r="B6495" s="309"/>
      <c r="C6495" s="309"/>
      <c r="I6495" s="309"/>
      <c r="J6495" s="309"/>
    </row>
    <row r="6496">
      <c r="B6496" s="309"/>
      <c r="C6496" s="309"/>
      <c r="I6496" s="309"/>
      <c r="J6496" s="309"/>
    </row>
    <row r="6497">
      <c r="B6497" s="309"/>
      <c r="C6497" s="309"/>
      <c r="I6497" s="309"/>
      <c r="J6497" s="309"/>
    </row>
    <row r="6498">
      <c r="B6498" s="309"/>
      <c r="C6498" s="309"/>
      <c r="I6498" s="309"/>
      <c r="J6498" s="309"/>
    </row>
    <row r="6499">
      <c r="B6499" s="309"/>
      <c r="C6499" s="309"/>
      <c r="I6499" s="309"/>
      <c r="J6499" s="309"/>
    </row>
    <row r="6500">
      <c r="B6500" s="309"/>
      <c r="C6500" s="309"/>
      <c r="I6500" s="309"/>
      <c r="J6500" s="309"/>
    </row>
    <row r="6501">
      <c r="B6501" s="309"/>
      <c r="C6501" s="309"/>
      <c r="I6501" s="309"/>
      <c r="J6501" s="309"/>
    </row>
    <row r="6502">
      <c r="B6502" s="309"/>
      <c r="C6502" s="309"/>
      <c r="I6502" s="309"/>
      <c r="J6502" s="309"/>
    </row>
    <row r="6503">
      <c r="B6503" s="309"/>
      <c r="C6503" s="309"/>
      <c r="I6503" s="309"/>
      <c r="J6503" s="309"/>
    </row>
    <row r="6504">
      <c r="B6504" s="309"/>
      <c r="C6504" s="309"/>
      <c r="I6504" s="309"/>
      <c r="J6504" s="309"/>
    </row>
    <row r="6505">
      <c r="B6505" s="309"/>
      <c r="C6505" s="309"/>
      <c r="I6505" s="309"/>
      <c r="J6505" s="309"/>
    </row>
    <row r="6506">
      <c r="B6506" s="309"/>
      <c r="C6506" s="309"/>
      <c r="I6506" s="309"/>
      <c r="J6506" s="309"/>
    </row>
    <row r="6507">
      <c r="B6507" s="309"/>
      <c r="C6507" s="309"/>
      <c r="I6507" s="309"/>
      <c r="J6507" s="309"/>
    </row>
    <row r="6508">
      <c r="B6508" s="309"/>
      <c r="C6508" s="309"/>
      <c r="I6508" s="309"/>
      <c r="J6508" s="309"/>
    </row>
    <row r="6509">
      <c r="B6509" s="309"/>
      <c r="C6509" s="309"/>
      <c r="I6509" s="309"/>
      <c r="J6509" s="309"/>
    </row>
    <row r="6510">
      <c r="B6510" s="309"/>
      <c r="C6510" s="309"/>
      <c r="I6510" s="309"/>
      <c r="J6510" s="309"/>
    </row>
    <row r="6511">
      <c r="B6511" s="309"/>
      <c r="C6511" s="309"/>
      <c r="I6511" s="309"/>
      <c r="J6511" s="309"/>
    </row>
    <row r="6512">
      <c r="B6512" s="309"/>
      <c r="C6512" s="309"/>
      <c r="I6512" s="309"/>
      <c r="J6512" s="309"/>
    </row>
    <row r="6513">
      <c r="B6513" s="309"/>
      <c r="C6513" s="309"/>
      <c r="I6513" s="309"/>
      <c r="J6513" s="309"/>
    </row>
    <row r="6514">
      <c r="B6514" s="309"/>
      <c r="C6514" s="309"/>
      <c r="I6514" s="309"/>
      <c r="J6514" s="309"/>
    </row>
    <row r="6515">
      <c r="B6515" s="309"/>
      <c r="C6515" s="309"/>
      <c r="I6515" s="309"/>
      <c r="J6515" s="309"/>
    </row>
    <row r="6516">
      <c r="B6516" s="309"/>
      <c r="C6516" s="309"/>
      <c r="I6516" s="309"/>
      <c r="J6516" s="309"/>
    </row>
    <row r="6517">
      <c r="B6517" s="309"/>
      <c r="C6517" s="309"/>
      <c r="I6517" s="309"/>
      <c r="J6517" s="309"/>
    </row>
    <row r="6518">
      <c r="B6518" s="309"/>
      <c r="C6518" s="309"/>
      <c r="I6518" s="309"/>
      <c r="J6518" s="309"/>
    </row>
    <row r="6519">
      <c r="B6519" s="309"/>
      <c r="C6519" s="309"/>
      <c r="I6519" s="309"/>
      <c r="J6519" s="309"/>
    </row>
    <row r="6520">
      <c r="B6520" s="309"/>
      <c r="C6520" s="309"/>
      <c r="I6520" s="309"/>
      <c r="J6520" s="309"/>
    </row>
    <row r="6521">
      <c r="B6521" s="309"/>
      <c r="C6521" s="309"/>
      <c r="I6521" s="309"/>
      <c r="J6521" s="309"/>
    </row>
    <row r="6522">
      <c r="B6522" s="309"/>
      <c r="C6522" s="309"/>
      <c r="I6522" s="309"/>
      <c r="J6522" s="309"/>
    </row>
    <row r="6523">
      <c r="B6523" s="309"/>
      <c r="C6523" s="309"/>
      <c r="I6523" s="309"/>
      <c r="J6523" s="309"/>
    </row>
    <row r="6524">
      <c r="B6524" s="309"/>
      <c r="C6524" s="309"/>
      <c r="I6524" s="309"/>
      <c r="J6524" s="309"/>
    </row>
    <row r="6525">
      <c r="B6525" s="309"/>
      <c r="C6525" s="309"/>
      <c r="I6525" s="309"/>
      <c r="J6525" s="309"/>
    </row>
    <row r="6526">
      <c r="B6526" s="309"/>
      <c r="C6526" s="309"/>
      <c r="I6526" s="309"/>
      <c r="J6526" s="309"/>
    </row>
    <row r="6527">
      <c r="B6527" s="309"/>
      <c r="C6527" s="309"/>
      <c r="I6527" s="309"/>
      <c r="J6527" s="309"/>
    </row>
    <row r="6528">
      <c r="B6528" s="309"/>
      <c r="C6528" s="309"/>
      <c r="I6528" s="309"/>
      <c r="J6528" s="309"/>
    </row>
    <row r="6529">
      <c r="B6529" s="309"/>
      <c r="C6529" s="309"/>
      <c r="I6529" s="309"/>
      <c r="J6529" s="309"/>
    </row>
    <row r="6530">
      <c r="B6530" s="309"/>
      <c r="C6530" s="309"/>
      <c r="I6530" s="309"/>
      <c r="J6530" s="309"/>
    </row>
    <row r="6531">
      <c r="B6531" s="309"/>
      <c r="C6531" s="309"/>
      <c r="I6531" s="309"/>
      <c r="J6531" s="309"/>
    </row>
    <row r="6532">
      <c r="B6532" s="309"/>
      <c r="C6532" s="309"/>
      <c r="I6532" s="309"/>
      <c r="J6532" s="309"/>
    </row>
    <row r="6533">
      <c r="B6533" s="309"/>
      <c r="C6533" s="309"/>
      <c r="I6533" s="309"/>
      <c r="J6533" s="309"/>
    </row>
    <row r="6534">
      <c r="B6534" s="309"/>
      <c r="C6534" s="309"/>
      <c r="I6534" s="309"/>
      <c r="J6534" s="309"/>
    </row>
    <row r="6535">
      <c r="B6535" s="309"/>
      <c r="C6535" s="309"/>
      <c r="I6535" s="309"/>
      <c r="J6535" s="309"/>
    </row>
    <row r="6536">
      <c r="B6536" s="309"/>
      <c r="C6536" s="309"/>
      <c r="I6536" s="309"/>
      <c r="J6536" s="309"/>
    </row>
    <row r="6537">
      <c r="B6537" s="309"/>
      <c r="C6537" s="309"/>
      <c r="I6537" s="309"/>
      <c r="J6537" s="309"/>
    </row>
    <row r="6538">
      <c r="B6538" s="309"/>
      <c r="C6538" s="309"/>
      <c r="I6538" s="309"/>
      <c r="J6538" s="309"/>
    </row>
    <row r="6539">
      <c r="B6539" s="309"/>
      <c r="C6539" s="309"/>
      <c r="I6539" s="309"/>
      <c r="J6539" s="309"/>
    </row>
    <row r="6540">
      <c r="B6540" s="309"/>
      <c r="C6540" s="309"/>
      <c r="I6540" s="309"/>
      <c r="J6540" s="309"/>
    </row>
    <row r="6541">
      <c r="B6541" s="309"/>
      <c r="C6541" s="309"/>
      <c r="I6541" s="309"/>
      <c r="J6541" s="309"/>
    </row>
    <row r="6542">
      <c r="B6542" s="309"/>
      <c r="C6542" s="309"/>
      <c r="I6542" s="309"/>
      <c r="J6542" s="309"/>
    </row>
    <row r="6543">
      <c r="B6543" s="309"/>
      <c r="C6543" s="309"/>
      <c r="I6543" s="309"/>
      <c r="J6543" s="309"/>
    </row>
    <row r="6544">
      <c r="B6544" s="309"/>
      <c r="C6544" s="309"/>
      <c r="I6544" s="309"/>
      <c r="J6544" s="309"/>
    </row>
    <row r="6545">
      <c r="B6545" s="309"/>
      <c r="C6545" s="309"/>
      <c r="I6545" s="309"/>
      <c r="J6545" s="309"/>
    </row>
    <row r="6546">
      <c r="B6546" s="309"/>
      <c r="C6546" s="309"/>
      <c r="I6546" s="309"/>
      <c r="J6546" s="309"/>
    </row>
    <row r="6547">
      <c r="B6547" s="309"/>
      <c r="C6547" s="309"/>
      <c r="I6547" s="309"/>
      <c r="J6547" s="309"/>
    </row>
    <row r="6548">
      <c r="B6548" s="309"/>
      <c r="C6548" s="309"/>
      <c r="I6548" s="309"/>
      <c r="J6548" s="309"/>
    </row>
    <row r="6549">
      <c r="B6549" s="309"/>
      <c r="C6549" s="309"/>
      <c r="I6549" s="309"/>
      <c r="J6549" s="309"/>
    </row>
    <row r="6550">
      <c r="B6550" s="309"/>
      <c r="C6550" s="309"/>
      <c r="I6550" s="309"/>
      <c r="J6550" s="309"/>
    </row>
    <row r="6551">
      <c r="B6551" s="309"/>
      <c r="C6551" s="309"/>
      <c r="I6551" s="309"/>
      <c r="J6551" s="309"/>
    </row>
    <row r="6552">
      <c r="B6552" s="309"/>
      <c r="C6552" s="309"/>
      <c r="I6552" s="309"/>
      <c r="J6552" s="309"/>
    </row>
    <row r="6553">
      <c r="B6553" s="309"/>
      <c r="C6553" s="309"/>
      <c r="I6553" s="309"/>
      <c r="J6553" s="309"/>
    </row>
    <row r="6554">
      <c r="B6554" s="309"/>
      <c r="C6554" s="309"/>
      <c r="I6554" s="309"/>
      <c r="J6554" s="309"/>
    </row>
    <row r="6555">
      <c r="B6555" s="309"/>
      <c r="C6555" s="309"/>
      <c r="I6555" s="309"/>
      <c r="J6555" s="309"/>
    </row>
    <row r="6556">
      <c r="B6556" s="309"/>
      <c r="C6556" s="309"/>
      <c r="I6556" s="309"/>
      <c r="J6556" s="309"/>
    </row>
    <row r="6557">
      <c r="B6557" s="309"/>
      <c r="C6557" s="309"/>
      <c r="I6557" s="309"/>
      <c r="J6557" s="309"/>
    </row>
    <row r="6558">
      <c r="B6558" s="309"/>
      <c r="C6558" s="309"/>
      <c r="I6558" s="309"/>
      <c r="J6558" s="309"/>
    </row>
    <row r="6559">
      <c r="B6559" s="309"/>
      <c r="C6559" s="309"/>
      <c r="I6559" s="309"/>
      <c r="J6559" s="309"/>
    </row>
    <row r="6560">
      <c r="B6560" s="309"/>
      <c r="C6560" s="309"/>
      <c r="I6560" s="309"/>
      <c r="J6560" s="309"/>
    </row>
    <row r="6561">
      <c r="B6561" s="309"/>
      <c r="C6561" s="309"/>
      <c r="I6561" s="309"/>
      <c r="J6561" s="309"/>
    </row>
    <row r="6562">
      <c r="B6562" s="309"/>
      <c r="C6562" s="309"/>
      <c r="I6562" s="309"/>
      <c r="J6562" s="309"/>
    </row>
    <row r="6563">
      <c r="B6563" s="309"/>
      <c r="C6563" s="309"/>
      <c r="I6563" s="309"/>
      <c r="J6563" s="309"/>
    </row>
    <row r="6564">
      <c r="B6564" s="309"/>
      <c r="C6564" s="309"/>
      <c r="I6564" s="309"/>
      <c r="J6564" s="309"/>
    </row>
    <row r="6565">
      <c r="B6565" s="309"/>
      <c r="C6565" s="309"/>
      <c r="I6565" s="309"/>
      <c r="J6565" s="309"/>
    </row>
    <row r="6566">
      <c r="B6566" s="309"/>
      <c r="C6566" s="309"/>
      <c r="I6566" s="309"/>
      <c r="J6566" s="309"/>
    </row>
    <row r="6567">
      <c r="B6567" s="309"/>
      <c r="C6567" s="309"/>
      <c r="I6567" s="309"/>
      <c r="J6567" s="309"/>
    </row>
    <row r="6568">
      <c r="B6568" s="309"/>
      <c r="C6568" s="309"/>
      <c r="I6568" s="309"/>
      <c r="J6568" s="309"/>
    </row>
    <row r="6569">
      <c r="B6569" s="309"/>
      <c r="C6569" s="309"/>
      <c r="I6569" s="309"/>
      <c r="J6569" s="309"/>
    </row>
    <row r="6570">
      <c r="B6570" s="309"/>
      <c r="C6570" s="309"/>
      <c r="I6570" s="309"/>
      <c r="J6570" s="309"/>
    </row>
    <row r="6571">
      <c r="B6571" s="309"/>
      <c r="C6571" s="309"/>
      <c r="I6571" s="309"/>
      <c r="J6571" s="309"/>
    </row>
    <row r="6572">
      <c r="B6572" s="309"/>
      <c r="C6572" s="309"/>
      <c r="I6572" s="309"/>
      <c r="J6572" s="309"/>
    </row>
    <row r="6573">
      <c r="B6573" s="309"/>
      <c r="C6573" s="309"/>
      <c r="I6573" s="309"/>
      <c r="J6573" s="309"/>
    </row>
    <row r="6574">
      <c r="B6574" s="309"/>
      <c r="C6574" s="309"/>
      <c r="I6574" s="309"/>
      <c r="J6574" s="309"/>
    </row>
    <row r="6575">
      <c r="B6575" s="309"/>
      <c r="C6575" s="309"/>
      <c r="I6575" s="309"/>
      <c r="J6575" s="309"/>
    </row>
    <row r="6576">
      <c r="B6576" s="309"/>
      <c r="C6576" s="309"/>
      <c r="I6576" s="309"/>
      <c r="J6576" s="309"/>
    </row>
    <row r="6577">
      <c r="B6577" s="309"/>
      <c r="C6577" s="309"/>
      <c r="I6577" s="309"/>
      <c r="J6577" s="309"/>
    </row>
    <row r="6578">
      <c r="B6578" s="309"/>
      <c r="C6578" s="309"/>
      <c r="I6578" s="309"/>
      <c r="J6578" s="309"/>
    </row>
    <row r="6579">
      <c r="B6579" s="309"/>
      <c r="C6579" s="309"/>
      <c r="I6579" s="309"/>
      <c r="J6579" s="309"/>
    </row>
    <row r="6580">
      <c r="B6580" s="309"/>
      <c r="C6580" s="309"/>
      <c r="I6580" s="309"/>
      <c r="J6580" s="309"/>
    </row>
    <row r="6581">
      <c r="B6581" s="309"/>
      <c r="C6581" s="309"/>
      <c r="I6581" s="309"/>
      <c r="J6581" s="309"/>
    </row>
    <row r="6582">
      <c r="B6582" s="309"/>
      <c r="C6582" s="309"/>
      <c r="I6582" s="309"/>
      <c r="J6582" s="309"/>
    </row>
    <row r="6583">
      <c r="B6583" s="309"/>
      <c r="C6583" s="309"/>
      <c r="I6583" s="309"/>
      <c r="J6583" s="309"/>
    </row>
    <row r="6584">
      <c r="B6584" s="309"/>
      <c r="C6584" s="309"/>
      <c r="I6584" s="309"/>
      <c r="J6584" s="309"/>
    </row>
    <row r="6585">
      <c r="B6585" s="309"/>
      <c r="C6585" s="309"/>
      <c r="I6585" s="309"/>
      <c r="J6585" s="309"/>
    </row>
    <row r="6586">
      <c r="B6586" s="309"/>
      <c r="C6586" s="309"/>
      <c r="I6586" s="309"/>
      <c r="J6586" s="309"/>
    </row>
    <row r="6587">
      <c r="B6587" s="309"/>
      <c r="C6587" s="309"/>
      <c r="I6587" s="309"/>
      <c r="J6587" s="309"/>
    </row>
    <row r="6588">
      <c r="B6588" s="309"/>
      <c r="C6588" s="309"/>
      <c r="I6588" s="309"/>
      <c r="J6588" s="309"/>
    </row>
    <row r="6589">
      <c r="B6589" s="309"/>
      <c r="C6589" s="309"/>
      <c r="I6589" s="309"/>
      <c r="J6589" s="309"/>
    </row>
    <row r="6590">
      <c r="B6590" s="309"/>
      <c r="C6590" s="309"/>
      <c r="I6590" s="309"/>
      <c r="J6590" s="309"/>
    </row>
    <row r="6591">
      <c r="B6591" s="309"/>
      <c r="C6591" s="309"/>
      <c r="I6591" s="309"/>
      <c r="J6591" s="309"/>
    </row>
    <row r="6592">
      <c r="B6592" s="309"/>
      <c r="C6592" s="309"/>
      <c r="I6592" s="309"/>
      <c r="J6592" s="309"/>
    </row>
    <row r="6593">
      <c r="B6593" s="309"/>
      <c r="C6593" s="309"/>
      <c r="I6593" s="309"/>
      <c r="J6593" s="309"/>
    </row>
    <row r="6594">
      <c r="B6594" s="309"/>
      <c r="C6594" s="309"/>
      <c r="I6594" s="309"/>
      <c r="J6594" s="309"/>
    </row>
    <row r="6595">
      <c r="B6595" s="309"/>
      <c r="C6595" s="309"/>
      <c r="I6595" s="309"/>
      <c r="J6595" s="309"/>
    </row>
    <row r="6596">
      <c r="B6596" s="309"/>
      <c r="C6596" s="309"/>
      <c r="I6596" s="309"/>
      <c r="J6596" s="309"/>
    </row>
    <row r="6597">
      <c r="B6597" s="309"/>
      <c r="C6597" s="309"/>
      <c r="I6597" s="309"/>
      <c r="J6597" s="309"/>
    </row>
    <row r="6598">
      <c r="B6598" s="309"/>
      <c r="C6598" s="309"/>
      <c r="I6598" s="309"/>
      <c r="J6598" s="309"/>
    </row>
    <row r="6599">
      <c r="B6599" s="309"/>
      <c r="C6599" s="309"/>
      <c r="I6599" s="309"/>
      <c r="J6599" s="309"/>
    </row>
    <row r="6600">
      <c r="B6600" s="309"/>
      <c r="C6600" s="309"/>
      <c r="I6600" s="309"/>
      <c r="J6600" s="309"/>
    </row>
    <row r="6601">
      <c r="B6601" s="309"/>
      <c r="C6601" s="309"/>
      <c r="I6601" s="309"/>
      <c r="J6601" s="309"/>
    </row>
    <row r="6602">
      <c r="B6602" s="309"/>
      <c r="C6602" s="309"/>
      <c r="I6602" s="309"/>
      <c r="J6602" s="309"/>
    </row>
    <row r="6603">
      <c r="B6603" s="309"/>
      <c r="C6603" s="309"/>
      <c r="I6603" s="309"/>
      <c r="J6603" s="309"/>
    </row>
    <row r="6604">
      <c r="B6604" s="309"/>
      <c r="C6604" s="309"/>
      <c r="I6604" s="309"/>
      <c r="J6604" s="309"/>
    </row>
    <row r="6605">
      <c r="B6605" s="309"/>
      <c r="C6605" s="309"/>
      <c r="I6605" s="309"/>
      <c r="J6605" s="309"/>
    </row>
    <row r="6606">
      <c r="B6606" s="309"/>
      <c r="C6606" s="309"/>
      <c r="I6606" s="309"/>
      <c r="J6606" s="309"/>
    </row>
    <row r="6607">
      <c r="B6607" s="309"/>
      <c r="C6607" s="309"/>
      <c r="I6607" s="309"/>
      <c r="J6607" s="309"/>
    </row>
    <row r="6608">
      <c r="B6608" s="309"/>
      <c r="C6608" s="309"/>
      <c r="I6608" s="309"/>
      <c r="J6608" s="309"/>
    </row>
    <row r="6609">
      <c r="B6609" s="309"/>
      <c r="C6609" s="309"/>
      <c r="I6609" s="309"/>
      <c r="J6609" s="309"/>
    </row>
    <row r="6610">
      <c r="B6610" s="309"/>
      <c r="C6610" s="309"/>
      <c r="I6610" s="309"/>
      <c r="J6610" s="309"/>
    </row>
    <row r="6611">
      <c r="B6611" s="309"/>
      <c r="C6611" s="309"/>
      <c r="I6611" s="309"/>
      <c r="J6611" s="309"/>
    </row>
    <row r="6612">
      <c r="B6612" s="309"/>
      <c r="C6612" s="309"/>
      <c r="I6612" s="309"/>
      <c r="J6612" s="309"/>
    </row>
    <row r="6613">
      <c r="B6613" s="309"/>
      <c r="C6613" s="309"/>
      <c r="I6613" s="309"/>
      <c r="J6613" s="309"/>
    </row>
    <row r="6614">
      <c r="B6614" s="309"/>
      <c r="C6614" s="309"/>
      <c r="I6614" s="309"/>
      <c r="J6614" s="309"/>
    </row>
    <row r="6615">
      <c r="B6615" s="309"/>
      <c r="C6615" s="309"/>
      <c r="I6615" s="309"/>
      <c r="J6615" s="309"/>
    </row>
    <row r="6616">
      <c r="B6616" s="309"/>
      <c r="C6616" s="309"/>
      <c r="I6616" s="309"/>
      <c r="J6616" s="309"/>
    </row>
    <row r="6617">
      <c r="B6617" s="309"/>
      <c r="C6617" s="309"/>
      <c r="I6617" s="309"/>
      <c r="J6617" s="309"/>
    </row>
    <row r="6618">
      <c r="B6618" s="309"/>
      <c r="C6618" s="309"/>
      <c r="I6618" s="309"/>
      <c r="J6618" s="309"/>
    </row>
    <row r="6619">
      <c r="B6619" s="309"/>
      <c r="C6619" s="309"/>
      <c r="I6619" s="309"/>
      <c r="J6619" s="309"/>
    </row>
    <row r="6620">
      <c r="B6620" s="309"/>
      <c r="C6620" s="309"/>
      <c r="I6620" s="309"/>
      <c r="J6620" s="309"/>
    </row>
    <row r="6621">
      <c r="B6621" s="309"/>
      <c r="C6621" s="309"/>
      <c r="I6621" s="309"/>
      <c r="J6621" s="309"/>
    </row>
    <row r="6622">
      <c r="B6622" s="309"/>
      <c r="C6622" s="309"/>
      <c r="I6622" s="309"/>
      <c r="J6622" s="309"/>
    </row>
    <row r="6623">
      <c r="B6623" s="309"/>
      <c r="C6623" s="309"/>
      <c r="I6623" s="309"/>
      <c r="J6623" s="309"/>
    </row>
    <row r="6624">
      <c r="B6624" s="309"/>
      <c r="C6624" s="309"/>
      <c r="I6624" s="309"/>
      <c r="J6624" s="309"/>
    </row>
    <row r="6625">
      <c r="B6625" s="309"/>
      <c r="C6625" s="309"/>
      <c r="I6625" s="309"/>
      <c r="J6625" s="309"/>
    </row>
    <row r="6626">
      <c r="B6626" s="309"/>
      <c r="C6626" s="309"/>
      <c r="I6626" s="309"/>
      <c r="J6626" s="309"/>
    </row>
    <row r="6627">
      <c r="B6627" s="309"/>
      <c r="C6627" s="309"/>
      <c r="I6627" s="309"/>
      <c r="J6627" s="309"/>
    </row>
    <row r="6628">
      <c r="B6628" s="309"/>
      <c r="C6628" s="309"/>
      <c r="I6628" s="309"/>
      <c r="J6628" s="309"/>
    </row>
    <row r="6629">
      <c r="B6629" s="309"/>
      <c r="C6629" s="309"/>
      <c r="I6629" s="309"/>
      <c r="J6629" s="309"/>
    </row>
    <row r="6630">
      <c r="B6630" s="309"/>
      <c r="C6630" s="309"/>
      <c r="I6630" s="309"/>
      <c r="J6630" s="309"/>
    </row>
    <row r="6631">
      <c r="B6631" s="309"/>
      <c r="C6631" s="309"/>
      <c r="I6631" s="309"/>
      <c r="J6631" s="309"/>
    </row>
    <row r="6632">
      <c r="B6632" s="309"/>
      <c r="C6632" s="309"/>
      <c r="I6632" s="309"/>
      <c r="J6632" s="309"/>
    </row>
    <row r="6633">
      <c r="B6633" s="309"/>
      <c r="C6633" s="309"/>
      <c r="I6633" s="309"/>
      <c r="J6633" s="309"/>
    </row>
    <row r="6634">
      <c r="B6634" s="309"/>
      <c r="C6634" s="309"/>
      <c r="I6634" s="309"/>
      <c r="J6634" s="309"/>
    </row>
    <row r="6635">
      <c r="B6635" s="309"/>
      <c r="C6635" s="309"/>
      <c r="I6635" s="309"/>
      <c r="J6635" s="309"/>
    </row>
    <row r="6636">
      <c r="B6636" s="309"/>
      <c r="C6636" s="309"/>
      <c r="I6636" s="309"/>
      <c r="J6636" s="309"/>
    </row>
    <row r="6637">
      <c r="B6637" s="309"/>
      <c r="C6637" s="309"/>
      <c r="I6637" s="309"/>
      <c r="J6637" s="309"/>
    </row>
    <row r="6638">
      <c r="B6638" s="309"/>
      <c r="C6638" s="309"/>
      <c r="I6638" s="309"/>
      <c r="J6638" s="309"/>
    </row>
    <row r="6639">
      <c r="B6639" s="309"/>
      <c r="C6639" s="309"/>
      <c r="I6639" s="309"/>
      <c r="J6639" s="309"/>
    </row>
    <row r="6640">
      <c r="B6640" s="309"/>
      <c r="C6640" s="309"/>
      <c r="I6640" s="309"/>
      <c r="J6640" s="309"/>
    </row>
    <row r="6641">
      <c r="B6641" s="309"/>
      <c r="C6641" s="309"/>
      <c r="I6641" s="309"/>
      <c r="J6641" s="309"/>
    </row>
    <row r="6642">
      <c r="B6642" s="309"/>
      <c r="C6642" s="309"/>
      <c r="I6642" s="309"/>
      <c r="J6642" s="309"/>
    </row>
    <row r="6643">
      <c r="B6643" s="309"/>
      <c r="C6643" s="309"/>
      <c r="I6643" s="309"/>
      <c r="J6643" s="309"/>
    </row>
    <row r="6644">
      <c r="B6644" s="309"/>
      <c r="C6644" s="309"/>
      <c r="I6644" s="309"/>
      <c r="J6644" s="309"/>
    </row>
    <row r="6645">
      <c r="B6645" s="309"/>
      <c r="C6645" s="309"/>
      <c r="I6645" s="309"/>
      <c r="J6645" s="309"/>
    </row>
    <row r="6646">
      <c r="B6646" s="309"/>
      <c r="C6646" s="309"/>
      <c r="I6646" s="309"/>
      <c r="J6646" s="309"/>
    </row>
    <row r="6647">
      <c r="B6647" s="309"/>
      <c r="C6647" s="309"/>
      <c r="I6647" s="309"/>
      <c r="J6647" s="309"/>
    </row>
    <row r="6648">
      <c r="B6648" s="309"/>
      <c r="C6648" s="309"/>
      <c r="I6648" s="309"/>
      <c r="J6648" s="309"/>
    </row>
    <row r="6649">
      <c r="B6649" s="309"/>
      <c r="C6649" s="309"/>
      <c r="I6649" s="309"/>
      <c r="J6649" s="309"/>
    </row>
    <row r="6650">
      <c r="B6650" s="309"/>
      <c r="C6650" s="309"/>
      <c r="I6650" s="309"/>
      <c r="J6650" s="309"/>
    </row>
    <row r="6651">
      <c r="B6651" s="309"/>
      <c r="C6651" s="309"/>
      <c r="I6651" s="309"/>
      <c r="J6651" s="309"/>
    </row>
    <row r="6652">
      <c r="B6652" s="309"/>
      <c r="C6652" s="309"/>
      <c r="I6652" s="309"/>
      <c r="J6652" s="309"/>
    </row>
    <row r="6653">
      <c r="B6653" s="309"/>
      <c r="C6653" s="309"/>
      <c r="I6653" s="309"/>
      <c r="J6653" s="309"/>
    </row>
    <row r="6654">
      <c r="B6654" s="309"/>
      <c r="C6654" s="309"/>
      <c r="I6654" s="309"/>
      <c r="J6654" s="309"/>
    </row>
    <row r="6655">
      <c r="B6655" s="309"/>
      <c r="C6655" s="309"/>
      <c r="I6655" s="309"/>
      <c r="J6655" s="309"/>
    </row>
    <row r="6656">
      <c r="B6656" s="309"/>
      <c r="C6656" s="309"/>
      <c r="I6656" s="309"/>
      <c r="J6656" s="309"/>
    </row>
    <row r="6657">
      <c r="B6657" s="309"/>
      <c r="C6657" s="309"/>
      <c r="I6657" s="309"/>
      <c r="J6657" s="309"/>
    </row>
    <row r="6658">
      <c r="B6658" s="309"/>
      <c r="C6658" s="309"/>
      <c r="I6658" s="309"/>
      <c r="J6658" s="309"/>
    </row>
    <row r="6659">
      <c r="B6659" s="309"/>
      <c r="C6659" s="309"/>
      <c r="I6659" s="309"/>
      <c r="J6659" s="309"/>
    </row>
    <row r="6660">
      <c r="B6660" s="309"/>
      <c r="C6660" s="309"/>
      <c r="I6660" s="309"/>
      <c r="J6660" s="309"/>
    </row>
    <row r="6661">
      <c r="B6661" s="309"/>
      <c r="C6661" s="309"/>
      <c r="I6661" s="309"/>
      <c r="J6661" s="309"/>
    </row>
    <row r="6662">
      <c r="B6662" s="309"/>
      <c r="C6662" s="309"/>
      <c r="I6662" s="309"/>
      <c r="J6662" s="309"/>
    </row>
    <row r="6663">
      <c r="B6663" s="309"/>
      <c r="C6663" s="309"/>
      <c r="I6663" s="309"/>
      <c r="J6663" s="309"/>
    </row>
    <row r="6664">
      <c r="B6664" s="309"/>
      <c r="C6664" s="309"/>
      <c r="I6664" s="309"/>
      <c r="J6664" s="309"/>
    </row>
    <row r="6665">
      <c r="B6665" s="309"/>
      <c r="C6665" s="309"/>
      <c r="I6665" s="309"/>
      <c r="J6665" s="309"/>
    </row>
    <row r="6666">
      <c r="B6666" s="309"/>
      <c r="C6666" s="309"/>
      <c r="I6666" s="309"/>
      <c r="J6666" s="309"/>
    </row>
    <row r="6667">
      <c r="B6667" s="309"/>
      <c r="C6667" s="309"/>
      <c r="I6667" s="309"/>
      <c r="J6667" s="309"/>
    </row>
    <row r="6668">
      <c r="B6668" s="309"/>
      <c r="C6668" s="309"/>
      <c r="I6668" s="309"/>
      <c r="J6668" s="309"/>
    </row>
    <row r="6669">
      <c r="B6669" s="309"/>
      <c r="C6669" s="309"/>
      <c r="I6669" s="309"/>
      <c r="J6669" s="309"/>
    </row>
    <row r="6670">
      <c r="B6670" s="309"/>
      <c r="C6670" s="309"/>
      <c r="I6670" s="309"/>
      <c r="J6670" s="309"/>
    </row>
    <row r="6671">
      <c r="B6671" s="309"/>
      <c r="C6671" s="309"/>
      <c r="I6671" s="309"/>
      <c r="J6671" s="309"/>
    </row>
    <row r="6672">
      <c r="B6672" s="309"/>
      <c r="C6672" s="309"/>
      <c r="I6672" s="309"/>
      <c r="J6672" s="309"/>
    </row>
    <row r="6673">
      <c r="B6673" s="309"/>
      <c r="C6673" s="309"/>
      <c r="I6673" s="309"/>
      <c r="J6673" s="309"/>
    </row>
    <row r="6674">
      <c r="B6674" s="309"/>
      <c r="C6674" s="309"/>
      <c r="I6674" s="309"/>
      <c r="J6674" s="309"/>
    </row>
    <row r="6675">
      <c r="B6675" s="309"/>
      <c r="C6675" s="309"/>
      <c r="I6675" s="309"/>
      <c r="J6675" s="309"/>
    </row>
    <row r="6676">
      <c r="B6676" s="309"/>
      <c r="C6676" s="309"/>
      <c r="I6676" s="309"/>
      <c r="J6676" s="309"/>
    </row>
    <row r="6677">
      <c r="B6677" s="309"/>
      <c r="C6677" s="309"/>
      <c r="I6677" s="309"/>
      <c r="J6677" s="309"/>
    </row>
    <row r="6678">
      <c r="B6678" s="309"/>
      <c r="C6678" s="309"/>
      <c r="I6678" s="309"/>
      <c r="J6678" s="309"/>
    </row>
    <row r="6679">
      <c r="B6679" s="309"/>
      <c r="C6679" s="309"/>
      <c r="I6679" s="309"/>
      <c r="J6679" s="309"/>
    </row>
    <row r="6680">
      <c r="B6680" s="309"/>
      <c r="C6680" s="309"/>
      <c r="I6680" s="309"/>
      <c r="J6680" s="309"/>
    </row>
    <row r="6681">
      <c r="B6681" s="309"/>
      <c r="C6681" s="309"/>
      <c r="I6681" s="309"/>
      <c r="J6681" s="309"/>
    </row>
    <row r="6682">
      <c r="B6682" s="309"/>
      <c r="C6682" s="309"/>
      <c r="I6682" s="309"/>
      <c r="J6682" s="309"/>
    </row>
    <row r="6683">
      <c r="B6683" s="309"/>
      <c r="C6683" s="309"/>
      <c r="I6683" s="309"/>
      <c r="J6683" s="309"/>
    </row>
    <row r="6684">
      <c r="B6684" s="309"/>
      <c r="C6684" s="309"/>
      <c r="I6684" s="309"/>
      <c r="J6684" s="309"/>
    </row>
    <row r="6685">
      <c r="B6685" s="309"/>
      <c r="C6685" s="309"/>
      <c r="I6685" s="309"/>
      <c r="J6685" s="309"/>
    </row>
    <row r="6686">
      <c r="B6686" s="309"/>
      <c r="C6686" s="309"/>
      <c r="I6686" s="309"/>
      <c r="J6686" s="309"/>
    </row>
    <row r="6687">
      <c r="B6687" s="309"/>
      <c r="C6687" s="309"/>
      <c r="I6687" s="309"/>
      <c r="J6687" s="309"/>
    </row>
    <row r="6688">
      <c r="B6688" s="309"/>
      <c r="C6688" s="309"/>
      <c r="I6688" s="309"/>
      <c r="J6688" s="309"/>
    </row>
    <row r="6689">
      <c r="B6689" s="309"/>
      <c r="C6689" s="309"/>
      <c r="I6689" s="309"/>
      <c r="J6689" s="309"/>
    </row>
    <row r="6690">
      <c r="B6690" s="309"/>
      <c r="C6690" s="309"/>
      <c r="I6690" s="309"/>
      <c r="J6690" s="309"/>
    </row>
    <row r="6691">
      <c r="B6691" s="309"/>
      <c r="C6691" s="309"/>
      <c r="I6691" s="309"/>
      <c r="J6691" s="309"/>
    </row>
    <row r="6692">
      <c r="B6692" s="309"/>
      <c r="C6692" s="309"/>
      <c r="I6692" s="309"/>
      <c r="J6692" s="309"/>
    </row>
    <row r="6693">
      <c r="B6693" s="309"/>
      <c r="C6693" s="309"/>
      <c r="I6693" s="309"/>
      <c r="J6693" s="309"/>
    </row>
    <row r="6694">
      <c r="B6694" s="309"/>
      <c r="C6694" s="309"/>
      <c r="I6694" s="309"/>
      <c r="J6694" s="309"/>
    </row>
    <row r="6695">
      <c r="B6695" s="309"/>
      <c r="C6695" s="309"/>
      <c r="I6695" s="309"/>
      <c r="J6695" s="309"/>
    </row>
    <row r="6696">
      <c r="B6696" s="309"/>
      <c r="C6696" s="309"/>
      <c r="I6696" s="309"/>
      <c r="J6696" s="309"/>
    </row>
    <row r="6697">
      <c r="B6697" s="309"/>
      <c r="C6697" s="309"/>
      <c r="I6697" s="309"/>
      <c r="J6697" s="309"/>
    </row>
    <row r="6698">
      <c r="B6698" s="309"/>
      <c r="C6698" s="309"/>
      <c r="I6698" s="309"/>
      <c r="J6698" s="309"/>
    </row>
    <row r="6699">
      <c r="B6699" s="309"/>
      <c r="C6699" s="309"/>
      <c r="I6699" s="309"/>
      <c r="J6699" s="309"/>
    </row>
    <row r="6700">
      <c r="B6700" s="309"/>
      <c r="C6700" s="309"/>
      <c r="I6700" s="309"/>
      <c r="J6700" s="309"/>
    </row>
    <row r="6701">
      <c r="B6701" s="309"/>
      <c r="C6701" s="309"/>
      <c r="I6701" s="309"/>
      <c r="J6701" s="309"/>
    </row>
    <row r="6702">
      <c r="B6702" s="309"/>
      <c r="C6702" s="309"/>
      <c r="I6702" s="309"/>
      <c r="J6702" s="309"/>
    </row>
    <row r="6703">
      <c r="B6703" s="309"/>
      <c r="C6703" s="309"/>
      <c r="I6703" s="309"/>
      <c r="J6703" s="309"/>
    </row>
    <row r="6704">
      <c r="B6704" s="309"/>
      <c r="C6704" s="309"/>
      <c r="I6704" s="309"/>
      <c r="J6704" s="309"/>
    </row>
    <row r="6705">
      <c r="B6705" s="309"/>
      <c r="C6705" s="309"/>
      <c r="I6705" s="309"/>
      <c r="J6705" s="309"/>
    </row>
    <row r="6706">
      <c r="B6706" s="309"/>
      <c r="C6706" s="309"/>
      <c r="I6706" s="309"/>
      <c r="J6706" s="309"/>
    </row>
    <row r="6707">
      <c r="B6707" s="309"/>
      <c r="C6707" s="309"/>
      <c r="I6707" s="309"/>
      <c r="J6707" s="309"/>
    </row>
    <row r="6708">
      <c r="B6708" s="309"/>
      <c r="C6708" s="309"/>
      <c r="I6708" s="309"/>
      <c r="J6708" s="309"/>
    </row>
    <row r="6709">
      <c r="B6709" s="309"/>
      <c r="C6709" s="309"/>
      <c r="I6709" s="309"/>
      <c r="J6709" s="309"/>
    </row>
    <row r="6710">
      <c r="B6710" s="309"/>
      <c r="C6710" s="309"/>
      <c r="I6710" s="309"/>
      <c r="J6710" s="309"/>
    </row>
    <row r="6711">
      <c r="B6711" s="309"/>
      <c r="C6711" s="309"/>
      <c r="I6711" s="309"/>
      <c r="J6711" s="309"/>
    </row>
    <row r="6712">
      <c r="B6712" s="309"/>
      <c r="C6712" s="309"/>
      <c r="I6712" s="309"/>
      <c r="J6712" s="309"/>
    </row>
    <row r="6713">
      <c r="B6713" s="309"/>
      <c r="C6713" s="309"/>
      <c r="I6713" s="309"/>
      <c r="J6713" s="309"/>
    </row>
    <row r="6714">
      <c r="B6714" s="309"/>
      <c r="C6714" s="309"/>
      <c r="I6714" s="309"/>
      <c r="J6714" s="309"/>
    </row>
    <row r="6715">
      <c r="B6715" s="309"/>
      <c r="C6715" s="309"/>
      <c r="I6715" s="309"/>
      <c r="J6715" s="309"/>
    </row>
    <row r="6716">
      <c r="B6716" s="309"/>
      <c r="C6716" s="309"/>
      <c r="I6716" s="309"/>
      <c r="J6716" s="309"/>
    </row>
    <row r="6717">
      <c r="B6717" s="309"/>
      <c r="C6717" s="309"/>
      <c r="I6717" s="309"/>
      <c r="J6717" s="309"/>
    </row>
    <row r="6718">
      <c r="B6718" s="309"/>
      <c r="C6718" s="309"/>
      <c r="I6718" s="309"/>
      <c r="J6718" s="309"/>
    </row>
    <row r="6719">
      <c r="B6719" s="309"/>
      <c r="C6719" s="309"/>
      <c r="I6719" s="309"/>
      <c r="J6719" s="309"/>
    </row>
    <row r="6720">
      <c r="B6720" s="309"/>
      <c r="C6720" s="309"/>
      <c r="I6720" s="309"/>
      <c r="J6720" s="309"/>
    </row>
    <row r="6721">
      <c r="B6721" s="309"/>
      <c r="C6721" s="309"/>
      <c r="I6721" s="309"/>
      <c r="J6721" s="309"/>
    </row>
    <row r="6722">
      <c r="B6722" s="309"/>
      <c r="C6722" s="309"/>
      <c r="I6722" s="309"/>
      <c r="J6722" s="309"/>
    </row>
    <row r="6723">
      <c r="B6723" s="309"/>
      <c r="C6723" s="309"/>
      <c r="I6723" s="309"/>
      <c r="J6723" s="309"/>
    </row>
    <row r="6724">
      <c r="B6724" s="309"/>
      <c r="C6724" s="309"/>
      <c r="I6724" s="309"/>
      <c r="J6724" s="309"/>
    </row>
    <row r="6725">
      <c r="B6725" s="309"/>
      <c r="C6725" s="309"/>
      <c r="I6725" s="309"/>
      <c r="J6725" s="309"/>
    </row>
    <row r="6726">
      <c r="B6726" s="309"/>
      <c r="C6726" s="309"/>
      <c r="I6726" s="309"/>
      <c r="J6726" s="309"/>
    </row>
    <row r="6727">
      <c r="B6727" s="309"/>
      <c r="C6727" s="309"/>
      <c r="I6727" s="309"/>
      <c r="J6727" s="309"/>
    </row>
    <row r="6728">
      <c r="B6728" s="309"/>
      <c r="C6728" s="309"/>
      <c r="I6728" s="309"/>
      <c r="J6728" s="309"/>
    </row>
    <row r="6729">
      <c r="B6729" s="309"/>
      <c r="C6729" s="309"/>
      <c r="I6729" s="309"/>
      <c r="J6729" s="309"/>
    </row>
    <row r="6730">
      <c r="B6730" s="309"/>
      <c r="C6730" s="309"/>
      <c r="I6730" s="309"/>
      <c r="J6730" s="309"/>
    </row>
    <row r="6731">
      <c r="B6731" s="309"/>
      <c r="C6731" s="309"/>
      <c r="I6731" s="309"/>
      <c r="J6731" s="309"/>
    </row>
    <row r="6732">
      <c r="B6732" s="309"/>
      <c r="C6732" s="309"/>
      <c r="I6732" s="309"/>
      <c r="J6732" s="309"/>
    </row>
    <row r="6733">
      <c r="B6733" s="309"/>
      <c r="C6733" s="309"/>
      <c r="I6733" s="309"/>
      <c r="J6733" s="309"/>
    </row>
    <row r="6734">
      <c r="B6734" s="309"/>
      <c r="C6734" s="309"/>
      <c r="I6734" s="309"/>
      <c r="J6734" s="309"/>
    </row>
    <row r="6735">
      <c r="B6735" s="309"/>
      <c r="C6735" s="309"/>
      <c r="I6735" s="309"/>
      <c r="J6735" s="309"/>
    </row>
    <row r="6736">
      <c r="B6736" s="309"/>
      <c r="C6736" s="309"/>
      <c r="I6736" s="309"/>
      <c r="J6736" s="309"/>
    </row>
    <row r="6737">
      <c r="B6737" s="309"/>
      <c r="C6737" s="309"/>
      <c r="I6737" s="309"/>
      <c r="J6737" s="309"/>
    </row>
    <row r="6738">
      <c r="B6738" s="309"/>
      <c r="C6738" s="309"/>
      <c r="I6738" s="309"/>
      <c r="J6738" s="309"/>
    </row>
    <row r="6739">
      <c r="B6739" s="309"/>
      <c r="C6739" s="309"/>
      <c r="I6739" s="309"/>
      <c r="J6739" s="309"/>
    </row>
    <row r="6740">
      <c r="B6740" s="309"/>
      <c r="C6740" s="309"/>
      <c r="I6740" s="309"/>
      <c r="J6740" s="309"/>
    </row>
    <row r="6741">
      <c r="B6741" s="309"/>
      <c r="C6741" s="309"/>
      <c r="I6741" s="309"/>
      <c r="J6741" s="309"/>
    </row>
    <row r="6742">
      <c r="B6742" s="309"/>
      <c r="C6742" s="309"/>
      <c r="I6742" s="309"/>
      <c r="J6742" s="309"/>
    </row>
    <row r="6743">
      <c r="B6743" s="309"/>
      <c r="C6743" s="309"/>
      <c r="I6743" s="309"/>
      <c r="J6743" s="309"/>
    </row>
    <row r="6744">
      <c r="B6744" s="309"/>
      <c r="C6744" s="309"/>
      <c r="I6744" s="309"/>
      <c r="J6744" s="309"/>
    </row>
    <row r="6745">
      <c r="B6745" s="309"/>
      <c r="C6745" s="309"/>
      <c r="I6745" s="309"/>
      <c r="J6745" s="309"/>
    </row>
    <row r="6746">
      <c r="B6746" s="309"/>
      <c r="C6746" s="309"/>
      <c r="I6746" s="309"/>
      <c r="J6746" s="309"/>
    </row>
    <row r="6747">
      <c r="B6747" s="309"/>
      <c r="C6747" s="309"/>
      <c r="I6747" s="309"/>
      <c r="J6747" s="309"/>
    </row>
    <row r="6748">
      <c r="B6748" s="309"/>
      <c r="C6748" s="309"/>
      <c r="I6748" s="309"/>
      <c r="J6748" s="309"/>
    </row>
    <row r="6749">
      <c r="B6749" s="309"/>
      <c r="C6749" s="309"/>
      <c r="I6749" s="309"/>
      <c r="J6749" s="309"/>
    </row>
    <row r="6750">
      <c r="B6750" s="309"/>
      <c r="C6750" s="309"/>
      <c r="I6750" s="309"/>
      <c r="J6750" s="309"/>
    </row>
    <row r="6751">
      <c r="B6751" s="309"/>
      <c r="C6751" s="309"/>
      <c r="I6751" s="309"/>
      <c r="J6751" s="309"/>
    </row>
    <row r="6752">
      <c r="B6752" s="309"/>
      <c r="C6752" s="309"/>
      <c r="I6752" s="309"/>
      <c r="J6752" s="309"/>
    </row>
    <row r="6753">
      <c r="B6753" s="309"/>
      <c r="C6753" s="309"/>
      <c r="I6753" s="309"/>
      <c r="J6753" s="309"/>
    </row>
    <row r="6754">
      <c r="B6754" s="309"/>
      <c r="C6754" s="309"/>
      <c r="I6754" s="309"/>
      <c r="J6754" s="309"/>
    </row>
    <row r="6755">
      <c r="B6755" s="309"/>
      <c r="C6755" s="309"/>
      <c r="I6755" s="309"/>
      <c r="J6755" s="309"/>
    </row>
    <row r="6756">
      <c r="B6756" s="309"/>
      <c r="C6756" s="309"/>
      <c r="I6756" s="309"/>
      <c r="J6756" s="309"/>
    </row>
    <row r="6757">
      <c r="B6757" s="309"/>
      <c r="C6757" s="309"/>
      <c r="I6757" s="309"/>
      <c r="J6757" s="309"/>
    </row>
    <row r="6758">
      <c r="B6758" s="309"/>
      <c r="C6758" s="309"/>
      <c r="I6758" s="309"/>
      <c r="J6758" s="309"/>
    </row>
    <row r="6759">
      <c r="B6759" s="309"/>
      <c r="C6759" s="309"/>
      <c r="I6759" s="309"/>
      <c r="J6759" s="309"/>
    </row>
    <row r="6760">
      <c r="B6760" s="309"/>
      <c r="C6760" s="309"/>
      <c r="I6760" s="309"/>
      <c r="J6760" s="309"/>
    </row>
    <row r="6761">
      <c r="B6761" s="309"/>
      <c r="C6761" s="309"/>
      <c r="I6761" s="309"/>
      <c r="J6761" s="309"/>
    </row>
    <row r="6762">
      <c r="B6762" s="309"/>
      <c r="C6762" s="309"/>
      <c r="I6762" s="309"/>
      <c r="J6762" s="309"/>
    </row>
    <row r="6763">
      <c r="B6763" s="309"/>
      <c r="C6763" s="309"/>
      <c r="I6763" s="309"/>
      <c r="J6763" s="309"/>
    </row>
    <row r="6764">
      <c r="B6764" s="309"/>
      <c r="C6764" s="309"/>
      <c r="I6764" s="309"/>
      <c r="J6764" s="309"/>
    </row>
    <row r="6765">
      <c r="B6765" s="309"/>
      <c r="C6765" s="309"/>
      <c r="I6765" s="309"/>
      <c r="J6765" s="309"/>
    </row>
    <row r="6766">
      <c r="B6766" s="309"/>
      <c r="C6766" s="309"/>
      <c r="I6766" s="309"/>
      <c r="J6766" s="309"/>
    </row>
    <row r="6767">
      <c r="B6767" s="309"/>
      <c r="C6767" s="309"/>
      <c r="I6767" s="309"/>
      <c r="J6767" s="309"/>
    </row>
    <row r="6768">
      <c r="B6768" s="309"/>
      <c r="C6768" s="309"/>
      <c r="I6768" s="309"/>
      <c r="J6768" s="309"/>
    </row>
    <row r="6769">
      <c r="B6769" s="309"/>
      <c r="C6769" s="309"/>
      <c r="I6769" s="309"/>
      <c r="J6769" s="309"/>
    </row>
    <row r="6770">
      <c r="B6770" s="309"/>
      <c r="C6770" s="309"/>
      <c r="I6770" s="309"/>
      <c r="J6770" s="309"/>
    </row>
    <row r="6771">
      <c r="B6771" s="309"/>
      <c r="C6771" s="309"/>
      <c r="I6771" s="309"/>
      <c r="J6771" s="309"/>
    </row>
    <row r="6772">
      <c r="B6772" s="309"/>
      <c r="C6772" s="309"/>
      <c r="I6772" s="309"/>
      <c r="J6772" s="309"/>
    </row>
    <row r="6773">
      <c r="B6773" s="309"/>
      <c r="C6773" s="309"/>
      <c r="I6773" s="309"/>
      <c r="J6773" s="309"/>
    </row>
    <row r="6774">
      <c r="B6774" s="309"/>
      <c r="C6774" s="309"/>
      <c r="I6774" s="309"/>
      <c r="J6774" s="309"/>
    </row>
    <row r="6775">
      <c r="B6775" s="309"/>
      <c r="C6775" s="309"/>
      <c r="I6775" s="309"/>
      <c r="J6775" s="309"/>
    </row>
    <row r="6776">
      <c r="B6776" s="309"/>
      <c r="C6776" s="309"/>
      <c r="I6776" s="309"/>
      <c r="J6776" s="309"/>
    </row>
    <row r="6777">
      <c r="B6777" s="309"/>
      <c r="C6777" s="309"/>
      <c r="I6777" s="309"/>
      <c r="J6777" s="309"/>
    </row>
    <row r="6778">
      <c r="B6778" s="309"/>
      <c r="C6778" s="309"/>
      <c r="I6778" s="309"/>
      <c r="J6778" s="309"/>
    </row>
    <row r="6779">
      <c r="B6779" s="309"/>
      <c r="C6779" s="309"/>
      <c r="I6779" s="309"/>
      <c r="J6779" s="309"/>
    </row>
    <row r="6780">
      <c r="B6780" s="309"/>
      <c r="C6780" s="309"/>
      <c r="I6780" s="309"/>
      <c r="J6780" s="309"/>
    </row>
    <row r="6781">
      <c r="B6781" s="309"/>
      <c r="C6781" s="309"/>
      <c r="I6781" s="309"/>
      <c r="J6781" s="309"/>
    </row>
    <row r="6782">
      <c r="B6782" s="309"/>
      <c r="C6782" s="309"/>
      <c r="I6782" s="309"/>
      <c r="J6782" s="309"/>
    </row>
    <row r="6783">
      <c r="B6783" s="309"/>
      <c r="C6783" s="309"/>
      <c r="I6783" s="309"/>
      <c r="J6783" s="309"/>
    </row>
    <row r="6784">
      <c r="B6784" s="309"/>
      <c r="C6784" s="309"/>
      <c r="I6784" s="309"/>
      <c r="J6784" s="309"/>
    </row>
    <row r="6785">
      <c r="B6785" s="309"/>
      <c r="C6785" s="309"/>
      <c r="I6785" s="309"/>
      <c r="J6785" s="309"/>
    </row>
    <row r="6786">
      <c r="B6786" s="309"/>
      <c r="C6786" s="309"/>
      <c r="I6786" s="309"/>
      <c r="J6786" s="309"/>
    </row>
    <row r="6787">
      <c r="B6787" s="309"/>
      <c r="C6787" s="309"/>
      <c r="I6787" s="309"/>
      <c r="J6787" s="309"/>
    </row>
    <row r="6788">
      <c r="B6788" s="309"/>
      <c r="C6788" s="309"/>
      <c r="I6788" s="309"/>
      <c r="J6788" s="309"/>
    </row>
    <row r="6789">
      <c r="B6789" s="309"/>
      <c r="C6789" s="309"/>
      <c r="I6789" s="309"/>
      <c r="J6789" s="309"/>
    </row>
    <row r="6790">
      <c r="B6790" s="309"/>
      <c r="C6790" s="309"/>
      <c r="I6790" s="309"/>
      <c r="J6790" s="309"/>
    </row>
    <row r="6791">
      <c r="B6791" s="309"/>
      <c r="C6791" s="309"/>
      <c r="I6791" s="309"/>
      <c r="J6791" s="309"/>
    </row>
    <row r="6792">
      <c r="B6792" s="309"/>
      <c r="C6792" s="309"/>
      <c r="I6792" s="309"/>
      <c r="J6792" s="309"/>
    </row>
    <row r="6793">
      <c r="B6793" s="309"/>
      <c r="C6793" s="309"/>
      <c r="I6793" s="309"/>
      <c r="J6793" s="309"/>
    </row>
    <row r="6794">
      <c r="B6794" s="309"/>
      <c r="C6794" s="309"/>
      <c r="I6794" s="309"/>
      <c r="J6794" s="309"/>
    </row>
    <row r="6795">
      <c r="B6795" s="309"/>
      <c r="C6795" s="309"/>
      <c r="I6795" s="309"/>
      <c r="J6795" s="309"/>
    </row>
    <row r="6796">
      <c r="B6796" s="309"/>
      <c r="C6796" s="309"/>
      <c r="I6796" s="309"/>
      <c r="J6796" s="309"/>
    </row>
    <row r="6797">
      <c r="B6797" s="309"/>
      <c r="C6797" s="309"/>
      <c r="I6797" s="309"/>
      <c r="J6797" s="309"/>
    </row>
    <row r="6798">
      <c r="B6798" s="309"/>
      <c r="C6798" s="309"/>
      <c r="I6798" s="309"/>
      <c r="J6798" s="309"/>
    </row>
    <row r="6799">
      <c r="B6799" s="309"/>
      <c r="C6799" s="309"/>
      <c r="I6799" s="309"/>
      <c r="J6799" s="309"/>
    </row>
    <row r="6800">
      <c r="B6800" s="309"/>
      <c r="C6800" s="309"/>
      <c r="I6800" s="309"/>
      <c r="J6800" s="309"/>
    </row>
    <row r="6801">
      <c r="B6801" s="309"/>
      <c r="C6801" s="309"/>
      <c r="I6801" s="309"/>
      <c r="J6801" s="309"/>
    </row>
    <row r="6802">
      <c r="B6802" s="309"/>
      <c r="C6802" s="309"/>
      <c r="I6802" s="309"/>
      <c r="J6802" s="309"/>
    </row>
    <row r="6803">
      <c r="B6803" s="309"/>
      <c r="C6803" s="309"/>
      <c r="I6803" s="309"/>
      <c r="J6803" s="309"/>
    </row>
    <row r="6804">
      <c r="B6804" s="309"/>
      <c r="C6804" s="309"/>
      <c r="I6804" s="309"/>
      <c r="J6804" s="309"/>
    </row>
    <row r="6805">
      <c r="B6805" s="309"/>
      <c r="C6805" s="309"/>
      <c r="I6805" s="309"/>
      <c r="J6805" s="309"/>
    </row>
    <row r="6806">
      <c r="B6806" s="309"/>
      <c r="C6806" s="309"/>
      <c r="I6806" s="309"/>
      <c r="J6806" s="309"/>
    </row>
    <row r="6807">
      <c r="B6807" s="309"/>
      <c r="C6807" s="309"/>
      <c r="I6807" s="309"/>
      <c r="J6807" s="309"/>
    </row>
    <row r="6808">
      <c r="B6808" s="309"/>
      <c r="C6808" s="309"/>
      <c r="I6808" s="309"/>
      <c r="J6808" s="309"/>
    </row>
    <row r="6809">
      <c r="B6809" s="309"/>
      <c r="C6809" s="309"/>
      <c r="I6809" s="309"/>
      <c r="J6809" s="309"/>
    </row>
    <row r="6810">
      <c r="B6810" s="309"/>
      <c r="C6810" s="309"/>
      <c r="I6810" s="309"/>
      <c r="J6810" s="309"/>
    </row>
    <row r="6811">
      <c r="B6811" s="309"/>
      <c r="C6811" s="309"/>
      <c r="I6811" s="309"/>
      <c r="J6811" s="309"/>
    </row>
    <row r="6812">
      <c r="B6812" s="309"/>
      <c r="C6812" s="309"/>
      <c r="I6812" s="309"/>
      <c r="J6812" s="309"/>
    </row>
    <row r="6813">
      <c r="B6813" s="309"/>
      <c r="C6813" s="309"/>
      <c r="I6813" s="309"/>
      <c r="J6813" s="309"/>
    </row>
    <row r="6814">
      <c r="B6814" s="309"/>
      <c r="C6814" s="309"/>
      <c r="I6814" s="309"/>
      <c r="J6814" s="309"/>
    </row>
    <row r="6815">
      <c r="B6815" s="309"/>
      <c r="C6815" s="309"/>
      <c r="I6815" s="309"/>
      <c r="J6815" s="309"/>
    </row>
    <row r="6816">
      <c r="B6816" s="309"/>
      <c r="C6816" s="309"/>
      <c r="I6816" s="309"/>
      <c r="J6816" s="309"/>
    </row>
    <row r="6817">
      <c r="B6817" s="309"/>
      <c r="C6817" s="309"/>
      <c r="I6817" s="309"/>
      <c r="J6817" s="309"/>
    </row>
    <row r="6818">
      <c r="B6818" s="309"/>
      <c r="C6818" s="309"/>
      <c r="I6818" s="309"/>
      <c r="J6818" s="309"/>
    </row>
    <row r="6819">
      <c r="B6819" s="309"/>
      <c r="C6819" s="309"/>
      <c r="I6819" s="309"/>
      <c r="J6819" s="309"/>
    </row>
    <row r="6820">
      <c r="B6820" s="309"/>
      <c r="C6820" s="309"/>
      <c r="I6820" s="309"/>
      <c r="J6820" s="309"/>
    </row>
    <row r="6821">
      <c r="B6821" s="309"/>
      <c r="C6821" s="309"/>
      <c r="I6821" s="309"/>
      <c r="J6821" s="309"/>
    </row>
    <row r="6822">
      <c r="B6822" s="309"/>
      <c r="C6822" s="309"/>
      <c r="I6822" s="309"/>
      <c r="J6822" s="309"/>
    </row>
    <row r="6823">
      <c r="B6823" s="309"/>
      <c r="C6823" s="309"/>
      <c r="I6823" s="309"/>
      <c r="J6823" s="309"/>
    </row>
    <row r="6824">
      <c r="B6824" s="309"/>
      <c r="C6824" s="309"/>
      <c r="I6824" s="309"/>
      <c r="J6824" s="309"/>
    </row>
    <row r="6825">
      <c r="B6825" s="309"/>
      <c r="C6825" s="309"/>
      <c r="I6825" s="309"/>
      <c r="J6825" s="309"/>
    </row>
    <row r="6826">
      <c r="B6826" s="309"/>
      <c r="C6826" s="309"/>
      <c r="I6826" s="309"/>
      <c r="J6826" s="309"/>
    </row>
    <row r="6827">
      <c r="B6827" s="309"/>
      <c r="C6827" s="309"/>
      <c r="I6827" s="309"/>
      <c r="J6827" s="309"/>
    </row>
    <row r="6828">
      <c r="B6828" s="309"/>
      <c r="C6828" s="309"/>
      <c r="I6828" s="309"/>
      <c r="J6828" s="309"/>
    </row>
    <row r="6829">
      <c r="B6829" s="309"/>
      <c r="C6829" s="309"/>
      <c r="I6829" s="309"/>
      <c r="J6829" s="309"/>
    </row>
    <row r="6830">
      <c r="B6830" s="309"/>
      <c r="C6830" s="309"/>
      <c r="I6830" s="309"/>
      <c r="J6830" s="309"/>
    </row>
    <row r="6831">
      <c r="B6831" s="309"/>
      <c r="C6831" s="309"/>
      <c r="I6831" s="309"/>
      <c r="J6831" s="309"/>
    </row>
    <row r="6832">
      <c r="B6832" s="309"/>
      <c r="C6832" s="309"/>
      <c r="I6832" s="309"/>
      <c r="J6832" s="309"/>
    </row>
    <row r="6833">
      <c r="B6833" s="309"/>
      <c r="C6833" s="309"/>
      <c r="I6833" s="309"/>
      <c r="J6833" s="309"/>
    </row>
    <row r="6834">
      <c r="B6834" s="309"/>
      <c r="C6834" s="309"/>
      <c r="I6834" s="309"/>
      <c r="J6834" s="309"/>
    </row>
    <row r="6835">
      <c r="B6835" s="309"/>
      <c r="C6835" s="309"/>
      <c r="I6835" s="309"/>
      <c r="J6835" s="309"/>
    </row>
    <row r="6836">
      <c r="B6836" s="309"/>
      <c r="C6836" s="309"/>
      <c r="I6836" s="309"/>
      <c r="J6836" s="309"/>
    </row>
    <row r="6837">
      <c r="B6837" s="309"/>
      <c r="C6837" s="309"/>
      <c r="I6837" s="309"/>
      <c r="J6837" s="309"/>
    </row>
    <row r="6838">
      <c r="B6838" s="309"/>
      <c r="C6838" s="309"/>
      <c r="I6838" s="309"/>
      <c r="J6838" s="309"/>
    </row>
    <row r="6839">
      <c r="B6839" s="309"/>
      <c r="C6839" s="309"/>
      <c r="I6839" s="309"/>
      <c r="J6839" s="309"/>
    </row>
    <row r="6840">
      <c r="B6840" s="309"/>
      <c r="C6840" s="309"/>
      <c r="I6840" s="309"/>
      <c r="J6840" s="309"/>
    </row>
    <row r="6841">
      <c r="B6841" s="309"/>
      <c r="C6841" s="309"/>
      <c r="I6841" s="309"/>
      <c r="J6841" s="309"/>
    </row>
    <row r="6842">
      <c r="B6842" s="309"/>
      <c r="C6842" s="309"/>
      <c r="I6842" s="309"/>
      <c r="J6842" s="309"/>
    </row>
    <row r="6843">
      <c r="B6843" s="309"/>
      <c r="C6843" s="309"/>
      <c r="I6843" s="309"/>
      <c r="J6843" s="309"/>
    </row>
    <row r="6844">
      <c r="B6844" s="309"/>
      <c r="C6844" s="309"/>
      <c r="I6844" s="309"/>
      <c r="J6844" s="309"/>
    </row>
    <row r="6845">
      <c r="B6845" s="309"/>
      <c r="C6845" s="309"/>
      <c r="I6845" s="309"/>
      <c r="J6845" s="309"/>
    </row>
    <row r="6846">
      <c r="B6846" s="309"/>
      <c r="C6846" s="309"/>
      <c r="I6846" s="309"/>
      <c r="J6846" s="309"/>
    </row>
    <row r="6847">
      <c r="B6847" s="309"/>
      <c r="C6847" s="309"/>
      <c r="I6847" s="309"/>
      <c r="J6847" s="309"/>
    </row>
    <row r="6848">
      <c r="B6848" s="309"/>
      <c r="C6848" s="309"/>
      <c r="I6848" s="309"/>
      <c r="J6848" s="309"/>
    </row>
    <row r="6849">
      <c r="B6849" s="309"/>
      <c r="C6849" s="309"/>
      <c r="I6849" s="309"/>
      <c r="J6849" s="309"/>
    </row>
    <row r="6850">
      <c r="B6850" s="309"/>
      <c r="C6850" s="309"/>
      <c r="I6850" s="309"/>
      <c r="J6850" s="309"/>
    </row>
    <row r="6851">
      <c r="B6851" s="309"/>
      <c r="C6851" s="309"/>
      <c r="I6851" s="309"/>
      <c r="J6851" s="309"/>
    </row>
    <row r="6852">
      <c r="B6852" s="309"/>
      <c r="C6852" s="309"/>
      <c r="I6852" s="309"/>
      <c r="J6852" s="309"/>
    </row>
    <row r="6853">
      <c r="B6853" s="309"/>
      <c r="C6853" s="309"/>
      <c r="I6853" s="309"/>
      <c r="J6853" s="309"/>
    </row>
    <row r="6854">
      <c r="B6854" s="309"/>
      <c r="C6854" s="309"/>
      <c r="I6854" s="309"/>
      <c r="J6854" s="309"/>
    </row>
    <row r="6855">
      <c r="B6855" s="309"/>
      <c r="C6855" s="309"/>
      <c r="I6855" s="309"/>
      <c r="J6855" s="309"/>
    </row>
    <row r="6856">
      <c r="B6856" s="309"/>
      <c r="C6856" s="309"/>
      <c r="I6856" s="309"/>
      <c r="J6856" s="309"/>
    </row>
    <row r="6857">
      <c r="B6857" s="309"/>
      <c r="C6857" s="309"/>
      <c r="I6857" s="309"/>
      <c r="J6857" s="309"/>
    </row>
    <row r="6858">
      <c r="B6858" s="309"/>
      <c r="C6858" s="309"/>
      <c r="I6858" s="309"/>
      <c r="J6858" s="309"/>
    </row>
    <row r="6859">
      <c r="B6859" s="309"/>
      <c r="C6859" s="309"/>
      <c r="I6859" s="309"/>
      <c r="J6859" s="309"/>
    </row>
    <row r="6860">
      <c r="B6860" s="309"/>
      <c r="C6860" s="309"/>
      <c r="I6860" s="309"/>
      <c r="J6860" s="309"/>
    </row>
    <row r="6861">
      <c r="B6861" s="309"/>
      <c r="C6861" s="309"/>
      <c r="I6861" s="309"/>
      <c r="J6861" s="309"/>
    </row>
    <row r="6862">
      <c r="B6862" s="309"/>
      <c r="C6862" s="309"/>
      <c r="I6862" s="309"/>
      <c r="J6862" s="309"/>
    </row>
    <row r="6863">
      <c r="B6863" s="309"/>
      <c r="C6863" s="309"/>
      <c r="I6863" s="309"/>
      <c r="J6863" s="309"/>
    </row>
    <row r="6864">
      <c r="B6864" s="309"/>
      <c r="C6864" s="309"/>
      <c r="I6864" s="309"/>
      <c r="J6864" s="309"/>
    </row>
    <row r="6865">
      <c r="B6865" s="309"/>
      <c r="C6865" s="309"/>
      <c r="I6865" s="309"/>
      <c r="J6865" s="309"/>
    </row>
    <row r="6866">
      <c r="B6866" s="309"/>
      <c r="C6866" s="309"/>
      <c r="I6866" s="309"/>
      <c r="J6866" s="309"/>
    </row>
    <row r="6867">
      <c r="B6867" s="309"/>
      <c r="C6867" s="309"/>
      <c r="I6867" s="309"/>
      <c r="J6867" s="309"/>
    </row>
    <row r="6868">
      <c r="B6868" s="309"/>
      <c r="C6868" s="309"/>
      <c r="I6868" s="309"/>
      <c r="J6868" s="309"/>
    </row>
    <row r="6869">
      <c r="B6869" s="309"/>
      <c r="C6869" s="309"/>
      <c r="I6869" s="309"/>
      <c r="J6869" s="309"/>
    </row>
    <row r="6870">
      <c r="B6870" s="309"/>
      <c r="C6870" s="309"/>
      <c r="I6870" s="309"/>
      <c r="J6870" s="309"/>
    </row>
    <row r="6871">
      <c r="B6871" s="309"/>
      <c r="C6871" s="309"/>
      <c r="I6871" s="309"/>
      <c r="J6871" s="309"/>
    </row>
    <row r="6872">
      <c r="B6872" s="309"/>
      <c r="C6872" s="309"/>
      <c r="I6872" s="309"/>
      <c r="J6872" s="309"/>
    </row>
    <row r="6873">
      <c r="B6873" s="309"/>
      <c r="C6873" s="309"/>
      <c r="I6873" s="309"/>
      <c r="J6873" s="309"/>
    </row>
    <row r="6874">
      <c r="B6874" s="309"/>
      <c r="C6874" s="309"/>
      <c r="I6874" s="309"/>
      <c r="J6874" s="309"/>
    </row>
    <row r="6875">
      <c r="B6875" s="309"/>
      <c r="C6875" s="309"/>
      <c r="I6875" s="309"/>
      <c r="J6875" s="309"/>
    </row>
    <row r="6876">
      <c r="B6876" s="309"/>
      <c r="C6876" s="309"/>
      <c r="I6876" s="309"/>
      <c r="J6876" s="309"/>
    </row>
    <row r="6877">
      <c r="B6877" s="309"/>
      <c r="C6877" s="309"/>
      <c r="I6877" s="309"/>
      <c r="J6877" s="309"/>
    </row>
    <row r="6878">
      <c r="B6878" s="309"/>
      <c r="C6878" s="309"/>
      <c r="I6878" s="309"/>
      <c r="J6878" s="309"/>
    </row>
    <row r="6879">
      <c r="B6879" s="309"/>
      <c r="C6879" s="309"/>
      <c r="I6879" s="309"/>
      <c r="J6879" s="309"/>
    </row>
    <row r="6880">
      <c r="B6880" s="309"/>
      <c r="C6880" s="309"/>
      <c r="I6880" s="309"/>
      <c r="J6880" s="309"/>
    </row>
    <row r="6881">
      <c r="B6881" s="309"/>
      <c r="C6881" s="309"/>
      <c r="I6881" s="309"/>
      <c r="J6881" s="309"/>
    </row>
    <row r="6882">
      <c r="B6882" s="309"/>
      <c r="C6882" s="309"/>
      <c r="I6882" s="309"/>
      <c r="J6882" s="309"/>
    </row>
    <row r="6883">
      <c r="B6883" s="309"/>
      <c r="C6883" s="309"/>
      <c r="I6883" s="309"/>
      <c r="J6883" s="309"/>
    </row>
    <row r="6884">
      <c r="B6884" s="309"/>
      <c r="C6884" s="309"/>
      <c r="I6884" s="309"/>
      <c r="J6884" s="309"/>
    </row>
    <row r="6885">
      <c r="B6885" s="309"/>
      <c r="C6885" s="309"/>
      <c r="I6885" s="309"/>
      <c r="J6885" s="309"/>
    </row>
    <row r="6886">
      <c r="B6886" s="309"/>
      <c r="C6886" s="309"/>
      <c r="I6886" s="309"/>
      <c r="J6886" s="309"/>
    </row>
    <row r="6887">
      <c r="B6887" s="309"/>
      <c r="C6887" s="309"/>
      <c r="I6887" s="309"/>
      <c r="J6887" s="309"/>
    </row>
    <row r="6888">
      <c r="B6888" s="309"/>
      <c r="C6888" s="309"/>
      <c r="I6888" s="309"/>
      <c r="J6888" s="309"/>
    </row>
    <row r="6889">
      <c r="B6889" s="309"/>
      <c r="C6889" s="309"/>
      <c r="I6889" s="309"/>
      <c r="J6889" s="309"/>
    </row>
    <row r="6890">
      <c r="B6890" s="309"/>
      <c r="C6890" s="309"/>
      <c r="I6890" s="309"/>
      <c r="J6890" s="309"/>
    </row>
    <row r="6891">
      <c r="B6891" s="309"/>
      <c r="C6891" s="309"/>
      <c r="I6891" s="309"/>
      <c r="J6891" s="309"/>
    </row>
    <row r="6892">
      <c r="B6892" s="309"/>
      <c r="C6892" s="309"/>
      <c r="I6892" s="309"/>
      <c r="J6892" s="309"/>
    </row>
    <row r="6893">
      <c r="B6893" s="309"/>
      <c r="C6893" s="309"/>
      <c r="I6893" s="309"/>
      <c r="J6893" s="309"/>
    </row>
    <row r="6894">
      <c r="B6894" s="309"/>
      <c r="C6894" s="309"/>
      <c r="I6894" s="309"/>
      <c r="J6894" s="309"/>
    </row>
    <row r="6895">
      <c r="B6895" s="309"/>
      <c r="C6895" s="309"/>
      <c r="I6895" s="309"/>
      <c r="J6895" s="309"/>
    </row>
    <row r="6896">
      <c r="B6896" s="309"/>
      <c r="C6896" s="309"/>
      <c r="I6896" s="309"/>
      <c r="J6896" s="309"/>
    </row>
    <row r="6897">
      <c r="B6897" s="309"/>
      <c r="C6897" s="309"/>
      <c r="I6897" s="309"/>
      <c r="J6897" s="309"/>
    </row>
    <row r="6898">
      <c r="B6898" s="309"/>
      <c r="C6898" s="309"/>
      <c r="I6898" s="309"/>
      <c r="J6898" s="309"/>
    </row>
    <row r="6899">
      <c r="B6899" s="309"/>
      <c r="C6899" s="309"/>
      <c r="I6899" s="309"/>
      <c r="J6899" s="309"/>
    </row>
    <row r="6900">
      <c r="B6900" s="309"/>
      <c r="C6900" s="309"/>
      <c r="I6900" s="309"/>
      <c r="J6900" s="309"/>
    </row>
    <row r="6901">
      <c r="B6901" s="309"/>
      <c r="C6901" s="309"/>
      <c r="I6901" s="309"/>
      <c r="J6901" s="309"/>
    </row>
    <row r="6902">
      <c r="B6902" s="309"/>
      <c r="C6902" s="309"/>
      <c r="I6902" s="309"/>
      <c r="J6902" s="309"/>
    </row>
    <row r="6903">
      <c r="B6903" s="309"/>
      <c r="C6903" s="309"/>
      <c r="I6903" s="309"/>
      <c r="J6903" s="309"/>
    </row>
    <row r="6904">
      <c r="B6904" s="309"/>
      <c r="C6904" s="309"/>
      <c r="I6904" s="309"/>
      <c r="J6904" s="309"/>
    </row>
    <row r="6905">
      <c r="B6905" s="309"/>
      <c r="C6905" s="309"/>
      <c r="I6905" s="309"/>
      <c r="J6905" s="309"/>
    </row>
    <row r="6906">
      <c r="B6906" s="309"/>
      <c r="C6906" s="309"/>
      <c r="I6906" s="309"/>
      <c r="J6906" s="309"/>
    </row>
    <row r="6907">
      <c r="B6907" s="309"/>
      <c r="C6907" s="309"/>
      <c r="I6907" s="309"/>
      <c r="J6907" s="309"/>
    </row>
    <row r="6908">
      <c r="B6908" s="309"/>
      <c r="C6908" s="309"/>
      <c r="I6908" s="309"/>
      <c r="J6908" s="309"/>
    </row>
    <row r="6909">
      <c r="B6909" s="309"/>
      <c r="C6909" s="309"/>
      <c r="I6909" s="309"/>
      <c r="J6909" s="309"/>
    </row>
    <row r="6910">
      <c r="B6910" s="309"/>
      <c r="C6910" s="309"/>
      <c r="I6910" s="309"/>
      <c r="J6910" s="309"/>
    </row>
    <row r="6911">
      <c r="B6911" s="309"/>
      <c r="C6911" s="309"/>
      <c r="I6911" s="309"/>
      <c r="J6911" s="309"/>
    </row>
    <row r="6912">
      <c r="B6912" s="309"/>
      <c r="C6912" s="309"/>
      <c r="I6912" s="309"/>
      <c r="J6912" s="309"/>
    </row>
    <row r="6913">
      <c r="B6913" s="309"/>
      <c r="C6913" s="309"/>
      <c r="I6913" s="309"/>
      <c r="J6913" s="309"/>
    </row>
    <row r="6914">
      <c r="B6914" s="309"/>
      <c r="C6914" s="309"/>
      <c r="I6914" s="309"/>
      <c r="J6914" s="309"/>
    </row>
    <row r="6915">
      <c r="B6915" s="309"/>
      <c r="C6915" s="309"/>
      <c r="I6915" s="309"/>
      <c r="J6915" s="309"/>
    </row>
    <row r="6916">
      <c r="B6916" s="309"/>
      <c r="C6916" s="309"/>
      <c r="I6916" s="309"/>
      <c r="J6916" s="309"/>
    </row>
    <row r="6917">
      <c r="B6917" s="309"/>
      <c r="C6917" s="309"/>
      <c r="I6917" s="309"/>
      <c r="J6917" s="309"/>
    </row>
    <row r="6918">
      <c r="B6918" s="309"/>
      <c r="C6918" s="309"/>
      <c r="I6918" s="309"/>
      <c r="J6918" s="309"/>
    </row>
    <row r="6919">
      <c r="B6919" s="309"/>
      <c r="C6919" s="309"/>
      <c r="I6919" s="309"/>
      <c r="J6919" s="309"/>
    </row>
    <row r="6920">
      <c r="B6920" s="309"/>
      <c r="C6920" s="309"/>
      <c r="I6920" s="309"/>
      <c r="J6920" s="309"/>
    </row>
    <row r="6921">
      <c r="B6921" s="309"/>
      <c r="C6921" s="309"/>
      <c r="I6921" s="309"/>
      <c r="J6921" s="309"/>
    </row>
    <row r="6922">
      <c r="B6922" s="309"/>
      <c r="C6922" s="309"/>
      <c r="I6922" s="309"/>
      <c r="J6922" s="309"/>
    </row>
    <row r="6923">
      <c r="B6923" s="309"/>
      <c r="C6923" s="309"/>
      <c r="I6923" s="309"/>
      <c r="J6923" s="309"/>
    </row>
    <row r="6924">
      <c r="B6924" s="309"/>
      <c r="C6924" s="309"/>
      <c r="I6924" s="309"/>
      <c r="J6924" s="309"/>
    </row>
    <row r="6925">
      <c r="B6925" s="309"/>
      <c r="C6925" s="309"/>
      <c r="I6925" s="309"/>
      <c r="J6925" s="309"/>
    </row>
    <row r="6926">
      <c r="B6926" s="309"/>
      <c r="C6926" s="309"/>
      <c r="I6926" s="309"/>
      <c r="J6926" s="309"/>
    </row>
    <row r="6927">
      <c r="B6927" s="309"/>
      <c r="C6927" s="309"/>
      <c r="I6927" s="309"/>
      <c r="J6927" s="309"/>
    </row>
    <row r="6928">
      <c r="B6928" s="309"/>
      <c r="C6928" s="309"/>
      <c r="I6928" s="309"/>
      <c r="J6928" s="309"/>
    </row>
    <row r="6929">
      <c r="B6929" s="309"/>
      <c r="C6929" s="309"/>
      <c r="I6929" s="309"/>
      <c r="J6929" s="309"/>
    </row>
    <row r="6930">
      <c r="B6930" s="309"/>
      <c r="C6930" s="309"/>
      <c r="I6930" s="309"/>
      <c r="J6930" s="309"/>
    </row>
    <row r="6931">
      <c r="B6931" s="309"/>
      <c r="C6931" s="309"/>
      <c r="I6931" s="309"/>
      <c r="J6931" s="309"/>
    </row>
    <row r="6932">
      <c r="B6932" s="309"/>
      <c r="C6932" s="309"/>
      <c r="I6932" s="309"/>
      <c r="J6932" s="309"/>
    </row>
    <row r="6933">
      <c r="B6933" s="309"/>
      <c r="C6933" s="309"/>
      <c r="I6933" s="309"/>
      <c r="J6933" s="309"/>
    </row>
    <row r="6934">
      <c r="B6934" s="309"/>
      <c r="C6934" s="309"/>
      <c r="I6934" s="309"/>
      <c r="J6934" s="309"/>
    </row>
    <row r="6935">
      <c r="B6935" s="309"/>
      <c r="C6935" s="309"/>
      <c r="I6935" s="309"/>
      <c r="J6935" s="309"/>
    </row>
    <row r="6936">
      <c r="B6936" s="309"/>
      <c r="C6936" s="309"/>
      <c r="I6936" s="309"/>
      <c r="J6936" s="309"/>
    </row>
    <row r="6937">
      <c r="B6937" s="309"/>
      <c r="C6937" s="309"/>
      <c r="I6937" s="309"/>
      <c r="J6937" s="309"/>
    </row>
    <row r="6938">
      <c r="B6938" s="309"/>
      <c r="C6938" s="309"/>
      <c r="I6938" s="309"/>
      <c r="J6938" s="309"/>
    </row>
    <row r="6939">
      <c r="B6939" s="309"/>
      <c r="C6939" s="309"/>
      <c r="I6939" s="309"/>
      <c r="J6939" s="309"/>
    </row>
    <row r="6940">
      <c r="B6940" s="309"/>
      <c r="C6940" s="309"/>
      <c r="I6940" s="309"/>
      <c r="J6940" s="309"/>
    </row>
    <row r="6941">
      <c r="B6941" s="309"/>
      <c r="C6941" s="309"/>
      <c r="I6941" s="309"/>
      <c r="J6941" s="309"/>
    </row>
    <row r="6942">
      <c r="B6942" s="309"/>
      <c r="C6942" s="309"/>
      <c r="I6942" s="309"/>
      <c r="J6942" s="309"/>
    </row>
    <row r="6943">
      <c r="B6943" s="309"/>
      <c r="C6943" s="309"/>
      <c r="I6943" s="309"/>
      <c r="J6943" s="309"/>
    </row>
    <row r="6944">
      <c r="B6944" s="309"/>
      <c r="C6944" s="309"/>
      <c r="I6944" s="309"/>
      <c r="J6944" s="309"/>
    </row>
    <row r="6945">
      <c r="B6945" s="309"/>
      <c r="C6945" s="309"/>
      <c r="I6945" s="309"/>
      <c r="J6945" s="309"/>
    </row>
    <row r="6946">
      <c r="B6946" s="309"/>
      <c r="C6946" s="309"/>
      <c r="I6946" s="309"/>
      <c r="J6946" s="309"/>
    </row>
    <row r="6947">
      <c r="B6947" s="309"/>
      <c r="C6947" s="309"/>
      <c r="I6947" s="309"/>
      <c r="J6947" s="309"/>
    </row>
    <row r="6948">
      <c r="B6948" s="309"/>
      <c r="C6948" s="309"/>
      <c r="I6948" s="309"/>
      <c r="J6948" s="309"/>
    </row>
    <row r="6949">
      <c r="B6949" s="309"/>
      <c r="C6949" s="309"/>
      <c r="I6949" s="309"/>
      <c r="J6949" s="309"/>
    </row>
    <row r="6950">
      <c r="B6950" s="309"/>
      <c r="C6950" s="309"/>
      <c r="I6950" s="309"/>
      <c r="J6950" s="309"/>
    </row>
    <row r="6951">
      <c r="B6951" s="309"/>
      <c r="C6951" s="309"/>
      <c r="I6951" s="309"/>
      <c r="J6951" s="309"/>
    </row>
    <row r="6952">
      <c r="B6952" s="309"/>
      <c r="C6952" s="309"/>
      <c r="I6952" s="309"/>
      <c r="J6952" s="309"/>
    </row>
    <row r="6953">
      <c r="B6953" s="309"/>
      <c r="C6953" s="309"/>
      <c r="I6953" s="309"/>
      <c r="J6953" s="309"/>
    </row>
    <row r="6954">
      <c r="B6954" s="309"/>
      <c r="C6954" s="309"/>
      <c r="I6954" s="309"/>
      <c r="J6954" s="309"/>
    </row>
    <row r="6955">
      <c r="B6955" s="309"/>
      <c r="C6955" s="309"/>
      <c r="I6955" s="309"/>
      <c r="J6955" s="309"/>
    </row>
    <row r="6956">
      <c r="B6956" s="309"/>
      <c r="C6956" s="309"/>
      <c r="I6956" s="309"/>
      <c r="J6956" s="309"/>
    </row>
    <row r="6957">
      <c r="B6957" s="309"/>
      <c r="C6957" s="309"/>
      <c r="I6957" s="309"/>
      <c r="J6957" s="309"/>
    </row>
    <row r="6958">
      <c r="B6958" s="309"/>
      <c r="C6958" s="309"/>
      <c r="I6958" s="309"/>
      <c r="J6958" s="309"/>
    </row>
    <row r="6959">
      <c r="B6959" s="309"/>
      <c r="C6959" s="309"/>
      <c r="I6959" s="309"/>
      <c r="J6959" s="309"/>
    </row>
    <row r="6960">
      <c r="B6960" s="309"/>
      <c r="C6960" s="309"/>
      <c r="I6960" s="309"/>
      <c r="J6960" s="309"/>
    </row>
    <row r="6961">
      <c r="B6961" s="309"/>
      <c r="C6961" s="309"/>
      <c r="I6961" s="309"/>
      <c r="J6961" s="309"/>
    </row>
    <row r="6962">
      <c r="B6962" s="309"/>
      <c r="C6962" s="309"/>
      <c r="I6962" s="309"/>
      <c r="J6962" s="309"/>
    </row>
    <row r="6963">
      <c r="B6963" s="309"/>
      <c r="C6963" s="309"/>
      <c r="I6963" s="309"/>
      <c r="J6963" s="309"/>
    </row>
    <row r="6964">
      <c r="B6964" s="309"/>
      <c r="C6964" s="309"/>
      <c r="I6964" s="309"/>
      <c r="J6964" s="309"/>
    </row>
    <row r="6965">
      <c r="B6965" s="309"/>
      <c r="C6965" s="309"/>
      <c r="I6965" s="309"/>
      <c r="J6965" s="309"/>
    </row>
    <row r="6966">
      <c r="B6966" s="309"/>
      <c r="C6966" s="309"/>
      <c r="I6966" s="309"/>
      <c r="J6966" s="309"/>
    </row>
    <row r="6967">
      <c r="B6967" s="309"/>
      <c r="C6967" s="309"/>
      <c r="I6967" s="309"/>
      <c r="J6967" s="309"/>
    </row>
    <row r="6968">
      <c r="B6968" s="309"/>
      <c r="C6968" s="309"/>
      <c r="I6968" s="309"/>
      <c r="J6968" s="309"/>
    </row>
    <row r="6969">
      <c r="B6969" s="309"/>
      <c r="C6969" s="309"/>
      <c r="I6969" s="309"/>
      <c r="J6969" s="309"/>
    </row>
    <row r="6970">
      <c r="B6970" s="309"/>
      <c r="C6970" s="309"/>
      <c r="I6970" s="309"/>
      <c r="J6970" s="309"/>
    </row>
    <row r="6971">
      <c r="B6971" s="309"/>
      <c r="C6971" s="309"/>
      <c r="I6971" s="309"/>
      <c r="J6971" s="309"/>
    </row>
    <row r="6972">
      <c r="B6972" s="309"/>
      <c r="C6972" s="309"/>
      <c r="I6972" s="309"/>
      <c r="J6972" s="309"/>
    </row>
    <row r="6973">
      <c r="B6973" s="309"/>
      <c r="C6973" s="309"/>
      <c r="I6973" s="309"/>
      <c r="J6973" s="309"/>
    </row>
    <row r="6974">
      <c r="B6974" s="309"/>
      <c r="C6974" s="309"/>
      <c r="I6974" s="309"/>
      <c r="J6974" s="309"/>
    </row>
    <row r="6975">
      <c r="B6975" s="309"/>
      <c r="C6975" s="309"/>
      <c r="I6975" s="309"/>
      <c r="J6975" s="309"/>
    </row>
    <row r="6976">
      <c r="B6976" s="309"/>
      <c r="C6976" s="309"/>
      <c r="I6976" s="309"/>
      <c r="J6976" s="309"/>
    </row>
    <row r="6977">
      <c r="B6977" s="309"/>
      <c r="C6977" s="309"/>
      <c r="I6977" s="309"/>
      <c r="J6977" s="309"/>
    </row>
    <row r="6978">
      <c r="B6978" s="309"/>
      <c r="C6978" s="309"/>
      <c r="I6978" s="309"/>
      <c r="J6978" s="309"/>
    </row>
    <row r="6979">
      <c r="B6979" s="309"/>
      <c r="C6979" s="309"/>
      <c r="I6979" s="309"/>
      <c r="J6979" s="309"/>
    </row>
    <row r="6980">
      <c r="B6980" s="309"/>
      <c r="C6980" s="309"/>
      <c r="I6980" s="309"/>
      <c r="J6980" s="309"/>
    </row>
    <row r="6981">
      <c r="B6981" s="309"/>
      <c r="C6981" s="309"/>
      <c r="I6981" s="309"/>
      <c r="J6981" s="309"/>
    </row>
    <row r="6982">
      <c r="B6982" s="309"/>
      <c r="C6982" s="309"/>
      <c r="I6982" s="309"/>
      <c r="J6982" s="309"/>
    </row>
    <row r="6983">
      <c r="B6983" s="309"/>
      <c r="C6983" s="309"/>
      <c r="I6983" s="309"/>
      <c r="J6983" s="309"/>
    </row>
    <row r="6984">
      <c r="B6984" s="309"/>
      <c r="C6984" s="309"/>
      <c r="I6984" s="309"/>
      <c r="J6984" s="309"/>
    </row>
    <row r="6985">
      <c r="B6985" s="309"/>
      <c r="C6985" s="309"/>
      <c r="I6985" s="309"/>
      <c r="J6985" s="309"/>
    </row>
    <row r="6986">
      <c r="B6986" s="309"/>
      <c r="C6986" s="309"/>
      <c r="I6986" s="309"/>
      <c r="J6986" s="309"/>
    </row>
    <row r="6987">
      <c r="B6987" s="309"/>
      <c r="C6987" s="309"/>
      <c r="I6987" s="309"/>
      <c r="J6987" s="309"/>
    </row>
    <row r="6988">
      <c r="B6988" s="309"/>
      <c r="C6988" s="309"/>
      <c r="I6988" s="309"/>
      <c r="J6988" s="309"/>
    </row>
    <row r="6989">
      <c r="B6989" s="309"/>
      <c r="C6989" s="309"/>
      <c r="I6989" s="309"/>
      <c r="J6989" s="309"/>
    </row>
    <row r="6990">
      <c r="B6990" s="309"/>
      <c r="C6990" s="309"/>
      <c r="I6990" s="309"/>
      <c r="J6990" s="309"/>
    </row>
    <row r="6991">
      <c r="B6991" s="309"/>
      <c r="C6991" s="309"/>
      <c r="I6991" s="309"/>
      <c r="J6991" s="309"/>
    </row>
    <row r="6992">
      <c r="B6992" s="309"/>
      <c r="C6992" s="309"/>
      <c r="I6992" s="309"/>
      <c r="J6992" s="309"/>
    </row>
    <row r="6993">
      <c r="B6993" s="309"/>
      <c r="C6993" s="309"/>
      <c r="I6993" s="309"/>
      <c r="J6993" s="309"/>
    </row>
    <row r="6994">
      <c r="B6994" s="309"/>
      <c r="C6994" s="309"/>
      <c r="I6994" s="309"/>
      <c r="J6994" s="309"/>
    </row>
    <row r="6995">
      <c r="B6995" s="309"/>
      <c r="C6995" s="309"/>
      <c r="I6995" s="309"/>
      <c r="J6995" s="309"/>
    </row>
    <row r="6996">
      <c r="B6996" s="309"/>
      <c r="C6996" s="309"/>
      <c r="I6996" s="309"/>
      <c r="J6996" s="309"/>
    </row>
    <row r="6997">
      <c r="B6997" s="309"/>
      <c r="C6997" s="309"/>
      <c r="I6997" s="309"/>
      <c r="J6997" s="309"/>
    </row>
    <row r="6998">
      <c r="B6998" s="309"/>
      <c r="C6998" s="309"/>
      <c r="I6998" s="309"/>
      <c r="J6998" s="309"/>
    </row>
    <row r="6999">
      <c r="B6999" s="309"/>
      <c r="C6999" s="309"/>
      <c r="I6999" s="309"/>
      <c r="J6999" s="309"/>
    </row>
    <row r="7000">
      <c r="B7000" s="309"/>
      <c r="C7000" s="309"/>
      <c r="I7000" s="309"/>
      <c r="J7000" s="309"/>
    </row>
    <row r="7001">
      <c r="B7001" s="309"/>
      <c r="C7001" s="309"/>
      <c r="I7001" s="309"/>
      <c r="J7001" s="309"/>
    </row>
    <row r="7002">
      <c r="B7002" s="309"/>
      <c r="C7002" s="309"/>
      <c r="I7002" s="309"/>
      <c r="J7002" s="309"/>
    </row>
    <row r="7003">
      <c r="B7003" s="309"/>
      <c r="C7003" s="309"/>
      <c r="I7003" s="309"/>
      <c r="J7003" s="309"/>
    </row>
    <row r="7004">
      <c r="B7004" s="309"/>
      <c r="C7004" s="309"/>
      <c r="I7004" s="309"/>
      <c r="J7004" s="309"/>
    </row>
    <row r="7005">
      <c r="B7005" s="309"/>
      <c r="C7005" s="309"/>
      <c r="I7005" s="309"/>
      <c r="J7005" s="309"/>
    </row>
    <row r="7006">
      <c r="B7006" s="309"/>
      <c r="C7006" s="309"/>
      <c r="I7006" s="309"/>
      <c r="J7006" s="309"/>
    </row>
    <row r="7007">
      <c r="B7007" s="309"/>
      <c r="C7007" s="309"/>
      <c r="I7007" s="309"/>
      <c r="J7007" s="309"/>
    </row>
    <row r="7008">
      <c r="B7008" s="309"/>
      <c r="C7008" s="309"/>
      <c r="I7008" s="309"/>
      <c r="J7008" s="309"/>
    </row>
    <row r="7009">
      <c r="B7009" s="309"/>
      <c r="C7009" s="309"/>
      <c r="I7009" s="309"/>
      <c r="J7009" s="309"/>
    </row>
    <row r="7010">
      <c r="B7010" s="309"/>
      <c r="C7010" s="309"/>
      <c r="I7010" s="309"/>
      <c r="J7010" s="309"/>
    </row>
    <row r="7011">
      <c r="B7011" s="309"/>
      <c r="C7011" s="309"/>
      <c r="I7011" s="309"/>
      <c r="J7011" s="309"/>
    </row>
    <row r="7012">
      <c r="B7012" s="309"/>
      <c r="C7012" s="309"/>
      <c r="I7012" s="309"/>
      <c r="J7012" s="309"/>
    </row>
    <row r="7013">
      <c r="B7013" s="309"/>
      <c r="C7013" s="309"/>
      <c r="I7013" s="309"/>
      <c r="J7013" s="309"/>
    </row>
    <row r="7014">
      <c r="B7014" s="309"/>
      <c r="C7014" s="309"/>
      <c r="I7014" s="309"/>
      <c r="J7014" s="309"/>
    </row>
    <row r="7015">
      <c r="B7015" s="309"/>
      <c r="C7015" s="309"/>
      <c r="I7015" s="309"/>
      <c r="J7015" s="309"/>
    </row>
    <row r="7016">
      <c r="B7016" s="309"/>
      <c r="C7016" s="309"/>
      <c r="I7016" s="309"/>
      <c r="J7016" s="309"/>
    </row>
    <row r="7017">
      <c r="B7017" s="309"/>
      <c r="C7017" s="309"/>
      <c r="I7017" s="309"/>
      <c r="J7017" s="309"/>
    </row>
    <row r="7018">
      <c r="B7018" s="309"/>
      <c r="C7018" s="309"/>
      <c r="I7018" s="309"/>
      <c r="J7018" s="309"/>
    </row>
    <row r="7019">
      <c r="B7019" s="309"/>
      <c r="C7019" s="309"/>
      <c r="I7019" s="309"/>
      <c r="J7019" s="309"/>
    </row>
    <row r="7020">
      <c r="B7020" s="309"/>
      <c r="C7020" s="309"/>
      <c r="I7020" s="309"/>
      <c r="J7020" s="309"/>
    </row>
    <row r="7021">
      <c r="B7021" s="309"/>
      <c r="C7021" s="309"/>
      <c r="I7021" s="309"/>
      <c r="J7021" s="309"/>
    </row>
    <row r="7022">
      <c r="B7022" s="309"/>
      <c r="C7022" s="309"/>
      <c r="I7022" s="309"/>
      <c r="J7022" s="309"/>
    </row>
    <row r="7023">
      <c r="B7023" s="309"/>
      <c r="C7023" s="309"/>
      <c r="I7023" s="309"/>
      <c r="J7023" s="309"/>
    </row>
    <row r="7024">
      <c r="B7024" s="309"/>
      <c r="C7024" s="309"/>
      <c r="I7024" s="309"/>
      <c r="J7024" s="309"/>
    </row>
    <row r="7025">
      <c r="B7025" s="309"/>
      <c r="C7025" s="309"/>
      <c r="I7025" s="309"/>
      <c r="J7025" s="309"/>
    </row>
    <row r="7026">
      <c r="B7026" s="309"/>
      <c r="C7026" s="309"/>
      <c r="I7026" s="309"/>
      <c r="J7026" s="309"/>
    </row>
    <row r="7027">
      <c r="B7027" s="309"/>
      <c r="C7027" s="309"/>
      <c r="I7027" s="309"/>
      <c r="J7027" s="309"/>
    </row>
    <row r="7028">
      <c r="B7028" s="309"/>
      <c r="C7028" s="309"/>
      <c r="I7028" s="309"/>
      <c r="J7028" s="309"/>
    </row>
    <row r="7029">
      <c r="B7029" s="309"/>
      <c r="C7029" s="309"/>
      <c r="I7029" s="309"/>
      <c r="J7029" s="309"/>
    </row>
    <row r="7030">
      <c r="B7030" s="309"/>
      <c r="C7030" s="309"/>
      <c r="I7030" s="309"/>
      <c r="J7030" s="309"/>
    </row>
    <row r="7031">
      <c r="B7031" s="309"/>
      <c r="C7031" s="309"/>
      <c r="I7031" s="309"/>
      <c r="J7031" s="309"/>
    </row>
    <row r="7032">
      <c r="B7032" s="309"/>
      <c r="C7032" s="309"/>
      <c r="I7032" s="309"/>
      <c r="J7032" s="309"/>
    </row>
    <row r="7033">
      <c r="B7033" s="309"/>
      <c r="C7033" s="309"/>
      <c r="I7033" s="309"/>
      <c r="J7033" s="309"/>
    </row>
    <row r="7034">
      <c r="B7034" s="309"/>
      <c r="C7034" s="309"/>
      <c r="I7034" s="309"/>
      <c r="J7034" s="309"/>
    </row>
    <row r="7035">
      <c r="B7035" s="309"/>
      <c r="C7035" s="309"/>
      <c r="I7035" s="309"/>
      <c r="J7035" s="309"/>
    </row>
    <row r="7036">
      <c r="B7036" s="309"/>
      <c r="C7036" s="309"/>
      <c r="I7036" s="309"/>
      <c r="J7036" s="309"/>
    </row>
    <row r="7037">
      <c r="B7037" s="309"/>
      <c r="C7037" s="309"/>
      <c r="I7037" s="309"/>
      <c r="J7037" s="309"/>
    </row>
    <row r="7038">
      <c r="B7038" s="309"/>
      <c r="C7038" s="309"/>
      <c r="I7038" s="309"/>
      <c r="J7038" s="309"/>
    </row>
    <row r="7039">
      <c r="B7039" s="309"/>
      <c r="C7039" s="309"/>
      <c r="I7039" s="309"/>
      <c r="J7039" s="309"/>
    </row>
    <row r="7040">
      <c r="B7040" s="309"/>
      <c r="C7040" s="309"/>
      <c r="I7040" s="309"/>
      <c r="J7040" s="309"/>
    </row>
    <row r="7041">
      <c r="B7041" s="309"/>
      <c r="C7041" s="309"/>
      <c r="I7041" s="309"/>
      <c r="J7041" s="309"/>
    </row>
    <row r="7042">
      <c r="B7042" s="309"/>
      <c r="C7042" s="309"/>
      <c r="I7042" s="309"/>
      <c r="J7042" s="309"/>
    </row>
    <row r="7043">
      <c r="B7043" s="309"/>
      <c r="C7043" s="309"/>
      <c r="I7043" s="309"/>
      <c r="J7043" s="309"/>
    </row>
    <row r="7044">
      <c r="B7044" s="309"/>
      <c r="C7044" s="309"/>
      <c r="I7044" s="309"/>
      <c r="J7044" s="309"/>
    </row>
    <row r="7045">
      <c r="B7045" s="309"/>
      <c r="C7045" s="309"/>
      <c r="I7045" s="309"/>
      <c r="J7045" s="309"/>
    </row>
    <row r="7046">
      <c r="B7046" s="309"/>
      <c r="C7046" s="309"/>
      <c r="I7046" s="309"/>
      <c r="J7046" s="309"/>
    </row>
    <row r="7047">
      <c r="B7047" s="309"/>
      <c r="C7047" s="309"/>
      <c r="I7047" s="309"/>
      <c r="J7047" s="309"/>
    </row>
    <row r="7048">
      <c r="B7048" s="309"/>
      <c r="C7048" s="309"/>
      <c r="I7048" s="309"/>
      <c r="J7048" s="309"/>
    </row>
    <row r="7049">
      <c r="B7049" s="309"/>
      <c r="C7049" s="309"/>
      <c r="I7049" s="309"/>
      <c r="J7049" s="309"/>
    </row>
    <row r="7050">
      <c r="B7050" s="309"/>
      <c r="C7050" s="309"/>
      <c r="I7050" s="309"/>
      <c r="J7050" s="309"/>
    </row>
    <row r="7051">
      <c r="B7051" s="309"/>
      <c r="C7051" s="309"/>
      <c r="I7051" s="309"/>
      <c r="J7051" s="309"/>
    </row>
    <row r="7052">
      <c r="B7052" s="309"/>
      <c r="C7052" s="309"/>
      <c r="I7052" s="309"/>
      <c r="J7052" s="309"/>
    </row>
    <row r="7053">
      <c r="B7053" s="309"/>
      <c r="C7053" s="309"/>
      <c r="I7053" s="309"/>
      <c r="J7053" s="309"/>
    </row>
    <row r="7054">
      <c r="B7054" s="309"/>
      <c r="C7054" s="309"/>
      <c r="I7054" s="309"/>
      <c r="J7054" s="309"/>
    </row>
    <row r="7055">
      <c r="B7055" s="309"/>
      <c r="C7055" s="309"/>
      <c r="I7055" s="309"/>
      <c r="J7055" s="309"/>
    </row>
    <row r="7056">
      <c r="B7056" s="309"/>
      <c r="C7056" s="309"/>
      <c r="I7056" s="309"/>
      <c r="J7056" s="309"/>
    </row>
    <row r="7057">
      <c r="B7057" s="309"/>
      <c r="C7057" s="309"/>
      <c r="I7057" s="309"/>
      <c r="J7057" s="309"/>
    </row>
    <row r="7058">
      <c r="B7058" s="309"/>
      <c r="C7058" s="309"/>
      <c r="I7058" s="309"/>
      <c r="J7058" s="309"/>
    </row>
    <row r="7059">
      <c r="B7059" s="309"/>
      <c r="C7059" s="309"/>
      <c r="I7059" s="309"/>
      <c r="J7059" s="309"/>
    </row>
    <row r="7060">
      <c r="B7060" s="309"/>
      <c r="C7060" s="309"/>
      <c r="I7060" s="309"/>
      <c r="J7060" s="309"/>
    </row>
    <row r="7061">
      <c r="B7061" s="309"/>
      <c r="C7061" s="309"/>
      <c r="I7061" s="309"/>
      <c r="J7061" s="309"/>
    </row>
    <row r="7062">
      <c r="B7062" s="309"/>
      <c r="C7062" s="309"/>
      <c r="I7062" s="309"/>
      <c r="J7062" s="309"/>
    </row>
    <row r="7063">
      <c r="B7063" s="309"/>
      <c r="C7063" s="309"/>
      <c r="I7063" s="309"/>
      <c r="J7063" s="309"/>
    </row>
    <row r="7064">
      <c r="B7064" s="309"/>
      <c r="C7064" s="309"/>
      <c r="I7064" s="309"/>
      <c r="J7064" s="309"/>
    </row>
    <row r="7065">
      <c r="B7065" s="309"/>
      <c r="C7065" s="309"/>
      <c r="I7065" s="309"/>
      <c r="J7065" s="309"/>
    </row>
    <row r="7066">
      <c r="B7066" s="309"/>
      <c r="C7066" s="309"/>
      <c r="I7066" s="309"/>
      <c r="J7066" s="309"/>
    </row>
    <row r="7067">
      <c r="B7067" s="309"/>
      <c r="C7067" s="309"/>
      <c r="I7067" s="309"/>
      <c r="J7067" s="309"/>
    </row>
    <row r="7068">
      <c r="B7068" s="309"/>
      <c r="C7068" s="309"/>
      <c r="I7068" s="309"/>
      <c r="J7068" s="309"/>
    </row>
    <row r="7069">
      <c r="B7069" s="309"/>
      <c r="C7069" s="309"/>
      <c r="I7069" s="309"/>
      <c r="J7069" s="309"/>
    </row>
    <row r="7070">
      <c r="B7070" s="309"/>
      <c r="C7070" s="309"/>
      <c r="I7070" s="309"/>
      <c r="J7070" s="309"/>
    </row>
    <row r="7071">
      <c r="B7071" s="309"/>
      <c r="C7071" s="309"/>
      <c r="I7071" s="309"/>
      <c r="J7071" s="309"/>
    </row>
    <row r="7072">
      <c r="B7072" s="309"/>
      <c r="C7072" s="309"/>
      <c r="I7072" s="309"/>
      <c r="J7072" s="309"/>
    </row>
    <row r="7073">
      <c r="B7073" s="309"/>
      <c r="C7073" s="309"/>
      <c r="I7073" s="309"/>
      <c r="J7073" s="309"/>
    </row>
    <row r="7074">
      <c r="B7074" s="309"/>
      <c r="C7074" s="309"/>
      <c r="I7074" s="309"/>
      <c r="J7074" s="309"/>
    </row>
    <row r="7075">
      <c r="B7075" s="309"/>
      <c r="C7075" s="309"/>
      <c r="I7075" s="309"/>
      <c r="J7075" s="309"/>
    </row>
    <row r="7076">
      <c r="B7076" s="309"/>
      <c r="C7076" s="309"/>
      <c r="I7076" s="309"/>
      <c r="J7076" s="309"/>
    </row>
    <row r="7077">
      <c r="B7077" s="309"/>
      <c r="C7077" s="309"/>
      <c r="I7077" s="309"/>
      <c r="J7077" s="309"/>
    </row>
    <row r="7078">
      <c r="B7078" s="309"/>
      <c r="C7078" s="309"/>
      <c r="I7078" s="309"/>
      <c r="J7078" s="309"/>
    </row>
    <row r="7079">
      <c r="B7079" s="309"/>
      <c r="C7079" s="309"/>
      <c r="I7079" s="309"/>
      <c r="J7079" s="309"/>
    </row>
    <row r="7080">
      <c r="B7080" s="309"/>
      <c r="C7080" s="309"/>
      <c r="I7080" s="309"/>
      <c r="J7080" s="309"/>
    </row>
    <row r="7081">
      <c r="B7081" s="309"/>
      <c r="C7081" s="309"/>
      <c r="I7081" s="309"/>
      <c r="J7081" s="309"/>
    </row>
    <row r="7082">
      <c r="B7082" s="309"/>
      <c r="C7082" s="309"/>
      <c r="I7082" s="309"/>
      <c r="J7082" s="309"/>
    </row>
    <row r="7083">
      <c r="B7083" s="309"/>
      <c r="C7083" s="309"/>
      <c r="I7083" s="309"/>
      <c r="J7083" s="309"/>
    </row>
    <row r="7084">
      <c r="B7084" s="309"/>
      <c r="C7084" s="309"/>
      <c r="I7084" s="309"/>
      <c r="J7084" s="309"/>
    </row>
    <row r="7085">
      <c r="B7085" s="309"/>
      <c r="C7085" s="309"/>
      <c r="I7085" s="309"/>
      <c r="J7085" s="309"/>
    </row>
    <row r="7086">
      <c r="B7086" s="309"/>
      <c r="C7086" s="309"/>
      <c r="I7086" s="309"/>
      <c r="J7086" s="309"/>
    </row>
    <row r="7087">
      <c r="B7087" s="309"/>
      <c r="C7087" s="309"/>
      <c r="I7087" s="309"/>
      <c r="J7087" s="309"/>
    </row>
    <row r="7088">
      <c r="B7088" s="309"/>
      <c r="C7088" s="309"/>
      <c r="I7088" s="309"/>
      <c r="J7088" s="309"/>
    </row>
    <row r="7089">
      <c r="B7089" s="309"/>
      <c r="C7089" s="309"/>
      <c r="I7089" s="309"/>
      <c r="J7089" s="309"/>
    </row>
    <row r="7090">
      <c r="B7090" s="309"/>
      <c r="C7090" s="309"/>
      <c r="I7090" s="309"/>
      <c r="J7090" s="309"/>
    </row>
    <row r="7091">
      <c r="B7091" s="309"/>
      <c r="C7091" s="309"/>
      <c r="I7091" s="309"/>
      <c r="J7091" s="309"/>
    </row>
    <row r="7092">
      <c r="B7092" s="309"/>
      <c r="C7092" s="309"/>
      <c r="I7092" s="309"/>
      <c r="J7092" s="309"/>
    </row>
    <row r="7093">
      <c r="B7093" s="309"/>
      <c r="C7093" s="309"/>
      <c r="I7093" s="309"/>
      <c r="J7093" s="309"/>
    </row>
    <row r="7094">
      <c r="B7094" s="309"/>
      <c r="C7094" s="309"/>
      <c r="I7094" s="309"/>
      <c r="J7094" s="309"/>
    </row>
    <row r="7095">
      <c r="B7095" s="309"/>
      <c r="C7095" s="309"/>
      <c r="I7095" s="309"/>
      <c r="J7095" s="309"/>
    </row>
    <row r="7096">
      <c r="B7096" s="309"/>
      <c r="C7096" s="309"/>
      <c r="I7096" s="309"/>
      <c r="J7096" s="309"/>
    </row>
    <row r="7097">
      <c r="B7097" s="309"/>
      <c r="C7097" s="309"/>
      <c r="I7097" s="309"/>
      <c r="J7097" s="309"/>
    </row>
    <row r="7098">
      <c r="B7098" s="309"/>
      <c r="C7098" s="309"/>
      <c r="I7098" s="309"/>
      <c r="J7098" s="309"/>
    </row>
    <row r="7099">
      <c r="B7099" s="309"/>
      <c r="C7099" s="309"/>
      <c r="I7099" s="309"/>
      <c r="J7099" s="309"/>
    </row>
    <row r="7100">
      <c r="B7100" s="309"/>
      <c r="C7100" s="309"/>
      <c r="I7100" s="309"/>
      <c r="J7100" s="309"/>
    </row>
    <row r="7101">
      <c r="B7101" s="309"/>
      <c r="C7101" s="309"/>
      <c r="I7101" s="309"/>
      <c r="J7101" s="309"/>
    </row>
    <row r="7102">
      <c r="B7102" s="309"/>
      <c r="C7102" s="309"/>
      <c r="I7102" s="309"/>
      <c r="J7102" s="309"/>
    </row>
    <row r="7103">
      <c r="B7103" s="309"/>
      <c r="C7103" s="309"/>
      <c r="I7103" s="309"/>
      <c r="J7103" s="309"/>
    </row>
    <row r="7104">
      <c r="B7104" s="309"/>
      <c r="C7104" s="309"/>
      <c r="I7104" s="309"/>
      <c r="J7104" s="309"/>
    </row>
    <row r="7105">
      <c r="B7105" s="309"/>
      <c r="C7105" s="309"/>
      <c r="I7105" s="309"/>
      <c r="J7105" s="309"/>
    </row>
    <row r="7106">
      <c r="B7106" s="309"/>
      <c r="C7106" s="309"/>
      <c r="I7106" s="309"/>
      <c r="J7106" s="309"/>
    </row>
    <row r="7107">
      <c r="B7107" s="309"/>
      <c r="C7107" s="309"/>
      <c r="I7107" s="309"/>
      <c r="J7107" s="309"/>
    </row>
    <row r="7108">
      <c r="B7108" s="309"/>
      <c r="C7108" s="309"/>
      <c r="I7108" s="309"/>
      <c r="J7108" s="309"/>
    </row>
    <row r="7109">
      <c r="B7109" s="309"/>
      <c r="C7109" s="309"/>
      <c r="I7109" s="309"/>
      <c r="J7109" s="309"/>
    </row>
    <row r="7110">
      <c r="B7110" s="309"/>
      <c r="C7110" s="309"/>
      <c r="I7110" s="309"/>
      <c r="J7110" s="309"/>
    </row>
    <row r="7111">
      <c r="B7111" s="309"/>
      <c r="C7111" s="309"/>
      <c r="I7111" s="309"/>
      <c r="J7111" s="309"/>
    </row>
    <row r="7112">
      <c r="B7112" s="309"/>
      <c r="C7112" s="309"/>
      <c r="I7112" s="309"/>
      <c r="J7112" s="309"/>
    </row>
    <row r="7113">
      <c r="B7113" s="309"/>
      <c r="C7113" s="309"/>
      <c r="I7113" s="309"/>
      <c r="J7113" s="309"/>
    </row>
    <row r="7114">
      <c r="B7114" s="309"/>
      <c r="C7114" s="309"/>
      <c r="I7114" s="309"/>
      <c r="J7114" s="309"/>
    </row>
    <row r="7115">
      <c r="B7115" s="309"/>
      <c r="C7115" s="309"/>
      <c r="I7115" s="309"/>
      <c r="J7115" s="309"/>
    </row>
    <row r="7116">
      <c r="B7116" s="309"/>
      <c r="C7116" s="309"/>
      <c r="I7116" s="309"/>
      <c r="J7116" s="309"/>
    </row>
    <row r="7117">
      <c r="B7117" s="309"/>
      <c r="C7117" s="309"/>
      <c r="I7117" s="309"/>
      <c r="J7117" s="309"/>
    </row>
    <row r="7118">
      <c r="B7118" s="309"/>
      <c r="C7118" s="309"/>
      <c r="I7118" s="309"/>
      <c r="J7118" s="309"/>
    </row>
    <row r="7119">
      <c r="B7119" s="309"/>
      <c r="C7119" s="309"/>
      <c r="I7119" s="309"/>
      <c r="J7119" s="309"/>
    </row>
    <row r="7120">
      <c r="B7120" s="309"/>
      <c r="C7120" s="309"/>
      <c r="I7120" s="309"/>
      <c r="J7120" s="309"/>
    </row>
    <row r="7121">
      <c r="B7121" s="309"/>
      <c r="C7121" s="309"/>
      <c r="I7121" s="309"/>
      <c r="J7121" s="309"/>
    </row>
    <row r="7122">
      <c r="B7122" s="309"/>
      <c r="C7122" s="309"/>
      <c r="I7122" s="309"/>
      <c r="J7122" s="309"/>
    </row>
    <row r="7123">
      <c r="B7123" s="309"/>
      <c r="C7123" s="309"/>
      <c r="I7123" s="309"/>
      <c r="J7123" s="309"/>
    </row>
    <row r="7124">
      <c r="B7124" s="309"/>
      <c r="C7124" s="309"/>
      <c r="I7124" s="309"/>
      <c r="J7124" s="309"/>
    </row>
    <row r="7125">
      <c r="B7125" s="309"/>
      <c r="C7125" s="309"/>
      <c r="I7125" s="309"/>
      <c r="J7125" s="309"/>
    </row>
    <row r="7126">
      <c r="B7126" s="309"/>
      <c r="C7126" s="309"/>
      <c r="I7126" s="309"/>
      <c r="J7126" s="309"/>
    </row>
    <row r="7127">
      <c r="B7127" s="309"/>
      <c r="C7127" s="309"/>
      <c r="I7127" s="309"/>
      <c r="J7127" s="309"/>
    </row>
    <row r="7128">
      <c r="B7128" s="309"/>
      <c r="C7128" s="309"/>
      <c r="I7128" s="309"/>
      <c r="J7128" s="309"/>
    </row>
    <row r="7129">
      <c r="B7129" s="309"/>
      <c r="C7129" s="309"/>
      <c r="I7129" s="309"/>
      <c r="J7129" s="309"/>
    </row>
    <row r="7130">
      <c r="B7130" s="309"/>
      <c r="C7130" s="309"/>
      <c r="I7130" s="309"/>
      <c r="J7130" s="309"/>
    </row>
    <row r="7131">
      <c r="B7131" s="309"/>
      <c r="C7131" s="309"/>
      <c r="I7131" s="309"/>
      <c r="J7131" s="309"/>
    </row>
    <row r="7132">
      <c r="B7132" s="309"/>
      <c r="C7132" s="309"/>
      <c r="I7132" s="309"/>
      <c r="J7132" s="309"/>
    </row>
    <row r="7133">
      <c r="B7133" s="309"/>
      <c r="C7133" s="309"/>
      <c r="I7133" s="309"/>
      <c r="J7133" s="309"/>
    </row>
    <row r="7134">
      <c r="B7134" s="309"/>
      <c r="C7134" s="309"/>
      <c r="I7134" s="309"/>
      <c r="J7134" s="309"/>
    </row>
    <row r="7135">
      <c r="B7135" s="309"/>
      <c r="C7135" s="309"/>
      <c r="I7135" s="309"/>
      <c r="J7135" s="309"/>
    </row>
    <row r="7136">
      <c r="B7136" s="309"/>
      <c r="C7136" s="309"/>
      <c r="I7136" s="309"/>
      <c r="J7136" s="309"/>
    </row>
    <row r="7137">
      <c r="B7137" s="309"/>
      <c r="C7137" s="309"/>
      <c r="I7137" s="309"/>
      <c r="J7137" s="309"/>
    </row>
    <row r="7138">
      <c r="B7138" s="309"/>
      <c r="C7138" s="309"/>
      <c r="I7138" s="309"/>
      <c r="J7138" s="309"/>
    </row>
    <row r="7139">
      <c r="B7139" s="309"/>
      <c r="C7139" s="309"/>
      <c r="I7139" s="309"/>
      <c r="J7139" s="309"/>
    </row>
    <row r="7140">
      <c r="B7140" s="309"/>
      <c r="C7140" s="309"/>
      <c r="I7140" s="309"/>
      <c r="J7140" s="309"/>
    </row>
    <row r="7141">
      <c r="B7141" s="309"/>
      <c r="C7141" s="309"/>
      <c r="I7141" s="309"/>
      <c r="J7141" s="309"/>
    </row>
    <row r="7142">
      <c r="B7142" s="309"/>
      <c r="C7142" s="309"/>
      <c r="I7142" s="309"/>
      <c r="J7142" s="309"/>
    </row>
    <row r="7143">
      <c r="B7143" s="309"/>
      <c r="C7143" s="309"/>
      <c r="I7143" s="309"/>
      <c r="J7143" s="309"/>
    </row>
    <row r="7144">
      <c r="B7144" s="309"/>
      <c r="C7144" s="309"/>
      <c r="I7144" s="309"/>
      <c r="J7144" s="309"/>
    </row>
    <row r="7145">
      <c r="B7145" s="309"/>
      <c r="C7145" s="309"/>
      <c r="I7145" s="309"/>
      <c r="J7145" s="309"/>
    </row>
    <row r="7146">
      <c r="B7146" s="309"/>
      <c r="C7146" s="309"/>
      <c r="I7146" s="309"/>
      <c r="J7146" s="309"/>
    </row>
    <row r="7147">
      <c r="B7147" s="309"/>
      <c r="C7147" s="309"/>
      <c r="I7147" s="309"/>
      <c r="J7147" s="309"/>
    </row>
    <row r="7148">
      <c r="B7148" s="309"/>
      <c r="C7148" s="309"/>
      <c r="I7148" s="309"/>
      <c r="J7148" s="309"/>
    </row>
    <row r="7149">
      <c r="B7149" s="309"/>
      <c r="C7149" s="309"/>
      <c r="I7149" s="309"/>
      <c r="J7149" s="309"/>
    </row>
    <row r="7150">
      <c r="B7150" s="309"/>
      <c r="C7150" s="309"/>
      <c r="I7150" s="309"/>
      <c r="J7150" s="309"/>
    </row>
    <row r="7151">
      <c r="B7151" s="309"/>
      <c r="C7151" s="309"/>
      <c r="I7151" s="309"/>
      <c r="J7151" s="309"/>
    </row>
    <row r="7152">
      <c r="B7152" s="309"/>
      <c r="C7152" s="309"/>
      <c r="I7152" s="309"/>
      <c r="J7152" s="309"/>
    </row>
    <row r="7153">
      <c r="B7153" s="309"/>
      <c r="C7153" s="309"/>
      <c r="I7153" s="309"/>
      <c r="J7153" s="309"/>
    </row>
    <row r="7154">
      <c r="B7154" s="309"/>
      <c r="C7154" s="309"/>
      <c r="I7154" s="309"/>
      <c r="J7154" s="309"/>
    </row>
    <row r="7155">
      <c r="B7155" s="309"/>
      <c r="C7155" s="309"/>
      <c r="I7155" s="309"/>
      <c r="J7155" s="309"/>
    </row>
    <row r="7156">
      <c r="B7156" s="309"/>
      <c r="C7156" s="309"/>
      <c r="I7156" s="309"/>
      <c r="J7156" s="309"/>
    </row>
    <row r="7157">
      <c r="B7157" s="309"/>
      <c r="C7157" s="309"/>
      <c r="I7157" s="309"/>
      <c r="J7157" s="309"/>
    </row>
    <row r="7158">
      <c r="B7158" s="309"/>
      <c r="C7158" s="309"/>
      <c r="I7158" s="309"/>
      <c r="J7158" s="309"/>
    </row>
    <row r="7159">
      <c r="B7159" s="309"/>
      <c r="C7159" s="309"/>
      <c r="I7159" s="309"/>
      <c r="J7159" s="309"/>
    </row>
    <row r="7160">
      <c r="B7160" s="309"/>
      <c r="C7160" s="309"/>
      <c r="I7160" s="309"/>
      <c r="J7160" s="309"/>
    </row>
    <row r="7161">
      <c r="B7161" s="309"/>
      <c r="C7161" s="309"/>
      <c r="I7161" s="309"/>
      <c r="J7161" s="309"/>
    </row>
    <row r="7162">
      <c r="B7162" s="309"/>
      <c r="C7162" s="309"/>
      <c r="I7162" s="309"/>
      <c r="J7162" s="309"/>
    </row>
    <row r="7163">
      <c r="B7163" s="309"/>
      <c r="C7163" s="309"/>
      <c r="I7163" s="309"/>
      <c r="J7163" s="309"/>
    </row>
    <row r="7164">
      <c r="B7164" s="309"/>
      <c r="C7164" s="309"/>
      <c r="I7164" s="309"/>
      <c r="J7164" s="309"/>
    </row>
    <row r="7165">
      <c r="B7165" s="309"/>
      <c r="C7165" s="309"/>
      <c r="I7165" s="309"/>
      <c r="J7165" s="309"/>
    </row>
    <row r="7166">
      <c r="B7166" s="309"/>
      <c r="C7166" s="309"/>
      <c r="I7166" s="309"/>
      <c r="J7166" s="309"/>
    </row>
    <row r="7167">
      <c r="B7167" s="309"/>
      <c r="C7167" s="309"/>
      <c r="I7167" s="309"/>
      <c r="J7167" s="309"/>
    </row>
    <row r="7168">
      <c r="B7168" s="309"/>
      <c r="C7168" s="309"/>
      <c r="I7168" s="309"/>
      <c r="J7168" s="309"/>
    </row>
    <row r="7169">
      <c r="B7169" s="309"/>
      <c r="C7169" s="309"/>
      <c r="I7169" s="309"/>
      <c r="J7169" s="309"/>
    </row>
    <row r="7170">
      <c r="B7170" s="309"/>
      <c r="C7170" s="309"/>
      <c r="I7170" s="309"/>
      <c r="J7170" s="309"/>
    </row>
    <row r="7171">
      <c r="B7171" s="309"/>
      <c r="C7171" s="309"/>
      <c r="I7171" s="309"/>
      <c r="J7171" s="309"/>
    </row>
    <row r="7172">
      <c r="B7172" s="309"/>
      <c r="C7172" s="309"/>
      <c r="I7172" s="309"/>
      <c r="J7172" s="309"/>
    </row>
    <row r="7173">
      <c r="B7173" s="309"/>
      <c r="C7173" s="309"/>
      <c r="I7173" s="309"/>
      <c r="J7173" s="309"/>
    </row>
    <row r="7174">
      <c r="B7174" s="309"/>
      <c r="C7174" s="309"/>
      <c r="I7174" s="309"/>
      <c r="J7174" s="309"/>
    </row>
    <row r="7175">
      <c r="B7175" s="309"/>
      <c r="C7175" s="309"/>
      <c r="I7175" s="309"/>
      <c r="J7175" s="309"/>
    </row>
    <row r="7176">
      <c r="B7176" s="309"/>
      <c r="C7176" s="309"/>
      <c r="I7176" s="309"/>
      <c r="J7176" s="309"/>
    </row>
    <row r="7177">
      <c r="B7177" s="309"/>
      <c r="C7177" s="309"/>
      <c r="I7177" s="309"/>
      <c r="J7177" s="309"/>
    </row>
    <row r="7178">
      <c r="B7178" s="309"/>
      <c r="C7178" s="309"/>
      <c r="I7178" s="309"/>
      <c r="J7178" s="309"/>
    </row>
    <row r="7179">
      <c r="B7179" s="309"/>
      <c r="C7179" s="309"/>
      <c r="I7179" s="309"/>
      <c r="J7179" s="309"/>
    </row>
    <row r="7180">
      <c r="B7180" s="309"/>
      <c r="C7180" s="309"/>
      <c r="I7180" s="309"/>
      <c r="J7180" s="309"/>
    </row>
    <row r="7181">
      <c r="B7181" s="309"/>
      <c r="C7181" s="309"/>
      <c r="I7181" s="309"/>
      <c r="J7181" s="309"/>
    </row>
    <row r="7182">
      <c r="B7182" s="309"/>
      <c r="C7182" s="309"/>
      <c r="I7182" s="309"/>
      <c r="J7182" s="309"/>
    </row>
    <row r="7183">
      <c r="B7183" s="309"/>
      <c r="C7183" s="309"/>
      <c r="I7183" s="309"/>
      <c r="J7183" s="309"/>
    </row>
    <row r="7184">
      <c r="B7184" s="309"/>
      <c r="C7184" s="309"/>
      <c r="I7184" s="309"/>
      <c r="J7184" s="309"/>
    </row>
    <row r="7185">
      <c r="B7185" s="309"/>
      <c r="C7185" s="309"/>
      <c r="I7185" s="309"/>
      <c r="J7185" s="309"/>
    </row>
    <row r="7186">
      <c r="B7186" s="309"/>
      <c r="C7186" s="309"/>
      <c r="I7186" s="309"/>
      <c r="J7186" s="309"/>
    </row>
    <row r="7187">
      <c r="B7187" s="309"/>
      <c r="C7187" s="309"/>
      <c r="I7187" s="309"/>
      <c r="J7187" s="309"/>
    </row>
    <row r="7188">
      <c r="B7188" s="309"/>
      <c r="C7188" s="309"/>
      <c r="I7188" s="309"/>
      <c r="J7188" s="309"/>
    </row>
    <row r="7189">
      <c r="B7189" s="309"/>
      <c r="C7189" s="309"/>
      <c r="I7189" s="309"/>
      <c r="J7189" s="309"/>
    </row>
    <row r="7190">
      <c r="B7190" s="309"/>
      <c r="C7190" s="309"/>
      <c r="I7190" s="309"/>
      <c r="J7190" s="309"/>
    </row>
    <row r="7191">
      <c r="B7191" s="309"/>
      <c r="C7191" s="309"/>
      <c r="I7191" s="309"/>
      <c r="J7191" s="309"/>
    </row>
    <row r="7192">
      <c r="B7192" s="309"/>
      <c r="C7192" s="309"/>
      <c r="I7192" s="309"/>
      <c r="J7192" s="309"/>
    </row>
    <row r="7193">
      <c r="B7193" s="309"/>
      <c r="C7193" s="309"/>
      <c r="I7193" s="309"/>
      <c r="J7193" s="309"/>
    </row>
    <row r="7194">
      <c r="B7194" s="309"/>
      <c r="C7194" s="309"/>
      <c r="I7194" s="309"/>
      <c r="J7194" s="309"/>
    </row>
    <row r="7195">
      <c r="B7195" s="309"/>
      <c r="C7195" s="309"/>
      <c r="I7195" s="309"/>
      <c r="J7195" s="309"/>
    </row>
    <row r="7196">
      <c r="B7196" s="309"/>
      <c r="C7196" s="309"/>
      <c r="I7196" s="309"/>
      <c r="J7196" s="309"/>
    </row>
    <row r="7197">
      <c r="B7197" s="309"/>
      <c r="C7197" s="309"/>
      <c r="I7197" s="309"/>
      <c r="J7197" s="309"/>
    </row>
    <row r="7198">
      <c r="B7198" s="309"/>
      <c r="C7198" s="309"/>
      <c r="I7198" s="309"/>
      <c r="J7198" s="309"/>
    </row>
    <row r="7199">
      <c r="B7199" s="309"/>
      <c r="C7199" s="309"/>
      <c r="I7199" s="309"/>
      <c r="J7199" s="309"/>
    </row>
    <row r="7200">
      <c r="B7200" s="309"/>
      <c r="C7200" s="309"/>
      <c r="I7200" s="309"/>
      <c r="J7200" s="309"/>
    </row>
    <row r="7201">
      <c r="B7201" s="309"/>
      <c r="C7201" s="309"/>
      <c r="I7201" s="309"/>
      <c r="J7201" s="309"/>
    </row>
    <row r="7202">
      <c r="B7202" s="309"/>
      <c r="C7202" s="309"/>
      <c r="I7202" s="309"/>
      <c r="J7202" s="309"/>
    </row>
    <row r="7203">
      <c r="B7203" s="309"/>
      <c r="C7203" s="309"/>
      <c r="I7203" s="309"/>
      <c r="J7203" s="309"/>
    </row>
    <row r="7204">
      <c r="B7204" s="309"/>
      <c r="C7204" s="309"/>
      <c r="I7204" s="309"/>
      <c r="J7204" s="309"/>
    </row>
    <row r="7205">
      <c r="B7205" s="309"/>
      <c r="C7205" s="309"/>
      <c r="I7205" s="309"/>
      <c r="J7205" s="309"/>
    </row>
    <row r="7206">
      <c r="B7206" s="309"/>
      <c r="C7206" s="309"/>
      <c r="I7206" s="309"/>
      <c r="J7206" s="309"/>
    </row>
    <row r="7207">
      <c r="B7207" s="309"/>
      <c r="C7207" s="309"/>
      <c r="I7207" s="309"/>
      <c r="J7207" s="309"/>
    </row>
    <row r="7208">
      <c r="B7208" s="309"/>
      <c r="C7208" s="309"/>
      <c r="I7208" s="309"/>
      <c r="J7208" s="309"/>
    </row>
    <row r="7209">
      <c r="B7209" s="309"/>
      <c r="C7209" s="309"/>
      <c r="I7209" s="309"/>
      <c r="J7209" s="309"/>
    </row>
    <row r="7210">
      <c r="B7210" s="309"/>
      <c r="C7210" s="309"/>
      <c r="I7210" s="309"/>
      <c r="J7210" s="309"/>
    </row>
    <row r="7211">
      <c r="B7211" s="309"/>
      <c r="C7211" s="309"/>
      <c r="I7211" s="309"/>
      <c r="J7211" s="309"/>
    </row>
    <row r="7212">
      <c r="B7212" s="309"/>
      <c r="C7212" s="309"/>
      <c r="I7212" s="309"/>
      <c r="J7212" s="309"/>
    </row>
    <row r="7213">
      <c r="B7213" s="309"/>
      <c r="C7213" s="309"/>
      <c r="I7213" s="309"/>
      <c r="J7213" s="309"/>
    </row>
    <row r="7214">
      <c r="B7214" s="309"/>
      <c r="C7214" s="309"/>
      <c r="I7214" s="309"/>
      <c r="J7214" s="309"/>
    </row>
    <row r="7215">
      <c r="B7215" s="309"/>
      <c r="C7215" s="309"/>
      <c r="I7215" s="309"/>
      <c r="J7215" s="309"/>
    </row>
    <row r="7216">
      <c r="B7216" s="309"/>
      <c r="C7216" s="309"/>
      <c r="I7216" s="309"/>
      <c r="J7216" s="309"/>
    </row>
    <row r="7217">
      <c r="B7217" s="309"/>
      <c r="C7217" s="309"/>
      <c r="I7217" s="309"/>
      <c r="J7217" s="309"/>
    </row>
    <row r="7218">
      <c r="B7218" s="309"/>
      <c r="C7218" s="309"/>
      <c r="I7218" s="309"/>
      <c r="J7218" s="309"/>
    </row>
    <row r="7219">
      <c r="B7219" s="309"/>
      <c r="C7219" s="309"/>
      <c r="I7219" s="309"/>
      <c r="J7219" s="309"/>
    </row>
    <row r="7220">
      <c r="B7220" s="309"/>
      <c r="C7220" s="309"/>
      <c r="I7220" s="309"/>
      <c r="J7220" s="309"/>
    </row>
    <row r="7221">
      <c r="B7221" s="309"/>
      <c r="C7221" s="309"/>
      <c r="I7221" s="309"/>
      <c r="J7221" s="309"/>
    </row>
    <row r="7222">
      <c r="B7222" s="309"/>
      <c r="C7222" s="309"/>
      <c r="I7222" s="309"/>
      <c r="J7222" s="309"/>
    </row>
    <row r="7223">
      <c r="B7223" s="309"/>
      <c r="C7223" s="309"/>
      <c r="I7223" s="309"/>
      <c r="J7223" s="309"/>
    </row>
    <row r="7224">
      <c r="B7224" s="309"/>
      <c r="C7224" s="309"/>
      <c r="I7224" s="309"/>
      <c r="J7224" s="309"/>
    </row>
    <row r="7225">
      <c r="B7225" s="309"/>
      <c r="C7225" s="309"/>
      <c r="I7225" s="309"/>
      <c r="J7225" s="309"/>
    </row>
    <row r="7226">
      <c r="B7226" s="309"/>
      <c r="C7226" s="309"/>
      <c r="I7226" s="309"/>
      <c r="J7226" s="309"/>
    </row>
    <row r="7227">
      <c r="B7227" s="309"/>
      <c r="C7227" s="309"/>
      <c r="I7227" s="309"/>
      <c r="J7227" s="309"/>
    </row>
    <row r="7228">
      <c r="B7228" s="309"/>
      <c r="C7228" s="309"/>
      <c r="I7228" s="309"/>
      <c r="J7228" s="309"/>
    </row>
    <row r="7229">
      <c r="B7229" s="309"/>
      <c r="C7229" s="309"/>
      <c r="I7229" s="309"/>
      <c r="J7229" s="309"/>
    </row>
    <row r="7230">
      <c r="B7230" s="309"/>
      <c r="C7230" s="309"/>
      <c r="I7230" s="309"/>
      <c r="J7230" s="309"/>
    </row>
    <row r="7231">
      <c r="B7231" s="309"/>
      <c r="C7231" s="309"/>
      <c r="I7231" s="309"/>
      <c r="J7231" s="309"/>
    </row>
    <row r="7232">
      <c r="B7232" s="309"/>
      <c r="C7232" s="309"/>
      <c r="I7232" s="309"/>
      <c r="J7232" s="309"/>
    </row>
    <row r="7233">
      <c r="B7233" s="309"/>
      <c r="C7233" s="309"/>
      <c r="I7233" s="309"/>
      <c r="J7233" s="309"/>
    </row>
    <row r="7234">
      <c r="B7234" s="309"/>
      <c r="C7234" s="309"/>
      <c r="I7234" s="309"/>
      <c r="J7234" s="309"/>
    </row>
    <row r="7235">
      <c r="B7235" s="309"/>
      <c r="C7235" s="309"/>
      <c r="I7235" s="309"/>
      <c r="J7235" s="309"/>
    </row>
    <row r="7236">
      <c r="B7236" s="309"/>
      <c r="C7236" s="309"/>
      <c r="I7236" s="309"/>
      <c r="J7236" s="309"/>
    </row>
    <row r="7237">
      <c r="B7237" s="309"/>
      <c r="C7237" s="309"/>
      <c r="I7237" s="309"/>
      <c r="J7237" s="309"/>
    </row>
    <row r="7238">
      <c r="B7238" s="309"/>
      <c r="C7238" s="309"/>
      <c r="I7238" s="309"/>
      <c r="J7238" s="309"/>
    </row>
    <row r="7239">
      <c r="B7239" s="309"/>
      <c r="C7239" s="309"/>
      <c r="I7239" s="309"/>
      <c r="J7239" s="309"/>
    </row>
    <row r="7240">
      <c r="B7240" s="309"/>
      <c r="C7240" s="309"/>
      <c r="I7240" s="309"/>
      <c r="J7240" s="309"/>
    </row>
    <row r="7241">
      <c r="B7241" s="309"/>
      <c r="C7241" s="309"/>
      <c r="I7241" s="309"/>
      <c r="J7241" s="309"/>
    </row>
    <row r="7242">
      <c r="B7242" s="309"/>
      <c r="C7242" s="309"/>
      <c r="I7242" s="309"/>
      <c r="J7242" s="309"/>
    </row>
    <row r="7243">
      <c r="B7243" s="309"/>
      <c r="C7243" s="309"/>
      <c r="I7243" s="309"/>
      <c r="J7243" s="309"/>
    </row>
    <row r="7244">
      <c r="B7244" s="309"/>
      <c r="C7244" s="309"/>
      <c r="I7244" s="309"/>
      <c r="J7244" s="309"/>
    </row>
    <row r="7245">
      <c r="B7245" s="309"/>
      <c r="C7245" s="309"/>
      <c r="I7245" s="309"/>
      <c r="J7245" s="309"/>
    </row>
    <row r="7246">
      <c r="B7246" s="309"/>
      <c r="C7246" s="309"/>
      <c r="I7246" s="309"/>
      <c r="J7246" s="309"/>
    </row>
    <row r="7247">
      <c r="B7247" s="309"/>
      <c r="C7247" s="309"/>
      <c r="I7247" s="309"/>
      <c r="J7247" s="309"/>
    </row>
    <row r="7248">
      <c r="B7248" s="309"/>
      <c r="C7248" s="309"/>
      <c r="I7248" s="309"/>
      <c r="J7248" s="309"/>
    </row>
    <row r="7249">
      <c r="B7249" s="309"/>
      <c r="C7249" s="309"/>
      <c r="I7249" s="309"/>
      <c r="J7249" s="309"/>
    </row>
    <row r="7250">
      <c r="B7250" s="309"/>
      <c r="C7250" s="309"/>
      <c r="I7250" s="309"/>
      <c r="J7250" s="309"/>
    </row>
    <row r="7251">
      <c r="B7251" s="309"/>
      <c r="C7251" s="309"/>
      <c r="I7251" s="309"/>
      <c r="J7251" s="309"/>
    </row>
    <row r="7252">
      <c r="B7252" s="309"/>
      <c r="C7252" s="309"/>
      <c r="I7252" s="309"/>
      <c r="J7252" s="309"/>
    </row>
    <row r="7253">
      <c r="B7253" s="309"/>
      <c r="C7253" s="309"/>
      <c r="I7253" s="309"/>
      <c r="J7253" s="309"/>
    </row>
    <row r="7254">
      <c r="B7254" s="309"/>
      <c r="C7254" s="309"/>
      <c r="I7254" s="309"/>
      <c r="J7254" s="309"/>
    </row>
    <row r="7255">
      <c r="B7255" s="309"/>
      <c r="C7255" s="309"/>
      <c r="I7255" s="309"/>
      <c r="J7255" s="309"/>
    </row>
    <row r="7256">
      <c r="B7256" s="309"/>
      <c r="C7256" s="309"/>
      <c r="I7256" s="309"/>
      <c r="J7256" s="309"/>
    </row>
    <row r="7257">
      <c r="B7257" s="309"/>
      <c r="C7257" s="309"/>
      <c r="I7257" s="309"/>
      <c r="J7257" s="309"/>
    </row>
    <row r="7258">
      <c r="B7258" s="309"/>
      <c r="C7258" s="309"/>
      <c r="I7258" s="309"/>
      <c r="J7258" s="309"/>
    </row>
    <row r="7259">
      <c r="B7259" s="309"/>
      <c r="C7259" s="309"/>
      <c r="I7259" s="309"/>
      <c r="J7259" s="309"/>
    </row>
    <row r="7260">
      <c r="B7260" s="309"/>
      <c r="C7260" s="309"/>
      <c r="I7260" s="309"/>
      <c r="J7260" s="309"/>
    </row>
    <row r="7261">
      <c r="B7261" s="309"/>
      <c r="C7261" s="309"/>
      <c r="I7261" s="309"/>
      <c r="J7261" s="309"/>
    </row>
    <row r="7262">
      <c r="B7262" s="309"/>
      <c r="C7262" s="309"/>
      <c r="I7262" s="309"/>
      <c r="J7262" s="309"/>
    </row>
    <row r="7263">
      <c r="B7263" s="309"/>
      <c r="C7263" s="309"/>
      <c r="I7263" s="309"/>
      <c r="J7263" s="309"/>
    </row>
    <row r="7264">
      <c r="B7264" s="309"/>
      <c r="C7264" s="309"/>
      <c r="I7264" s="309"/>
      <c r="J7264" s="309"/>
    </row>
    <row r="7265">
      <c r="B7265" s="309"/>
      <c r="C7265" s="309"/>
      <c r="I7265" s="309"/>
      <c r="J7265" s="309"/>
    </row>
    <row r="7266">
      <c r="B7266" s="309"/>
      <c r="C7266" s="309"/>
      <c r="I7266" s="309"/>
      <c r="J7266" s="309"/>
    </row>
    <row r="7267">
      <c r="B7267" s="309"/>
      <c r="C7267" s="309"/>
      <c r="I7267" s="309"/>
      <c r="J7267" s="309"/>
    </row>
    <row r="7268">
      <c r="B7268" s="309"/>
      <c r="C7268" s="309"/>
      <c r="I7268" s="309"/>
      <c r="J7268" s="309"/>
    </row>
    <row r="7269">
      <c r="B7269" s="309"/>
      <c r="C7269" s="309"/>
      <c r="I7269" s="309"/>
      <c r="J7269" s="309"/>
    </row>
    <row r="7270">
      <c r="B7270" s="309"/>
      <c r="C7270" s="309"/>
      <c r="I7270" s="309"/>
      <c r="J7270" s="309"/>
    </row>
    <row r="7271">
      <c r="B7271" s="309"/>
      <c r="C7271" s="309"/>
      <c r="I7271" s="309"/>
      <c r="J7271" s="309"/>
    </row>
    <row r="7272">
      <c r="B7272" s="309"/>
      <c r="C7272" s="309"/>
      <c r="I7272" s="309"/>
      <c r="J7272" s="309"/>
    </row>
    <row r="7273">
      <c r="B7273" s="309"/>
      <c r="C7273" s="309"/>
      <c r="I7273" s="309"/>
      <c r="J7273" s="309"/>
    </row>
    <row r="7274">
      <c r="B7274" s="309"/>
      <c r="C7274" s="309"/>
      <c r="I7274" s="309"/>
      <c r="J7274" s="309"/>
    </row>
    <row r="7275">
      <c r="B7275" s="309"/>
      <c r="C7275" s="309"/>
      <c r="I7275" s="309"/>
      <c r="J7275" s="309"/>
    </row>
    <row r="7276">
      <c r="B7276" s="309"/>
      <c r="C7276" s="309"/>
      <c r="I7276" s="309"/>
      <c r="J7276" s="309"/>
    </row>
    <row r="7277">
      <c r="B7277" s="309"/>
      <c r="C7277" s="309"/>
      <c r="I7277" s="309"/>
      <c r="J7277" s="309"/>
    </row>
    <row r="7278">
      <c r="B7278" s="309"/>
      <c r="C7278" s="309"/>
      <c r="I7278" s="309"/>
      <c r="J7278" s="309"/>
    </row>
    <row r="7279">
      <c r="B7279" s="309"/>
      <c r="C7279" s="309"/>
      <c r="I7279" s="309"/>
      <c r="J7279" s="309"/>
    </row>
    <row r="7280">
      <c r="B7280" s="309"/>
      <c r="C7280" s="309"/>
      <c r="I7280" s="309"/>
      <c r="J7280" s="309"/>
    </row>
    <row r="7281">
      <c r="B7281" s="309"/>
      <c r="C7281" s="309"/>
      <c r="I7281" s="309"/>
      <c r="J7281" s="309"/>
    </row>
    <row r="7282">
      <c r="B7282" s="309"/>
      <c r="C7282" s="309"/>
      <c r="I7282" s="309"/>
      <c r="J7282" s="309"/>
    </row>
    <row r="7283">
      <c r="B7283" s="309"/>
      <c r="C7283" s="309"/>
      <c r="I7283" s="309"/>
      <c r="J7283" s="309"/>
    </row>
    <row r="7284">
      <c r="B7284" s="309"/>
      <c r="C7284" s="309"/>
      <c r="I7284" s="309"/>
      <c r="J7284" s="309"/>
    </row>
    <row r="7285">
      <c r="B7285" s="309"/>
      <c r="C7285" s="309"/>
      <c r="I7285" s="309"/>
      <c r="J7285" s="309"/>
    </row>
    <row r="7286">
      <c r="B7286" s="309"/>
      <c r="C7286" s="309"/>
      <c r="I7286" s="309"/>
      <c r="J7286" s="309"/>
    </row>
    <row r="7287">
      <c r="B7287" s="309"/>
      <c r="C7287" s="309"/>
      <c r="I7287" s="309"/>
      <c r="J7287" s="309"/>
    </row>
    <row r="7288">
      <c r="B7288" s="309"/>
      <c r="C7288" s="309"/>
      <c r="I7288" s="309"/>
      <c r="J7288" s="309"/>
    </row>
    <row r="7289">
      <c r="B7289" s="309"/>
      <c r="C7289" s="309"/>
      <c r="I7289" s="309"/>
      <c r="J7289" s="309"/>
    </row>
    <row r="7290">
      <c r="B7290" s="309"/>
      <c r="C7290" s="309"/>
      <c r="I7290" s="309"/>
      <c r="J7290" s="309"/>
    </row>
    <row r="7291">
      <c r="B7291" s="309"/>
      <c r="C7291" s="309"/>
      <c r="I7291" s="309"/>
      <c r="J7291" s="309"/>
    </row>
    <row r="7292">
      <c r="B7292" s="309"/>
      <c r="C7292" s="309"/>
      <c r="I7292" s="309"/>
      <c r="J7292" s="309"/>
    </row>
    <row r="7293">
      <c r="B7293" s="309"/>
      <c r="C7293" s="309"/>
      <c r="I7293" s="309"/>
      <c r="J7293" s="309"/>
    </row>
    <row r="7294">
      <c r="B7294" s="309"/>
      <c r="C7294" s="309"/>
      <c r="I7294" s="309"/>
      <c r="J7294" s="309"/>
    </row>
    <row r="7295">
      <c r="B7295" s="309"/>
      <c r="C7295" s="309"/>
      <c r="I7295" s="309"/>
      <c r="J7295" s="309"/>
    </row>
    <row r="7296">
      <c r="B7296" s="309"/>
      <c r="C7296" s="309"/>
      <c r="I7296" s="309"/>
      <c r="J7296" s="309"/>
    </row>
    <row r="7297">
      <c r="B7297" s="309"/>
      <c r="C7297" s="309"/>
      <c r="I7297" s="309"/>
      <c r="J7297" s="309"/>
    </row>
    <row r="7298">
      <c r="B7298" s="309"/>
      <c r="C7298" s="309"/>
      <c r="I7298" s="309"/>
      <c r="J7298" s="309"/>
    </row>
    <row r="7299">
      <c r="B7299" s="309"/>
      <c r="C7299" s="309"/>
      <c r="I7299" s="309"/>
      <c r="J7299" s="309"/>
    </row>
    <row r="7300">
      <c r="B7300" s="309"/>
      <c r="C7300" s="309"/>
      <c r="I7300" s="309"/>
      <c r="J7300" s="309"/>
    </row>
    <row r="7301">
      <c r="B7301" s="309"/>
      <c r="C7301" s="309"/>
      <c r="I7301" s="309"/>
      <c r="J7301" s="309"/>
    </row>
    <row r="7302">
      <c r="B7302" s="309"/>
      <c r="C7302" s="309"/>
      <c r="I7302" s="309"/>
      <c r="J7302" s="309"/>
    </row>
    <row r="7303">
      <c r="B7303" s="309"/>
      <c r="C7303" s="309"/>
      <c r="I7303" s="309"/>
      <c r="J7303" s="309"/>
    </row>
    <row r="7304">
      <c r="B7304" s="309"/>
      <c r="C7304" s="309"/>
      <c r="I7304" s="309"/>
      <c r="J7304" s="309"/>
    </row>
    <row r="7305">
      <c r="B7305" s="309"/>
      <c r="C7305" s="309"/>
      <c r="I7305" s="309"/>
      <c r="J7305" s="309"/>
    </row>
    <row r="7306">
      <c r="B7306" s="309"/>
      <c r="C7306" s="309"/>
      <c r="I7306" s="309"/>
      <c r="J7306" s="309"/>
    </row>
    <row r="7307">
      <c r="B7307" s="309"/>
      <c r="C7307" s="309"/>
      <c r="I7307" s="309"/>
      <c r="J7307" s="309"/>
    </row>
    <row r="7308">
      <c r="B7308" s="309"/>
      <c r="C7308" s="309"/>
      <c r="I7308" s="309"/>
      <c r="J7308" s="309"/>
    </row>
    <row r="7309">
      <c r="B7309" s="309"/>
      <c r="C7309" s="309"/>
      <c r="I7309" s="309"/>
      <c r="J7309" s="309"/>
    </row>
    <row r="7310">
      <c r="B7310" s="309"/>
      <c r="C7310" s="309"/>
      <c r="I7310" s="309"/>
      <c r="J7310" s="309"/>
    </row>
    <row r="7311">
      <c r="B7311" s="309"/>
      <c r="C7311" s="309"/>
      <c r="I7311" s="309"/>
      <c r="J7311" s="309"/>
    </row>
    <row r="7312">
      <c r="B7312" s="309"/>
      <c r="C7312" s="309"/>
      <c r="I7312" s="309"/>
      <c r="J7312" s="309"/>
    </row>
    <row r="7313">
      <c r="B7313" s="309"/>
      <c r="C7313" s="309"/>
      <c r="I7313" s="309"/>
      <c r="J7313" s="309"/>
    </row>
    <row r="7314">
      <c r="B7314" s="309"/>
      <c r="C7314" s="309"/>
      <c r="I7314" s="309"/>
      <c r="J7314" s="309"/>
    </row>
    <row r="7315">
      <c r="B7315" s="309"/>
      <c r="C7315" s="309"/>
      <c r="I7315" s="309"/>
      <c r="J7315" s="309"/>
    </row>
    <row r="7316">
      <c r="B7316" s="309"/>
      <c r="C7316" s="309"/>
      <c r="I7316" s="309"/>
      <c r="J7316" s="309"/>
    </row>
    <row r="7317">
      <c r="B7317" s="309"/>
      <c r="C7317" s="309"/>
      <c r="I7317" s="309"/>
      <c r="J7317" s="309"/>
    </row>
    <row r="7318">
      <c r="B7318" s="309"/>
      <c r="C7318" s="309"/>
      <c r="I7318" s="309"/>
      <c r="J7318" s="309"/>
    </row>
    <row r="7319">
      <c r="B7319" s="309"/>
      <c r="C7319" s="309"/>
      <c r="I7319" s="309"/>
      <c r="J7319" s="309"/>
    </row>
    <row r="7320">
      <c r="B7320" s="309"/>
      <c r="C7320" s="309"/>
      <c r="I7320" s="309"/>
      <c r="J7320" s="309"/>
    </row>
    <row r="7321">
      <c r="B7321" s="309"/>
      <c r="C7321" s="309"/>
      <c r="I7321" s="309"/>
      <c r="J7321" s="309"/>
    </row>
    <row r="7322">
      <c r="B7322" s="309"/>
      <c r="C7322" s="309"/>
      <c r="I7322" s="309"/>
      <c r="J7322" s="309"/>
    </row>
    <row r="7323">
      <c r="B7323" s="309"/>
      <c r="C7323" s="309"/>
      <c r="I7323" s="309"/>
      <c r="J7323" s="309"/>
    </row>
    <row r="7324">
      <c r="B7324" s="309"/>
      <c r="C7324" s="309"/>
      <c r="I7324" s="309"/>
      <c r="J7324" s="309"/>
    </row>
    <row r="7325">
      <c r="B7325" s="309"/>
      <c r="C7325" s="309"/>
      <c r="I7325" s="309"/>
      <c r="J7325" s="309"/>
    </row>
    <row r="7326">
      <c r="B7326" s="309"/>
      <c r="C7326" s="309"/>
      <c r="I7326" s="309"/>
      <c r="J7326" s="309"/>
    </row>
    <row r="7327">
      <c r="B7327" s="309"/>
      <c r="C7327" s="309"/>
      <c r="I7327" s="309"/>
      <c r="J7327" s="309"/>
    </row>
    <row r="7328">
      <c r="B7328" s="309"/>
      <c r="C7328" s="309"/>
      <c r="I7328" s="309"/>
      <c r="J7328" s="309"/>
    </row>
    <row r="7329">
      <c r="B7329" s="309"/>
      <c r="C7329" s="309"/>
      <c r="I7329" s="309"/>
      <c r="J7329" s="309"/>
    </row>
    <row r="7330">
      <c r="B7330" s="309"/>
      <c r="C7330" s="309"/>
      <c r="I7330" s="309"/>
      <c r="J7330" s="309"/>
    </row>
    <row r="7331">
      <c r="B7331" s="309"/>
      <c r="C7331" s="309"/>
      <c r="I7331" s="309"/>
      <c r="J7331" s="309"/>
    </row>
    <row r="7332">
      <c r="B7332" s="309"/>
      <c r="C7332" s="309"/>
      <c r="I7332" s="309"/>
      <c r="J7332" s="309"/>
    </row>
    <row r="7333">
      <c r="B7333" s="309"/>
      <c r="C7333" s="309"/>
      <c r="I7333" s="309"/>
      <c r="J7333" s="309"/>
    </row>
    <row r="7334">
      <c r="B7334" s="309"/>
      <c r="C7334" s="309"/>
      <c r="I7334" s="309"/>
      <c r="J7334" s="309"/>
    </row>
    <row r="7335">
      <c r="B7335" s="309"/>
      <c r="C7335" s="309"/>
      <c r="I7335" s="309"/>
      <c r="J7335" s="309"/>
    </row>
    <row r="7336">
      <c r="B7336" s="309"/>
      <c r="C7336" s="309"/>
      <c r="I7336" s="309"/>
      <c r="J7336" s="309"/>
    </row>
    <row r="7337">
      <c r="B7337" s="309"/>
      <c r="C7337" s="309"/>
      <c r="I7337" s="309"/>
      <c r="J7337" s="309"/>
    </row>
    <row r="7338">
      <c r="B7338" s="309"/>
      <c r="C7338" s="309"/>
      <c r="I7338" s="309"/>
      <c r="J7338" s="309"/>
    </row>
    <row r="7339">
      <c r="B7339" s="309"/>
      <c r="C7339" s="309"/>
      <c r="I7339" s="309"/>
      <c r="J7339" s="309"/>
    </row>
    <row r="7340">
      <c r="B7340" s="309"/>
      <c r="C7340" s="309"/>
      <c r="I7340" s="309"/>
      <c r="J7340" s="309"/>
    </row>
    <row r="7341">
      <c r="B7341" s="309"/>
      <c r="C7341" s="309"/>
      <c r="I7341" s="309"/>
      <c r="J7341" s="309"/>
    </row>
    <row r="7342">
      <c r="B7342" s="309"/>
      <c r="C7342" s="309"/>
      <c r="I7342" s="309"/>
      <c r="J7342" s="309"/>
    </row>
    <row r="7343">
      <c r="B7343" s="309"/>
      <c r="C7343" s="309"/>
      <c r="I7343" s="309"/>
      <c r="J7343" s="309"/>
    </row>
    <row r="7344">
      <c r="B7344" s="309"/>
      <c r="C7344" s="309"/>
      <c r="I7344" s="309"/>
      <c r="J7344" s="309"/>
    </row>
    <row r="7345">
      <c r="B7345" s="309"/>
      <c r="C7345" s="309"/>
      <c r="I7345" s="309"/>
      <c r="J7345" s="309"/>
    </row>
    <row r="7346">
      <c r="B7346" s="309"/>
      <c r="C7346" s="309"/>
      <c r="I7346" s="309"/>
      <c r="J7346" s="309"/>
    </row>
    <row r="7347">
      <c r="B7347" s="309"/>
      <c r="C7347" s="309"/>
      <c r="I7347" s="309"/>
      <c r="J7347" s="309"/>
    </row>
    <row r="7348">
      <c r="B7348" s="309"/>
      <c r="C7348" s="309"/>
      <c r="I7348" s="309"/>
      <c r="J7348" s="309"/>
    </row>
    <row r="7349">
      <c r="B7349" s="309"/>
      <c r="C7349" s="309"/>
      <c r="I7349" s="309"/>
      <c r="J7349" s="309"/>
    </row>
    <row r="7350">
      <c r="B7350" s="309"/>
      <c r="C7350" s="309"/>
      <c r="I7350" s="309"/>
      <c r="J7350" s="309"/>
    </row>
    <row r="7351">
      <c r="B7351" s="309"/>
      <c r="C7351" s="309"/>
      <c r="I7351" s="309"/>
      <c r="J7351" s="309"/>
    </row>
    <row r="7352">
      <c r="B7352" s="309"/>
      <c r="C7352" s="309"/>
      <c r="I7352" s="309"/>
      <c r="J7352" s="309"/>
    </row>
    <row r="7353">
      <c r="B7353" s="309"/>
      <c r="C7353" s="309"/>
      <c r="I7353" s="309"/>
      <c r="J7353" s="309"/>
    </row>
    <row r="7354">
      <c r="B7354" s="309"/>
      <c r="C7354" s="309"/>
      <c r="I7354" s="309"/>
      <c r="J7354" s="309"/>
    </row>
    <row r="7355">
      <c r="B7355" s="309"/>
      <c r="C7355" s="309"/>
      <c r="I7355" s="309"/>
      <c r="J7355" s="309"/>
    </row>
    <row r="7356">
      <c r="B7356" s="309"/>
      <c r="C7356" s="309"/>
      <c r="I7356" s="309"/>
      <c r="J7356" s="309"/>
    </row>
    <row r="7357">
      <c r="B7357" s="309"/>
      <c r="C7357" s="309"/>
      <c r="I7357" s="309"/>
      <c r="J7357" s="309"/>
    </row>
    <row r="7358">
      <c r="B7358" s="309"/>
      <c r="C7358" s="309"/>
      <c r="I7358" s="309"/>
      <c r="J7358" s="309"/>
    </row>
    <row r="7359">
      <c r="B7359" s="309"/>
      <c r="C7359" s="309"/>
      <c r="I7359" s="309"/>
      <c r="J7359" s="309"/>
    </row>
    <row r="7360">
      <c r="B7360" s="309"/>
      <c r="C7360" s="309"/>
      <c r="I7360" s="309"/>
      <c r="J7360" s="309"/>
    </row>
    <row r="7361">
      <c r="B7361" s="309"/>
      <c r="C7361" s="309"/>
      <c r="I7361" s="309"/>
      <c r="J7361" s="309"/>
    </row>
    <row r="7362">
      <c r="B7362" s="309"/>
      <c r="C7362" s="309"/>
      <c r="I7362" s="309"/>
      <c r="J7362" s="309"/>
    </row>
    <row r="7363">
      <c r="B7363" s="309"/>
      <c r="C7363" s="309"/>
      <c r="I7363" s="309"/>
      <c r="J7363" s="309"/>
    </row>
    <row r="7364">
      <c r="B7364" s="309"/>
      <c r="C7364" s="309"/>
      <c r="I7364" s="309"/>
      <c r="J7364" s="309"/>
    </row>
    <row r="7365">
      <c r="B7365" s="309"/>
      <c r="C7365" s="309"/>
      <c r="I7365" s="309"/>
      <c r="J7365" s="309"/>
    </row>
    <row r="7366">
      <c r="B7366" s="309"/>
      <c r="C7366" s="309"/>
      <c r="I7366" s="309"/>
      <c r="J7366" s="309"/>
    </row>
    <row r="7367">
      <c r="B7367" s="309"/>
      <c r="C7367" s="309"/>
      <c r="I7367" s="309"/>
      <c r="J7367" s="309"/>
    </row>
    <row r="7368">
      <c r="B7368" s="309"/>
      <c r="C7368" s="309"/>
      <c r="I7368" s="309"/>
      <c r="J7368" s="309"/>
    </row>
    <row r="7369">
      <c r="B7369" s="309"/>
      <c r="C7369" s="309"/>
      <c r="I7369" s="309"/>
      <c r="J7369" s="309"/>
    </row>
    <row r="7370">
      <c r="B7370" s="309"/>
      <c r="C7370" s="309"/>
      <c r="I7370" s="309"/>
      <c r="J7370" s="309"/>
    </row>
    <row r="7371">
      <c r="B7371" s="309"/>
      <c r="C7371" s="309"/>
      <c r="I7371" s="309"/>
      <c r="J7371" s="309"/>
    </row>
    <row r="7372">
      <c r="B7372" s="309"/>
      <c r="C7372" s="309"/>
      <c r="I7372" s="309"/>
      <c r="J7372" s="309"/>
    </row>
    <row r="7373">
      <c r="B7373" s="309"/>
      <c r="C7373" s="309"/>
      <c r="I7373" s="309"/>
      <c r="J7373" s="309"/>
    </row>
    <row r="7374">
      <c r="B7374" s="309"/>
      <c r="C7374" s="309"/>
      <c r="I7374" s="309"/>
      <c r="J7374" s="309"/>
    </row>
    <row r="7375">
      <c r="B7375" s="309"/>
      <c r="C7375" s="309"/>
      <c r="I7375" s="309"/>
      <c r="J7375" s="309"/>
    </row>
    <row r="7376">
      <c r="B7376" s="309"/>
      <c r="C7376" s="309"/>
      <c r="I7376" s="309"/>
      <c r="J7376" s="309"/>
    </row>
    <row r="7377">
      <c r="B7377" s="309"/>
      <c r="C7377" s="309"/>
      <c r="I7377" s="309"/>
      <c r="J7377" s="309"/>
    </row>
    <row r="7378">
      <c r="B7378" s="309"/>
      <c r="C7378" s="309"/>
      <c r="I7378" s="309"/>
      <c r="J7378" s="309"/>
    </row>
    <row r="7379">
      <c r="B7379" s="309"/>
      <c r="C7379" s="309"/>
      <c r="I7379" s="309"/>
      <c r="J7379" s="309"/>
    </row>
    <row r="7380">
      <c r="B7380" s="309"/>
      <c r="C7380" s="309"/>
      <c r="I7380" s="309"/>
      <c r="J7380" s="309"/>
    </row>
    <row r="7381">
      <c r="B7381" s="309"/>
      <c r="C7381" s="309"/>
      <c r="I7381" s="309"/>
      <c r="J7381" s="309"/>
    </row>
    <row r="7382">
      <c r="B7382" s="309"/>
      <c r="C7382" s="309"/>
      <c r="I7382" s="309"/>
      <c r="J7382" s="309"/>
    </row>
    <row r="7383">
      <c r="B7383" s="309"/>
      <c r="C7383" s="309"/>
      <c r="I7383" s="309"/>
      <c r="J7383" s="309"/>
    </row>
    <row r="7384">
      <c r="B7384" s="309"/>
      <c r="C7384" s="309"/>
      <c r="I7384" s="309"/>
      <c r="J7384" s="309"/>
    </row>
    <row r="7385">
      <c r="B7385" s="309"/>
      <c r="C7385" s="309"/>
      <c r="I7385" s="309"/>
      <c r="J7385" s="309"/>
    </row>
    <row r="7386">
      <c r="B7386" s="309"/>
      <c r="C7386" s="309"/>
      <c r="I7386" s="309"/>
      <c r="J7386" s="309"/>
    </row>
    <row r="7387">
      <c r="B7387" s="309"/>
      <c r="C7387" s="309"/>
      <c r="I7387" s="309"/>
      <c r="J7387" s="309"/>
    </row>
    <row r="7388">
      <c r="B7388" s="309"/>
      <c r="C7388" s="309"/>
      <c r="I7388" s="309"/>
      <c r="J7388" s="309"/>
    </row>
    <row r="7389">
      <c r="B7389" s="309"/>
      <c r="C7389" s="309"/>
      <c r="I7389" s="309"/>
      <c r="J7389" s="309"/>
    </row>
    <row r="7390">
      <c r="B7390" s="309"/>
      <c r="C7390" s="309"/>
      <c r="I7390" s="309"/>
      <c r="J7390" s="309"/>
    </row>
    <row r="7391">
      <c r="B7391" s="309"/>
      <c r="C7391" s="309"/>
      <c r="I7391" s="309"/>
      <c r="J7391" s="309"/>
    </row>
    <row r="7392">
      <c r="B7392" s="309"/>
      <c r="C7392" s="309"/>
      <c r="I7392" s="309"/>
      <c r="J7392" s="309"/>
    </row>
    <row r="7393">
      <c r="B7393" s="309"/>
      <c r="C7393" s="309"/>
      <c r="I7393" s="309"/>
      <c r="J7393" s="309"/>
    </row>
    <row r="7394">
      <c r="B7394" s="309"/>
      <c r="C7394" s="309"/>
      <c r="I7394" s="309"/>
      <c r="J7394" s="309"/>
    </row>
    <row r="7395">
      <c r="B7395" s="309"/>
      <c r="C7395" s="309"/>
      <c r="I7395" s="309"/>
      <c r="J7395" s="309"/>
    </row>
    <row r="7396">
      <c r="B7396" s="309"/>
      <c r="C7396" s="309"/>
      <c r="I7396" s="309"/>
      <c r="J7396" s="309"/>
    </row>
    <row r="7397">
      <c r="B7397" s="309"/>
      <c r="C7397" s="309"/>
      <c r="I7397" s="309"/>
      <c r="J7397" s="309"/>
    </row>
    <row r="7398">
      <c r="B7398" s="309"/>
      <c r="C7398" s="309"/>
      <c r="I7398" s="309"/>
      <c r="J7398" s="309"/>
    </row>
    <row r="7399">
      <c r="B7399" s="309"/>
      <c r="C7399" s="309"/>
      <c r="I7399" s="309"/>
      <c r="J7399" s="309"/>
    </row>
    <row r="7400">
      <c r="B7400" s="309"/>
      <c r="C7400" s="309"/>
      <c r="I7400" s="309"/>
      <c r="J7400" s="309"/>
    </row>
    <row r="7401">
      <c r="B7401" s="309"/>
      <c r="C7401" s="309"/>
      <c r="I7401" s="309"/>
      <c r="J7401" s="309"/>
    </row>
    <row r="7402">
      <c r="B7402" s="309"/>
      <c r="C7402" s="309"/>
      <c r="I7402" s="309"/>
      <c r="J7402" s="309"/>
    </row>
    <row r="7403">
      <c r="B7403" s="309"/>
      <c r="C7403" s="309"/>
      <c r="I7403" s="309"/>
      <c r="J7403" s="309"/>
    </row>
    <row r="7404">
      <c r="B7404" s="309"/>
      <c r="C7404" s="309"/>
      <c r="I7404" s="309"/>
      <c r="J7404" s="309"/>
    </row>
    <row r="7405">
      <c r="B7405" s="309"/>
      <c r="C7405" s="309"/>
      <c r="I7405" s="309"/>
      <c r="J7405" s="309"/>
    </row>
    <row r="7406">
      <c r="B7406" s="309"/>
      <c r="C7406" s="309"/>
      <c r="I7406" s="309"/>
      <c r="J7406" s="309"/>
    </row>
    <row r="7407">
      <c r="B7407" s="309"/>
      <c r="C7407" s="309"/>
      <c r="I7407" s="309"/>
      <c r="J7407" s="309"/>
    </row>
    <row r="7408">
      <c r="B7408" s="309"/>
      <c r="C7408" s="309"/>
      <c r="I7408" s="309"/>
      <c r="J7408" s="309"/>
    </row>
    <row r="7409">
      <c r="B7409" s="309"/>
      <c r="C7409" s="309"/>
      <c r="I7409" s="309"/>
      <c r="J7409" s="309"/>
    </row>
    <row r="7410">
      <c r="B7410" s="309"/>
      <c r="C7410" s="309"/>
      <c r="I7410" s="309"/>
      <c r="J7410" s="309"/>
    </row>
    <row r="7411">
      <c r="B7411" s="309"/>
      <c r="C7411" s="309"/>
      <c r="I7411" s="309"/>
      <c r="J7411" s="309"/>
    </row>
    <row r="7412">
      <c r="B7412" s="309"/>
      <c r="C7412" s="309"/>
      <c r="I7412" s="309"/>
      <c r="J7412" s="309"/>
    </row>
    <row r="7413">
      <c r="B7413" s="309"/>
      <c r="C7413" s="309"/>
      <c r="I7413" s="309"/>
      <c r="J7413" s="309"/>
    </row>
    <row r="7414">
      <c r="B7414" s="309"/>
      <c r="C7414" s="309"/>
      <c r="I7414" s="309"/>
      <c r="J7414" s="309"/>
    </row>
    <row r="7415">
      <c r="B7415" s="309"/>
      <c r="C7415" s="309"/>
      <c r="I7415" s="309"/>
      <c r="J7415" s="309"/>
    </row>
    <row r="7416">
      <c r="B7416" s="309"/>
      <c r="C7416" s="309"/>
      <c r="I7416" s="309"/>
      <c r="J7416" s="309"/>
    </row>
    <row r="7417">
      <c r="B7417" s="309"/>
      <c r="C7417" s="309"/>
      <c r="I7417" s="309"/>
      <c r="J7417" s="309"/>
    </row>
    <row r="7418">
      <c r="B7418" s="309"/>
      <c r="C7418" s="309"/>
      <c r="I7418" s="309"/>
      <c r="J7418" s="309"/>
    </row>
    <row r="7419">
      <c r="B7419" s="309"/>
      <c r="C7419" s="309"/>
      <c r="I7419" s="309"/>
      <c r="J7419" s="309"/>
    </row>
    <row r="7420">
      <c r="B7420" s="309"/>
      <c r="C7420" s="309"/>
      <c r="I7420" s="309"/>
      <c r="J7420" s="309"/>
    </row>
    <row r="7421">
      <c r="B7421" s="309"/>
      <c r="C7421" s="309"/>
      <c r="I7421" s="309"/>
      <c r="J7421" s="309"/>
    </row>
    <row r="7422">
      <c r="B7422" s="309"/>
      <c r="C7422" s="309"/>
      <c r="I7422" s="309"/>
      <c r="J7422" s="309"/>
    </row>
    <row r="7423">
      <c r="B7423" s="309"/>
      <c r="C7423" s="309"/>
      <c r="I7423" s="309"/>
      <c r="J7423" s="309"/>
    </row>
    <row r="7424">
      <c r="B7424" s="309"/>
      <c r="C7424" s="309"/>
      <c r="I7424" s="309"/>
      <c r="J7424" s="309"/>
    </row>
    <row r="7425">
      <c r="B7425" s="309"/>
      <c r="C7425" s="309"/>
      <c r="I7425" s="309"/>
      <c r="J7425" s="309"/>
    </row>
    <row r="7426">
      <c r="B7426" s="309"/>
      <c r="C7426" s="309"/>
      <c r="I7426" s="309"/>
      <c r="J7426" s="309"/>
    </row>
    <row r="7427">
      <c r="B7427" s="309"/>
      <c r="C7427" s="309"/>
      <c r="I7427" s="309"/>
      <c r="J7427" s="309"/>
    </row>
    <row r="7428">
      <c r="B7428" s="309"/>
      <c r="C7428" s="309"/>
      <c r="I7428" s="309"/>
      <c r="J7428" s="309"/>
    </row>
    <row r="7429">
      <c r="B7429" s="309"/>
      <c r="C7429" s="309"/>
      <c r="I7429" s="309"/>
      <c r="J7429" s="309"/>
    </row>
    <row r="7430">
      <c r="B7430" s="309"/>
      <c r="C7430" s="309"/>
      <c r="I7430" s="309"/>
      <c r="J7430" s="309"/>
    </row>
    <row r="7431">
      <c r="B7431" s="309"/>
      <c r="C7431" s="309"/>
      <c r="I7431" s="309"/>
      <c r="J7431" s="309"/>
    </row>
    <row r="7432">
      <c r="B7432" s="309"/>
      <c r="C7432" s="309"/>
      <c r="I7432" s="309"/>
      <c r="J7432" s="309"/>
    </row>
    <row r="7433">
      <c r="B7433" s="309"/>
      <c r="C7433" s="309"/>
      <c r="I7433" s="309"/>
      <c r="J7433" s="309"/>
    </row>
    <row r="7434">
      <c r="B7434" s="309"/>
      <c r="C7434" s="309"/>
      <c r="I7434" s="309"/>
      <c r="J7434" s="309"/>
    </row>
    <row r="7435">
      <c r="B7435" s="309"/>
      <c r="C7435" s="309"/>
      <c r="I7435" s="309"/>
      <c r="J7435" s="309"/>
    </row>
    <row r="7436">
      <c r="B7436" s="309"/>
      <c r="C7436" s="309"/>
      <c r="I7436" s="309"/>
      <c r="J7436" s="309"/>
    </row>
    <row r="7437">
      <c r="B7437" s="309"/>
      <c r="C7437" s="309"/>
      <c r="I7437" s="309"/>
      <c r="J7437" s="309"/>
    </row>
    <row r="7438">
      <c r="B7438" s="309"/>
      <c r="C7438" s="309"/>
      <c r="I7438" s="309"/>
      <c r="J7438" s="309"/>
    </row>
    <row r="7439">
      <c r="B7439" s="309"/>
      <c r="C7439" s="309"/>
      <c r="I7439" s="309"/>
      <c r="J7439" s="309"/>
    </row>
    <row r="7440">
      <c r="B7440" s="309"/>
      <c r="C7440" s="309"/>
      <c r="I7440" s="309"/>
      <c r="J7440" s="309"/>
    </row>
    <row r="7441">
      <c r="B7441" s="309"/>
      <c r="C7441" s="309"/>
      <c r="I7441" s="309"/>
      <c r="J7441" s="309"/>
    </row>
    <row r="7442">
      <c r="B7442" s="309"/>
      <c r="C7442" s="309"/>
      <c r="I7442" s="309"/>
      <c r="J7442" s="309"/>
    </row>
    <row r="7443">
      <c r="B7443" s="309"/>
      <c r="C7443" s="309"/>
      <c r="I7443" s="309"/>
      <c r="J7443" s="309"/>
    </row>
    <row r="7444">
      <c r="B7444" s="309"/>
      <c r="C7444" s="309"/>
      <c r="I7444" s="309"/>
      <c r="J7444" s="309"/>
    </row>
    <row r="7445">
      <c r="B7445" s="309"/>
      <c r="C7445" s="309"/>
      <c r="I7445" s="309"/>
      <c r="J7445" s="309"/>
    </row>
    <row r="7446">
      <c r="B7446" s="309"/>
      <c r="C7446" s="309"/>
      <c r="I7446" s="309"/>
      <c r="J7446" s="309"/>
    </row>
    <row r="7447">
      <c r="B7447" s="309"/>
      <c r="C7447" s="309"/>
      <c r="I7447" s="309"/>
      <c r="J7447" s="309"/>
    </row>
    <row r="7448">
      <c r="B7448" s="309"/>
      <c r="C7448" s="309"/>
      <c r="I7448" s="309"/>
      <c r="J7448" s="309"/>
    </row>
    <row r="7449">
      <c r="B7449" s="309"/>
      <c r="C7449" s="309"/>
      <c r="I7449" s="309"/>
      <c r="J7449" s="309"/>
    </row>
    <row r="7450">
      <c r="B7450" s="309"/>
      <c r="C7450" s="309"/>
      <c r="I7450" s="309"/>
      <c r="J7450" s="309"/>
    </row>
    <row r="7451">
      <c r="B7451" s="309"/>
      <c r="C7451" s="309"/>
      <c r="I7451" s="309"/>
      <c r="J7451" s="309"/>
    </row>
    <row r="7452">
      <c r="B7452" s="309"/>
      <c r="C7452" s="309"/>
      <c r="I7452" s="309"/>
      <c r="J7452" s="309"/>
    </row>
    <row r="7453">
      <c r="B7453" s="309"/>
      <c r="C7453" s="309"/>
      <c r="I7453" s="309"/>
      <c r="J7453" s="309"/>
    </row>
    <row r="7454">
      <c r="B7454" s="309"/>
      <c r="C7454" s="309"/>
      <c r="I7454" s="309"/>
      <c r="J7454" s="309"/>
    </row>
    <row r="7455">
      <c r="B7455" s="309"/>
      <c r="C7455" s="309"/>
      <c r="I7455" s="309"/>
      <c r="J7455" s="309"/>
    </row>
    <row r="7456">
      <c r="B7456" s="309"/>
      <c r="C7456" s="309"/>
      <c r="I7456" s="309"/>
      <c r="J7456" s="309"/>
    </row>
    <row r="7457">
      <c r="B7457" s="309"/>
      <c r="C7457" s="309"/>
      <c r="I7457" s="309"/>
      <c r="J7457" s="309"/>
    </row>
    <row r="7458">
      <c r="B7458" s="309"/>
      <c r="C7458" s="309"/>
      <c r="I7458" s="309"/>
      <c r="J7458" s="309"/>
    </row>
    <row r="7459">
      <c r="B7459" s="309"/>
      <c r="C7459" s="309"/>
      <c r="I7459" s="309"/>
      <c r="J7459" s="309"/>
    </row>
    <row r="7460">
      <c r="B7460" s="309"/>
      <c r="C7460" s="309"/>
      <c r="I7460" s="309"/>
      <c r="J7460" s="309"/>
    </row>
    <row r="7461">
      <c r="B7461" s="309"/>
      <c r="C7461" s="309"/>
      <c r="I7461" s="309"/>
      <c r="J7461" s="309"/>
    </row>
    <row r="7462">
      <c r="B7462" s="309"/>
      <c r="C7462" s="309"/>
      <c r="I7462" s="309"/>
      <c r="J7462" s="309"/>
    </row>
    <row r="7463">
      <c r="B7463" s="309"/>
      <c r="C7463" s="309"/>
      <c r="I7463" s="309"/>
      <c r="J7463" s="309"/>
    </row>
    <row r="7464">
      <c r="B7464" s="309"/>
      <c r="C7464" s="309"/>
      <c r="I7464" s="309"/>
      <c r="J7464" s="309"/>
    </row>
    <row r="7465">
      <c r="B7465" s="309"/>
      <c r="C7465" s="309"/>
      <c r="I7465" s="309"/>
      <c r="J7465" s="309"/>
    </row>
    <row r="7466">
      <c r="B7466" s="309"/>
      <c r="C7466" s="309"/>
      <c r="I7466" s="309"/>
      <c r="J7466" s="309"/>
    </row>
    <row r="7467">
      <c r="B7467" s="309"/>
      <c r="C7467" s="309"/>
      <c r="I7467" s="309"/>
      <c r="J7467" s="309"/>
    </row>
    <row r="7468">
      <c r="B7468" s="309"/>
      <c r="C7468" s="309"/>
      <c r="I7468" s="309"/>
      <c r="J7468" s="309"/>
    </row>
    <row r="7469">
      <c r="B7469" s="309"/>
      <c r="C7469" s="309"/>
      <c r="I7469" s="309"/>
      <c r="J7469" s="309"/>
    </row>
    <row r="7470">
      <c r="B7470" s="309"/>
      <c r="C7470" s="309"/>
      <c r="I7470" s="309"/>
      <c r="J7470" s="309"/>
    </row>
    <row r="7471">
      <c r="B7471" s="309"/>
      <c r="C7471" s="309"/>
      <c r="I7471" s="309"/>
      <c r="J7471" s="309"/>
    </row>
    <row r="7472">
      <c r="B7472" s="309"/>
      <c r="C7472" s="309"/>
      <c r="I7472" s="309"/>
      <c r="J7472" s="309"/>
    </row>
    <row r="7473">
      <c r="B7473" s="309"/>
      <c r="C7473" s="309"/>
      <c r="I7473" s="309"/>
      <c r="J7473" s="309"/>
    </row>
    <row r="7474">
      <c r="B7474" s="309"/>
      <c r="C7474" s="309"/>
      <c r="I7474" s="309"/>
      <c r="J7474" s="309"/>
    </row>
    <row r="7475">
      <c r="B7475" s="309"/>
      <c r="C7475" s="309"/>
      <c r="I7475" s="309"/>
      <c r="J7475" s="309"/>
    </row>
    <row r="7476">
      <c r="B7476" s="309"/>
      <c r="C7476" s="309"/>
      <c r="I7476" s="309"/>
      <c r="J7476" s="309"/>
    </row>
    <row r="7477">
      <c r="B7477" s="309"/>
      <c r="C7477" s="309"/>
      <c r="I7477" s="309"/>
      <c r="J7477" s="309"/>
    </row>
    <row r="7478">
      <c r="B7478" s="309"/>
      <c r="C7478" s="309"/>
      <c r="I7478" s="309"/>
      <c r="J7478" s="309"/>
    </row>
    <row r="7479">
      <c r="B7479" s="309"/>
      <c r="C7479" s="309"/>
      <c r="I7479" s="309"/>
      <c r="J7479" s="309"/>
    </row>
    <row r="7480">
      <c r="B7480" s="309"/>
      <c r="C7480" s="309"/>
      <c r="I7480" s="309"/>
      <c r="J7480" s="309"/>
    </row>
    <row r="7481">
      <c r="B7481" s="309"/>
      <c r="C7481" s="309"/>
      <c r="I7481" s="309"/>
      <c r="J7481" s="309"/>
    </row>
    <row r="7482">
      <c r="B7482" s="309"/>
      <c r="C7482" s="309"/>
      <c r="I7482" s="309"/>
      <c r="J7482" s="309"/>
    </row>
    <row r="7483">
      <c r="B7483" s="309"/>
      <c r="C7483" s="309"/>
      <c r="I7483" s="309"/>
      <c r="J7483" s="309"/>
    </row>
    <row r="7484">
      <c r="B7484" s="309"/>
      <c r="C7484" s="309"/>
      <c r="I7484" s="309"/>
      <c r="J7484" s="309"/>
    </row>
    <row r="7485">
      <c r="B7485" s="309"/>
      <c r="C7485" s="309"/>
      <c r="I7485" s="309"/>
      <c r="J7485" s="309"/>
    </row>
    <row r="7486">
      <c r="B7486" s="309"/>
      <c r="C7486" s="309"/>
      <c r="I7486" s="309"/>
      <c r="J7486" s="309"/>
    </row>
    <row r="7487">
      <c r="B7487" s="309"/>
      <c r="C7487" s="309"/>
      <c r="I7487" s="309"/>
      <c r="J7487" s="309"/>
    </row>
    <row r="7488">
      <c r="B7488" s="309"/>
      <c r="C7488" s="309"/>
      <c r="I7488" s="309"/>
      <c r="J7488" s="309"/>
    </row>
    <row r="7489">
      <c r="B7489" s="309"/>
      <c r="C7489" s="309"/>
      <c r="I7489" s="309"/>
      <c r="J7489" s="309"/>
    </row>
    <row r="7490">
      <c r="B7490" s="309"/>
      <c r="C7490" s="309"/>
      <c r="I7490" s="309"/>
      <c r="J7490" s="309"/>
    </row>
    <row r="7491">
      <c r="B7491" s="309"/>
      <c r="C7491" s="309"/>
      <c r="I7491" s="309"/>
      <c r="J7491" s="309"/>
    </row>
    <row r="7492">
      <c r="B7492" s="309"/>
      <c r="C7492" s="309"/>
      <c r="I7492" s="309"/>
      <c r="J7492" s="309"/>
    </row>
    <row r="7493">
      <c r="B7493" s="309"/>
      <c r="C7493" s="309"/>
      <c r="I7493" s="309"/>
      <c r="J7493" s="309"/>
    </row>
    <row r="7494">
      <c r="B7494" s="309"/>
      <c r="C7494" s="309"/>
      <c r="I7494" s="309"/>
      <c r="J7494" s="309"/>
    </row>
    <row r="7495">
      <c r="B7495" s="309"/>
      <c r="C7495" s="309"/>
      <c r="I7495" s="309"/>
      <c r="J7495" s="309"/>
    </row>
    <row r="7496">
      <c r="B7496" s="309"/>
      <c r="C7496" s="309"/>
      <c r="I7496" s="309"/>
      <c r="J7496" s="309"/>
    </row>
    <row r="7497">
      <c r="B7497" s="309"/>
      <c r="C7497" s="309"/>
      <c r="I7497" s="309"/>
      <c r="J7497" s="309"/>
    </row>
    <row r="7498">
      <c r="B7498" s="309"/>
      <c r="C7498" s="309"/>
      <c r="I7498" s="309"/>
      <c r="J7498" s="309"/>
    </row>
    <row r="7499">
      <c r="B7499" s="309"/>
      <c r="C7499" s="309"/>
      <c r="I7499" s="309"/>
      <c r="J7499" s="309"/>
    </row>
    <row r="7500">
      <c r="B7500" s="309"/>
      <c r="C7500" s="309"/>
      <c r="I7500" s="309"/>
      <c r="J7500" s="309"/>
    </row>
    <row r="7501">
      <c r="B7501" s="309"/>
      <c r="C7501" s="309"/>
      <c r="I7501" s="309"/>
      <c r="J7501" s="309"/>
    </row>
    <row r="7502">
      <c r="B7502" s="309"/>
      <c r="C7502" s="309"/>
      <c r="I7502" s="309"/>
      <c r="J7502" s="309"/>
    </row>
    <row r="7503">
      <c r="B7503" s="309"/>
      <c r="C7503" s="309"/>
      <c r="I7503" s="309"/>
      <c r="J7503" s="309"/>
    </row>
    <row r="7504">
      <c r="B7504" s="309"/>
      <c r="C7504" s="309"/>
      <c r="I7504" s="309"/>
      <c r="J7504" s="309"/>
    </row>
    <row r="7505">
      <c r="B7505" s="309"/>
      <c r="C7505" s="309"/>
      <c r="I7505" s="309"/>
      <c r="J7505" s="309"/>
    </row>
    <row r="7506">
      <c r="B7506" s="309"/>
      <c r="C7506" s="309"/>
      <c r="I7506" s="309"/>
      <c r="J7506" s="309"/>
    </row>
    <row r="7507">
      <c r="B7507" s="309"/>
      <c r="C7507" s="309"/>
      <c r="I7507" s="309"/>
      <c r="J7507" s="309"/>
    </row>
    <row r="7508">
      <c r="B7508" s="309"/>
      <c r="C7508" s="309"/>
      <c r="I7508" s="309"/>
      <c r="J7508" s="309"/>
    </row>
    <row r="7509">
      <c r="B7509" s="309"/>
      <c r="C7509" s="309"/>
      <c r="I7509" s="309"/>
      <c r="J7509" s="309"/>
    </row>
    <row r="7510">
      <c r="B7510" s="309"/>
      <c r="C7510" s="309"/>
      <c r="I7510" s="309"/>
      <c r="J7510" s="309"/>
    </row>
    <row r="7511">
      <c r="B7511" s="309"/>
      <c r="C7511" s="309"/>
      <c r="I7511" s="309"/>
      <c r="J7511" s="309"/>
    </row>
    <row r="7512">
      <c r="B7512" s="309"/>
      <c r="C7512" s="309"/>
      <c r="I7512" s="309"/>
      <c r="J7512" s="309"/>
    </row>
    <row r="7513">
      <c r="B7513" s="309"/>
      <c r="C7513" s="309"/>
      <c r="I7513" s="309"/>
      <c r="J7513" s="309"/>
    </row>
    <row r="7514">
      <c r="B7514" s="309"/>
      <c r="C7514" s="309"/>
      <c r="I7514" s="309"/>
      <c r="J7514" s="309"/>
    </row>
    <row r="7515">
      <c r="B7515" s="309"/>
      <c r="C7515" s="309"/>
      <c r="I7515" s="309"/>
      <c r="J7515" s="309"/>
    </row>
    <row r="7516">
      <c r="B7516" s="309"/>
      <c r="C7516" s="309"/>
      <c r="I7516" s="309"/>
      <c r="J7516" s="309"/>
    </row>
    <row r="7517">
      <c r="B7517" s="309"/>
      <c r="C7517" s="309"/>
      <c r="I7517" s="309"/>
      <c r="J7517" s="309"/>
    </row>
    <row r="7518">
      <c r="B7518" s="309"/>
      <c r="C7518" s="309"/>
      <c r="I7518" s="309"/>
      <c r="J7518" s="309"/>
    </row>
    <row r="7519">
      <c r="B7519" s="309"/>
      <c r="C7519" s="309"/>
      <c r="I7519" s="309"/>
      <c r="J7519" s="309"/>
    </row>
    <row r="7520">
      <c r="B7520" s="309"/>
      <c r="C7520" s="309"/>
      <c r="I7520" s="309"/>
      <c r="J7520" s="309"/>
    </row>
    <row r="7521">
      <c r="B7521" s="309"/>
      <c r="C7521" s="309"/>
      <c r="I7521" s="309"/>
      <c r="J7521" s="309"/>
    </row>
    <row r="7522">
      <c r="B7522" s="309"/>
      <c r="C7522" s="309"/>
      <c r="I7522" s="309"/>
      <c r="J7522" s="309"/>
    </row>
    <row r="7523">
      <c r="B7523" s="309"/>
      <c r="C7523" s="309"/>
      <c r="I7523" s="309"/>
      <c r="J7523" s="309"/>
    </row>
    <row r="7524">
      <c r="B7524" s="309"/>
      <c r="C7524" s="309"/>
      <c r="I7524" s="309"/>
      <c r="J7524" s="309"/>
    </row>
    <row r="7525">
      <c r="B7525" s="309"/>
      <c r="C7525" s="309"/>
      <c r="I7525" s="309"/>
      <c r="J7525" s="309"/>
    </row>
    <row r="7526">
      <c r="B7526" s="309"/>
      <c r="C7526" s="309"/>
      <c r="I7526" s="309"/>
      <c r="J7526" s="309"/>
    </row>
    <row r="7527">
      <c r="B7527" s="309"/>
      <c r="C7527" s="309"/>
      <c r="I7527" s="309"/>
      <c r="J7527" s="309"/>
    </row>
    <row r="7528">
      <c r="B7528" s="309"/>
      <c r="C7528" s="309"/>
      <c r="I7528" s="309"/>
      <c r="J7528" s="309"/>
    </row>
    <row r="7529">
      <c r="B7529" s="309"/>
      <c r="C7529" s="309"/>
      <c r="I7529" s="309"/>
      <c r="J7529" s="309"/>
    </row>
    <row r="7530">
      <c r="B7530" s="309"/>
      <c r="C7530" s="309"/>
      <c r="I7530" s="309"/>
      <c r="J7530" s="309"/>
    </row>
    <row r="7531">
      <c r="B7531" s="309"/>
      <c r="C7531" s="309"/>
      <c r="I7531" s="309"/>
      <c r="J7531" s="309"/>
    </row>
    <row r="7532">
      <c r="B7532" s="309"/>
      <c r="C7532" s="309"/>
      <c r="I7532" s="309"/>
      <c r="J7532" s="309"/>
    </row>
    <row r="7533">
      <c r="B7533" s="309"/>
      <c r="C7533" s="309"/>
      <c r="I7533" s="309"/>
      <c r="J7533" s="309"/>
    </row>
    <row r="7534">
      <c r="B7534" s="309"/>
      <c r="C7534" s="309"/>
      <c r="I7534" s="309"/>
      <c r="J7534" s="309"/>
    </row>
    <row r="7535">
      <c r="B7535" s="309"/>
      <c r="C7535" s="309"/>
      <c r="I7535" s="309"/>
      <c r="J7535" s="309"/>
    </row>
    <row r="7536">
      <c r="B7536" s="309"/>
      <c r="C7536" s="309"/>
      <c r="I7536" s="309"/>
      <c r="J7536" s="309"/>
    </row>
    <row r="7537">
      <c r="B7537" s="309"/>
      <c r="C7537" s="309"/>
      <c r="I7537" s="309"/>
      <c r="J7537" s="309"/>
    </row>
    <row r="7538">
      <c r="B7538" s="309"/>
      <c r="C7538" s="309"/>
      <c r="I7538" s="309"/>
      <c r="J7538" s="309"/>
    </row>
    <row r="7539">
      <c r="B7539" s="309"/>
      <c r="C7539" s="309"/>
      <c r="I7539" s="309"/>
      <c r="J7539" s="309"/>
    </row>
    <row r="7540">
      <c r="B7540" s="309"/>
      <c r="C7540" s="309"/>
      <c r="I7540" s="309"/>
      <c r="J7540" s="309"/>
    </row>
    <row r="7541">
      <c r="B7541" s="309"/>
      <c r="C7541" s="309"/>
      <c r="I7541" s="309"/>
      <c r="J7541" s="309"/>
    </row>
    <row r="7542">
      <c r="B7542" s="309"/>
      <c r="C7542" s="309"/>
      <c r="I7542" s="309"/>
      <c r="J7542" s="309"/>
    </row>
    <row r="7543">
      <c r="B7543" s="309"/>
      <c r="C7543" s="309"/>
      <c r="I7543" s="309"/>
      <c r="J7543" s="309"/>
    </row>
    <row r="7544">
      <c r="B7544" s="309"/>
      <c r="C7544" s="309"/>
      <c r="I7544" s="309"/>
      <c r="J7544" s="309"/>
    </row>
    <row r="7545">
      <c r="B7545" s="309"/>
      <c r="C7545" s="309"/>
      <c r="I7545" s="309"/>
      <c r="J7545" s="309"/>
    </row>
    <row r="7546">
      <c r="B7546" s="309"/>
      <c r="C7546" s="309"/>
      <c r="I7546" s="309"/>
      <c r="J7546" s="309"/>
    </row>
    <row r="7547">
      <c r="B7547" s="309"/>
      <c r="C7547" s="309"/>
      <c r="I7547" s="309"/>
      <c r="J7547" s="309"/>
    </row>
    <row r="7548">
      <c r="B7548" s="309"/>
      <c r="C7548" s="309"/>
      <c r="I7548" s="309"/>
      <c r="J7548" s="309"/>
    </row>
    <row r="7549">
      <c r="B7549" s="309"/>
      <c r="C7549" s="309"/>
      <c r="I7549" s="309"/>
      <c r="J7549" s="309"/>
    </row>
    <row r="7550">
      <c r="B7550" s="309"/>
      <c r="C7550" s="309"/>
      <c r="I7550" s="309"/>
      <c r="J7550" s="309"/>
    </row>
    <row r="7551">
      <c r="B7551" s="309"/>
      <c r="C7551" s="309"/>
      <c r="I7551" s="309"/>
      <c r="J7551" s="309"/>
    </row>
    <row r="7552">
      <c r="B7552" s="309"/>
      <c r="C7552" s="309"/>
      <c r="I7552" s="309"/>
      <c r="J7552" s="309"/>
    </row>
    <row r="7553">
      <c r="B7553" s="309"/>
      <c r="C7553" s="309"/>
      <c r="I7553" s="309"/>
      <c r="J7553" s="309"/>
    </row>
    <row r="7554">
      <c r="B7554" s="309"/>
      <c r="C7554" s="309"/>
      <c r="I7554" s="309"/>
      <c r="J7554" s="309"/>
    </row>
    <row r="7555">
      <c r="B7555" s="309"/>
      <c r="C7555" s="309"/>
      <c r="I7555" s="309"/>
      <c r="J7555" s="309"/>
    </row>
    <row r="7556">
      <c r="B7556" s="309"/>
      <c r="C7556" s="309"/>
      <c r="I7556" s="309"/>
      <c r="J7556" s="309"/>
    </row>
    <row r="7557">
      <c r="B7557" s="309"/>
      <c r="C7557" s="309"/>
      <c r="I7557" s="309"/>
      <c r="J7557" s="309"/>
    </row>
    <row r="7558">
      <c r="B7558" s="309"/>
      <c r="C7558" s="309"/>
      <c r="I7558" s="309"/>
      <c r="J7558" s="309"/>
    </row>
    <row r="7559">
      <c r="B7559" s="309"/>
      <c r="C7559" s="309"/>
      <c r="I7559" s="309"/>
      <c r="J7559" s="309"/>
    </row>
    <row r="7560">
      <c r="B7560" s="309"/>
      <c r="C7560" s="309"/>
      <c r="I7560" s="309"/>
      <c r="J7560" s="309"/>
    </row>
    <row r="7561">
      <c r="B7561" s="309"/>
      <c r="C7561" s="309"/>
      <c r="I7561" s="309"/>
      <c r="J7561" s="309"/>
    </row>
    <row r="7562">
      <c r="B7562" s="309"/>
      <c r="C7562" s="309"/>
      <c r="I7562" s="309"/>
      <c r="J7562" s="309"/>
    </row>
    <row r="7563">
      <c r="B7563" s="309"/>
      <c r="C7563" s="309"/>
      <c r="I7563" s="309"/>
      <c r="J7563" s="309"/>
    </row>
    <row r="7564">
      <c r="B7564" s="309"/>
      <c r="C7564" s="309"/>
      <c r="I7564" s="309"/>
      <c r="J7564" s="309"/>
    </row>
    <row r="7565">
      <c r="B7565" s="309"/>
      <c r="C7565" s="309"/>
      <c r="I7565" s="309"/>
      <c r="J7565" s="309"/>
    </row>
    <row r="7566">
      <c r="B7566" s="309"/>
      <c r="C7566" s="309"/>
      <c r="I7566" s="309"/>
      <c r="J7566" s="309"/>
    </row>
    <row r="7567">
      <c r="B7567" s="309"/>
      <c r="C7567" s="309"/>
      <c r="I7567" s="309"/>
      <c r="J7567" s="309"/>
    </row>
    <row r="7568">
      <c r="B7568" s="309"/>
      <c r="C7568" s="309"/>
      <c r="I7568" s="309"/>
      <c r="J7568" s="309"/>
    </row>
    <row r="7569">
      <c r="B7569" s="309"/>
      <c r="C7569" s="309"/>
      <c r="I7569" s="309"/>
      <c r="J7569" s="309"/>
    </row>
    <row r="7570">
      <c r="B7570" s="309"/>
      <c r="C7570" s="309"/>
      <c r="I7570" s="309"/>
      <c r="J7570" s="309"/>
    </row>
    <row r="7571">
      <c r="B7571" s="309"/>
      <c r="C7571" s="309"/>
      <c r="I7571" s="309"/>
      <c r="J7571" s="309"/>
    </row>
    <row r="7572">
      <c r="B7572" s="309"/>
      <c r="C7572" s="309"/>
      <c r="I7572" s="309"/>
      <c r="J7572" s="309"/>
    </row>
    <row r="7573">
      <c r="B7573" s="309"/>
      <c r="C7573" s="309"/>
      <c r="I7573" s="309"/>
      <c r="J7573" s="309"/>
    </row>
    <row r="7574">
      <c r="B7574" s="309"/>
      <c r="C7574" s="309"/>
      <c r="I7574" s="309"/>
      <c r="J7574" s="309"/>
    </row>
    <row r="7575">
      <c r="B7575" s="309"/>
      <c r="C7575" s="309"/>
      <c r="I7575" s="309"/>
      <c r="J7575" s="309"/>
    </row>
    <row r="7576">
      <c r="B7576" s="309"/>
      <c r="C7576" s="309"/>
      <c r="I7576" s="309"/>
      <c r="J7576" s="309"/>
    </row>
    <row r="7577">
      <c r="B7577" s="309"/>
      <c r="C7577" s="309"/>
      <c r="I7577" s="309"/>
      <c r="J7577" s="309"/>
    </row>
    <row r="7578">
      <c r="B7578" s="309"/>
      <c r="C7578" s="309"/>
      <c r="I7578" s="309"/>
      <c r="J7578" s="309"/>
    </row>
    <row r="7579">
      <c r="B7579" s="309"/>
      <c r="C7579" s="309"/>
      <c r="I7579" s="309"/>
      <c r="J7579" s="309"/>
    </row>
    <row r="7580">
      <c r="B7580" s="309"/>
      <c r="C7580" s="309"/>
      <c r="I7580" s="309"/>
      <c r="J7580" s="309"/>
    </row>
    <row r="7581">
      <c r="B7581" s="309"/>
      <c r="C7581" s="309"/>
      <c r="I7581" s="309"/>
      <c r="J7581" s="309"/>
    </row>
    <row r="7582">
      <c r="B7582" s="309"/>
      <c r="C7582" s="309"/>
      <c r="I7582" s="309"/>
      <c r="J7582" s="309"/>
    </row>
    <row r="7583">
      <c r="B7583" s="309"/>
      <c r="C7583" s="309"/>
      <c r="I7583" s="309"/>
      <c r="J7583" s="309"/>
    </row>
    <row r="7584">
      <c r="B7584" s="309"/>
      <c r="C7584" s="309"/>
      <c r="I7584" s="309"/>
      <c r="J7584" s="309"/>
    </row>
    <row r="7585">
      <c r="B7585" s="309"/>
      <c r="C7585" s="309"/>
      <c r="I7585" s="309"/>
      <c r="J7585" s="309"/>
    </row>
    <row r="7586">
      <c r="B7586" s="309"/>
      <c r="C7586" s="309"/>
      <c r="I7586" s="309"/>
      <c r="J7586" s="309"/>
    </row>
    <row r="7587">
      <c r="B7587" s="309"/>
      <c r="C7587" s="309"/>
      <c r="I7587" s="309"/>
      <c r="J7587" s="309"/>
    </row>
    <row r="7588">
      <c r="B7588" s="309"/>
      <c r="C7588" s="309"/>
      <c r="I7588" s="309"/>
      <c r="J7588" s="309"/>
    </row>
    <row r="7589">
      <c r="B7589" s="309"/>
      <c r="C7589" s="309"/>
      <c r="I7589" s="309"/>
      <c r="J7589" s="309"/>
    </row>
    <row r="7590">
      <c r="B7590" s="309"/>
      <c r="C7590" s="309"/>
      <c r="I7590" s="309"/>
      <c r="J7590" s="309"/>
    </row>
    <row r="7591">
      <c r="B7591" s="309"/>
      <c r="C7591" s="309"/>
      <c r="I7591" s="309"/>
      <c r="J7591" s="309"/>
    </row>
    <row r="7592">
      <c r="B7592" s="309"/>
      <c r="C7592" s="309"/>
      <c r="I7592" s="309"/>
      <c r="J7592" s="309"/>
    </row>
    <row r="7593">
      <c r="B7593" s="309"/>
      <c r="C7593" s="309"/>
      <c r="I7593" s="309"/>
      <c r="J7593" s="309"/>
    </row>
    <row r="7594">
      <c r="B7594" s="309"/>
      <c r="C7594" s="309"/>
      <c r="I7594" s="309"/>
      <c r="J7594" s="309"/>
    </row>
    <row r="7595">
      <c r="B7595" s="309"/>
      <c r="C7595" s="309"/>
      <c r="I7595" s="309"/>
      <c r="J7595" s="309"/>
    </row>
    <row r="7596">
      <c r="B7596" s="309"/>
      <c r="C7596" s="309"/>
      <c r="I7596" s="309"/>
      <c r="J7596" s="309"/>
    </row>
    <row r="7597">
      <c r="B7597" s="309"/>
      <c r="C7597" s="309"/>
      <c r="I7597" s="309"/>
      <c r="J7597" s="309"/>
    </row>
    <row r="7598">
      <c r="B7598" s="309"/>
      <c r="C7598" s="309"/>
      <c r="I7598" s="309"/>
      <c r="J7598" s="309"/>
    </row>
    <row r="7599">
      <c r="B7599" s="309"/>
      <c r="C7599" s="309"/>
      <c r="I7599" s="309"/>
      <c r="J7599" s="309"/>
    </row>
    <row r="7600">
      <c r="B7600" s="309"/>
      <c r="C7600" s="309"/>
      <c r="I7600" s="309"/>
      <c r="J7600" s="309"/>
    </row>
    <row r="7601">
      <c r="B7601" s="309"/>
      <c r="C7601" s="309"/>
      <c r="I7601" s="309"/>
      <c r="J7601" s="309"/>
    </row>
    <row r="7602">
      <c r="B7602" s="309"/>
      <c r="C7602" s="309"/>
      <c r="I7602" s="309"/>
      <c r="J7602" s="309"/>
    </row>
    <row r="7603">
      <c r="B7603" s="309"/>
      <c r="C7603" s="309"/>
      <c r="I7603" s="309"/>
      <c r="J7603" s="309"/>
    </row>
    <row r="7604">
      <c r="B7604" s="309"/>
      <c r="C7604" s="309"/>
      <c r="I7604" s="309"/>
      <c r="J7604" s="309"/>
    </row>
    <row r="7605">
      <c r="B7605" s="309"/>
      <c r="C7605" s="309"/>
      <c r="I7605" s="309"/>
      <c r="J7605" s="309"/>
    </row>
    <row r="7606">
      <c r="B7606" s="309"/>
      <c r="C7606" s="309"/>
      <c r="I7606" s="309"/>
      <c r="J7606" s="309"/>
    </row>
    <row r="7607">
      <c r="B7607" s="309"/>
      <c r="C7607" s="309"/>
      <c r="I7607" s="309"/>
      <c r="J7607" s="309"/>
    </row>
    <row r="7608">
      <c r="B7608" s="309"/>
      <c r="C7608" s="309"/>
      <c r="I7608" s="309"/>
      <c r="J7608" s="309"/>
    </row>
    <row r="7609">
      <c r="B7609" s="309"/>
      <c r="C7609" s="309"/>
      <c r="I7609" s="309"/>
      <c r="J7609" s="309"/>
    </row>
    <row r="7610">
      <c r="B7610" s="309"/>
      <c r="C7610" s="309"/>
      <c r="I7610" s="309"/>
      <c r="J7610" s="309"/>
    </row>
    <row r="7611">
      <c r="B7611" s="309"/>
      <c r="C7611" s="309"/>
      <c r="I7611" s="309"/>
      <c r="J7611" s="309"/>
    </row>
    <row r="7612">
      <c r="B7612" s="309"/>
      <c r="C7612" s="309"/>
      <c r="I7612" s="309"/>
      <c r="J7612" s="309"/>
    </row>
    <row r="7613">
      <c r="B7613" s="309"/>
      <c r="C7613" s="309"/>
      <c r="I7613" s="309"/>
      <c r="J7613" s="309"/>
    </row>
    <row r="7614">
      <c r="B7614" s="309"/>
      <c r="C7614" s="309"/>
      <c r="I7614" s="309"/>
      <c r="J7614" s="309"/>
    </row>
    <row r="7615">
      <c r="B7615" s="309"/>
      <c r="C7615" s="309"/>
      <c r="I7615" s="309"/>
      <c r="J7615" s="309"/>
    </row>
    <row r="7616">
      <c r="B7616" s="309"/>
      <c r="C7616" s="309"/>
      <c r="I7616" s="309"/>
      <c r="J7616" s="309"/>
    </row>
    <row r="7617">
      <c r="B7617" s="309"/>
      <c r="C7617" s="309"/>
      <c r="I7617" s="309"/>
      <c r="J7617" s="309"/>
    </row>
    <row r="7618">
      <c r="B7618" s="309"/>
      <c r="C7618" s="309"/>
      <c r="I7618" s="309"/>
      <c r="J7618" s="309"/>
    </row>
    <row r="7619">
      <c r="B7619" s="309"/>
      <c r="C7619" s="309"/>
      <c r="I7619" s="309"/>
      <c r="J7619" s="309"/>
    </row>
    <row r="7620">
      <c r="B7620" s="309"/>
      <c r="C7620" s="309"/>
      <c r="I7620" s="309"/>
      <c r="J7620" s="309"/>
    </row>
    <row r="7621">
      <c r="B7621" s="309"/>
      <c r="C7621" s="309"/>
      <c r="I7621" s="309"/>
      <c r="J7621" s="309"/>
    </row>
    <row r="7622">
      <c r="B7622" s="309"/>
      <c r="C7622" s="309"/>
      <c r="I7622" s="309"/>
      <c r="J7622" s="309"/>
    </row>
    <row r="7623">
      <c r="B7623" s="309"/>
      <c r="C7623" s="309"/>
      <c r="I7623" s="309"/>
      <c r="J7623" s="309"/>
    </row>
    <row r="7624">
      <c r="B7624" s="309"/>
      <c r="C7624" s="309"/>
      <c r="I7624" s="309"/>
      <c r="J7624" s="309"/>
    </row>
    <row r="7625">
      <c r="B7625" s="309"/>
      <c r="C7625" s="309"/>
      <c r="I7625" s="309"/>
      <c r="J7625" s="309"/>
    </row>
    <row r="7626">
      <c r="B7626" s="309"/>
      <c r="C7626" s="309"/>
      <c r="I7626" s="309"/>
      <c r="J7626" s="309"/>
    </row>
    <row r="7627">
      <c r="B7627" s="309"/>
      <c r="C7627" s="309"/>
      <c r="I7627" s="309"/>
      <c r="J7627" s="309"/>
    </row>
    <row r="7628">
      <c r="B7628" s="309"/>
      <c r="C7628" s="309"/>
      <c r="I7628" s="309"/>
      <c r="J7628" s="309"/>
    </row>
    <row r="7629">
      <c r="B7629" s="309"/>
      <c r="C7629" s="309"/>
      <c r="I7629" s="309"/>
      <c r="J7629" s="309"/>
    </row>
    <row r="7630">
      <c r="B7630" s="309"/>
      <c r="C7630" s="309"/>
      <c r="I7630" s="309"/>
      <c r="J7630" s="309"/>
    </row>
    <row r="7631">
      <c r="B7631" s="309"/>
      <c r="C7631" s="309"/>
      <c r="I7631" s="309"/>
      <c r="J7631" s="309"/>
    </row>
    <row r="7632">
      <c r="B7632" s="309"/>
      <c r="C7632" s="309"/>
      <c r="I7632" s="309"/>
      <c r="J7632" s="309"/>
    </row>
    <row r="7633">
      <c r="B7633" s="309"/>
      <c r="C7633" s="309"/>
      <c r="I7633" s="309"/>
      <c r="J7633" s="309"/>
    </row>
    <row r="7634">
      <c r="B7634" s="309"/>
      <c r="C7634" s="309"/>
      <c r="I7634" s="309"/>
      <c r="J7634" s="309"/>
    </row>
    <row r="7635">
      <c r="B7635" s="309"/>
      <c r="C7635" s="309"/>
      <c r="I7635" s="309"/>
      <c r="J7635" s="309"/>
    </row>
    <row r="7636">
      <c r="B7636" s="309"/>
      <c r="C7636" s="309"/>
      <c r="I7636" s="309"/>
      <c r="J7636" s="309"/>
    </row>
    <row r="7637">
      <c r="B7637" s="309"/>
      <c r="C7637" s="309"/>
      <c r="I7637" s="309"/>
      <c r="J7637" s="309"/>
    </row>
    <row r="7638">
      <c r="B7638" s="309"/>
      <c r="C7638" s="309"/>
      <c r="I7638" s="309"/>
      <c r="J7638" s="309"/>
    </row>
    <row r="7639">
      <c r="B7639" s="309"/>
      <c r="C7639" s="309"/>
      <c r="I7639" s="309"/>
      <c r="J7639" s="309"/>
    </row>
    <row r="7640">
      <c r="B7640" s="309"/>
      <c r="C7640" s="309"/>
      <c r="I7640" s="309"/>
      <c r="J7640" s="309"/>
    </row>
    <row r="7641">
      <c r="B7641" s="309"/>
      <c r="C7641" s="309"/>
      <c r="I7641" s="309"/>
      <c r="J7641" s="309"/>
    </row>
    <row r="7642">
      <c r="B7642" s="309"/>
      <c r="C7642" s="309"/>
      <c r="I7642" s="309"/>
      <c r="J7642" s="309"/>
    </row>
    <row r="7643">
      <c r="B7643" s="309"/>
      <c r="C7643" s="309"/>
      <c r="I7643" s="309"/>
      <c r="J7643" s="309"/>
    </row>
    <row r="7644">
      <c r="B7644" s="309"/>
      <c r="C7644" s="309"/>
      <c r="I7644" s="309"/>
      <c r="J7644" s="309"/>
    </row>
    <row r="7645">
      <c r="B7645" s="309"/>
      <c r="C7645" s="309"/>
      <c r="I7645" s="309"/>
      <c r="J7645" s="309"/>
    </row>
    <row r="7646">
      <c r="B7646" s="309"/>
      <c r="C7646" s="309"/>
      <c r="I7646" s="309"/>
      <c r="J7646" s="309"/>
    </row>
    <row r="7647">
      <c r="B7647" s="309"/>
      <c r="C7647" s="309"/>
      <c r="I7647" s="309"/>
      <c r="J7647" s="309"/>
    </row>
    <row r="7648">
      <c r="B7648" s="309"/>
      <c r="C7648" s="309"/>
      <c r="I7648" s="309"/>
      <c r="J7648" s="309"/>
    </row>
    <row r="7649">
      <c r="B7649" s="309"/>
      <c r="C7649" s="309"/>
      <c r="I7649" s="309"/>
      <c r="J7649" s="309"/>
    </row>
    <row r="7650">
      <c r="B7650" s="309"/>
      <c r="C7650" s="309"/>
      <c r="I7650" s="309"/>
      <c r="J7650" s="309"/>
    </row>
    <row r="7651">
      <c r="B7651" s="309"/>
      <c r="C7651" s="309"/>
      <c r="I7651" s="309"/>
      <c r="J7651" s="309"/>
    </row>
    <row r="7652">
      <c r="B7652" s="309"/>
      <c r="C7652" s="309"/>
      <c r="I7652" s="309"/>
      <c r="J7652" s="309"/>
    </row>
    <row r="7653">
      <c r="B7653" s="309"/>
      <c r="C7653" s="309"/>
      <c r="I7653" s="309"/>
      <c r="J7653" s="309"/>
    </row>
    <row r="7654">
      <c r="B7654" s="309"/>
      <c r="C7654" s="309"/>
      <c r="I7654" s="309"/>
      <c r="J7654" s="309"/>
    </row>
    <row r="7655">
      <c r="B7655" s="309"/>
      <c r="C7655" s="309"/>
      <c r="I7655" s="309"/>
      <c r="J7655" s="309"/>
    </row>
    <row r="7656">
      <c r="B7656" s="309"/>
      <c r="C7656" s="309"/>
      <c r="I7656" s="309"/>
      <c r="J7656" s="309"/>
    </row>
    <row r="7657">
      <c r="B7657" s="309"/>
      <c r="C7657" s="309"/>
      <c r="I7657" s="309"/>
      <c r="J7657" s="309"/>
    </row>
    <row r="7658">
      <c r="B7658" s="309"/>
      <c r="C7658" s="309"/>
      <c r="I7658" s="309"/>
      <c r="J7658" s="309"/>
    </row>
    <row r="7659">
      <c r="B7659" s="309"/>
      <c r="C7659" s="309"/>
      <c r="I7659" s="309"/>
      <c r="J7659" s="309"/>
    </row>
    <row r="7660">
      <c r="B7660" s="309"/>
      <c r="C7660" s="309"/>
      <c r="I7660" s="309"/>
      <c r="J7660" s="309"/>
    </row>
    <row r="7661">
      <c r="B7661" s="309"/>
      <c r="C7661" s="309"/>
      <c r="I7661" s="309"/>
      <c r="J7661" s="309"/>
    </row>
    <row r="7662">
      <c r="B7662" s="309"/>
      <c r="C7662" s="309"/>
      <c r="I7662" s="309"/>
      <c r="J7662" s="309"/>
    </row>
    <row r="7663">
      <c r="B7663" s="309"/>
      <c r="C7663" s="309"/>
      <c r="I7663" s="309"/>
      <c r="J7663" s="309"/>
    </row>
    <row r="7664">
      <c r="B7664" s="309"/>
      <c r="C7664" s="309"/>
      <c r="I7664" s="309"/>
      <c r="J7664" s="309"/>
    </row>
    <row r="7665">
      <c r="B7665" s="309"/>
      <c r="C7665" s="309"/>
      <c r="I7665" s="309"/>
      <c r="J7665" s="309"/>
    </row>
    <row r="7666">
      <c r="B7666" s="309"/>
      <c r="C7666" s="309"/>
      <c r="I7666" s="309"/>
      <c r="J7666" s="309"/>
    </row>
    <row r="7667">
      <c r="B7667" s="309"/>
      <c r="C7667" s="309"/>
      <c r="I7667" s="309"/>
      <c r="J7667" s="309"/>
    </row>
    <row r="7668">
      <c r="B7668" s="309"/>
      <c r="C7668" s="309"/>
      <c r="I7668" s="309"/>
      <c r="J7668" s="309"/>
    </row>
    <row r="7669">
      <c r="B7669" s="309"/>
      <c r="C7669" s="309"/>
      <c r="I7669" s="309"/>
      <c r="J7669" s="309"/>
    </row>
    <row r="7670">
      <c r="B7670" s="309"/>
      <c r="C7670" s="309"/>
      <c r="I7670" s="309"/>
      <c r="J7670" s="309"/>
    </row>
    <row r="7671">
      <c r="B7671" s="309"/>
      <c r="C7671" s="309"/>
      <c r="I7671" s="309"/>
      <c r="J7671" s="309"/>
    </row>
    <row r="7672">
      <c r="B7672" s="309"/>
      <c r="C7672" s="309"/>
      <c r="I7672" s="309"/>
      <c r="J7672" s="309"/>
    </row>
    <row r="7673">
      <c r="B7673" s="309"/>
      <c r="C7673" s="309"/>
      <c r="I7673" s="309"/>
      <c r="J7673" s="309"/>
    </row>
    <row r="7674">
      <c r="B7674" s="309"/>
      <c r="C7674" s="309"/>
      <c r="I7674" s="309"/>
      <c r="J7674" s="309"/>
    </row>
    <row r="7675">
      <c r="B7675" s="309"/>
      <c r="C7675" s="309"/>
      <c r="I7675" s="309"/>
      <c r="J7675" s="309"/>
    </row>
    <row r="7676">
      <c r="B7676" s="309"/>
      <c r="C7676" s="309"/>
      <c r="I7676" s="309"/>
      <c r="J7676" s="309"/>
    </row>
    <row r="7677">
      <c r="B7677" s="309"/>
      <c r="C7677" s="309"/>
      <c r="I7677" s="309"/>
      <c r="J7677" s="309"/>
    </row>
    <row r="7678">
      <c r="B7678" s="309"/>
      <c r="C7678" s="309"/>
      <c r="I7678" s="309"/>
      <c r="J7678" s="309"/>
    </row>
    <row r="7679">
      <c r="B7679" s="309"/>
      <c r="C7679" s="309"/>
      <c r="I7679" s="309"/>
      <c r="J7679" s="309"/>
    </row>
    <row r="7680">
      <c r="B7680" s="309"/>
      <c r="C7680" s="309"/>
      <c r="I7680" s="309"/>
      <c r="J7680" s="309"/>
    </row>
    <row r="7681">
      <c r="B7681" s="309"/>
      <c r="C7681" s="309"/>
      <c r="I7681" s="309"/>
      <c r="J7681" s="309"/>
    </row>
    <row r="7682">
      <c r="B7682" s="309"/>
      <c r="C7682" s="309"/>
      <c r="I7682" s="309"/>
      <c r="J7682" s="309"/>
    </row>
    <row r="7683">
      <c r="B7683" s="309"/>
      <c r="C7683" s="309"/>
      <c r="I7683" s="309"/>
      <c r="J7683" s="309"/>
    </row>
    <row r="7684">
      <c r="B7684" s="309"/>
      <c r="C7684" s="309"/>
      <c r="I7684" s="309"/>
      <c r="J7684" s="309"/>
    </row>
    <row r="7685">
      <c r="B7685" s="309"/>
      <c r="C7685" s="309"/>
      <c r="I7685" s="309"/>
      <c r="J7685" s="309"/>
    </row>
    <row r="7686">
      <c r="B7686" s="309"/>
      <c r="C7686" s="309"/>
      <c r="I7686" s="309"/>
      <c r="J7686" s="309"/>
    </row>
    <row r="7687">
      <c r="B7687" s="309"/>
      <c r="C7687" s="309"/>
      <c r="I7687" s="309"/>
      <c r="J7687" s="309"/>
    </row>
    <row r="7688">
      <c r="B7688" s="309"/>
      <c r="C7688" s="309"/>
      <c r="I7688" s="309"/>
      <c r="J7688" s="309"/>
    </row>
    <row r="7689">
      <c r="B7689" s="309"/>
      <c r="C7689" s="309"/>
      <c r="I7689" s="309"/>
      <c r="J7689" s="309"/>
    </row>
    <row r="7690">
      <c r="B7690" s="309"/>
      <c r="C7690" s="309"/>
      <c r="I7690" s="309"/>
      <c r="J7690" s="309"/>
    </row>
    <row r="7691">
      <c r="B7691" s="309"/>
      <c r="C7691" s="309"/>
      <c r="I7691" s="309"/>
      <c r="J7691" s="309"/>
    </row>
    <row r="7692">
      <c r="B7692" s="309"/>
      <c r="C7692" s="309"/>
      <c r="I7692" s="309"/>
      <c r="J7692" s="309"/>
    </row>
    <row r="7693">
      <c r="B7693" s="309"/>
      <c r="C7693" s="309"/>
      <c r="I7693" s="309"/>
      <c r="J7693" s="309"/>
    </row>
    <row r="7694">
      <c r="B7694" s="309"/>
      <c r="C7694" s="309"/>
      <c r="I7694" s="309"/>
      <c r="J7694" s="309"/>
    </row>
    <row r="7695">
      <c r="B7695" s="309"/>
      <c r="C7695" s="309"/>
      <c r="I7695" s="309"/>
      <c r="J7695" s="309"/>
    </row>
    <row r="7696">
      <c r="B7696" s="309"/>
      <c r="C7696" s="309"/>
      <c r="I7696" s="309"/>
      <c r="J7696" s="309"/>
    </row>
    <row r="7697">
      <c r="B7697" s="309"/>
      <c r="C7697" s="309"/>
      <c r="I7697" s="309"/>
      <c r="J7697" s="309"/>
    </row>
    <row r="7698">
      <c r="B7698" s="309"/>
      <c r="C7698" s="309"/>
      <c r="I7698" s="309"/>
      <c r="J7698" s="309"/>
    </row>
    <row r="7699">
      <c r="B7699" s="309"/>
      <c r="C7699" s="309"/>
      <c r="I7699" s="309"/>
      <c r="J7699" s="309"/>
    </row>
    <row r="7700">
      <c r="B7700" s="309"/>
      <c r="C7700" s="309"/>
      <c r="I7700" s="309"/>
      <c r="J7700" s="309"/>
    </row>
    <row r="7701">
      <c r="B7701" s="309"/>
      <c r="C7701" s="309"/>
      <c r="I7701" s="309"/>
      <c r="J7701" s="309"/>
    </row>
    <row r="7702">
      <c r="B7702" s="309"/>
      <c r="C7702" s="309"/>
      <c r="I7702" s="309"/>
      <c r="J7702" s="309"/>
    </row>
    <row r="7703">
      <c r="B7703" s="309"/>
      <c r="C7703" s="309"/>
      <c r="I7703" s="309"/>
      <c r="J7703" s="309"/>
    </row>
    <row r="7704">
      <c r="B7704" s="309"/>
      <c r="C7704" s="309"/>
      <c r="I7704" s="309"/>
      <c r="J7704" s="309"/>
    </row>
    <row r="7705">
      <c r="B7705" s="309"/>
      <c r="C7705" s="309"/>
      <c r="I7705" s="309"/>
      <c r="J7705" s="309"/>
    </row>
    <row r="7706">
      <c r="B7706" s="309"/>
      <c r="C7706" s="309"/>
      <c r="I7706" s="309"/>
      <c r="J7706" s="309"/>
    </row>
    <row r="7707">
      <c r="B7707" s="309"/>
      <c r="C7707" s="309"/>
      <c r="I7707" s="309"/>
      <c r="J7707" s="309"/>
    </row>
    <row r="7708">
      <c r="B7708" s="309"/>
      <c r="C7708" s="309"/>
      <c r="I7708" s="309"/>
      <c r="J7708" s="309"/>
    </row>
    <row r="7709">
      <c r="B7709" s="309"/>
      <c r="C7709" s="309"/>
      <c r="I7709" s="309"/>
      <c r="J7709" s="309"/>
    </row>
    <row r="7710">
      <c r="B7710" s="309"/>
      <c r="C7710" s="309"/>
      <c r="I7710" s="309"/>
      <c r="J7710" s="309"/>
    </row>
    <row r="7711">
      <c r="B7711" s="309"/>
      <c r="C7711" s="309"/>
      <c r="I7711" s="309"/>
      <c r="J7711" s="309"/>
    </row>
    <row r="7712">
      <c r="B7712" s="309"/>
      <c r="C7712" s="309"/>
      <c r="I7712" s="309"/>
      <c r="J7712" s="309"/>
    </row>
    <row r="7713">
      <c r="B7713" s="309"/>
      <c r="C7713" s="309"/>
      <c r="I7713" s="309"/>
      <c r="J7713" s="309"/>
    </row>
    <row r="7714">
      <c r="B7714" s="309"/>
      <c r="C7714" s="309"/>
      <c r="I7714" s="309"/>
      <c r="J7714" s="309"/>
    </row>
    <row r="7715">
      <c r="B7715" s="309"/>
      <c r="C7715" s="309"/>
      <c r="I7715" s="309"/>
      <c r="J7715" s="309"/>
    </row>
    <row r="7716">
      <c r="B7716" s="309"/>
      <c r="C7716" s="309"/>
      <c r="I7716" s="309"/>
      <c r="J7716" s="309"/>
    </row>
    <row r="7717">
      <c r="B7717" s="309"/>
      <c r="C7717" s="309"/>
      <c r="I7717" s="309"/>
      <c r="J7717" s="309"/>
    </row>
    <row r="7718">
      <c r="B7718" s="309"/>
      <c r="C7718" s="309"/>
      <c r="I7718" s="309"/>
      <c r="J7718" s="309"/>
    </row>
    <row r="7719">
      <c r="B7719" s="309"/>
      <c r="C7719" s="309"/>
      <c r="I7719" s="309"/>
      <c r="J7719" s="309"/>
    </row>
    <row r="7720">
      <c r="B7720" s="309"/>
      <c r="C7720" s="309"/>
      <c r="I7720" s="309"/>
      <c r="J7720" s="309"/>
    </row>
    <row r="7721">
      <c r="B7721" s="309"/>
      <c r="C7721" s="309"/>
      <c r="I7721" s="309"/>
      <c r="J7721" s="309"/>
    </row>
    <row r="7722">
      <c r="B7722" s="309"/>
      <c r="C7722" s="309"/>
      <c r="I7722" s="309"/>
      <c r="J7722" s="309"/>
    </row>
    <row r="7723">
      <c r="B7723" s="309"/>
      <c r="C7723" s="309"/>
      <c r="I7723" s="309"/>
      <c r="J7723" s="309"/>
    </row>
    <row r="7724">
      <c r="B7724" s="309"/>
      <c r="C7724" s="309"/>
      <c r="I7724" s="309"/>
      <c r="J7724" s="309"/>
    </row>
    <row r="7725">
      <c r="B7725" s="309"/>
      <c r="C7725" s="309"/>
      <c r="I7725" s="309"/>
      <c r="J7725" s="309"/>
    </row>
    <row r="7726">
      <c r="B7726" s="309"/>
      <c r="C7726" s="309"/>
      <c r="I7726" s="309"/>
      <c r="J7726" s="309"/>
    </row>
    <row r="7727">
      <c r="B7727" s="309"/>
      <c r="C7727" s="309"/>
      <c r="I7727" s="309"/>
      <c r="J7727" s="309"/>
    </row>
    <row r="7728">
      <c r="B7728" s="309"/>
      <c r="C7728" s="309"/>
      <c r="I7728" s="309"/>
      <c r="J7728" s="309"/>
    </row>
    <row r="7729">
      <c r="B7729" s="309"/>
      <c r="C7729" s="309"/>
      <c r="I7729" s="309"/>
      <c r="J7729" s="309"/>
    </row>
    <row r="7730">
      <c r="B7730" s="309"/>
      <c r="C7730" s="309"/>
      <c r="I7730" s="309"/>
      <c r="J7730" s="309"/>
    </row>
    <row r="7731">
      <c r="B7731" s="309"/>
      <c r="C7731" s="309"/>
      <c r="I7731" s="309"/>
      <c r="J7731" s="309"/>
    </row>
    <row r="7732">
      <c r="B7732" s="309"/>
      <c r="C7732" s="309"/>
      <c r="I7732" s="309"/>
      <c r="J7732" s="309"/>
    </row>
    <row r="7733">
      <c r="B7733" s="309"/>
      <c r="C7733" s="309"/>
      <c r="I7733" s="309"/>
      <c r="J7733" s="309"/>
    </row>
    <row r="7734">
      <c r="B7734" s="309"/>
      <c r="C7734" s="309"/>
      <c r="I7734" s="309"/>
      <c r="J7734" s="309"/>
    </row>
    <row r="7735">
      <c r="B7735" s="309"/>
      <c r="C7735" s="309"/>
      <c r="I7735" s="309"/>
      <c r="J7735" s="309"/>
    </row>
    <row r="7736">
      <c r="B7736" s="309"/>
      <c r="C7736" s="309"/>
      <c r="I7736" s="309"/>
      <c r="J7736" s="309"/>
    </row>
    <row r="7737">
      <c r="B7737" s="309"/>
      <c r="C7737" s="309"/>
      <c r="I7737" s="309"/>
      <c r="J7737" s="309"/>
    </row>
    <row r="7738">
      <c r="B7738" s="309"/>
      <c r="C7738" s="309"/>
      <c r="I7738" s="309"/>
      <c r="J7738" s="309"/>
    </row>
    <row r="7739">
      <c r="B7739" s="309"/>
      <c r="C7739" s="309"/>
      <c r="I7739" s="309"/>
      <c r="J7739" s="309"/>
    </row>
    <row r="7740">
      <c r="B7740" s="309"/>
      <c r="C7740" s="309"/>
      <c r="I7740" s="309"/>
      <c r="J7740" s="309"/>
    </row>
    <row r="7741">
      <c r="B7741" s="309"/>
      <c r="C7741" s="309"/>
      <c r="I7741" s="309"/>
      <c r="J7741" s="309"/>
    </row>
    <row r="7742">
      <c r="B7742" s="309"/>
      <c r="C7742" s="309"/>
      <c r="I7742" s="309"/>
      <c r="J7742" s="309"/>
    </row>
    <row r="7743">
      <c r="B7743" s="309"/>
      <c r="C7743" s="309"/>
      <c r="I7743" s="309"/>
      <c r="J7743" s="309"/>
    </row>
    <row r="7744">
      <c r="B7744" s="309"/>
      <c r="C7744" s="309"/>
      <c r="I7744" s="309"/>
      <c r="J7744" s="309"/>
    </row>
    <row r="7745">
      <c r="B7745" s="309"/>
      <c r="C7745" s="309"/>
      <c r="I7745" s="309"/>
      <c r="J7745" s="309"/>
    </row>
    <row r="7746">
      <c r="B7746" s="309"/>
      <c r="C7746" s="309"/>
      <c r="I7746" s="309"/>
      <c r="J7746" s="309"/>
    </row>
    <row r="7747">
      <c r="B7747" s="309"/>
      <c r="C7747" s="309"/>
      <c r="I7747" s="309"/>
      <c r="J7747" s="309"/>
    </row>
    <row r="7748">
      <c r="B7748" s="309"/>
      <c r="C7748" s="309"/>
      <c r="I7748" s="309"/>
      <c r="J7748" s="309"/>
    </row>
    <row r="7749">
      <c r="B7749" s="309"/>
      <c r="C7749" s="309"/>
      <c r="I7749" s="309"/>
      <c r="J7749" s="309"/>
    </row>
    <row r="7750">
      <c r="B7750" s="309"/>
      <c r="C7750" s="309"/>
      <c r="I7750" s="309"/>
      <c r="J7750" s="309"/>
    </row>
    <row r="7751">
      <c r="B7751" s="309"/>
      <c r="C7751" s="309"/>
      <c r="I7751" s="309"/>
      <c r="J7751" s="309"/>
    </row>
    <row r="7752">
      <c r="B7752" s="309"/>
      <c r="C7752" s="309"/>
      <c r="I7752" s="309"/>
      <c r="J7752" s="309"/>
    </row>
    <row r="7753">
      <c r="B7753" s="309"/>
      <c r="C7753" s="309"/>
      <c r="I7753" s="309"/>
      <c r="J7753" s="309"/>
    </row>
    <row r="7754">
      <c r="B7754" s="309"/>
      <c r="C7754" s="309"/>
      <c r="I7754" s="309"/>
      <c r="J7754" s="309"/>
    </row>
    <row r="7755">
      <c r="B7755" s="309"/>
      <c r="C7755" s="309"/>
      <c r="I7755" s="309"/>
      <c r="J7755" s="309"/>
    </row>
    <row r="7756">
      <c r="B7756" s="309"/>
      <c r="C7756" s="309"/>
      <c r="I7756" s="309"/>
      <c r="J7756" s="309"/>
    </row>
    <row r="7757">
      <c r="B7757" s="309"/>
      <c r="C7757" s="309"/>
      <c r="I7757" s="309"/>
      <c r="J7757" s="309"/>
    </row>
    <row r="7758">
      <c r="B7758" s="309"/>
      <c r="C7758" s="309"/>
      <c r="I7758" s="309"/>
      <c r="J7758" s="309"/>
    </row>
    <row r="7759">
      <c r="B7759" s="309"/>
      <c r="C7759" s="309"/>
      <c r="I7759" s="309"/>
      <c r="J7759" s="309"/>
    </row>
    <row r="7760">
      <c r="B7760" s="309"/>
      <c r="C7760" s="309"/>
      <c r="I7760" s="309"/>
      <c r="J7760" s="309"/>
    </row>
    <row r="7761">
      <c r="B7761" s="309"/>
      <c r="C7761" s="309"/>
      <c r="I7761" s="309"/>
      <c r="J7761" s="309"/>
    </row>
    <row r="7762">
      <c r="B7762" s="309"/>
      <c r="C7762" s="309"/>
      <c r="I7762" s="309"/>
      <c r="J7762" s="309"/>
    </row>
    <row r="7763">
      <c r="B7763" s="309"/>
      <c r="C7763" s="309"/>
      <c r="I7763" s="309"/>
      <c r="J7763" s="309"/>
    </row>
    <row r="7764">
      <c r="B7764" s="309"/>
      <c r="C7764" s="309"/>
      <c r="I7764" s="309"/>
      <c r="J7764" s="309"/>
    </row>
    <row r="7765">
      <c r="B7765" s="309"/>
      <c r="C7765" s="309"/>
      <c r="I7765" s="309"/>
      <c r="J7765" s="309"/>
    </row>
    <row r="7766">
      <c r="B7766" s="309"/>
      <c r="C7766" s="309"/>
      <c r="I7766" s="309"/>
      <c r="J7766" s="309"/>
    </row>
    <row r="7767">
      <c r="B7767" s="309"/>
      <c r="C7767" s="309"/>
      <c r="I7767" s="309"/>
      <c r="J7767" s="309"/>
    </row>
    <row r="7768">
      <c r="B7768" s="309"/>
      <c r="C7768" s="309"/>
      <c r="I7768" s="309"/>
      <c r="J7768" s="309"/>
    </row>
    <row r="7769">
      <c r="B7769" s="309"/>
      <c r="C7769" s="309"/>
      <c r="I7769" s="309"/>
      <c r="J7769" s="309"/>
    </row>
    <row r="7770">
      <c r="B7770" s="309"/>
      <c r="C7770" s="309"/>
      <c r="I7770" s="309"/>
      <c r="J7770" s="309"/>
    </row>
    <row r="7771">
      <c r="B7771" s="309"/>
      <c r="C7771" s="309"/>
      <c r="I7771" s="309"/>
      <c r="J7771" s="309"/>
    </row>
    <row r="7772">
      <c r="B7772" s="309"/>
      <c r="C7772" s="309"/>
      <c r="I7772" s="309"/>
      <c r="J7772" s="309"/>
    </row>
    <row r="7773">
      <c r="B7773" s="309"/>
      <c r="C7773" s="309"/>
      <c r="I7773" s="309"/>
      <c r="J7773" s="309"/>
    </row>
    <row r="7774">
      <c r="B7774" s="309"/>
      <c r="C7774" s="309"/>
      <c r="I7774" s="309"/>
      <c r="J7774" s="309"/>
    </row>
    <row r="7775">
      <c r="B7775" s="309"/>
      <c r="C7775" s="309"/>
      <c r="I7775" s="309"/>
      <c r="J7775" s="309"/>
    </row>
    <row r="7776">
      <c r="B7776" s="309"/>
      <c r="C7776" s="309"/>
      <c r="I7776" s="309"/>
      <c r="J7776" s="309"/>
    </row>
    <row r="7777">
      <c r="B7777" s="309"/>
      <c r="C7777" s="309"/>
      <c r="I7777" s="309"/>
      <c r="J7777" s="309"/>
    </row>
    <row r="7778">
      <c r="B7778" s="309"/>
      <c r="C7778" s="309"/>
      <c r="I7778" s="309"/>
      <c r="J7778" s="309"/>
    </row>
    <row r="7779">
      <c r="B7779" s="309"/>
      <c r="C7779" s="309"/>
      <c r="I7779" s="309"/>
      <c r="J7779" s="309"/>
    </row>
    <row r="7780">
      <c r="B7780" s="309"/>
      <c r="C7780" s="309"/>
      <c r="I7780" s="309"/>
      <c r="J7780" s="309"/>
    </row>
    <row r="7781">
      <c r="B7781" s="309"/>
      <c r="C7781" s="309"/>
      <c r="I7781" s="309"/>
      <c r="J7781" s="309"/>
    </row>
    <row r="7782">
      <c r="B7782" s="309"/>
      <c r="C7782" s="309"/>
      <c r="I7782" s="309"/>
      <c r="J7782" s="309"/>
    </row>
    <row r="7783">
      <c r="B7783" s="309"/>
      <c r="C7783" s="309"/>
      <c r="I7783" s="309"/>
      <c r="J7783" s="309"/>
    </row>
    <row r="7784">
      <c r="B7784" s="309"/>
      <c r="C7784" s="309"/>
      <c r="I7784" s="309"/>
      <c r="J7784" s="309"/>
    </row>
    <row r="7785">
      <c r="B7785" s="309"/>
      <c r="C7785" s="309"/>
      <c r="I7785" s="309"/>
      <c r="J7785" s="309"/>
    </row>
    <row r="7786">
      <c r="B7786" s="309"/>
      <c r="C7786" s="309"/>
      <c r="I7786" s="309"/>
      <c r="J7786" s="309"/>
    </row>
    <row r="7787">
      <c r="B7787" s="309"/>
      <c r="C7787" s="309"/>
      <c r="I7787" s="309"/>
      <c r="J7787" s="309"/>
    </row>
    <row r="7788">
      <c r="B7788" s="309"/>
      <c r="C7788" s="309"/>
      <c r="I7788" s="309"/>
      <c r="J7788" s="309"/>
    </row>
    <row r="7789">
      <c r="B7789" s="309"/>
      <c r="C7789" s="309"/>
      <c r="I7789" s="309"/>
      <c r="J7789" s="309"/>
    </row>
    <row r="7790">
      <c r="B7790" s="309"/>
      <c r="C7790" s="309"/>
      <c r="I7790" s="309"/>
      <c r="J7790" s="309"/>
    </row>
    <row r="7791">
      <c r="B7791" s="309"/>
      <c r="C7791" s="309"/>
      <c r="I7791" s="309"/>
      <c r="J7791" s="309"/>
    </row>
    <row r="7792">
      <c r="B7792" s="309"/>
      <c r="C7792" s="309"/>
      <c r="I7792" s="309"/>
      <c r="J7792" s="309"/>
    </row>
    <row r="7793">
      <c r="B7793" s="309"/>
      <c r="C7793" s="309"/>
      <c r="I7793" s="309"/>
      <c r="J7793" s="309"/>
    </row>
    <row r="7794">
      <c r="B7794" s="309"/>
      <c r="C7794" s="309"/>
      <c r="I7794" s="309"/>
      <c r="J7794" s="309"/>
    </row>
    <row r="7795">
      <c r="B7795" s="309"/>
      <c r="C7795" s="309"/>
      <c r="I7795" s="309"/>
      <c r="J7795" s="309"/>
    </row>
    <row r="7796">
      <c r="B7796" s="309"/>
      <c r="C7796" s="309"/>
      <c r="I7796" s="309"/>
      <c r="J7796" s="309"/>
    </row>
    <row r="7797">
      <c r="B7797" s="309"/>
      <c r="C7797" s="309"/>
      <c r="I7797" s="309"/>
      <c r="J7797" s="309"/>
    </row>
    <row r="7798">
      <c r="B7798" s="309"/>
      <c r="C7798" s="309"/>
      <c r="I7798" s="309"/>
      <c r="J7798" s="309"/>
    </row>
    <row r="7799">
      <c r="B7799" s="309"/>
      <c r="C7799" s="309"/>
      <c r="I7799" s="309"/>
      <c r="J7799" s="309"/>
    </row>
    <row r="7800">
      <c r="B7800" s="309"/>
      <c r="C7800" s="309"/>
      <c r="I7800" s="309"/>
      <c r="J7800" s="309"/>
    </row>
    <row r="7801">
      <c r="B7801" s="309"/>
      <c r="C7801" s="309"/>
      <c r="I7801" s="309"/>
      <c r="J7801" s="309"/>
    </row>
    <row r="7802">
      <c r="B7802" s="309"/>
      <c r="C7802" s="309"/>
      <c r="I7802" s="309"/>
      <c r="J7802" s="309"/>
    </row>
    <row r="7803">
      <c r="B7803" s="309"/>
      <c r="C7803" s="309"/>
      <c r="I7803" s="309"/>
      <c r="J7803" s="309"/>
    </row>
    <row r="7804">
      <c r="B7804" s="309"/>
      <c r="C7804" s="309"/>
      <c r="I7804" s="309"/>
      <c r="J7804" s="309"/>
    </row>
    <row r="7805">
      <c r="B7805" s="309"/>
      <c r="C7805" s="309"/>
      <c r="I7805" s="309"/>
      <c r="J7805" s="309"/>
    </row>
    <row r="7806">
      <c r="B7806" s="309"/>
      <c r="C7806" s="309"/>
      <c r="I7806" s="309"/>
      <c r="J7806" s="309"/>
    </row>
    <row r="7807">
      <c r="B7807" s="309"/>
      <c r="C7807" s="309"/>
      <c r="I7807" s="309"/>
      <c r="J7807" s="309"/>
    </row>
    <row r="7808">
      <c r="B7808" s="309"/>
      <c r="C7808" s="309"/>
      <c r="I7808" s="309"/>
      <c r="J7808" s="309"/>
    </row>
    <row r="7809">
      <c r="B7809" s="309"/>
      <c r="C7809" s="309"/>
      <c r="I7809" s="309"/>
      <c r="J7809" s="309"/>
    </row>
    <row r="7810">
      <c r="B7810" s="309"/>
      <c r="C7810" s="309"/>
      <c r="I7810" s="309"/>
      <c r="J7810" s="309"/>
    </row>
    <row r="7811">
      <c r="B7811" s="309"/>
      <c r="C7811" s="309"/>
      <c r="I7811" s="309"/>
      <c r="J7811" s="309"/>
    </row>
    <row r="7812">
      <c r="B7812" s="309"/>
      <c r="C7812" s="309"/>
      <c r="I7812" s="309"/>
      <c r="J7812" s="309"/>
    </row>
    <row r="7813">
      <c r="B7813" s="309"/>
      <c r="C7813" s="309"/>
      <c r="I7813" s="309"/>
      <c r="J7813" s="309"/>
    </row>
    <row r="7814">
      <c r="B7814" s="309"/>
      <c r="C7814" s="309"/>
      <c r="I7814" s="309"/>
      <c r="J7814" s="309"/>
    </row>
    <row r="7815">
      <c r="B7815" s="309"/>
      <c r="C7815" s="309"/>
      <c r="I7815" s="309"/>
      <c r="J7815" s="309"/>
    </row>
    <row r="7816">
      <c r="B7816" s="309"/>
      <c r="C7816" s="309"/>
      <c r="I7816" s="309"/>
      <c r="J7816" s="309"/>
    </row>
    <row r="7817">
      <c r="B7817" s="309"/>
      <c r="C7817" s="309"/>
      <c r="I7817" s="309"/>
      <c r="J7817" s="309"/>
    </row>
    <row r="7818">
      <c r="B7818" s="309"/>
      <c r="C7818" s="309"/>
      <c r="I7818" s="309"/>
      <c r="J7818" s="309"/>
    </row>
    <row r="7819">
      <c r="B7819" s="309"/>
      <c r="C7819" s="309"/>
      <c r="I7819" s="309"/>
      <c r="J7819" s="309"/>
    </row>
    <row r="7820">
      <c r="B7820" s="309"/>
      <c r="C7820" s="309"/>
      <c r="I7820" s="309"/>
      <c r="J7820" s="309"/>
    </row>
    <row r="7821">
      <c r="B7821" s="309"/>
      <c r="C7821" s="309"/>
      <c r="I7821" s="309"/>
      <c r="J7821" s="309"/>
    </row>
    <row r="7822">
      <c r="B7822" s="309"/>
      <c r="C7822" s="309"/>
      <c r="I7822" s="309"/>
      <c r="J7822" s="309"/>
    </row>
    <row r="7823">
      <c r="B7823" s="309"/>
      <c r="C7823" s="309"/>
      <c r="I7823" s="309"/>
      <c r="J7823" s="309"/>
    </row>
    <row r="7824">
      <c r="B7824" s="309"/>
      <c r="C7824" s="309"/>
      <c r="I7824" s="309"/>
      <c r="J7824" s="309"/>
    </row>
    <row r="7825">
      <c r="B7825" s="309"/>
      <c r="C7825" s="309"/>
      <c r="I7825" s="309"/>
      <c r="J7825" s="309"/>
    </row>
    <row r="7826">
      <c r="B7826" s="309"/>
      <c r="C7826" s="309"/>
      <c r="I7826" s="309"/>
      <c r="J7826" s="309"/>
    </row>
    <row r="7827">
      <c r="B7827" s="309"/>
      <c r="C7827" s="309"/>
      <c r="I7827" s="309"/>
      <c r="J7827" s="309"/>
    </row>
    <row r="7828">
      <c r="B7828" s="309"/>
      <c r="C7828" s="309"/>
      <c r="I7828" s="309"/>
      <c r="J7828" s="309"/>
    </row>
    <row r="7829">
      <c r="B7829" s="309"/>
      <c r="C7829" s="309"/>
      <c r="I7829" s="309"/>
      <c r="J7829" s="309"/>
    </row>
    <row r="7830">
      <c r="B7830" s="309"/>
      <c r="C7830" s="309"/>
      <c r="I7830" s="309"/>
      <c r="J7830" s="309"/>
    </row>
    <row r="7831">
      <c r="B7831" s="309"/>
      <c r="C7831" s="309"/>
      <c r="I7831" s="309"/>
      <c r="J7831" s="309"/>
    </row>
    <row r="7832">
      <c r="B7832" s="309"/>
      <c r="C7832" s="309"/>
      <c r="I7832" s="309"/>
      <c r="J7832" s="309"/>
    </row>
    <row r="7833">
      <c r="B7833" s="309"/>
      <c r="C7833" s="309"/>
      <c r="I7833" s="309"/>
      <c r="J7833" s="309"/>
    </row>
    <row r="7834">
      <c r="B7834" s="309"/>
      <c r="C7834" s="309"/>
      <c r="I7834" s="309"/>
      <c r="J7834" s="309"/>
    </row>
    <row r="7835">
      <c r="B7835" s="309"/>
      <c r="C7835" s="309"/>
      <c r="I7835" s="309"/>
      <c r="J7835" s="309"/>
    </row>
    <row r="7836">
      <c r="B7836" s="309"/>
      <c r="C7836" s="309"/>
      <c r="I7836" s="309"/>
      <c r="J7836" s="309"/>
    </row>
    <row r="7837">
      <c r="B7837" s="309"/>
      <c r="C7837" s="309"/>
      <c r="I7837" s="309"/>
      <c r="J7837" s="309"/>
    </row>
    <row r="7838">
      <c r="B7838" s="309"/>
      <c r="C7838" s="309"/>
      <c r="I7838" s="309"/>
      <c r="J7838" s="309"/>
    </row>
    <row r="7839">
      <c r="B7839" s="309"/>
      <c r="C7839" s="309"/>
      <c r="I7839" s="309"/>
      <c r="J7839" s="309"/>
    </row>
    <row r="7840">
      <c r="B7840" s="309"/>
      <c r="C7840" s="309"/>
      <c r="I7840" s="309"/>
      <c r="J7840" s="309"/>
    </row>
    <row r="7841">
      <c r="B7841" s="309"/>
      <c r="C7841" s="309"/>
      <c r="I7841" s="309"/>
      <c r="J7841" s="309"/>
    </row>
    <row r="7842">
      <c r="B7842" s="309"/>
      <c r="C7842" s="309"/>
      <c r="I7842" s="309"/>
      <c r="J7842" s="309"/>
    </row>
    <row r="7843">
      <c r="B7843" s="309"/>
      <c r="C7843" s="309"/>
      <c r="I7843" s="309"/>
      <c r="J7843" s="309"/>
    </row>
    <row r="7844">
      <c r="B7844" s="309"/>
      <c r="C7844" s="309"/>
      <c r="I7844" s="309"/>
      <c r="J7844" s="309"/>
    </row>
    <row r="7845">
      <c r="B7845" s="309"/>
      <c r="C7845" s="309"/>
      <c r="I7845" s="309"/>
      <c r="J7845" s="309"/>
    </row>
    <row r="7846">
      <c r="B7846" s="309"/>
      <c r="C7846" s="309"/>
      <c r="I7846" s="309"/>
      <c r="J7846" s="309"/>
    </row>
    <row r="7847">
      <c r="B7847" s="309"/>
      <c r="C7847" s="309"/>
      <c r="I7847" s="309"/>
      <c r="J7847" s="309"/>
    </row>
    <row r="7848">
      <c r="B7848" s="309"/>
      <c r="C7848" s="309"/>
      <c r="I7848" s="309"/>
      <c r="J7848" s="309"/>
    </row>
    <row r="7849">
      <c r="B7849" s="309"/>
      <c r="C7849" s="309"/>
      <c r="I7849" s="309"/>
      <c r="J7849" s="309"/>
    </row>
    <row r="7850">
      <c r="B7850" s="309"/>
      <c r="C7850" s="309"/>
      <c r="I7850" s="309"/>
      <c r="J7850" s="309"/>
    </row>
    <row r="7851">
      <c r="B7851" s="309"/>
      <c r="C7851" s="309"/>
      <c r="I7851" s="309"/>
      <c r="J7851" s="309"/>
    </row>
    <row r="7852">
      <c r="B7852" s="309"/>
      <c r="C7852" s="309"/>
      <c r="I7852" s="309"/>
      <c r="J7852" s="309"/>
    </row>
    <row r="7853">
      <c r="B7853" s="309"/>
      <c r="C7853" s="309"/>
      <c r="I7853" s="309"/>
      <c r="J7853" s="309"/>
    </row>
    <row r="7854">
      <c r="B7854" s="309"/>
      <c r="C7854" s="309"/>
      <c r="I7854" s="309"/>
      <c r="J7854" s="309"/>
    </row>
    <row r="7855">
      <c r="B7855" s="309"/>
      <c r="C7855" s="309"/>
      <c r="I7855" s="309"/>
      <c r="J7855" s="309"/>
    </row>
    <row r="7856">
      <c r="B7856" s="309"/>
      <c r="C7856" s="309"/>
      <c r="I7856" s="309"/>
      <c r="J7856" s="309"/>
    </row>
    <row r="7857">
      <c r="B7857" s="309"/>
      <c r="C7857" s="309"/>
      <c r="I7857" s="309"/>
      <c r="J7857" s="309"/>
    </row>
    <row r="7858">
      <c r="B7858" s="309"/>
      <c r="C7858" s="309"/>
      <c r="I7858" s="309"/>
      <c r="J7858" s="309"/>
    </row>
    <row r="7859">
      <c r="B7859" s="309"/>
      <c r="C7859" s="309"/>
      <c r="I7859" s="309"/>
      <c r="J7859" s="309"/>
    </row>
    <row r="7860">
      <c r="B7860" s="309"/>
      <c r="C7860" s="309"/>
      <c r="I7860" s="309"/>
      <c r="J7860" s="309"/>
    </row>
    <row r="7861">
      <c r="B7861" s="309"/>
      <c r="C7861" s="309"/>
      <c r="I7861" s="309"/>
      <c r="J7861" s="309"/>
    </row>
    <row r="7862">
      <c r="B7862" s="309"/>
      <c r="C7862" s="309"/>
      <c r="I7862" s="309"/>
      <c r="J7862" s="309"/>
    </row>
    <row r="7863">
      <c r="B7863" s="309"/>
      <c r="C7863" s="309"/>
      <c r="I7863" s="309"/>
      <c r="J7863" s="309"/>
    </row>
    <row r="7864">
      <c r="B7864" s="309"/>
      <c r="C7864" s="309"/>
      <c r="I7864" s="309"/>
      <c r="J7864" s="309"/>
    </row>
    <row r="7865">
      <c r="B7865" s="309"/>
      <c r="C7865" s="309"/>
      <c r="I7865" s="309"/>
      <c r="J7865" s="309"/>
    </row>
    <row r="7866">
      <c r="B7866" s="309"/>
      <c r="C7866" s="309"/>
      <c r="I7866" s="309"/>
      <c r="J7866" s="309"/>
    </row>
    <row r="7867">
      <c r="B7867" s="309"/>
      <c r="C7867" s="309"/>
      <c r="I7867" s="309"/>
      <c r="J7867" s="309"/>
    </row>
    <row r="7868">
      <c r="B7868" s="309"/>
      <c r="C7868" s="309"/>
      <c r="I7868" s="309"/>
      <c r="J7868" s="309"/>
    </row>
    <row r="7869">
      <c r="B7869" s="309"/>
      <c r="C7869" s="309"/>
      <c r="I7869" s="309"/>
      <c r="J7869" s="309"/>
    </row>
    <row r="7870">
      <c r="B7870" s="309"/>
      <c r="C7870" s="309"/>
      <c r="I7870" s="309"/>
      <c r="J7870" s="309"/>
    </row>
    <row r="7871">
      <c r="B7871" s="309"/>
      <c r="C7871" s="309"/>
      <c r="I7871" s="309"/>
      <c r="J7871" s="309"/>
    </row>
    <row r="7872">
      <c r="B7872" s="309"/>
      <c r="C7872" s="309"/>
      <c r="I7872" s="309"/>
      <c r="J7872" s="309"/>
    </row>
    <row r="7873">
      <c r="B7873" s="309"/>
      <c r="C7873" s="309"/>
      <c r="I7873" s="309"/>
      <c r="J7873" s="309"/>
    </row>
    <row r="7874">
      <c r="B7874" s="309"/>
      <c r="C7874" s="309"/>
      <c r="I7874" s="309"/>
      <c r="J7874" s="309"/>
    </row>
    <row r="7875">
      <c r="B7875" s="309"/>
      <c r="C7875" s="309"/>
      <c r="I7875" s="309"/>
      <c r="J7875" s="309"/>
    </row>
    <row r="7876">
      <c r="B7876" s="309"/>
      <c r="C7876" s="309"/>
      <c r="I7876" s="309"/>
      <c r="J7876" s="309"/>
    </row>
    <row r="7877">
      <c r="B7877" s="309"/>
      <c r="C7877" s="309"/>
      <c r="I7877" s="309"/>
      <c r="J7877" s="309"/>
    </row>
    <row r="7878">
      <c r="B7878" s="309"/>
      <c r="C7878" s="309"/>
      <c r="I7878" s="309"/>
      <c r="J7878" s="309"/>
    </row>
    <row r="7879">
      <c r="B7879" s="309"/>
      <c r="C7879" s="309"/>
      <c r="I7879" s="309"/>
      <c r="J7879" s="309"/>
    </row>
    <row r="7880">
      <c r="B7880" s="309"/>
      <c r="C7880" s="309"/>
      <c r="I7880" s="309"/>
      <c r="J7880" s="309"/>
    </row>
    <row r="7881">
      <c r="B7881" s="309"/>
      <c r="C7881" s="309"/>
      <c r="I7881" s="309"/>
      <c r="J7881" s="309"/>
    </row>
    <row r="7882">
      <c r="B7882" s="309"/>
      <c r="C7882" s="309"/>
      <c r="I7882" s="309"/>
      <c r="J7882" s="309"/>
    </row>
    <row r="7883">
      <c r="B7883" s="309"/>
      <c r="C7883" s="309"/>
      <c r="I7883" s="309"/>
      <c r="J7883" s="309"/>
    </row>
    <row r="7884">
      <c r="B7884" s="309"/>
      <c r="C7884" s="309"/>
      <c r="I7884" s="309"/>
      <c r="J7884" s="309"/>
    </row>
    <row r="7885">
      <c r="B7885" s="309"/>
      <c r="C7885" s="309"/>
      <c r="I7885" s="309"/>
      <c r="J7885" s="309"/>
    </row>
    <row r="7886">
      <c r="B7886" s="309"/>
      <c r="C7886" s="309"/>
      <c r="I7886" s="309"/>
      <c r="J7886" s="309"/>
    </row>
    <row r="7887">
      <c r="B7887" s="309"/>
      <c r="C7887" s="309"/>
      <c r="I7887" s="309"/>
      <c r="J7887" s="309"/>
    </row>
    <row r="7888">
      <c r="B7888" s="309"/>
      <c r="C7888" s="309"/>
      <c r="I7888" s="309"/>
      <c r="J7888" s="309"/>
    </row>
    <row r="7889">
      <c r="B7889" s="309"/>
      <c r="C7889" s="309"/>
      <c r="I7889" s="309"/>
      <c r="J7889" s="309"/>
    </row>
    <row r="7890">
      <c r="B7890" s="309"/>
      <c r="C7890" s="309"/>
      <c r="I7890" s="309"/>
      <c r="J7890" s="309"/>
    </row>
    <row r="7891">
      <c r="B7891" s="309"/>
      <c r="C7891" s="309"/>
      <c r="I7891" s="309"/>
      <c r="J7891" s="309"/>
    </row>
    <row r="7892">
      <c r="B7892" s="309"/>
      <c r="C7892" s="309"/>
      <c r="I7892" s="309"/>
      <c r="J7892" s="309"/>
    </row>
    <row r="7893">
      <c r="B7893" s="309"/>
      <c r="C7893" s="309"/>
      <c r="I7893" s="309"/>
      <c r="J7893" s="309"/>
    </row>
    <row r="7894">
      <c r="B7894" s="309"/>
      <c r="C7894" s="309"/>
      <c r="I7894" s="309"/>
      <c r="J7894" s="309"/>
    </row>
    <row r="7895">
      <c r="B7895" s="309"/>
      <c r="C7895" s="309"/>
      <c r="I7895" s="309"/>
      <c r="J7895" s="309"/>
    </row>
    <row r="7896">
      <c r="B7896" s="309"/>
      <c r="C7896" s="309"/>
      <c r="I7896" s="309"/>
      <c r="J7896" s="309"/>
    </row>
    <row r="7897">
      <c r="B7897" s="309"/>
      <c r="C7897" s="309"/>
      <c r="I7897" s="309"/>
      <c r="J7897" s="309"/>
    </row>
    <row r="7898">
      <c r="B7898" s="309"/>
      <c r="C7898" s="309"/>
      <c r="I7898" s="309"/>
      <c r="J7898" s="309"/>
    </row>
    <row r="7899">
      <c r="B7899" s="309"/>
      <c r="C7899" s="309"/>
      <c r="I7899" s="309"/>
      <c r="J7899" s="309"/>
    </row>
    <row r="7900">
      <c r="B7900" s="309"/>
      <c r="C7900" s="309"/>
      <c r="I7900" s="309"/>
      <c r="J7900" s="309"/>
    </row>
    <row r="7901">
      <c r="B7901" s="309"/>
      <c r="C7901" s="309"/>
      <c r="I7901" s="309"/>
      <c r="J7901" s="309"/>
    </row>
    <row r="7902">
      <c r="B7902" s="309"/>
      <c r="C7902" s="309"/>
      <c r="I7902" s="309"/>
      <c r="J7902" s="309"/>
    </row>
    <row r="7903">
      <c r="B7903" s="309"/>
      <c r="C7903" s="309"/>
      <c r="I7903" s="309"/>
      <c r="J7903" s="309"/>
    </row>
    <row r="7904">
      <c r="B7904" s="309"/>
      <c r="C7904" s="309"/>
      <c r="I7904" s="309"/>
      <c r="J7904" s="309"/>
    </row>
    <row r="7905">
      <c r="B7905" s="309"/>
      <c r="C7905" s="309"/>
      <c r="I7905" s="309"/>
      <c r="J7905" s="309"/>
    </row>
    <row r="7906">
      <c r="B7906" s="309"/>
      <c r="C7906" s="309"/>
      <c r="I7906" s="309"/>
      <c r="J7906" s="309"/>
    </row>
    <row r="7907">
      <c r="B7907" s="309"/>
      <c r="C7907" s="309"/>
      <c r="I7907" s="309"/>
      <c r="J7907" s="309"/>
    </row>
    <row r="7908">
      <c r="B7908" s="309"/>
      <c r="C7908" s="309"/>
      <c r="I7908" s="309"/>
      <c r="J7908" s="309"/>
    </row>
    <row r="7909">
      <c r="B7909" s="309"/>
      <c r="C7909" s="309"/>
      <c r="I7909" s="309"/>
      <c r="J7909" s="309"/>
    </row>
    <row r="7910">
      <c r="B7910" s="309"/>
      <c r="C7910" s="309"/>
      <c r="I7910" s="309"/>
      <c r="J7910" s="309"/>
    </row>
    <row r="7911">
      <c r="B7911" s="309"/>
      <c r="C7911" s="309"/>
      <c r="I7911" s="309"/>
      <c r="J7911" s="309"/>
    </row>
    <row r="7912">
      <c r="B7912" s="309"/>
      <c r="C7912" s="309"/>
      <c r="I7912" s="309"/>
      <c r="J7912" s="309"/>
    </row>
    <row r="7913">
      <c r="B7913" s="309"/>
      <c r="C7913" s="309"/>
      <c r="I7913" s="309"/>
      <c r="J7913" s="309"/>
    </row>
    <row r="7914">
      <c r="B7914" s="309"/>
      <c r="C7914" s="309"/>
      <c r="I7914" s="309"/>
      <c r="J7914" s="309"/>
    </row>
    <row r="7915">
      <c r="B7915" s="309"/>
      <c r="C7915" s="309"/>
      <c r="I7915" s="309"/>
      <c r="J7915" s="309"/>
    </row>
    <row r="7916">
      <c r="B7916" s="309"/>
      <c r="C7916" s="309"/>
      <c r="I7916" s="309"/>
      <c r="J7916" s="309"/>
    </row>
    <row r="7917">
      <c r="B7917" s="309"/>
      <c r="C7917" s="309"/>
      <c r="I7917" s="309"/>
      <c r="J7917" s="309"/>
    </row>
    <row r="7918">
      <c r="B7918" s="309"/>
      <c r="C7918" s="309"/>
      <c r="I7918" s="309"/>
      <c r="J7918" s="309"/>
    </row>
    <row r="7919">
      <c r="B7919" s="309"/>
      <c r="C7919" s="309"/>
      <c r="I7919" s="309"/>
      <c r="J7919" s="309"/>
    </row>
    <row r="7920">
      <c r="B7920" s="309"/>
      <c r="C7920" s="309"/>
      <c r="I7920" s="309"/>
      <c r="J7920" s="309"/>
    </row>
    <row r="7921">
      <c r="B7921" s="309"/>
      <c r="C7921" s="309"/>
      <c r="I7921" s="309"/>
      <c r="J7921" s="309"/>
    </row>
    <row r="7922">
      <c r="B7922" s="309"/>
      <c r="C7922" s="309"/>
      <c r="I7922" s="309"/>
      <c r="J7922" s="309"/>
    </row>
    <row r="7923">
      <c r="B7923" s="309"/>
      <c r="C7923" s="309"/>
      <c r="I7923" s="309"/>
      <c r="J7923" s="309"/>
    </row>
    <row r="7924">
      <c r="B7924" s="309"/>
      <c r="C7924" s="309"/>
      <c r="I7924" s="309"/>
      <c r="J7924" s="309"/>
    </row>
    <row r="7925">
      <c r="B7925" s="309"/>
      <c r="C7925" s="309"/>
      <c r="I7925" s="309"/>
      <c r="J7925" s="309"/>
    </row>
    <row r="7926">
      <c r="B7926" s="309"/>
      <c r="C7926" s="309"/>
      <c r="I7926" s="309"/>
      <c r="J7926" s="309"/>
    </row>
    <row r="7927">
      <c r="B7927" s="309"/>
      <c r="C7927" s="309"/>
      <c r="I7927" s="309"/>
      <c r="J7927" s="309"/>
    </row>
    <row r="7928">
      <c r="B7928" s="309"/>
      <c r="C7928" s="309"/>
      <c r="I7928" s="309"/>
      <c r="J7928" s="309"/>
    </row>
    <row r="7929">
      <c r="B7929" s="309"/>
      <c r="C7929" s="309"/>
      <c r="I7929" s="309"/>
      <c r="J7929" s="309"/>
    </row>
    <row r="7930">
      <c r="B7930" s="309"/>
      <c r="C7930" s="309"/>
      <c r="I7930" s="309"/>
      <c r="J7930" s="309"/>
    </row>
    <row r="7931">
      <c r="B7931" s="309"/>
      <c r="C7931" s="309"/>
      <c r="I7931" s="309"/>
      <c r="J7931" s="309"/>
    </row>
    <row r="7932">
      <c r="B7932" s="309"/>
      <c r="C7932" s="309"/>
      <c r="I7932" s="309"/>
      <c r="J7932" s="309"/>
    </row>
    <row r="7933">
      <c r="B7933" s="309"/>
      <c r="C7933" s="309"/>
      <c r="I7933" s="309"/>
      <c r="J7933" s="309"/>
    </row>
    <row r="7934">
      <c r="B7934" s="309"/>
      <c r="C7934" s="309"/>
      <c r="I7934" s="309"/>
      <c r="J7934" s="309"/>
    </row>
    <row r="7935">
      <c r="B7935" s="309"/>
      <c r="C7935" s="309"/>
      <c r="I7935" s="309"/>
      <c r="J7935" s="309"/>
    </row>
    <row r="7936">
      <c r="B7936" s="309"/>
      <c r="C7936" s="309"/>
      <c r="I7936" s="309"/>
      <c r="J7936" s="309"/>
    </row>
    <row r="7937">
      <c r="B7937" s="309"/>
      <c r="C7937" s="309"/>
      <c r="I7937" s="309"/>
      <c r="J7937" s="309"/>
    </row>
    <row r="7938">
      <c r="B7938" s="309"/>
      <c r="C7938" s="309"/>
      <c r="I7938" s="309"/>
      <c r="J7938" s="309"/>
    </row>
    <row r="7939">
      <c r="B7939" s="309"/>
      <c r="C7939" s="309"/>
      <c r="I7939" s="309"/>
      <c r="J7939" s="309"/>
    </row>
    <row r="7940">
      <c r="B7940" s="309"/>
      <c r="C7940" s="309"/>
      <c r="I7940" s="309"/>
      <c r="J7940" s="309"/>
    </row>
    <row r="7941">
      <c r="B7941" s="309"/>
      <c r="C7941" s="309"/>
      <c r="I7941" s="309"/>
      <c r="J7941" s="309"/>
    </row>
    <row r="7942">
      <c r="B7942" s="309"/>
      <c r="C7942" s="309"/>
      <c r="I7942" s="309"/>
      <c r="J7942" s="309"/>
    </row>
    <row r="7943">
      <c r="B7943" s="309"/>
      <c r="C7943" s="309"/>
      <c r="I7943" s="309"/>
      <c r="J7943" s="309"/>
    </row>
    <row r="7944">
      <c r="B7944" s="309"/>
      <c r="C7944" s="309"/>
      <c r="I7944" s="309"/>
      <c r="J7944" s="309"/>
    </row>
    <row r="7945">
      <c r="B7945" s="309"/>
      <c r="C7945" s="309"/>
      <c r="I7945" s="309"/>
      <c r="J7945" s="309"/>
    </row>
    <row r="7946">
      <c r="B7946" s="309"/>
      <c r="C7946" s="309"/>
      <c r="I7946" s="309"/>
      <c r="J7946" s="309"/>
    </row>
    <row r="7947">
      <c r="B7947" s="309"/>
      <c r="C7947" s="309"/>
      <c r="I7947" s="309"/>
      <c r="J7947" s="309"/>
    </row>
    <row r="7948">
      <c r="B7948" s="309"/>
      <c r="C7948" s="309"/>
      <c r="I7948" s="309"/>
      <c r="J7948" s="309"/>
    </row>
    <row r="7949">
      <c r="B7949" s="309"/>
      <c r="C7949" s="309"/>
      <c r="I7949" s="309"/>
      <c r="J7949" s="309"/>
    </row>
    <row r="7950">
      <c r="B7950" s="309"/>
      <c r="C7950" s="309"/>
      <c r="I7950" s="309"/>
      <c r="J7950" s="309"/>
    </row>
    <row r="7951">
      <c r="B7951" s="309"/>
      <c r="C7951" s="309"/>
      <c r="I7951" s="309"/>
      <c r="J7951" s="309"/>
    </row>
    <row r="7952">
      <c r="B7952" s="309"/>
      <c r="C7952" s="309"/>
      <c r="I7952" s="309"/>
      <c r="J7952" s="309"/>
    </row>
    <row r="7953">
      <c r="B7953" s="309"/>
      <c r="C7953" s="309"/>
      <c r="I7953" s="309"/>
      <c r="J7953" s="309"/>
    </row>
    <row r="7954">
      <c r="B7954" s="309"/>
      <c r="C7954" s="309"/>
      <c r="I7954" s="309"/>
      <c r="J7954" s="309"/>
    </row>
    <row r="7955">
      <c r="B7955" s="309"/>
      <c r="C7955" s="309"/>
      <c r="I7955" s="309"/>
      <c r="J7955" s="309"/>
    </row>
    <row r="7956">
      <c r="B7956" s="309"/>
      <c r="C7956" s="309"/>
      <c r="I7956" s="309"/>
      <c r="J7956" s="309"/>
    </row>
    <row r="7957">
      <c r="B7957" s="309"/>
      <c r="C7957" s="309"/>
      <c r="I7957" s="309"/>
      <c r="J7957" s="309"/>
    </row>
    <row r="7958">
      <c r="B7958" s="309"/>
      <c r="C7958" s="309"/>
      <c r="I7958" s="309"/>
      <c r="J7958" s="309"/>
    </row>
    <row r="7959">
      <c r="B7959" s="309"/>
      <c r="C7959" s="309"/>
      <c r="I7959" s="309"/>
      <c r="J7959" s="309"/>
    </row>
    <row r="7960">
      <c r="B7960" s="309"/>
      <c r="C7960" s="309"/>
      <c r="I7960" s="309"/>
      <c r="J7960" s="309"/>
    </row>
    <row r="7961">
      <c r="B7961" s="309"/>
      <c r="C7961" s="309"/>
      <c r="I7961" s="309"/>
      <c r="J7961" s="309"/>
    </row>
    <row r="7962">
      <c r="B7962" s="309"/>
      <c r="C7962" s="309"/>
      <c r="I7962" s="309"/>
      <c r="J7962" s="309"/>
    </row>
    <row r="7963">
      <c r="B7963" s="309"/>
      <c r="C7963" s="309"/>
      <c r="I7963" s="309"/>
      <c r="J7963" s="309"/>
    </row>
    <row r="7964">
      <c r="B7964" s="309"/>
      <c r="C7964" s="309"/>
      <c r="I7964" s="309"/>
      <c r="J7964" s="309"/>
    </row>
    <row r="7965">
      <c r="B7965" s="309"/>
      <c r="C7965" s="309"/>
      <c r="I7965" s="309"/>
      <c r="J7965" s="309"/>
    </row>
    <row r="7966">
      <c r="B7966" s="309"/>
      <c r="C7966" s="309"/>
      <c r="I7966" s="309"/>
      <c r="J7966" s="309"/>
    </row>
    <row r="7967">
      <c r="B7967" s="309"/>
      <c r="C7967" s="309"/>
      <c r="I7967" s="309"/>
      <c r="J7967" s="309"/>
    </row>
    <row r="7968">
      <c r="B7968" s="309"/>
      <c r="C7968" s="309"/>
      <c r="I7968" s="309"/>
      <c r="J7968" s="309"/>
    </row>
    <row r="7969">
      <c r="B7969" s="309"/>
      <c r="C7969" s="309"/>
      <c r="I7969" s="309"/>
      <c r="J7969" s="309"/>
    </row>
    <row r="7970">
      <c r="B7970" s="309"/>
      <c r="C7970" s="309"/>
      <c r="I7970" s="309"/>
      <c r="J7970" s="309"/>
    </row>
    <row r="7971">
      <c r="B7971" s="309"/>
      <c r="C7971" s="309"/>
      <c r="I7971" s="309"/>
      <c r="J7971" s="309"/>
    </row>
    <row r="7972">
      <c r="B7972" s="309"/>
      <c r="C7972" s="309"/>
      <c r="I7972" s="309"/>
      <c r="J7972" s="309"/>
    </row>
    <row r="7973">
      <c r="B7973" s="309"/>
      <c r="C7973" s="309"/>
      <c r="I7973" s="309"/>
      <c r="J7973" s="309"/>
    </row>
    <row r="7974">
      <c r="B7974" s="309"/>
      <c r="C7974" s="309"/>
      <c r="I7974" s="309"/>
      <c r="J7974" s="309"/>
    </row>
    <row r="7975">
      <c r="B7975" s="309"/>
      <c r="C7975" s="309"/>
      <c r="I7975" s="309"/>
      <c r="J7975" s="309"/>
    </row>
    <row r="7976">
      <c r="B7976" s="309"/>
      <c r="C7976" s="309"/>
      <c r="I7976" s="309"/>
      <c r="J7976" s="309"/>
    </row>
    <row r="7977">
      <c r="B7977" s="309"/>
      <c r="C7977" s="309"/>
      <c r="I7977" s="309"/>
      <c r="J7977" s="309"/>
    </row>
    <row r="7978">
      <c r="B7978" s="309"/>
      <c r="C7978" s="309"/>
      <c r="I7978" s="309"/>
      <c r="J7978" s="309"/>
    </row>
    <row r="7979">
      <c r="B7979" s="309"/>
      <c r="C7979" s="309"/>
      <c r="I7979" s="309"/>
      <c r="J7979" s="309"/>
    </row>
    <row r="7980">
      <c r="B7980" s="309"/>
      <c r="C7980" s="309"/>
      <c r="I7980" s="309"/>
      <c r="J7980" s="309"/>
    </row>
    <row r="7981">
      <c r="B7981" s="309"/>
      <c r="C7981" s="309"/>
      <c r="I7981" s="309"/>
      <c r="J7981" s="309"/>
    </row>
    <row r="7982">
      <c r="B7982" s="309"/>
      <c r="C7982" s="309"/>
      <c r="I7982" s="309"/>
      <c r="J7982" s="309"/>
    </row>
    <row r="7983">
      <c r="B7983" s="309"/>
      <c r="C7983" s="309"/>
      <c r="I7983" s="309"/>
      <c r="J7983" s="309"/>
    </row>
    <row r="7984">
      <c r="B7984" s="309"/>
      <c r="C7984" s="309"/>
      <c r="I7984" s="309"/>
      <c r="J7984" s="309"/>
    </row>
    <row r="7985">
      <c r="B7985" s="309"/>
      <c r="C7985" s="309"/>
      <c r="I7985" s="309"/>
      <c r="J7985" s="309"/>
    </row>
    <row r="7986">
      <c r="B7986" s="309"/>
      <c r="C7986" s="309"/>
      <c r="I7986" s="309"/>
      <c r="J7986" s="309"/>
    </row>
    <row r="7987">
      <c r="B7987" s="309"/>
      <c r="C7987" s="309"/>
      <c r="I7987" s="309"/>
      <c r="J7987" s="309"/>
    </row>
    <row r="7988">
      <c r="B7988" s="309"/>
      <c r="C7988" s="309"/>
      <c r="I7988" s="309"/>
      <c r="J7988" s="309"/>
    </row>
    <row r="7989">
      <c r="B7989" s="309"/>
      <c r="C7989" s="309"/>
      <c r="I7989" s="309"/>
      <c r="J7989" s="309"/>
    </row>
    <row r="7990">
      <c r="B7990" s="309"/>
      <c r="C7990" s="309"/>
      <c r="I7990" s="309"/>
      <c r="J7990" s="309"/>
    </row>
    <row r="7991">
      <c r="B7991" s="309"/>
      <c r="C7991" s="309"/>
      <c r="I7991" s="309"/>
      <c r="J7991" s="309"/>
    </row>
    <row r="7992">
      <c r="B7992" s="309"/>
      <c r="C7992" s="309"/>
      <c r="I7992" s="309"/>
      <c r="J7992" s="309"/>
    </row>
    <row r="7993">
      <c r="B7993" s="309"/>
      <c r="C7993" s="309"/>
      <c r="I7993" s="309"/>
      <c r="J7993" s="309"/>
    </row>
    <row r="7994">
      <c r="B7994" s="309"/>
      <c r="C7994" s="309"/>
      <c r="I7994" s="309"/>
      <c r="J7994" s="309"/>
    </row>
    <row r="7995">
      <c r="B7995" s="309"/>
      <c r="C7995" s="309"/>
      <c r="I7995" s="309"/>
      <c r="J7995" s="309"/>
    </row>
    <row r="7996">
      <c r="B7996" s="309"/>
      <c r="C7996" s="309"/>
      <c r="I7996" s="309"/>
      <c r="J7996" s="309"/>
    </row>
    <row r="7997">
      <c r="B7997" s="309"/>
      <c r="C7997" s="309"/>
      <c r="I7997" s="309"/>
      <c r="J7997" s="309"/>
    </row>
    <row r="7998">
      <c r="B7998" s="309"/>
      <c r="C7998" s="309"/>
      <c r="I7998" s="309"/>
      <c r="J7998" s="309"/>
    </row>
    <row r="7999">
      <c r="B7999" s="309"/>
      <c r="C7999" s="309"/>
      <c r="I7999" s="309"/>
      <c r="J7999" s="309"/>
    </row>
    <row r="8000">
      <c r="B8000" s="309"/>
      <c r="C8000" s="309"/>
      <c r="I8000" s="309"/>
      <c r="J8000" s="309"/>
    </row>
    <row r="8001">
      <c r="B8001" s="309"/>
      <c r="C8001" s="309"/>
      <c r="I8001" s="309"/>
      <c r="J8001" s="309"/>
    </row>
    <row r="8002">
      <c r="B8002" s="309"/>
      <c r="C8002" s="309"/>
      <c r="I8002" s="309"/>
      <c r="J8002" s="309"/>
    </row>
    <row r="8003">
      <c r="B8003" s="309"/>
      <c r="C8003" s="309"/>
      <c r="I8003" s="309"/>
      <c r="J8003" s="309"/>
    </row>
    <row r="8004">
      <c r="B8004" s="309"/>
      <c r="C8004" s="309"/>
      <c r="I8004" s="309"/>
      <c r="J8004" s="309"/>
    </row>
    <row r="8005">
      <c r="B8005" s="309"/>
      <c r="C8005" s="309"/>
      <c r="I8005" s="309"/>
      <c r="J8005" s="309"/>
    </row>
    <row r="8006">
      <c r="B8006" s="309"/>
      <c r="C8006" s="309"/>
      <c r="I8006" s="309"/>
      <c r="J8006" s="309"/>
    </row>
    <row r="8007">
      <c r="B8007" s="309"/>
      <c r="C8007" s="309"/>
      <c r="I8007" s="309"/>
      <c r="J8007" s="309"/>
    </row>
    <row r="8008">
      <c r="B8008" s="309"/>
      <c r="C8008" s="309"/>
      <c r="I8008" s="309"/>
      <c r="J8008" s="309"/>
    </row>
    <row r="8009">
      <c r="B8009" s="309"/>
      <c r="C8009" s="309"/>
      <c r="I8009" s="309"/>
      <c r="J8009" s="309"/>
    </row>
    <row r="8010">
      <c r="B8010" s="309"/>
      <c r="C8010" s="309"/>
      <c r="I8010" s="309"/>
      <c r="J8010" s="309"/>
    </row>
    <row r="8011">
      <c r="B8011" s="309"/>
      <c r="C8011" s="309"/>
      <c r="I8011" s="309"/>
      <c r="J8011" s="309"/>
    </row>
    <row r="8012">
      <c r="B8012" s="309"/>
      <c r="C8012" s="309"/>
      <c r="I8012" s="309"/>
      <c r="J8012" s="309"/>
    </row>
    <row r="8013">
      <c r="B8013" s="309"/>
      <c r="C8013" s="309"/>
      <c r="I8013" s="309"/>
      <c r="J8013" s="309"/>
    </row>
    <row r="8014">
      <c r="B8014" s="309"/>
      <c r="C8014" s="309"/>
      <c r="I8014" s="309"/>
      <c r="J8014" s="309"/>
    </row>
    <row r="8015">
      <c r="B8015" s="309"/>
      <c r="C8015" s="309"/>
      <c r="I8015" s="309"/>
      <c r="J8015" s="309"/>
    </row>
    <row r="8016">
      <c r="B8016" s="309"/>
      <c r="C8016" s="309"/>
      <c r="I8016" s="309"/>
      <c r="J8016" s="309"/>
    </row>
    <row r="8017">
      <c r="B8017" s="309"/>
      <c r="C8017" s="309"/>
      <c r="I8017" s="309"/>
      <c r="J8017" s="309"/>
    </row>
    <row r="8018">
      <c r="B8018" s="309"/>
      <c r="C8018" s="309"/>
      <c r="I8018" s="309"/>
      <c r="J8018" s="309"/>
    </row>
    <row r="8019">
      <c r="B8019" s="309"/>
      <c r="C8019" s="309"/>
      <c r="I8019" s="309"/>
      <c r="J8019" s="309"/>
    </row>
    <row r="8020">
      <c r="B8020" s="309"/>
      <c r="C8020" s="309"/>
      <c r="I8020" s="309"/>
      <c r="J8020" s="309"/>
    </row>
    <row r="8021">
      <c r="B8021" s="309"/>
      <c r="C8021" s="309"/>
      <c r="I8021" s="309"/>
      <c r="J8021" s="309"/>
    </row>
    <row r="8022">
      <c r="B8022" s="309"/>
      <c r="C8022" s="309"/>
      <c r="I8022" s="309"/>
      <c r="J8022" s="309"/>
    </row>
    <row r="8023">
      <c r="B8023" s="309"/>
      <c r="C8023" s="309"/>
      <c r="I8023" s="309"/>
      <c r="J8023" s="309"/>
    </row>
    <row r="8024">
      <c r="B8024" s="309"/>
      <c r="C8024" s="309"/>
      <c r="I8024" s="309"/>
      <c r="J8024" s="309"/>
    </row>
    <row r="8025">
      <c r="B8025" s="309"/>
      <c r="C8025" s="309"/>
      <c r="I8025" s="309"/>
      <c r="J8025" s="309"/>
    </row>
    <row r="8026">
      <c r="B8026" s="309"/>
      <c r="C8026" s="309"/>
      <c r="I8026" s="309"/>
      <c r="J8026" s="309"/>
    </row>
    <row r="8027">
      <c r="B8027" s="309"/>
      <c r="C8027" s="309"/>
      <c r="I8027" s="309"/>
      <c r="J8027" s="309"/>
    </row>
    <row r="8028">
      <c r="B8028" s="309"/>
      <c r="C8028" s="309"/>
      <c r="I8028" s="309"/>
      <c r="J8028" s="309"/>
    </row>
    <row r="8029">
      <c r="B8029" s="309"/>
      <c r="C8029" s="309"/>
      <c r="I8029" s="309"/>
      <c r="J8029" s="309"/>
    </row>
    <row r="8030">
      <c r="B8030" s="309"/>
      <c r="C8030" s="309"/>
      <c r="I8030" s="309"/>
      <c r="J8030" s="309"/>
    </row>
    <row r="8031">
      <c r="B8031" s="309"/>
      <c r="C8031" s="309"/>
      <c r="I8031" s="309"/>
      <c r="J8031" s="309"/>
    </row>
    <row r="8032">
      <c r="B8032" s="309"/>
      <c r="C8032" s="309"/>
      <c r="I8032" s="309"/>
      <c r="J8032" s="309"/>
    </row>
    <row r="8033">
      <c r="B8033" s="309"/>
      <c r="C8033" s="309"/>
      <c r="I8033" s="309"/>
      <c r="J8033" s="309"/>
    </row>
    <row r="8034">
      <c r="B8034" s="309"/>
      <c r="C8034" s="309"/>
      <c r="I8034" s="309"/>
      <c r="J8034" s="309"/>
    </row>
    <row r="8035">
      <c r="B8035" s="309"/>
      <c r="C8035" s="309"/>
      <c r="I8035" s="309"/>
      <c r="J8035" s="309"/>
    </row>
    <row r="8036">
      <c r="B8036" s="309"/>
      <c r="C8036" s="309"/>
      <c r="I8036" s="309"/>
      <c r="J8036" s="309"/>
    </row>
    <row r="8037">
      <c r="B8037" s="309"/>
      <c r="C8037" s="309"/>
      <c r="I8037" s="309"/>
      <c r="J8037" s="309"/>
    </row>
    <row r="8038">
      <c r="B8038" s="309"/>
      <c r="C8038" s="309"/>
      <c r="I8038" s="309"/>
      <c r="J8038" s="309"/>
    </row>
    <row r="8039">
      <c r="B8039" s="309"/>
      <c r="C8039" s="309"/>
      <c r="I8039" s="309"/>
      <c r="J8039" s="309"/>
    </row>
    <row r="8040">
      <c r="B8040" s="309"/>
      <c r="C8040" s="309"/>
      <c r="I8040" s="309"/>
      <c r="J8040" s="309"/>
    </row>
    <row r="8041">
      <c r="B8041" s="309"/>
      <c r="C8041" s="309"/>
      <c r="I8041" s="309"/>
      <c r="J8041" s="309"/>
    </row>
    <row r="8042">
      <c r="B8042" s="309"/>
      <c r="C8042" s="309"/>
      <c r="I8042" s="309"/>
      <c r="J8042" s="309"/>
    </row>
    <row r="8043">
      <c r="B8043" s="309"/>
      <c r="C8043" s="309"/>
      <c r="I8043" s="309"/>
      <c r="J8043" s="309"/>
    </row>
    <row r="8044">
      <c r="B8044" s="309"/>
      <c r="C8044" s="309"/>
      <c r="I8044" s="309"/>
      <c r="J8044" s="309"/>
    </row>
    <row r="8045">
      <c r="B8045" s="309"/>
      <c r="C8045" s="309"/>
      <c r="I8045" s="309"/>
      <c r="J8045" s="309"/>
    </row>
    <row r="8046">
      <c r="B8046" s="309"/>
      <c r="C8046" s="309"/>
      <c r="I8046" s="309"/>
      <c r="J8046" s="309"/>
    </row>
    <row r="8047">
      <c r="B8047" s="309"/>
      <c r="C8047" s="309"/>
      <c r="I8047" s="309"/>
      <c r="J8047" s="309"/>
    </row>
    <row r="8048">
      <c r="B8048" s="309"/>
      <c r="C8048" s="309"/>
      <c r="I8048" s="309"/>
      <c r="J8048" s="309"/>
    </row>
    <row r="8049">
      <c r="B8049" s="309"/>
      <c r="C8049" s="309"/>
      <c r="I8049" s="309"/>
      <c r="J8049" s="309"/>
    </row>
    <row r="8050">
      <c r="B8050" s="309"/>
      <c r="C8050" s="309"/>
      <c r="I8050" s="309"/>
      <c r="J8050" s="309"/>
    </row>
    <row r="8051">
      <c r="B8051" s="309"/>
      <c r="C8051" s="309"/>
      <c r="I8051" s="309"/>
      <c r="J8051" s="309"/>
    </row>
    <row r="8052">
      <c r="B8052" s="309"/>
      <c r="C8052" s="309"/>
      <c r="I8052" s="309"/>
      <c r="J8052" s="309"/>
    </row>
    <row r="8053">
      <c r="B8053" s="309"/>
      <c r="C8053" s="309"/>
      <c r="I8053" s="309"/>
      <c r="J8053" s="309"/>
    </row>
    <row r="8054">
      <c r="B8054" s="309"/>
      <c r="C8054" s="309"/>
      <c r="I8054" s="309"/>
      <c r="J8054" s="309"/>
    </row>
    <row r="8055">
      <c r="B8055" s="309"/>
      <c r="C8055" s="309"/>
      <c r="I8055" s="309"/>
      <c r="J8055" s="309"/>
    </row>
    <row r="8056">
      <c r="B8056" s="309"/>
      <c r="C8056" s="309"/>
      <c r="I8056" s="309"/>
      <c r="J8056" s="309"/>
    </row>
    <row r="8057">
      <c r="B8057" s="309"/>
      <c r="C8057" s="309"/>
      <c r="I8057" s="309"/>
      <c r="J8057" s="309"/>
    </row>
    <row r="8058">
      <c r="B8058" s="309"/>
      <c r="C8058" s="309"/>
      <c r="I8058" s="309"/>
      <c r="J8058" s="309"/>
    </row>
    <row r="8059">
      <c r="B8059" s="309"/>
      <c r="C8059" s="309"/>
      <c r="I8059" s="309"/>
      <c r="J8059" s="309"/>
    </row>
    <row r="8060">
      <c r="B8060" s="309"/>
      <c r="C8060" s="309"/>
      <c r="I8060" s="309"/>
      <c r="J8060" s="309"/>
    </row>
    <row r="8061">
      <c r="B8061" s="309"/>
      <c r="C8061" s="309"/>
      <c r="I8061" s="309"/>
      <c r="J8061" s="309"/>
    </row>
    <row r="8062">
      <c r="B8062" s="309"/>
      <c r="C8062" s="309"/>
      <c r="I8062" s="309"/>
      <c r="J8062" s="309"/>
    </row>
    <row r="8063">
      <c r="B8063" s="309"/>
      <c r="C8063" s="309"/>
      <c r="I8063" s="309"/>
      <c r="J8063" s="309"/>
    </row>
    <row r="8064">
      <c r="B8064" s="309"/>
      <c r="C8064" s="309"/>
      <c r="I8064" s="309"/>
      <c r="J8064" s="309"/>
    </row>
    <row r="8065">
      <c r="B8065" s="309"/>
      <c r="C8065" s="309"/>
      <c r="I8065" s="309"/>
      <c r="J8065" s="309"/>
    </row>
    <row r="8066">
      <c r="B8066" s="309"/>
      <c r="C8066" s="309"/>
      <c r="I8066" s="309"/>
      <c r="J8066" s="309"/>
    </row>
    <row r="8067">
      <c r="B8067" s="309"/>
      <c r="C8067" s="309"/>
      <c r="I8067" s="309"/>
      <c r="J8067" s="309"/>
    </row>
    <row r="8068">
      <c r="B8068" s="309"/>
      <c r="C8068" s="309"/>
      <c r="I8068" s="309"/>
      <c r="J8068" s="309"/>
    </row>
    <row r="8069">
      <c r="B8069" s="309"/>
      <c r="C8069" s="309"/>
      <c r="I8069" s="309"/>
      <c r="J8069" s="309"/>
    </row>
    <row r="8070">
      <c r="B8070" s="309"/>
      <c r="C8070" s="309"/>
      <c r="I8070" s="309"/>
      <c r="J8070" s="309"/>
    </row>
    <row r="8071">
      <c r="B8071" s="309"/>
      <c r="C8071" s="309"/>
      <c r="I8071" s="309"/>
      <c r="J8071" s="309"/>
    </row>
    <row r="8072">
      <c r="B8072" s="309"/>
      <c r="C8072" s="309"/>
      <c r="I8072" s="309"/>
      <c r="J8072" s="309"/>
    </row>
    <row r="8073">
      <c r="B8073" s="309"/>
      <c r="C8073" s="309"/>
      <c r="I8073" s="309"/>
      <c r="J8073" s="309"/>
    </row>
    <row r="8074">
      <c r="B8074" s="309"/>
      <c r="C8074" s="309"/>
      <c r="I8074" s="309"/>
      <c r="J8074" s="309"/>
    </row>
    <row r="8075">
      <c r="B8075" s="309"/>
      <c r="C8075" s="309"/>
      <c r="I8075" s="309"/>
      <c r="J8075" s="309"/>
    </row>
    <row r="8076">
      <c r="B8076" s="309"/>
      <c r="C8076" s="309"/>
      <c r="I8076" s="309"/>
      <c r="J8076" s="309"/>
    </row>
    <row r="8077">
      <c r="B8077" s="309"/>
      <c r="C8077" s="309"/>
      <c r="I8077" s="309"/>
      <c r="J8077" s="309"/>
    </row>
    <row r="8078">
      <c r="B8078" s="309"/>
      <c r="C8078" s="309"/>
      <c r="I8078" s="309"/>
      <c r="J8078" s="309"/>
    </row>
    <row r="8079">
      <c r="B8079" s="309"/>
      <c r="C8079" s="309"/>
      <c r="I8079" s="309"/>
      <c r="J8079" s="309"/>
    </row>
    <row r="8080">
      <c r="B8080" s="309"/>
      <c r="C8080" s="309"/>
      <c r="I8080" s="309"/>
      <c r="J8080" s="309"/>
    </row>
    <row r="8081">
      <c r="B8081" s="309"/>
      <c r="C8081" s="309"/>
      <c r="I8081" s="309"/>
      <c r="J8081" s="309"/>
    </row>
    <row r="8082">
      <c r="B8082" s="309"/>
      <c r="C8082" s="309"/>
      <c r="I8082" s="309"/>
      <c r="J8082" s="309"/>
    </row>
    <row r="8083">
      <c r="B8083" s="309"/>
      <c r="C8083" s="309"/>
      <c r="I8083" s="309"/>
      <c r="J8083" s="309"/>
    </row>
    <row r="8084">
      <c r="B8084" s="309"/>
      <c r="C8084" s="309"/>
      <c r="I8084" s="309"/>
      <c r="J8084" s="309"/>
    </row>
    <row r="8085">
      <c r="B8085" s="309"/>
      <c r="C8085" s="309"/>
      <c r="I8085" s="309"/>
      <c r="J8085" s="309"/>
    </row>
    <row r="8086">
      <c r="B8086" s="309"/>
      <c r="C8086" s="309"/>
      <c r="I8086" s="309"/>
      <c r="J8086" s="309"/>
    </row>
    <row r="8087">
      <c r="B8087" s="309"/>
      <c r="C8087" s="309"/>
      <c r="I8087" s="309"/>
      <c r="J8087" s="309"/>
    </row>
    <row r="8088">
      <c r="B8088" s="309"/>
      <c r="C8088" s="309"/>
      <c r="I8088" s="309"/>
      <c r="J8088" s="309"/>
    </row>
    <row r="8089">
      <c r="B8089" s="309"/>
      <c r="C8089" s="309"/>
      <c r="I8089" s="309"/>
      <c r="J8089" s="309"/>
    </row>
    <row r="8090">
      <c r="B8090" s="309"/>
      <c r="C8090" s="309"/>
      <c r="I8090" s="309"/>
      <c r="J8090" s="309"/>
    </row>
    <row r="8091">
      <c r="B8091" s="309"/>
      <c r="C8091" s="309"/>
      <c r="I8091" s="309"/>
      <c r="J8091" s="309"/>
    </row>
    <row r="8092">
      <c r="B8092" s="309"/>
      <c r="C8092" s="309"/>
      <c r="I8092" s="309"/>
      <c r="J8092" s="309"/>
    </row>
    <row r="8093">
      <c r="B8093" s="309"/>
      <c r="C8093" s="309"/>
      <c r="I8093" s="309"/>
      <c r="J8093" s="309"/>
    </row>
    <row r="8094">
      <c r="B8094" s="309"/>
      <c r="C8094" s="309"/>
      <c r="I8094" s="309"/>
      <c r="J8094" s="309"/>
    </row>
    <row r="8095">
      <c r="B8095" s="309"/>
      <c r="C8095" s="309"/>
      <c r="I8095" s="309"/>
      <c r="J8095" s="309"/>
    </row>
    <row r="8096">
      <c r="B8096" s="309"/>
      <c r="C8096" s="309"/>
      <c r="I8096" s="309"/>
      <c r="J8096" s="309"/>
    </row>
    <row r="8097">
      <c r="B8097" s="309"/>
      <c r="C8097" s="309"/>
      <c r="I8097" s="309"/>
      <c r="J8097" s="309"/>
    </row>
    <row r="8098">
      <c r="B8098" s="309"/>
      <c r="C8098" s="309"/>
      <c r="I8098" s="309"/>
      <c r="J8098" s="309"/>
    </row>
    <row r="8099">
      <c r="B8099" s="309"/>
      <c r="C8099" s="309"/>
      <c r="I8099" s="309"/>
      <c r="J8099" s="309"/>
    </row>
    <row r="8100">
      <c r="B8100" s="309"/>
      <c r="C8100" s="309"/>
      <c r="I8100" s="309"/>
      <c r="J8100" s="309"/>
    </row>
    <row r="8101">
      <c r="B8101" s="309"/>
      <c r="C8101" s="309"/>
      <c r="I8101" s="309"/>
      <c r="J8101" s="309"/>
    </row>
    <row r="8102">
      <c r="B8102" s="309"/>
      <c r="C8102" s="309"/>
      <c r="I8102" s="309"/>
      <c r="J8102" s="309"/>
    </row>
    <row r="8103">
      <c r="B8103" s="309"/>
      <c r="C8103" s="309"/>
      <c r="I8103" s="309"/>
      <c r="J8103" s="309"/>
    </row>
    <row r="8104">
      <c r="B8104" s="309"/>
      <c r="C8104" s="309"/>
      <c r="I8104" s="309"/>
      <c r="J8104" s="309"/>
    </row>
    <row r="8105">
      <c r="B8105" s="309"/>
      <c r="C8105" s="309"/>
      <c r="I8105" s="309"/>
      <c r="J8105" s="309"/>
    </row>
    <row r="8106">
      <c r="B8106" s="309"/>
      <c r="C8106" s="309"/>
      <c r="I8106" s="309"/>
      <c r="J8106" s="309"/>
    </row>
    <row r="8107">
      <c r="B8107" s="309"/>
      <c r="C8107" s="309"/>
      <c r="I8107" s="309"/>
      <c r="J8107" s="309"/>
    </row>
    <row r="8108">
      <c r="B8108" s="309"/>
      <c r="C8108" s="309"/>
      <c r="I8108" s="309"/>
      <c r="J8108" s="309"/>
    </row>
    <row r="8109">
      <c r="B8109" s="309"/>
      <c r="C8109" s="309"/>
      <c r="I8109" s="309"/>
      <c r="J8109" s="309"/>
    </row>
    <row r="8110">
      <c r="B8110" s="309"/>
      <c r="C8110" s="309"/>
      <c r="I8110" s="309"/>
      <c r="J8110" s="309"/>
    </row>
    <row r="8111">
      <c r="B8111" s="309"/>
      <c r="C8111" s="309"/>
      <c r="I8111" s="309"/>
      <c r="J8111" s="309"/>
    </row>
    <row r="8112">
      <c r="B8112" s="309"/>
      <c r="C8112" s="309"/>
      <c r="I8112" s="309"/>
      <c r="J8112" s="309"/>
    </row>
    <row r="8113">
      <c r="B8113" s="309"/>
      <c r="C8113" s="309"/>
      <c r="I8113" s="309"/>
      <c r="J8113" s="309"/>
    </row>
    <row r="8114">
      <c r="B8114" s="309"/>
      <c r="C8114" s="309"/>
      <c r="I8114" s="309"/>
      <c r="J8114" s="309"/>
    </row>
    <row r="8115">
      <c r="B8115" s="309"/>
      <c r="C8115" s="309"/>
      <c r="I8115" s="309"/>
      <c r="J8115" s="309"/>
    </row>
    <row r="8116">
      <c r="B8116" s="309"/>
      <c r="C8116" s="309"/>
      <c r="I8116" s="309"/>
      <c r="J8116" s="309"/>
    </row>
    <row r="8117">
      <c r="B8117" s="309"/>
      <c r="C8117" s="309"/>
      <c r="I8117" s="309"/>
      <c r="J8117" s="309"/>
    </row>
    <row r="8118">
      <c r="B8118" s="309"/>
      <c r="C8118" s="309"/>
      <c r="I8118" s="309"/>
      <c r="J8118" s="309"/>
    </row>
    <row r="8119">
      <c r="B8119" s="309"/>
      <c r="C8119" s="309"/>
      <c r="I8119" s="309"/>
      <c r="J8119" s="309"/>
    </row>
    <row r="8120">
      <c r="B8120" s="309"/>
      <c r="C8120" s="309"/>
      <c r="I8120" s="309"/>
      <c r="J8120" s="309"/>
    </row>
    <row r="8121">
      <c r="B8121" s="309"/>
      <c r="C8121" s="309"/>
      <c r="I8121" s="309"/>
      <c r="J8121" s="309"/>
    </row>
    <row r="8122">
      <c r="B8122" s="309"/>
      <c r="C8122" s="309"/>
      <c r="I8122" s="309"/>
      <c r="J8122" s="309"/>
    </row>
    <row r="8123">
      <c r="B8123" s="309"/>
      <c r="C8123" s="309"/>
      <c r="I8123" s="309"/>
      <c r="J8123" s="309"/>
    </row>
    <row r="8124">
      <c r="B8124" s="309"/>
      <c r="C8124" s="309"/>
      <c r="I8124" s="309"/>
      <c r="J8124" s="309"/>
    </row>
    <row r="8125">
      <c r="B8125" s="309"/>
      <c r="C8125" s="309"/>
      <c r="I8125" s="309"/>
      <c r="J8125" s="309"/>
    </row>
    <row r="8126">
      <c r="B8126" s="309"/>
      <c r="C8126" s="309"/>
      <c r="I8126" s="309"/>
      <c r="J8126" s="309"/>
    </row>
    <row r="8127">
      <c r="B8127" s="309"/>
      <c r="C8127" s="309"/>
      <c r="I8127" s="309"/>
      <c r="J8127" s="309"/>
    </row>
    <row r="8128">
      <c r="B8128" s="309"/>
      <c r="C8128" s="309"/>
      <c r="I8128" s="309"/>
      <c r="J8128" s="309"/>
    </row>
    <row r="8129">
      <c r="B8129" s="309"/>
      <c r="C8129" s="309"/>
      <c r="I8129" s="309"/>
      <c r="J8129" s="309"/>
    </row>
    <row r="8130">
      <c r="B8130" s="309"/>
      <c r="C8130" s="309"/>
      <c r="I8130" s="309"/>
      <c r="J8130" s="309"/>
    </row>
    <row r="8131">
      <c r="B8131" s="309"/>
      <c r="C8131" s="309"/>
      <c r="I8131" s="309"/>
      <c r="J8131" s="309"/>
    </row>
    <row r="8132">
      <c r="B8132" s="309"/>
      <c r="C8132" s="309"/>
      <c r="I8132" s="309"/>
      <c r="J8132" s="309"/>
    </row>
    <row r="8133">
      <c r="B8133" s="309"/>
      <c r="C8133" s="309"/>
      <c r="I8133" s="309"/>
      <c r="J8133" s="309"/>
    </row>
    <row r="8134">
      <c r="B8134" s="309"/>
      <c r="C8134" s="309"/>
      <c r="I8134" s="309"/>
      <c r="J8134" s="309"/>
    </row>
    <row r="8135">
      <c r="B8135" s="309"/>
      <c r="C8135" s="309"/>
      <c r="I8135" s="309"/>
      <c r="J8135" s="309"/>
    </row>
    <row r="8136">
      <c r="B8136" s="309"/>
      <c r="C8136" s="309"/>
      <c r="I8136" s="309"/>
      <c r="J8136" s="309"/>
    </row>
    <row r="8137">
      <c r="B8137" s="309"/>
      <c r="C8137" s="309"/>
      <c r="I8137" s="309"/>
      <c r="J8137" s="309"/>
    </row>
    <row r="8138">
      <c r="B8138" s="309"/>
      <c r="C8138" s="309"/>
      <c r="I8138" s="309"/>
      <c r="J8138" s="309"/>
    </row>
    <row r="8139">
      <c r="B8139" s="309"/>
      <c r="C8139" s="309"/>
      <c r="I8139" s="309"/>
      <c r="J8139" s="309"/>
    </row>
    <row r="8140">
      <c r="B8140" s="309"/>
      <c r="C8140" s="309"/>
      <c r="I8140" s="309"/>
      <c r="J8140" s="309"/>
    </row>
    <row r="8141">
      <c r="B8141" s="309"/>
      <c r="C8141" s="309"/>
      <c r="I8141" s="309"/>
      <c r="J8141" s="309"/>
    </row>
    <row r="8142">
      <c r="B8142" s="309"/>
      <c r="C8142" s="309"/>
      <c r="I8142" s="309"/>
      <c r="J8142" s="309"/>
    </row>
    <row r="8143">
      <c r="B8143" s="309"/>
      <c r="C8143" s="309"/>
      <c r="I8143" s="309"/>
      <c r="J8143" s="309"/>
    </row>
    <row r="8144">
      <c r="B8144" s="309"/>
      <c r="C8144" s="309"/>
      <c r="I8144" s="309"/>
      <c r="J8144" s="309"/>
    </row>
    <row r="8145">
      <c r="B8145" s="309"/>
      <c r="C8145" s="309"/>
      <c r="I8145" s="309"/>
      <c r="J8145" s="309"/>
    </row>
    <row r="8146">
      <c r="B8146" s="309"/>
      <c r="C8146" s="309"/>
      <c r="I8146" s="309"/>
      <c r="J8146" s="309"/>
    </row>
    <row r="8147">
      <c r="B8147" s="309"/>
      <c r="C8147" s="309"/>
      <c r="I8147" s="309"/>
      <c r="J8147" s="309"/>
    </row>
    <row r="8148">
      <c r="B8148" s="309"/>
      <c r="C8148" s="309"/>
      <c r="I8148" s="309"/>
      <c r="J8148" s="309"/>
    </row>
    <row r="8149">
      <c r="B8149" s="309"/>
      <c r="C8149" s="309"/>
      <c r="I8149" s="309"/>
      <c r="J8149" s="309"/>
    </row>
    <row r="8150">
      <c r="B8150" s="309"/>
      <c r="C8150" s="309"/>
      <c r="I8150" s="309"/>
      <c r="J8150" s="309"/>
    </row>
    <row r="8151">
      <c r="B8151" s="309"/>
      <c r="C8151" s="309"/>
      <c r="I8151" s="309"/>
      <c r="J8151" s="309"/>
    </row>
    <row r="8152">
      <c r="B8152" s="309"/>
      <c r="C8152" s="309"/>
      <c r="I8152" s="309"/>
      <c r="J8152" s="309"/>
    </row>
    <row r="8153">
      <c r="B8153" s="309"/>
      <c r="C8153" s="309"/>
      <c r="I8153" s="309"/>
      <c r="J8153" s="309"/>
    </row>
    <row r="8154">
      <c r="B8154" s="309"/>
      <c r="C8154" s="309"/>
      <c r="I8154" s="309"/>
      <c r="J8154" s="309"/>
    </row>
    <row r="8155">
      <c r="B8155" s="309"/>
      <c r="C8155" s="309"/>
      <c r="I8155" s="309"/>
      <c r="J8155" s="309"/>
    </row>
    <row r="8156">
      <c r="B8156" s="309"/>
      <c r="C8156" s="309"/>
      <c r="I8156" s="309"/>
      <c r="J8156" s="309"/>
    </row>
    <row r="8157">
      <c r="B8157" s="309"/>
      <c r="C8157" s="309"/>
      <c r="I8157" s="309"/>
      <c r="J8157" s="309"/>
    </row>
    <row r="8158">
      <c r="B8158" s="309"/>
      <c r="C8158" s="309"/>
      <c r="I8158" s="309"/>
      <c r="J8158" s="309"/>
    </row>
    <row r="8159">
      <c r="B8159" s="309"/>
      <c r="C8159" s="309"/>
      <c r="I8159" s="309"/>
      <c r="J8159" s="309"/>
    </row>
    <row r="8160">
      <c r="B8160" s="309"/>
      <c r="C8160" s="309"/>
      <c r="I8160" s="309"/>
      <c r="J8160" s="309"/>
    </row>
    <row r="8161">
      <c r="B8161" s="309"/>
      <c r="C8161" s="309"/>
      <c r="I8161" s="309"/>
      <c r="J8161" s="309"/>
    </row>
    <row r="8162">
      <c r="B8162" s="309"/>
      <c r="C8162" s="309"/>
      <c r="I8162" s="309"/>
      <c r="J8162" s="309"/>
    </row>
    <row r="8163">
      <c r="B8163" s="309"/>
      <c r="C8163" s="309"/>
      <c r="I8163" s="309"/>
      <c r="J8163" s="309"/>
    </row>
    <row r="8164">
      <c r="B8164" s="309"/>
      <c r="C8164" s="309"/>
      <c r="I8164" s="309"/>
      <c r="J8164" s="309"/>
    </row>
    <row r="8165">
      <c r="B8165" s="309"/>
      <c r="C8165" s="309"/>
      <c r="I8165" s="309"/>
      <c r="J8165" s="309"/>
    </row>
    <row r="8166">
      <c r="B8166" s="309"/>
      <c r="C8166" s="309"/>
      <c r="I8166" s="309"/>
      <c r="J8166" s="309"/>
    </row>
    <row r="8167">
      <c r="B8167" s="309"/>
      <c r="C8167" s="309"/>
      <c r="I8167" s="309"/>
      <c r="J8167" s="309"/>
    </row>
    <row r="8168">
      <c r="B8168" s="309"/>
      <c r="C8168" s="309"/>
      <c r="I8168" s="309"/>
      <c r="J8168" s="309"/>
    </row>
    <row r="8169">
      <c r="B8169" s="309"/>
      <c r="C8169" s="309"/>
      <c r="I8169" s="309"/>
      <c r="J8169" s="309"/>
    </row>
    <row r="8170">
      <c r="B8170" s="309"/>
      <c r="C8170" s="309"/>
      <c r="I8170" s="309"/>
      <c r="J8170" s="309"/>
    </row>
    <row r="8171">
      <c r="B8171" s="309"/>
      <c r="C8171" s="309"/>
      <c r="I8171" s="309"/>
      <c r="J8171" s="309"/>
    </row>
    <row r="8172">
      <c r="B8172" s="309"/>
      <c r="C8172" s="309"/>
      <c r="I8172" s="309"/>
      <c r="J8172" s="309"/>
    </row>
    <row r="8173">
      <c r="B8173" s="309"/>
      <c r="C8173" s="309"/>
      <c r="I8173" s="309"/>
      <c r="J8173" s="309"/>
    </row>
    <row r="8174">
      <c r="B8174" s="309"/>
      <c r="C8174" s="309"/>
      <c r="I8174" s="309"/>
      <c r="J8174" s="309"/>
    </row>
    <row r="8175">
      <c r="B8175" s="309"/>
      <c r="C8175" s="309"/>
      <c r="I8175" s="309"/>
      <c r="J8175" s="309"/>
    </row>
    <row r="8176">
      <c r="B8176" s="309"/>
      <c r="C8176" s="309"/>
      <c r="I8176" s="309"/>
      <c r="J8176" s="309"/>
    </row>
    <row r="8177">
      <c r="B8177" s="309"/>
      <c r="C8177" s="309"/>
      <c r="I8177" s="309"/>
      <c r="J8177" s="309"/>
    </row>
    <row r="8178">
      <c r="B8178" s="309"/>
      <c r="C8178" s="309"/>
      <c r="I8178" s="309"/>
      <c r="J8178" s="309"/>
    </row>
    <row r="8179">
      <c r="B8179" s="309"/>
      <c r="C8179" s="309"/>
      <c r="I8179" s="309"/>
      <c r="J8179" s="309"/>
    </row>
    <row r="8180">
      <c r="B8180" s="309"/>
      <c r="C8180" s="309"/>
      <c r="I8180" s="309"/>
      <c r="J8180" s="309"/>
    </row>
    <row r="8181">
      <c r="B8181" s="309"/>
      <c r="C8181" s="309"/>
      <c r="I8181" s="309"/>
      <c r="J8181" s="309"/>
    </row>
    <row r="8182">
      <c r="B8182" s="309"/>
      <c r="C8182" s="309"/>
      <c r="I8182" s="309"/>
      <c r="J8182" s="309"/>
    </row>
    <row r="8183">
      <c r="B8183" s="309"/>
      <c r="C8183" s="309"/>
      <c r="I8183" s="309"/>
      <c r="J8183" s="309"/>
    </row>
    <row r="8184">
      <c r="B8184" s="309"/>
      <c r="C8184" s="309"/>
      <c r="I8184" s="309"/>
      <c r="J8184" s="309"/>
    </row>
    <row r="8185">
      <c r="B8185" s="309"/>
      <c r="C8185" s="309"/>
      <c r="I8185" s="309"/>
      <c r="J8185" s="309"/>
    </row>
    <row r="8186">
      <c r="B8186" s="309"/>
      <c r="C8186" s="309"/>
      <c r="I8186" s="309"/>
      <c r="J8186" s="309"/>
    </row>
    <row r="8187">
      <c r="B8187" s="309"/>
      <c r="C8187" s="309"/>
      <c r="I8187" s="309"/>
      <c r="J8187" s="309"/>
    </row>
    <row r="8188">
      <c r="B8188" s="309"/>
      <c r="C8188" s="309"/>
      <c r="I8188" s="309"/>
      <c r="J8188" s="309"/>
    </row>
    <row r="8189">
      <c r="B8189" s="309"/>
      <c r="C8189" s="309"/>
      <c r="I8189" s="309"/>
      <c r="J8189" s="309"/>
    </row>
    <row r="8190">
      <c r="B8190" s="309"/>
      <c r="C8190" s="309"/>
      <c r="I8190" s="309"/>
      <c r="J8190" s="309"/>
    </row>
    <row r="8191">
      <c r="B8191" s="309"/>
      <c r="C8191" s="309"/>
      <c r="I8191" s="309"/>
      <c r="J8191" s="309"/>
    </row>
    <row r="8192">
      <c r="B8192" s="309"/>
      <c r="C8192" s="309"/>
      <c r="I8192" s="309"/>
      <c r="J8192" s="309"/>
    </row>
    <row r="8193">
      <c r="B8193" s="309"/>
      <c r="C8193" s="309"/>
      <c r="I8193" s="309"/>
      <c r="J8193" s="309"/>
    </row>
    <row r="8194">
      <c r="B8194" s="309"/>
      <c r="C8194" s="309"/>
      <c r="I8194" s="309"/>
      <c r="J8194" s="309"/>
    </row>
    <row r="8195">
      <c r="B8195" s="309"/>
      <c r="C8195" s="309"/>
      <c r="I8195" s="309"/>
      <c r="J8195" s="309"/>
    </row>
    <row r="8196">
      <c r="B8196" s="309"/>
      <c r="C8196" s="309"/>
      <c r="I8196" s="309"/>
      <c r="J8196" s="309"/>
    </row>
    <row r="8197">
      <c r="B8197" s="309"/>
      <c r="C8197" s="309"/>
      <c r="I8197" s="309"/>
      <c r="J8197" s="309"/>
    </row>
    <row r="8198">
      <c r="B8198" s="309"/>
      <c r="C8198" s="309"/>
      <c r="I8198" s="309"/>
      <c r="J8198" s="309"/>
    </row>
    <row r="8199">
      <c r="B8199" s="309"/>
      <c r="C8199" s="309"/>
      <c r="I8199" s="309"/>
      <c r="J8199" s="309"/>
    </row>
    <row r="8200">
      <c r="B8200" s="309"/>
      <c r="C8200" s="309"/>
      <c r="I8200" s="309"/>
      <c r="J8200" s="309"/>
    </row>
    <row r="8201">
      <c r="B8201" s="309"/>
      <c r="C8201" s="309"/>
      <c r="I8201" s="309"/>
      <c r="J8201" s="309"/>
    </row>
    <row r="8202">
      <c r="B8202" s="309"/>
      <c r="C8202" s="309"/>
      <c r="I8202" s="309"/>
      <c r="J8202" s="309"/>
    </row>
    <row r="8203">
      <c r="B8203" s="309"/>
      <c r="C8203" s="309"/>
      <c r="I8203" s="309"/>
      <c r="J8203" s="309"/>
    </row>
    <row r="8204">
      <c r="B8204" s="309"/>
      <c r="C8204" s="309"/>
      <c r="I8204" s="309"/>
      <c r="J8204" s="309"/>
    </row>
    <row r="8205">
      <c r="B8205" s="309"/>
      <c r="C8205" s="309"/>
      <c r="I8205" s="309"/>
      <c r="J8205" s="309"/>
    </row>
    <row r="8206">
      <c r="B8206" s="309"/>
      <c r="C8206" s="309"/>
      <c r="I8206" s="309"/>
      <c r="J8206" s="309"/>
    </row>
    <row r="8207">
      <c r="B8207" s="309"/>
      <c r="C8207" s="309"/>
      <c r="I8207" s="309"/>
      <c r="J8207" s="309"/>
    </row>
    <row r="8208">
      <c r="B8208" s="309"/>
      <c r="C8208" s="309"/>
      <c r="I8208" s="309"/>
      <c r="J8208" s="309"/>
    </row>
    <row r="8209">
      <c r="B8209" s="309"/>
      <c r="C8209" s="309"/>
      <c r="I8209" s="309"/>
      <c r="J8209" s="309"/>
    </row>
    <row r="8210">
      <c r="B8210" s="309"/>
      <c r="C8210" s="309"/>
      <c r="I8210" s="309"/>
      <c r="J8210" s="309"/>
    </row>
    <row r="8211">
      <c r="B8211" s="309"/>
      <c r="C8211" s="309"/>
      <c r="I8211" s="309"/>
      <c r="J8211" s="309"/>
    </row>
    <row r="8212">
      <c r="B8212" s="309"/>
      <c r="C8212" s="309"/>
      <c r="I8212" s="309"/>
      <c r="J8212" s="309"/>
    </row>
    <row r="8213">
      <c r="B8213" s="309"/>
      <c r="C8213" s="309"/>
      <c r="I8213" s="309"/>
      <c r="J8213" s="309"/>
    </row>
    <row r="8214">
      <c r="B8214" s="309"/>
      <c r="C8214" s="309"/>
      <c r="I8214" s="309"/>
      <c r="J8214" s="309"/>
    </row>
    <row r="8215">
      <c r="B8215" s="309"/>
      <c r="C8215" s="309"/>
      <c r="I8215" s="309"/>
      <c r="J8215" s="309"/>
    </row>
    <row r="8216">
      <c r="B8216" s="309"/>
      <c r="C8216" s="309"/>
      <c r="I8216" s="309"/>
      <c r="J8216" s="309"/>
    </row>
    <row r="8217">
      <c r="B8217" s="309"/>
      <c r="C8217" s="309"/>
      <c r="I8217" s="309"/>
      <c r="J8217" s="309"/>
    </row>
    <row r="8218">
      <c r="B8218" s="309"/>
      <c r="C8218" s="309"/>
      <c r="I8218" s="309"/>
      <c r="J8218" s="309"/>
    </row>
    <row r="8219">
      <c r="B8219" s="309"/>
      <c r="C8219" s="309"/>
      <c r="I8219" s="309"/>
      <c r="J8219" s="309"/>
    </row>
    <row r="8220">
      <c r="B8220" s="309"/>
      <c r="C8220" s="309"/>
      <c r="I8220" s="309"/>
      <c r="J8220" s="309"/>
    </row>
    <row r="8221">
      <c r="B8221" s="309"/>
      <c r="C8221" s="309"/>
      <c r="I8221" s="309"/>
      <c r="J8221" s="309"/>
    </row>
    <row r="8222">
      <c r="B8222" s="309"/>
      <c r="C8222" s="309"/>
      <c r="I8222" s="309"/>
      <c r="J8222" s="309"/>
    </row>
    <row r="8223">
      <c r="B8223" s="309"/>
      <c r="C8223" s="309"/>
      <c r="I8223" s="309"/>
      <c r="J8223" s="309"/>
    </row>
    <row r="8224">
      <c r="B8224" s="309"/>
      <c r="C8224" s="309"/>
      <c r="I8224" s="309"/>
      <c r="J8224" s="309"/>
    </row>
    <row r="8225">
      <c r="B8225" s="309"/>
      <c r="C8225" s="309"/>
      <c r="I8225" s="309"/>
      <c r="J8225" s="309"/>
    </row>
    <row r="8226">
      <c r="B8226" s="309"/>
      <c r="C8226" s="309"/>
      <c r="I8226" s="309"/>
      <c r="J8226" s="309"/>
    </row>
    <row r="8227">
      <c r="B8227" s="309"/>
      <c r="C8227" s="309"/>
      <c r="I8227" s="309"/>
      <c r="J8227" s="309"/>
    </row>
    <row r="8228">
      <c r="B8228" s="309"/>
      <c r="C8228" s="309"/>
      <c r="I8228" s="309"/>
      <c r="J8228" s="309"/>
    </row>
    <row r="8229">
      <c r="B8229" s="309"/>
      <c r="C8229" s="309"/>
      <c r="I8229" s="309"/>
      <c r="J8229" s="309"/>
    </row>
    <row r="8230">
      <c r="B8230" s="309"/>
      <c r="C8230" s="309"/>
      <c r="I8230" s="309"/>
      <c r="J8230" s="309"/>
    </row>
    <row r="8231">
      <c r="B8231" s="309"/>
      <c r="C8231" s="309"/>
      <c r="I8231" s="309"/>
      <c r="J8231" s="309"/>
    </row>
    <row r="8232">
      <c r="B8232" s="309"/>
      <c r="C8232" s="309"/>
      <c r="I8232" s="309"/>
      <c r="J8232" s="309"/>
    </row>
    <row r="8233">
      <c r="B8233" s="309"/>
      <c r="C8233" s="309"/>
      <c r="I8233" s="309"/>
      <c r="J8233" s="309"/>
    </row>
    <row r="8234">
      <c r="B8234" s="309"/>
      <c r="C8234" s="309"/>
      <c r="I8234" s="309"/>
      <c r="J8234" s="309"/>
    </row>
    <row r="8235">
      <c r="B8235" s="309"/>
      <c r="C8235" s="309"/>
      <c r="I8235" s="309"/>
      <c r="J8235" s="309"/>
    </row>
    <row r="8236">
      <c r="B8236" s="309"/>
      <c r="C8236" s="309"/>
      <c r="I8236" s="309"/>
      <c r="J8236" s="309"/>
    </row>
    <row r="8237">
      <c r="B8237" s="309"/>
      <c r="C8237" s="309"/>
      <c r="I8237" s="309"/>
      <c r="J8237" s="309"/>
    </row>
    <row r="8238">
      <c r="B8238" s="309"/>
      <c r="C8238" s="309"/>
      <c r="I8238" s="309"/>
      <c r="J8238" s="309"/>
    </row>
    <row r="8239">
      <c r="B8239" s="309"/>
      <c r="C8239" s="309"/>
      <c r="I8239" s="309"/>
      <c r="J8239" s="309"/>
    </row>
    <row r="8240">
      <c r="B8240" s="309"/>
      <c r="C8240" s="309"/>
      <c r="I8240" s="309"/>
      <c r="J8240" s="309"/>
    </row>
    <row r="8241">
      <c r="B8241" s="309"/>
      <c r="C8241" s="309"/>
      <c r="I8241" s="309"/>
      <c r="J8241" s="309"/>
    </row>
    <row r="8242">
      <c r="B8242" s="309"/>
      <c r="C8242" s="309"/>
      <c r="I8242" s="309"/>
      <c r="J8242" s="309"/>
    </row>
    <row r="8243">
      <c r="B8243" s="309"/>
      <c r="C8243" s="309"/>
      <c r="I8243" s="309"/>
      <c r="J8243" s="309"/>
    </row>
    <row r="8244">
      <c r="B8244" s="309"/>
      <c r="C8244" s="309"/>
      <c r="I8244" s="309"/>
      <c r="J8244" s="309"/>
    </row>
    <row r="8245">
      <c r="B8245" s="309"/>
      <c r="C8245" s="309"/>
      <c r="I8245" s="309"/>
      <c r="J8245" s="309"/>
    </row>
    <row r="8246">
      <c r="B8246" s="309"/>
      <c r="C8246" s="309"/>
      <c r="I8246" s="309"/>
      <c r="J8246" s="309"/>
    </row>
    <row r="8247">
      <c r="B8247" s="309"/>
      <c r="C8247" s="309"/>
      <c r="I8247" s="309"/>
      <c r="J8247" s="309"/>
    </row>
    <row r="8248">
      <c r="B8248" s="309"/>
      <c r="C8248" s="309"/>
      <c r="I8248" s="309"/>
      <c r="J8248" s="309"/>
    </row>
    <row r="8249">
      <c r="B8249" s="309"/>
      <c r="C8249" s="309"/>
      <c r="I8249" s="309"/>
      <c r="J8249" s="309"/>
    </row>
    <row r="8250">
      <c r="B8250" s="309"/>
      <c r="C8250" s="309"/>
      <c r="I8250" s="309"/>
      <c r="J8250" s="309"/>
    </row>
    <row r="8251">
      <c r="B8251" s="309"/>
      <c r="C8251" s="309"/>
      <c r="I8251" s="309"/>
      <c r="J8251" s="309"/>
    </row>
    <row r="8252">
      <c r="B8252" s="309"/>
      <c r="C8252" s="309"/>
      <c r="I8252" s="309"/>
      <c r="J8252" s="309"/>
    </row>
    <row r="8253">
      <c r="B8253" s="309"/>
      <c r="C8253" s="309"/>
      <c r="I8253" s="309"/>
      <c r="J8253" s="309"/>
    </row>
    <row r="8254">
      <c r="B8254" s="309"/>
      <c r="C8254" s="309"/>
      <c r="I8254" s="309"/>
      <c r="J8254" s="309"/>
    </row>
    <row r="8255">
      <c r="B8255" s="309"/>
      <c r="C8255" s="309"/>
      <c r="I8255" s="309"/>
      <c r="J8255" s="309"/>
    </row>
    <row r="8256">
      <c r="B8256" s="309"/>
      <c r="C8256" s="309"/>
      <c r="I8256" s="309"/>
      <c r="J8256" s="309"/>
    </row>
    <row r="8257">
      <c r="B8257" s="309"/>
      <c r="C8257" s="309"/>
      <c r="I8257" s="309"/>
      <c r="J8257" s="309"/>
    </row>
    <row r="8258">
      <c r="B8258" s="309"/>
      <c r="C8258" s="309"/>
      <c r="I8258" s="309"/>
      <c r="J8258" s="309"/>
    </row>
    <row r="8259">
      <c r="B8259" s="309"/>
      <c r="C8259" s="309"/>
      <c r="I8259" s="309"/>
      <c r="J8259" s="309"/>
    </row>
    <row r="8260">
      <c r="B8260" s="309"/>
      <c r="C8260" s="309"/>
      <c r="I8260" s="309"/>
      <c r="J8260" s="309"/>
    </row>
    <row r="8261">
      <c r="B8261" s="309"/>
      <c r="C8261" s="309"/>
      <c r="I8261" s="309"/>
      <c r="J8261" s="309"/>
    </row>
    <row r="8262">
      <c r="B8262" s="309"/>
      <c r="C8262" s="309"/>
      <c r="I8262" s="309"/>
      <c r="J8262" s="309"/>
    </row>
    <row r="8263">
      <c r="B8263" s="309"/>
      <c r="C8263" s="309"/>
      <c r="I8263" s="309"/>
      <c r="J8263" s="309"/>
    </row>
    <row r="8264">
      <c r="B8264" s="309"/>
      <c r="C8264" s="309"/>
      <c r="I8264" s="309"/>
      <c r="J8264" s="309"/>
    </row>
    <row r="8265">
      <c r="B8265" s="309"/>
      <c r="C8265" s="309"/>
      <c r="I8265" s="309"/>
      <c r="J8265" s="309"/>
    </row>
    <row r="8266">
      <c r="B8266" s="309"/>
      <c r="C8266" s="309"/>
      <c r="I8266" s="309"/>
      <c r="J8266" s="309"/>
    </row>
    <row r="8267">
      <c r="B8267" s="309"/>
      <c r="C8267" s="309"/>
      <c r="I8267" s="309"/>
      <c r="J8267" s="309"/>
    </row>
    <row r="8268">
      <c r="B8268" s="309"/>
      <c r="C8268" s="309"/>
      <c r="I8268" s="309"/>
      <c r="J8268" s="309"/>
    </row>
    <row r="8269">
      <c r="B8269" s="309"/>
      <c r="C8269" s="309"/>
      <c r="I8269" s="309"/>
      <c r="J8269" s="309"/>
    </row>
    <row r="8270">
      <c r="B8270" s="309"/>
      <c r="C8270" s="309"/>
      <c r="I8270" s="309"/>
      <c r="J8270" s="309"/>
    </row>
    <row r="8271">
      <c r="B8271" s="309"/>
      <c r="C8271" s="309"/>
      <c r="I8271" s="309"/>
      <c r="J8271" s="309"/>
    </row>
    <row r="8272">
      <c r="B8272" s="309"/>
      <c r="C8272" s="309"/>
      <c r="I8272" s="309"/>
      <c r="J8272" s="309"/>
    </row>
    <row r="8273">
      <c r="B8273" s="309"/>
      <c r="C8273" s="309"/>
      <c r="I8273" s="309"/>
      <c r="J8273" s="309"/>
    </row>
    <row r="8274">
      <c r="B8274" s="309"/>
      <c r="C8274" s="309"/>
      <c r="I8274" s="309"/>
      <c r="J8274" s="309"/>
    </row>
    <row r="8275">
      <c r="B8275" s="309"/>
      <c r="C8275" s="309"/>
      <c r="I8275" s="309"/>
      <c r="J8275" s="309"/>
    </row>
    <row r="8276">
      <c r="B8276" s="309"/>
      <c r="C8276" s="309"/>
      <c r="I8276" s="309"/>
      <c r="J8276" s="309"/>
    </row>
    <row r="8277">
      <c r="B8277" s="309"/>
      <c r="C8277" s="309"/>
      <c r="I8277" s="309"/>
      <c r="J8277" s="309"/>
    </row>
    <row r="8278">
      <c r="B8278" s="309"/>
      <c r="C8278" s="309"/>
      <c r="I8278" s="309"/>
      <c r="J8278" s="309"/>
    </row>
    <row r="8279">
      <c r="B8279" s="309"/>
      <c r="C8279" s="309"/>
      <c r="I8279" s="309"/>
      <c r="J8279" s="309"/>
    </row>
    <row r="8280">
      <c r="B8280" s="309"/>
      <c r="C8280" s="309"/>
      <c r="I8280" s="309"/>
      <c r="J8280" s="309"/>
    </row>
    <row r="8281">
      <c r="B8281" s="309"/>
      <c r="C8281" s="309"/>
      <c r="I8281" s="309"/>
      <c r="J8281" s="309"/>
    </row>
    <row r="8282">
      <c r="B8282" s="309"/>
      <c r="C8282" s="309"/>
      <c r="I8282" s="309"/>
      <c r="J8282" s="309"/>
    </row>
    <row r="8283">
      <c r="B8283" s="309"/>
      <c r="C8283" s="309"/>
      <c r="I8283" s="309"/>
      <c r="J8283" s="309"/>
    </row>
    <row r="8284">
      <c r="B8284" s="309"/>
      <c r="C8284" s="309"/>
      <c r="I8284" s="309"/>
      <c r="J8284" s="309"/>
    </row>
    <row r="8285">
      <c r="B8285" s="309"/>
      <c r="C8285" s="309"/>
      <c r="I8285" s="309"/>
      <c r="J8285" s="309"/>
    </row>
    <row r="8286">
      <c r="B8286" s="309"/>
      <c r="C8286" s="309"/>
      <c r="I8286" s="309"/>
      <c r="J8286" s="309"/>
    </row>
    <row r="8287">
      <c r="B8287" s="309"/>
      <c r="C8287" s="309"/>
      <c r="I8287" s="309"/>
      <c r="J8287" s="309"/>
    </row>
    <row r="8288">
      <c r="B8288" s="309"/>
      <c r="C8288" s="309"/>
      <c r="I8288" s="309"/>
      <c r="J8288" s="309"/>
    </row>
    <row r="8289">
      <c r="B8289" s="309"/>
      <c r="C8289" s="309"/>
      <c r="I8289" s="309"/>
      <c r="J8289" s="309"/>
    </row>
    <row r="8290">
      <c r="B8290" s="309"/>
      <c r="C8290" s="309"/>
      <c r="I8290" s="309"/>
      <c r="J8290" s="309"/>
    </row>
    <row r="8291">
      <c r="B8291" s="309"/>
      <c r="C8291" s="309"/>
      <c r="I8291" s="309"/>
      <c r="J8291" s="309"/>
    </row>
    <row r="8292">
      <c r="B8292" s="309"/>
      <c r="C8292" s="309"/>
      <c r="I8292" s="309"/>
      <c r="J8292" s="309"/>
    </row>
    <row r="8293">
      <c r="B8293" s="309"/>
      <c r="C8293" s="309"/>
      <c r="I8293" s="309"/>
      <c r="J8293" s="309"/>
    </row>
    <row r="8294">
      <c r="B8294" s="309"/>
      <c r="C8294" s="309"/>
      <c r="I8294" s="309"/>
      <c r="J8294" s="309"/>
    </row>
    <row r="8295">
      <c r="B8295" s="309"/>
      <c r="C8295" s="309"/>
      <c r="I8295" s="309"/>
      <c r="J8295" s="309"/>
    </row>
    <row r="8296">
      <c r="B8296" s="309"/>
      <c r="C8296" s="309"/>
      <c r="I8296" s="309"/>
      <c r="J8296" s="309"/>
    </row>
    <row r="8297">
      <c r="B8297" s="309"/>
      <c r="C8297" s="309"/>
      <c r="I8297" s="309"/>
      <c r="J8297" s="309"/>
    </row>
    <row r="8298">
      <c r="B8298" s="309"/>
      <c r="C8298" s="309"/>
      <c r="I8298" s="309"/>
      <c r="J8298" s="309"/>
    </row>
    <row r="8299">
      <c r="B8299" s="309"/>
      <c r="C8299" s="309"/>
      <c r="I8299" s="309"/>
      <c r="J8299" s="309"/>
    </row>
    <row r="8300">
      <c r="B8300" s="309"/>
      <c r="C8300" s="309"/>
      <c r="I8300" s="309"/>
      <c r="J8300" s="309"/>
    </row>
    <row r="8301">
      <c r="B8301" s="309"/>
      <c r="C8301" s="309"/>
      <c r="I8301" s="309"/>
      <c r="J8301" s="309"/>
    </row>
    <row r="8302">
      <c r="B8302" s="309"/>
      <c r="C8302" s="309"/>
      <c r="I8302" s="309"/>
      <c r="J8302" s="309"/>
    </row>
    <row r="8303">
      <c r="B8303" s="309"/>
      <c r="C8303" s="309"/>
      <c r="I8303" s="309"/>
      <c r="J8303" s="309"/>
    </row>
    <row r="8304">
      <c r="B8304" s="309"/>
      <c r="C8304" s="309"/>
      <c r="I8304" s="309"/>
      <c r="J8304" s="309"/>
    </row>
    <row r="8305">
      <c r="B8305" s="309"/>
      <c r="C8305" s="309"/>
      <c r="I8305" s="309"/>
      <c r="J8305" s="309"/>
    </row>
    <row r="8306">
      <c r="B8306" s="309"/>
      <c r="C8306" s="309"/>
      <c r="I8306" s="309"/>
      <c r="J8306" s="309"/>
    </row>
    <row r="8307">
      <c r="B8307" s="309"/>
      <c r="C8307" s="309"/>
      <c r="I8307" s="309"/>
      <c r="J8307" s="309"/>
    </row>
    <row r="8308">
      <c r="B8308" s="309"/>
      <c r="C8308" s="309"/>
      <c r="I8308" s="309"/>
      <c r="J8308" s="309"/>
    </row>
    <row r="8309">
      <c r="B8309" s="309"/>
      <c r="C8309" s="309"/>
      <c r="I8309" s="309"/>
      <c r="J8309" s="309"/>
    </row>
    <row r="8310">
      <c r="B8310" s="309"/>
      <c r="C8310" s="309"/>
      <c r="I8310" s="309"/>
      <c r="J8310" s="309"/>
    </row>
    <row r="8311">
      <c r="B8311" s="309"/>
      <c r="C8311" s="309"/>
      <c r="I8311" s="309"/>
      <c r="J8311" s="309"/>
    </row>
    <row r="8312">
      <c r="B8312" s="309"/>
      <c r="C8312" s="309"/>
      <c r="I8312" s="309"/>
      <c r="J8312" s="309"/>
    </row>
    <row r="8313">
      <c r="B8313" s="309"/>
      <c r="C8313" s="309"/>
      <c r="I8313" s="309"/>
      <c r="J8313" s="309"/>
    </row>
    <row r="8314">
      <c r="B8314" s="309"/>
      <c r="C8314" s="309"/>
      <c r="I8314" s="309"/>
      <c r="J8314" s="309"/>
    </row>
    <row r="8315">
      <c r="B8315" s="309"/>
      <c r="C8315" s="309"/>
      <c r="I8315" s="309"/>
      <c r="J8315" s="309"/>
    </row>
    <row r="8316">
      <c r="B8316" s="309"/>
      <c r="C8316" s="309"/>
      <c r="I8316" s="309"/>
      <c r="J8316" s="309"/>
    </row>
    <row r="8317">
      <c r="B8317" s="309"/>
      <c r="C8317" s="309"/>
      <c r="I8317" s="309"/>
      <c r="J8317" s="309"/>
    </row>
    <row r="8318">
      <c r="B8318" s="309"/>
      <c r="C8318" s="309"/>
      <c r="I8318" s="309"/>
      <c r="J8318" s="309"/>
    </row>
    <row r="8319">
      <c r="B8319" s="309"/>
      <c r="C8319" s="309"/>
      <c r="I8319" s="309"/>
      <c r="J8319" s="309"/>
    </row>
    <row r="8320">
      <c r="B8320" s="309"/>
      <c r="C8320" s="309"/>
      <c r="I8320" s="309"/>
      <c r="J8320" s="309"/>
    </row>
    <row r="8321">
      <c r="B8321" s="309"/>
      <c r="C8321" s="309"/>
      <c r="I8321" s="309"/>
      <c r="J8321" s="309"/>
    </row>
    <row r="8322">
      <c r="B8322" s="309"/>
      <c r="C8322" s="309"/>
      <c r="I8322" s="309"/>
      <c r="J8322" s="309"/>
    </row>
    <row r="8323">
      <c r="B8323" s="309"/>
      <c r="C8323" s="309"/>
      <c r="I8323" s="309"/>
      <c r="J8323" s="309"/>
    </row>
    <row r="8324">
      <c r="B8324" s="309"/>
      <c r="C8324" s="309"/>
      <c r="I8324" s="309"/>
      <c r="J8324" s="309"/>
    </row>
    <row r="8325">
      <c r="B8325" s="309"/>
      <c r="C8325" s="309"/>
      <c r="I8325" s="309"/>
      <c r="J8325" s="309"/>
    </row>
    <row r="8326">
      <c r="B8326" s="309"/>
      <c r="C8326" s="309"/>
      <c r="I8326" s="309"/>
      <c r="J8326" s="309"/>
    </row>
    <row r="8327">
      <c r="B8327" s="309"/>
      <c r="C8327" s="309"/>
      <c r="I8327" s="309"/>
      <c r="J8327" s="309"/>
    </row>
    <row r="8328">
      <c r="B8328" s="309"/>
      <c r="C8328" s="309"/>
      <c r="I8328" s="309"/>
      <c r="J8328" s="309"/>
    </row>
    <row r="8329">
      <c r="B8329" s="309"/>
      <c r="C8329" s="309"/>
      <c r="I8329" s="309"/>
      <c r="J8329" s="309"/>
    </row>
    <row r="8330">
      <c r="B8330" s="309"/>
      <c r="C8330" s="309"/>
      <c r="I8330" s="309"/>
      <c r="J8330" s="309"/>
    </row>
    <row r="8331">
      <c r="B8331" s="309"/>
      <c r="C8331" s="309"/>
      <c r="I8331" s="309"/>
      <c r="J8331" s="309"/>
    </row>
    <row r="8332">
      <c r="B8332" s="309"/>
      <c r="C8332" s="309"/>
      <c r="I8332" s="309"/>
      <c r="J8332" s="309"/>
    </row>
    <row r="8333">
      <c r="B8333" s="309"/>
      <c r="C8333" s="309"/>
      <c r="I8333" s="309"/>
      <c r="J8333" s="309"/>
    </row>
    <row r="8334">
      <c r="B8334" s="309"/>
      <c r="C8334" s="309"/>
      <c r="I8334" s="309"/>
      <c r="J8334" s="309"/>
    </row>
    <row r="8335">
      <c r="B8335" s="309"/>
      <c r="C8335" s="309"/>
      <c r="I8335" s="309"/>
      <c r="J8335" s="309"/>
    </row>
    <row r="8336">
      <c r="B8336" s="309"/>
      <c r="C8336" s="309"/>
      <c r="I8336" s="309"/>
      <c r="J8336" s="309"/>
    </row>
    <row r="8337">
      <c r="B8337" s="309"/>
      <c r="C8337" s="309"/>
      <c r="I8337" s="309"/>
      <c r="J8337" s="309"/>
    </row>
    <row r="8338">
      <c r="B8338" s="309"/>
      <c r="C8338" s="309"/>
      <c r="I8338" s="309"/>
      <c r="J8338" s="309"/>
    </row>
    <row r="8339">
      <c r="B8339" s="309"/>
      <c r="C8339" s="309"/>
      <c r="I8339" s="309"/>
      <c r="J8339" s="309"/>
    </row>
    <row r="8340">
      <c r="B8340" s="309"/>
      <c r="C8340" s="309"/>
      <c r="I8340" s="309"/>
      <c r="J8340" s="309"/>
    </row>
    <row r="8341">
      <c r="B8341" s="309"/>
      <c r="C8341" s="309"/>
      <c r="I8341" s="309"/>
      <c r="J8341" s="309"/>
    </row>
    <row r="8342">
      <c r="B8342" s="309"/>
      <c r="C8342" s="309"/>
      <c r="I8342" s="309"/>
      <c r="J8342" s="309"/>
    </row>
    <row r="8343">
      <c r="B8343" s="309"/>
      <c r="C8343" s="309"/>
      <c r="I8343" s="309"/>
      <c r="J8343" s="309"/>
    </row>
    <row r="8344">
      <c r="B8344" s="309"/>
      <c r="C8344" s="309"/>
      <c r="I8344" s="309"/>
      <c r="J8344" s="309"/>
    </row>
    <row r="8345">
      <c r="B8345" s="309"/>
      <c r="C8345" s="309"/>
      <c r="I8345" s="309"/>
      <c r="J8345" s="309"/>
    </row>
    <row r="8346">
      <c r="B8346" s="309"/>
      <c r="C8346" s="309"/>
      <c r="I8346" s="309"/>
      <c r="J8346" s="309"/>
    </row>
    <row r="8347">
      <c r="B8347" s="309"/>
      <c r="C8347" s="309"/>
      <c r="I8347" s="309"/>
      <c r="J8347" s="309"/>
    </row>
    <row r="8348">
      <c r="B8348" s="309"/>
      <c r="C8348" s="309"/>
      <c r="I8348" s="309"/>
      <c r="J8348" s="309"/>
    </row>
    <row r="8349">
      <c r="B8349" s="309"/>
      <c r="C8349" s="309"/>
      <c r="I8349" s="309"/>
      <c r="J8349" s="309"/>
    </row>
    <row r="8350">
      <c r="B8350" s="309"/>
      <c r="C8350" s="309"/>
      <c r="I8350" s="309"/>
      <c r="J8350" s="309"/>
    </row>
    <row r="8351">
      <c r="B8351" s="309"/>
      <c r="C8351" s="309"/>
      <c r="I8351" s="309"/>
      <c r="J8351" s="309"/>
    </row>
    <row r="8352">
      <c r="B8352" s="309"/>
      <c r="C8352" s="309"/>
      <c r="I8352" s="309"/>
      <c r="J8352" s="309"/>
    </row>
    <row r="8353">
      <c r="B8353" s="309"/>
      <c r="C8353" s="309"/>
      <c r="I8353" s="309"/>
      <c r="J8353" s="309"/>
    </row>
    <row r="8354">
      <c r="B8354" s="309"/>
      <c r="C8354" s="309"/>
      <c r="I8354" s="309"/>
      <c r="J8354" s="309"/>
    </row>
    <row r="8355">
      <c r="B8355" s="309"/>
      <c r="C8355" s="309"/>
      <c r="I8355" s="309"/>
      <c r="J8355" s="309"/>
    </row>
    <row r="8356">
      <c r="B8356" s="309"/>
      <c r="C8356" s="309"/>
      <c r="I8356" s="309"/>
      <c r="J8356" s="309"/>
    </row>
    <row r="8357">
      <c r="B8357" s="309"/>
      <c r="C8357" s="309"/>
      <c r="I8357" s="309"/>
      <c r="J8357" s="309"/>
    </row>
    <row r="8358">
      <c r="B8358" s="309"/>
      <c r="C8358" s="309"/>
      <c r="I8358" s="309"/>
      <c r="J8358" s="309"/>
    </row>
    <row r="8359">
      <c r="B8359" s="309"/>
      <c r="C8359" s="309"/>
      <c r="I8359" s="309"/>
      <c r="J8359" s="309"/>
    </row>
    <row r="8360">
      <c r="B8360" s="309"/>
      <c r="C8360" s="309"/>
      <c r="I8360" s="309"/>
      <c r="J8360" s="309"/>
    </row>
    <row r="8361">
      <c r="B8361" s="309"/>
      <c r="C8361" s="309"/>
      <c r="I8361" s="309"/>
      <c r="J8361" s="309"/>
    </row>
    <row r="8362">
      <c r="B8362" s="309"/>
      <c r="C8362" s="309"/>
      <c r="I8362" s="309"/>
      <c r="J8362" s="309"/>
    </row>
    <row r="8363">
      <c r="B8363" s="309"/>
      <c r="C8363" s="309"/>
      <c r="I8363" s="309"/>
      <c r="J8363" s="309"/>
    </row>
    <row r="8364">
      <c r="B8364" s="309"/>
      <c r="C8364" s="309"/>
      <c r="I8364" s="309"/>
      <c r="J8364" s="309"/>
    </row>
    <row r="8365">
      <c r="B8365" s="309"/>
      <c r="C8365" s="309"/>
      <c r="I8365" s="309"/>
      <c r="J8365" s="309"/>
    </row>
    <row r="8366">
      <c r="B8366" s="309"/>
      <c r="C8366" s="309"/>
      <c r="I8366" s="309"/>
      <c r="J8366" s="309"/>
    </row>
    <row r="8367">
      <c r="B8367" s="309"/>
      <c r="C8367" s="309"/>
      <c r="I8367" s="309"/>
      <c r="J8367" s="309"/>
    </row>
    <row r="8368">
      <c r="B8368" s="309"/>
      <c r="C8368" s="309"/>
      <c r="I8368" s="309"/>
      <c r="J8368" s="309"/>
    </row>
    <row r="8369">
      <c r="B8369" s="309"/>
      <c r="C8369" s="309"/>
      <c r="I8369" s="309"/>
      <c r="J8369" s="309"/>
    </row>
    <row r="8370">
      <c r="B8370" s="309"/>
      <c r="C8370" s="309"/>
      <c r="I8370" s="309"/>
      <c r="J8370" s="309"/>
    </row>
    <row r="8371">
      <c r="B8371" s="309"/>
      <c r="C8371" s="309"/>
      <c r="I8371" s="309"/>
      <c r="J8371" s="309"/>
    </row>
    <row r="8372">
      <c r="B8372" s="309"/>
      <c r="C8372" s="309"/>
      <c r="I8372" s="309"/>
      <c r="J8372" s="309"/>
    </row>
    <row r="8373">
      <c r="B8373" s="309"/>
      <c r="C8373" s="309"/>
      <c r="I8373" s="309"/>
      <c r="J8373" s="309"/>
    </row>
    <row r="8374">
      <c r="B8374" s="309"/>
      <c r="C8374" s="309"/>
      <c r="I8374" s="309"/>
      <c r="J8374" s="309"/>
    </row>
    <row r="8375">
      <c r="B8375" s="309"/>
      <c r="C8375" s="309"/>
      <c r="I8375" s="309"/>
      <c r="J8375" s="309"/>
    </row>
    <row r="8376">
      <c r="B8376" s="309"/>
      <c r="C8376" s="309"/>
      <c r="I8376" s="309"/>
      <c r="J8376" s="309"/>
    </row>
    <row r="8377">
      <c r="B8377" s="309"/>
      <c r="C8377" s="309"/>
      <c r="I8377" s="309"/>
      <c r="J8377" s="309"/>
    </row>
    <row r="8378">
      <c r="B8378" s="309"/>
      <c r="C8378" s="309"/>
      <c r="I8378" s="309"/>
      <c r="J8378" s="309"/>
    </row>
    <row r="8379">
      <c r="B8379" s="309"/>
      <c r="C8379" s="309"/>
      <c r="I8379" s="309"/>
      <c r="J8379" s="309"/>
    </row>
    <row r="8380">
      <c r="B8380" s="309"/>
      <c r="C8380" s="309"/>
      <c r="I8380" s="309"/>
      <c r="J8380" s="309"/>
    </row>
    <row r="8381">
      <c r="B8381" s="309"/>
      <c r="C8381" s="309"/>
      <c r="I8381" s="309"/>
      <c r="J8381" s="309"/>
    </row>
    <row r="8382">
      <c r="B8382" s="309"/>
      <c r="C8382" s="309"/>
      <c r="I8382" s="309"/>
      <c r="J8382" s="309"/>
    </row>
    <row r="8383">
      <c r="B8383" s="309"/>
      <c r="C8383" s="309"/>
      <c r="I8383" s="309"/>
      <c r="J8383" s="309"/>
    </row>
    <row r="8384">
      <c r="B8384" s="309"/>
      <c r="C8384" s="309"/>
      <c r="I8384" s="309"/>
      <c r="J8384" s="309"/>
    </row>
    <row r="8385">
      <c r="B8385" s="309"/>
      <c r="C8385" s="309"/>
      <c r="I8385" s="309"/>
      <c r="J8385" s="309"/>
    </row>
    <row r="8386">
      <c r="B8386" s="309"/>
      <c r="C8386" s="309"/>
      <c r="I8386" s="309"/>
      <c r="J8386" s="309"/>
    </row>
    <row r="8387">
      <c r="B8387" s="309"/>
      <c r="C8387" s="309"/>
      <c r="I8387" s="309"/>
      <c r="J8387" s="309"/>
    </row>
    <row r="8388">
      <c r="B8388" s="309"/>
      <c r="C8388" s="309"/>
      <c r="I8388" s="309"/>
      <c r="J8388" s="309"/>
    </row>
    <row r="8389">
      <c r="B8389" s="309"/>
      <c r="C8389" s="309"/>
      <c r="I8389" s="309"/>
      <c r="J8389" s="309"/>
    </row>
    <row r="8390">
      <c r="B8390" s="309"/>
      <c r="C8390" s="309"/>
      <c r="I8390" s="309"/>
      <c r="J8390" s="309"/>
    </row>
    <row r="8391">
      <c r="B8391" s="309"/>
      <c r="C8391" s="309"/>
      <c r="I8391" s="309"/>
      <c r="J8391" s="309"/>
    </row>
    <row r="8392">
      <c r="B8392" s="309"/>
      <c r="C8392" s="309"/>
      <c r="I8392" s="309"/>
      <c r="J8392" s="309"/>
    </row>
    <row r="8393">
      <c r="B8393" s="309"/>
      <c r="C8393" s="309"/>
      <c r="I8393" s="309"/>
      <c r="J8393" s="309"/>
    </row>
    <row r="8394">
      <c r="B8394" s="309"/>
      <c r="C8394" s="309"/>
      <c r="I8394" s="309"/>
      <c r="J8394" s="309"/>
    </row>
    <row r="8395">
      <c r="B8395" s="309"/>
      <c r="C8395" s="309"/>
      <c r="I8395" s="309"/>
      <c r="J8395" s="309"/>
    </row>
    <row r="8396">
      <c r="B8396" s="309"/>
      <c r="C8396" s="309"/>
      <c r="I8396" s="309"/>
      <c r="J8396" s="309"/>
    </row>
    <row r="8397">
      <c r="B8397" s="309"/>
      <c r="C8397" s="309"/>
      <c r="I8397" s="309"/>
      <c r="J8397" s="309"/>
    </row>
    <row r="8398">
      <c r="B8398" s="309"/>
      <c r="C8398" s="309"/>
      <c r="I8398" s="309"/>
      <c r="J8398" s="309"/>
    </row>
    <row r="8399">
      <c r="B8399" s="309"/>
      <c r="C8399" s="309"/>
      <c r="I8399" s="309"/>
      <c r="J8399" s="309"/>
    </row>
    <row r="8400">
      <c r="B8400" s="309"/>
      <c r="C8400" s="309"/>
      <c r="I8400" s="309"/>
      <c r="J8400" s="309"/>
    </row>
    <row r="8401">
      <c r="B8401" s="309"/>
      <c r="C8401" s="309"/>
      <c r="I8401" s="309"/>
      <c r="J8401" s="309"/>
    </row>
    <row r="8402">
      <c r="B8402" s="309"/>
      <c r="C8402" s="309"/>
      <c r="I8402" s="309"/>
      <c r="J8402" s="309"/>
    </row>
    <row r="8403">
      <c r="B8403" s="309"/>
      <c r="C8403" s="309"/>
      <c r="I8403" s="309"/>
      <c r="J8403" s="309"/>
    </row>
    <row r="8404">
      <c r="B8404" s="309"/>
      <c r="C8404" s="309"/>
      <c r="I8404" s="309"/>
      <c r="J8404" s="309"/>
    </row>
    <row r="8405">
      <c r="B8405" s="309"/>
      <c r="C8405" s="309"/>
      <c r="I8405" s="309"/>
      <c r="J8405" s="309"/>
    </row>
    <row r="8406">
      <c r="B8406" s="309"/>
      <c r="C8406" s="309"/>
      <c r="I8406" s="309"/>
      <c r="J8406" s="309"/>
    </row>
    <row r="8407">
      <c r="B8407" s="309"/>
      <c r="C8407" s="309"/>
      <c r="I8407" s="309"/>
      <c r="J8407" s="309"/>
    </row>
    <row r="8408">
      <c r="B8408" s="309"/>
      <c r="C8408" s="309"/>
      <c r="I8408" s="309"/>
      <c r="J8408" s="309"/>
    </row>
    <row r="8409">
      <c r="B8409" s="309"/>
      <c r="C8409" s="309"/>
      <c r="I8409" s="309"/>
      <c r="J8409" s="309"/>
    </row>
    <row r="8410">
      <c r="B8410" s="309"/>
      <c r="C8410" s="309"/>
      <c r="I8410" s="309"/>
      <c r="J8410" s="309"/>
    </row>
    <row r="8411">
      <c r="B8411" s="309"/>
      <c r="C8411" s="309"/>
      <c r="I8411" s="309"/>
      <c r="J8411" s="309"/>
    </row>
    <row r="8412">
      <c r="B8412" s="309"/>
      <c r="C8412" s="309"/>
      <c r="I8412" s="309"/>
      <c r="J8412" s="309"/>
    </row>
    <row r="8413">
      <c r="B8413" s="309"/>
      <c r="C8413" s="309"/>
      <c r="I8413" s="309"/>
      <c r="J8413" s="309"/>
    </row>
    <row r="8414">
      <c r="B8414" s="309"/>
      <c r="C8414" s="309"/>
      <c r="I8414" s="309"/>
      <c r="J8414" s="309"/>
    </row>
    <row r="8415">
      <c r="B8415" s="309"/>
      <c r="C8415" s="309"/>
      <c r="I8415" s="309"/>
      <c r="J8415" s="309"/>
    </row>
    <row r="8416">
      <c r="B8416" s="309"/>
      <c r="C8416" s="309"/>
      <c r="I8416" s="309"/>
      <c r="J8416" s="309"/>
    </row>
    <row r="8417">
      <c r="B8417" s="309"/>
      <c r="C8417" s="309"/>
      <c r="I8417" s="309"/>
      <c r="J8417" s="309"/>
    </row>
    <row r="8418">
      <c r="B8418" s="309"/>
      <c r="C8418" s="309"/>
      <c r="I8418" s="309"/>
      <c r="J8418" s="309"/>
    </row>
    <row r="8419">
      <c r="B8419" s="309"/>
      <c r="C8419" s="309"/>
      <c r="I8419" s="309"/>
      <c r="J8419" s="309"/>
    </row>
    <row r="8420">
      <c r="B8420" s="309"/>
      <c r="C8420" s="309"/>
      <c r="I8420" s="309"/>
      <c r="J8420" s="309"/>
    </row>
    <row r="8421">
      <c r="B8421" s="309"/>
      <c r="C8421" s="309"/>
      <c r="I8421" s="309"/>
      <c r="J8421" s="309"/>
    </row>
    <row r="8422">
      <c r="B8422" s="309"/>
      <c r="C8422" s="309"/>
      <c r="I8422" s="309"/>
      <c r="J8422" s="309"/>
    </row>
    <row r="8423">
      <c r="B8423" s="309"/>
      <c r="C8423" s="309"/>
      <c r="I8423" s="309"/>
      <c r="J8423" s="309"/>
    </row>
    <row r="8424">
      <c r="B8424" s="309"/>
      <c r="C8424" s="309"/>
      <c r="I8424" s="309"/>
      <c r="J8424" s="309"/>
    </row>
    <row r="8425">
      <c r="B8425" s="309"/>
      <c r="C8425" s="309"/>
      <c r="I8425" s="309"/>
      <c r="J8425" s="309"/>
    </row>
    <row r="8426">
      <c r="B8426" s="309"/>
      <c r="C8426" s="309"/>
      <c r="I8426" s="309"/>
      <c r="J8426" s="309"/>
    </row>
    <row r="8427">
      <c r="B8427" s="309"/>
      <c r="C8427" s="309"/>
      <c r="I8427" s="309"/>
      <c r="J8427" s="309"/>
    </row>
    <row r="8428">
      <c r="B8428" s="309"/>
      <c r="C8428" s="309"/>
      <c r="I8428" s="309"/>
      <c r="J8428" s="309"/>
    </row>
    <row r="8429">
      <c r="B8429" s="309"/>
      <c r="C8429" s="309"/>
      <c r="I8429" s="309"/>
      <c r="J8429" s="309"/>
    </row>
    <row r="8430">
      <c r="B8430" s="309"/>
      <c r="C8430" s="309"/>
      <c r="I8430" s="309"/>
      <c r="J8430" s="309"/>
    </row>
    <row r="8431">
      <c r="B8431" s="309"/>
      <c r="C8431" s="309"/>
      <c r="I8431" s="309"/>
      <c r="J8431" s="309"/>
    </row>
    <row r="8432">
      <c r="B8432" s="309"/>
      <c r="C8432" s="309"/>
      <c r="I8432" s="309"/>
      <c r="J8432" s="309"/>
    </row>
    <row r="8433">
      <c r="B8433" s="309"/>
      <c r="C8433" s="309"/>
      <c r="I8433" s="309"/>
      <c r="J8433" s="309"/>
    </row>
    <row r="8434">
      <c r="B8434" s="309"/>
      <c r="C8434" s="309"/>
      <c r="I8434" s="309"/>
      <c r="J8434" s="309"/>
    </row>
    <row r="8435">
      <c r="B8435" s="309"/>
      <c r="C8435" s="309"/>
      <c r="I8435" s="309"/>
      <c r="J8435" s="309"/>
    </row>
    <row r="8436">
      <c r="B8436" s="309"/>
      <c r="C8436" s="309"/>
      <c r="I8436" s="309"/>
      <c r="J8436" s="309"/>
    </row>
    <row r="8437">
      <c r="B8437" s="309"/>
      <c r="C8437" s="309"/>
      <c r="I8437" s="309"/>
      <c r="J8437" s="309"/>
    </row>
    <row r="8438">
      <c r="B8438" s="309"/>
      <c r="C8438" s="309"/>
      <c r="I8438" s="309"/>
      <c r="J8438" s="309"/>
    </row>
    <row r="8439">
      <c r="B8439" s="309"/>
      <c r="C8439" s="309"/>
      <c r="I8439" s="309"/>
      <c r="J8439" s="309"/>
    </row>
    <row r="8440">
      <c r="B8440" s="309"/>
      <c r="C8440" s="309"/>
      <c r="I8440" s="309"/>
      <c r="J8440" s="309"/>
    </row>
    <row r="8441">
      <c r="B8441" s="309"/>
      <c r="C8441" s="309"/>
      <c r="I8441" s="309"/>
      <c r="J8441" s="309"/>
    </row>
    <row r="8442">
      <c r="B8442" s="309"/>
      <c r="C8442" s="309"/>
      <c r="I8442" s="309"/>
      <c r="J8442" s="309"/>
    </row>
    <row r="8443">
      <c r="B8443" s="309"/>
      <c r="C8443" s="309"/>
      <c r="I8443" s="309"/>
      <c r="J8443" s="309"/>
    </row>
    <row r="8444">
      <c r="B8444" s="309"/>
      <c r="C8444" s="309"/>
      <c r="I8444" s="309"/>
      <c r="J8444" s="309"/>
    </row>
    <row r="8445">
      <c r="B8445" s="309"/>
      <c r="C8445" s="309"/>
      <c r="I8445" s="309"/>
      <c r="J8445" s="309"/>
    </row>
    <row r="8446">
      <c r="B8446" s="309"/>
      <c r="C8446" s="309"/>
      <c r="I8446" s="309"/>
      <c r="J8446" s="309"/>
    </row>
    <row r="8447">
      <c r="B8447" s="309"/>
      <c r="C8447" s="309"/>
      <c r="I8447" s="309"/>
      <c r="J8447" s="309"/>
    </row>
    <row r="8448">
      <c r="B8448" s="309"/>
      <c r="C8448" s="309"/>
      <c r="I8448" s="309"/>
      <c r="J8448" s="309"/>
    </row>
    <row r="8449">
      <c r="B8449" s="309"/>
      <c r="C8449" s="309"/>
      <c r="I8449" s="309"/>
      <c r="J8449" s="309"/>
    </row>
    <row r="8450">
      <c r="B8450" s="309"/>
      <c r="C8450" s="309"/>
      <c r="I8450" s="309"/>
      <c r="J8450" s="309"/>
    </row>
    <row r="8451">
      <c r="B8451" s="309"/>
      <c r="C8451" s="309"/>
      <c r="I8451" s="309"/>
      <c r="J8451" s="309"/>
    </row>
    <row r="8452">
      <c r="B8452" s="309"/>
      <c r="C8452" s="309"/>
      <c r="I8452" s="309"/>
      <c r="J8452" s="309"/>
    </row>
    <row r="8453">
      <c r="B8453" s="309"/>
      <c r="C8453" s="309"/>
      <c r="I8453" s="309"/>
      <c r="J8453" s="309"/>
    </row>
    <row r="8454">
      <c r="B8454" s="309"/>
      <c r="C8454" s="309"/>
      <c r="I8454" s="309"/>
      <c r="J8454" s="309"/>
    </row>
    <row r="8455">
      <c r="B8455" s="309"/>
      <c r="C8455" s="309"/>
      <c r="I8455" s="309"/>
      <c r="J8455" s="309"/>
    </row>
    <row r="8456">
      <c r="B8456" s="309"/>
      <c r="C8456" s="309"/>
      <c r="I8456" s="309"/>
      <c r="J8456" s="309"/>
    </row>
    <row r="8457">
      <c r="B8457" s="309"/>
      <c r="C8457" s="309"/>
      <c r="I8457" s="309"/>
      <c r="J8457" s="309"/>
    </row>
    <row r="8458">
      <c r="B8458" s="309"/>
      <c r="C8458" s="309"/>
      <c r="I8458" s="309"/>
      <c r="J8458" s="309"/>
    </row>
    <row r="8459">
      <c r="B8459" s="309"/>
      <c r="C8459" s="309"/>
      <c r="I8459" s="309"/>
      <c r="J8459" s="309"/>
    </row>
    <row r="8460">
      <c r="B8460" s="309"/>
      <c r="C8460" s="309"/>
      <c r="I8460" s="309"/>
      <c r="J8460" s="309"/>
    </row>
    <row r="8461">
      <c r="B8461" s="309"/>
      <c r="C8461" s="309"/>
      <c r="I8461" s="309"/>
      <c r="J8461" s="309"/>
    </row>
    <row r="8462">
      <c r="B8462" s="309"/>
      <c r="C8462" s="309"/>
      <c r="I8462" s="309"/>
      <c r="J8462" s="309"/>
    </row>
    <row r="8463">
      <c r="B8463" s="309"/>
      <c r="C8463" s="309"/>
      <c r="I8463" s="309"/>
      <c r="J8463" s="309"/>
    </row>
    <row r="8464">
      <c r="B8464" s="309"/>
      <c r="C8464" s="309"/>
      <c r="I8464" s="309"/>
      <c r="J8464" s="309"/>
    </row>
    <row r="8465">
      <c r="B8465" s="309"/>
      <c r="C8465" s="309"/>
      <c r="I8465" s="309"/>
      <c r="J8465" s="309"/>
    </row>
    <row r="8466">
      <c r="B8466" s="309"/>
      <c r="C8466" s="309"/>
      <c r="I8466" s="309"/>
      <c r="J8466" s="309"/>
    </row>
    <row r="8467">
      <c r="B8467" s="309"/>
      <c r="C8467" s="309"/>
      <c r="I8467" s="309"/>
      <c r="J8467" s="309"/>
    </row>
    <row r="8468">
      <c r="B8468" s="309"/>
      <c r="C8468" s="309"/>
      <c r="I8468" s="309"/>
      <c r="J8468" s="309"/>
    </row>
    <row r="8469">
      <c r="B8469" s="309"/>
      <c r="C8469" s="309"/>
      <c r="I8469" s="309"/>
      <c r="J8469" s="309"/>
    </row>
    <row r="8470">
      <c r="B8470" s="309"/>
      <c r="C8470" s="309"/>
      <c r="I8470" s="309"/>
      <c r="J8470" s="309"/>
    </row>
    <row r="8471">
      <c r="B8471" s="309"/>
      <c r="C8471" s="309"/>
      <c r="I8471" s="309"/>
      <c r="J8471" s="309"/>
    </row>
    <row r="8472">
      <c r="B8472" s="309"/>
      <c r="C8472" s="309"/>
      <c r="I8472" s="309"/>
      <c r="J8472" s="309"/>
    </row>
    <row r="8473">
      <c r="B8473" s="309"/>
      <c r="C8473" s="309"/>
      <c r="I8473" s="309"/>
      <c r="J8473" s="309"/>
    </row>
    <row r="8474">
      <c r="B8474" s="309"/>
      <c r="C8474" s="309"/>
      <c r="I8474" s="309"/>
      <c r="J8474" s="309"/>
    </row>
    <row r="8475">
      <c r="B8475" s="309"/>
      <c r="C8475" s="309"/>
      <c r="I8475" s="309"/>
      <c r="J8475" s="309"/>
    </row>
    <row r="8476">
      <c r="B8476" s="309"/>
      <c r="C8476" s="309"/>
      <c r="I8476" s="309"/>
      <c r="J8476" s="309"/>
    </row>
    <row r="8477">
      <c r="B8477" s="309"/>
      <c r="C8477" s="309"/>
      <c r="I8477" s="309"/>
      <c r="J8477" s="309"/>
    </row>
    <row r="8478">
      <c r="B8478" s="309"/>
      <c r="C8478" s="309"/>
      <c r="I8478" s="309"/>
      <c r="J8478" s="309"/>
    </row>
    <row r="8479">
      <c r="B8479" s="309"/>
      <c r="C8479" s="309"/>
      <c r="I8479" s="309"/>
      <c r="J8479" s="309"/>
    </row>
    <row r="8480">
      <c r="B8480" s="309"/>
      <c r="C8480" s="309"/>
      <c r="I8480" s="309"/>
      <c r="J8480" s="309"/>
    </row>
    <row r="8481">
      <c r="B8481" s="309"/>
      <c r="C8481" s="309"/>
      <c r="I8481" s="309"/>
      <c r="J8481" s="309"/>
    </row>
    <row r="8482">
      <c r="B8482" s="309"/>
      <c r="C8482" s="309"/>
      <c r="I8482" s="309"/>
      <c r="J8482" s="309"/>
    </row>
    <row r="8483">
      <c r="B8483" s="309"/>
      <c r="C8483" s="309"/>
      <c r="I8483" s="309"/>
      <c r="J8483" s="309"/>
    </row>
    <row r="8484">
      <c r="B8484" s="309"/>
      <c r="C8484" s="309"/>
      <c r="I8484" s="309"/>
      <c r="J8484" s="309"/>
    </row>
    <row r="8485">
      <c r="B8485" s="309"/>
      <c r="C8485" s="309"/>
      <c r="I8485" s="309"/>
      <c r="J8485" s="309"/>
    </row>
    <row r="8486">
      <c r="B8486" s="309"/>
      <c r="C8486" s="309"/>
      <c r="I8486" s="309"/>
      <c r="J8486" s="309"/>
    </row>
    <row r="8487">
      <c r="B8487" s="309"/>
      <c r="C8487" s="309"/>
      <c r="I8487" s="309"/>
      <c r="J8487" s="309"/>
    </row>
    <row r="8488">
      <c r="B8488" s="309"/>
      <c r="C8488" s="309"/>
      <c r="I8488" s="309"/>
      <c r="J8488" s="309"/>
    </row>
    <row r="8489">
      <c r="B8489" s="309"/>
      <c r="C8489" s="309"/>
      <c r="I8489" s="309"/>
      <c r="J8489" s="309"/>
    </row>
    <row r="8490">
      <c r="B8490" s="309"/>
      <c r="C8490" s="309"/>
      <c r="I8490" s="309"/>
      <c r="J8490" s="309"/>
    </row>
    <row r="8491">
      <c r="B8491" s="309"/>
      <c r="C8491" s="309"/>
      <c r="I8491" s="309"/>
      <c r="J8491" s="309"/>
    </row>
    <row r="8492">
      <c r="B8492" s="309"/>
      <c r="C8492" s="309"/>
      <c r="I8492" s="309"/>
      <c r="J8492" s="309"/>
    </row>
    <row r="8493">
      <c r="B8493" s="309"/>
      <c r="C8493" s="309"/>
      <c r="I8493" s="309"/>
      <c r="J8493" s="309"/>
    </row>
    <row r="8494">
      <c r="B8494" s="309"/>
      <c r="C8494" s="309"/>
      <c r="I8494" s="309"/>
      <c r="J8494" s="309"/>
    </row>
    <row r="8495">
      <c r="B8495" s="309"/>
      <c r="C8495" s="309"/>
      <c r="I8495" s="309"/>
      <c r="J8495" s="309"/>
    </row>
    <row r="8496">
      <c r="B8496" s="309"/>
      <c r="C8496" s="309"/>
      <c r="I8496" s="309"/>
      <c r="J8496" s="309"/>
    </row>
    <row r="8497">
      <c r="B8497" s="309"/>
      <c r="C8497" s="309"/>
      <c r="I8497" s="309"/>
      <c r="J8497" s="309"/>
    </row>
    <row r="8498">
      <c r="B8498" s="309"/>
      <c r="C8498" s="309"/>
      <c r="I8498" s="309"/>
      <c r="J8498" s="309"/>
    </row>
    <row r="8499">
      <c r="B8499" s="309"/>
      <c r="C8499" s="309"/>
      <c r="I8499" s="309"/>
      <c r="J8499" s="309"/>
    </row>
    <row r="8500">
      <c r="B8500" s="309"/>
      <c r="C8500" s="309"/>
      <c r="I8500" s="309"/>
      <c r="J8500" s="309"/>
    </row>
    <row r="8501">
      <c r="B8501" s="309"/>
      <c r="C8501" s="309"/>
      <c r="I8501" s="309"/>
      <c r="J8501" s="309"/>
    </row>
    <row r="8502">
      <c r="B8502" s="309"/>
      <c r="C8502" s="309"/>
      <c r="I8502" s="309"/>
      <c r="J8502" s="309"/>
    </row>
    <row r="8503">
      <c r="B8503" s="309"/>
      <c r="C8503" s="309"/>
      <c r="I8503" s="309"/>
      <c r="J8503" s="309"/>
    </row>
    <row r="8504">
      <c r="B8504" s="309"/>
      <c r="C8504" s="309"/>
      <c r="I8504" s="309"/>
      <c r="J8504" s="309"/>
    </row>
    <row r="8505">
      <c r="B8505" s="309"/>
      <c r="C8505" s="309"/>
      <c r="I8505" s="309"/>
      <c r="J8505" s="309"/>
    </row>
    <row r="8506">
      <c r="B8506" s="309"/>
      <c r="C8506" s="309"/>
      <c r="I8506" s="309"/>
      <c r="J8506" s="309"/>
    </row>
    <row r="8507">
      <c r="B8507" s="309"/>
      <c r="C8507" s="309"/>
      <c r="I8507" s="309"/>
      <c r="J8507" s="309"/>
    </row>
    <row r="8508">
      <c r="B8508" s="309"/>
      <c r="C8508" s="309"/>
      <c r="I8508" s="309"/>
      <c r="J8508" s="309"/>
    </row>
    <row r="8509">
      <c r="B8509" s="309"/>
      <c r="C8509" s="309"/>
      <c r="I8509" s="309"/>
      <c r="J8509" s="309"/>
    </row>
    <row r="8510">
      <c r="B8510" s="309"/>
      <c r="C8510" s="309"/>
      <c r="I8510" s="309"/>
      <c r="J8510" s="309"/>
    </row>
    <row r="8511">
      <c r="B8511" s="309"/>
      <c r="C8511" s="309"/>
      <c r="I8511" s="309"/>
      <c r="J8511" s="309"/>
    </row>
    <row r="8512">
      <c r="B8512" s="309"/>
      <c r="C8512" s="309"/>
      <c r="I8512" s="309"/>
      <c r="J8512" s="309"/>
    </row>
    <row r="8513">
      <c r="B8513" s="309"/>
      <c r="C8513" s="309"/>
      <c r="I8513" s="309"/>
      <c r="J8513" s="309"/>
    </row>
    <row r="8514">
      <c r="B8514" s="309"/>
      <c r="C8514" s="309"/>
      <c r="I8514" s="309"/>
      <c r="J8514" s="309"/>
    </row>
    <row r="8515">
      <c r="B8515" s="309"/>
      <c r="C8515" s="309"/>
      <c r="I8515" s="309"/>
      <c r="J8515" s="309"/>
    </row>
    <row r="8516">
      <c r="B8516" s="309"/>
      <c r="C8516" s="309"/>
      <c r="I8516" s="309"/>
      <c r="J8516" s="309"/>
    </row>
    <row r="8517">
      <c r="B8517" s="309"/>
      <c r="C8517" s="309"/>
      <c r="I8517" s="309"/>
      <c r="J8517" s="309"/>
    </row>
    <row r="8518">
      <c r="B8518" s="309"/>
      <c r="C8518" s="309"/>
      <c r="I8518" s="309"/>
      <c r="J8518" s="309"/>
    </row>
    <row r="8519">
      <c r="B8519" s="309"/>
      <c r="C8519" s="309"/>
      <c r="I8519" s="309"/>
      <c r="J8519" s="309"/>
    </row>
    <row r="8520">
      <c r="B8520" s="309"/>
      <c r="C8520" s="309"/>
      <c r="I8520" s="309"/>
      <c r="J8520" s="309"/>
    </row>
    <row r="8521">
      <c r="B8521" s="309"/>
      <c r="C8521" s="309"/>
      <c r="I8521" s="309"/>
      <c r="J8521" s="309"/>
    </row>
    <row r="8522">
      <c r="B8522" s="309"/>
      <c r="C8522" s="309"/>
      <c r="I8522" s="309"/>
      <c r="J8522" s="309"/>
    </row>
    <row r="8523">
      <c r="B8523" s="309"/>
      <c r="C8523" s="309"/>
      <c r="I8523" s="309"/>
      <c r="J8523" s="309"/>
    </row>
    <row r="8524">
      <c r="B8524" s="309"/>
      <c r="C8524" s="309"/>
      <c r="I8524" s="309"/>
      <c r="J8524" s="309"/>
    </row>
    <row r="8525">
      <c r="B8525" s="309"/>
      <c r="C8525" s="309"/>
      <c r="I8525" s="309"/>
      <c r="J8525" s="309"/>
    </row>
    <row r="8526">
      <c r="B8526" s="309"/>
      <c r="C8526" s="309"/>
      <c r="I8526" s="309"/>
      <c r="J8526" s="309"/>
    </row>
    <row r="8527">
      <c r="B8527" s="309"/>
      <c r="C8527" s="309"/>
      <c r="I8527" s="309"/>
      <c r="J8527" s="309"/>
    </row>
    <row r="8528">
      <c r="B8528" s="309"/>
      <c r="C8528" s="309"/>
      <c r="I8528" s="309"/>
      <c r="J8528" s="309"/>
    </row>
    <row r="8529">
      <c r="B8529" s="309"/>
      <c r="C8529" s="309"/>
      <c r="I8529" s="309"/>
      <c r="J8529" s="309"/>
    </row>
    <row r="8530">
      <c r="B8530" s="309"/>
      <c r="C8530" s="309"/>
      <c r="I8530" s="309"/>
      <c r="J8530" s="309"/>
    </row>
    <row r="8531">
      <c r="B8531" s="309"/>
      <c r="C8531" s="309"/>
      <c r="I8531" s="309"/>
      <c r="J8531" s="309"/>
    </row>
    <row r="8532">
      <c r="B8532" s="309"/>
      <c r="C8532" s="309"/>
      <c r="I8532" s="309"/>
      <c r="J8532" s="309"/>
    </row>
    <row r="8533">
      <c r="B8533" s="309"/>
      <c r="C8533" s="309"/>
      <c r="I8533" s="309"/>
      <c r="J8533" s="309"/>
    </row>
    <row r="8534">
      <c r="B8534" s="309"/>
      <c r="C8534" s="309"/>
      <c r="I8534" s="309"/>
      <c r="J8534" s="309"/>
    </row>
    <row r="8535">
      <c r="B8535" s="309"/>
      <c r="C8535" s="309"/>
      <c r="I8535" s="309"/>
      <c r="J8535" s="309"/>
    </row>
    <row r="8536">
      <c r="B8536" s="309"/>
      <c r="C8536" s="309"/>
      <c r="I8536" s="309"/>
      <c r="J8536" s="309"/>
    </row>
    <row r="8537">
      <c r="B8537" s="309"/>
      <c r="C8537" s="309"/>
      <c r="I8537" s="309"/>
      <c r="J8537" s="309"/>
    </row>
    <row r="8538">
      <c r="B8538" s="309"/>
      <c r="C8538" s="309"/>
      <c r="I8538" s="309"/>
      <c r="J8538" s="309"/>
    </row>
    <row r="8539">
      <c r="B8539" s="309"/>
      <c r="C8539" s="309"/>
      <c r="I8539" s="309"/>
      <c r="J8539" s="309"/>
    </row>
    <row r="8540">
      <c r="B8540" s="309"/>
      <c r="C8540" s="309"/>
      <c r="I8540" s="309"/>
      <c r="J8540" s="309"/>
    </row>
    <row r="8541">
      <c r="B8541" s="309"/>
      <c r="C8541" s="309"/>
      <c r="I8541" s="309"/>
      <c r="J8541" s="309"/>
    </row>
    <row r="8542">
      <c r="B8542" s="309"/>
      <c r="C8542" s="309"/>
      <c r="I8542" s="309"/>
      <c r="J8542" s="309"/>
    </row>
    <row r="8543">
      <c r="B8543" s="309"/>
      <c r="C8543" s="309"/>
      <c r="I8543" s="309"/>
      <c r="J8543" s="309"/>
    </row>
    <row r="8544">
      <c r="B8544" s="309"/>
      <c r="C8544" s="309"/>
      <c r="I8544" s="309"/>
      <c r="J8544" s="309"/>
    </row>
    <row r="8545">
      <c r="B8545" s="309"/>
      <c r="C8545" s="309"/>
      <c r="I8545" s="309"/>
      <c r="J8545" s="309"/>
    </row>
    <row r="8546">
      <c r="B8546" s="309"/>
      <c r="C8546" s="309"/>
      <c r="I8546" s="309"/>
      <c r="J8546" s="309"/>
    </row>
    <row r="8547">
      <c r="B8547" s="309"/>
      <c r="C8547" s="309"/>
      <c r="I8547" s="309"/>
      <c r="J8547" s="309"/>
    </row>
    <row r="8548">
      <c r="B8548" s="309"/>
      <c r="C8548" s="309"/>
      <c r="I8548" s="309"/>
      <c r="J8548" s="309"/>
    </row>
    <row r="8549">
      <c r="B8549" s="309"/>
      <c r="C8549" s="309"/>
      <c r="I8549" s="309"/>
      <c r="J8549" s="309"/>
    </row>
    <row r="8550">
      <c r="B8550" s="309"/>
      <c r="C8550" s="309"/>
      <c r="I8550" s="309"/>
      <c r="J8550" s="309"/>
    </row>
    <row r="8551">
      <c r="B8551" s="309"/>
      <c r="C8551" s="309"/>
      <c r="I8551" s="309"/>
      <c r="J8551" s="309"/>
    </row>
    <row r="8552">
      <c r="B8552" s="309"/>
      <c r="C8552" s="309"/>
      <c r="I8552" s="309"/>
      <c r="J8552" s="309"/>
    </row>
    <row r="8553">
      <c r="B8553" s="309"/>
      <c r="C8553" s="309"/>
      <c r="I8553" s="309"/>
      <c r="J8553" s="309"/>
    </row>
    <row r="8554">
      <c r="B8554" s="309"/>
      <c r="C8554" s="309"/>
      <c r="I8554" s="309"/>
      <c r="J8554" s="309"/>
    </row>
    <row r="8555">
      <c r="B8555" s="309"/>
      <c r="C8555" s="309"/>
      <c r="I8555" s="309"/>
      <c r="J8555" s="309"/>
    </row>
    <row r="8556">
      <c r="B8556" s="309"/>
      <c r="C8556" s="309"/>
      <c r="I8556" s="309"/>
      <c r="J8556" s="309"/>
    </row>
    <row r="8557">
      <c r="B8557" s="309"/>
      <c r="C8557" s="309"/>
      <c r="I8557" s="309"/>
      <c r="J8557" s="309"/>
    </row>
    <row r="8558">
      <c r="B8558" s="309"/>
      <c r="C8558" s="309"/>
      <c r="I8558" s="309"/>
      <c r="J8558" s="309"/>
    </row>
    <row r="8559">
      <c r="B8559" s="309"/>
      <c r="C8559" s="309"/>
      <c r="I8559" s="309"/>
      <c r="J8559" s="309"/>
    </row>
    <row r="8560">
      <c r="B8560" s="309"/>
      <c r="C8560" s="309"/>
      <c r="I8560" s="309"/>
      <c r="J8560" s="309"/>
    </row>
    <row r="8561">
      <c r="B8561" s="309"/>
      <c r="C8561" s="309"/>
      <c r="I8561" s="309"/>
      <c r="J8561" s="309"/>
    </row>
    <row r="8562">
      <c r="B8562" s="309"/>
      <c r="C8562" s="309"/>
      <c r="I8562" s="309"/>
      <c r="J8562" s="309"/>
    </row>
    <row r="8563">
      <c r="B8563" s="309"/>
      <c r="C8563" s="309"/>
      <c r="I8563" s="309"/>
      <c r="J8563" s="309"/>
    </row>
    <row r="8564">
      <c r="B8564" s="309"/>
      <c r="C8564" s="309"/>
      <c r="I8564" s="309"/>
      <c r="J8564" s="309"/>
    </row>
    <row r="8565">
      <c r="B8565" s="309"/>
      <c r="C8565" s="309"/>
      <c r="I8565" s="309"/>
      <c r="J8565" s="309"/>
    </row>
    <row r="8566">
      <c r="B8566" s="309"/>
      <c r="C8566" s="309"/>
      <c r="I8566" s="309"/>
      <c r="J8566" s="309"/>
    </row>
    <row r="8567">
      <c r="B8567" s="309"/>
      <c r="C8567" s="309"/>
      <c r="I8567" s="309"/>
      <c r="J8567" s="309"/>
    </row>
    <row r="8568">
      <c r="B8568" s="309"/>
      <c r="C8568" s="309"/>
      <c r="I8568" s="309"/>
      <c r="J8568" s="309"/>
    </row>
    <row r="8569">
      <c r="B8569" s="309"/>
      <c r="C8569" s="309"/>
      <c r="I8569" s="309"/>
      <c r="J8569" s="309"/>
    </row>
    <row r="8570">
      <c r="B8570" s="309"/>
      <c r="C8570" s="309"/>
      <c r="I8570" s="309"/>
      <c r="J8570" s="309"/>
    </row>
    <row r="8571">
      <c r="B8571" s="309"/>
      <c r="C8571" s="309"/>
      <c r="I8571" s="309"/>
      <c r="J8571" s="309"/>
    </row>
    <row r="8572">
      <c r="B8572" s="309"/>
      <c r="C8572" s="309"/>
      <c r="I8572" s="309"/>
      <c r="J8572" s="309"/>
    </row>
    <row r="8573">
      <c r="B8573" s="309"/>
      <c r="C8573" s="309"/>
      <c r="I8573" s="309"/>
      <c r="J8573" s="309"/>
    </row>
    <row r="8574">
      <c r="B8574" s="309"/>
      <c r="C8574" s="309"/>
      <c r="I8574" s="309"/>
      <c r="J8574" s="309"/>
    </row>
    <row r="8575">
      <c r="B8575" s="309"/>
      <c r="C8575" s="309"/>
      <c r="I8575" s="309"/>
      <c r="J8575" s="309"/>
    </row>
    <row r="8576">
      <c r="B8576" s="309"/>
      <c r="C8576" s="309"/>
      <c r="I8576" s="309"/>
      <c r="J8576" s="309"/>
    </row>
    <row r="8577">
      <c r="B8577" s="309"/>
      <c r="C8577" s="309"/>
      <c r="I8577" s="309"/>
      <c r="J8577" s="309"/>
    </row>
    <row r="8578">
      <c r="B8578" s="309"/>
      <c r="C8578" s="309"/>
      <c r="I8578" s="309"/>
      <c r="J8578" s="309"/>
    </row>
    <row r="8579">
      <c r="B8579" s="309"/>
      <c r="C8579" s="309"/>
      <c r="I8579" s="309"/>
      <c r="J8579" s="309"/>
    </row>
    <row r="8580">
      <c r="B8580" s="309"/>
      <c r="C8580" s="309"/>
      <c r="I8580" s="309"/>
      <c r="J8580" s="309"/>
    </row>
    <row r="8581">
      <c r="B8581" s="309"/>
      <c r="C8581" s="309"/>
      <c r="I8581" s="309"/>
      <c r="J8581" s="309"/>
    </row>
    <row r="8582">
      <c r="B8582" s="309"/>
      <c r="C8582" s="309"/>
      <c r="I8582" s="309"/>
      <c r="J8582" s="309"/>
    </row>
    <row r="8583">
      <c r="B8583" s="309"/>
      <c r="C8583" s="309"/>
      <c r="I8583" s="309"/>
      <c r="J8583" s="309"/>
    </row>
    <row r="8584">
      <c r="B8584" s="309"/>
      <c r="C8584" s="309"/>
      <c r="I8584" s="309"/>
      <c r="J8584" s="309"/>
    </row>
    <row r="8585">
      <c r="B8585" s="309"/>
      <c r="C8585" s="309"/>
      <c r="I8585" s="309"/>
      <c r="J8585" s="309"/>
    </row>
    <row r="8586">
      <c r="B8586" s="309"/>
      <c r="C8586" s="309"/>
      <c r="I8586" s="309"/>
      <c r="J8586" s="309"/>
    </row>
    <row r="8587">
      <c r="B8587" s="309"/>
      <c r="C8587" s="309"/>
      <c r="I8587" s="309"/>
      <c r="J8587" s="309"/>
    </row>
    <row r="8588">
      <c r="B8588" s="309"/>
      <c r="C8588" s="309"/>
      <c r="I8588" s="309"/>
      <c r="J8588" s="309"/>
    </row>
    <row r="8589">
      <c r="B8589" s="309"/>
      <c r="C8589" s="309"/>
      <c r="I8589" s="309"/>
      <c r="J8589" s="309"/>
    </row>
    <row r="8590">
      <c r="B8590" s="309"/>
      <c r="C8590" s="309"/>
      <c r="I8590" s="309"/>
      <c r="J8590" s="309"/>
    </row>
    <row r="8591">
      <c r="B8591" s="309"/>
      <c r="C8591" s="309"/>
      <c r="I8591" s="309"/>
      <c r="J8591" s="309"/>
    </row>
    <row r="8592">
      <c r="B8592" s="309"/>
      <c r="C8592" s="309"/>
      <c r="I8592" s="309"/>
      <c r="J8592" s="309"/>
    </row>
    <row r="8593">
      <c r="B8593" s="309"/>
      <c r="C8593" s="309"/>
      <c r="I8593" s="309"/>
      <c r="J8593" s="309"/>
    </row>
    <row r="8594">
      <c r="B8594" s="309"/>
      <c r="C8594" s="309"/>
      <c r="I8594" s="309"/>
      <c r="J8594" s="309"/>
    </row>
    <row r="8595">
      <c r="B8595" s="309"/>
      <c r="C8595" s="309"/>
      <c r="I8595" s="309"/>
      <c r="J8595" s="309"/>
    </row>
    <row r="8596">
      <c r="B8596" s="309"/>
      <c r="C8596" s="309"/>
      <c r="I8596" s="309"/>
      <c r="J8596" s="309"/>
    </row>
    <row r="8597">
      <c r="B8597" s="309"/>
      <c r="C8597" s="309"/>
      <c r="I8597" s="309"/>
      <c r="J8597" s="309"/>
    </row>
    <row r="8598">
      <c r="B8598" s="309"/>
      <c r="C8598" s="309"/>
      <c r="I8598" s="309"/>
      <c r="J8598" s="309"/>
    </row>
    <row r="8599">
      <c r="B8599" s="309"/>
      <c r="C8599" s="309"/>
      <c r="I8599" s="309"/>
      <c r="J8599" s="309"/>
    </row>
    <row r="8600">
      <c r="B8600" s="309"/>
      <c r="C8600" s="309"/>
      <c r="I8600" s="309"/>
      <c r="J8600" s="309"/>
    </row>
    <row r="8601">
      <c r="B8601" s="309"/>
      <c r="C8601" s="309"/>
      <c r="I8601" s="309"/>
      <c r="J8601" s="309"/>
    </row>
    <row r="8602">
      <c r="B8602" s="309"/>
      <c r="C8602" s="309"/>
      <c r="I8602" s="309"/>
      <c r="J8602" s="309"/>
    </row>
    <row r="8603">
      <c r="B8603" s="309"/>
      <c r="C8603" s="309"/>
      <c r="I8603" s="309"/>
      <c r="J8603" s="309"/>
    </row>
    <row r="8604">
      <c r="B8604" s="309"/>
      <c r="C8604" s="309"/>
      <c r="I8604" s="309"/>
      <c r="J8604" s="309"/>
    </row>
    <row r="8605">
      <c r="B8605" s="309"/>
      <c r="C8605" s="309"/>
      <c r="I8605" s="309"/>
      <c r="J8605" s="309"/>
    </row>
    <row r="8606">
      <c r="B8606" s="309"/>
      <c r="C8606" s="309"/>
      <c r="I8606" s="309"/>
      <c r="J8606" s="309"/>
    </row>
    <row r="8607">
      <c r="B8607" s="309"/>
      <c r="C8607" s="309"/>
      <c r="I8607" s="309"/>
      <c r="J8607" s="309"/>
    </row>
    <row r="8608">
      <c r="B8608" s="309"/>
      <c r="C8608" s="309"/>
      <c r="I8608" s="309"/>
      <c r="J8608" s="309"/>
    </row>
    <row r="8609">
      <c r="B8609" s="309"/>
      <c r="C8609" s="309"/>
      <c r="I8609" s="309"/>
      <c r="J8609" s="309"/>
    </row>
    <row r="8610">
      <c r="B8610" s="309"/>
      <c r="C8610" s="309"/>
      <c r="I8610" s="309"/>
      <c r="J8610" s="309"/>
    </row>
    <row r="8611">
      <c r="B8611" s="309"/>
      <c r="C8611" s="309"/>
      <c r="I8611" s="309"/>
      <c r="J8611" s="309"/>
    </row>
    <row r="8612">
      <c r="B8612" s="309"/>
      <c r="C8612" s="309"/>
      <c r="I8612" s="309"/>
      <c r="J8612" s="309"/>
    </row>
    <row r="8613">
      <c r="B8613" s="309"/>
      <c r="C8613" s="309"/>
      <c r="I8613" s="309"/>
      <c r="J8613" s="309"/>
    </row>
    <row r="8614">
      <c r="B8614" s="309"/>
      <c r="C8614" s="309"/>
      <c r="I8614" s="309"/>
      <c r="J8614" s="309"/>
    </row>
    <row r="8615">
      <c r="B8615" s="309"/>
      <c r="C8615" s="309"/>
      <c r="I8615" s="309"/>
      <c r="J8615" s="309"/>
    </row>
    <row r="8616">
      <c r="B8616" s="309"/>
      <c r="C8616" s="309"/>
      <c r="I8616" s="309"/>
      <c r="J8616" s="309"/>
    </row>
    <row r="8617">
      <c r="B8617" s="309"/>
      <c r="C8617" s="309"/>
      <c r="I8617" s="309"/>
      <c r="J8617" s="309"/>
    </row>
    <row r="8618">
      <c r="B8618" s="309"/>
      <c r="C8618" s="309"/>
      <c r="I8618" s="309"/>
      <c r="J8618" s="309"/>
    </row>
    <row r="8619">
      <c r="B8619" s="309"/>
      <c r="C8619" s="309"/>
      <c r="I8619" s="309"/>
      <c r="J8619" s="309"/>
    </row>
    <row r="8620">
      <c r="B8620" s="309"/>
      <c r="C8620" s="309"/>
      <c r="I8620" s="309"/>
      <c r="J8620" s="309"/>
    </row>
    <row r="8621">
      <c r="B8621" s="309"/>
      <c r="C8621" s="309"/>
      <c r="I8621" s="309"/>
      <c r="J8621" s="309"/>
    </row>
    <row r="8622">
      <c r="B8622" s="309"/>
      <c r="C8622" s="309"/>
      <c r="I8622" s="309"/>
      <c r="J8622" s="309"/>
    </row>
    <row r="8623">
      <c r="B8623" s="309"/>
      <c r="C8623" s="309"/>
      <c r="I8623" s="309"/>
      <c r="J8623" s="309"/>
    </row>
    <row r="8624">
      <c r="B8624" s="309"/>
      <c r="C8624" s="309"/>
      <c r="I8624" s="309"/>
      <c r="J8624" s="309"/>
    </row>
    <row r="8625">
      <c r="B8625" s="309"/>
      <c r="C8625" s="309"/>
      <c r="I8625" s="309"/>
      <c r="J8625" s="309"/>
    </row>
    <row r="8626">
      <c r="B8626" s="309"/>
      <c r="C8626" s="309"/>
      <c r="I8626" s="309"/>
      <c r="J8626" s="309"/>
    </row>
    <row r="8627">
      <c r="B8627" s="309"/>
      <c r="C8627" s="309"/>
      <c r="I8627" s="309"/>
      <c r="J8627" s="309"/>
    </row>
    <row r="8628">
      <c r="B8628" s="309"/>
      <c r="C8628" s="309"/>
      <c r="I8628" s="309"/>
      <c r="J8628" s="309"/>
    </row>
    <row r="8629">
      <c r="B8629" s="309"/>
      <c r="C8629" s="309"/>
      <c r="I8629" s="309"/>
      <c r="J8629" s="309"/>
    </row>
    <row r="8630">
      <c r="B8630" s="309"/>
      <c r="C8630" s="309"/>
      <c r="I8630" s="309"/>
      <c r="J8630" s="309"/>
    </row>
    <row r="8631">
      <c r="B8631" s="309"/>
      <c r="C8631" s="309"/>
      <c r="I8631" s="309"/>
      <c r="J8631" s="309"/>
    </row>
    <row r="8632">
      <c r="B8632" s="309"/>
      <c r="C8632" s="309"/>
      <c r="I8632" s="309"/>
      <c r="J8632" s="309"/>
    </row>
    <row r="8633">
      <c r="B8633" s="309"/>
      <c r="C8633" s="309"/>
      <c r="I8633" s="309"/>
      <c r="J8633" s="309"/>
    </row>
    <row r="8634">
      <c r="B8634" s="309"/>
      <c r="C8634" s="309"/>
      <c r="I8634" s="309"/>
      <c r="J8634" s="309"/>
    </row>
    <row r="8635">
      <c r="B8635" s="309"/>
      <c r="C8635" s="309"/>
      <c r="I8635" s="309"/>
      <c r="J8635" s="309"/>
    </row>
    <row r="8636">
      <c r="B8636" s="309"/>
      <c r="C8636" s="309"/>
      <c r="I8636" s="309"/>
      <c r="J8636" s="309"/>
    </row>
    <row r="8637">
      <c r="B8637" s="309"/>
      <c r="C8637" s="309"/>
      <c r="I8637" s="309"/>
      <c r="J8637" s="309"/>
    </row>
    <row r="8638">
      <c r="B8638" s="309"/>
      <c r="C8638" s="309"/>
      <c r="I8638" s="309"/>
      <c r="J8638" s="309"/>
    </row>
    <row r="8639">
      <c r="B8639" s="309"/>
      <c r="C8639" s="309"/>
      <c r="I8639" s="309"/>
      <c r="J8639" s="309"/>
    </row>
    <row r="8640">
      <c r="B8640" s="309"/>
      <c r="C8640" s="309"/>
      <c r="I8640" s="309"/>
      <c r="J8640" s="309"/>
    </row>
    <row r="8641">
      <c r="B8641" s="309"/>
      <c r="C8641" s="309"/>
      <c r="I8641" s="309"/>
      <c r="J8641" s="309"/>
    </row>
    <row r="8642">
      <c r="B8642" s="309"/>
      <c r="C8642" s="309"/>
      <c r="I8642" s="309"/>
      <c r="J8642" s="309"/>
    </row>
    <row r="8643">
      <c r="B8643" s="309"/>
      <c r="C8643" s="309"/>
      <c r="I8643" s="309"/>
      <c r="J8643" s="309"/>
    </row>
    <row r="8644">
      <c r="B8644" s="309"/>
      <c r="C8644" s="309"/>
      <c r="I8644" s="309"/>
      <c r="J8644" s="309"/>
    </row>
    <row r="8645">
      <c r="B8645" s="309"/>
      <c r="C8645" s="309"/>
      <c r="I8645" s="309"/>
      <c r="J8645" s="309"/>
    </row>
    <row r="8646">
      <c r="B8646" s="309"/>
      <c r="C8646" s="309"/>
      <c r="I8646" s="309"/>
      <c r="J8646" s="309"/>
    </row>
    <row r="8647">
      <c r="B8647" s="309"/>
      <c r="C8647" s="309"/>
      <c r="I8647" s="309"/>
      <c r="J8647" s="309"/>
    </row>
    <row r="8648">
      <c r="B8648" s="309"/>
      <c r="C8648" s="309"/>
      <c r="I8648" s="309"/>
      <c r="J8648" s="309"/>
    </row>
    <row r="8649">
      <c r="B8649" s="309"/>
      <c r="C8649" s="309"/>
      <c r="I8649" s="309"/>
      <c r="J8649" s="309"/>
    </row>
    <row r="8650">
      <c r="B8650" s="309"/>
      <c r="C8650" s="309"/>
      <c r="I8650" s="309"/>
      <c r="J8650" s="309"/>
    </row>
    <row r="8651">
      <c r="B8651" s="309"/>
      <c r="C8651" s="309"/>
      <c r="I8651" s="309"/>
      <c r="J8651" s="309"/>
    </row>
    <row r="8652">
      <c r="B8652" s="309"/>
      <c r="C8652" s="309"/>
      <c r="I8652" s="309"/>
      <c r="J8652" s="309"/>
    </row>
    <row r="8653">
      <c r="B8653" s="309"/>
      <c r="C8653" s="309"/>
      <c r="I8653" s="309"/>
      <c r="J8653" s="309"/>
    </row>
    <row r="8654">
      <c r="B8654" s="309"/>
      <c r="C8654" s="309"/>
      <c r="I8654" s="309"/>
      <c r="J8654" s="309"/>
    </row>
    <row r="8655">
      <c r="B8655" s="309"/>
      <c r="C8655" s="309"/>
      <c r="I8655" s="309"/>
      <c r="J8655" s="309"/>
    </row>
    <row r="8656">
      <c r="B8656" s="309"/>
      <c r="C8656" s="309"/>
      <c r="I8656" s="309"/>
      <c r="J8656" s="309"/>
    </row>
    <row r="8657">
      <c r="B8657" s="309"/>
      <c r="C8657" s="309"/>
      <c r="I8657" s="309"/>
      <c r="J8657" s="309"/>
    </row>
    <row r="8658">
      <c r="B8658" s="309"/>
      <c r="C8658" s="309"/>
      <c r="I8658" s="309"/>
      <c r="J8658" s="309"/>
    </row>
    <row r="8659">
      <c r="B8659" s="309"/>
      <c r="C8659" s="309"/>
      <c r="I8659" s="309"/>
      <c r="J8659" s="309"/>
    </row>
    <row r="8660">
      <c r="B8660" s="309"/>
      <c r="C8660" s="309"/>
      <c r="I8660" s="309"/>
      <c r="J8660" s="309"/>
    </row>
    <row r="8661">
      <c r="B8661" s="309"/>
      <c r="C8661" s="309"/>
      <c r="I8661" s="309"/>
      <c r="J8661" s="309"/>
    </row>
    <row r="8662">
      <c r="B8662" s="309"/>
      <c r="C8662" s="309"/>
      <c r="I8662" s="309"/>
      <c r="J8662" s="309"/>
    </row>
    <row r="8663">
      <c r="B8663" s="309"/>
      <c r="C8663" s="309"/>
      <c r="I8663" s="309"/>
      <c r="J8663" s="309"/>
    </row>
    <row r="8664">
      <c r="B8664" s="309"/>
      <c r="C8664" s="309"/>
      <c r="I8664" s="309"/>
      <c r="J8664" s="309"/>
    </row>
    <row r="8665">
      <c r="B8665" s="309"/>
      <c r="C8665" s="309"/>
      <c r="I8665" s="309"/>
      <c r="J8665" s="309"/>
    </row>
    <row r="8666">
      <c r="B8666" s="309"/>
      <c r="C8666" s="309"/>
      <c r="I8666" s="309"/>
      <c r="J8666" s="309"/>
    </row>
    <row r="8667">
      <c r="B8667" s="309"/>
      <c r="C8667" s="309"/>
      <c r="I8667" s="309"/>
      <c r="J8667" s="309"/>
    </row>
    <row r="8668">
      <c r="B8668" s="309"/>
      <c r="C8668" s="309"/>
      <c r="I8668" s="309"/>
      <c r="J8668" s="309"/>
    </row>
    <row r="8669">
      <c r="B8669" s="309"/>
      <c r="C8669" s="309"/>
      <c r="I8669" s="309"/>
      <c r="J8669" s="309"/>
    </row>
    <row r="8670">
      <c r="B8670" s="309"/>
      <c r="C8670" s="309"/>
      <c r="I8670" s="309"/>
      <c r="J8670" s="309"/>
    </row>
    <row r="8671">
      <c r="B8671" s="309"/>
      <c r="C8671" s="309"/>
      <c r="I8671" s="309"/>
      <c r="J8671" s="309"/>
    </row>
    <row r="8672">
      <c r="B8672" s="309"/>
      <c r="C8672" s="309"/>
      <c r="I8672" s="309"/>
      <c r="J8672" s="309"/>
    </row>
    <row r="8673">
      <c r="B8673" s="309"/>
      <c r="C8673" s="309"/>
      <c r="I8673" s="309"/>
      <c r="J8673" s="309"/>
    </row>
    <row r="8674">
      <c r="B8674" s="309"/>
      <c r="C8674" s="309"/>
      <c r="I8674" s="309"/>
      <c r="J8674" s="309"/>
    </row>
    <row r="8675">
      <c r="B8675" s="309"/>
      <c r="C8675" s="309"/>
      <c r="I8675" s="309"/>
      <c r="J8675" s="309"/>
    </row>
    <row r="8676">
      <c r="B8676" s="309"/>
      <c r="C8676" s="309"/>
      <c r="I8676" s="309"/>
      <c r="J8676" s="309"/>
    </row>
    <row r="8677">
      <c r="B8677" s="309"/>
      <c r="C8677" s="309"/>
      <c r="I8677" s="309"/>
      <c r="J8677" s="309"/>
    </row>
    <row r="8678">
      <c r="B8678" s="309"/>
      <c r="C8678" s="309"/>
      <c r="I8678" s="309"/>
      <c r="J8678" s="309"/>
    </row>
    <row r="8679">
      <c r="B8679" s="309"/>
      <c r="C8679" s="309"/>
      <c r="I8679" s="309"/>
      <c r="J8679" s="309"/>
    </row>
    <row r="8680">
      <c r="B8680" s="309"/>
      <c r="C8680" s="309"/>
      <c r="I8680" s="309"/>
      <c r="J8680" s="309"/>
    </row>
    <row r="8681">
      <c r="B8681" s="309"/>
      <c r="C8681" s="309"/>
      <c r="I8681" s="309"/>
      <c r="J8681" s="309"/>
    </row>
    <row r="8682">
      <c r="B8682" s="309"/>
      <c r="C8682" s="309"/>
      <c r="I8682" s="309"/>
      <c r="J8682" s="309"/>
    </row>
    <row r="8683">
      <c r="B8683" s="309"/>
      <c r="C8683" s="309"/>
      <c r="I8683" s="309"/>
      <c r="J8683" s="309"/>
    </row>
    <row r="8684">
      <c r="B8684" s="309"/>
      <c r="C8684" s="309"/>
      <c r="I8684" s="309"/>
      <c r="J8684" s="309"/>
    </row>
    <row r="8685">
      <c r="B8685" s="309"/>
      <c r="C8685" s="309"/>
      <c r="I8685" s="309"/>
      <c r="J8685" s="309"/>
    </row>
    <row r="8686">
      <c r="B8686" s="309"/>
      <c r="C8686" s="309"/>
      <c r="I8686" s="309"/>
      <c r="J8686" s="309"/>
    </row>
    <row r="8687">
      <c r="B8687" s="309"/>
      <c r="C8687" s="309"/>
      <c r="I8687" s="309"/>
      <c r="J8687" s="309"/>
    </row>
    <row r="8688">
      <c r="B8688" s="309"/>
      <c r="C8688" s="309"/>
      <c r="I8688" s="309"/>
      <c r="J8688" s="309"/>
    </row>
    <row r="8689">
      <c r="B8689" s="309"/>
      <c r="C8689" s="309"/>
      <c r="I8689" s="309"/>
      <c r="J8689" s="309"/>
    </row>
    <row r="8690">
      <c r="B8690" s="309"/>
      <c r="C8690" s="309"/>
      <c r="I8690" s="309"/>
      <c r="J8690" s="309"/>
    </row>
    <row r="8691">
      <c r="B8691" s="309"/>
      <c r="C8691" s="309"/>
      <c r="I8691" s="309"/>
      <c r="J8691" s="309"/>
    </row>
    <row r="8692">
      <c r="B8692" s="309"/>
      <c r="C8692" s="309"/>
      <c r="I8692" s="309"/>
      <c r="J8692" s="309"/>
    </row>
    <row r="8693">
      <c r="B8693" s="309"/>
      <c r="C8693" s="309"/>
      <c r="I8693" s="309"/>
      <c r="J8693" s="309"/>
    </row>
    <row r="8694">
      <c r="B8694" s="309"/>
      <c r="C8694" s="309"/>
      <c r="I8694" s="309"/>
      <c r="J8694" s="309"/>
    </row>
    <row r="8695">
      <c r="B8695" s="309"/>
      <c r="C8695" s="309"/>
      <c r="I8695" s="309"/>
      <c r="J8695" s="309"/>
    </row>
    <row r="8696">
      <c r="B8696" s="309"/>
      <c r="C8696" s="309"/>
      <c r="I8696" s="309"/>
      <c r="J8696" s="309"/>
    </row>
    <row r="8697">
      <c r="B8697" s="309"/>
      <c r="C8697" s="309"/>
      <c r="I8697" s="309"/>
      <c r="J8697" s="309"/>
    </row>
    <row r="8698">
      <c r="B8698" s="309"/>
      <c r="C8698" s="309"/>
      <c r="I8698" s="309"/>
      <c r="J8698" s="309"/>
    </row>
    <row r="8699">
      <c r="B8699" s="309"/>
      <c r="C8699" s="309"/>
      <c r="I8699" s="309"/>
      <c r="J8699" s="309"/>
    </row>
    <row r="8700">
      <c r="B8700" s="309"/>
      <c r="C8700" s="309"/>
      <c r="I8700" s="309"/>
      <c r="J8700" s="309"/>
    </row>
    <row r="8701">
      <c r="B8701" s="309"/>
      <c r="C8701" s="309"/>
      <c r="I8701" s="309"/>
      <c r="J8701" s="309"/>
    </row>
    <row r="8702">
      <c r="B8702" s="309"/>
      <c r="C8702" s="309"/>
      <c r="I8702" s="309"/>
      <c r="J8702" s="309"/>
    </row>
    <row r="8703">
      <c r="B8703" s="309"/>
      <c r="C8703" s="309"/>
      <c r="I8703" s="309"/>
      <c r="J8703" s="309"/>
    </row>
    <row r="8704">
      <c r="B8704" s="309"/>
      <c r="C8704" s="309"/>
      <c r="I8704" s="309"/>
      <c r="J8704" s="309"/>
    </row>
    <row r="8705">
      <c r="B8705" s="309"/>
      <c r="C8705" s="309"/>
      <c r="I8705" s="309"/>
      <c r="J8705" s="309"/>
    </row>
    <row r="8706">
      <c r="B8706" s="309"/>
      <c r="C8706" s="309"/>
      <c r="I8706" s="309"/>
      <c r="J8706" s="309"/>
    </row>
    <row r="8707">
      <c r="B8707" s="309"/>
      <c r="C8707" s="309"/>
      <c r="I8707" s="309"/>
      <c r="J8707" s="309"/>
    </row>
    <row r="8708">
      <c r="B8708" s="309"/>
      <c r="C8708" s="309"/>
      <c r="I8708" s="309"/>
      <c r="J8708" s="309"/>
    </row>
    <row r="8709">
      <c r="B8709" s="309"/>
      <c r="C8709" s="309"/>
      <c r="I8709" s="309"/>
      <c r="J8709" s="309"/>
    </row>
    <row r="8710">
      <c r="B8710" s="309"/>
      <c r="C8710" s="309"/>
      <c r="I8710" s="309"/>
      <c r="J8710" s="309"/>
    </row>
    <row r="8711">
      <c r="B8711" s="309"/>
      <c r="C8711" s="309"/>
      <c r="I8711" s="309"/>
      <c r="J8711" s="309"/>
    </row>
    <row r="8712">
      <c r="B8712" s="309"/>
      <c r="C8712" s="309"/>
      <c r="I8712" s="309"/>
      <c r="J8712" s="309"/>
    </row>
    <row r="8713">
      <c r="B8713" s="309"/>
      <c r="C8713" s="309"/>
      <c r="I8713" s="309"/>
      <c r="J8713" s="309"/>
    </row>
    <row r="8714">
      <c r="B8714" s="309"/>
      <c r="C8714" s="309"/>
      <c r="I8714" s="309"/>
      <c r="J8714" s="309"/>
    </row>
    <row r="8715">
      <c r="B8715" s="309"/>
      <c r="C8715" s="309"/>
      <c r="I8715" s="309"/>
      <c r="J8715" s="309"/>
    </row>
    <row r="8716">
      <c r="B8716" s="309"/>
      <c r="C8716" s="309"/>
      <c r="I8716" s="309"/>
      <c r="J8716" s="309"/>
    </row>
    <row r="8717">
      <c r="B8717" s="309"/>
      <c r="C8717" s="309"/>
      <c r="I8717" s="309"/>
      <c r="J8717" s="309"/>
    </row>
    <row r="8718">
      <c r="B8718" s="309"/>
      <c r="C8718" s="309"/>
      <c r="I8718" s="309"/>
      <c r="J8718" s="309"/>
    </row>
    <row r="8719">
      <c r="B8719" s="309"/>
      <c r="C8719" s="309"/>
      <c r="I8719" s="309"/>
      <c r="J8719" s="309"/>
    </row>
    <row r="8720">
      <c r="B8720" s="309"/>
      <c r="C8720" s="309"/>
      <c r="I8720" s="309"/>
      <c r="J8720" s="309"/>
    </row>
    <row r="8721">
      <c r="B8721" s="309"/>
      <c r="C8721" s="309"/>
      <c r="I8721" s="309"/>
      <c r="J8721" s="309"/>
    </row>
    <row r="8722">
      <c r="B8722" s="309"/>
      <c r="C8722" s="309"/>
      <c r="I8722" s="309"/>
      <c r="J8722" s="309"/>
    </row>
    <row r="8723">
      <c r="B8723" s="309"/>
      <c r="C8723" s="309"/>
      <c r="I8723" s="309"/>
      <c r="J8723" s="309"/>
    </row>
    <row r="8724">
      <c r="B8724" s="309"/>
      <c r="C8724" s="309"/>
      <c r="I8724" s="309"/>
      <c r="J8724" s="309"/>
    </row>
    <row r="8725">
      <c r="B8725" s="309"/>
      <c r="C8725" s="309"/>
      <c r="I8725" s="309"/>
      <c r="J8725" s="309"/>
    </row>
    <row r="8726">
      <c r="B8726" s="309"/>
      <c r="C8726" s="309"/>
      <c r="I8726" s="309"/>
      <c r="J8726" s="309"/>
    </row>
    <row r="8727">
      <c r="B8727" s="309"/>
      <c r="C8727" s="309"/>
      <c r="I8727" s="309"/>
      <c r="J8727" s="309"/>
    </row>
    <row r="8728">
      <c r="B8728" s="309"/>
      <c r="C8728" s="309"/>
      <c r="I8728" s="309"/>
      <c r="J8728" s="309"/>
    </row>
    <row r="8729">
      <c r="B8729" s="309"/>
      <c r="C8729" s="309"/>
      <c r="I8729" s="309"/>
      <c r="J8729" s="309"/>
    </row>
    <row r="8730">
      <c r="B8730" s="309"/>
      <c r="C8730" s="309"/>
      <c r="I8730" s="309"/>
      <c r="J8730" s="309"/>
    </row>
    <row r="8731">
      <c r="B8731" s="309"/>
      <c r="C8731" s="309"/>
      <c r="I8731" s="309"/>
      <c r="J8731" s="309"/>
    </row>
    <row r="8732">
      <c r="B8732" s="309"/>
      <c r="C8732" s="309"/>
      <c r="I8732" s="309"/>
      <c r="J8732" s="309"/>
    </row>
    <row r="8733">
      <c r="B8733" s="309"/>
      <c r="C8733" s="309"/>
      <c r="I8733" s="309"/>
      <c r="J8733" s="309"/>
    </row>
    <row r="8734">
      <c r="B8734" s="309"/>
      <c r="C8734" s="309"/>
      <c r="I8734" s="309"/>
      <c r="J8734" s="309"/>
    </row>
    <row r="8735">
      <c r="B8735" s="309"/>
      <c r="C8735" s="309"/>
      <c r="I8735" s="309"/>
      <c r="J8735" s="309"/>
    </row>
    <row r="8736">
      <c r="B8736" s="309"/>
      <c r="C8736" s="309"/>
      <c r="I8736" s="309"/>
      <c r="J8736" s="309"/>
    </row>
    <row r="8737">
      <c r="B8737" s="309"/>
      <c r="C8737" s="309"/>
      <c r="I8737" s="309"/>
      <c r="J8737" s="309"/>
    </row>
    <row r="8738">
      <c r="B8738" s="309"/>
      <c r="C8738" s="309"/>
      <c r="I8738" s="309"/>
      <c r="J8738" s="309"/>
    </row>
    <row r="8739">
      <c r="B8739" s="309"/>
      <c r="C8739" s="309"/>
      <c r="I8739" s="309"/>
      <c r="J8739" s="309"/>
    </row>
    <row r="8740">
      <c r="B8740" s="309"/>
      <c r="C8740" s="309"/>
      <c r="I8740" s="309"/>
      <c r="J8740" s="309"/>
    </row>
    <row r="8741">
      <c r="B8741" s="309"/>
      <c r="C8741" s="309"/>
      <c r="I8741" s="309"/>
      <c r="J8741" s="309"/>
    </row>
    <row r="8742">
      <c r="B8742" s="309"/>
      <c r="C8742" s="309"/>
      <c r="I8742" s="309"/>
      <c r="J8742" s="309"/>
    </row>
    <row r="8743">
      <c r="B8743" s="309"/>
      <c r="C8743" s="309"/>
      <c r="I8743" s="309"/>
      <c r="J8743" s="309"/>
    </row>
    <row r="8744">
      <c r="B8744" s="309"/>
      <c r="C8744" s="309"/>
      <c r="I8744" s="309"/>
      <c r="J8744" s="309"/>
    </row>
    <row r="8745">
      <c r="B8745" s="309"/>
      <c r="C8745" s="309"/>
      <c r="I8745" s="309"/>
      <c r="J8745" s="309"/>
    </row>
    <row r="8746">
      <c r="B8746" s="309"/>
      <c r="C8746" s="309"/>
      <c r="I8746" s="309"/>
      <c r="J8746" s="309"/>
    </row>
    <row r="8747">
      <c r="B8747" s="309"/>
      <c r="C8747" s="309"/>
      <c r="I8747" s="309"/>
      <c r="J8747" s="309"/>
    </row>
    <row r="8748">
      <c r="B8748" s="309"/>
      <c r="C8748" s="309"/>
      <c r="I8748" s="309"/>
      <c r="J8748" s="309"/>
    </row>
    <row r="8749">
      <c r="B8749" s="309"/>
      <c r="C8749" s="309"/>
      <c r="I8749" s="309"/>
      <c r="J8749" s="309"/>
    </row>
    <row r="8750">
      <c r="B8750" s="309"/>
      <c r="C8750" s="309"/>
      <c r="I8750" s="309"/>
      <c r="J8750" s="309"/>
    </row>
    <row r="8751">
      <c r="B8751" s="309"/>
      <c r="C8751" s="309"/>
      <c r="I8751" s="309"/>
      <c r="J8751" s="309"/>
    </row>
    <row r="8752">
      <c r="B8752" s="309"/>
      <c r="C8752" s="309"/>
      <c r="I8752" s="309"/>
      <c r="J8752" s="309"/>
    </row>
    <row r="8753">
      <c r="B8753" s="309"/>
      <c r="C8753" s="309"/>
      <c r="I8753" s="309"/>
      <c r="J8753" s="309"/>
    </row>
    <row r="8754">
      <c r="B8754" s="309"/>
      <c r="C8754" s="309"/>
      <c r="I8754" s="309"/>
      <c r="J8754" s="309"/>
    </row>
    <row r="8755">
      <c r="B8755" s="309"/>
      <c r="C8755" s="309"/>
      <c r="I8755" s="309"/>
      <c r="J8755" s="309"/>
    </row>
    <row r="8756">
      <c r="B8756" s="309"/>
      <c r="C8756" s="309"/>
      <c r="I8756" s="309"/>
      <c r="J8756" s="309"/>
    </row>
    <row r="8757">
      <c r="B8757" s="309"/>
      <c r="C8757" s="309"/>
      <c r="I8757" s="309"/>
      <c r="J8757" s="309"/>
    </row>
    <row r="8758">
      <c r="B8758" s="309"/>
      <c r="C8758" s="309"/>
      <c r="I8758" s="309"/>
      <c r="J8758" s="309"/>
    </row>
    <row r="8759">
      <c r="B8759" s="309"/>
      <c r="C8759" s="309"/>
      <c r="I8759" s="309"/>
      <c r="J8759" s="309"/>
    </row>
    <row r="8760">
      <c r="B8760" s="309"/>
      <c r="C8760" s="309"/>
      <c r="I8760" s="309"/>
      <c r="J8760" s="309"/>
    </row>
    <row r="8761">
      <c r="B8761" s="309"/>
      <c r="C8761" s="309"/>
      <c r="I8761" s="309"/>
      <c r="J8761" s="309"/>
    </row>
    <row r="8762">
      <c r="B8762" s="309"/>
      <c r="C8762" s="309"/>
      <c r="I8762" s="309"/>
      <c r="J8762" s="309"/>
    </row>
    <row r="8763">
      <c r="B8763" s="309"/>
      <c r="C8763" s="309"/>
      <c r="I8763" s="309"/>
      <c r="J8763" s="309"/>
    </row>
    <row r="8764">
      <c r="B8764" s="309"/>
      <c r="C8764" s="309"/>
      <c r="I8764" s="309"/>
      <c r="J8764" s="309"/>
    </row>
    <row r="8765">
      <c r="B8765" s="309"/>
      <c r="C8765" s="309"/>
      <c r="I8765" s="309"/>
      <c r="J8765" s="309"/>
    </row>
    <row r="8766">
      <c r="B8766" s="309"/>
      <c r="C8766" s="309"/>
      <c r="I8766" s="309"/>
      <c r="J8766" s="309"/>
    </row>
    <row r="8767">
      <c r="B8767" s="309"/>
      <c r="C8767" s="309"/>
      <c r="I8767" s="309"/>
      <c r="J8767" s="309"/>
    </row>
    <row r="8768">
      <c r="B8768" s="309"/>
      <c r="C8768" s="309"/>
      <c r="I8768" s="309"/>
      <c r="J8768" s="309"/>
    </row>
    <row r="8769">
      <c r="B8769" s="309"/>
      <c r="C8769" s="309"/>
      <c r="I8769" s="309"/>
      <c r="J8769" s="309"/>
    </row>
    <row r="8770">
      <c r="B8770" s="309"/>
      <c r="C8770" s="309"/>
      <c r="I8770" s="309"/>
      <c r="J8770" s="309"/>
    </row>
    <row r="8771">
      <c r="B8771" s="309"/>
      <c r="C8771" s="309"/>
      <c r="I8771" s="309"/>
      <c r="J8771" s="309"/>
    </row>
    <row r="8772">
      <c r="B8772" s="309"/>
      <c r="C8772" s="309"/>
      <c r="I8772" s="309"/>
      <c r="J8772" s="309"/>
    </row>
    <row r="8773">
      <c r="B8773" s="309"/>
      <c r="C8773" s="309"/>
      <c r="I8773" s="309"/>
      <c r="J8773" s="309"/>
    </row>
    <row r="8774">
      <c r="B8774" s="309"/>
      <c r="C8774" s="309"/>
      <c r="I8774" s="309"/>
      <c r="J8774" s="309"/>
    </row>
    <row r="8775">
      <c r="B8775" s="309"/>
      <c r="C8775" s="309"/>
      <c r="I8775" s="309"/>
      <c r="J8775" s="309"/>
    </row>
    <row r="8776">
      <c r="B8776" s="309"/>
      <c r="C8776" s="309"/>
      <c r="I8776" s="309"/>
      <c r="J8776" s="309"/>
    </row>
    <row r="8777">
      <c r="B8777" s="309"/>
      <c r="C8777" s="309"/>
      <c r="I8777" s="309"/>
      <c r="J8777" s="309"/>
    </row>
    <row r="8778">
      <c r="B8778" s="309"/>
      <c r="C8778" s="309"/>
      <c r="I8778" s="309"/>
      <c r="J8778" s="309"/>
    </row>
    <row r="8779">
      <c r="B8779" s="309"/>
      <c r="C8779" s="309"/>
      <c r="I8779" s="309"/>
      <c r="J8779" s="309"/>
    </row>
    <row r="8780">
      <c r="B8780" s="309"/>
      <c r="C8780" s="309"/>
      <c r="I8780" s="309"/>
      <c r="J8780" s="309"/>
    </row>
    <row r="8781">
      <c r="B8781" s="309"/>
      <c r="C8781" s="309"/>
      <c r="I8781" s="309"/>
      <c r="J8781" s="309"/>
    </row>
    <row r="8782">
      <c r="B8782" s="309"/>
      <c r="C8782" s="309"/>
      <c r="I8782" s="309"/>
      <c r="J8782" s="309"/>
    </row>
    <row r="8783">
      <c r="B8783" s="309"/>
      <c r="C8783" s="309"/>
      <c r="I8783" s="309"/>
      <c r="J8783" s="309"/>
    </row>
    <row r="8784">
      <c r="B8784" s="309"/>
      <c r="C8784" s="309"/>
      <c r="I8784" s="309"/>
      <c r="J8784" s="309"/>
    </row>
    <row r="8785">
      <c r="B8785" s="309"/>
      <c r="C8785" s="309"/>
      <c r="I8785" s="309"/>
      <c r="J8785" s="309"/>
    </row>
    <row r="8786">
      <c r="B8786" s="309"/>
      <c r="C8786" s="309"/>
      <c r="I8786" s="309"/>
      <c r="J8786" s="309"/>
    </row>
    <row r="8787">
      <c r="B8787" s="309"/>
      <c r="C8787" s="309"/>
      <c r="I8787" s="309"/>
      <c r="J8787" s="309"/>
    </row>
    <row r="8788">
      <c r="B8788" s="309"/>
      <c r="C8788" s="309"/>
      <c r="I8788" s="309"/>
      <c r="J8788" s="309"/>
    </row>
    <row r="8789">
      <c r="B8789" s="309"/>
      <c r="C8789" s="309"/>
      <c r="I8789" s="309"/>
      <c r="J8789" s="309"/>
    </row>
    <row r="8790">
      <c r="B8790" s="309"/>
      <c r="C8790" s="309"/>
      <c r="I8790" s="309"/>
      <c r="J8790" s="309"/>
    </row>
    <row r="8791">
      <c r="B8791" s="309"/>
      <c r="C8791" s="309"/>
      <c r="I8791" s="309"/>
      <c r="J8791" s="309"/>
    </row>
    <row r="8792">
      <c r="B8792" s="309"/>
      <c r="C8792" s="309"/>
      <c r="I8792" s="309"/>
      <c r="J8792" s="309"/>
    </row>
    <row r="8793">
      <c r="B8793" s="309"/>
      <c r="C8793" s="309"/>
      <c r="I8793" s="309"/>
      <c r="J8793" s="309"/>
    </row>
    <row r="8794">
      <c r="B8794" s="309"/>
      <c r="C8794" s="309"/>
      <c r="I8794" s="309"/>
      <c r="J8794" s="309"/>
    </row>
    <row r="8795">
      <c r="B8795" s="309"/>
      <c r="C8795" s="309"/>
      <c r="I8795" s="309"/>
      <c r="J8795" s="309"/>
    </row>
    <row r="8796">
      <c r="B8796" s="309"/>
      <c r="C8796" s="309"/>
      <c r="I8796" s="309"/>
      <c r="J8796" s="309"/>
    </row>
    <row r="8797">
      <c r="B8797" s="309"/>
      <c r="C8797" s="309"/>
      <c r="I8797" s="309"/>
      <c r="J8797" s="309"/>
    </row>
    <row r="8798">
      <c r="B8798" s="309"/>
      <c r="C8798" s="309"/>
      <c r="I8798" s="309"/>
      <c r="J8798" s="309"/>
    </row>
    <row r="8799">
      <c r="B8799" s="309"/>
      <c r="C8799" s="309"/>
      <c r="I8799" s="309"/>
      <c r="J8799" s="309"/>
    </row>
    <row r="8800">
      <c r="B8800" s="309"/>
      <c r="C8800" s="309"/>
      <c r="I8800" s="309"/>
      <c r="J8800" s="309"/>
    </row>
    <row r="8801">
      <c r="B8801" s="309"/>
      <c r="C8801" s="309"/>
      <c r="I8801" s="309"/>
      <c r="J8801" s="309"/>
    </row>
    <row r="8802">
      <c r="B8802" s="309"/>
      <c r="C8802" s="309"/>
      <c r="I8802" s="309"/>
      <c r="J8802" s="309"/>
    </row>
    <row r="8803">
      <c r="B8803" s="309"/>
      <c r="C8803" s="309"/>
      <c r="I8803" s="309"/>
      <c r="J8803" s="309"/>
    </row>
    <row r="8804">
      <c r="B8804" s="309"/>
      <c r="C8804" s="309"/>
      <c r="I8804" s="309"/>
      <c r="J8804" s="309"/>
    </row>
    <row r="8805">
      <c r="B8805" s="309"/>
      <c r="C8805" s="309"/>
      <c r="I8805" s="309"/>
      <c r="J8805" s="309"/>
    </row>
    <row r="8806">
      <c r="B8806" s="309"/>
      <c r="C8806" s="309"/>
      <c r="I8806" s="309"/>
      <c r="J8806" s="309"/>
    </row>
    <row r="8807">
      <c r="B8807" s="309"/>
      <c r="C8807" s="309"/>
      <c r="I8807" s="309"/>
      <c r="J8807" s="309"/>
    </row>
    <row r="8808">
      <c r="B8808" s="309"/>
      <c r="C8808" s="309"/>
      <c r="I8808" s="309"/>
      <c r="J8808" s="309"/>
    </row>
    <row r="8809">
      <c r="B8809" s="309"/>
      <c r="C8809" s="309"/>
      <c r="I8809" s="309"/>
      <c r="J8809" s="309"/>
    </row>
    <row r="8810">
      <c r="B8810" s="309"/>
      <c r="C8810" s="309"/>
      <c r="I8810" s="309"/>
      <c r="J8810" s="309"/>
    </row>
    <row r="8811">
      <c r="B8811" s="309"/>
      <c r="C8811" s="309"/>
      <c r="I8811" s="309"/>
      <c r="J8811" s="309"/>
    </row>
    <row r="8812">
      <c r="B8812" s="309"/>
      <c r="C8812" s="309"/>
      <c r="I8812" s="309"/>
      <c r="J8812" s="309"/>
    </row>
    <row r="8813">
      <c r="B8813" s="309"/>
      <c r="C8813" s="309"/>
      <c r="I8813" s="309"/>
      <c r="J8813" s="309"/>
    </row>
    <row r="8814">
      <c r="B8814" s="309"/>
      <c r="C8814" s="309"/>
      <c r="I8814" s="309"/>
      <c r="J8814" s="309"/>
    </row>
    <row r="8815">
      <c r="B8815" s="309"/>
      <c r="C8815" s="309"/>
      <c r="I8815" s="309"/>
      <c r="J8815" s="309"/>
    </row>
    <row r="8816">
      <c r="B8816" s="309"/>
      <c r="C8816" s="309"/>
      <c r="I8816" s="309"/>
      <c r="J8816" s="309"/>
    </row>
    <row r="8817">
      <c r="B8817" s="309"/>
      <c r="C8817" s="309"/>
      <c r="I8817" s="309"/>
      <c r="J8817" s="309"/>
    </row>
    <row r="8818">
      <c r="B8818" s="309"/>
      <c r="C8818" s="309"/>
      <c r="I8818" s="309"/>
      <c r="J8818" s="309"/>
    </row>
    <row r="8819">
      <c r="B8819" s="309"/>
      <c r="C8819" s="309"/>
      <c r="I8819" s="309"/>
      <c r="J8819" s="309"/>
    </row>
    <row r="8820">
      <c r="B8820" s="309"/>
      <c r="C8820" s="309"/>
      <c r="I8820" s="309"/>
      <c r="J8820" s="309"/>
    </row>
    <row r="8821">
      <c r="B8821" s="309"/>
      <c r="C8821" s="309"/>
      <c r="I8821" s="309"/>
      <c r="J8821" s="309"/>
    </row>
    <row r="8822">
      <c r="B8822" s="309"/>
      <c r="C8822" s="309"/>
      <c r="I8822" s="309"/>
      <c r="J8822" s="309"/>
    </row>
    <row r="8823">
      <c r="B8823" s="309"/>
      <c r="C8823" s="309"/>
      <c r="I8823" s="309"/>
      <c r="J8823" s="309"/>
    </row>
    <row r="8824">
      <c r="B8824" s="309"/>
      <c r="C8824" s="309"/>
      <c r="I8824" s="309"/>
      <c r="J8824" s="309"/>
    </row>
    <row r="8825">
      <c r="B8825" s="309"/>
      <c r="C8825" s="309"/>
      <c r="I8825" s="309"/>
      <c r="J8825" s="309"/>
    </row>
    <row r="8826">
      <c r="B8826" s="309"/>
      <c r="C8826" s="309"/>
      <c r="I8826" s="309"/>
      <c r="J8826" s="309"/>
    </row>
    <row r="8827">
      <c r="B8827" s="309"/>
      <c r="C8827" s="309"/>
      <c r="I8827" s="309"/>
      <c r="J8827" s="309"/>
    </row>
    <row r="8828">
      <c r="B8828" s="309"/>
      <c r="C8828" s="309"/>
      <c r="I8828" s="309"/>
      <c r="J8828" s="309"/>
    </row>
    <row r="8829">
      <c r="B8829" s="309"/>
      <c r="C8829" s="309"/>
      <c r="I8829" s="309"/>
      <c r="J8829" s="309"/>
    </row>
    <row r="8830">
      <c r="B8830" s="309"/>
      <c r="C8830" s="309"/>
      <c r="I8830" s="309"/>
      <c r="J8830" s="309"/>
    </row>
    <row r="8831">
      <c r="B8831" s="309"/>
      <c r="C8831" s="309"/>
      <c r="I8831" s="309"/>
      <c r="J8831" s="309"/>
    </row>
    <row r="8832">
      <c r="B8832" s="309"/>
      <c r="C8832" s="309"/>
      <c r="I8832" s="309"/>
      <c r="J8832" s="309"/>
    </row>
    <row r="8833">
      <c r="B8833" s="309"/>
      <c r="C8833" s="309"/>
      <c r="I8833" s="309"/>
      <c r="J8833" s="309"/>
    </row>
    <row r="8834">
      <c r="B8834" s="309"/>
      <c r="C8834" s="309"/>
      <c r="I8834" s="309"/>
      <c r="J8834" s="309"/>
    </row>
    <row r="8835">
      <c r="B8835" s="309"/>
      <c r="C8835" s="309"/>
      <c r="I8835" s="309"/>
      <c r="J8835" s="309"/>
    </row>
    <row r="8836">
      <c r="B8836" s="309"/>
      <c r="C8836" s="309"/>
      <c r="I8836" s="309"/>
      <c r="J8836" s="309"/>
    </row>
    <row r="8837">
      <c r="B8837" s="309"/>
      <c r="C8837" s="309"/>
      <c r="I8837" s="309"/>
      <c r="J8837" s="309"/>
    </row>
    <row r="8838">
      <c r="B8838" s="309"/>
      <c r="C8838" s="309"/>
      <c r="I8838" s="309"/>
      <c r="J8838" s="309"/>
    </row>
    <row r="8839">
      <c r="B8839" s="309"/>
      <c r="C8839" s="309"/>
      <c r="I8839" s="309"/>
      <c r="J8839" s="309"/>
    </row>
    <row r="8840">
      <c r="B8840" s="309"/>
      <c r="C8840" s="309"/>
      <c r="I8840" s="309"/>
      <c r="J8840" s="309"/>
    </row>
    <row r="8841">
      <c r="B8841" s="309"/>
      <c r="C8841" s="309"/>
      <c r="I8841" s="309"/>
      <c r="J8841" s="309"/>
    </row>
    <row r="8842">
      <c r="B8842" s="309"/>
      <c r="C8842" s="309"/>
      <c r="I8842" s="309"/>
      <c r="J8842" s="309"/>
    </row>
    <row r="8843">
      <c r="B8843" s="309"/>
      <c r="C8843" s="309"/>
      <c r="I8843" s="309"/>
      <c r="J8843" s="309"/>
    </row>
    <row r="8844">
      <c r="B8844" s="309"/>
      <c r="C8844" s="309"/>
      <c r="I8844" s="309"/>
      <c r="J8844" s="309"/>
    </row>
    <row r="8845">
      <c r="B8845" s="309"/>
      <c r="C8845" s="309"/>
      <c r="I8845" s="309"/>
      <c r="J8845" s="309"/>
    </row>
    <row r="8846">
      <c r="B8846" s="309"/>
      <c r="C8846" s="309"/>
      <c r="I8846" s="309"/>
      <c r="J8846" s="309"/>
    </row>
    <row r="8847">
      <c r="B8847" s="309"/>
      <c r="C8847" s="309"/>
      <c r="I8847" s="309"/>
      <c r="J8847" s="309"/>
    </row>
    <row r="8848">
      <c r="B8848" s="309"/>
      <c r="C8848" s="309"/>
      <c r="I8848" s="309"/>
      <c r="J8848" s="309"/>
    </row>
    <row r="8849">
      <c r="B8849" s="309"/>
      <c r="C8849" s="309"/>
      <c r="I8849" s="309"/>
      <c r="J8849" s="309"/>
    </row>
    <row r="8850">
      <c r="B8850" s="309"/>
      <c r="C8850" s="309"/>
      <c r="I8850" s="309"/>
      <c r="J8850" s="309"/>
    </row>
    <row r="8851">
      <c r="B8851" s="309"/>
      <c r="C8851" s="309"/>
      <c r="I8851" s="309"/>
      <c r="J8851" s="309"/>
    </row>
    <row r="8852">
      <c r="B8852" s="309"/>
      <c r="C8852" s="309"/>
      <c r="I8852" s="309"/>
      <c r="J8852" s="309"/>
    </row>
    <row r="8853">
      <c r="B8853" s="309"/>
      <c r="C8853" s="309"/>
      <c r="I8853" s="309"/>
      <c r="J8853" s="309"/>
    </row>
    <row r="8854">
      <c r="B8854" s="309"/>
      <c r="C8854" s="309"/>
      <c r="I8854" s="309"/>
      <c r="J8854" s="309"/>
    </row>
    <row r="8855">
      <c r="B8855" s="309"/>
      <c r="C8855" s="309"/>
      <c r="I8855" s="309"/>
      <c r="J8855" s="309"/>
    </row>
    <row r="8856">
      <c r="B8856" s="309"/>
      <c r="C8856" s="309"/>
      <c r="I8856" s="309"/>
      <c r="J8856" s="309"/>
    </row>
    <row r="8857">
      <c r="B8857" s="309"/>
      <c r="C8857" s="309"/>
      <c r="I8857" s="309"/>
      <c r="J8857" s="309"/>
    </row>
    <row r="8858">
      <c r="B8858" s="309"/>
      <c r="C8858" s="309"/>
      <c r="I8858" s="309"/>
      <c r="J8858" s="309"/>
    </row>
    <row r="8859">
      <c r="B8859" s="309"/>
      <c r="C8859" s="309"/>
      <c r="I8859" s="309"/>
      <c r="J8859" s="309"/>
    </row>
    <row r="8860">
      <c r="B8860" s="309"/>
      <c r="C8860" s="309"/>
      <c r="I8860" s="309"/>
      <c r="J8860" s="309"/>
    </row>
    <row r="8861">
      <c r="B8861" s="309"/>
      <c r="C8861" s="309"/>
      <c r="I8861" s="309"/>
      <c r="J8861" s="309"/>
    </row>
    <row r="8862">
      <c r="B8862" s="309"/>
      <c r="C8862" s="309"/>
      <c r="I8862" s="309"/>
      <c r="J8862" s="309"/>
    </row>
    <row r="8863">
      <c r="B8863" s="309"/>
      <c r="C8863" s="309"/>
      <c r="I8863" s="309"/>
      <c r="J8863" s="309"/>
    </row>
    <row r="8864">
      <c r="B8864" s="309"/>
      <c r="C8864" s="309"/>
      <c r="I8864" s="309"/>
      <c r="J8864" s="309"/>
    </row>
    <row r="8865">
      <c r="B8865" s="309"/>
      <c r="C8865" s="309"/>
      <c r="I8865" s="309"/>
      <c r="J8865" s="309"/>
    </row>
    <row r="8866">
      <c r="B8866" s="309"/>
      <c r="C8866" s="309"/>
      <c r="I8866" s="309"/>
      <c r="J8866" s="309"/>
    </row>
    <row r="8867">
      <c r="B8867" s="309"/>
      <c r="C8867" s="309"/>
      <c r="I8867" s="309"/>
      <c r="J8867" s="309"/>
    </row>
    <row r="8868">
      <c r="B8868" s="309"/>
      <c r="C8868" s="309"/>
      <c r="I8868" s="309"/>
      <c r="J8868" s="309"/>
    </row>
    <row r="8869">
      <c r="B8869" s="309"/>
      <c r="C8869" s="309"/>
      <c r="I8869" s="309"/>
      <c r="J8869" s="309"/>
    </row>
    <row r="8870">
      <c r="B8870" s="309"/>
      <c r="C8870" s="309"/>
      <c r="I8870" s="309"/>
      <c r="J8870" s="309"/>
    </row>
    <row r="8871">
      <c r="B8871" s="309"/>
      <c r="C8871" s="309"/>
      <c r="I8871" s="309"/>
      <c r="J8871" s="309"/>
    </row>
    <row r="8872">
      <c r="B8872" s="309"/>
      <c r="C8872" s="309"/>
      <c r="I8872" s="309"/>
      <c r="J8872" s="309"/>
    </row>
    <row r="8873">
      <c r="B8873" s="309"/>
      <c r="C8873" s="309"/>
      <c r="I8873" s="309"/>
      <c r="J8873" s="309"/>
    </row>
    <row r="8874">
      <c r="B8874" s="309"/>
      <c r="C8874" s="309"/>
      <c r="I8874" s="309"/>
      <c r="J8874" s="309"/>
    </row>
    <row r="8875">
      <c r="B8875" s="309"/>
      <c r="C8875" s="309"/>
      <c r="I8875" s="309"/>
      <c r="J8875" s="309"/>
    </row>
    <row r="8876">
      <c r="B8876" s="309"/>
      <c r="C8876" s="309"/>
      <c r="I8876" s="309"/>
      <c r="J8876" s="309"/>
    </row>
    <row r="8877">
      <c r="B8877" s="309"/>
      <c r="C8877" s="309"/>
      <c r="I8877" s="309"/>
      <c r="J8877" s="309"/>
    </row>
    <row r="8878">
      <c r="B8878" s="309"/>
      <c r="C8878" s="309"/>
      <c r="I8878" s="309"/>
      <c r="J8878" s="309"/>
    </row>
    <row r="8879">
      <c r="B8879" s="309"/>
      <c r="C8879" s="309"/>
      <c r="I8879" s="309"/>
      <c r="J8879" s="309"/>
    </row>
    <row r="8880">
      <c r="B8880" s="309"/>
      <c r="C8880" s="309"/>
      <c r="I8880" s="309"/>
      <c r="J8880" s="309"/>
    </row>
    <row r="8881">
      <c r="B8881" s="309"/>
      <c r="C8881" s="309"/>
      <c r="I8881" s="309"/>
      <c r="J8881" s="309"/>
    </row>
    <row r="8882">
      <c r="B8882" s="309"/>
      <c r="C8882" s="309"/>
      <c r="I8882" s="309"/>
      <c r="J8882" s="309"/>
    </row>
    <row r="8883">
      <c r="B8883" s="309"/>
      <c r="C8883" s="309"/>
      <c r="I8883" s="309"/>
      <c r="J8883" s="309"/>
    </row>
    <row r="8884">
      <c r="B8884" s="309"/>
      <c r="C8884" s="309"/>
      <c r="I8884" s="309"/>
      <c r="J8884" s="309"/>
    </row>
    <row r="8885">
      <c r="B8885" s="309"/>
      <c r="C8885" s="309"/>
      <c r="I8885" s="309"/>
      <c r="J8885" s="309"/>
    </row>
    <row r="8886">
      <c r="B8886" s="309"/>
      <c r="C8886" s="309"/>
      <c r="I8886" s="309"/>
      <c r="J8886" s="309"/>
    </row>
    <row r="8887">
      <c r="B8887" s="309"/>
      <c r="C8887" s="309"/>
      <c r="I8887" s="309"/>
      <c r="J8887" s="309"/>
    </row>
    <row r="8888">
      <c r="B8888" s="309"/>
      <c r="C8888" s="309"/>
      <c r="I8888" s="309"/>
      <c r="J8888" s="309"/>
    </row>
    <row r="8889">
      <c r="B8889" s="309"/>
      <c r="C8889" s="309"/>
      <c r="I8889" s="309"/>
      <c r="J8889" s="309"/>
    </row>
    <row r="8890">
      <c r="B8890" s="309"/>
      <c r="C8890" s="309"/>
      <c r="I8890" s="309"/>
      <c r="J8890" s="309"/>
    </row>
    <row r="8891">
      <c r="B8891" s="309"/>
      <c r="C8891" s="309"/>
      <c r="I8891" s="309"/>
      <c r="J8891" s="309"/>
    </row>
    <row r="8892">
      <c r="B8892" s="309"/>
      <c r="C8892" s="309"/>
      <c r="I8892" s="309"/>
      <c r="J8892" s="309"/>
    </row>
    <row r="8893">
      <c r="B8893" s="309"/>
      <c r="C8893" s="309"/>
      <c r="I8893" s="309"/>
      <c r="J8893" s="309"/>
    </row>
    <row r="8894">
      <c r="B8894" s="309"/>
      <c r="C8894" s="309"/>
      <c r="I8894" s="309"/>
      <c r="J8894" s="309"/>
    </row>
    <row r="8895">
      <c r="B8895" s="309"/>
      <c r="C8895" s="309"/>
      <c r="I8895" s="309"/>
      <c r="J8895" s="309"/>
    </row>
    <row r="8896">
      <c r="B8896" s="309"/>
      <c r="C8896" s="309"/>
      <c r="I8896" s="309"/>
      <c r="J8896" s="309"/>
    </row>
    <row r="8897">
      <c r="B8897" s="309"/>
      <c r="C8897" s="309"/>
      <c r="I8897" s="309"/>
      <c r="J8897" s="309"/>
    </row>
    <row r="8898">
      <c r="B8898" s="309"/>
      <c r="C8898" s="309"/>
      <c r="I8898" s="309"/>
      <c r="J8898" s="309"/>
    </row>
    <row r="8899">
      <c r="B8899" s="309"/>
      <c r="C8899" s="309"/>
      <c r="I8899" s="309"/>
      <c r="J8899" s="309"/>
    </row>
    <row r="8900">
      <c r="B8900" s="309"/>
      <c r="C8900" s="309"/>
      <c r="I8900" s="309"/>
      <c r="J8900" s="309"/>
    </row>
    <row r="8901">
      <c r="B8901" s="309"/>
      <c r="C8901" s="309"/>
      <c r="I8901" s="309"/>
      <c r="J8901" s="309"/>
    </row>
    <row r="8902">
      <c r="B8902" s="309"/>
      <c r="C8902" s="309"/>
      <c r="I8902" s="309"/>
      <c r="J8902" s="309"/>
    </row>
    <row r="8903">
      <c r="B8903" s="309"/>
      <c r="C8903" s="309"/>
      <c r="I8903" s="309"/>
      <c r="J8903" s="309"/>
    </row>
    <row r="8904">
      <c r="B8904" s="309"/>
      <c r="C8904" s="309"/>
      <c r="I8904" s="309"/>
      <c r="J8904" s="309"/>
    </row>
    <row r="8905">
      <c r="B8905" s="309"/>
      <c r="C8905" s="309"/>
      <c r="I8905" s="309"/>
      <c r="J8905" s="309"/>
    </row>
    <row r="8906">
      <c r="B8906" s="309"/>
      <c r="C8906" s="309"/>
      <c r="I8906" s="309"/>
      <c r="J8906" s="309"/>
    </row>
    <row r="8907">
      <c r="B8907" s="309"/>
      <c r="C8907" s="309"/>
      <c r="I8907" s="309"/>
      <c r="J8907" s="309"/>
    </row>
    <row r="8908">
      <c r="B8908" s="309"/>
      <c r="C8908" s="309"/>
      <c r="I8908" s="309"/>
      <c r="J8908" s="309"/>
    </row>
    <row r="8909">
      <c r="B8909" s="309"/>
      <c r="C8909" s="309"/>
      <c r="I8909" s="309"/>
      <c r="J8909" s="309"/>
    </row>
    <row r="8910">
      <c r="B8910" s="309"/>
      <c r="C8910" s="309"/>
      <c r="I8910" s="309"/>
      <c r="J8910" s="309"/>
    </row>
    <row r="8911">
      <c r="B8911" s="309"/>
      <c r="C8911" s="309"/>
      <c r="I8911" s="309"/>
      <c r="J8911" s="309"/>
    </row>
    <row r="8912">
      <c r="B8912" s="309"/>
      <c r="C8912" s="309"/>
      <c r="I8912" s="309"/>
      <c r="J8912" s="309"/>
    </row>
    <row r="8913">
      <c r="B8913" s="309"/>
      <c r="C8913" s="309"/>
      <c r="I8913" s="309"/>
      <c r="J8913" s="309"/>
    </row>
    <row r="8914">
      <c r="B8914" s="309"/>
      <c r="C8914" s="309"/>
      <c r="I8914" s="309"/>
      <c r="J8914" s="309"/>
    </row>
    <row r="8915">
      <c r="B8915" s="309"/>
      <c r="C8915" s="309"/>
      <c r="I8915" s="309"/>
      <c r="J8915" s="309"/>
    </row>
    <row r="8916">
      <c r="B8916" s="309"/>
      <c r="C8916" s="309"/>
      <c r="I8916" s="309"/>
      <c r="J8916" s="309"/>
    </row>
    <row r="8917">
      <c r="B8917" s="309"/>
      <c r="C8917" s="309"/>
      <c r="I8917" s="309"/>
      <c r="J8917" s="309"/>
    </row>
    <row r="8918">
      <c r="B8918" s="309"/>
      <c r="C8918" s="309"/>
      <c r="I8918" s="309"/>
      <c r="J8918" s="309"/>
    </row>
    <row r="8919">
      <c r="B8919" s="309"/>
      <c r="C8919" s="309"/>
      <c r="I8919" s="309"/>
      <c r="J8919" s="309"/>
    </row>
    <row r="8920">
      <c r="B8920" s="309"/>
      <c r="C8920" s="309"/>
      <c r="I8920" s="309"/>
      <c r="J8920" s="309"/>
    </row>
    <row r="8921">
      <c r="B8921" s="309"/>
      <c r="C8921" s="309"/>
      <c r="I8921" s="309"/>
      <c r="J8921" s="309"/>
    </row>
    <row r="8922">
      <c r="B8922" s="309"/>
      <c r="C8922" s="309"/>
      <c r="I8922" s="309"/>
      <c r="J8922" s="309"/>
    </row>
    <row r="8923">
      <c r="B8923" s="309"/>
      <c r="C8923" s="309"/>
      <c r="I8923" s="309"/>
      <c r="J8923" s="309"/>
    </row>
    <row r="8924">
      <c r="B8924" s="309"/>
      <c r="C8924" s="309"/>
      <c r="I8924" s="309"/>
      <c r="J8924" s="309"/>
    </row>
    <row r="8925">
      <c r="B8925" s="309"/>
      <c r="C8925" s="309"/>
      <c r="I8925" s="309"/>
      <c r="J8925" s="309"/>
    </row>
    <row r="8926">
      <c r="B8926" s="309"/>
      <c r="C8926" s="309"/>
      <c r="I8926" s="309"/>
      <c r="J8926" s="309"/>
    </row>
    <row r="8927">
      <c r="B8927" s="309"/>
      <c r="C8927" s="309"/>
      <c r="I8927" s="309"/>
      <c r="J8927" s="309"/>
    </row>
    <row r="8928">
      <c r="B8928" s="309"/>
      <c r="C8928" s="309"/>
      <c r="I8928" s="309"/>
      <c r="J8928" s="309"/>
    </row>
    <row r="8929">
      <c r="B8929" s="309"/>
      <c r="C8929" s="309"/>
      <c r="I8929" s="309"/>
      <c r="J8929" s="309"/>
    </row>
    <row r="8930">
      <c r="B8930" s="309"/>
      <c r="C8930" s="309"/>
      <c r="I8930" s="309"/>
      <c r="J8930" s="309"/>
    </row>
    <row r="8931">
      <c r="B8931" s="309"/>
      <c r="C8931" s="309"/>
      <c r="I8931" s="309"/>
      <c r="J8931" s="309"/>
    </row>
    <row r="8932">
      <c r="B8932" s="309"/>
      <c r="C8932" s="309"/>
      <c r="I8932" s="309"/>
      <c r="J8932" s="309"/>
    </row>
    <row r="8933">
      <c r="B8933" s="309"/>
      <c r="C8933" s="309"/>
      <c r="I8933" s="309"/>
      <c r="J8933" s="309"/>
    </row>
    <row r="8934">
      <c r="B8934" s="309"/>
      <c r="C8934" s="309"/>
      <c r="I8934" s="309"/>
      <c r="J8934" s="309"/>
    </row>
    <row r="8935">
      <c r="B8935" s="309"/>
      <c r="C8935" s="309"/>
      <c r="I8935" s="309"/>
      <c r="J8935" s="309"/>
    </row>
    <row r="8936">
      <c r="B8936" s="309"/>
      <c r="C8936" s="309"/>
      <c r="I8936" s="309"/>
      <c r="J8936" s="309"/>
    </row>
    <row r="8937">
      <c r="B8937" s="309"/>
      <c r="C8937" s="309"/>
      <c r="I8937" s="309"/>
      <c r="J8937" s="309"/>
    </row>
    <row r="8938">
      <c r="B8938" s="309"/>
      <c r="C8938" s="309"/>
      <c r="I8938" s="309"/>
      <c r="J8938" s="309"/>
    </row>
    <row r="8939">
      <c r="B8939" s="309"/>
      <c r="C8939" s="309"/>
      <c r="I8939" s="309"/>
      <c r="J8939" s="309"/>
    </row>
    <row r="8940">
      <c r="B8940" s="309"/>
      <c r="C8940" s="309"/>
      <c r="I8940" s="309"/>
      <c r="J8940" s="309"/>
    </row>
    <row r="8941">
      <c r="B8941" s="309"/>
      <c r="C8941" s="309"/>
      <c r="I8941" s="309"/>
      <c r="J8941" s="309"/>
    </row>
    <row r="8942">
      <c r="B8942" s="309"/>
      <c r="C8942" s="309"/>
      <c r="I8942" s="309"/>
      <c r="J8942" s="309"/>
    </row>
    <row r="8943">
      <c r="B8943" s="309"/>
      <c r="C8943" s="309"/>
      <c r="I8943" s="309"/>
      <c r="J8943" s="309"/>
    </row>
    <row r="8944">
      <c r="B8944" s="309"/>
      <c r="C8944" s="309"/>
      <c r="I8944" s="309"/>
      <c r="J8944" s="309"/>
    </row>
    <row r="8945">
      <c r="B8945" s="309"/>
      <c r="C8945" s="309"/>
      <c r="I8945" s="309"/>
      <c r="J8945" s="309"/>
    </row>
    <row r="8946">
      <c r="B8946" s="309"/>
      <c r="C8946" s="309"/>
      <c r="I8946" s="309"/>
      <c r="J8946" s="309"/>
    </row>
    <row r="8947">
      <c r="B8947" s="309"/>
      <c r="C8947" s="309"/>
      <c r="I8947" s="309"/>
      <c r="J8947" s="309"/>
    </row>
    <row r="8948">
      <c r="B8948" s="309"/>
      <c r="C8948" s="309"/>
      <c r="I8948" s="309"/>
      <c r="J8948" s="309"/>
    </row>
    <row r="8949">
      <c r="B8949" s="309"/>
      <c r="C8949" s="309"/>
      <c r="I8949" s="309"/>
      <c r="J8949" s="309"/>
    </row>
    <row r="8950">
      <c r="B8950" s="309"/>
      <c r="C8950" s="309"/>
      <c r="I8950" s="309"/>
      <c r="J8950" s="309"/>
    </row>
    <row r="8951">
      <c r="B8951" s="309"/>
      <c r="C8951" s="309"/>
      <c r="I8951" s="309"/>
      <c r="J8951" s="309"/>
    </row>
    <row r="8952">
      <c r="B8952" s="309"/>
      <c r="C8952" s="309"/>
      <c r="I8952" s="309"/>
      <c r="J8952" s="309"/>
    </row>
    <row r="8953">
      <c r="B8953" s="309"/>
      <c r="C8953" s="309"/>
      <c r="I8953" s="309"/>
      <c r="J8953" s="309"/>
    </row>
    <row r="8954">
      <c r="B8954" s="309"/>
      <c r="C8954" s="309"/>
      <c r="I8954" s="309"/>
      <c r="J8954" s="309"/>
    </row>
    <row r="8955">
      <c r="B8955" s="309"/>
      <c r="C8955" s="309"/>
      <c r="I8955" s="309"/>
      <c r="J8955" s="309"/>
    </row>
    <row r="8956">
      <c r="B8956" s="309"/>
      <c r="C8956" s="309"/>
      <c r="I8956" s="309"/>
      <c r="J8956" s="309"/>
    </row>
    <row r="8957">
      <c r="B8957" s="309"/>
      <c r="C8957" s="309"/>
      <c r="I8957" s="309"/>
      <c r="J8957" s="309"/>
    </row>
    <row r="8958">
      <c r="B8958" s="309"/>
      <c r="C8958" s="309"/>
      <c r="I8958" s="309"/>
      <c r="J8958" s="309"/>
    </row>
    <row r="8959">
      <c r="B8959" s="309"/>
      <c r="C8959" s="309"/>
      <c r="I8959" s="309"/>
      <c r="J8959" s="309"/>
    </row>
    <row r="8960">
      <c r="B8960" s="309"/>
      <c r="C8960" s="309"/>
      <c r="I8960" s="309"/>
      <c r="J8960" s="309"/>
    </row>
    <row r="8961">
      <c r="B8961" s="309"/>
      <c r="C8961" s="309"/>
      <c r="I8961" s="309"/>
      <c r="J8961" s="309"/>
    </row>
    <row r="8962">
      <c r="B8962" s="309"/>
      <c r="C8962" s="309"/>
      <c r="I8962" s="309"/>
      <c r="J8962" s="309"/>
    </row>
    <row r="8963">
      <c r="B8963" s="309"/>
      <c r="C8963" s="309"/>
      <c r="I8963" s="309"/>
      <c r="J8963" s="309"/>
    </row>
    <row r="8964">
      <c r="B8964" s="309"/>
      <c r="C8964" s="309"/>
      <c r="I8964" s="309"/>
      <c r="J8964" s="309"/>
    </row>
    <row r="8965">
      <c r="B8965" s="309"/>
      <c r="C8965" s="309"/>
      <c r="I8965" s="309"/>
      <c r="J8965" s="309"/>
    </row>
    <row r="8966">
      <c r="B8966" s="309"/>
      <c r="C8966" s="309"/>
      <c r="I8966" s="309"/>
      <c r="J8966" s="309"/>
    </row>
    <row r="8967">
      <c r="B8967" s="309"/>
      <c r="C8967" s="309"/>
      <c r="I8967" s="309"/>
      <c r="J8967" s="309"/>
    </row>
    <row r="8968">
      <c r="B8968" s="309"/>
      <c r="C8968" s="309"/>
      <c r="I8968" s="309"/>
      <c r="J8968" s="309"/>
    </row>
    <row r="8969">
      <c r="B8969" s="309"/>
      <c r="C8969" s="309"/>
      <c r="I8969" s="309"/>
      <c r="J8969" s="309"/>
    </row>
    <row r="8970">
      <c r="B8970" s="309"/>
      <c r="C8970" s="309"/>
      <c r="I8970" s="309"/>
      <c r="J8970" s="309"/>
    </row>
    <row r="8971">
      <c r="B8971" s="309"/>
      <c r="C8971" s="309"/>
      <c r="I8971" s="309"/>
      <c r="J8971" s="309"/>
    </row>
    <row r="8972">
      <c r="B8972" s="309"/>
      <c r="C8972" s="309"/>
      <c r="I8972" s="309"/>
      <c r="J8972" s="309"/>
    </row>
    <row r="8973">
      <c r="B8973" s="309"/>
      <c r="C8973" s="309"/>
      <c r="I8973" s="309"/>
      <c r="J8973" s="309"/>
    </row>
    <row r="8974">
      <c r="B8974" s="309"/>
      <c r="C8974" s="309"/>
      <c r="I8974" s="309"/>
      <c r="J8974" s="309"/>
    </row>
    <row r="8975">
      <c r="B8975" s="309"/>
      <c r="C8975" s="309"/>
      <c r="I8975" s="309"/>
      <c r="J8975" s="309"/>
    </row>
    <row r="8976">
      <c r="B8976" s="309"/>
      <c r="C8976" s="309"/>
      <c r="I8976" s="309"/>
      <c r="J8976" s="309"/>
    </row>
    <row r="8977">
      <c r="B8977" s="309"/>
      <c r="C8977" s="309"/>
      <c r="I8977" s="309"/>
      <c r="J8977" s="309"/>
    </row>
    <row r="8978">
      <c r="B8978" s="309"/>
      <c r="C8978" s="309"/>
      <c r="I8978" s="309"/>
      <c r="J8978" s="309"/>
    </row>
    <row r="8979">
      <c r="B8979" s="309"/>
      <c r="C8979" s="309"/>
      <c r="I8979" s="309"/>
      <c r="J8979" s="309"/>
    </row>
    <row r="8980">
      <c r="B8980" s="309"/>
      <c r="C8980" s="309"/>
      <c r="I8980" s="309"/>
      <c r="J8980" s="309"/>
    </row>
    <row r="8981">
      <c r="B8981" s="309"/>
      <c r="C8981" s="309"/>
      <c r="I8981" s="309"/>
      <c r="J8981" s="309"/>
    </row>
    <row r="8982">
      <c r="B8982" s="309"/>
      <c r="C8982" s="309"/>
      <c r="I8982" s="309"/>
      <c r="J8982" s="309"/>
    </row>
    <row r="8983">
      <c r="B8983" s="309"/>
      <c r="C8983" s="309"/>
      <c r="I8983" s="309"/>
      <c r="J8983" s="309"/>
    </row>
    <row r="8984">
      <c r="B8984" s="309"/>
      <c r="C8984" s="309"/>
      <c r="I8984" s="309"/>
      <c r="J8984" s="309"/>
    </row>
    <row r="8985">
      <c r="B8985" s="309"/>
      <c r="C8985" s="309"/>
      <c r="I8985" s="309"/>
      <c r="J8985" s="309"/>
    </row>
    <row r="8986">
      <c r="B8986" s="309"/>
      <c r="C8986" s="309"/>
      <c r="I8986" s="309"/>
      <c r="J8986" s="309"/>
    </row>
    <row r="8987">
      <c r="B8987" s="309"/>
      <c r="C8987" s="309"/>
      <c r="I8987" s="309"/>
      <c r="J8987" s="309"/>
    </row>
    <row r="8988">
      <c r="B8988" s="309"/>
      <c r="C8988" s="309"/>
      <c r="I8988" s="309"/>
      <c r="J8988" s="309"/>
    </row>
    <row r="8989">
      <c r="B8989" s="309"/>
      <c r="C8989" s="309"/>
      <c r="I8989" s="309"/>
      <c r="J8989" s="309"/>
    </row>
    <row r="8990">
      <c r="B8990" s="309"/>
      <c r="C8990" s="309"/>
      <c r="I8990" s="309"/>
      <c r="J8990" s="309"/>
    </row>
    <row r="8991">
      <c r="B8991" s="309"/>
      <c r="C8991" s="309"/>
      <c r="I8991" s="309"/>
      <c r="J8991" s="309"/>
    </row>
    <row r="8992">
      <c r="B8992" s="309"/>
      <c r="C8992" s="309"/>
      <c r="I8992" s="309"/>
      <c r="J8992" s="309"/>
    </row>
    <row r="8993">
      <c r="B8993" s="309"/>
      <c r="C8993" s="309"/>
      <c r="I8993" s="309"/>
      <c r="J8993" s="309"/>
    </row>
    <row r="8994">
      <c r="B8994" s="309"/>
      <c r="C8994" s="309"/>
      <c r="I8994" s="309"/>
      <c r="J8994" s="309"/>
    </row>
    <row r="8995">
      <c r="B8995" s="309"/>
      <c r="C8995" s="309"/>
      <c r="I8995" s="309"/>
      <c r="J8995" s="309"/>
    </row>
    <row r="8996">
      <c r="B8996" s="309"/>
      <c r="C8996" s="309"/>
      <c r="I8996" s="309"/>
      <c r="J8996" s="309"/>
    </row>
    <row r="8997">
      <c r="B8997" s="309"/>
      <c r="C8997" s="309"/>
      <c r="I8997" s="309"/>
      <c r="J8997" s="309"/>
    </row>
    <row r="8998">
      <c r="B8998" s="309"/>
      <c r="C8998" s="309"/>
      <c r="I8998" s="309"/>
      <c r="J8998" s="309"/>
    </row>
    <row r="8999">
      <c r="B8999" s="309"/>
      <c r="C8999" s="309"/>
      <c r="I8999" s="309"/>
      <c r="J8999" s="309"/>
    </row>
    <row r="9000">
      <c r="B9000" s="309"/>
      <c r="C9000" s="309"/>
      <c r="I9000" s="309"/>
      <c r="J9000" s="309"/>
    </row>
    <row r="9001">
      <c r="B9001" s="309"/>
      <c r="C9001" s="309"/>
      <c r="I9001" s="309"/>
      <c r="J9001" s="309"/>
    </row>
    <row r="9002">
      <c r="B9002" s="309"/>
      <c r="C9002" s="309"/>
      <c r="I9002" s="309"/>
      <c r="J9002" s="309"/>
    </row>
    <row r="9003">
      <c r="B9003" s="309"/>
      <c r="C9003" s="309"/>
      <c r="I9003" s="309"/>
      <c r="J9003" s="309"/>
    </row>
    <row r="9004">
      <c r="B9004" s="309"/>
      <c r="C9004" s="309"/>
      <c r="I9004" s="309"/>
      <c r="J9004" s="309"/>
    </row>
    <row r="9005">
      <c r="B9005" s="309"/>
      <c r="C9005" s="309"/>
      <c r="I9005" s="309"/>
      <c r="J9005" s="309"/>
    </row>
    <row r="9006">
      <c r="B9006" s="309"/>
      <c r="C9006" s="309"/>
      <c r="I9006" s="309"/>
      <c r="J9006" s="309"/>
    </row>
    <row r="9007">
      <c r="B9007" s="309"/>
      <c r="C9007" s="309"/>
      <c r="I9007" s="309"/>
      <c r="J9007" s="309"/>
    </row>
    <row r="9008">
      <c r="B9008" s="309"/>
      <c r="C9008" s="309"/>
      <c r="I9008" s="309"/>
      <c r="J9008" s="309"/>
    </row>
    <row r="9009">
      <c r="B9009" s="309"/>
      <c r="C9009" s="309"/>
      <c r="I9009" s="309"/>
      <c r="J9009" s="309"/>
    </row>
    <row r="9010">
      <c r="B9010" s="309"/>
      <c r="C9010" s="309"/>
      <c r="I9010" s="309"/>
      <c r="J9010" s="309"/>
    </row>
    <row r="9011">
      <c r="B9011" s="309"/>
      <c r="C9011" s="309"/>
      <c r="I9011" s="309"/>
      <c r="J9011" s="309"/>
    </row>
    <row r="9012">
      <c r="B9012" s="309"/>
      <c r="C9012" s="309"/>
      <c r="I9012" s="309"/>
      <c r="J9012" s="309"/>
    </row>
    <row r="9013">
      <c r="B9013" s="309"/>
      <c r="C9013" s="309"/>
      <c r="I9013" s="309"/>
      <c r="J9013" s="309"/>
    </row>
    <row r="9014">
      <c r="B9014" s="309"/>
      <c r="C9014" s="309"/>
      <c r="I9014" s="309"/>
      <c r="J9014" s="309"/>
    </row>
    <row r="9015">
      <c r="B9015" s="309"/>
      <c r="C9015" s="309"/>
      <c r="I9015" s="309"/>
      <c r="J9015" s="309"/>
    </row>
    <row r="9016">
      <c r="B9016" s="309"/>
      <c r="C9016" s="309"/>
      <c r="I9016" s="309"/>
      <c r="J9016" s="309"/>
    </row>
    <row r="9017">
      <c r="B9017" s="309"/>
      <c r="C9017" s="309"/>
      <c r="I9017" s="309"/>
      <c r="J9017" s="309"/>
    </row>
    <row r="9018">
      <c r="B9018" s="309"/>
      <c r="C9018" s="309"/>
      <c r="I9018" s="309"/>
      <c r="J9018" s="309"/>
    </row>
    <row r="9019">
      <c r="B9019" s="309"/>
      <c r="C9019" s="309"/>
      <c r="I9019" s="309"/>
      <c r="J9019" s="309"/>
    </row>
    <row r="9020">
      <c r="B9020" s="309"/>
      <c r="C9020" s="309"/>
      <c r="I9020" s="309"/>
      <c r="J9020" s="309"/>
    </row>
    <row r="9021">
      <c r="B9021" s="309"/>
      <c r="C9021" s="309"/>
      <c r="I9021" s="309"/>
      <c r="J9021" s="309"/>
    </row>
    <row r="9022">
      <c r="B9022" s="309"/>
      <c r="C9022" s="309"/>
      <c r="I9022" s="309"/>
      <c r="J9022" s="309"/>
    </row>
    <row r="9023">
      <c r="B9023" s="309"/>
      <c r="C9023" s="309"/>
      <c r="I9023" s="309"/>
      <c r="J9023" s="309"/>
    </row>
    <row r="9024">
      <c r="B9024" s="309"/>
      <c r="C9024" s="309"/>
      <c r="I9024" s="309"/>
      <c r="J9024" s="309"/>
    </row>
    <row r="9025">
      <c r="B9025" s="309"/>
      <c r="C9025" s="309"/>
      <c r="I9025" s="309"/>
      <c r="J9025" s="309"/>
    </row>
    <row r="9026">
      <c r="B9026" s="309"/>
      <c r="C9026" s="309"/>
      <c r="I9026" s="309"/>
      <c r="J9026" s="309"/>
    </row>
    <row r="9027">
      <c r="B9027" s="309"/>
      <c r="C9027" s="309"/>
      <c r="I9027" s="309"/>
      <c r="J9027" s="309"/>
    </row>
    <row r="9028">
      <c r="B9028" s="309"/>
      <c r="C9028" s="309"/>
      <c r="I9028" s="309"/>
      <c r="J9028" s="309"/>
    </row>
    <row r="9029">
      <c r="B9029" s="309"/>
      <c r="C9029" s="309"/>
      <c r="I9029" s="309"/>
      <c r="J9029" s="309"/>
    </row>
    <row r="9030">
      <c r="B9030" s="309"/>
      <c r="C9030" s="309"/>
      <c r="I9030" s="309"/>
      <c r="J9030" s="309"/>
    </row>
    <row r="9031">
      <c r="B9031" s="309"/>
      <c r="C9031" s="309"/>
      <c r="I9031" s="309"/>
      <c r="J9031" s="309"/>
    </row>
    <row r="9032">
      <c r="B9032" s="309"/>
      <c r="C9032" s="309"/>
      <c r="I9032" s="309"/>
      <c r="J9032" s="309"/>
    </row>
    <row r="9033">
      <c r="B9033" s="309"/>
      <c r="C9033" s="309"/>
      <c r="I9033" s="309"/>
      <c r="J9033" s="309"/>
    </row>
    <row r="9034">
      <c r="B9034" s="309"/>
      <c r="C9034" s="309"/>
      <c r="I9034" s="309"/>
      <c r="J9034" s="309"/>
    </row>
    <row r="9035">
      <c r="B9035" s="309"/>
      <c r="C9035" s="309"/>
      <c r="I9035" s="309"/>
      <c r="J9035" s="309"/>
    </row>
    <row r="9036">
      <c r="B9036" s="309"/>
      <c r="C9036" s="309"/>
      <c r="I9036" s="309"/>
      <c r="J9036" s="309"/>
    </row>
    <row r="9037">
      <c r="B9037" s="309"/>
      <c r="C9037" s="309"/>
      <c r="I9037" s="309"/>
      <c r="J9037" s="309"/>
    </row>
    <row r="9038">
      <c r="B9038" s="309"/>
      <c r="C9038" s="309"/>
      <c r="I9038" s="309"/>
      <c r="J9038" s="309"/>
    </row>
    <row r="9039">
      <c r="B9039" s="309"/>
      <c r="C9039" s="309"/>
      <c r="I9039" s="309"/>
      <c r="J9039" s="309"/>
    </row>
    <row r="9040">
      <c r="B9040" s="309"/>
      <c r="C9040" s="309"/>
      <c r="I9040" s="309"/>
      <c r="J9040" s="309"/>
    </row>
    <row r="9041">
      <c r="B9041" s="309"/>
      <c r="C9041" s="309"/>
      <c r="I9041" s="309"/>
      <c r="J9041" s="309"/>
    </row>
    <row r="9042">
      <c r="B9042" s="309"/>
      <c r="C9042" s="309"/>
      <c r="I9042" s="309"/>
      <c r="J9042" s="309"/>
    </row>
    <row r="9043">
      <c r="B9043" s="309"/>
      <c r="C9043" s="309"/>
      <c r="I9043" s="309"/>
      <c r="J9043" s="309"/>
    </row>
    <row r="9044">
      <c r="B9044" s="309"/>
      <c r="C9044" s="309"/>
      <c r="I9044" s="309"/>
      <c r="J9044" s="309"/>
    </row>
    <row r="9045">
      <c r="B9045" s="309"/>
      <c r="C9045" s="309"/>
      <c r="I9045" s="309"/>
      <c r="J9045" s="309"/>
    </row>
    <row r="9046">
      <c r="B9046" s="309"/>
      <c r="C9046" s="309"/>
      <c r="I9046" s="309"/>
      <c r="J9046" s="309"/>
    </row>
    <row r="9047">
      <c r="B9047" s="309"/>
      <c r="C9047" s="309"/>
      <c r="I9047" s="309"/>
      <c r="J9047" s="309"/>
    </row>
    <row r="9048">
      <c r="B9048" s="309"/>
      <c r="C9048" s="309"/>
      <c r="I9048" s="309"/>
      <c r="J9048" s="309"/>
    </row>
    <row r="9049">
      <c r="B9049" s="309"/>
      <c r="C9049" s="309"/>
      <c r="I9049" s="309"/>
      <c r="J9049" s="309"/>
    </row>
    <row r="9050">
      <c r="B9050" s="309"/>
      <c r="C9050" s="309"/>
      <c r="I9050" s="309"/>
      <c r="J9050" s="309"/>
    </row>
    <row r="9051">
      <c r="B9051" s="309"/>
      <c r="C9051" s="309"/>
      <c r="I9051" s="309"/>
      <c r="J9051" s="309"/>
    </row>
    <row r="9052">
      <c r="B9052" s="309"/>
      <c r="C9052" s="309"/>
      <c r="I9052" s="309"/>
      <c r="J9052" s="309"/>
    </row>
    <row r="9053">
      <c r="B9053" s="309"/>
      <c r="C9053" s="309"/>
      <c r="I9053" s="309"/>
      <c r="J9053" s="309"/>
    </row>
    <row r="9054">
      <c r="B9054" s="309"/>
      <c r="C9054" s="309"/>
      <c r="I9054" s="309"/>
      <c r="J9054" s="309"/>
    </row>
    <row r="9055">
      <c r="B9055" s="309"/>
      <c r="C9055" s="309"/>
      <c r="I9055" s="309"/>
      <c r="J9055" s="309"/>
    </row>
    <row r="9056">
      <c r="B9056" s="309"/>
      <c r="C9056" s="309"/>
      <c r="I9056" s="309"/>
      <c r="J9056" s="309"/>
    </row>
    <row r="9057">
      <c r="B9057" s="309"/>
      <c r="C9057" s="309"/>
      <c r="I9057" s="309"/>
      <c r="J9057" s="309"/>
    </row>
    <row r="9058">
      <c r="B9058" s="309"/>
      <c r="C9058" s="309"/>
      <c r="I9058" s="309"/>
      <c r="J9058" s="309"/>
    </row>
    <row r="9059">
      <c r="B9059" s="309"/>
      <c r="C9059" s="309"/>
      <c r="I9059" s="309"/>
      <c r="J9059" s="309"/>
    </row>
    <row r="9060">
      <c r="B9060" s="309"/>
      <c r="C9060" s="309"/>
      <c r="I9060" s="309"/>
      <c r="J9060" s="309"/>
    </row>
    <row r="9061">
      <c r="B9061" s="309"/>
      <c r="C9061" s="309"/>
      <c r="I9061" s="309"/>
      <c r="J9061" s="309"/>
    </row>
    <row r="9062">
      <c r="B9062" s="309"/>
      <c r="C9062" s="309"/>
      <c r="I9062" s="309"/>
      <c r="J9062" s="309"/>
    </row>
    <row r="9063">
      <c r="B9063" s="309"/>
      <c r="C9063" s="309"/>
      <c r="I9063" s="309"/>
      <c r="J9063" s="309"/>
    </row>
    <row r="9064">
      <c r="B9064" s="309"/>
      <c r="C9064" s="309"/>
      <c r="I9064" s="309"/>
      <c r="J9064" s="309"/>
    </row>
    <row r="9065">
      <c r="B9065" s="309"/>
      <c r="C9065" s="309"/>
      <c r="I9065" s="309"/>
      <c r="J9065" s="309"/>
    </row>
    <row r="9066">
      <c r="B9066" s="309"/>
      <c r="C9066" s="309"/>
      <c r="I9066" s="309"/>
      <c r="J9066" s="309"/>
    </row>
    <row r="9067">
      <c r="B9067" s="309"/>
      <c r="C9067" s="309"/>
      <c r="I9067" s="309"/>
      <c r="J9067" s="309"/>
    </row>
    <row r="9068">
      <c r="B9068" s="309"/>
      <c r="C9068" s="309"/>
      <c r="I9068" s="309"/>
      <c r="J9068" s="309"/>
    </row>
    <row r="9069">
      <c r="B9069" s="309"/>
      <c r="C9069" s="309"/>
      <c r="I9069" s="309"/>
      <c r="J9069" s="309"/>
    </row>
    <row r="9070">
      <c r="B9070" s="309"/>
      <c r="C9070" s="309"/>
      <c r="I9070" s="309"/>
      <c r="J9070" s="309"/>
    </row>
    <row r="9071">
      <c r="B9071" s="309"/>
      <c r="C9071" s="309"/>
      <c r="I9071" s="309"/>
      <c r="J9071" s="309"/>
    </row>
    <row r="9072">
      <c r="B9072" s="309"/>
      <c r="C9072" s="309"/>
      <c r="I9072" s="309"/>
      <c r="J9072" s="309"/>
    </row>
    <row r="9073">
      <c r="B9073" s="309"/>
      <c r="C9073" s="309"/>
      <c r="I9073" s="309"/>
      <c r="J9073" s="309"/>
    </row>
    <row r="9074">
      <c r="B9074" s="309"/>
      <c r="C9074" s="309"/>
      <c r="I9074" s="309"/>
      <c r="J9074" s="309"/>
    </row>
    <row r="9075">
      <c r="B9075" s="309"/>
      <c r="C9075" s="309"/>
      <c r="I9075" s="309"/>
      <c r="J9075" s="309"/>
    </row>
    <row r="9076">
      <c r="B9076" s="309"/>
      <c r="C9076" s="309"/>
      <c r="I9076" s="309"/>
      <c r="J9076" s="309"/>
    </row>
    <row r="9077">
      <c r="B9077" s="309"/>
      <c r="C9077" s="309"/>
      <c r="I9077" s="309"/>
      <c r="J9077" s="309"/>
    </row>
    <row r="9078">
      <c r="B9078" s="309"/>
      <c r="C9078" s="309"/>
      <c r="I9078" s="309"/>
      <c r="J9078" s="309"/>
    </row>
    <row r="9079">
      <c r="B9079" s="309"/>
      <c r="C9079" s="309"/>
      <c r="I9079" s="309"/>
      <c r="J9079" s="309"/>
    </row>
    <row r="9080">
      <c r="B9080" s="309"/>
      <c r="C9080" s="309"/>
      <c r="I9080" s="309"/>
      <c r="J9080" s="309"/>
    </row>
    <row r="9081">
      <c r="B9081" s="309"/>
      <c r="C9081" s="309"/>
      <c r="I9081" s="309"/>
      <c r="J9081" s="309"/>
    </row>
    <row r="9082">
      <c r="B9082" s="309"/>
      <c r="C9082" s="309"/>
      <c r="I9082" s="309"/>
      <c r="J9082" s="309"/>
    </row>
    <row r="9083">
      <c r="B9083" s="309"/>
      <c r="C9083" s="309"/>
      <c r="I9083" s="309"/>
      <c r="J9083" s="309"/>
    </row>
    <row r="9084">
      <c r="B9084" s="309"/>
      <c r="C9084" s="309"/>
      <c r="I9084" s="309"/>
      <c r="J9084" s="309"/>
    </row>
    <row r="9085">
      <c r="B9085" s="309"/>
      <c r="C9085" s="309"/>
      <c r="I9085" s="309"/>
      <c r="J9085" s="309"/>
    </row>
    <row r="9086">
      <c r="B9086" s="309"/>
      <c r="C9086" s="309"/>
      <c r="I9086" s="309"/>
      <c r="J9086" s="309"/>
    </row>
    <row r="9087">
      <c r="B9087" s="309"/>
      <c r="C9087" s="309"/>
      <c r="I9087" s="309"/>
      <c r="J9087" s="309"/>
    </row>
    <row r="9088">
      <c r="B9088" s="309"/>
      <c r="C9088" s="309"/>
      <c r="I9088" s="309"/>
      <c r="J9088" s="309"/>
    </row>
    <row r="9089">
      <c r="B9089" s="309"/>
      <c r="C9089" s="309"/>
      <c r="I9089" s="309"/>
      <c r="J9089" s="309"/>
    </row>
    <row r="9090">
      <c r="B9090" s="309"/>
      <c r="C9090" s="309"/>
      <c r="I9090" s="309"/>
      <c r="J9090" s="309"/>
    </row>
    <row r="9091">
      <c r="B9091" s="309"/>
      <c r="C9091" s="309"/>
      <c r="I9091" s="309"/>
      <c r="J9091" s="309"/>
    </row>
    <row r="9092">
      <c r="B9092" s="309"/>
      <c r="C9092" s="309"/>
      <c r="I9092" s="309"/>
      <c r="J9092" s="309"/>
    </row>
    <row r="9093">
      <c r="B9093" s="309"/>
      <c r="C9093" s="309"/>
      <c r="I9093" s="309"/>
      <c r="J9093" s="309"/>
    </row>
    <row r="9094">
      <c r="B9094" s="309"/>
      <c r="C9094" s="309"/>
      <c r="I9094" s="309"/>
      <c r="J9094" s="309"/>
    </row>
    <row r="9095">
      <c r="B9095" s="309"/>
      <c r="C9095" s="309"/>
      <c r="I9095" s="309"/>
      <c r="J9095" s="309"/>
    </row>
    <row r="9096">
      <c r="B9096" s="309"/>
      <c r="C9096" s="309"/>
      <c r="I9096" s="309"/>
      <c r="J9096" s="309"/>
    </row>
    <row r="9097">
      <c r="B9097" s="309"/>
      <c r="C9097" s="309"/>
      <c r="I9097" s="309"/>
      <c r="J9097" s="309"/>
    </row>
    <row r="9098">
      <c r="B9098" s="309"/>
      <c r="C9098" s="309"/>
      <c r="I9098" s="309"/>
      <c r="J9098" s="309"/>
    </row>
    <row r="9099">
      <c r="B9099" s="309"/>
      <c r="C9099" s="309"/>
      <c r="I9099" s="309"/>
      <c r="J9099" s="309"/>
    </row>
    <row r="9100">
      <c r="B9100" s="309"/>
      <c r="C9100" s="309"/>
      <c r="I9100" s="309"/>
      <c r="J9100" s="309"/>
    </row>
    <row r="9101">
      <c r="B9101" s="309"/>
      <c r="C9101" s="309"/>
      <c r="I9101" s="309"/>
      <c r="J9101" s="309"/>
    </row>
    <row r="9102">
      <c r="B9102" s="309"/>
      <c r="C9102" s="309"/>
      <c r="I9102" s="309"/>
      <c r="J9102" s="309"/>
    </row>
    <row r="9103">
      <c r="B9103" s="309"/>
      <c r="C9103" s="309"/>
      <c r="I9103" s="309"/>
      <c r="J9103" s="309"/>
    </row>
    <row r="9104">
      <c r="B9104" s="309"/>
      <c r="C9104" s="309"/>
      <c r="I9104" s="309"/>
      <c r="J9104" s="309"/>
    </row>
    <row r="9105">
      <c r="B9105" s="309"/>
      <c r="C9105" s="309"/>
      <c r="I9105" s="309"/>
      <c r="J9105" s="309"/>
    </row>
    <row r="9106">
      <c r="B9106" s="309"/>
      <c r="C9106" s="309"/>
      <c r="I9106" s="309"/>
      <c r="J9106" s="309"/>
    </row>
    <row r="9107">
      <c r="B9107" s="309"/>
      <c r="C9107" s="309"/>
      <c r="I9107" s="309"/>
      <c r="J9107" s="309"/>
    </row>
    <row r="9108">
      <c r="B9108" s="309"/>
      <c r="C9108" s="309"/>
      <c r="I9108" s="309"/>
      <c r="J9108" s="309"/>
    </row>
    <row r="9109">
      <c r="B9109" s="309"/>
      <c r="C9109" s="309"/>
      <c r="I9109" s="309"/>
      <c r="J9109" s="309"/>
    </row>
    <row r="9110">
      <c r="B9110" s="309"/>
      <c r="C9110" s="309"/>
      <c r="I9110" s="309"/>
      <c r="J9110" s="309"/>
    </row>
    <row r="9111">
      <c r="B9111" s="309"/>
      <c r="C9111" s="309"/>
      <c r="I9111" s="309"/>
      <c r="J9111" s="309"/>
    </row>
    <row r="9112">
      <c r="B9112" s="309"/>
      <c r="C9112" s="309"/>
      <c r="I9112" s="309"/>
      <c r="J9112" s="309"/>
    </row>
    <row r="9113">
      <c r="B9113" s="309"/>
      <c r="C9113" s="309"/>
      <c r="I9113" s="309"/>
      <c r="J9113" s="309"/>
    </row>
    <row r="9114">
      <c r="B9114" s="309"/>
      <c r="C9114" s="309"/>
      <c r="I9114" s="309"/>
      <c r="J9114" s="309"/>
    </row>
    <row r="9115">
      <c r="B9115" s="309"/>
      <c r="C9115" s="309"/>
      <c r="I9115" s="309"/>
      <c r="J9115" s="309"/>
    </row>
    <row r="9116">
      <c r="B9116" s="309"/>
      <c r="C9116" s="309"/>
      <c r="I9116" s="309"/>
      <c r="J9116" s="309"/>
    </row>
    <row r="9117">
      <c r="B9117" s="309"/>
      <c r="C9117" s="309"/>
      <c r="I9117" s="309"/>
      <c r="J9117" s="309"/>
    </row>
    <row r="9118">
      <c r="B9118" s="309"/>
      <c r="C9118" s="309"/>
      <c r="I9118" s="309"/>
      <c r="J9118" s="309"/>
    </row>
    <row r="9119">
      <c r="B9119" s="309"/>
      <c r="C9119" s="309"/>
      <c r="I9119" s="309"/>
      <c r="J9119" s="309"/>
    </row>
    <row r="9120">
      <c r="B9120" s="309"/>
      <c r="C9120" s="309"/>
      <c r="I9120" s="309"/>
      <c r="J9120" s="309"/>
    </row>
    <row r="9121">
      <c r="B9121" s="309"/>
      <c r="C9121" s="309"/>
      <c r="I9121" s="309"/>
      <c r="J9121" s="309"/>
    </row>
    <row r="9122">
      <c r="B9122" s="309"/>
      <c r="C9122" s="309"/>
      <c r="I9122" s="309"/>
      <c r="J9122" s="309"/>
    </row>
    <row r="9123">
      <c r="B9123" s="309"/>
      <c r="C9123" s="309"/>
      <c r="I9123" s="309"/>
      <c r="J9123" s="309"/>
    </row>
    <row r="9124">
      <c r="B9124" s="309"/>
      <c r="C9124" s="309"/>
      <c r="I9124" s="309"/>
      <c r="J9124" s="309"/>
    </row>
    <row r="9125">
      <c r="B9125" s="309"/>
      <c r="C9125" s="309"/>
      <c r="I9125" s="309"/>
      <c r="J9125" s="309"/>
    </row>
    <row r="9126">
      <c r="B9126" s="309"/>
      <c r="C9126" s="309"/>
      <c r="I9126" s="309"/>
      <c r="J9126" s="309"/>
    </row>
    <row r="9127">
      <c r="B9127" s="309"/>
      <c r="C9127" s="309"/>
      <c r="I9127" s="309"/>
      <c r="J9127" s="309"/>
    </row>
    <row r="9128">
      <c r="B9128" s="309"/>
      <c r="C9128" s="309"/>
      <c r="I9128" s="309"/>
      <c r="J9128" s="309"/>
    </row>
    <row r="9129">
      <c r="B9129" s="309"/>
      <c r="C9129" s="309"/>
      <c r="I9129" s="309"/>
      <c r="J9129" s="309"/>
    </row>
    <row r="9130">
      <c r="B9130" s="309"/>
      <c r="C9130" s="309"/>
      <c r="I9130" s="309"/>
      <c r="J9130" s="309"/>
    </row>
    <row r="9131">
      <c r="B9131" s="309"/>
      <c r="C9131" s="309"/>
      <c r="I9131" s="309"/>
      <c r="J9131" s="309"/>
    </row>
    <row r="9132">
      <c r="B9132" s="309"/>
      <c r="C9132" s="309"/>
      <c r="I9132" s="309"/>
      <c r="J9132" s="309"/>
    </row>
    <row r="9133">
      <c r="B9133" s="309"/>
      <c r="C9133" s="309"/>
      <c r="I9133" s="309"/>
      <c r="J9133" s="309"/>
    </row>
    <row r="9134">
      <c r="B9134" s="309"/>
      <c r="C9134" s="309"/>
      <c r="I9134" s="309"/>
      <c r="J9134" s="309"/>
    </row>
    <row r="9135">
      <c r="B9135" s="309"/>
      <c r="C9135" s="309"/>
      <c r="I9135" s="309"/>
      <c r="J9135" s="309"/>
    </row>
    <row r="9136">
      <c r="B9136" s="309"/>
      <c r="C9136" s="309"/>
      <c r="I9136" s="309"/>
      <c r="J9136" s="309"/>
    </row>
    <row r="9137">
      <c r="B9137" s="309"/>
      <c r="C9137" s="309"/>
      <c r="I9137" s="309"/>
      <c r="J9137" s="309"/>
    </row>
    <row r="9138">
      <c r="B9138" s="309"/>
      <c r="C9138" s="309"/>
      <c r="I9138" s="309"/>
      <c r="J9138" s="309"/>
    </row>
    <row r="9139">
      <c r="B9139" s="309"/>
      <c r="C9139" s="309"/>
      <c r="I9139" s="309"/>
      <c r="J9139" s="309"/>
    </row>
    <row r="9140">
      <c r="B9140" s="309"/>
      <c r="C9140" s="309"/>
      <c r="I9140" s="309"/>
      <c r="J9140" s="309"/>
    </row>
    <row r="9141">
      <c r="B9141" s="309"/>
      <c r="C9141" s="309"/>
      <c r="I9141" s="309"/>
      <c r="J9141" s="309"/>
    </row>
    <row r="9142">
      <c r="B9142" s="309"/>
      <c r="C9142" s="309"/>
      <c r="I9142" s="309"/>
      <c r="J9142" s="309"/>
    </row>
    <row r="9143">
      <c r="B9143" s="309"/>
      <c r="C9143" s="309"/>
      <c r="I9143" s="309"/>
      <c r="J9143" s="309"/>
    </row>
    <row r="9144">
      <c r="B9144" s="309"/>
      <c r="C9144" s="309"/>
      <c r="I9144" s="309"/>
      <c r="J9144" s="309"/>
    </row>
    <row r="9145">
      <c r="B9145" s="309"/>
      <c r="C9145" s="309"/>
      <c r="I9145" s="309"/>
      <c r="J9145" s="309"/>
    </row>
    <row r="9146">
      <c r="B9146" s="309"/>
      <c r="C9146" s="309"/>
      <c r="I9146" s="309"/>
      <c r="J9146" s="309"/>
    </row>
    <row r="9147">
      <c r="B9147" s="309"/>
      <c r="C9147" s="309"/>
      <c r="I9147" s="309"/>
      <c r="J9147" s="309"/>
    </row>
    <row r="9148">
      <c r="B9148" s="309"/>
      <c r="C9148" s="309"/>
      <c r="I9148" s="309"/>
      <c r="J9148" s="309"/>
    </row>
    <row r="9149">
      <c r="B9149" s="309"/>
      <c r="C9149" s="309"/>
      <c r="I9149" s="309"/>
      <c r="J9149" s="309"/>
    </row>
    <row r="9150">
      <c r="B9150" s="309"/>
      <c r="C9150" s="309"/>
      <c r="I9150" s="309"/>
      <c r="J9150" s="309"/>
    </row>
    <row r="9151">
      <c r="B9151" s="309"/>
      <c r="C9151" s="309"/>
      <c r="I9151" s="309"/>
      <c r="J9151" s="309"/>
    </row>
    <row r="9152">
      <c r="B9152" s="309"/>
      <c r="C9152" s="309"/>
      <c r="I9152" s="309"/>
      <c r="J9152" s="309"/>
    </row>
    <row r="9153">
      <c r="B9153" s="309"/>
      <c r="C9153" s="309"/>
      <c r="I9153" s="309"/>
      <c r="J9153" s="309"/>
    </row>
    <row r="9154">
      <c r="B9154" s="309"/>
      <c r="C9154" s="309"/>
      <c r="I9154" s="309"/>
      <c r="J9154" s="309"/>
    </row>
    <row r="9155">
      <c r="B9155" s="309"/>
      <c r="C9155" s="309"/>
      <c r="I9155" s="309"/>
      <c r="J9155" s="309"/>
    </row>
    <row r="9156">
      <c r="B9156" s="309"/>
      <c r="C9156" s="309"/>
      <c r="I9156" s="309"/>
      <c r="J9156" s="309"/>
    </row>
    <row r="9157">
      <c r="B9157" s="309"/>
      <c r="C9157" s="309"/>
      <c r="I9157" s="309"/>
      <c r="J9157" s="309"/>
    </row>
    <row r="9158">
      <c r="B9158" s="309"/>
      <c r="C9158" s="309"/>
      <c r="I9158" s="309"/>
      <c r="J9158" s="309"/>
    </row>
    <row r="9159">
      <c r="B9159" s="309"/>
      <c r="C9159" s="309"/>
      <c r="I9159" s="309"/>
      <c r="J9159" s="309"/>
    </row>
    <row r="9160">
      <c r="B9160" s="309"/>
      <c r="C9160" s="309"/>
      <c r="I9160" s="309"/>
      <c r="J9160" s="309"/>
    </row>
    <row r="9161">
      <c r="B9161" s="309"/>
      <c r="C9161" s="309"/>
      <c r="I9161" s="309"/>
      <c r="J9161" s="309"/>
    </row>
    <row r="9162">
      <c r="B9162" s="309"/>
      <c r="C9162" s="309"/>
      <c r="I9162" s="309"/>
      <c r="J9162" s="309"/>
    </row>
    <row r="9163">
      <c r="B9163" s="309"/>
      <c r="C9163" s="309"/>
      <c r="I9163" s="309"/>
      <c r="J9163" s="309"/>
    </row>
    <row r="9164">
      <c r="B9164" s="309"/>
      <c r="C9164" s="309"/>
      <c r="I9164" s="309"/>
      <c r="J9164" s="309"/>
    </row>
    <row r="9165">
      <c r="B9165" s="309"/>
      <c r="C9165" s="309"/>
      <c r="I9165" s="309"/>
      <c r="J9165" s="309"/>
    </row>
    <row r="9166">
      <c r="B9166" s="309"/>
      <c r="C9166" s="309"/>
      <c r="I9166" s="309"/>
      <c r="J9166" s="309"/>
    </row>
    <row r="9167">
      <c r="B9167" s="309"/>
      <c r="C9167" s="309"/>
      <c r="I9167" s="309"/>
      <c r="J9167" s="309"/>
    </row>
    <row r="9168">
      <c r="B9168" s="309"/>
      <c r="C9168" s="309"/>
      <c r="I9168" s="309"/>
      <c r="J9168" s="309"/>
    </row>
    <row r="9169">
      <c r="B9169" s="309"/>
      <c r="C9169" s="309"/>
      <c r="I9169" s="309"/>
      <c r="J9169" s="309"/>
    </row>
    <row r="9170">
      <c r="B9170" s="309"/>
      <c r="C9170" s="309"/>
      <c r="I9170" s="309"/>
      <c r="J9170" s="309"/>
    </row>
    <row r="9171">
      <c r="B9171" s="309"/>
      <c r="C9171" s="309"/>
      <c r="I9171" s="309"/>
      <c r="J9171" s="309"/>
    </row>
    <row r="9172">
      <c r="B9172" s="309"/>
      <c r="C9172" s="309"/>
      <c r="I9172" s="309"/>
      <c r="J9172" s="309"/>
    </row>
    <row r="9173">
      <c r="B9173" s="309"/>
      <c r="C9173" s="309"/>
      <c r="I9173" s="309"/>
      <c r="J9173" s="309"/>
    </row>
    <row r="9174">
      <c r="B9174" s="309"/>
      <c r="C9174" s="309"/>
      <c r="I9174" s="309"/>
      <c r="J9174" s="309"/>
    </row>
    <row r="9175">
      <c r="B9175" s="309"/>
      <c r="C9175" s="309"/>
      <c r="I9175" s="309"/>
      <c r="J9175" s="309"/>
    </row>
    <row r="9176">
      <c r="B9176" s="309"/>
      <c r="C9176" s="309"/>
      <c r="I9176" s="309"/>
      <c r="J9176" s="309"/>
    </row>
    <row r="9177">
      <c r="B9177" s="309"/>
      <c r="C9177" s="309"/>
      <c r="I9177" s="309"/>
      <c r="J9177" s="309"/>
    </row>
    <row r="9178">
      <c r="B9178" s="309"/>
      <c r="C9178" s="309"/>
      <c r="I9178" s="309"/>
      <c r="J9178" s="309"/>
    </row>
    <row r="9179">
      <c r="B9179" s="309"/>
      <c r="C9179" s="309"/>
      <c r="I9179" s="309"/>
      <c r="J9179" s="309"/>
    </row>
    <row r="9180">
      <c r="B9180" s="309"/>
      <c r="C9180" s="309"/>
      <c r="I9180" s="309"/>
      <c r="J9180" s="309"/>
    </row>
    <row r="9181">
      <c r="B9181" s="309"/>
      <c r="C9181" s="309"/>
      <c r="I9181" s="309"/>
      <c r="J9181" s="309"/>
    </row>
    <row r="9182">
      <c r="B9182" s="309"/>
      <c r="C9182" s="309"/>
      <c r="I9182" s="309"/>
      <c r="J9182" s="309"/>
    </row>
    <row r="9183">
      <c r="B9183" s="309"/>
      <c r="C9183" s="309"/>
      <c r="I9183" s="309"/>
      <c r="J9183" s="309"/>
    </row>
    <row r="9184">
      <c r="B9184" s="309"/>
      <c r="C9184" s="309"/>
      <c r="I9184" s="309"/>
      <c r="J9184" s="309"/>
    </row>
    <row r="9185">
      <c r="B9185" s="309"/>
      <c r="C9185" s="309"/>
      <c r="I9185" s="309"/>
      <c r="J9185" s="309"/>
    </row>
    <row r="9186">
      <c r="B9186" s="309"/>
      <c r="C9186" s="309"/>
      <c r="I9186" s="309"/>
      <c r="J9186" s="309"/>
    </row>
    <row r="9187">
      <c r="B9187" s="309"/>
      <c r="C9187" s="309"/>
      <c r="I9187" s="309"/>
      <c r="J9187" s="309"/>
    </row>
    <row r="9188">
      <c r="B9188" s="309"/>
      <c r="C9188" s="309"/>
      <c r="I9188" s="309"/>
      <c r="J9188" s="309"/>
    </row>
    <row r="9189">
      <c r="B9189" s="309"/>
      <c r="C9189" s="309"/>
      <c r="I9189" s="309"/>
      <c r="J9189" s="309"/>
    </row>
    <row r="9190">
      <c r="B9190" s="309"/>
      <c r="C9190" s="309"/>
      <c r="I9190" s="309"/>
      <c r="J9190" s="309"/>
    </row>
    <row r="9191">
      <c r="B9191" s="309"/>
      <c r="C9191" s="309"/>
      <c r="I9191" s="309"/>
      <c r="J9191" s="309"/>
    </row>
    <row r="9192">
      <c r="B9192" s="309"/>
      <c r="C9192" s="309"/>
      <c r="I9192" s="309"/>
      <c r="J9192" s="309"/>
    </row>
    <row r="9193">
      <c r="B9193" s="309"/>
      <c r="C9193" s="309"/>
      <c r="I9193" s="309"/>
      <c r="J9193" s="309"/>
    </row>
    <row r="9194">
      <c r="B9194" s="309"/>
      <c r="C9194" s="309"/>
      <c r="I9194" s="309"/>
      <c r="J9194" s="309"/>
    </row>
    <row r="9195">
      <c r="B9195" s="309"/>
      <c r="C9195" s="309"/>
      <c r="I9195" s="309"/>
      <c r="J9195" s="309"/>
    </row>
    <row r="9196">
      <c r="B9196" s="309"/>
      <c r="C9196" s="309"/>
      <c r="I9196" s="309"/>
      <c r="J9196" s="309"/>
    </row>
    <row r="9197">
      <c r="B9197" s="309"/>
      <c r="C9197" s="309"/>
      <c r="I9197" s="309"/>
      <c r="J9197" s="309"/>
    </row>
    <row r="9198">
      <c r="B9198" s="309"/>
      <c r="C9198" s="309"/>
      <c r="I9198" s="309"/>
      <c r="J9198" s="309"/>
    </row>
    <row r="9199">
      <c r="B9199" s="309"/>
      <c r="C9199" s="309"/>
      <c r="I9199" s="309"/>
      <c r="J9199" s="309"/>
    </row>
    <row r="9200">
      <c r="B9200" s="309"/>
      <c r="C9200" s="309"/>
      <c r="I9200" s="309"/>
      <c r="J9200" s="309"/>
    </row>
    <row r="9201">
      <c r="B9201" s="309"/>
      <c r="C9201" s="309"/>
      <c r="I9201" s="309"/>
      <c r="J9201" s="309"/>
    </row>
    <row r="9202">
      <c r="B9202" s="309"/>
      <c r="C9202" s="309"/>
      <c r="I9202" s="309"/>
      <c r="J9202" s="309"/>
    </row>
    <row r="9203">
      <c r="B9203" s="309"/>
      <c r="C9203" s="309"/>
      <c r="I9203" s="309"/>
      <c r="J9203" s="309"/>
    </row>
    <row r="9204">
      <c r="B9204" s="309"/>
      <c r="C9204" s="309"/>
      <c r="I9204" s="309"/>
      <c r="J9204" s="309"/>
    </row>
    <row r="9205">
      <c r="B9205" s="309"/>
      <c r="C9205" s="309"/>
      <c r="I9205" s="309"/>
      <c r="J9205" s="309"/>
    </row>
    <row r="9206">
      <c r="B9206" s="309"/>
      <c r="C9206" s="309"/>
      <c r="I9206" s="309"/>
      <c r="J9206" s="309"/>
    </row>
    <row r="9207">
      <c r="B9207" s="309"/>
      <c r="C9207" s="309"/>
      <c r="I9207" s="309"/>
      <c r="J9207" s="309"/>
    </row>
    <row r="9208">
      <c r="B9208" s="309"/>
      <c r="C9208" s="309"/>
      <c r="I9208" s="309"/>
      <c r="J9208" s="309"/>
    </row>
    <row r="9209">
      <c r="B9209" s="309"/>
      <c r="C9209" s="309"/>
      <c r="I9209" s="309"/>
      <c r="J9209" s="309"/>
    </row>
    <row r="9210">
      <c r="B9210" s="309"/>
      <c r="C9210" s="309"/>
      <c r="I9210" s="309"/>
      <c r="J9210" s="309"/>
    </row>
    <row r="9211">
      <c r="B9211" s="309"/>
      <c r="C9211" s="309"/>
      <c r="I9211" s="309"/>
      <c r="J9211" s="309"/>
    </row>
    <row r="9212">
      <c r="B9212" s="309"/>
      <c r="C9212" s="309"/>
      <c r="I9212" s="309"/>
      <c r="J9212" s="309"/>
    </row>
    <row r="9213">
      <c r="B9213" s="309"/>
      <c r="C9213" s="309"/>
      <c r="I9213" s="309"/>
      <c r="J9213" s="309"/>
    </row>
    <row r="9214">
      <c r="B9214" s="309"/>
      <c r="C9214" s="309"/>
      <c r="I9214" s="309"/>
      <c r="J9214" s="309"/>
    </row>
    <row r="9215">
      <c r="B9215" s="309"/>
      <c r="C9215" s="309"/>
      <c r="I9215" s="309"/>
      <c r="J9215" s="309"/>
    </row>
    <row r="9216">
      <c r="B9216" s="309"/>
      <c r="C9216" s="309"/>
      <c r="I9216" s="309"/>
      <c r="J9216" s="309"/>
    </row>
    <row r="9217">
      <c r="B9217" s="309"/>
      <c r="C9217" s="309"/>
      <c r="I9217" s="309"/>
      <c r="J9217" s="309"/>
    </row>
    <row r="9218">
      <c r="B9218" s="309"/>
      <c r="C9218" s="309"/>
      <c r="I9218" s="309"/>
      <c r="J9218" s="309"/>
    </row>
    <row r="9219">
      <c r="B9219" s="309"/>
      <c r="C9219" s="309"/>
      <c r="I9219" s="309"/>
      <c r="J9219" s="309"/>
    </row>
    <row r="9220">
      <c r="B9220" s="309"/>
      <c r="C9220" s="309"/>
      <c r="I9220" s="309"/>
      <c r="J9220" s="309"/>
    </row>
    <row r="9221">
      <c r="B9221" s="309"/>
      <c r="C9221" s="309"/>
      <c r="I9221" s="309"/>
      <c r="J9221" s="309"/>
    </row>
    <row r="9222">
      <c r="B9222" s="309"/>
      <c r="C9222" s="309"/>
      <c r="I9222" s="309"/>
      <c r="J9222" s="309"/>
    </row>
    <row r="9223">
      <c r="B9223" s="309"/>
      <c r="C9223" s="309"/>
      <c r="I9223" s="309"/>
      <c r="J9223" s="309"/>
    </row>
    <row r="9224">
      <c r="B9224" s="309"/>
      <c r="C9224" s="309"/>
      <c r="I9224" s="309"/>
      <c r="J9224" s="309"/>
    </row>
    <row r="9225">
      <c r="B9225" s="309"/>
      <c r="C9225" s="309"/>
      <c r="I9225" s="309"/>
      <c r="J9225" s="309"/>
    </row>
    <row r="9226">
      <c r="B9226" s="309"/>
      <c r="C9226" s="309"/>
      <c r="I9226" s="309"/>
      <c r="J9226" s="309"/>
    </row>
    <row r="9227">
      <c r="B9227" s="309"/>
      <c r="C9227" s="309"/>
      <c r="I9227" s="309"/>
      <c r="J9227" s="309"/>
    </row>
    <row r="9228">
      <c r="B9228" s="309"/>
      <c r="C9228" s="309"/>
      <c r="I9228" s="309"/>
      <c r="J9228" s="309"/>
    </row>
    <row r="9229">
      <c r="B9229" s="309"/>
      <c r="C9229" s="309"/>
      <c r="I9229" s="309"/>
      <c r="J9229" s="309"/>
    </row>
    <row r="9230">
      <c r="B9230" s="309"/>
      <c r="C9230" s="309"/>
      <c r="I9230" s="309"/>
      <c r="J9230" s="309"/>
    </row>
    <row r="9231">
      <c r="B9231" s="309"/>
      <c r="C9231" s="309"/>
      <c r="I9231" s="309"/>
      <c r="J9231" s="309"/>
    </row>
    <row r="9232">
      <c r="B9232" s="309"/>
      <c r="C9232" s="309"/>
      <c r="I9232" s="309"/>
      <c r="J9232" s="309"/>
    </row>
    <row r="9233">
      <c r="B9233" s="309"/>
      <c r="C9233" s="309"/>
      <c r="I9233" s="309"/>
      <c r="J9233" s="309"/>
    </row>
    <row r="9234">
      <c r="B9234" s="309"/>
      <c r="C9234" s="309"/>
      <c r="I9234" s="309"/>
      <c r="J9234" s="309"/>
    </row>
    <row r="9235">
      <c r="B9235" s="309"/>
      <c r="C9235" s="309"/>
      <c r="I9235" s="309"/>
      <c r="J9235" s="309"/>
    </row>
    <row r="9236">
      <c r="B9236" s="309"/>
      <c r="C9236" s="309"/>
      <c r="I9236" s="309"/>
      <c r="J9236" s="309"/>
    </row>
    <row r="9237">
      <c r="B9237" s="309"/>
      <c r="C9237" s="309"/>
      <c r="I9237" s="309"/>
      <c r="J9237" s="309"/>
    </row>
    <row r="9238">
      <c r="B9238" s="309"/>
      <c r="C9238" s="309"/>
      <c r="I9238" s="309"/>
      <c r="J9238" s="309"/>
    </row>
    <row r="9239">
      <c r="B9239" s="309"/>
      <c r="C9239" s="309"/>
      <c r="I9239" s="309"/>
      <c r="J9239" s="309"/>
    </row>
    <row r="9240">
      <c r="B9240" s="309"/>
      <c r="C9240" s="309"/>
      <c r="I9240" s="309"/>
      <c r="J9240" s="309"/>
    </row>
    <row r="9241">
      <c r="B9241" s="309"/>
      <c r="C9241" s="309"/>
      <c r="I9241" s="309"/>
      <c r="J9241" s="309"/>
    </row>
    <row r="9242">
      <c r="B9242" s="309"/>
      <c r="C9242" s="309"/>
      <c r="I9242" s="309"/>
      <c r="J9242" s="309"/>
    </row>
    <row r="9243">
      <c r="B9243" s="309"/>
      <c r="C9243" s="309"/>
      <c r="I9243" s="309"/>
      <c r="J9243" s="309"/>
    </row>
    <row r="9244">
      <c r="B9244" s="309"/>
      <c r="C9244" s="309"/>
      <c r="I9244" s="309"/>
      <c r="J9244" s="309"/>
    </row>
    <row r="9245">
      <c r="B9245" s="309"/>
      <c r="C9245" s="309"/>
      <c r="I9245" s="309"/>
      <c r="J9245" s="309"/>
    </row>
    <row r="9246">
      <c r="B9246" s="309"/>
      <c r="C9246" s="309"/>
      <c r="I9246" s="309"/>
      <c r="J9246" s="309"/>
    </row>
    <row r="9247">
      <c r="B9247" s="309"/>
      <c r="C9247" s="309"/>
      <c r="I9247" s="309"/>
      <c r="J9247" s="309"/>
    </row>
    <row r="9248">
      <c r="B9248" s="309"/>
      <c r="C9248" s="309"/>
      <c r="I9248" s="309"/>
      <c r="J9248" s="309"/>
    </row>
    <row r="9249">
      <c r="B9249" s="309"/>
      <c r="C9249" s="309"/>
      <c r="I9249" s="309"/>
      <c r="J9249" s="309"/>
    </row>
    <row r="9250">
      <c r="B9250" s="309"/>
      <c r="C9250" s="309"/>
      <c r="I9250" s="309"/>
      <c r="J9250" s="309"/>
    </row>
    <row r="9251">
      <c r="B9251" s="309"/>
      <c r="C9251" s="309"/>
      <c r="I9251" s="309"/>
      <c r="J9251" s="309"/>
    </row>
    <row r="9252">
      <c r="B9252" s="309"/>
      <c r="C9252" s="309"/>
      <c r="I9252" s="309"/>
      <c r="J9252" s="309"/>
    </row>
    <row r="9253">
      <c r="B9253" s="309"/>
      <c r="C9253" s="309"/>
      <c r="I9253" s="309"/>
      <c r="J9253" s="309"/>
    </row>
    <row r="9254">
      <c r="B9254" s="309"/>
      <c r="C9254" s="309"/>
      <c r="I9254" s="309"/>
      <c r="J9254" s="309"/>
    </row>
    <row r="9255">
      <c r="B9255" s="309"/>
      <c r="C9255" s="309"/>
      <c r="I9255" s="309"/>
      <c r="J9255" s="309"/>
    </row>
    <row r="9256">
      <c r="B9256" s="309"/>
      <c r="C9256" s="309"/>
      <c r="I9256" s="309"/>
      <c r="J9256" s="309"/>
    </row>
    <row r="9257">
      <c r="B9257" s="309"/>
      <c r="C9257" s="309"/>
      <c r="I9257" s="309"/>
      <c r="J9257" s="309"/>
    </row>
    <row r="9258">
      <c r="B9258" s="309"/>
      <c r="C9258" s="309"/>
      <c r="I9258" s="309"/>
      <c r="J9258" s="309"/>
    </row>
    <row r="9259">
      <c r="B9259" s="309"/>
      <c r="C9259" s="309"/>
      <c r="I9259" s="309"/>
      <c r="J9259" s="309"/>
    </row>
    <row r="9260">
      <c r="B9260" s="309"/>
      <c r="C9260" s="309"/>
      <c r="I9260" s="309"/>
      <c r="J9260" s="309"/>
    </row>
    <row r="9261">
      <c r="B9261" s="309"/>
      <c r="C9261" s="309"/>
      <c r="I9261" s="309"/>
      <c r="J9261" s="309"/>
    </row>
    <row r="9262">
      <c r="B9262" s="309"/>
      <c r="C9262" s="309"/>
      <c r="I9262" s="309"/>
      <c r="J9262" s="309"/>
    </row>
    <row r="9263">
      <c r="B9263" s="309"/>
      <c r="C9263" s="309"/>
      <c r="I9263" s="309"/>
      <c r="J9263" s="309"/>
    </row>
    <row r="9264">
      <c r="B9264" s="309"/>
      <c r="C9264" s="309"/>
      <c r="I9264" s="309"/>
      <c r="J9264" s="309"/>
    </row>
    <row r="9265">
      <c r="B9265" s="309"/>
      <c r="C9265" s="309"/>
      <c r="I9265" s="309"/>
      <c r="J9265" s="309"/>
    </row>
    <row r="9266">
      <c r="B9266" s="309"/>
      <c r="C9266" s="309"/>
      <c r="I9266" s="309"/>
      <c r="J9266" s="309"/>
    </row>
    <row r="9267">
      <c r="B9267" s="309"/>
      <c r="C9267" s="309"/>
      <c r="I9267" s="309"/>
      <c r="J9267" s="309"/>
    </row>
    <row r="9268">
      <c r="B9268" s="309"/>
      <c r="C9268" s="309"/>
      <c r="I9268" s="309"/>
      <c r="J9268" s="309"/>
    </row>
    <row r="9269">
      <c r="B9269" s="309"/>
      <c r="C9269" s="309"/>
      <c r="I9269" s="309"/>
      <c r="J9269" s="309"/>
    </row>
    <row r="9270">
      <c r="B9270" s="309"/>
      <c r="C9270" s="309"/>
      <c r="I9270" s="309"/>
      <c r="J9270" s="309"/>
    </row>
    <row r="9271">
      <c r="B9271" s="309"/>
      <c r="C9271" s="309"/>
      <c r="I9271" s="309"/>
      <c r="J9271" s="309"/>
    </row>
    <row r="9272">
      <c r="B9272" s="309"/>
      <c r="C9272" s="309"/>
      <c r="I9272" s="309"/>
      <c r="J9272" s="309"/>
    </row>
    <row r="9273">
      <c r="B9273" s="309"/>
      <c r="C9273" s="309"/>
      <c r="I9273" s="309"/>
      <c r="J9273" s="309"/>
    </row>
    <row r="9274">
      <c r="B9274" s="309"/>
      <c r="C9274" s="309"/>
      <c r="I9274" s="309"/>
      <c r="J9274" s="309"/>
    </row>
    <row r="9275">
      <c r="B9275" s="309"/>
      <c r="C9275" s="309"/>
      <c r="I9275" s="309"/>
      <c r="J9275" s="309"/>
    </row>
    <row r="9276">
      <c r="B9276" s="309"/>
      <c r="C9276" s="309"/>
      <c r="I9276" s="309"/>
      <c r="J9276" s="309"/>
    </row>
    <row r="9277">
      <c r="B9277" s="309"/>
      <c r="C9277" s="309"/>
      <c r="I9277" s="309"/>
      <c r="J9277" s="309"/>
    </row>
    <row r="9278">
      <c r="B9278" s="309"/>
      <c r="C9278" s="309"/>
      <c r="I9278" s="309"/>
      <c r="J9278" s="309"/>
    </row>
    <row r="9279">
      <c r="B9279" s="309"/>
      <c r="C9279" s="309"/>
      <c r="I9279" s="309"/>
      <c r="J9279" s="309"/>
    </row>
    <row r="9280">
      <c r="B9280" s="309"/>
      <c r="C9280" s="309"/>
      <c r="I9280" s="309"/>
      <c r="J9280" s="309"/>
    </row>
    <row r="9281">
      <c r="B9281" s="309"/>
      <c r="C9281" s="309"/>
      <c r="I9281" s="309"/>
      <c r="J9281" s="309"/>
    </row>
    <row r="9282">
      <c r="B9282" s="309"/>
      <c r="C9282" s="309"/>
      <c r="I9282" s="309"/>
      <c r="J9282" s="309"/>
    </row>
    <row r="9283">
      <c r="B9283" s="309"/>
      <c r="C9283" s="309"/>
      <c r="I9283" s="309"/>
      <c r="J9283" s="309"/>
    </row>
    <row r="9284">
      <c r="B9284" s="309"/>
      <c r="C9284" s="309"/>
      <c r="I9284" s="309"/>
      <c r="J9284" s="309"/>
    </row>
    <row r="9285">
      <c r="B9285" s="309"/>
      <c r="C9285" s="309"/>
      <c r="I9285" s="309"/>
      <c r="J9285" s="309"/>
    </row>
    <row r="9286">
      <c r="B9286" s="309"/>
      <c r="C9286" s="309"/>
      <c r="I9286" s="309"/>
      <c r="J9286" s="309"/>
    </row>
    <row r="9287">
      <c r="B9287" s="309"/>
      <c r="C9287" s="309"/>
      <c r="I9287" s="309"/>
      <c r="J9287" s="309"/>
    </row>
    <row r="9288">
      <c r="B9288" s="309"/>
      <c r="C9288" s="309"/>
      <c r="I9288" s="309"/>
      <c r="J9288" s="309"/>
    </row>
    <row r="9289">
      <c r="B9289" s="309"/>
      <c r="C9289" s="309"/>
      <c r="I9289" s="309"/>
      <c r="J9289" s="309"/>
    </row>
    <row r="9290">
      <c r="B9290" s="309"/>
      <c r="C9290" s="309"/>
      <c r="I9290" s="309"/>
      <c r="J9290" s="309"/>
    </row>
    <row r="9291">
      <c r="B9291" s="309"/>
      <c r="C9291" s="309"/>
      <c r="I9291" s="309"/>
      <c r="J9291" s="309"/>
    </row>
    <row r="9292">
      <c r="B9292" s="309"/>
      <c r="C9292" s="309"/>
      <c r="I9292" s="309"/>
      <c r="J9292" s="309"/>
    </row>
    <row r="9293">
      <c r="B9293" s="309"/>
      <c r="C9293" s="309"/>
      <c r="I9293" s="309"/>
      <c r="J9293" s="309"/>
    </row>
    <row r="9294">
      <c r="B9294" s="309"/>
      <c r="C9294" s="309"/>
      <c r="I9294" s="309"/>
      <c r="J9294" s="309"/>
    </row>
    <row r="9295">
      <c r="B9295" s="309"/>
      <c r="C9295" s="309"/>
      <c r="I9295" s="309"/>
      <c r="J9295" s="309"/>
    </row>
    <row r="9296">
      <c r="B9296" s="309"/>
      <c r="C9296" s="309"/>
      <c r="I9296" s="309"/>
      <c r="J9296" s="309"/>
    </row>
    <row r="9297">
      <c r="B9297" s="309"/>
      <c r="C9297" s="309"/>
      <c r="I9297" s="309"/>
      <c r="J9297" s="309"/>
    </row>
    <row r="9298">
      <c r="B9298" s="309"/>
      <c r="C9298" s="309"/>
      <c r="I9298" s="309"/>
      <c r="J9298" s="309"/>
    </row>
    <row r="9299">
      <c r="B9299" s="309"/>
      <c r="C9299" s="309"/>
      <c r="I9299" s="309"/>
      <c r="J9299" s="309"/>
    </row>
    <row r="9300">
      <c r="B9300" s="309"/>
      <c r="C9300" s="309"/>
      <c r="I9300" s="309"/>
      <c r="J9300" s="309"/>
    </row>
    <row r="9301">
      <c r="B9301" s="309"/>
      <c r="C9301" s="309"/>
      <c r="I9301" s="309"/>
      <c r="J9301" s="309"/>
    </row>
    <row r="9302">
      <c r="B9302" s="309"/>
      <c r="C9302" s="309"/>
      <c r="I9302" s="309"/>
      <c r="J9302" s="309"/>
    </row>
    <row r="9303">
      <c r="B9303" s="309"/>
      <c r="C9303" s="309"/>
      <c r="I9303" s="309"/>
      <c r="J9303" s="309"/>
    </row>
    <row r="9304">
      <c r="B9304" s="309"/>
      <c r="C9304" s="309"/>
      <c r="I9304" s="309"/>
      <c r="J9304" s="309"/>
    </row>
    <row r="9305">
      <c r="B9305" s="309"/>
      <c r="C9305" s="309"/>
      <c r="I9305" s="309"/>
      <c r="J9305" s="309"/>
    </row>
    <row r="9306">
      <c r="B9306" s="309"/>
      <c r="C9306" s="309"/>
      <c r="I9306" s="309"/>
      <c r="J9306" s="309"/>
    </row>
    <row r="9307">
      <c r="B9307" s="309"/>
      <c r="C9307" s="309"/>
      <c r="I9307" s="309"/>
      <c r="J9307" s="309"/>
    </row>
    <row r="9308">
      <c r="B9308" s="309"/>
      <c r="C9308" s="309"/>
      <c r="I9308" s="309"/>
      <c r="J9308" s="309"/>
    </row>
    <row r="9309">
      <c r="B9309" s="309"/>
      <c r="C9309" s="309"/>
      <c r="I9309" s="309"/>
      <c r="J9309" s="309"/>
    </row>
    <row r="9310">
      <c r="B9310" s="309"/>
      <c r="C9310" s="309"/>
      <c r="I9310" s="309"/>
      <c r="J9310" s="309"/>
    </row>
    <row r="9311">
      <c r="B9311" s="309"/>
      <c r="C9311" s="309"/>
      <c r="I9311" s="309"/>
      <c r="J9311" s="309"/>
    </row>
    <row r="9312">
      <c r="B9312" s="309"/>
      <c r="C9312" s="309"/>
      <c r="I9312" s="309"/>
      <c r="J9312" s="309"/>
    </row>
    <row r="9313">
      <c r="B9313" s="309"/>
      <c r="C9313" s="309"/>
      <c r="I9313" s="309"/>
      <c r="J9313" s="309"/>
    </row>
    <row r="9314">
      <c r="B9314" s="309"/>
      <c r="C9314" s="309"/>
      <c r="I9314" s="309"/>
      <c r="J9314" s="309"/>
    </row>
    <row r="9315">
      <c r="B9315" s="309"/>
      <c r="C9315" s="309"/>
      <c r="I9315" s="309"/>
      <c r="J9315" s="309"/>
    </row>
    <row r="9316">
      <c r="B9316" s="309"/>
      <c r="C9316" s="309"/>
      <c r="I9316" s="309"/>
      <c r="J9316" s="309"/>
    </row>
    <row r="9317">
      <c r="B9317" s="309"/>
      <c r="C9317" s="309"/>
      <c r="I9317" s="309"/>
      <c r="J9317" s="309"/>
    </row>
    <row r="9318">
      <c r="B9318" s="309"/>
      <c r="C9318" s="309"/>
      <c r="I9318" s="309"/>
      <c r="J9318" s="309"/>
    </row>
    <row r="9319">
      <c r="B9319" s="309"/>
      <c r="C9319" s="309"/>
      <c r="I9319" s="309"/>
      <c r="J9319" s="309"/>
    </row>
    <row r="9320">
      <c r="B9320" s="309"/>
      <c r="C9320" s="309"/>
      <c r="I9320" s="309"/>
      <c r="J9320" s="309"/>
    </row>
    <row r="9321">
      <c r="B9321" s="309"/>
      <c r="C9321" s="309"/>
      <c r="I9321" s="309"/>
      <c r="J9321" s="309"/>
    </row>
    <row r="9322">
      <c r="B9322" s="309"/>
      <c r="C9322" s="309"/>
      <c r="I9322" s="309"/>
      <c r="J9322" s="309"/>
    </row>
    <row r="9323">
      <c r="B9323" s="309"/>
      <c r="C9323" s="309"/>
      <c r="I9323" s="309"/>
      <c r="J9323" s="309"/>
    </row>
    <row r="9324">
      <c r="B9324" s="309"/>
      <c r="C9324" s="309"/>
      <c r="I9324" s="309"/>
      <c r="J9324" s="309"/>
    </row>
    <row r="9325">
      <c r="B9325" s="309"/>
      <c r="C9325" s="309"/>
      <c r="I9325" s="309"/>
      <c r="J9325" s="309"/>
    </row>
    <row r="9326">
      <c r="B9326" s="309"/>
      <c r="C9326" s="309"/>
      <c r="I9326" s="309"/>
      <c r="J9326" s="309"/>
    </row>
    <row r="9327">
      <c r="B9327" s="309"/>
      <c r="C9327" s="309"/>
      <c r="I9327" s="309"/>
      <c r="J9327" s="309"/>
    </row>
    <row r="9328">
      <c r="B9328" s="309"/>
      <c r="C9328" s="309"/>
      <c r="I9328" s="309"/>
      <c r="J9328" s="309"/>
    </row>
    <row r="9329">
      <c r="B9329" s="309"/>
      <c r="C9329" s="309"/>
      <c r="I9329" s="309"/>
      <c r="J9329" s="309"/>
    </row>
    <row r="9330">
      <c r="B9330" s="309"/>
      <c r="C9330" s="309"/>
      <c r="I9330" s="309"/>
      <c r="J9330" s="309"/>
    </row>
    <row r="9331">
      <c r="B9331" s="309"/>
      <c r="C9331" s="309"/>
      <c r="I9331" s="309"/>
      <c r="J9331" s="309"/>
    </row>
    <row r="9332">
      <c r="B9332" s="309"/>
      <c r="C9332" s="309"/>
      <c r="I9332" s="309"/>
      <c r="J9332" s="309"/>
    </row>
    <row r="9333">
      <c r="B9333" s="309"/>
      <c r="C9333" s="309"/>
      <c r="I9333" s="309"/>
      <c r="J9333" s="309"/>
    </row>
    <row r="9334">
      <c r="B9334" s="309"/>
      <c r="C9334" s="309"/>
      <c r="I9334" s="309"/>
      <c r="J9334" s="309"/>
    </row>
    <row r="9335">
      <c r="B9335" s="309"/>
      <c r="C9335" s="309"/>
      <c r="I9335" s="309"/>
      <c r="J9335" s="309"/>
    </row>
    <row r="9336">
      <c r="B9336" s="309"/>
      <c r="C9336" s="309"/>
      <c r="I9336" s="309"/>
      <c r="J9336" s="309"/>
    </row>
    <row r="9337">
      <c r="B9337" s="309"/>
      <c r="C9337" s="309"/>
      <c r="I9337" s="309"/>
      <c r="J9337" s="309"/>
    </row>
    <row r="9338">
      <c r="B9338" s="309"/>
      <c r="C9338" s="309"/>
      <c r="I9338" s="309"/>
      <c r="J9338" s="309"/>
    </row>
    <row r="9339">
      <c r="B9339" s="309"/>
      <c r="C9339" s="309"/>
      <c r="I9339" s="309"/>
      <c r="J9339" s="309"/>
    </row>
    <row r="9340">
      <c r="B9340" s="309"/>
      <c r="C9340" s="309"/>
      <c r="I9340" s="309"/>
      <c r="J9340" s="309"/>
    </row>
    <row r="9341">
      <c r="B9341" s="309"/>
      <c r="C9341" s="309"/>
      <c r="I9341" s="309"/>
      <c r="J9341" s="309"/>
    </row>
    <row r="9342">
      <c r="B9342" s="309"/>
      <c r="C9342" s="309"/>
      <c r="I9342" s="309"/>
      <c r="J9342" s="309"/>
    </row>
    <row r="9343">
      <c r="B9343" s="309"/>
      <c r="C9343" s="309"/>
      <c r="I9343" s="309"/>
      <c r="J9343" s="309"/>
    </row>
    <row r="9344">
      <c r="B9344" s="309"/>
      <c r="C9344" s="309"/>
      <c r="I9344" s="309"/>
      <c r="J9344" s="309"/>
    </row>
    <row r="9345">
      <c r="B9345" s="309"/>
      <c r="C9345" s="309"/>
      <c r="I9345" s="309"/>
      <c r="J9345" s="309"/>
    </row>
    <row r="9346">
      <c r="B9346" s="309"/>
      <c r="C9346" s="309"/>
      <c r="I9346" s="309"/>
      <c r="J9346" s="309"/>
    </row>
    <row r="9347">
      <c r="B9347" s="309"/>
      <c r="C9347" s="309"/>
      <c r="I9347" s="309"/>
      <c r="J9347" s="309"/>
    </row>
    <row r="9348">
      <c r="B9348" s="309"/>
      <c r="C9348" s="309"/>
      <c r="I9348" s="309"/>
      <c r="J9348" s="309"/>
    </row>
    <row r="9349">
      <c r="B9349" s="309"/>
      <c r="C9349" s="309"/>
      <c r="I9349" s="309"/>
      <c r="J9349" s="309"/>
    </row>
    <row r="9350">
      <c r="B9350" s="309"/>
      <c r="C9350" s="309"/>
      <c r="I9350" s="309"/>
      <c r="J9350" s="309"/>
    </row>
    <row r="9351">
      <c r="B9351" s="309"/>
      <c r="C9351" s="309"/>
      <c r="I9351" s="309"/>
      <c r="J9351" s="309"/>
    </row>
    <row r="9352">
      <c r="B9352" s="309"/>
      <c r="C9352" s="309"/>
      <c r="I9352" s="309"/>
      <c r="J9352" s="309"/>
    </row>
    <row r="9353">
      <c r="B9353" s="309"/>
      <c r="C9353" s="309"/>
      <c r="I9353" s="309"/>
      <c r="J9353" s="309"/>
    </row>
    <row r="9354">
      <c r="B9354" s="309"/>
      <c r="C9354" s="309"/>
      <c r="I9354" s="309"/>
      <c r="J9354" s="309"/>
    </row>
    <row r="9355">
      <c r="B9355" s="309"/>
      <c r="C9355" s="309"/>
      <c r="I9355" s="309"/>
      <c r="J9355" s="309"/>
    </row>
    <row r="9356">
      <c r="B9356" s="309"/>
      <c r="C9356" s="309"/>
      <c r="I9356" s="309"/>
      <c r="J9356" s="309"/>
    </row>
    <row r="9357">
      <c r="B9357" s="309"/>
      <c r="C9357" s="309"/>
      <c r="I9357" s="309"/>
      <c r="J9357" s="309"/>
    </row>
    <row r="9358">
      <c r="B9358" s="309"/>
      <c r="C9358" s="309"/>
      <c r="I9358" s="309"/>
      <c r="J9358" s="309"/>
    </row>
    <row r="9359">
      <c r="B9359" s="309"/>
      <c r="C9359" s="309"/>
      <c r="I9359" s="309"/>
      <c r="J9359" s="309"/>
    </row>
    <row r="9360">
      <c r="B9360" s="309"/>
      <c r="C9360" s="309"/>
      <c r="I9360" s="309"/>
      <c r="J9360" s="309"/>
    </row>
    <row r="9361">
      <c r="B9361" s="309"/>
      <c r="C9361" s="309"/>
      <c r="I9361" s="309"/>
      <c r="J9361" s="309"/>
    </row>
    <row r="9362">
      <c r="B9362" s="309"/>
      <c r="C9362" s="309"/>
      <c r="I9362" s="309"/>
      <c r="J9362" s="309"/>
    </row>
    <row r="9363">
      <c r="B9363" s="309"/>
      <c r="C9363" s="309"/>
      <c r="I9363" s="309"/>
      <c r="J9363" s="309"/>
    </row>
    <row r="9364">
      <c r="B9364" s="309"/>
      <c r="C9364" s="309"/>
      <c r="I9364" s="309"/>
      <c r="J9364" s="309"/>
    </row>
    <row r="9365">
      <c r="B9365" s="309"/>
      <c r="C9365" s="309"/>
      <c r="I9365" s="309"/>
      <c r="J9365" s="309"/>
    </row>
    <row r="9366">
      <c r="B9366" s="309"/>
      <c r="C9366" s="309"/>
      <c r="I9366" s="309"/>
      <c r="J9366" s="309"/>
    </row>
    <row r="9367">
      <c r="B9367" s="309"/>
      <c r="C9367" s="309"/>
      <c r="I9367" s="309"/>
      <c r="J9367" s="309"/>
    </row>
    <row r="9368">
      <c r="B9368" s="309"/>
      <c r="C9368" s="309"/>
      <c r="I9368" s="309"/>
      <c r="J9368" s="309"/>
    </row>
    <row r="9369">
      <c r="B9369" s="309"/>
      <c r="C9369" s="309"/>
      <c r="I9369" s="309"/>
      <c r="J9369" s="309"/>
    </row>
    <row r="9370">
      <c r="B9370" s="309"/>
      <c r="C9370" s="309"/>
      <c r="I9370" s="309"/>
      <c r="J9370" s="309"/>
    </row>
    <row r="9371">
      <c r="B9371" s="309"/>
      <c r="C9371" s="309"/>
      <c r="I9371" s="309"/>
      <c r="J9371" s="309"/>
    </row>
    <row r="9372">
      <c r="B9372" s="309"/>
      <c r="C9372" s="309"/>
      <c r="I9372" s="309"/>
      <c r="J9372" s="309"/>
    </row>
    <row r="9373">
      <c r="B9373" s="309"/>
      <c r="C9373" s="309"/>
      <c r="I9373" s="309"/>
      <c r="J9373" s="309"/>
    </row>
    <row r="9374">
      <c r="B9374" s="309"/>
      <c r="C9374" s="309"/>
      <c r="I9374" s="309"/>
      <c r="J9374" s="309"/>
    </row>
    <row r="9375">
      <c r="B9375" s="309"/>
      <c r="C9375" s="309"/>
      <c r="I9375" s="309"/>
      <c r="J9375" s="309"/>
    </row>
    <row r="9376">
      <c r="B9376" s="309"/>
      <c r="C9376" s="309"/>
      <c r="I9376" s="309"/>
      <c r="J9376" s="309"/>
    </row>
    <row r="9377">
      <c r="B9377" s="309"/>
      <c r="C9377" s="309"/>
      <c r="I9377" s="309"/>
      <c r="J9377" s="309"/>
    </row>
    <row r="9378">
      <c r="B9378" s="309"/>
      <c r="C9378" s="309"/>
      <c r="I9378" s="309"/>
      <c r="J9378" s="309"/>
    </row>
    <row r="9379">
      <c r="B9379" s="309"/>
      <c r="C9379" s="309"/>
      <c r="I9379" s="309"/>
      <c r="J9379" s="309"/>
    </row>
    <row r="9380">
      <c r="B9380" s="309"/>
      <c r="C9380" s="309"/>
      <c r="I9380" s="309"/>
      <c r="J9380" s="309"/>
    </row>
    <row r="9381">
      <c r="B9381" s="309"/>
      <c r="C9381" s="309"/>
      <c r="I9381" s="309"/>
      <c r="J9381" s="309"/>
    </row>
    <row r="9382">
      <c r="B9382" s="309"/>
      <c r="C9382" s="309"/>
      <c r="I9382" s="309"/>
      <c r="J9382" s="309"/>
    </row>
    <row r="9383">
      <c r="B9383" s="309"/>
      <c r="C9383" s="309"/>
      <c r="I9383" s="309"/>
      <c r="J9383" s="309"/>
    </row>
    <row r="9384">
      <c r="B9384" s="309"/>
      <c r="C9384" s="309"/>
      <c r="I9384" s="309"/>
      <c r="J9384" s="309"/>
    </row>
    <row r="9385">
      <c r="B9385" s="309"/>
      <c r="C9385" s="309"/>
      <c r="I9385" s="309"/>
      <c r="J9385" s="309"/>
    </row>
    <row r="9386">
      <c r="B9386" s="309"/>
      <c r="C9386" s="309"/>
      <c r="I9386" s="309"/>
      <c r="J9386" s="309"/>
    </row>
    <row r="9387">
      <c r="B9387" s="309"/>
      <c r="C9387" s="309"/>
      <c r="I9387" s="309"/>
      <c r="J9387" s="309"/>
    </row>
    <row r="9388">
      <c r="B9388" s="309"/>
      <c r="C9388" s="309"/>
      <c r="I9388" s="309"/>
      <c r="J9388" s="309"/>
    </row>
    <row r="9389">
      <c r="B9389" s="309"/>
      <c r="C9389" s="309"/>
      <c r="I9389" s="309"/>
      <c r="J9389" s="309"/>
    </row>
    <row r="9390">
      <c r="B9390" s="309"/>
      <c r="C9390" s="309"/>
      <c r="I9390" s="309"/>
      <c r="J9390" s="309"/>
    </row>
    <row r="9391">
      <c r="B9391" s="309"/>
      <c r="C9391" s="309"/>
      <c r="I9391" s="309"/>
      <c r="J9391" s="309"/>
    </row>
    <row r="9392">
      <c r="B9392" s="309"/>
      <c r="C9392" s="309"/>
      <c r="I9392" s="309"/>
      <c r="J9392" s="309"/>
    </row>
    <row r="9393">
      <c r="B9393" s="309"/>
      <c r="C9393" s="309"/>
      <c r="I9393" s="309"/>
      <c r="J9393" s="309"/>
    </row>
    <row r="9394">
      <c r="B9394" s="309"/>
      <c r="C9394" s="309"/>
      <c r="I9394" s="309"/>
      <c r="J9394" s="309"/>
    </row>
    <row r="9395">
      <c r="B9395" s="309"/>
      <c r="C9395" s="309"/>
      <c r="I9395" s="309"/>
      <c r="J9395" s="309"/>
    </row>
    <row r="9396">
      <c r="B9396" s="309"/>
      <c r="C9396" s="309"/>
      <c r="I9396" s="309"/>
      <c r="J9396" s="309"/>
    </row>
    <row r="9397">
      <c r="B9397" s="309"/>
      <c r="C9397" s="309"/>
      <c r="I9397" s="309"/>
      <c r="J9397" s="309"/>
    </row>
    <row r="9398">
      <c r="B9398" s="309"/>
      <c r="C9398" s="309"/>
      <c r="I9398" s="309"/>
      <c r="J9398" s="309"/>
    </row>
    <row r="9399">
      <c r="B9399" s="309"/>
      <c r="C9399" s="309"/>
      <c r="I9399" s="309"/>
      <c r="J9399" s="309"/>
    </row>
    <row r="9400">
      <c r="B9400" s="309"/>
      <c r="C9400" s="309"/>
      <c r="I9400" s="309"/>
      <c r="J9400" s="309"/>
    </row>
    <row r="9401">
      <c r="B9401" s="309"/>
      <c r="C9401" s="309"/>
      <c r="I9401" s="309"/>
      <c r="J9401" s="309"/>
    </row>
    <row r="9402">
      <c r="B9402" s="309"/>
      <c r="C9402" s="309"/>
      <c r="I9402" s="309"/>
      <c r="J9402" s="309"/>
    </row>
    <row r="9403">
      <c r="B9403" s="309"/>
      <c r="C9403" s="309"/>
      <c r="I9403" s="309"/>
      <c r="J9403" s="309"/>
    </row>
    <row r="9404">
      <c r="B9404" s="309"/>
      <c r="C9404" s="309"/>
      <c r="I9404" s="309"/>
      <c r="J9404" s="309"/>
    </row>
    <row r="9405">
      <c r="B9405" s="309"/>
      <c r="C9405" s="309"/>
      <c r="I9405" s="309"/>
      <c r="J9405" s="309"/>
    </row>
    <row r="9406">
      <c r="B9406" s="309"/>
      <c r="C9406" s="309"/>
      <c r="I9406" s="309"/>
      <c r="J9406" s="309"/>
    </row>
    <row r="9407">
      <c r="B9407" s="309"/>
      <c r="C9407" s="309"/>
      <c r="I9407" s="309"/>
      <c r="J9407" s="309"/>
    </row>
    <row r="9408">
      <c r="B9408" s="309"/>
      <c r="C9408" s="309"/>
      <c r="I9408" s="309"/>
      <c r="J9408" s="309"/>
    </row>
    <row r="9409">
      <c r="B9409" s="309"/>
      <c r="C9409" s="309"/>
      <c r="I9409" s="309"/>
      <c r="J9409" s="309"/>
    </row>
    <row r="9410">
      <c r="B9410" s="309"/>
      <c r="C9410" s="309"/>
      <c r="I9410" s="309"/>
      <c r="J9410" s="309"/>
    </row>
    <row r="9411">
      <c r="B9411" s="309"/>
      <c r="C9411" s="309"/>
      <c r="I9411" s="309"/>
      <c r="J9411" s="309"/>
    </row>
    <row r="9412">
      <c r="B9412" s="309"/>
      <c r="C9412" s="309"/>
      <c r="I9412" s="309"/>
      <c r="J9412" s="309"/>
    </row>
    <row r="9413">
      <c r="B9413" s="309"/>
      <c r="C9413" s="309"/>
      <c r="I9413" s="309"/>
      <c r="J9413" s="309"/>
    </row>
    <row r="9414">
      <c r="B9414" s="309"/>
      <c r="C9414" s="309"/>
      <c r="I9414" s="309"/>
      <c r="J9414" s="309"/>
    </row>
    <row r="9415">
      <c r="B9415" s="309"/>
      <c r="C9415" s="309"/>
      <c r="I9415" s="309"/>
      <c r="J9415" s="309"/>
    </row>
    <row r="9416">
      <c r="B9416" s="309"/>
      <c r="C9416" s="309"/>
      <c r="I9416" s="309"/>
      <c r="J9416" s="309"/>
    </row>
    <row r="9417">
      <c r="B9417" s="309"/>
      <c r="C9417" s="309"/>
      <c r="I9417" s="309"/>
      <c r="J9417" s="309"/>
    </row>
    <row r="9418">
      <c r="B9418" s="309"/>
      <c r="C9418" s="309"/>
      <c r="I9418" s="309"/>
      <c r="J9418" s="309"/>
    </row>
    <row r="9419">
      <c r="B9419" s="309"/>
      <c r="C9419" s="309"/>
      <c r="I9419" s="309"/>
      <c r="J9419" s="309"/>
    </row>
    <row r="9420">
      <c r="B9420" s="309"/>
      <c r="C9420" s="309"/>
      <c r="I9420" s="309"/>
      <c r="J9420" s="309"/>
    </row>
    <row r="9421">
      <c r="B9421" s="309"/>
      <c r="C9421" s="309"/>
      <c r="I9421" s="309"/>
      <c r="J9421" s="309"/>
    </row>
    <row r="9422">
      <c r="B9422" s="309"/>
      <c r="C9422" s="309"/>
      <c r="I9422" s="309"/>
      <c r="J9422" s="309"/>
    </row>
    <row r="9423">
      <c r="B9423" s="309"/>
      <c r="C9423" s="309"/>
      <c r="I9423" s="309"/>
      <c r="J9423" s="309"/>
    </row>
    <row r="9424">
      <c r="B9424" s="309"/>
      <c r="C9424" s="309"/>
      <c r="I9424" s="309"/>
      <c r="J9424" s="309"/>
    </row>
    <row r="9425">
      <c r="B9425" s="309"/>
      <c r="C9425" s="309"/>
      <c r="I9425" s="309"/>
      <c r="J9425" s="309"/>
    </row>
    <row r="9426">
      <c r="B9426" s="309"/>
      <c r="C9426" s="309"/>
      <c r="I9426" s="309"/>
      <c r="J9426" s="309"/>
    </row>
    <row r="9427">
      <c r="B9427" s="309"/>
      <c r="C9427" s="309"/>
      <c r="I9427" s="309"/>
      <c r="J9427" s="309"/>
    </row>
    <row r="9428">
      <c r="B9428" s="309"/>
      <c r="C9428" s="309"/>
      <c r="I9428" s="309"/>
      <c r="J9428" s="309"/>
    </row>
    <row r="9429">
      <c r="B9429" s="309"/>
      <c r="C9429" s="309"/>
      <c r="I9429" s="309"/>
      <c r="J9429" s="309"/>
    </row>
    <row r="9430">
      <c r="B9430" s="309"/>
      <c r="C9430" s="309"/>
      <c r="I9430" s="309"/>
      <c r="J9430" s="309"/>
    </row>
    <row r="9431">
      <c r="B9431" s="309"/>
      <c r="C9431" s="309"/>
      <c r="I9431" s="309"/>
      <c r="J9431" s="309"/>
    </row>
    <row r="9432">
      <c r="B9432" s="309"/>
      <c r="C9432" s="309"/>
      <c r="I9432" s="309"/>
      <c r="J9432" s="309"/>
    </row>
    <row r="9433">
      <c r="B9433" s="309"/>
      <c r="C9433" s="309"/>
      <c r="I9433" s="309"/>
      <c r="J9433" s="309"/>
    </row>
    <row r="9434">
      <c r="B9434" s="309"/>
      <c r="C9434" s="309"/>
      <c r="I9434" s="309"/>
      <c r="J9434" s="309"/>
    </row>
    <row r="9435">
      <c r="B9435" s="309"/>
      <c r="C9435" s="309"/>
      <c r="I9435" s="309"/>
      <c r="J9435" s="309"/>
    </row>
    <row r="9436">
      <c r="B9436" s="309"/>
      <c r="C9436" s="309"/>
      <c r="I9436" s="309"/>
      <c r="J9436" s="309"/>
    </row>
    <row r="9437">
      <c r="B9437" s="309"/>
      <c r="C9437" s="309"/>
      <c r="I9437" s="309"/>
      <c r="J9437" s="309"/>
    </row>
    <row r="9438">
      <c r="B9438" s="309"/>
      <c r="C9438" s="309"/>
      <c r="I9438" s="309"/>
      <c r="J9438" s="309"/>
    </row>
    <row r="9439">
      <c r="B9439" s="309"/>
      <c r="C9439" s="309"/>
      <c r="I9439" s="309"/>
      <c r="J9439" s="309"/>
    </row>
    <row r="9440">
      <c r="B9440" s="309"/>
      <c r="C9440" s="309"/>
      <c r="I9440" s="309"/>
      <c r="J9440" s="309"/>
    </row>
    <row r="9441">
      <c r="B9441" s="309"/>
      <c r="C9441" s="309"/>
      <c r="I9441" s="309"/>
      <c r="J9441" s="309"/>
    </row>
    <row r="9442">
      <c r="B9442" s="309"/>
      <c r="C9442" s="309"/>
      <c r="I9442" s="309"/>
      <c r="J9442" s="309"/>
    </row>
    <row r="9443">
      <c r="B9443" s="309"/>
      <c r="C9443" s="309"/>
      <c r="I9443" s="309"/>
      <c r="J9443" s="309"/>
    </row>
    <row r="9444">
      <c r="B9444" s="309"/>
      <c r="C9444" s="309"/>
      <c r="I9444" s="309"/>
      <c r="J9444" s="309"/>
    </row>
    <row r="9445">
      <c r="B9445" s="309"/>
      <c r="C9445" s="309"/>
      <c r="I9445" s="309"/>
      <c r="J9445" s="309"/>
    </row>
    <row r="9446">
      <c r="B9446" s="309"/>
      <c r="C9446" s="309"/>
      <c r="I9446" s="309"/>
      <c r="J9446" s="309"/>
    </row>
    <row r="9447">
      <c r="B9447" s="309"/>
      <c r="C9447" s="309"/>
      <c r="I9447" s="309"/>
      <c r="J9447" s="309"/>
    </row>
    <row r="9448">
      <c r="B9448" s="309"/>
      <c r="C9448" s="309"/>
      <c r="I9448" s="309"/>
      <c r="J9448" s="309"/>
    </row>
    <row r="9449">
      <c r="B9449" s="309"/>
      <c r="C9449" s="309"/>
      <c r="I9449" s="309"/>
      <c r="J9449" s="309"/>
    </row>
    <row r="9450">
      <c r="B9450" s="309"/>
      <c r="C9450" s="309"/>
      <c r="I9450" s="309"/>
      <c r="J9450" s="309"/>
    </row>
    <row r="9451">
      <c r="B9451" s="309"/>
      <c r="C9451" s="309"/>
      <c r="I9451" s="309"/>
      <c r="J9451" s="309"/>
    </row>
    <row r="9452">
      <c r="B9452" s="309"/>
      <c r="C9452" s="309"/>
      <c r="I9452" s="309"/>
      <c r="J9452" s="309"/>
    </row>
    <row r="9453">
      <c r="B9453" s="309"/>
      <c r="C9453" s="309"/>
      <c r="I9453" s="309"/>
      <c r="J9453" s="309"/>
    </row>
    <row r="9454">
      <c r="B9454" s="309"/>
      <c r="C9454" s="309"/>
      <c r="I9454" s="309"/>
      <c r="J9454" s="309"/>
    </row>
    <row r="9455">
      <c r="B9455" s="309"/>
      <c r="C9455" s="309"/>
      <c r="I9455" s="309"/>
      <c r="J9455" s="309"/>
    </row>
    <row r="9456">
      <c r="B9456" s="309"/>
      <c r="C9456" s="309"/>
      <c r="I9456" s="309"/>
      <c r="J9456" s="309"/>
    </row>
    <row r="9457">
      <c r="B9457" s="309"/>
      <c r="C9457" s="309"/>
      <c r="I9457" s="309"/>
      <c r="J9457" s="309"/>
    </row>
    <row r="9458">
      <c r="B9458" s="309"/>
      <c r="C9458" s="309"/>
      <c r="I9458" s="309"/>
      <c r="J9458" s="309"/>
    </row>
    <row r="9459">
      <c r="B9459" s="309"/>
      <c r="C9459" s="309"/>
      <c r="I9459" s="309"/>
      <c r="J9459" s="309"/>
    </row>
    <row r="9460">
      <c r="B9460" s="309"/>
      <c r="C9460" s="309"/>
      <c r="I9460" s="309"/>
      <c r="J9460" s="309"/>
    </row>
    <row r="9461">
      <c r="B9461" s="309"/>
      <c r="C9461" s="309"/>
      <c r="I9461" s="309"/>
      <c r="J9461" s="309"/>
    </row>
    <row r="9462">
      <c r="B9462" s="309"/>
      <c r="C9462" s="309"/>
      <c r="I9462" s="309"/>
      <c r="J9462" s="309"/>
    </row>
    <row r="9463">
      <c r="B9463" s="309"/>
      <c r="C9463" s="309"/>
      <c r="I9463" s="309"/>
      <c r="J9463" s="309"/>
    </row>
    <row r="9464">
      <c r="B9464" s="309"/>
      <c r="C9464" s="309"/>
      <c r="I9464" s="309"/>
      <c r="J9464" s="309"/>
    </row>
    <row r="9465">
      <c r="B9465" s="309"/>
      <c r="C9465" s="309"/>
      <c r="I9465" s="309"/>
      <c r="J9465" s="309"/>
    </row>
    <row r="9466">
      <c r="B9466" s="309"/>
      <c r="C9466" s="309"/>
      <c r="I9466" s="309"/>
      <c r="J9466" s="309"/>
    </row>
    <row r="9467">
      <c r="B9467" s="309"/>
      <c r="C9467" s="309"/>
      <c r="I9467" s="309"/>
      <c r="J9467" s="309"/>
    </row>
    <row r="9468">
      <c r="B9468" s="309"/>
      <c r="C9468" s="309"/>
      <c r="I9468" s="309"/>
      <c r="J9468" s="309"/>
    </row>
    <row r="9469">
      <c r="B9469" s="309"/>
      <c r="C9469" s="309"/>
      <c r="I9469" s="309"/>
      <c r="J9469" s="309"/>
    </row>
    <row r="9470">
      <c r="B9470" s="309"/>
      <c r="C9470" s="309"/>
      <c r="I9470" s="309"/>
      <c r="J9470" s="309"/>
    </row>
    <row r="9471">
      <c r="B9471" s="309"/>
      <c r="C9471" s="309"/>
      <c r="I9471" s="309"/>
      <c r="J9471" s="309"/>
    </row>
    <row r="9472">
      <c r="B9472" s="309"/>
      <c r="C9472" s="309"/>
      <c r="I9472" s="309"/>
      <c r="J9472" s="309"/>
    </row>
    <row r="9473">
      <c r="B9473" s="309"/>
      <c r="C9473" s="309"/>
      <c r="I9473" s="309"/>
      <c r="J9473" s="309"/>
    </row>
    <row r="9474">
      <c r="B9474" s="309"/>
      <c r="C9474" s="309"/>
      <c r="I9474" s="309"/>
      <c r="J9474" s="309"/>
    </row>
    <row r="9475">
      <c r="B9475" s="309"/>
      <c r="C9475" s="309"/>
      <c r="I9475" s="309"/>
      <c r="J9475" s="309"/>
    </row>
    <row r="9476">
      <c r="B9476" s="309"/>
      <c r="C9476" s="309"/>
      <c r="I9476" s="309"/>
      <c r="J9476" s="309"/>
    </row>
    <row r="9477">
      <c r="B9477" s="309"/>
      <c r="C9477" s="309"/>
      <c r="I9477" s="309"/>
      <c r="J9477" s="309"/>
    </row>
    <row r="9478">
      <c r="B9478" s="309"/>
      <c r="C9478" s="309"/>
      <c r="I9478" s="309"/>
      <c r="J9478" s="309"/>
    </row>
    <row r="9479">
      <c r="B9479" s="309"/>
      <c r="C9479" s="309"/>
      <c r="I9479" s="309"/>
      <c r="J9479" s="309"/>
    </row>
    <row r="9480">
      <c r="B9480" s="309"/>
      <c r="C9480" s="309"/>
      <c r="I9480" s="309"/>
      <c r="J9480" s="309"/>
    </row>
    <row r="9481">
      <c r="B9481" s="309"/>
      <c r="C9481" s="309"/>
      <c r="I9481" s="309"/>
      <c r="J9481" s="309"/>
    </row>
    <row r="9482">
      <c r="B9482" s="309"/>
      <c r="C9482" s="309"/>
      <c r="I9482" s="309"/>
      <c r="J9482" s="309"/>
    </row>
    <row r="9483">
      <c r="B9483" s="309"/>
      <c r="C9483" s="309"/>
      <c r="I9483" s="309"/>
      <c r="J9483" s="309"/>
    </row>
    <row r="9484">
      <c r="B9484" s="309"/>
      <c r="C9484" s="309"/>
      <c r="I9484" s="309"/>
      <c r="J9484" s="309"/>
    </row>
    <row r="9485">
      <c r="B9485" s="309"/>
      <c r="C9485" s="309"/>
      <c r="I9485" s="309"/>
      <c r="J9485" s="309"/>
    </row>
    <row r="9486">
      <c r="B9486" s="309"/>
      <c r="C9486" s="309"/>
      <c r="I9486" s="309"/>
      <c r="J9486" s="309"/>
    </row>
    <row r="9487">
      <c r="B9487" s="309"/>
      <c r="C9487" s="309"/>
      <c r="I9487" s="309"/>
      <c r="J9487" s="309"/>
    </row>
    <row r="9488">
      <c r="B9488" s="309"/>
      <c r="C9488" s="309"/>
      <c r="I9488" s="309"/>
      <c r="J9488" s="309"/>
    </row>
    <row r="9489">
      <c r="B9489" s="309"/>
      <c r="C9489" s="309"/>
      <c r="I9489" s="309"/>
      <c r="J9489" s="309"/>
    </row>
    <row r="9490">
      <c r="B9490" s="309"/>
      <c r="C9490" s="309"/>
      <c r="I9490" s="309"/>
      <c r="J9490" s="309"/>
    </row>
    <row r="9491">
      <c r="B9491" s="309"/>
      <c r="C9491" s="309"/>
      <c r="I9491" s="309"/>
      <c r="J9491" s="309"/>
    </row>
    <row r="9492">
      <c r="B9492" s="309"/>
      <c r="C9492" s="309"/>
      <c r="I9492" s="309"/>
      <c r="J9492" s="309"/>
    </row>
    <row r="9493">
      <c r="B9493" s="309"/>
      <c r="C9493" s="309"/>
      <c r="I9493" s="309"/>
      <c r="J9493" s="309"/>
    </row>
    <row r="9494">
      <c r="B9494" s="309"/>
      <c r="C9494" s="309"/>
      <c r="I9494" s="309"/>
      <c r="J9494" s="309"/>
    </row>
    <row r="9495">
      <c r="B9495" s="309"/>
      <c r="C9495" s="309"/>
      <c r="I9495" s="309"/>
      <c r="J9495" s="309"/>
    </row>
    <row r="9496">
      <c r="B9496" s="309"/>
      <c r="C9496" s="309"/>
      <c r="I9496" s="309"/>
      <c r="J9496" s="309"/>
    </row>
    <row r="9497">
      <c r="B9497" s="309"/>
      <c r="C9497" s="309"/>
      <c r="I9497" s="309"/>
      <c r="J9497" s="309"/>
    </row>
    <row r="9498">
      <c r="B9498" s="309"/>
      <c r="C9498" s="309"/>
      <c r="I9498" s="309"/>
      <c r="J9498" s="309"/>
    </row>
    <row r="9499">
      <c r="B9499" s="309"/>
      <c r="C9499" s="309"/>
      <c r="I9499" s="309"/>
      <c r="J9499" s="309"/>
    </row>
    <row r="9500">
      <c r="B9500" s="309"/>
      <c r="C9500" s="309"/>
      <c r="I9500" s="309"/>
      <c r="J9500" s="309"/>
    </row>
    <row r="9501">
      <c r="B9501" s="309"/>
      <c r="C9501" s="309"/>
      <c r="I9501" s="309"/>
      <c r="J9501" s="309"/>
    </row>
    <row r="9502">
      <c r="B9502" s="309"/>
      <c r="C9502" s="309"/>
      <c r="I9502" s="309"/>
      <c r="J9502" s="309"/>
    </row>
    <row r="9503">
      <c r="B9503" s="309"/>
      <c r="C9503" s="309"/>
      <c r="I9503" s="309"/>
      <c r="J9503" s="309"/>
    </row>
    <row r="9504">
      <c r="B9504" s="309"/>
      <c r="C9504" s="309"/>
      <c r="I9504" s="309"/>
      <c r="J9504" s="309"/>
    </row>
    <row r="9505">
      <c r="B9505" s="309"/>
      <c r="C9505" s="309"/>
      <c r="I9505" s="309"/>
      <c r="J9505" s="309"/>
    </row>
    <row r="9506">
      <c r="B9506" s="309"/>
      <c r="C9506" s="309"/>
      <c r="I9506" s="309"/>
      <c r="J9506" s="309"/>
    </row>
    <row r="9507">
      <c r="B9507" s="309"/>
      <c r="C9507" s="309"/>
      <c r="I9507" s="309"/>
      <c r="J9507" s="309"/>
    </row>
    <row r="9508">
      <c r="B9508" s="309"/>
      <c r="C9508" s="309"/>
      <c r="I9508" s="309"/>
      <c r="J9508" s="309"/>
    </row>
    <row r="9509">
      <c r="B9509" s="309"/>
      <c r="C9509" s="309"/>
      <c r="I9509" s="309"/>
      <c r="J9509" s="309"/>
    </row>
    <row r="9510">
      <c r="B9510" s="309"/>
      <c r="C9510" s="309"/>
      <c r="I9510" s="309"/>
      <c r="J9510" s="309"/>
    </row>
    <row r="9511">
      <c r="B9511" s="309"/>
      <c r="C9511" s="309"/>
      <c r="I9511" s="309"/>
      <c r="J9511" s="309"/>
    </row>
    <row r="9512">
      <c r="B9512" s="309"/>
      <c r="C9512" s="309"/>
      <c r="I9512" s="309"/>
      <c r="J9512" s="309"/>
    </row>
    <row r="9513">
      <c r="B9513" s="309"/>
      <c r="C9513" s="309"/>
      <c r="I9513" s="309"/>
      <c r="J9513" s="309"/>
    </row>
    <row r="9514">
      <c r="B9514" s="309"/>
      <c r="C9514" s="309"/>
      <c r="I9514" s="309"/>
      <c r="J9514" s="309"/>
    </row>
    <row r="9515">
      <c r="B9515" s="309"/>
      <c r="C9515" s="309"/>
      <c r="I9515" s="309"/>
      <c r="J9515" s="309"/>
    </row>
    <row r="9516">
      <c r="B9516" s="309"/>
      <c r="C9516" s="309"/>
      <c r="I9516" s="309"/>
      <c r="J9516" s="309"/>
    </row>
    <row r="9517">
      <c r="B9517" s="309"/>
      <c r="C9517" s="309"/>
      <c r="I9517" s="309"/>
      <c r="J9517" s="309"/>
    </row>
    <row r="9518">
      <c r="B9518" s="309"/>
      <c r="C9518" s="309"/>
      <c r="I9518" s="309"/>
      <c r="J9518" s="309"/>
    </row>
    <row r="9519">
      <c r="B9519" s="309"/>
      <c r="C9519" s="309"/>
      <c r="I9519" s="309"/>
      <c r="J9519" s="309"/>
    </row>
    <row r="9520">
      <c r="B9520" s="309"/>
      <c r="C9520" s="309"/>
      <c r="I9520" s="309"/>
      <c r="J9520" s="309"/>
    </row>
    <row r="9521">
      <c r="B9521" s="309"/>
      <c r="C9521" s="309"/>
      <c r="I9521" s="309"/>
      <c r="J9521" s="309"/>
    </row>
    <row r="9522">
      <c r="B9522" s="309"/>
      <c r="C9522" s="309"/>
      <c r="I9522" s="309"/>
      <c r="J9522" s="309"/>
    </row>
    <row r="9523">
      <c r="B9523" s="309"/>
      <c r="C9523" s="309"/>
      <c r="I9523" s="309"/>
      <c r="J9523" s="309"/>
    </row>
    <row r="9524">
      <c r="B9524" s="309"/>
      <c r="C9524" s="309"/>
      <c r="I9524" s="309"/>
      <c r="J9524" s="309"/>
    </row>
    <row r="9525">
      <c r="B9525" s="309"/>
      <c r="C9525" s="309"/>
      <c r="I9525" s="309"/>
      <c r="J9525" s="309"/>
    </row>
    <row r="9526">
      <c r="B9526" s="309"/>
      <c r="C9526" s="309"/>
      <c r="I9526" s="309"/>
      <c r="J9526" s="309"/>
    </row>
    <row r="9527">
      <c r="B9527" s="309"/>
      <c r="C9527" s="309"/>
      <c r="I9527" s="309"/>
      <c r="J9527" s="309"/>
    </row>
    <row r="9528">
      <c r="B9528" s="309"/>
      <c r="C9528" s="309"/>
      <c r="I9528" s="309"/>
      <c r="J9528" s="309"/>
    </row>
    <row r="9529">
      <c r="B9529" s="309"/>
      <c r="C9529" s="309"/>
      <c r="I9529" s="309"/>
      <c r="J9529" s="309"/>
    </row>
    <row r="9530">
      <c r="B9530" s="309"/>
      <c r="C9530" s="309"/>
      <c r="I9530" s="309"/>
      <c r="J9530" s="309"/>
    </row>
    <row r="9531">
      <c r="B9531" s="309"/>
      <c r="C9531" s="309"/>
      <c r="I9531" s="309"/>
      <c r="J9531" s="309"/>
    </row>
    <row r="9532">
      <c r="B9532" s="309"/>
      <c r="C9532" s="309"/>
      <c r="I9532" s="309"/>
      <c r="J9532" s="309"/>
    </row>
    <row r="9533">
      <c r="B9533" s="309"/>
      <c r="C9533" s="309"/>
      <c r="I9533" s="309"/>
      <c r="J9533" s="309"/>
    </row>
    <row r="9534">
      <c r="B9534" s="309"/>
      <c r="C9534" s="309"/>
      <c r="I9534" s="309"/>
      <c r="J9534" s="309"/>
    </row>
    <row r="9535">
      <c r="B9535" s="309"/>
      <c r="C9535" s="309"/>
      <c r="I9535" s="309"/>
      <c r="J9535" s="309"/>
    </row>
    <row r="9536">
      <c r="B9536" s="309"/>
      <c r="C9536" s="309"/>
      <c r="I9536" s="309"/>
      <c r="J9536" s="309"/>
    </row>
    <row r="9537">
      <c r="B9537" s="309"/>
      <c r="C9537" s="309"/>
      <c r="I9537" s="309"/>
      <c r="J9537" s="309"/>
    </row>
    <row r="9538">
      <c r="B9538" s="309"/>
      <c r="C9538" s="309"/>
      <c r="I9538" s="309"/>
      <c r="J9538" s="309"/>
    </row>
    <row r="9539">
      <c r="B9539" s="309"/>
      <c r="C9539" s="309"/>
      <c r="I9539" s="309"/>
      <c r="J9539" s="309"/>
    </row>
    <row r="9540">
      <c r="B9540" s="309"/>
      <c r="C9540" s="309"/>
      <c r="I9540" s="309"/>
      <c r="J9540" s="309"/>
    </row>
    <row r="9541">
      <c r="B9541" s="309"/>
      <c r="C9541" s="309"/>
      <c r="I9541" s="309"/>
      <c r="J9541" s="309"/>
    </row>
    <row r="9542">
      <c r="B9542" s="309"/>
      <c r="C9542" s="309"/>
      <c r="I9542" s="309"/>
      <c r="J9542" s="309"/>
    </row>
    <row r="9543">
      <c r="B9543" s="309"/>
      <c r="C9543" s="309"/>
      <c r="I9543" s="309"/>
      <c r="J9543" s="309"/>
    </row>
    <row r="9544">
      <c r="B9544" s="309"/>
      <c r="C9544" s="309"/>
      <c r="I9544" s="309"/>
      <c r="J9544" s="309"/>
    </row>
    <row r="9545">
      <c r="B9545" s="309"/>
      <c r="C9545" s="309"/>
      <c r="I9545" s="309"/>
      <c r="J9545" s="309"/>
    </row>
    <row r="9546">
      <c r="B9546" s="309"/>
      <c r="C9546" s="309"/>
      <c r="I9546" s="309"/>
      <c r="J9546" s="309"/>
    </row>
    <row r="9547">
      <c r="B9547" s="309"/>
      <c r="C9547" s="309"/>
      <c r="I9547" s="309"/>
      <c r="J9547" s="309"/>
    </row>
    <row r="9548">
      <c r="B9548" s="309"/>
      <c r="C9548" s="309"/>
      <c r="I9548" s="309"/>
      <c r="J9548" s="309"/>
    </row>
    <row r="9549">
      <c r="B9549" s="309"/>
      <c r="C9549" s="309"/>
      <c r="I9549" s="309"/>
      <c r="J9549" s="309"/>
    </row>
    <row r="9550">
      <c r="B9550" s="309"/>
      <c r="C9550" s="309"/>
      <c r="I9550" s="309"/>
      <c r="J9550" s="309"/>
    </row>
    <row r="9551">
      <c r="B9551" s="309"/>
      <c r="C9551" s="309"/>
      <c r="I9551" s="309"/>
      <c r="J9551" s="309"/>
    </row>
    <row r="9552">
      <c r="B9552" s="309"/>
      <c r="C9552" s="309"/>
      <c r="I9552" s="309"/>
      <c r="J9552" s="309"/>
    </row>
    <row r="9553">
      <c r="B9553" s="309"/>
      <c r="C9553" s="309"/>
      <c r="I9553" s="309"/>
      <c r="J9553" s="309"/>
    </row>
    <row r="9554">
      <c r="B9554" s="309"/>
      <c r="C9554" s="309"/>
      <c r="I9554" s="309"/>
      <c r="J9554" s="309"/>
    </row>
    <row r="9555">
      <c r="B9555" s="309"/>
      <c r="C9555" s="309"/>
      <c r="I9555" s="309"/>
      <c r="J9555" s="309"/>
    </row>
    <row r="9556">
      <c r="B9556" s="309"/>
      <c r="C9556" s="309"/>
      <c r="I9556" s="309"/>
      <c r="J9556" s="309"/>
    </row>
    <row r="9557">
      <c r="B9557" s="309"/>
      <c r="C9557" s="309"/>
      <c r="I9557" s="309"/>
      <c r="J9557" s="309"/>
    </row>
    <row r="9558">
      <c r="B9558" s="309"/>
      <c r="C9558" s="309"/>
      <c r="I9558" s="309"/>
      <c r="J9558" s="309"/>
    </row>
    <row r="9559">
      <c r="B9559" s="309"/>
      <c r="C9559" s="309"/>
      <c r="I9559" s="309"/>
      <c r="J9559" s="309"/>
    </row>
    <row r="9560">
      <c r="B9560" s="309"/>
      <c r="C9560" s="309"/>
      <c r="I9560" s="309"/>
      <c r="J9560" s="309"/>
    </row>
    <row r="9561">
      <c r="B9561" s="309"/>
      <c r="C9561" s="309"/>
      <c r="I9561" s="309"/>
      <c r="J9561" s="309"/>
    </row>
    <row r="9562">
      <c r="B9562" s="309"/>
      <c r="C9562" s="309"/>
      <c r="I9562" s="309"/>
      <c r="J9562" s="309"/>
    </row>
    <row r="9563">
      <c r="B9563" s="309"/>
      <c r="C9563" s="309"/>
      <c r="I9563" s="309"/>
      <c r="J9563" s="309"/>
    </row>
    <row r="9564">
      <c r="B9564" s="309"/>
      <c r="C9564" s="309"/>
      <c r="I9564" s="309"/>
      <c r="J9564" s="309"/>
    </row>
    <row r="9565">
      <c r="B9565" s="309"/>
      <c r="C9565" s="309"/>
      <c r="I9565" s="309"/>
      <c r="J9565" s="309"/>
    </row>
    <row r="9566">
      <c r="B9566" s="309"/>
      <c r="C9566" s="309"/>
      <c r="I9566" s="309"/>
      <c r="J9566" s="309"/>
    </row>
    <row r="9567">
      <c r="B9567" s="309"/>
      <c r="C9567" s="309"/>
      <c r="I9567" s="309"/>
      <c r="J9567" s="309"/>
    </row>
    <row r="9568">
      <c r="B9568" s="309"/>
      <c r="C9568" s="309"/>
      <c r="I9568" s="309"/>
      <c r="J9568" s="309"/>
    </row>
    <row r="9569">
      <c r="B9569" s="309"/>
      <c r="C9569" s="309"/>
      <c r="I9569" s="309"/>
      <c r="J9569" s="309"/>
    </row>
    <row r="9570">
      <c r="B9570" s="309"/>
      <c r="C9570" s="309"/>
      <c r="I9570" s="309"/>
      <c r="J9570" s="309"/>
    </row>
    <row r="9571">
      <c r="B9571" s="309"/>
      <c r="C9571" s="309"/>
      <c r="I9571" s="309"/>
      <c r="J9571" s="309"/>
    </row>
    <row r="9572">
      <c r="B9572" s="309"/>
      <c r="C9572" s="309"/>
      <c r="I9572" s="309"/>
      <c r="J9572" s="309"/>
    </row>
    <row r="9573">
      <c r="B9573" s="309"/>
      <c r="C9573" s="309"/>
      <c r="I9573" s="309"/>
      <c r="J9573" s="309"/>
    </row>
    <row r="9574">
      <c r="B9574" s="309"/>
      <c r="C9574" s="309"/>
      <c r="I9574" s="309"/>
      <c r="J9574" s="309"/>
    </row>
    <row r="9575">
      <c r="B9575" s="309"/>
      <c r="C9575" s="309"/>
      <c r="I9575" s="309"/>
      <c r="J9575" s="309"/>
    </row>
    <row r="9576">
      <c r="B9576" s="309"/>
      <c r="C9576" s="309"/>
      <c r="I9576" s="309"/>
      <c r="J9576" s="309"/>
    </row>
    <row r="9577">
      <c r="B9577" s="309"/>
      <c r="C9577" s="309"/>
      <c r="I9577" s="309"/>
      <c r="J9577" s="309"/>
    </row>
    <row r="9578">
      <c r="B9578" s="309"/>
      <c r="C9578" s="309"/>
      <c r="I9578" s="309"/>
      <c r="J9578" s="309"/>
    </row>
    <row r="9579">
      <c r="B9579" s="309"/>
      <c r="C9579" s="309"/>
      <c r="I9579" s="309"/>
      <c r="J9579" s="309"/>
    </row>
    <row r="9580">
      <c r="B9580" s="309"/>
      <c r="C9580" s="309"/>
      <c r="I9580" s="309"/>
      <c r="J9580" s="309"/>
    </row>
    <row r="9581">
      <c r="B9581" s="309"/>
      <c r="C9581" s="309"/>
      <c r="I9581" s="309"/>
      <c r="J9581" s="309"/>
    </row>
    <row r="9582">
      <c r="B9582" s="309"/>
      <c r="C9582" s="309"/>
      <c r="I9582" s="309"/>
      <c r="J9582" s="309"/>
    </row>
    <row r="9583">
      <c r="B9583" s="309"/>
      <c r="C9583" s="309"/>
      <c r="I9583" s="309"/>
      <c r="J9583" s="309"/>
    </row>
    <row r="9584">
      <c r="B9584" s="309"/>
      <c r="C9584" s="309"/>
      <c r="I9584" s="309"/>
      <c r="J9584" s="309"/>
    </row>
    <row r="9585">
      <c r="B9585" s="309"/>
      <c r="C9585" s="309"/>
      <c r="I9585" s="309"/>
      <c r="J9585" s="309"/>
    </row>
    <row r="9586">
      <c r="B9586" s="309"/>
      <c r="C9586" s="309"/>
      <c r="I9586" s="309"/>
      <c r="J9586" s="309"/>
    </row>
    <row r="9587">
      <c r="B9587" s="309"/>
      <c r="C9587" s="309"/>
      <c r="I9587" s="309"/>
      <c r="J9587" s="309"/>
    </row>
    <row r="9588">
      <c r="B9588" s="309"/>
      <c r="C9588" s="309"/>
      <c r="I9588" s="309"/>
      <c r="J9588" s="309"/>
    </row>
    <row r="9589">
      <c r="B9589" s="309"/>
      <c r="C9589" s="309"/>
      <c r="I9589" s="309"/>
      <c r="J9589" s="309"/>
    </row>
    <row r="9590">
      <c r="B9590" s="309"/>
      <c r="C9590" s="309"/>
      <c r="I9590" s="309"/>
      <c r="J9590" s="309"/>
    </row>
    <row r="9591">
      <c r="B9591" s="309"/>
      <c r="C9591" s="309"/>
      <c r="I9591" s="309"/>
      <c r="J9591" s="309"/>
    </row>
    <row r="9592">
      <c r="B9592" s="309"/>
      <c r="C9592" s="309"/>
      <c r="I9592" s="309"/>
      <c r="J9592" s="309"/>
    </row>
    <row r="9593">
      <c r="B9593" s="309"/>
      <c r="C9593" s="309"/>
      <c r="I9593" s="309"/>
      <c r="J9593" s="309"/>
    </row>
    <row r="9594">
      <c r="B9594" s="309"/>
      <c r="C9594" s="309"/>
      <c r="I9594" s="309"/>
      <c r="J9594" s="309"/>
    </row>
    <row r="9595">
      <c r="B9595" s="309"/>
      <c r="C9595" s="309"/>
      <c r="I9595" s="309"/>
      <c r="J9595" s="309"/>
    </row>
    <row r="9596">
      <c r="B9596" s="309"/>
      <c r="C9596" s="309"/>
      <c r="I9596" s="309"/>
      <c r="J9596" s="309"/>
    </row>
    <row r="9597">
      <c r="B9597" s="309"/>
      <c r="C9597" s="309"/>
      <c r="I9597" s="309"/>
      <c r="J9597" s="309"/>
    </row>
    <row r="9598">
      <c r="B9598" s="309"/>
      <c r="C9598" s="309"/>
      <c r="I9598" s="309"/>
      <c r="J9598" s="309"/>
    </row>
    <row r="9599">
      <c r="B9599" s="309"/>
      <c r="C9599" s="309"/>
      <c r="I9599" s="309"/>
      <c r="J9599" s="309"/>
    </row>
    <row r="9600">
      <c r="B9600" s="309"/>
      <c r="C9600" s="309"/>
      <c r="I9600" s="309"/>
      <c r="J9600" s="309"/>
    </row>
    <row r="9601">
      <c r="B9601" s="309"/>
      <c r="C9601" s="309"/>
      <c r="I9601" s="309"/>
      <c r="J9601" s="309"/>
    </row>
    <row r="9602">
      <c r="B9602" s="309"/>
      <c r="C9602" s="309"/>
      <c r="I9602" s="309"/>
      <c r="J9602" s="309"/>
    </row>
    <row r="9603">
      <c r="B9603" s="309"/>
      <c r="C9603" s="309"/>
      <c r="I9603" s="309"/>
      <c r="J9603" s="309"/>
    </row>
    <row r="9604">
      <c r="B9604" s="309"/>
      <c r="C9604" s="309"/>
      <c r="I9604" s="309"/>
      <c r="J9604" s="309"/>
    </row>
    <row r="9605">
      <c r="B9605" s="309"/>
      <c r="C9605" s="309"/>
      <c r="I9605" s="309"/>
      <c r="J9605" s="309"/>
    </row>
    <row r="9606">
      <c r="B9606" s="309"/>
      <c r="C9606" s="309"/>
      <c r="I9606" s="309"/>
      <c r="J9606" s="309"/>
    </row>
    <row r="9607">
      <c r="B9607" s="309"/>
      <c r="C9607" s="309"/>
      <c r="I9607" s="309"/>
      <c r="J9607" s="309"/>
    </row>
    <row r="9608">
      <c r="B9608" s="309"/>
      <c r="C9608" s="309"/>
      <c r="I9608" s="309"/>
      <c r="J9608" s="309"/>
    </row>
    <row r="9609">
      <c r="B9609" s="309"/>
      <c r="C9609" s="309"/>
      <c r="I9609" s="309"/>
      <c r="J9609" s="309"/>
    </row>
    <row r="9610">
      <c r="B9610" s="309"/>
      <c r="C9610" s="309"/>
      <c r="I9610" s="309"/>
      <c r="J9610" s="309"/>
    </row>
    <row r="9611">
      <c r="B9611" s="309"/>
      <c r="C9611" s="309"/>
      <c r="I9611" s="309"/>
      <c r="J9611" s="309"/>
    </row>
    <row r="9612">
      <c r="B9612" s="309"/>
      <c r="C9612" s="309"/>
      <c r="I9612" s="309"/>
      <c r="J9612" s="309"/>
    </row>
    <row r="9613">
      <c r="B9613" s="309"/>
      <c r="C9613" s="309"/>
      <c r="I9613" s="309"/>
      <c r="J9613" s="309"/>
    </row>
    <row r="9614">
      <c r="B9614" s="309"/>
      <c r="C9614" s="309"/>
      <c r="I9614" s="309"/>
      <c r="J9614" s="309"/>
    </row>
    <row r="9615">
      <c r="B9615" s="309"/>
      <c r="C9615" s="309"/>
      <c r="I9615" s="309"/>
      <c r="J9615" s="309"/>
    </row>
    <row r="9616">
      <c r="B9616" s="309"/>
      <c r="C9616" s="309"/>
      <c r="I9616" s="309"/>
      <c r="J9616" s="309"/>
    </row>
    <row r="9617">
      <c r="B9617" s="309"/>
      <c r="C9617" s="309"/>
      <c r="I9617" s="309"/>
      <c r="J9617" s="309"/>
    </row>
    <row r="9618">
      <c r="B9618" s="309"/>
      <c r="C9618" s="309"/>
      <c r="I9618" s="309"/>
      <c r="J9618" s="309"/>
    </row>
    <row r="9619">
      <c r="B9619" s="309"/>
      <c r="C9619" s="309"/>
      <c r="I9619" s="309"/>
      <c r="J9619" s="309"/>
    </row>
    <row r="9620">
      <c r="B9620" s="309"/>
      <c r="C9620" s="309"/>
      <c r="I9620" s="309"/>
      <c r="J9620" s="309"/>
    </row>
    <row r="9621">
      <c r="B9621" s="309"/>
      <c r="C9621" s="309"/>
      <c r="I9621" s="309"/>
      <c r="J9621" s="309"/>
    </row>
    <row r="9622">
      <c r="B9622" s="309"/>
      <c r="C9622" s="309"/>
      <c r="I9622" s="309"/>
      <c r="J9622" s="309"/>
    </row>
    <row r="9623">
      <c r="B9623" s="309"/>
      <c r="C9623" s="309"/>
      <c r="I9623" s="309"/>
      <c r="J9623" s="309"/>
    </row>
    <row r="9624">
      <c r="B9624" s="309"/>
      <c r="C9624" s="309"/>
      <c r="I9624" s="309"/>
      <c r="J9624" s="309"/>
    </row>
    <row r="9625">
      <c r="B9625" s="309"/>
      <c r="C9625" s="309"/>
      <c r="I9625" s="309"/>
      <c r="J9625" s="309"/>
    </row>
    <row r="9626">
      <c r="B9626" s="309"/>
      <c r="C9626" s="309"/>
      <c r="I9626" s="309"/>
      <c r="J9626" s="309"/>
    </row>
    <row r="9627">
      <c r="B9627" s="309"/>
      <c r="C9627" s="309"/>
      <c r="I9627" s="309"/>
      <c r="J9627" s="309"/>
    </row>
    <row r="9628">
      <c r="B9628" s="309"/>
      <c r="C9628" s="309"/>
      <c r="I9628" s="309"/>
      <c r="J9628" s="309"/>
    </row>
    <row r="9629">
      <c r="B9629" s="309"/>
      <c r="C9629" s="309"/>
      <c r="I9629" s="309"/>
      <c r="J9629" s="309"/>
    </row>
    <row r="9630">
      <c r="B9630" s="309"/>
      <c r="C9630" s="309"/>
      <c r="I9630" s="309"/>
      <c r="J9630" s="309"/>
    </row>
    <row r="9631">
      <c r="B9631" s="309"/>
      <c r="C9631" s="309"/>
      <c r="I9631" s="309"/>
      <c r="J9631" s="309"/>
    </row>
    <row r="9632">
      <c r="B9632" s="309"/>
      <c r="C9632" s="309"/>
      <c r="I9632" s="309"/>
      <c r="J9632" s="309"/>
    </row>
    <row r="9633">
      <c r="B9633" s="309"/>
      <c r="C9633" s="309"/>
      <c r="I9633" s="309"/>
      <c r="J9633" s="309"/>
    </row>
    <row r="9634">
      <c r="B9634" s="309"/>
      <c r="C9634" s="309"/>
      <c r="I9634" s="309"/>
      <c r="J9634" s="309"/>
    </row>
    <row r="9635">
      <c r="B9635" s="309"/>
      <c r="C9635" s="309"/>
      <c r="I9635" s="309"/>
      <c r="J9635" s="309"/>
    </row>
    <row r="9636">
      <c r="B9636" s="309"/>
      <c r="C9636" s="309"/>
      <c r="I9636" s="309"/>
      <c r="J9636" s="309"/>
    </row>
    <row r="9637">
      <c r="B9637" s="309"/>
      <c r="C9637" s="309"/>
      <c r="I9637" s="309"/>
      <c r="J9637" s="309"/>
    </row>
    <row r="9638">
      <c r="B9638" s="309"/>
      <c r="C9638" s="309"/>
      <c r="I9638" s="309"/>
      <c r="J9638" s="309"/>
    </row>
    <row r="9639">
      <c r="B9639" s="309"/>
      <c r="C9639" s="309"/>
      <c r="I9639" s="309"/>
      <c r="J9639" s="309"/>
    </row>
    <row r="9640">
      <c r="B9640" s="309"/>
      <c r="C9640" s="309"/>
      <c r="I9640" s="309"/>
      <c r="J9640" s="309"/>
    </row>
    <row r="9641">
      <c r="B9641" s="309"/>
      <c r="C9641" s="309"/>
      <c r="I9641" s="309"/>
      <c r="J9641" s="309"/>
    </row>
    <row r="9642">
      <c r="B9642" s="309"/>
      <c r="C9642" s="309"/>
      <c r="I9642" s="309"/>
      <c r="J9642" s="309"/>
    </row>
    <row r="9643">
      <c r="B9643" s="309"/>
      <c r="C9643" s="309"/>
      <c r="I9643" s="309"/>
      <c r="J9643" s="309"/>
    </row>
    <row r="9644">
      <c r="B9644" s="309"/>
      <c r="C9644" s="309"/>
      <c r="I9644" s="309"/>
      <c r="J9644" s="309"/>
    </row>
    <row r="9645">
      <c r="B9645" s="309"/>
      <c r="C9645" s="309"/>
      <c r="I9645" s="309"/>
      <c r="J9645" s="309"/>
    </row>
    <row r="9646">
      <c r="B9646" s="309"/>
      <c r="C9646" s="309"/>
      <c r="I9646" s="309"/>
      <c r="J9646" s="309"/>
    </row>
    <row r="9647">
      <c r="B9647" s="309"/>
      <c r="C9647" s="309"/>
      <c r="I9647" s="309"/>
      <c r="J9647" s="309"/>
    </row>
    <row r="9648">
      <c r="B9648" s="309"/>
      <c r="C9648" s="309"/>
      <c r="I9648" s="309"/>
      <c r="J9648" s="309"/>
    </row>
    <row r="9649">
      <c r="B9649" s="309"/>
      <c r="C9649" s="309"/>
      <c r="I9649" s="309"/>
      <c r="J9649" s="309"/>
    </row>
    <row r="9650">
      <c r="B9650" s="309"/>
      <c r="C9650" s="309"/>
      <c r="I9650" s="309"/>
      <c r="J9650" s="309"/>
    </row>
    <row r="9651">
      <c r="B9651" s="309"/>
      <c r="C9651" s="309"/>
      <c r="I9651" s="309"/>
      <c r="J9651" s="309"/>
    </row>
    <row r="9652">
      <c r="B9652" s="309"/>
      <c r="C9652" s="309"/>
      <c r="I9652" s="309"/>
      <c r="J9652" s="309"/>
    </row>
    <row r="9653">
      <c r="B9653" s="309"/>
      <c r="C9653" s="309"/>
      <c r="I9653" s="309"/>
      <c r="J9653" s="309"/>
    </row>
    <row r="9654">
      <c r="B9654" s="309"/>
      <c r="C9654" s="309"/>
      <c r="I9654" s="309"/>
      <c r="J9654" s="309"/>
    </row>
    <row r="9655">
      <c r="B9655" s="309"/>
      <c r="C9655" s="309"/>
      <c r="I9655" s="309"/>
      <c r="J9655" s="309"/>
    </row>
    <row r="9656">
      <c r="B9656" s="309"/>
      <c r="C9656" s="309"/>
      <c r="I9656" s="309"/>
      <c r="J9656" s="309"/>
    </row>
    <row r="9657">
      <c r="B9657" s="309"/>
      <c r="C9657" s="309"/>
      <c r="I9657" s="309"/>
      <c r="J9657" s="309"/>
    </row>
    <row r="9658">
      <c r="B9658" s="309"/>
      <c r="C9658" s="309"/>
      <c r="I9658" s="309"/>
      <c r="J9658" s="309"/>
    </row>
    <row r="9659">
      <c r="B9659" s="309"/>
      <c r="C9659" s="309"/>
      <c r="I9659" s="309"/>
      <c r="J9659" s="309"/>
    </row>
    <row r="9660">
      <c r="B9660" s="309"/>
      <c r="C9660" s="309"/>
      <c r="I9660" s="309"/>
      <c r="J9660" s="309"/>
    </row>
    <row r="9661">
      <c r="B9661" s="309"/>
      <c r="C9661" s="309"/>
      <c r="I9661" s="309"/>
      <c r="J9661" s="309"/>
    </row>
    <row r="9662">
      <c r="B9662" s="309"/>
      <c r="C9662" s="309"/>
      <c r="I9662" s="309"/>
      <c r="J9662" s="309"/>
    </row>
    <row r="9663">
      <c r="B9663" s="309"/>
      <c r="C9663" s="309"/>
      <c r="I9663" s="309"/>
      <c r="J9663" s="309"/>
    </row>
    <row r="9664">
      <c r="B9664" s="309"/>
      <c r="C9664" s="309"/>
      <c r="I9664" s="309"/>
      <c r="J9664" s="309"/>
    </row>
    <row r="9665">
      <c r="B9665" s="309"/>
      <c r="C9665" s="309"/>
      <c r="I9665" s="309"/>
      <c r="J9665" s="309"/>
    </row>
    <row r="9666">
      <c r="B9666" s="309"/>
      <c r="C9666" s="309"/>
      <c r="I9666" s="309"/>
      <c r="J9666" s="309"/>
    </row>
    <row r="9667">
      <c r="B9667" s="309"/>
      <c r="C9667" s="309"/>
      <c r="I9667" s="309"/>
      <c r="J9667" s="309"/>
    </row>
    <row r="9668">
      <c r="B9668" s="309"/>
      <c r="C9668" s="309"/>
      <c r="I9668" s="309"/>
      <c r="J9668" s="309"/>
    </row>
    <row r="9669">
      <c r="B9669" s="309"/>
      <c r="C9669" s="309"/>
      <c r="I9669" s="309"/>
      <c r="J9669" s="309"/>
    </row>
    <row r="9670">
      <c r="B9670" s="309"/>
      <c r="C9670" s="309"/>
      <c r="I9670" s="309"/>
      <c r="J9670" s="309"/>
    </row>
    <row r="9671">
      <c r="B9671" s="309"/>
      <c r="C9671" s="309"/>
      <c r="I9671" s="309"/>
      <c r="J9671" s="309"/>
    </row>
    <row r="9672">
      <c r="B9672" s="309"/>
      <c r="C9672" s="309"/>
      <c r="I9672" s="309"/>
      <c r="J9672" s="309"/>
    </row>
    <row r="9673">
      <c r="B9673" s="309"/>
      <c r="C9673" s="309"/>
      <c r="I9673" s="309"/>
      <c r="J9673" s="309"/>
    </row>
    <row r="9674">
      <c r="B9674" s="309"/>
      <c r="C9674" s="309"/>
      <c r="I9674" s="309"/>
      <c r="J9674" s="309"/>
    </row>
    <row r="9675">
      <c r="B9675" s="309"/>
      <c r="C9675" s="309"/>
      <c r="I9675" s="309"/>
      <c r="J9675" s="309"/>
    </row>
    <row r="9676">
      <c r="B9676" s="309"/>
      <c r="C9676" s="309"/>
      <c r="I9676" s="309"/>
      <c r="J9676" s="309"/>
    </row>
    <row r="9677">
      <c r="B9677" s="309"/>
      <c r="C9677" s="309"/>
      <c r="I9677" s="309"/>
      <c r="J9677" s="309"/>
    </row>
    <row r="9678">
      <c r="B9678" s="309"/>
      <c r="C9678" s="309"/>
      <c r="I9678" s="309"/>
      <c r="J9678" s="309"/>
    </row>
    <row r="9679">
      <c r="B9679" s="309"/>
      <c r="C9679" s="309"/>
      <c r="I9679" s="309"/>
      <c r="J9679" s="309"/>
    </row>
    <row r="9680">
      <c r="B9680" s="309"/>
      <c r="C9680" s="309"/>
      <c r="I9680" s="309"/>
      <c r="J9680" s="309"/>
    </row>
    <row r="9681">
      <c r="B9681" s="309"/>
      <c r="C9681" s="309"/>
      <c r="I9681" s="309"/>
      <c r="J9681" s="309"/>
    </row>
    <row r="9682">
      <c r="B9682" s="309"/>
      <c r="C9682" s="309"/>
      <c r="I9682" s="309"/>
      <c r="J9682" s="309"/>
    </row>
    <row r="9683">
      <c r="B9683" s="309"/>
      <c r="C9683" s="309"/>
      <c r="I9683" s="309"/>
      <c r="J9683" s="309"/>
    </row>
    <row r="9684">
      <c r="B9684" s="309"/>
      <c r="C9684" s="309"/>
      <c r="I9684" s="309"/>
      <c r="J9684" s="309"/>
    </row>
    <row r="9685">
      <c r="B9685" s="309"/>
      <c r="C9685" s="309"/>
      <c r="I9685" s="309"/>
      <c r="J9685" s="309"/>
    </row>
    <row r="9686">
      <c r="B9686" s="309"/>
      <c r="C9686" s="309"/>
      <c r="I9686" s="309"/>
      <c r="J9686" s="309"/>
    </row>
    <row r="9687">
      <c r="B9687" s="309"/>
      <c r="C9687" s="309"/>
      <c r="I9687" s="309"/>
      <c r="J9687" s="309"/>
    </row>
    <row r="9688">
      <c r="B9688" s="309"/>
      <c r="C9688" s="309"/>
      <c r="I9688" s="309"/>
      <c r="J9688" s="309"/>
    </row>
    <row r="9689">
      <c r="B9689" s="309"/>
      <c r="C9689" s="309"/>
      <c r="I9689" s="309"/>
      <c r="J9689" s="309"/>
    </row>
    <row r="9690">
      <c r="B9690" s="309"/>
      <c r="C9690" s="309"/>
      <c r="I9690" s="309"/>
      <c r="J9690" s="309"/>
    </row>
    <row r="9691">
      <c r="B9691" s="309"/>
      <c r="C9691" s="309"/>
      <c r="I9691" s="309"/>
      <c r="J9691" s="309"/>
    </row>
    <row r="9692">
      <c r="B9692" s="309"/>
      <c r="C9692" s="309"/>
      <c r="I9692" s="309"/>
      <c r="J9692" s="309"/>
    </row>
    <row r="9693">
      <c r="B9693" s="309"/>
      <c r="C9693" s="309"/>
      <c r="I9693" s="309"/>
      <c r="J9693" s="309"/>
    </row>
    <row r="9694">
      <c r="B9694" s="309"/>
      <c r="C9694" s="309"/>
      <c r="I9694" s="309"/>
      <c r="J9694" s="309"/>
    </row>
    <row r="9695">
      <c r="B9695" s="309"/>
      <c r="C9695" s="309"/>
      <c r="I9695" s="309"/>
      <c r="J9695" s="309"/>
    </row>
    <row r="9696">
      <c r="B9696" s="309"/>
      <c r="C9696" s="309"/>
      <c r="I9696" s="309"/>
      <c r="J9696" s="309"/>
    </row>
    <row r="9697">
      <c r="B9697" s="309"/>
      <c r="C9697" s="309"/>
      <c r="I9697" s="309"/>
      <c r="J9697" s="309"/>
    </row>
    <row r="9698">
      <c r="B9698" s="309"/>
      <c r="C9698" s="309"/>
      <c r="I9698" s="309"/>
      <c r="J9698" s="309"/>
    </row>
    <row r="9699">
      <c r="B9699" s="309"/>
      <c r="C9699" s="309"/>
      <c r="I9699" s="309"/>
      <c r="J9699" s="309"/>
    </row>
    <row r="9700">
      <c r="B9700" s="309"/>
      <c r="C9700" s="309"/>
      <c r="I9700" s="309"/>
      <c r="J9700" s="309"/>
    </row>
    <row r="9701">
      <c r="B9701" s="309"/>
      <c r="C9701" s="309"/>
      <c r="I9701" s="309"/>
      <c r="J9701" s="309"/>
    </row>
    <row r="9702">
      <c r="B9702" s="309"/>
      <c r="C9702" s="309"/>
      <c r="I9702" s="309"/>
      <c r="J9702" s="309"/>
    </row>
    <row r="9703">
      <c r="B9703" s="309"/>
      <c r="C9703" s="309"/>
      <c r="I9703" s="309"/>
      <c r="J9703" s="309"/>
    </row>
    <row r="9704">
      <c r="B9704" s="309"/>
      <c r="C9704" s="309"/>
      <c r="I9704" s="309"/>
      <c r="J9704" s="309"/>
    </row>
    <row r="9705">
      <c r="B9705" s="309"/>
      <c r="C9705" s="309"/>
      <c r="I9705" s="309"/>
      <c r="J9705" s="309"/>
    </row>
    <row r="9706">
      <c r="B9706" s="309"/>
      <c r="C9706" s="309"/>
      <c r="I9706" s="309"/>
      <c r="J9706" s="309"/>
    </row>
    <row r="9707">
      <c r="B9707" s="309"/>
      <c r="C9707" s="309"/>
      <c r="I9707" s="309"/>
      <c r="J9707" s="309"/>
    </row>
    <row r="9708">
      <c r="B9708" s="309"/>
      <c r="C9708" s="309"/>
      <c r="I9708" s="309"/>
      <c r="J9708" s="309"/>
    </row>
    <row r="9709">
      <c r="B9709" s="309"/>
      <c r="C9709" s="309"/>
      <c r="I9709" s="309"/>
      <c r="J9709" s="309"/>
    </row>
    <row r="9710">
      <c r="B9710" s="309"/>
      <c r="C9710" s="309"/>
      <c r="I9710" s="309"/>
      <c r="J9710" s="309"/>
    </row>
    <row r="9711">
      <c r="B9711" s="309"/>
      <c r="C9711" s="309"/>
      <c r="I9711" s="309"/>
      <c r="J9711" s="309"/>
    </row>
    <row r="9712">
      <c r="B9712" s="309"/>
      <c r="C9712" s="309"/>
      <c r="I9712" s="309"/>
      <c r="J9712" s="309"/>
    </row>
    <row r="9713">
      <c r="B9713" s="309"/>
      <c r="C9713" s="309"/>
      <c r="I9713" s="309"/>
      <c r="J9713" s="309"/>
    </row>
    <row r="9714">
      <c r="B9714" s="309"/>
      <c r="C9714" s="309"/>
      <c r="I9714" s="309"/>
      <c r="J9714" s="309"/>
    </row>
    <row r="9715">
      <c r="B9715" s="309"/>
      <c r="C9715" s="309"/>
      <c r="I9715" s="309"/>
      <c r="J9715" s="309"/>
    </row>
    <row r="9716">
      <c r="B9716" s="309"/>
      <c r="C9716" s="309"/>
      <c r="I9716" s="309"/>
      <c r="J9716" s="309"/>
    </row>
    <row r="9717">
      <c r="B9717" s="309"/>
      <c r="C9717" s="309"/>
      <c r="I9717" s="309"/>
      <c r="J9717" s="309"/>
    </row>
    <row r="9718">
      <c r="B9718" s="309"/>
      <c r="C9718" s="309"/>
      <c r="I9718" s="309"/>
      <c r="J9718" s="309"/>
    </row>
    <row r="9719">
      <c r="B9719" s="309"/>
      <c r="C9719" s="309"/>
      <c r="I9719" s="309"/>
      <c r="J9719" s="309"/>
    </row>
    <row r="9720">
      <c r="B9720" s="309"/>
      <c r="C9720" s="309"/>
      <c r="I9720" s="309"/>
      <c r="J9720" s="309"/>
    </row>
    <row r="9721">
      <c r="B9721" s="309"/>
      <c r="C9721" s="309"/>
      <c r="I9721" s="309"/>
      <c r="J9721" s="309"/>
    </row>
    <row r="9722">
      <c r="B9722" s="309"/>
      <c r="C9722" s="309"/>
      <c r="I9722" s="309"/>
      <c r="J9722" s="309"/>
    </row>
    <row r="9723">
      <c r="B9723" s="309"/>
      <c r="C9723" s="309"/>
      <c r="I9723" s="309"/>
      <c r="J9723" s="309"/>
    </row>
    <row r="9724">
      <c r="B9724" s="309"/>
      <c r="C9724" s="309"/>
      <c r="I9724" s="309"/>
      <c r="J9724" s="309"/>
    </row>
    <row r="9725">
      <c r="B9725" s="309"/>
      <c r="C9725" s="309"/>
      <c r="I9725" s="309"/>
      <c r="J9725" s="309"/>
    </row>
    <row r="9726">
      <c r="B9726" s="309"/>
      <c r="C9726" s="309"/>
      <c r="I9726" s="309"/>
      <c r="J9726" s="309"/>
    </row>
    <row r="9727">
      <c r="B9727" s="309"/>
      <c r="C9727" s="309"/>
      <c r="I9727" s="309"/>
      <c r="J9727" s="309"/>
    </row>
    <row r="9728">
      <c r="B9728" s="309"/>
      <c r="C9728" s="309"/>
      <c r="I9728" s="309"/>
      <c r="J9728" s="309"/>
    </row>
    <row r="9729">
      <c r="B9729" s="309"/>
      <c r="C9729" s="309"/>
      <c r="I9729" s="309"/>
      <c r="J9729" s="309"/>
    </row>
    <row r="9730">
      <c r="B9730" s="309"/>
      <c r="C9730" s="309"/>
      <c r="I9730" s="309"/>
      <c r="J9730" s="309"/>
    </row>
    <row r="9731">
      <c r="B9731" s="309"/>
      <c r="C9731" s="309"/>
      <c r="I9731" s="309"/>
      <c r="J9731" s="309"/>
    </row>
    <row r="9732">
      <c r="B9732" s="309"/>
      <c r="C9732" s="309"/>
      <c r="I9732" s="309"/>
      <c r="J9732" s="309"/>
    </row>
    <row r="9733">
      <c r="B9733" s="309"/>
      <c r="C9733" s="309"/>
      <c r="I9733" s="309"/>
      <c r="J9733" s="309"/>
    </row>
    <row r="9734">
      <c r="B9734" s="309"/>
      <c r="C9734" s="309"/>
      <c r="I9734" s="309"/>
      <c r="J9734" s="309"/>
    </row>
    <row r="9735">
      <c r="B9735" s="309"/>
      <c r="C9735" s="309"/>
      <c r="I9735" s="309"/>
      <c r="J9735" s="309"/>
    </row>
    <row r="9736">
      <c r="B9736" s="309"/>
      <c r="C9736" s="309"/>
      <c r="I9736" s="309"/>
      <c r="J9736" s="309"/>
    </row>
    <row r="9737">
      <c r="B9737" s="309"/>
      <c r="C9737" s="309"/>
      <c r="I9737" s="309"/>
      <c r="J9737" s="309"/>
    </row>
    <row r="9738">
      <c r="B9738" s="309"/>
      <c r="C9738" s="309"/>
      <c r="I9738" s="309"/>
      <c r="J9738" s="309"/>
    </row>
    <row r="9739">
      <c r="B9739" s="309"/>
      <c r="C9739" s="309"/>
      <c r="I9739" s="309"/>
      <c r="J9739" s="309"/>
    </row>
    <row r="9740">
      <c r="B9740" s="309"/>
      <c r="C9740" s="309"/>
      <c r="I9740" s="309"/>
      <c r="J9740" s="309"/>
    </row>
    <row r="9741">
      <c r="B9741" s="309"/>
      <c r="C9741" s="309"/>
      <c r="I9741" s="309"/>
      <c r="J9741" s="309"/>
    </row>
    <row r="9742">
      <c r="B9742" s="309"/>
      <c r="C9742" s="309"/>
      <c r="I9742" s="309"/>
      <c r="J9742" s="309"/>
    </row>
    <row r="9743">
      <c r="B9743" s="309"/>
      <c r="C9743" s="309"/>
      <c r="I9743" s="309"/>
      <c r="J9743" s="309"/>
    </row>
    <row r="9744">
      <c r="B9744" s="309"/>
      <c r="C9744" s="309"/>
      <c r="I9744" s="309"/>
      <c r="J9744" s="309"/>
    </row>
    <row r="9745">
      <c r="B9745" s="309"/>
      <c r="C9745" s="309"/>
      <c r="I9745" s="309"/>
      <c r="J9745" s="309"/>
    </row>
    <row r="9746">
      <c r="B9746" s="309"/>
      <c r="C9746" s="309"/>
      <c r="I9746" s="309"/>
      <c r="J9746" s="309"/>
    </row>
    <row r="9747">
      <c r="B9747" s="309"/>
      <c r="C9747" s="309"/>
      <c r="I9747" s="309"/>
      <c r="J9747" s="309"/>
    </row>
    <row r="9748">
      <c r="B9748" s="309"/>
      <c r="C9748" s="309"/>
      <c r="I9748" s="309"/>
      <c r="J9748" s="309"/>
    </row>
    <row r="9749">
      <c r="B9749" s="309"/>
      <c r="C9749" s="309"/>
      <c r="I9749" s="309"/>
      <c r="J9749" s="309"/>
    </row>
    <row r="9750">
      <c r="B9750" s="309"/>
      <c r="C9750" s="309"/>
      <c r="I9750" s="309"/>
      <c r="J9750" s="309"/>
    </row>
    <row r="9751">
      <c r="B9751" s="309"/>
      <c r="C9751" s="309"/>
      <c r="I9751" s="309"/>
      <c r="J9751" s="309"/>
    </row>
    <row r="9752">
      <c r="B9752" s="309"/>
      <c r="C9752" s="309"/>
      <c r="I9752" s="309"/>
      <c r="J9752" s="309"/>
    </row>
    <row r="9753">
      <c r="B9753" s="309"/>
      <c r="C9753" s="309"/>
      <c r="I9753" s="309"/>
      <c r="J9753" s="309"/>
    </row>
    <row r="9754">
      <c r="B9754" s="309"/>
      <c r="C9754" s="309"/>
      <c r="I9754" s="309"/>
      <c r="J9754" s="309"/>
    </row>
    <row r="9755">
      <c r="B9755" s="309"/>
      <c r="C9755" s="309"/>
      <c r="I9755" s="309"/>
      <c r="J9755" s="309"/>
    </row>
    <row r="9756">
      <c r="B9756" s="309"/>
      <c r="C9756" s="309"/>
      <c r="I9756" s="309"/>
      <c r="J9756" s="309"/>
    </row>
    <row r="9757">
      <c r="B9757" s="309"/>
      <c r="C9757" s="309"/>
      <c r="I9757" s="309"/>
      <c r="J9757" s="309"/>
    </row>
    <row r="9758">
      <c r="B9758" s="309"/>
      <c r="C9758" s="309"/>
      <c r="I9758" s="309"/>
      <c r="J9758" s="309"/>
    </row>
    <row r="9759">
      <c r="B9759" s="309"/>
      <c r="C9759" s="309"/>
      <c r="I9759" s="309"/>
      <c r="J9759" s="309"/>
    </row>
    <row r="9760">
      <c r="B9760" s="309"/>
      <c r="C9760" s="309"/>
      <c r="I9760" s="309"/>
      <c r="J9760" s="309"/>
    </row>
    <row r="9761">
      <c r="B9761" s="309"/>
      <c r="C9761" s="309"/>
      <c r="I9761" s="309"/>
      <c r="J9761" s="309"/>
    </row>
    <row r="9762">
      <c r="B9762" s="309"/>
      <c r="C9762" s="309"/>
      <c r="I9762" s="309"/>
      <c r="J9762" s="309"/>
    </row>
    <row r="9763">
      <c r="B9763" s="309"/>
      <c r="C9763" s="309"/>
      <c r="I9763" s="309"/>
      <c r="J9763" s="309"/>
    </row>
    <row r="9764">
      <c r="B9764" s="309"/>
      <c r="C9764" s="309"/>
      <c r="I9764" s="309"/>
      <c r="J9764" s="309"/>
    </row>
    <row r="9765">
      <c r="B9765" s="309"/>
      <c r="C9765" s="309"/>
      <c r="I9765" s="309"/>
      <c r="J9765" s="309"/>
    </row>
    <row r="9766">
      <c r="B9766" s="309"/>
      <c r="C9766" s="309"/>
      <c r="I9766" s="309"/>
      <c r="J9766" s="309"/>
    </row>
    <row r="9767">
      <c r="B9767" s="309"/>
      <c r="C9767" s="309"/>
      <c r="I9767" s="309"/>
      <c r="J9767" s="309"/>
    </row>
    <row r="9768">
      <c r="B9768" s="309"/>
      <c r="C9768" s="309"/>
      <c r="I9768" s="309"/>
      <c r="J9768" s="309"/>
    </row>
    <row r="9769">
      <c r="B9769" s="309"/>
      <c r="C9769" s="309"/>
      <c r="I9769" s="309"/>
      <c r="J9769" s="309"/>
    </row>
    <row r="9770">
      <c r="B9770" s="309"/>
      <c r="C9770" s="309"/>
      <c r="I9770" s="309"/>
      <c r="J9770" s="309"/>
    </row>
    <row r="9771">
      <c r="B9771" s="309"/>
      <c r="C9771" s="309"/>
      <c r="I9771" s="309"/>
      <c r="J9771" s="309"/>
    </row>
    <row r="9772">
      <c r="B9772" s="309"/>
      <c r="C9772" s="309"/>
      <c r="I9772" s="309"/>
      <c r="J9772" s="309"/>
    </row>
    <row r="9773">
      <c r="B9773" s="309"/>
      <c r="C9773" s="309"/>
      <c r="I9773" s="309"/>
      <c r="J9773" s="309"/>
    </row>
    <row r="9774">
      <c r="B9774" s="309"/>
      <c r="C9774" s="309"/>
      <c r="I9774" s="309"/>
      <c r="J9774" s="309"/>
    </row>
    <row r="9775">
      <c r="B9775" s="309"/>
      <c r="C9775" s="309"/>
      <c r="I9775" s="309"/>
      <c r="J9775" s="309"/>
    </row>
    <row r="9776">
      <c r="B9776" s="309"/>
      <c r="C9776" s="309"/>
      <c r="I9776" s="309"/>
      <c r="J9776" s="309"/>
    </row>
    <row r="9777">
      <c r="B9777" s="309"/>
      <c r="C9777" s="309"/>
      <c r="I9777" s="309"/>
      <c r="J9777" s="309"/>
    </row>
    <row r="9778">
      <c r="B9778" s="309"/>
      <c r="C9778" s="309"/>
      <c r="I9778" s="309"/>
      <c r="J9778" s="309"/>
    </row>
    <row r="9779">
      <c r="B9779" s="309"/>
      <c r="C9779" s="309"/>
      <c r="I9779" s="309"/>
      <c r="J9779" s="309"/>
    </row>
    <row r="9780">
      <c r="B9780" s="309"/>
      <c r="C9780" s="309"/>
      <c r="I9780" s="309"/>
      <c r="J9780" s="309"/>
    </row>
    <row r="9781">
      <c r="B9781" s="309"/>
      <c r="C9781" s="309"/>
      <c r="I9781" s="309"/>
      <c r="J9781" s="309"/>
    </row>
    <row r="9782">
      <c r="B9782" s="309"/>
      <c r="C9782" s="309"/>
      <c r="I9782" s="309"/>
      <c r="J9782" s="309"/>
    </row>
    <row r="9783">
      <c r="B9783" s="309"/>
      <c r="C9783" s="309"/>
      <c r="I9783" s="309"/>
      <c r="J9783" s="309"/>
    </row>
    <row r="9784">
      <c r="B9784" s="309"/>
      <c r="C9784" s="309"/>
      <c r="I9784" s="309"/>
      <c r="J9784" s="309"/>
    </row>
    <row r="9785">
      <c r="B9785" s="309"/>
      <c r="C9785" s="309"/>
      <c r="I9785" s="309"/>
      <c r="J9785" s="309"/>
    </row>
    <row r="9786">
      <c r="B9786" s="309"/>
      <c r="C9786" s="309"/>
      <c r="I9786" s="309"/>
      <c r="J9786" s="309"/>
    </row>
    <row r="9787">
      <c r="B9787" s="309"/>
      <c r="C9787" s="309"/>
      <c r="I9787" s="309"/>
      <c r="J9787" s="309"/>
    </row>
    <row r="9788">
      <c r="B9788" s="309"/>
      <c r="C9788" s="309"/>
      <c r="I9788" s="309"/>
      <c r="J9788" s="309"/>
    </row>
    <row r="9789">
      <c r="B9789" s="309"/>
      <c r="C9789" s="309"/>
      <c r="I9789" s="309"/>
      <c r="J9789" s="309"/>
    </row>
    <row r="9790">
      <c r="B9790" s="309"/>
      <c r="C9790" s="309"/>
      <c r="I9790" s="309"/>
      <c r="J9790" s="309"/>
    </row>
    <row r="9791">
      <c r="B9791" s="309"/>
      <c r="C9791" s="309"/>
      <c r="I9791" s="309"/>
      <c r="J9791" s="309"/>
    </row>
    <row r="9792">
      <c r="B9792" s="309"/>
      <c r="C9792" s="309"/>
      <c r="I9792" s="309"/>
      <c r="J9792" s="309"/>
    </row>
    <row r="9793">
      <c r="B9793" s="309"/>
      <c r="C9793" s="309"/>
      <c r="I9793" s="309"/>
      <c r="J9793" s="309"/>
    </row>
    <row r="9794">
      <c r="B9794" s="309"/>
      <c r="C9794" s="309"/>
      <c r="I9794" s="309"/>
      <c r="J9794" s="309"/>
    </row>
    <row r="9795">
      <c r="B9795" s="309"/>
      <c r="C9795" s="309"/>
      <c r="I9795" s="309"/>
      <c r="J9795" s="309"/>
    </row>
    <row r="9796">
      <c r="B9796" s="309"/>
      <c r="C9796" s="309"/>
      <c r="I9796" s="309"/>
      <c r="J9796" s="309"/>
    </row>
    <row r="9797">
      <c r="B9797" s="309"/>
      <c r="C9797" s="309"/>
      <c r="I9797" s="309"/>
      <c r="J9797" s="309"/>
    </row>
    <row r="9798">
      <c r="B9798" s="309"/>
      <c r="C9798" s="309"/>
      <c r="I9798" s="309"/>
      <c r="J9798" s="309"/>
    </row>
    <row r="9799">
      <c r="B9799" s="309"/>
      <c r="C9799" s="309"/>
      <c r="I9799" s="309"/>
      <c r="J9799" s="309"/>
    </row>
    <row r="9800">
      <c r="B9800" s="309"/>
      <c r="C9800" s="309"/>
      <c r="I9800" s="309"/>
      <c r="J9800" s="309"/>
    </row>
    <row r="9801">
      <c r="B9801" s="309"/>
      <c r="C9801" s="309"/>
      <c r="I9801" s="309"/>
      <c r="J9801" s="309"/>
    </row>
    <row r="9802">
      <c r="B9802" s="309"/>
      <c r="C9802" s="309"/>
      <c r="I9802" s="309"/>
      <c r="J9802" s="309"/>
    </row>
    <row r="9803">
      <c r="B9803" s="309"/>
      <c r="C9803" s="309"/>
      <c r="I9803" s="309"/>
      <c r="J9803" s="309"/>
    </row>
    <row r="9804">
      <c r="B9804" s="309"/>
      <c r="C9804" s="309"/>
      <c r="I9804" s="309"/>
      <c r="J9804" s="309"/>
    </row>
    <row r="9805">
      <c r="B9805" s="309"/>
      <c r="C9805" s="309"/>
      <c r="I9805" s="309"/>
      <c r="J9805" s="309"/>
    </row>
    <row r="9806">
      <c r="B9806" s="309"/>
      <c r="C9806" s="309"/>
      <c r="I9806" s="309"/>
      <c r="J9806" s="309"/>
    </row>
    <row r="9807">
      <c r="B9807" s="309"/>
      <c r="C9807" s="309"/>
      <c r="I9807" s="309"/>
      <c r="J9807" s="309"/>
    </row>
    <row r="9808">
      <c r="B9808" s="309"/>
      <c r="C9808" s="309"/>
      <c r="I9808" s="309"/>
      <c r="J9808" s="309"/>
    </row>
    <row r="9809">
      <c r="B9809" s="309"/>
      <c r="C9809" s="309"/>
      <c r="I9809" s="309"/>
      <c r="J9809" s="309"/>
    </row>
    <row r="9810">
      <c r="B9810" s="309"/>
      <c r="C9810" s="309"/>
      <c r="I9810" s="309"/>
      <c r="J9810" s="309"/>
    </row>
    <row r="9811">
      <c r="B9811" s="309"/>
      <c r="C9811" s="309"/>
      <c r="I9811" s="309"/>
      <c r="J9811" s="309"/>
    </row>
    <row r="9812">
      <c r="B9812" s="309"/>
      <c r="C9812" s="309"/>
      <c r="I9812" s="309"/>
      <c r="J9812" s="309"/>
    </row>
    <row r="9813">
      <c r="B9813" s="309"/>
      <c r="C9813" s="309"/>
      <c r="I9813" s="309"/>
      <c r="J9813" s="309"/>
    </row>
    <row r="9814">
      <c r="B9814" s="309"/>
      <c r="C9814" s="309"/>
      <c r="I9814" s="309"/>
      <c r="J9814" s="309"/>
    </row>
    <row r="9815">
      <c r="B9815" s="309"/>
      <c r="C9815" s="309"/>
      <c r="I9815" s="309"/>
      <c r="J9815" s="309"/>
    </row>
    <row r="9816">
      <c r="B9816" s="309"/>
      <c r="C9816" s="309"/>
      <c r="I9816" s="309"/>
      <c r="J9816" s="309"/>
    </row>
    <row r="9817">
      <c r="B9817" s="309"/>
      <c r="C9817" s="309"/>
      <c r="I9817" s="309"/>
      <c r="J9817" s="309"/>
    </row>
    <row r="9818">
      <c r="B9818" s="309"/>
      <c r="C9818" s="309"/>
      <c r="I9818" s="309"/>
      <c r="J9818" s="309"/>
    </row>
    <row r="9819">
      <c r="B9819" s="309"/>
      <c r="C9819" s="309"/>
      <c r="I9819" s="309"/>
      <c r="J9819" s="309"/>
    </row>
    <row r="9820">
      <c r="B9820" s="309"/>
      <c r="C9820" s="309"/>
      <c r="I9820" s="309"/>
      <c r="J9820" s="309"/>
    </row>
    <row r="9821">
      <c r="B9821" s="309"/>
      <c r="C9821" s="309"/>
      <c r="I9821" s="309"/>
      <c r="J9821" s="309"/>
    </row>
    <row r="9822">
      <c r="B9822" s="309"/>
      <c r="C9822" s="309"/>
      <c r="I9822" s="309"/>
      <c r="J9822" s="309"/>
    </row>
    <row r="9823">
      <c r="B9823" s="309"/>
      <c r="C9823" s="309"/>
      <c r="I9823" s="309"/>
      <c r="J9823" s="309"/>
    </row>
    <row r="9824">
      <c r="B9824" s="309"/>
      <c r="C9824" s="309"/>
      <c r="I9824" s="309"/>
      <c r="J9824" s="309"/>
    </row>
    <row r="9825">
      <c r="B9825" s="309"/>
      <c r="C9825" s="309"/>
      <c r="I9825" s="309"/>
      <c r="J9825" s="309"/>
    </row>
    <row r="9826">
      <c r="B9826" s="309"/>
      <c r="C9826" s="309"/>
      <c r="I9826" s="309"/>
      <c r="J9826" s="309"/>
    </row>
    <row r="9827">
      <c r="B9827" s="309"/>
      <c r="C9827" s="309"/>
      <c r="I9827" s="309"/>
      <c r="J9827" s="309"/>
    </row>
    <row r="9828">
      <c r="B9828" s="309"/>
      <c r="C9828" s="309"/>
      <c r="I9828" s="309"/>
      <c r="J9828" s="309"/>
    </row>
    <row r="9829">
      <c r="B9829" s="309"/>
      <c r="C9829" s="309"/>
      <c r="I9829" s="309"/>
      <c r="J9829" s="309"/>
    </row>
    <row r="9830">
      <c r="B9830" s="309"/>
      <c r="C9830" s="309"/>
      <c r="I9830" s="309"/>
      <c r="J9830" s="309"/>
    </row>
    <row r="9831">
      <c r="B9831" s="309"/>
      <c r="C9831" s="309"/>
      <c r="I9831" s="309"/>
      <c r="J9831" s="309"/>
    </row>
    <row r="9832">
      <c r="B9832" s="309"/>
      <c r="C9832" s="309"/>
      <c r="I9832" s="309"/>
      <c r="J9832" s="309"/>
    </row>
    <row r="9833">
      <c r="B9833" s="309"/>
      <c r="C9833" s="309"/>
      <c r="I9833" s="309"/>
      <c r="J9833" s="309"/>
    </row>
    <row r="9834">
      <c r="B9834" s="309"/>
      <c r="C9834" s="309"/>
      <c r="I9834" s="309"/>
      <c r="J9834" s="309"/>
    </row>
    <row r="9835">
      <c r="B9835" s="309"/>
      <c r="C9835" s="309"/>
      <c r="I9835" s="309"/>
      <c r="J9835" s="309"/>
    </row>
    <row r="9836">
      <c r="B9836" s="309"/>
      <c r="C9836" s="309"/>
      <c r="I9836" s="309"/>
      <c r="J9836" s="309"/>
    </row>
    <row r="9837">
      <c r="B9837" s="309"/>
      <c r="C9837" s="309"/>
      <c r="I9837" s="309"/>
      <c r="J9837" s="309"/>
    </row>
    <row r="9838">
      <c r="B9838" s="309"/>
      <c r="C9838" s="309"/>
      <c r="I9838" s="309"/>
      <c r="J9838" s="309"/>
    </row>
    <row r="9839">
      <c r="B9839" s="309"/>
      <c r="C9839" s="309"/>
      <c r="I9839" s="309"/>
      <c r="J9839" s="309"/>
    </row>
    <row r="9840">
      <c r="B9840" s="309"/>
      <c r="C9840" s="309"/>
      <c r="I9840" s="309"/>
      <c r="J9840" s="309"/>
    </row>
    <row r="9841">
      <c r="B9841" s="309"/>
      <c r="C9841" s="309"/>
      <c r="I9841" s="309"/>
      <c r="J9841" s="309"/>
    </row>
    <row r="9842">
      <c r="B9842" s="309"/>
      <c r="C9842" s="309"/>
      <c r="I9842" s="309"/>
      <c r="J9842" s="309"/>
    </row>
    <row r="9843">
      <c r="B9843" s="309"/>
      <c r="C9843" s="309"/>
      <c r="I9843" s="309"/>
      <c r="J9843" s="309"/>
    </row>
    <row r="9844">
      <c r="B9844" s="309"/>
      <c r="C9844" s="309"/>
      <c r="I9844" s="309"/>
      <c r="J9844" s="309"/>
    </row>
    <row r="9845">
      <c r="B9845" s="309"/>
      <c r="C9845" s="309"/>
      <c r="I9845" s="309"/>
      <c r="J9845" s="309"/>
    </row>
    <row r="9846">
      <c r="B9846" s="309"/>
      <c r="C9846" s="309"/>
      <c r="I9846" s="309"/>
      <c r="J9846" s="309"/>
    </row>
    <row r="9847">
      <c r="B9847" s="309"/>
      <c r="C9847" s="309"/>
      <c r="I9847" s="309"/>
      <c r="J9847" s="309"/>
    </row>
    <row r="9848">
      <c r="B9848" s="309"/>
      <c r="C9848" s="309"/>
      <c r="I9848" s="309"/>
      <c r="J9848" s="309"/>
    </row>
    <row r="9849">
      <c r="B9849" s="309"/>
      <c r="C9849" s="309"/>
      <c r="I9849" s="309"/>
      <c r="J9849" s="309"/>
    </row>
    <row r="9850">
      <c r="B9850" s="309"/>
      <c r="C9850" s="309"/>
      <c r="I9850" s="309"/>
      <c r="J9850" s="309"/>
    </row>
    <row r="9851">
      <c r="B9851" s="309"/>
      <c r="C9851" s="309"/>
      <c r="I9851" s="309"/>
      <c r="J9851" s="309"/>
    </row>
    <row r="9852">
      <c r="B9852" s="309"/>
      <c r="C9852" s="309"/>
      <c r="I9852" s="309"/>
      <c r="J9852" s="309"/>
    </row>
    <row r="9853">
      <c r="B9853" s="309"/>
      <c r="C9853" s="309"/>
      <c r="I9853" s="309"/>
      <c r="J9853" s="309"/>
    </row>
    <row r="9854">
      <c r="B9854" s="309"/>
      <c r="C9854" s="309"/>
      <c r="I9854" s="309"/>
      <c r="J9854" s="309"/>
    </row>
    <row r="9855">
      <c r="B9855" s="309"/>
      <c r="C9855" s="309"/>
      <c r="I9855" s="309"/>
      <c r="J9855" s="309"/>
    </row>
    <row r="9856">
      <c r="B9856" s="309"/>
      <c r="C9856" s="309"/>
      <c r="I9856" s="309"/>
      <c r="J9856" s="309"/>
    </row>
    <row r="9857">
      <c r="B9857" s="309"/>
      <c r="C9857" s="309"/>
      <c r="I9857" s="309"/>
      <c r="J9857" s="309"/>
    </row>
    <row r="9858">
      <c r="B9858" s="309"/>
      <c r="C9858" s="309"/>
      <c r="I9858" s="309"/>
      <c r="J9858" s="309"/>
    </row>
    <row r="9859">
      <c r="B9859" s="309"/>
      <c r="C9859" s="309"/>
      <c r="I9859" s="309"/>
      <c r="J9859" s="309"/>
    </row>
    <row r="9860">
      <c r="B9860" s="309"/>
      <c r="C9860" s="309"/>
      <c r="I9860" s="309"/>
      <c r="J9860" s="309"/>
    </row>
    <row r="9861">
      <c r="B9861" s="309"/>
      <c r="C9861" s="309"/>
      <c r="I9861" s="309"/>
      <c r="J9861" s="309"/>
    </row>
    <row r="9862">
      <c r="B9862" s="309"/>
      <c r="C9862" s="309"/>
      <c r="I9862" s="309"/>
      <c r="J9862" s="309"/>
    </row>
    <row r="9863">
      <c r="B9863" s="309"/>
      <c r="C9863" s="309"/>
      <c r="I9863" s="309"/>
      <c r="J9863" s="309"/>
    </row>
    <row r="9864">
      <c r="B9864" s="309"/>
      <c r="C9864" s="309"/>
      <c r="I9864" s="309"/>
      <c r="J9864" s="309"/>
    </row>
    <row r="9865">
      <c r="B9865" s="309"/>
      <c r="C9865" s="309"/>
      <c r="I9865" s="309"/>
      <c r="J9865" s="309"/>
    </row>
    <row r="9866">
      <c r="B9866" s="309"/>
      <c r="C9866" s="309"/>
      <c r="I9866" s="309"/>
      <c r="J9866" s="309"/>
    </row>
    <row r="9867">
      <c r="B9867" s="309"/>
      <c r="C9867" s="309"/>
      <c r="I9867" s="309"/>
      <c r="J9867" s="309"/>
    </row>
    <row r="9868">
      <c r="B9868" s="309"/>
      <c r="C9868" s="309"/>
      <c r="I9868" s="309"/>
      <c r="J9868" s="309"/>
    </row>
    <row r="9869">
      <c r="B9869" s="309"/>
      <c r="C9869" s="309"/>
      <c r="I9869" s="309"/>
      <c r="J9869" s="309"/>
    </row>
    <row r="9870">
      <c r="B9870" s="309"/>
      <c r="C9870" s="309"/>
      <c r="I9870" s="309"/>
      <c r="J9870" s="309"/>
    </row>
    <row r="9871">
      <c r="B9871" s="309"/>
      <c r="C9871" s="309"/>
      <c r="I9871" s="309"/>
      <c r="J9871" s="309"/>
    </row>
    <row r="9872">
      <c r="B9872" s="309"/>
      <c r="C9872" s="309"/>
      <c r="I9872" s="309"/>
      <c r="J9872" s="309"/>
    </row>
    <row r="9873">
      <c r="B9873" s="309"/>
      <c r="C9873" s="309"/>
      <c r="I9873" s="309"/>
      <c r="J9873" s="309"/>
    </row>
    <row r="9874">
      <c r="B9874" s="309"/>
      <c r="C9874" s="309"/>
      <c r="I9874" s="309"/>
      <c r="J9874" s="309"/>
    </row>
    <row r="9875">
      <c r="B9875" s="309"/>
      <c r="C9875" s="309"/>
      <c r="I9875" s="309"/>
      <c r="J9875" s="309"/>
    </row>
    <row r="9876">
      <c r="B9876" s="309"/>
      <c r="C9876" s="309"/>
      <c r="I9876" s="309"/>
      <c r="J9876" s="309"/>
    </row>
    <row r="9877">
      <c r="B9877" s="309"/>
      <c r="C9877" s="309"/>
      <c r="I9877" s="309"/>
      <c r="J9877" s="309"/>
    </row>
    <row r="9878">
      <c r="B9878" s="309"/>
      <c r="C9878" s="309"/>
      <c r="I9878" s="309"/>
      <c r="J9878" s="309"/>
    </row>
    <row r="9879">
      <c r="B9879" s="309"/>
      <c r="C9879" s="309"/>
      <c r="I9879" s="309"/>
      <c r="J9879" s="309"/>
    </row>
    <row r="9880">
      <c r="B9880" s="309"/>
      <c r="C9880" s="309"/>
      <c r="I9880" s="309"/>
      <c r="J9880" s="309"/>
    </row>
    <row r="9881">
      <c r="B9881" s="309"/>
      <c r="C9881" s="309"/>
      <c r="I9881" s="309"/>
      <c r="J9881" s="309"/>
    </row>
    <row r="9882">
      <c r="B9882" s="309"/>
      <c r="C9882" s="309"/>
      <c r="I9882" s="309"/>
      <c r="J9882" s="309"/>
    </row>
    <row r="9883">
      <c r="B9883" s="309"/>
      <c r="C9883" s="309"/>
      <c r="I9883" s="309"/>
      <c r="J9883" s="309"/>
    </row>
    <row r="9884">
      <c r="B9884" s="309"/>
      <c r="C9884" s="309"/>
      <c r="I9884" s="309"/>
      <c r="J9884" s="309"/>
    </row>
    <row r="9885">
      <c r="B9885" s="309"/>
      <c r="C9885" s="309"/>
      <c r="I9885" s="309"/>
      <c r="J9885" s="309"/>
    </row>
    <row r="9886">
      <c r="B9886" s="309"/>
      <c r="C9886" s="309"/>
      <c r="I9886" s="309"/>
      <c r="J9886" s="309"/>
    </row>
    <row r="9887">
      <c r="B9887" s="309"/>
      <c r="C9887" s="309"/>
      <c r="I9887" s="309"/>
      <c r="J9887" s="309"/>
    </row>
    <row r="9888">
      <c r="B9888" s="309"/>
      <c r="C9888" s="309"/>
      <c r="I9888" s="309"/>
      <c r="J9888" s="309"/>
    </row>
    <row r="9889">
      <c r="B9889" s="309"/>
      <c r="C9889" s="309"/>
      <c r="I9889" s="309"/>
      <c r="J9889" s="309"/>
    </row>
    <row r="9890">
      <c r="B9890" s="309"/>
      <c r="C9890" s="309"/>
      <c r="I9890" s="309"/>
      <c r="J9890" s="309"/>
    </row>
    <row r="9891">
      <c r="B9891" s="309"/>
      <c r="C9891" s="309"/>
      <c r="I9891" s="309"/>
      <c r="J9891" s="309"/>
    </row>
    <row r="9892">
      <c r="B9892" s="309"/>
      <c r="C9892" s="309"/>
      <c r="I9892" s="309"/>
      <c r="J9892" s="309"/>
    </row>
    <row r="9893">
      <c r="B9893" s="309"/>
      <c r="C9893" s="309"/>
      <c r="I9893" s="309"/>
      <c r="J9893" s="309"/>
    </row>
    <row r="9894">
      <c r="B9894" s="309"/>
      <c r="C9894" s="309"/>
      <c r="I9894" s="309"/>
      <c r="J9894" s="309"/>
    </row>
    <row r="9895">
      <c r="B9895" s="309"/>
      <c r="C9895" s="309"/>
      <c r="I9895" s="309"/>
      <c r="J9895" s="309"/>
    </row>
    <row r="9896">
      <c r="B9896" s="309"/>
      <c r="C9896" s="309"/>
      <c r="I9896" s="309"/>
      <c r="J9896" s="309"/>
    </row>
    <row r="9897">
      <c r="B9897" s="309"/>
      <c r="C9897" s="309"/>
      <c r="I9897" s="309"/>
      <c r="J9897" s="309"/>
    </row>
    <row r="9898">
      <c r="B9898" s="309"/>
      <c r="C9898" s="309"/>
      <c r="I9898" s="309"/>
      <c r="J9898" s="309"/>
    </row>
    <row r="9899">
      <c r="B9899" s="309"/>
      <c r="C9899" s="309"/>
      <c r="I9899" s="309"/>
      <c r="J9899" s="309"/>
    </row>
    <row r="9900">
      <c r="B9900" s="309"/>
      <c r="C9900" s="309"/>
      <c r="I9900" s="309"/>
      <c r="J9900" s="309"/>
    </row>
    <row r="9901">
      <c r="B9901" s="309"/>
      <c r="C9901" s="309"/>
      <c r="I9901" s="309"/>
      <c r="J9901" s="309"/>
    </row>
    <row r="9902">
      <c r="B9902" s="309"/>
      <c r="C9902" s="309"/>
      <c r="I9902" s="309"/>
      <c r="J9902" s="309"/>
    </row>
    <row r="9903">
      <c r="B9903" s="309"/>
      <c r="C9903" s="309"/>
      <c r="I9903" s="309"/>
      <c r="J9903" s="309"/>
    </row>
    <row r="9904">
      <c r="B9904" s="309"/>
      <c r="C9904" s="309"/>
      <c r="I9904" s="309"/>
      <c r="J9904" s="309"/>
    </row>
    <row r="9905">
      <c r="B9905" s="309"/>
      <c r="C9905" s="309"/>
      <c r="I9905" s="309"/>
      <c r="J9905" s="309"/>
    </row>
    <row r="9906">
      <c r="B9906" s="309"/>
      <c r="C9906" s="309"/>
      <c r="I9906" s="309"/>
      <c r="J9906" s="309"/>
    </row>
    <row r="9907">
      <c r="B9907" s="309"/>
      <c r="C9907" s="309"/>
      <c r="I9907" s="309"/>
      <c r="J9907" s="309"/>
    </row>
    <row r="9908">
      <c r="B9908" s="309"/>
      <c r="C9908" s="309"/>
      <c r="I9908" s="309"/>
      <c r="J9908" s="309"/>
    </row>
    <row r="9909">
      <c r="B9909" s="309"/>
      <c r="C9909" s="309"/>
      <c r="I9909" s="309"/>
      <c r="J9909" s="309"/>
    </row>
    <row r="9910">
      <c r="B9910" s="309"/>
      <c r="C9910" s="309"/>
      <c r="I9910" s="309"/>
      <c r="J9910" s="309"/>
    </row>
    <row r="9911">
      <c r="B9911" s="309"/>
      <c r="C9911" s="309"/>
      <c r="I9911" s="309"/>
      <c r="J9911" s="309"/>
    </row>
    <row r="9912">
      <c r="B9912" s="309"/>
      <c r="C9912" s="309"/>
      <c r="I9912" s="309"/>
      <c r="J9912" s="309"/>
    </row>
    <row r="9913">
      <c r="B9913" s="309"/>
      <c r="C9913" s="309"/>
      <c r="I9913" s="309"/>
      <c r="J9913" s="309"/>
    </row>
    <row r="9914">
      <c r="B9914" s="309"/>
      <c r="C9914" s="309"/>
      <c r="I9914" s="309"/>
      <c r="J9914" s="309"/>
    </row>
    <row r="9915">
      <c r="B9915" s="309"/>
      <c r="C9915" s="309"/>
      <c r="I9915" s="309"/>
      <c r="J9915" s="309"/>
    </row>
    <row r="9916">
      <c r="B9916" s="309"/>
      <c r="C9916" s="309"/>
      <c r="I9916" s="309"/>
      <c r="J9916" s="309"/>
    </row>
    <row r="9917">
      <c r="B9917" s="309"/>
      <c r="C9917" s="309"/>
      <c r="I9917" s="309"/>
      <c r="J9917" s="309"/>
    </row>
    <row r="9918">
      <c r="B9918" s="309"/>
      <c r="C9918" s="309"/>
      <c r="I9918" s="309"/>
      <c r="J9918" s="309"/>
    </row>
    <row r="9919">
      <c r="B9919" s="309"/>
      <c r="C9919" s="309"/>
      <c r="I9919" s="309"/>
      <c r="J9919" s="309"/>
    </row>
    <row r="9920">
      <c r="B9920" s="309"/>
      <c r="C9920" s="309"/>
      <c r="I9920" s="309"/>
      <c r="J9920" s="309"/>
    </row>
    <row r="9921">
      <c r="B9921" s="309"/>
      <c r="C9921" s="309"/>
      <c r="I9921" s="309"/>
      <c r="J9921" s="309"/>
    </row>
    <row r="9922">
      <c r="B9922" s="309"/>
      <c r="C9922" s="309"/>
      <c r="I9922" s="309"/>
      <c r="J9922" s="309"/>
    </row>
    <row r="9923">
      <c r="B9923" s="309"/>
      <c r="C9923" s="309"/>
      <c r="I9923" s="309"/>
      <c r="J9923" s="309"/>
    </row>
    <row r="9924">
      <c r="B9924" s="309"/>
      <c r="C9924" s="309"/>
      <c r="I9924" s="309"/>
      <c r="J9924" s="309"/>
    </row>
    <row r="9925">
      <c r="B9925" s="309"/>
      <c r="C9925" s="309"/>
      <c r="I9925" s="309"/>
      <c r="J9925" s="309"/>
    </row>
    <row r="9926">
      <c r="B9926" s="309"/>
      <c r="C9926" s="309"/>
      <c r="I9926" s="309"/>
      <c r="J9926" s="309"/>
    </row>
    <row r="9927">
      <c r="B9927" s="309"/>
      <c r="C9927" s="309"/>
      <c r="I9927" s="309"/>
      <c r="J9927" s="309"/>
    </row>
    <row r="9928">
      <c r="B9928" s="309"/>
      <c r="C9928" s="309"/>
      <c r="I9928" s="309"/>
      <c r="J9928" s="309"/>
    </row>
    <row r="9929">
      <c r="B9929" s="309"/>
      <c r="C9929" s="309"/>
      <c r="I9929" s="309"/>
      <c r="J9929" s="309"/>
    </row>
    <row r="9930">
      <c r="B9930" s="309"/>
      <c r="C9930" s="309"/>
      <c r="I9930" s="309"/>
      <c r="J9930" s="309"/>
    </row>
    <row r="9931">
      <c r="B9931" s="309"/>
      <c r="C9931" s="309"/>
      <c r="I9931" s="309"/>
      <c r="J9931" s="309"/>
    </row>
    <row r="9932">
      <c r="B9932" s="309"/>
      <c r="C9932" s="309"/>
      <c r="I9932" s="309"/>
      <c r="J9932" s="309"/>
    </row>
    <row r="9933">
      <c r="B9933" s="309"/>
      <c r="C9933" s="309"/>
      <c r="I9933" s="309"/>
      <c r="J9933" s="309"/>
    </row>
    <row r="9934">
      <c r="B9934" s="309"/>
      <c r="C9934" s="309"/>
      <c r="I9934" s="309"/>
      <c r="J9934" s="309"/>
    </row>
    <row r="9935">
      <c r="B9935" s="309"/>
      <c r="C9935" s="309"/>
      <c r="I9935" s="309"/>
      <c r="J9935" s="309"/>
    </row>
    <row r="9936">
      <c r="B9936" s="309"/>
      <c r="C9936" s="309"/>
      <c r="I9936" s="309"/>
      <c r="J9936" s="309"/>
    </row>
    <row r="9937">
      <c r="B9937" s="309"/>
      <c r="C9937" s="309"/>
      <c r="I9937" s="309"/>
      <c r="J9937" s="309"/>
    </row>
    <row r="9938">
      <c r="B9938" s="309"/>
      <c r="C9938" s="309"/>
      <c r="I9938" s="309"/>
      <c r="J9938" s="309"/>
    </row>
    <row r="9939">
      <c r="B9939" s="309"/>
      <c r="C9939" s="309"/>
      <c r="I9939" s="309"/>
      <c r="J9939" s="309"/>
    </row>
    <row r="9940">
      <c r="B9940" s="309"/>
      <c r="C9940" s="309"/>
      <c r="I9940" s="309"/>
      <c r="J9940" s="309"/>
    </row>
    <row r="9941">
      <c r="B9941" s="309"/>
      <c r="C9941" s="309"/>
      <c r="I9941" s="309"/>
      <c r="J9941" s="309"/>
    </row>
    <row r="9942">
      <c r="B9942" s="309"/>
      <c r="C9942" s="309"/>
      <c r="I9942" s="309"/>
      <c r="J9942" s="309"/>
    </row>
    <row r="9943">
      <c r="B9943" s="309"/>
      <c r="C9943" s="309"/>
      <c r="I9943" s="309"/>
      <c r="J9943" s="309"/>
    </row>
    <row r="9944">
      <c r="B9944" s="309"/>
      <c r="C9944" s="309"/>
      <c r="I9944" s="309"/>
      <c r="J9944" s="309"/>
    </row>
    <row r="9945">
      <c r="B9945" s="309"/>
      <c r="C9945" s="309"/>
      <c r="I9945" s="309"/>
      <c r="J9945" s="309"/>
    </row>
    <row r="9946">
      <c r="B9946" s="309"/>
      <c r="C9946" s="309"/>
      <c r="I9946" s="309"/>
      <c r="J9946" s="309"/>
    </row>
    <row r="9947">
      <c r="B9947" s="309"/>
      <c r="C9947" s="309"/>
      <c r="I9947" s="309"/>
      <c r="J9947" s="309"/>
    </row>
    <row r="9948">
      <c r="B9948" s="309"/>
      <c r="C9948" s="309"/>
      <c r="I9948" s="309"/>
      <c r="J9948" s="309"/>
    </row>
    <row r="9949">
      <c r="B9949" s="309"/>
      <c r="C9949" s="309"/>
      <c r="I9949" s="309"/>
      <c r="J9949" s="309"/>
    </row>
    <row r="9950">
      <c r="B9950" s="309"/>
      <c r="C9950" s="309"/>
      <c r="I9950" s="309"/>
      <c r="J9950" s="309"/>
    </row>
    <row r="9951">
      <c r="B9951" s="309"/>
      <c r="C9951" s="309"/>
      <c r="I9951" s="309"/>
      <c r="J9951" s="309"/>
    </row>
    <row r="9952">
      <c r="B9952" s="309"/>
      <c r="C9952" s="309"/>
      <c r="I9952" s="309"/>
      <c r="J9952" s="309"/>
    </row>
    <row r="9953">
      <c r="B9953" s="309"/>
      <c r="C9953" s="309"/>
      <c r="I9953" s="309"/>
      <c r="J9953" s="309"/>
    </row>
    <row r="9954">
      <c r="B9954" s="309"/>
      <c r="C9954" s="309"/>
      <c r="I9954" s="309"/>
      <c r="J9954" s="309"/>
    </row>
    <row r="9955">
      <c r="B9955" s="309"/>
      <c r="C9955" s="309"/>
      <c r="I9955" s="309"/>
      <c r="J9955" s="309"/>
    </row>
    <row r="9956">
      <c r="B9956" s="309"/>
      <c r="C9956" s="309"/>
      <c r="I9956" s="309"/>
      <c r="J9956" s="309"/>
    </row>
    <row r="9957">
      <c r="B9957" s="309"/>
      <c r="C9957" s="309"/>
      <c r="I9957" s="309"/>
      <c r="J9957" s="309"/>
    </row>
    <row r="9958">
      <c r="B9958" s="309"/>
      <c r="C9958" s="309"/>
      <c r="I9958" s="309"/>
      <c r="J9958" s="309"/>
    </row>
    <row r="9959">
      <c r="B9959" s="309"/>
      <c r="C9959" s="309"/>
      <c r="I9959" s="309"/>
      <c r="J9959" s="309"/>
    </row>
    <row r="9960">
      <c r="B9960" s="309"/>
      <c r="C9960" s="309"/>
      <c r="I9960" s="309"/>
      <c r="J9960" s="309"/>
    </row>
    <row r="9961">
      <c r="B9961" s="309"/>
      <c r="C9961" s="309"/>
      <c r="I9961" s="309"/>
      <c r="J9961" s="309"/>
    </row>
    <row r="9962">
      <c r="B9962" s="309"/>
      <c r="C9962" s="309"/>
      <c r="I9962" s="309"/>
      <c r="J9962" s="309"/>
    </row>
    <row r="9963">
      <c r="B9963" s="309"/>
      <c r="C9963" s="309"/>
      <c r="I9963" s="309"/>
      <c r="J9963" s="309"/>
    </row>
    <row r="9964">
      <c r="B9964" s="309"/>
      <c r="C9964" s="309"/>
      <c r="I9964" s="309"/>
      <c r="J9964" s="309"/>
    </row>
    <row r="9965">
      <c r="B9965" s="309"/>
      <c r="C9965" s="309"/>
      <c r="I9965" s="309"/>
      <c r="J9965" s="309"/>
    </row>
    <row r="9966">
      <c r="B9966" s="309"/>
      <c r="C9966" s="309"/>
      <c r="I9966" s="309"/>
      <c r="J9966" s="309"/>
    </row>
    <row r="9967">
      <c r="B9967" s="309"/>
      <c r="C9967" s="309"/>
      <c r="I9967" s="309"/>
      <c r="J9967" s="309"/>
    </row>
    <row r="9968">
      <c r="B9968" s="309"/>
      <c r="C9968" s="309"/>
      <c r="I9968" s="309"/>
      <c r="J9968" s="309"/>
    </row>
    <row r="9969">
      <c r="B9969" s="309"/>
      <c r="C9969" s="309"/>
      <c r="I9969" s="309"/>
      <c r="J9969" s="309"/>
    </row>
    <row r="9970">
      <c r="B9970" s="309"/>
      <c r="C9970" s="309"/>
      <c r="I9970" s="309"/>
      <c r="J9970" s="309"/>
    </row>
    <row r="9971">
      <c r="B9971" s="309"/>
      <c r="C9971" s="309"/>
      <c r="I9971" s="309"/>
      <c r="J9971" s="309"/>
    </row>
    <row r="9972">
      <c r="B9972" s="309"/>
      <c r="C9972" s="309"/>
      <c r="I9972" s="309"/>
      <c r="J9972" s="309"/>
    </row>
    <row r="9973">
      <c r="B9973" s="309"/>
      <c r="C9973" s="309"/>
      <c r="I9973" s="309"/>
      <c r="J9973" s="309"/>
    </row>
    <row r="9974">
      <c r="B9974" s="309"/>
      <c r="C9974" s="309"/>
      <c r="I9974" s="309"/>
      <c r="J9974" s="309"/>
    </row>
    <row r="9975">
      <c r="B9975" s="309"/>
      <c r="C9975" s="309"/>
      <c r="I9975" s="309"/>
      <c r="J9975" s="309"/>
    </row>
    <row r="9976">
      <c r="B9976" s="309"/>
      <c r="C9976" s="309"/>
      <c r="I9976" s="309"/>
      <c r="J9976" s="309"/>
    </row>
    <row r="9977">
      <c r="B9977" s="309"/>
      <c r="C9977" s="309"/>
      <c r="I9977" s="309"/>
      <c r="J9977" s="309"/>
    </row>
    <row r="9978">
      <c r="B9978" s="309"/>
      <c r="C9978" s="309"/>
      <c r="I9978" s="309"/>
      <c r="J9978" s="309"/>
    </row>
    <row r="9979">
      <c r="B9979" s="309"/>
      <c r="C9979" s="309"/>
      <c r="I9979" s="309"/>
      <c r="J9979" s="309"/>
    </row>
    <row r="9980">
      <c r="B9980" s="309"/>
      <c r="C9980" s="309"/>
      <c r="I9980" s="309"/>
      <c r="J9980" s="309"/>
    </row>
    <row r="9981">
      <c r="B9981" s="309"/>
      <c r="C9981" s="309"/>
      <c r="I9981" s="309"/>
      <c r="J9981" s="309"/>
    </row>
    <row r="9982">
      <c r="B9982" s="309"/>
      <c r="C9982" s="309"/>
      <c r="I9982" s="309"/>
      <c r="J9982" s="309"/>
    </row>
    <row r="9983">
      <c r="B9983" s="309"/>
      <c r="C9983" s="309"/>
      <c r="I9983" s="309"/>
      <c r="J9983" s="309"/>
    </row>
    <row r="9984">
      <c r="B9984" s="309"/>
      <c r="C9984" s="309"/>
      <c r="I9984" s="309"/>
      <c r="J9984" s="309"/>
    </row>
    <row r="9985">
      <c r="B9985" s="309"/>
      <c r="C9985" s="309"/>
      <c r="I9985" s="309"/>
      <c r="J9985" s="309"/>
    </row>
    <row r="9986">
      <c r="B9986" s="309"/>
      <c r="C9986" s="309"/>
      <c r="I9986" s="309"/>
      <c r="J9986" s="309"/>
    </row>
    <row r="9987">
      <c r="B9987" s="309"/>
      <c r="C9987" s="309"/>
      <c r="I9987" s="309"/>
      <c r="J9987" s="309"/>
    </row>
    <row r="9988">
      <c r="B9988" s="309"/>
      <c r="C9988" s="309"/>
      <c r="I9988" s="309"/>
      <c r="J9988" s="309"/>
    </row>
    <row r="9989">
      <c r="B9989" s="309"/>
      <c r="C9989" s="309"/>
      <c r="I9989" s="309"/>
      <c r="J9989" s="309"/>
    </row>
    <row r="9990">
      <c r="B9990" s="309"/>
      <c r="C9990" s="309"/>
      <c r="I9990" s="309"/>
      <c r="J9990" s="309"/>
    </row>
    <row r="9991">
      <c r="B9991" s="309"/>
      <c r="C9991" s="309"/>
      <c r="I9991" s="309"/>
      <c r="J9991" s="309"/>
    </row>
    <row r="9992">
      <c r="B9992" s="309"/>
      <c r="C9992" s="309"/>
      <c r="I9992" s="309"/>
      <c r="J9992" s="309"/>
    </row>
    <row r="9993">
      <c r="B9993" s="309"/>
      <c r="C9993" s="309"/>
      <c r="I9993" s="309"/>
      <c r="J9993" s="309"/>
    </row>
    <row r="9994">
      <c r="B9994" s="309"/>
      <c r="C9994" s="309"/>
      <c r="I9994" s="309"/>
      <c r="J9994" s="309"/>
    </row>
    <row r="9995">
      <c r="B9995" s="309"/>
      <c r="C9995" s="309"/>
      <c r="I9995" s="309"/>
      <c r="J9995" s="309"/>
    </row>
    <row r="9996">
      <c r="B9996" s="309"/>
      <c r="C9996" s="309"/>
      <c r="I9996" s="309"/>
      <c r="J9996" s="309"/>
    </row>
    <row r="9997">
      <c r="B9997" s="309"/>
      <c r="C9997" s="309"/>
      <c r="I9997" s="309"/>
      <c r="J9997" s="309"/>
    </row>
    <row r="9998">
      <c r="B9998" s="309"/>
      <c r="C9998" s="309"/>
      <c r="I9998" s="309"/>
      <c r="J9998" s="309"/>
    </row>
    <row r="9999">
      <c r="B9999" s="309"/>
      <c r="C9999" s="309"/>
      <c r="I9999" s="309"/>
      <c r="J9999" s="309"/>
    </row>
    <row r="10000">
      <c r="B10000" s="309"/>
      <c r="C10000" s="309"/>
      <c r="I10000" s="309"/>
      <c r="J10000" s="309"/>
    </row>
    <row r="10001">
      <c r="B10001" s="309"/>
      <c r="C10001" s="309"/>
      <c r="I10001" s="309"/>
      <c r="J10001" s="309"/>
    </row>
    <row r="10002">
      <c r="B10002" s="309"/>
      <c r="C10002" s="309"/>
      <c r="I10002" s="309"/>
      <c r="J10002" s="309"/>
    </row>
    <row r="10003">
      <c r="B10003" s="309"/>
      <c r="C10003" s="309"/>
      <c r="I10003" s="309"/>
      <c r="J10003" s="309"/>
    </row>
    <row r="10004">
      <c r="B10004" s="309"/>
      <c r="C10004" s="309"/>
      <c r="I10004" s="309"/>
      <c r="J10004" s="309"/>
    </row>
    <row r="10005">
      <c r="B10005" s="309"/>
      <c r="C10005" s="309"/>
      <c r="I10005" s="309"/>
      <c r="J10005" s="309"/>
    </row>
    <row r="10006">
      <c r="B10006" s="309"/>
      <c r="C10006" s="309"/>
      <c r="I10006" s="309"/>
      <c r="J10006" s="309"/>
    </row>
    <row r="10007">
      <c r="B10007" s="309"/>
      <c r="C10007" s="309"/>
      <c r="I10007" s="309"/>
      <c r="J10007" s="309"/>
    </row>
    <row r="10008">
      <c r="B10008" s="309"/>
      <c r="C10008" s="309"/>
      <c r="I10008" s="309"/>
      <c r="J10008" s="309"/>
    </row>
    <row r="10009">
      <c r="B10009" s="309"/>
      <c r="C10009" s="309"/>
      <c r="I10009" s="309"/>
      <c r="J10009" s="309"/>
    </row>
    <row r="10010">
      <c r="B10010" s="309"/>
      <c r="C10010" s="309"/>
      <c r="I10010" s="309"/>
      <c r="J10010" s="309"/>
    </row>
    <row r="10011">
      <c r="B10011" s="309"/>
      <c r="C10011" s="309"/>
      <c r="I10011" s="309"/>
      <c r="J10011" s="309"/>
    </row>
    <row r="10012">
      <c r="B10012" s="309"/>
      <c r="C10012" s="309"/>
      <c r="I10012" s="309"/>
      <c r="J10012" s="309"/>
    </row>
    <row r="10013">
      <c r="B10013" s="309"/>
      <c r="C10013" s="309"/>
      <c r="I10013" s="309"/>
      <c r="J10013" s="309"/>
    </row>
    <row r="10014">
      <c r="B10014" s="309"/>
      <c r="C10014" s="309"/>
      <c r="I10014" s="309"/>
      <c r="J10014" s="309"/>
    </row>
    <row r="10015">
      <c r="B10015" s="309"/>
      <c r="C10015" s="309"/>
      <c r="I10015" s="309"/>
      <c r="J10015" s="309"/>
    </row>
    <row r="10016">
      <c r="B10016" s="309"/>
      <c r="C10016" s="309"/>
      <c r="I10016" s="309"/>
      <c r="J10016" s="309"/>
    </row>
    <row r="10017">
      <c r="B10017" s="309"/>
      <c r="C10017" s="309"/>
      <c r="I10017" s="309"/>
      <c r="J10017" s="309"/>
    </row>
    <row r="10018">
      <c r="B10018" s="309"/>
      <c r="C10018" s="309"/>
      <c r="I10018" s="309"/>
      <c r="J10018" s="309"/>
    </row>
    <row r="10019">
      <c r="B10019" s="309"/>
      <c r="C10019" s="309"/>
      <c r="I10019" s="309"/>
      <c r="J10019" s="309"/>
    </row>
    <row r="10020">
      <c r="B10020" s="309"/>
      <c r="C10020" s="309"/>
      <c r="I10020" s="309"/>
      <c r="J10020" s="309"/>
    </row>
    <row r="10021">
      <c r="B10021" s="309"/>
      <c r="C10021" s="309"/>
      <c r="I10021" s="309"/>
      <c r="J10021" s="309"/>
    </row>
    <row r="10022">
      <c r="B10022" s="309"/>
      <c r="C10022" s="309"/>
      <c r="I10022" s="309"/>
      <c r="J10022" s="309"/>
    </row>
    <row r="10023">
      <c r="B10023" s="309"/>
      <c r="C10023" s="309"/>
      <c r="I10023" s="309"/>
      <c r="J10023" s="309"/>
    </row>
    <row r="10024">
      <c r="B10024" s="309"/>
      <c r="C10024" s="309"/>
      <c r="I10024" s="309"/>
      <c r="J10024" s="309"/>
    </row>
    <row r="10025">
      <c r="B10025" s="309"/>
      <c r="C10025" s="309"/>
      <c r="I10025" s="309"/>
      <c r="J10025" s="309"/>
    </row>
    <row r="10026">
      <c r="B10026" s="309"/>
      <c r="C10026" s="309"/>
      <c r="I10026" s="309"/>
      <c r="J10026" s="309"/>
    </row>
    <row r="10027">
      <c r="B10027" s="309"/>
      <c r="C10027" s="309"/>
      <c r="I10027" s="309"/>
      <c r="J10027" s="309"/>
    </row>
    <row r="10028">
      <c r="B10028" s="309"/>
      <c r="C10028" s="309"/>
      <c r="I10028" s="309"/>
      <c r="J10028" s="309"/>
    </row>
    <row r="10029">
      <c r="B10029" s="309"/>
      <c r="C10029" s="309"/>
      <c r="I10029" s="309"/>
      <c r="J10029" s="309"/>
    </row>
    <row r="10030">
      <c r="B10030" s="309"/>
      <c r="C10030" s="309"/>
      <c r="I10030" s="309"/>
      <c r="J10030" s="309"/>
    </row>
    <row r="10031">
      <c r="B10031" s="309"/>
      <c r="C10031" s="309"/>
      <c r="I10031" s="309"/>
      <c r="J10031" s="309"/>
    </row>
    <row r="10032">
      <c r="B10032" s="309"/>
      <c r="C10032" s="309"/>
      <c r="I10032" s="309"/>
      <c r="J10032" s="309"/>
    </row>
    <row r="10033">
      <c r="B10033" s="309"/>
      <c r="C10033" s="309"/>
      <c r="I10033" s="309"/>
      <c r="J10033" s="309"/>
    </row>
    <row r="10034">
      <c r="B10034" s="309"/>
      <c r="C10034" s="309"/>
      <c r="I10034" s="309"/>
      <c r="J10034" s="309"/>
    </row>
    <row r="10035">
      <c r="B10035" s="309"/>
      <c r="C10035" s="309"/>
      <c r="I10035" s="309"/>
      <c r="J10035" s="309"/>
    </row>
    <row r="10036">
      <c r="B10036" s="309"/>
      <c r="C10036" s="309"/>
      <c r="I10036" s="309"/>
      <c r="J10036" s="309"/>
    </row>
    <row r="10037">
      <c r="B10037" s="309"/>
      <c r="C10037" s="309"/>
      <c r="I10037" s="309"/>
      <c r="J10037" s="309"/>
    </row>
    <row r="10038">
      <c r="B10038" s="309"/>
      <c r="C10038" s="309"/>
      <c r="I10038" s="309"/>
      <c r="J10038" s="309"/>
    </row>
    <row r="10039">
      <c r="B10039" s="309"/>
      <c r="C10039" s="309"/>
      <c r="I10039" s="309"/>
      <c r="J10039" s="309"/>
    </row>
    <row r="10040">
      <c r="B10040" s="309"/>
      <c r="C10040" s="309"/>
      <c r="I10040" s="309"/>
      <c r="J10040" s="309"/>
    </row>
    <row r="10041">
      <c r="B10041" s="309"/>
      <c r="C10041" s="309"/>
      <c r="I10041" s="309"/>
      <c r="J10041" s="309"/>
    </row>
    <row r="10042">
      <c r="B10042" s="309"/>
      <c r="C10042" s="309"/>
      <c r="I10042" s="309"/>
      <c r="J10042" s="309"/>
    </row>
    <row r="10043">
      <c r="B10043" s="309"/>
      <c r="C10043" s="309"/>
      <c r="I10043" s="309"/>
      <c r="J10043" s="309"/>
    </row>
    <row r="10044">
      <c r="B10044" s="309"/>
      <c r="C10044" s="309"/>
      <c r="I10044" s="309"/>
      <c r="J10044" s="309"/>
    </row>
    <row r="10045">
      <c r="B10045" s="309"/>
      <c r="C10045" s="309"/>
      <c r="I10045" s="309"/>
      <c r="J10045" s="309"/>
    </row>
    <row r="10046">
      <c r="B10046" s="309"/>
      <c r="C10046" s="309"/>
      <c r="I10046" s="309"/>
      <c r="J10046" s="309"/>
    </row>
    <row r="10047">
      <c r="B10047" s="309"/>
      <c r="C10047" s="309"/>
      <c r="I10047" s="309"/>
      <c r="J10047" s="309"/>
    </row>
    <row r="10048">
      <c r="B10048" s="309"/>
      <c r="C10048" s="309"/>
      <c r="I10048" s="309"/>
      <c r="J10048" s="309"/>
    </row>
    <row r="10049">
      <c r="B10049" s="309"/>
      <c r="C10049" s="309"/>
      <c r="I10049" s="309"/>
      <c r="J10049" s="309"/>
    </row>
    <row r="10050">
      <c r="B10050" s="309"/>
      <c r="C10050" s="309"/>
      <c r="I10050" s="309"/>
      <c r="J10050" s="309"/>
    </row>
    <row r="10051">
      <c r="B10051" s="309"/>
      <c r="C10051" s="309"/>
      <c r="I10051" s="309"/>
      <c r="J10051" s="309"/>
    </row>
    <row r="10052">
      <c r="B10052" s="309"/>
      <c r="C10052" s="309"/>
      <c r="I10052" s="309"/>
      <c r="J10052" s="309"/>
    </row>
    <row r="10053">
      <c r="B10053" s="309"/>
      <c r="C10053" s="309"/>
      <c r="I10053" s="309"/>
      <c r="J10053" s="309"/>
    </row>
    <row r="10054">
      <c r="B10054" s="309"/>
      <c r="C10054" s="309"/>
      <c r="I10054" s="309"/>
      <c r="J10054" s="309"/>
    </row>
    <row r="10055">
      <c r="B10055" s="309"/>
      <c r="C10055" s="309"/>
      <c r="I10055" s="309"/>
      <c r="J10055" s="309"/>
    </row>
    <row r="10056">
      <c r="B10056" s="309"/>
      <c r="C10056" s="309"/>
      <c r="I10056" s="309"/>
      <c r="J10056" s="309"/>
    </row>
    <row r="10057">
      <c r="B10057" s="309"/>
      <c r="C10057" s="309"/>
      <c r="I10057" s="309"/>
      <c r="J10057" s="309"/>
    </row>
    <row r="10058">
      <c r="B10058" s="309"/>
      <c r="C10058" s="309"/>
      <c r="I10058" s="309"/>
      <c r="J10058" s="309"/>
    </row>
    <row r="10059">
      <c r="B10059" s="309"/>
      <c r="C10059" s="309"/>
      <c r="I10059" s="309"/>
      <c r="J10059" s="309"/>
    </row>
    <row r="10060">
      <c r="B10060" s="309"/>
      <c r="C10060" s="309"/>
      <c r="I10060" s="309"/>
      <c r="J10060" s="309"/>
    </row>
    <row r="10061">
      <c r="B10061" s="309"/>
      <c r="C10061" s="309"/>
      <c r="I10061" s="309"/>
      <c r="J10061" s="309"/>
    </row>
    <row r="10062">
      <c r="B10062" s="309"/>
      <c r="C10062" s="309"/>
      <c r="I10062" s="309"/>
      <c r="J10062" s="309"/>
    </row>
    <row r="10063">
      <c r="B10063" s="309"/>
      <c r="C10063" s="309"/>
      <c r="I10063" s="309"/>
      <c r="J10063" s="309"/>
    </row>
    <row r="10064">
      <c r="B10064" s="309"/>
      <c r="C10064" s="309"/>
      <c r="I10064" s="309"/>
      <c r="J10064" s="309"/>
    </row>
    <row r="10065">
      <c r="B10065" s="309"/>
      <c r="C10065" s="309"/>
      <c r="I10065" s="309"/>
      <c r="J10065" s="309"/>
    </row>
    <row r="10066">
      <c r="B10066" s="309"/>
      <c r="C10066" s="309"/>
      <c r="I10066" s="309"/>
      <c r="J10066" s="309"/>
    </row>
    <row r="10067">
      <c r="B10067" s="309"/>
      <c r="C10067" s="309"/>
      <c r="I10067" s="309"/>
      <c r="J10067" s="309"/>
    </row>
    <row r="10068">
      <c r="B10068" s="309"/>
      <c r="C10068" s="309"/>
      <c r="I10068" s="309"/>
      <c r="J10068" s="309"/>
    </row>
    <row r="10069">
      <c r="B10069" s="309"/>
      <c r="C10069" s="309"/>
      <c r="I10069" s="309"/>
      <c r="J10069" s="309"/>
    </row>
    <row r="10070">
      <c r="B10070" s="309"/>
      <c r="C10070" s="309"/>
      <c r="I10070" s="309"/>
      <c r="J10070" s="309"/>
    </row>
    <row r="10071">
      <c r="B10071" s="309"/>
      <c r="C10071" s="309"/>
      <c r="I10071" s="309"/>
      <c r="J10071" s="309"/>
    </row>
    <row r="10072">
      <c r="B10072" s="309"/>
      <c r="C10072" s="309"/>
      <c r="I10072" s="309"/>
      <c r="J10072" s="309"/>
    </row>
    <row r="10073">
      <c r="B10073" s="309"/>
      <c r="C10073" s="309"/>
      <c r="I10073" s="309"/>
      <c r="J10073" s="309"/>
    </row>
    <row r="10074">
      <c r="B10074" s="309"/>
      <c r="C10074" s="309"/>
      <c r="I10074" s="309"/>
      <c r="J10074" s="309"/>
    </row>
    <row r="10075">
      <c r="B10075" s="309"/>
      <c r="C10075" s="309"/>
      <c r="I10075" s="309"/>
      <c r="J10075" s="309"/>
    </row>
    <row r="10076">
      <c r="B10076" s="309"/>
      <c r="C10076" s="309"/>
      <c r="I10076" s="309"/>
      <c r="J10076" s="309"/>
    </row>
    <row r="10077">
      <c r="B10077" s="309"/>
      <c r="C10077" s="309"/>
      <c r="I10077" s="309"/>
      <c r="J10077" s="309"/>
    </row>
    <row r="10078">
      <c r="B10078" s="309"/>
      <c r="C10078" s="309"/>
      <c r="I10078" s="309"/>
      <c r="J10078" s="309"/>
    </row>
    <row r="10079">
      <c r="B10079" s="309"/>
      <c r="C10079" s="309"/>
      <c r="I10079" s="309"/>
      <c r="J10079" s="309"/>
    </row>
    <row r="10080">
      <c r="B10080" s="309"/>
      <c r="C10080" s="309"/>
      <c r="I10080" s="309"/>
      <c r="J10080" s="309"/>
    </row>
    <row r="10081">
      <c r="B10081" s="309"/>
      <c r="C10081" s="309"/>
      <c r="I10081" s="309"/>
      <c r="J10081" s="309"/>
    </row>
    <row r="10082">
      <c r="B10082" s="309"/>
      <c r="C10082" s="309"/>
      <c r="I10082" s="309"/>
      <c r="J10082" s="309"/>
    </row>
    <row r="10083">
      <c r="B10083" s="309"/>
      <c r="C10083" s="309"/>
      <c r="I10083" s="309"/>
      <c r="J10083" s="309"/>
    </row>
    <row r="10084">
      <c r="B10084" s="309"/>
      <c r="C10084" s="309"/>
      <c r="I10084" s="309"/>
      <c r="J10084" s="309"/>
    </row>
    <row r="10085">
      <c r="B10085" s="309"/>
      <c r="C10085" s="309"/>
      <c r="I10085" s="309"/>
      <c r="J10085" s="309"/>
    </row>
    <row r="10086">
      <c r="B10086" s="309"/>
      <c r="C10086" s="309"/>
      <c r="I10086" s="309"/>
      <c r="J10086" s="309"/>
    </row>
    <row r="10087">
      <c r="B10087" s="309"/>
      <c r="C10087" s="309"/>
      <c r="I10087" s="309"/>
      <c r="J10087" s="309"/>
    </row>
    <row r="10088">
      <c r="B10088" s="309"/>
      <c r="C10088" s="309"/>
      <c r="I10088" s="309"/>
      <c r="J10088" s="309"/>
    </row>
    <row r="10089">
      <c r="B10089" s="309"/>
      <c r="C10089" s="309"/>
      <c r="I10089" s="309"/>
      <c r="J10089" s="309"/>
    </row>
    <row r="10090">
      <c r="B10090" s="309"/>
      <c r="C10090" s="309"/>
      <c r="I10090" s="309"/>
      <c r="J10090" s="309"/>
    </row>
    <row r="10091">
      <c r="B10091" s="309"/>
      <c r="C10091" s="309"/>
      <c r="I10091" s="309"/>
      <c r="J10091" s="309"/>
    </row>
    <row r="10092">
      <c r="B10092" s="309"/>
      <c r="C10092" s="309"/>
      <c r="I10092" s="309"/>
      <c r="J10092" s="309"/>
    </row>
    <row r="10093">
      <c r="B10093" s="309"/>
      <c r="C10093" s="309"/>
      <c r="I10093" s="309"/>
      <c r="J10093" s="309"/>
    </row>
    <row r="10094">
      <c r="B10094" s="309"/>
      <c r="C10094" s="309"/>
      <c r="I10094" s="309"/>
      <c r="J10094" s="309"/>
    </row>
    <row r="10095">
      <c r="B10095" s="309"/>
      <c r="C10095" s="309"/>
      <c r="I10095" s="309"/>
      <c r="J10095" s="309"/>
    </row>
    <row r="10096">
      <c r="B10096" s="309"/>
      <c r="C10096" s="309"/>
      <c r="I10096" s="309"/>
      <c r="J10096" s="309"/>
    </row>
    <row r="10097">
      <c r="B10097" s="309"/>
      <c r="C10097" s="309"/>
      <c r="I10097" s="309"/>
      <c r="J10097" s="309"/>
    </row>
    <row r="10098">
      <c r="B10098" s="309"/>
      <c r="C10098" s="309"/>
      <c r="I10098" s="309"/>
      <c r="J10098" s="309"/>
    </row>
    <row r="10099">
      <c r="B10099" s="309"/>
      <c r="C10099" s="309"/>
      <c r="I10099" s="309"/>
      <c r="J10099" s="309"/>
    </row>
    <row r="10100">
      <c r="B10100" s="309"/>
      <c r="C10100" s="309"/>
      <c r="I10100" s="309"/>
      <c r="J10100" s="309"/>
    </row>
    <row r="10101">
      <c r="B10101" s="309"/>
      <c r="C10101" s="309"/>
      <c r="I10101" s="309"/>
      <c r="J10101" s="309"/>
    </row>
    <row r="10102">
      <c r="B10102" s="309"/>
      <c r="C10102" s="309"/>
      <c r="I10102" s="309"/>
      <c r="J10102" s="309"/>
    </row>
    <row r="10103">
      <c r="B10103" s="309"/>
      <c r="C10103" s="309"/>
      <c r="I10103" s="309"/>
      <c r="J10103" s="309"/>
    </row>
    <row r="10104">
      <c r="B10104" s="309"/>
      <c r="C10104" s="309"/>
      <c r="I10104" s="309"/>
      <c r="J10104" s="309"/>
    </row>
    <row r="10105">
      <c r="B10105" s="309"/>
      <c r="C10105" s="309"/>
      <c r="I10105" s="309"/>
      <c r="J10105" s="309"/>
    </row>
    <row r="10106">
      <c r="B10106" s="309"/>
      <c r="C10106" s="309"/>
      <c r="I10106" s="309"/>
      <c r="J10106" s="309"/>
    </row>
    <row r="10107">
      <c r="B10107" s="309"/>
      <c r="C10107" s="309"/>
      <c r="I10107" s="309"/>
      <c r="J10107" s="309"/>
    </row>
    <row r="10108">
      <c r="B10108" s="309"/>
      <c r="C10108" s="309"/>
      <c r="I10108" s="309"/>
      <c r="J10108" s="309"/>
    </row>
    <row r="10109">
      <c r="B10109" s="309"/>
      <c r="C10109" s="309"/>
      <c r="I10109" s="309"/>
      <c r="J10109" s="309"/>
    </row>
    <row r="10110">
      <c r="B10110" s="309"/>
      <c r="C10110" s="309"/>
      <c r="I10110" s="309"/>
      <c r="J10110" s="309"/>
    </row>
    <row r="10111">
      <c r="B10111" s="309"/>
      <c r="C10111" s="309"/>
      <c r="I10111" s="309"/>
      <c r="J10111" s="309"/>
    </row>
    <row r="10112">
      <c r="B10112" s="309"/>
      <c r="C10112" s="309"/>
      <c r="I10112" s="309"/>
      <c r="J10112" s="309"/>
    </row>
    <row r="10113">
      <c r="B10113" s="309"/>
      <c r="C10113" s="309"/>
      <c r="I10113" s="309"/>
      <c r="J10113" s="309"/>
    </row>
    <row r="10114">
      <c r="B10114" s="309"/>
      <c r="C10114" s="309"/>
      <c r="I10114" s="309"/>
      <c r="J10114" s="309"/>
    </row>
    <row r="10115">
      <c r="B10115" s="309"/>
      <c r="C10115" s="309"/>
      <c r="I10115" s="309"/>
      <c r="J10115" s="309"/>
    </row>
    <row r="10116">
      <c r="B10116" s="309"/>
      <c r="C10116" s="309"/>
      <c r="I10116" s="309"/>
      <c r="J10116" s="309"/>
    </row>
    <row r="10117">
      <c r="B10117" s="309"/>
      <c r="C10117" s="309"/>
      <c r="I10117" s="309"/>
      <c r="J10117" s="309"/>
    </row>
    <row r="10118">
      <c r="B10118" s="309"/>
      <c r="C10118" s="309"/>
      <c r="I10118" s="309"/>
      <c r="J10118" s="309"/>
    </row>
    <row r="10119">
      <c r="B10119" s="309"/>
      <c r="C10119" s="309"/>
      <c r="I10119" s="309"/>
      <c r="J10119" s="309"/>
    </row>
    <row r="10120">
      <c r="B10120" s="309"/>
      <c r="C10120" s="309"/>
      <c r="I10120" s="309"/>
      <c r="J10120" s="309"/>
    </row>
    <row r="10121">
      <c r="B10121" s="309"/>
      <c r="C10121" s="309"/>
      <c r="I10121" s="309"/>
      <c r="J10121" s="309"/>
    </row>
    <row r="10122">
      <c r="B10122" s="309"/>
      <c r="C10122" s="309"/>
      <c r="I10122" s="309"/>
      <c r="J10122" s="309"/>
    </row>
    <row r="10123">
      <c r="B10123" s="309"/>
      <c r="C10123" s="309"/>
      <c r="I10123" s="309"/>
      <c r="J10123" s="309"/>
    </row>
    <row r="10124">
      <c r="B10124" s="309"/>
      <c r="C10124" s="309"/>
      <c r="I10124" s="309"/>
      <c r="J10124" s="309"/>
    </row>
    <row r="10125">
      <c r="B10125" s="309"/>
      <c r="C10125" s="309"/>
      <c r="I10125" s="309"/>
      <c r="J10125" s="309"/>
    </row>
    <row r="10126">
      <c r="B10126" s="309"/>
      <c r="C10126" s="309"/>
      <c r="I10126" s="309"/>
      <c r="J10126" s="309"/>
    </row>
    <row r="10127">
      <c r="B10127" s="309"/>
      <c r="C10127" s="309"/>
      <c r="I10127" s="309"/>
      <c r="J10127" s="309"/>
    </row>
    <row r="10128">
      <c r="B10128" s="309"/>
      <c r="C10128" s="309"/>
      <c r="I10128" s="309"/>
      <c r="J10128" s="309"/>
    </row>
    <row r="10129">
      <c r="B10129" s="309"/>
      <c r="C10129" s="309"/>
      <c r="I10129" s="309"/>
      <c r="J10129" s="309"/>
    </row>
    <row r="10130">
      <c r="B10130" s="309"/>
      <c r="C10130" s="309"/>
      <c r="I10130" s="309"/>
      <c r="J10130" s="309"/>
    </row>
    <row r="10131">
      <c r="B10131" s="309"/>
      <c r="C10131" s="309"/>
      <c r="I10131" s="309"/>
      <c r="J10131" s="309"/>
    </row>
    <row r="10132">
      <c r="B10132" s="309"/>
      <c r="C10132" s="309"/>
      <c r="I10132" s="309"/>
      <c r="J10132" s="309"/>
    </row>
    <row r="10133">
      <c r="B10133" s="309"/>
      <c r="C10133" s="309"/>
      <c r="I10133" s="309"/>
      <c r="J10133" s="309"/>
    </row>
    <row r="10134">
      <c r="B10134" s="309"/>
      <c r="C10134" s="309"/>
      <c r="I10134" s="309"/>
      <c r="J10134" s="309"/>
    </row>
    <row r="10135">
      <c r="B10135" s="309"/>
      <c r="C10135" s="309"/>
      <c r="I10135" s="309"/>
      <c r="J10135" s="309"/>
    </row>
    <row r="10136">
      <c r="B10136" s="309"/>
      <c r="C10136" s="309"/>
      <c r="I10136" s="309"/>
      <c r="J10136" s="309"/>
    </row>
    <row r="10137">
      <c r="B10137" s="309"/>
      <c r="C10137" s="309"/>
      <c r="I10137" s="309"/>
      <c r="J10137" s="309"/>
    </row>
    <row r="10138">
      <c r="B10138" s="309"/>
      <c r="C10138" s="309"/>
      <c r="I10138" s="309"/>
      <c r="J10138" s="309"/>
    </row>
    <row r="10139">
      <c r="B10139" s="309"/>
      <c r="C10139" s="309"/>
      <c r="I10139" s="309"/>
      <c r="J10139" s="309"/>
    </row>
    <row r="10140">
      <c r="B10140" s="309"/>
      <c r="C10140" s="309"/>
      <c r="I10140" s="309"/>
      <c r="J10140" s="309"/>
    </row>
    <row r="10141">
      <c r="B10141" s="309"/>
      <c r="C10141" s="309"/>
      <c r="I10141" s="309"/>
      <c r="J10141" s="309"/>
    </row>
    <row r="10142">
      <c r="B10142" s="309"/>
      <c r="C10142" s="309"/>
      <c r="I10142" s="309"/>
      <c r="J10142" s="309"/>
    </row>
    <row r="10143">
      <c r="B10143" s="309"/>
      <c r="C10143" s="309"/>
      <c r="I10143" s="309"/>
      <c r="J10143" s="309"/>
    </row>
    <row r="10144">
      <c r="B10144" s="309"/>
      <c r="C10144" s="309"/>
      <c r="I10144" s="309"/>
      <c r="J10144" s="309"/>
    </row>
    <row r="10145">
      <c r="B10145" s="309"/>
      <c r="C10145" s="309"/>
      <c r="I10145" s="309"/>
      <c r="J10145" s="309"/>
    </row>
    <row r="10146">
      <c r="B10146" s="309"/>
      <c r="C10146" s="309"/>
      <c r="I10146" s="309"/>
      <c r="J10146" s="309"/>
    </row>
    <row r="10147">
      <c r="B10147" s="309"/>
      <c r="C10147" s="309"/>
      <c r="I10147" s="309"/>
      <c r="J10147" s="309"/>
    </row>
    <row r="10148">
      <c r="B10148" s="309"/>
      <c r="C10148" s="309"/>
      <c r="I10148" s="309"/>
      <c r="J10148" s="309"/>
    </row>
    <row r="10149">
      <c r="B10149" s="309"/>
      <c r="C10149" s="309"/>
      <c r="I10149" s="309"/>
      <c r="J10149" s="309"/>
    </row>
    <row r="10150">
      <c r="B10150" s="309"/>
      <c r="C10150" s="309"/>
      <c r="I10150" s="309"/>
      <c r="J10150" s="309"/>
    </row>
    <row r="10151">
      <c r="B10151" s="309"/>
      <c r="C10151" s="309"/>
      <c r="I10151" s="309"/>
      <c r="J10151" s="309"/>
    </row>
    <row r="10152">
      <c r="B10152" s="309"/>
      <c r="C10152" s="309"/>
      <c r="I10152" s="309"/>
      <c r="J10152" s="309"/>
    </row>
    <row r="10153">
      <c r="B10153" s="309"/>
      <c r="C10153" s="309"/>
      <c r="I10153" s="309"/>
      <c r="J10153" s="309"/>
    </row>
    <row r="10154">
      <c r="B10154" s="309"/>
      <c r="C10154" s="309"/>
      <c r="I10154" s="309"/>
      <c r="J10154" s="309"/>
    </row>
    <row r="10155">
      <c r="B10155" s="309"/>
      <c r="C10155" s="309"/>
      <c r="I10155" s="309"/>
      <c r="J10155" s="309"/>
    </row>
    <row r="10156">
      <c r="B10156" s="309"/>
      <c r="C10156" s="309"/>
      <c r="I10156" s="309"/>
      <c r="J10156" s="309"/>
    </row>
    <row r="10157">
      <c r="B10157" s="309"/>
      <c r="C10157" s="309"/>
      <c r="I10157" s="309"/>
      <c r="J10157" s="309"/>
    </row>
    <row r="10158">
      <c r="B10158" s="309"/>
      <c r="C10158" s="309"/>
      <c r="I10158" s="309"/>
      <c r="J10158" s="309"/>
    </row>
    <row r="10159">
      <c r="B10159" s="309"/>
      <c r="C10159" s="309"/>
      <c r="I10159" s="309"/>
      <c r="J10159" s="309"/>
    </row>
    <row r="10160">
      <c r="B10160" s="309"/>
      <c r="C10160" s="309"/>
      <c r="I10160" s="309"/>
      <c r="J10160" s="309"/>
    </row>
    <row r="10161">
      <c r="B10161" s="309"/>
      <c r="C10161" s="309"/>
      <c r="I10161" s="309"/>
      <c r="J10161" s="309"/>
    </row>
    <row r="10162">
      <c r="B10162" s="309"/>
      <c r="C10162" s="309"/>
      <c r="I10162" s="309"/>
      <c r="J10162" s="309"/>
    </row>
    <row r="10163">
      <c r="B10163" s="309"/>
      <c r="C10163" s="309"/>
      <c r="I10163" s="309"/>
      <c r="J10163" s="309"/>
    </row>
    <row r="10164">
      <c r="B10164" s="309"/>
      <c r="C10164" s="309"/>
      <c r="I10164" s="309"/>
      <c r="J10164" s="309"/>
    </row>
    <row r="10165">
      <c r="B10165" s="309"/>
      <c r="C10165" s="309"/>
      <c r="I10165" s="309"/>
      <c r="J10165" s="309"/>
    </row>
    <row r="10166">
      <c r="B10166" s="309"/>
      <c r="C10166" s="309"/>
      <c r="I10166" s="309"/>
      <c r="J10166" s="309"/>
    </row>
    <row r="10167">
      <c r="B10167" s="309"/>
      <c r="C10167" s="309"/>
      <c r="I10167" s="309"/>
      <c r="J10167" s="309"/>
    </row>
    <row r="10168">
      <c r="B10168" s="309"/>
      <c r="C10168" s="309"/>
      <c r="I10168" s="309"/>
      <c r="J10168" s="309"/>
    </row>
    <row r="10169">
      <c r="B10169" s="309"/>
      <c r="C10169" s="309"/>
      <c r="I10169" s="309"/>
      <c r="J10169" s="309"/>
    </row>
    <row r="10170">
      <c r="B10170" s="309"/>
      <c r="C10170" s="309"/>
      <c r="I10170" s="309"/>
      <c r="J10170" s="309"/>
    </row>
    <row r="10171">
      <c r="B10171" s="309"/>
      <c r="C10171" s="309"/>
      <c r="I10171" s="309"/>
      <c r="J10171" s="309"/>
    </row>
    <row r="10172">
      <c r="B10172" s="309"/>
      <c r="C10172" s="309"/>
      <c r="I10172" s="309"/>
      <c r="J10172" s="309"/>
    </row>
    <row r="10173">
      <c r="B10173" s="309"/>
      <c r="C10173" s="309"/>
      <c r="I10173" s="309"/>
      <c r="J10173" s="309"/>
    </row>
    <row r="10174">
      <c r="B10174" s="309"/>
      <c r="C10174" s="309"/>
      <c r="I10174" s="309"/>
      <c r="J10174" s="309"/>
    </row>
    <row r="10175">
      <c r="B10175" s="309"/>
      <c r="C10175" s="309"/>
      <c r="I10175" s="309"/>
      <c r="J10175" s="309"/>
    </row>
    <row r="10176">
      <c r="B10176" s="309"/>
      <c r="C10176" s="309"/>
      <c r="I10176" s="309"/>
      <c r="J10176" s="309"/>
    </row>
    <row r="10177">
      <c r="B10177" s="309"/>
      <c r="C10177" s="309"/>
      <c r="I10177" s="309"/>
      <c r="J10177" s="309"/>
    </row>
    <row r="10178">
      <c r="B10178" s="309"/>
      <c r="C10178" s="309"/>
      <c r="I10178" s="309"/>
      <c r="J10178" s="309"/>
    </row>
    <row r="10179">
      <c r="B10179" s="309"/>
      <c r="C10179" s="309"/>
      <c r="I10179" s="309"/>
      <c r="J10179" s="309"/>
    </row>
    <row r="10180">
      <c r="B10180" s="309"/>
      <c r="C10180" s="309"/>
      <c r="I10180" s="309"/>
      <c r="J10180" s="309"/>
    </row>
    <row r="10181">
      <c r="B10181" s="309"/>
      <c r="C10181" s="309"/>
      <c r="I10181" s="309"/>
      <c r="J10181" s="309"/>
    </row>
    <row r="10182">
      <c r="B10182" s="309"/>
      <c r="C10182" s="309"/>
      <c r="I10182" s="309"/>
      <c r="J10182" s="309"/>
    </row>
    <row r="10183">
      <c r="B10183" s="309"/>
      <c r="C10183" s="309"/>
      <c r="I10183" s="309"/>
      <c r="J10183" s="309"/>
    </row>
    <row r="10184">
      <c r="B10184" s="309"/>
      <c r="C10184" s="309"/>
      <c r="I10184" s="309"/>
      <c r="J10184" s="309"/>
    </row>
    <row r="10185">
      <c r="B10185" s="309"/>
      <c r="C10185" s="309"/>
      <c r="I10185" s="309"/>
      <c r="J10185" s="309"/>
    </row>
    <row r="10186">
      <c r="B10186" s="309"/>
      <c r="C10186" s="309"/>
      <c r="I10186" s="309"/>
      <c r="J10186" s="309"/>
    </row>
    <row r="10187">
      <c r="B10187" s="309"/>
      <c r="C10187" s="309"/>
      <c r="I10187" s="309"/>
      <c r="J10187" s="309"/>
    </row>
    <row r="10188">
      <c r="B10188" s="309"/>
      <c r="C10188" s="309"/>
      <c r="I10188" s="309"/>
      <c r="J10188" s="309"/>
    </row>
    <row r="10189">
      <c r="B10189" s="309"/>
      <c r="C10189" s="309"/>
      <c r="I10189" s="309"/>
      <c r="J10189" s="309"/>
    </row>
    <row r="10190">
      <c r="B10190" s="309"/>
      <c r="C10190" s="309"/>
      <c r="I10190" s="309"/>
      <c r="J10190" s="309"/>
    </row>
    <row r="10191">
      <c r="B10191" s="309"/>
      <c r="C10191" s="309"/>
      <c r="I10191" s="309"/>
      <c r="J10191" s="309"/>
    </row>
    <row r="10192">
      <c r="B10192" s="309"/>
      <c r="C10192" s="309"/>
      <c r="I10192" s="309"/>
      <c r="J10192" s="309"/>
    </row>
    <row r="10193">
      <c r="B10193" s="309"/>
      <c r="C10193" s="309"/>
      <c r="I10193" s="309"/>
      <c r="J10193" s="309"/>
    </row>
    <row r="10194">
      <c r="B10194" s="309"/>
      <c r="C10194" s="309"/>
      <c r="I10194" s="309"/>
      <c r="J10194" s="309"/>
    </row>
    <row r="10195">
      <c r="B10195" s="309"/>
      <c r="C10195" s="309"/>
      <c r="I10195" s="309"/>
      <c r="J10195" s="309"/>
    </row>
    <row r="10196">
      <c r="B10196" s="309"/>
      <c r="C10196" s="309"/>
      <c r="I10196" s="309"/>
      <c r="J10196" s="309"/>
    </row>
    <row r="10197">
      <c r="B10197" s="309"/>
      <c r="C10197" s="309"/>
      <c r="I10197" s="309"/>
      <c r="J10197" s="309"/>
    </row>
    <row r="10198">
      <c r="B10198" s="309"/>
      <c r="C10198" s="309"/>
      <c r="I10198" s="309"/>
      <c r="J10198" s="309"/>
    </row>
    <row r="10199">
      <c r="B10199" s="309"/>
      <c r="C10199" s="309"/>
      <c r="I10199" s="309"/>
      <c r="J10199" s="309"/>
    </row>
    <row r="10200">
      <c r="B10200" s="309"/>
      <c r="C10200" s="309"/>
      <c r="I10200" s="309"/>
      <c r="J10200" s="309"/>
    </row>
    <row r="10201">
      <c r="B10201" s="309"/>
      <c r="C10201" s="309"/>
      <c r="I10201" s="309"/>
      <c r="J10201" s="309"/>
    </row>
    <row r="10202">
      <c r="B10202" s="309"/>
      <c r="C10202" s="309"/>
      <c r="I10202" s="309"/>
      <c r="J10202" s="309"/>
    </row>
    <row r="10203">
      <c r="B10203" s="309"/>
      <c r="C10203" s="309"/>
      <c r="I10203" s="309"/>
      <c r="J10203" s="309"/>
    </row>
    <row r="10204">
      <c r="B10204" s="309"/>
      <c r="C10204" s="309"/>
      <c r="I10204" s="309"/>
      <c r="J10204" s="309"/>
    </row>
    <row r="10205">
      <c r="B10205" s="309"/>
      <c r="C10205" s="309"/>
      <c r="I10205" s="309"/>
      <c r="J10205" s="309"/>
    </row>
    <row r="10206">
      <c r="B10206" s="309"/>
      <c r="C10206" s="309"/>
      <c r="I10206" s="309"/>
      <c r="J10206" s="309"/>
    </row>
    <row r="10207">
      <c r="B10207" s="309"/>
      <c r="C10207" s="309"/>
      <c r="I10207" s="309"/>
      <c r="J10207" s="309"/>
    </row>
    <row r="10208">
      <c r="B10208" s="309"/>
      <c r="C10208" s="309"/>
      <c r="I10208" s="309"/>
      <c r="J10208" s="309"/>
    </row>
    <row r="10209">
      <c r="B10209" s="309"/>
      <c r="C10209" s="309"/>
      <c r="I10209" s="309"/>
      <c r="J10209" s="309"/>
    </row>
    <row r="10210">
      <c r="B10210" s="309"/>
      <c r="C10210" s="309"/>
      <c r="I10210" s="309"/>
      <c r="J10210" s="309"/>
    </row>
    <row r="10211">
      <c r="B10211" s="309"/>
      <c r="C10211" s="309"/>
      <c r="I10211" s="309"/>
      <c r="J10211" s="309"/>
    </row>
    <row r="10212">
      <c r="B10212" s="309"/>
      <c r="C10212" s="309"/>
      <c r="I10212" s="309"/>
      <c r="J10212" s="309"/>
    </row>
    <row r="10213">
      <c r="B10213" s="309"/>
      <c r="C10213" s="309"/>
      <c r="I10213" s="309"/>
      <c r="J10213" s="309"/>
    </row>
    <row r="10214">
      <c r="B10214" s="309"/>
      <c r="C10214" s="309"/>
      <c r="I10214" s="309"/>
      <c r="J10214" s="309"/>
    </row>
    <row r="10215">
      <c r="B10215" s="309"/>
      <c r="C10215" s="309"/>
      <c r="I10215" s="309"/>
      <c r="J10215" s="309"/>
    </row>
    <row r="10216">
      <c r="B10216" s="309"/>
      <c r="C10216" s="309"/>
      <c r="I10216" s="309"/>
      <c r="J10216" s="309"/>
    </row>
    <row r="10217">
      <c r="B10217" s="309"/>
      <c r="C10217" s="309"/>
      <c r="I10217" s="309"/>
      <c r="J10217" s="309"/>
    </row>
    <row r="10218">
      <c r="B10218" s="309"/>
      <c r="C10218" s="309"/>
      <c r="I10218" s="309"/>
      <c r="J10218" s="309"/>
    </row>
    <row r="10219">
      <c r="B10219" s="309"/>
      <c r="C10219" s="309"/>
      <c r="I10219" s="309"/>
      <c r="J10219" s="309"/>
    </row>
    <row r="10220">
      <c r="B10220" s="309"/>
      <c r="C10220" s="309"/>
      <c r="I10220" s="309"/>
      <c r="J10220" s="309"/>
    </row>
    <row r="10221">
      <c r="B10221" s="309"/>
      <c r="C10221" s="309"/>
      <c r="I10221" s="309"/>
      <c r="J10221" s="309"/>
    </row>
    <row r="10222">
      <c r="B10222" s="309"/>
      <c r="C10222" s="309"/>
      <c r="I10222" s="309"/>
      <c r="J10222" s="309"/>
    </row>
    <row r="10223">
      <c r="B10223" s="309"/>
      <c r="C10223" s="309"/>
      <c r="I10223" s="309"/>
      <c r="J10223" s="309"/>
    </row>
    <row r="10224">
      <c r="B10224" s="309"/>
      <c r="C10224" s="309"/>
      <c r="I10224" s="309"/>
      <c r="J10224" s="309"/>
    </row>
    <row r="10225">
      <c r="B10225" s="309"/>
      <c r="C10225" s="309"/>
      <c r="I10225" s="309"/>
      <c r="J10225" s="309"/>
    </row>
    <row r="10226">
      <c r="B10226" s="309"/>
      <c r="C10226" s="309"/>
      <c r="I10226" s="309"/>
      <c r="J10226" s="309"/>
    </row>
    <row r="10227">
      <c r="B10227" s="309"/>
      <c r="C10227" s="309"/>
      <c r="I10227" s="309"/>
      <c r="J10227" s="309"/>
    </row>
    <row r="10228">
      <c r="B10228" s="309"/>
      <c r="C10228" s="309"/>
      <c r="I10228" s="309"/>
      <c r="J10228" s="309"/>
    </row>
    <row r="10229">
      <c r="B10229" s="309"/>
      <c r="C10229" s="309"/>
      <c r="I10229" s="309"/>
      <c r="J10229" s="309"/>
    </row>
    <row r="10230">
      <c r="B10230" s="309"/>
      <c r="C10230" s="309"/>
      <c r="I10230" s="309"/>
      <c r="J10230" s="309"/>
    </row>
    <row r="10231">
      <c r="B10231" s="309"/>
      <c r="C10231" s="309"/>
      <c r="I10231" s="309"/>
      <c r="J10231" s="309"/>
    </row>
    <row r="10232">
      <c r="B10232" s="309"/>
      <c r="C10232" s="309"/>
      <c r="I10232" s="309"/>
      <c r="J10232" s="309"/>
    </row>
    <row r="10233">
      <c r="B10233" s="309"/>
      <c r="C10233" s="309"/>
      <c r="I10233" s="309"/>
      <c r="J10233" s="309"/>
    </row>
    <row r="10234">
      <c r="B10234" s="309"/>
      <c r="C10234" s="309"/>
      <c r="I10234" s="309"/>
      <c r="J10234" s="309"/>
    </row>
    <row r="10235">
      <c r="B10235" s="309"/>
      <c r="C10235" s="309"/>
      <c r="I10235" s="309"/>
      <c r="J10235" s="309"/>
    </row>
    <row r="10236">
      <c r="B10236" s="309"/>
      <c r="C10236" s="309"/>
      <c r="I10236" s="309"/>
      <c r="J10236" s="309"/>
    </row>
    <row r="10237">
      <c r="B10237" s="309"/>
      <c r="C10237" s="309"/>
      <c r="I10237" s="309"/>
      <c r="J10237" s="309"/>
    </row>
    <row r="10238">
      <c r="B10238" s="309"/>
      <c r="C10238" s="309"/>
      <c r="I10238" s="309"/>
      <c r="J10238" s="309"/>
    </row>
    <row r="10239">
      <c r="B10239" s="309"/>
      <c r="C10239" s="309"/>
      <c r="I10239" s="309"/>
      <c r="J10239" s="309"/>
    </row>
    <row r="10240">
      <c r="B10240" s="309"/>
      <c r="C10240" s="309"/>
      <c r="I10240" s="309"/>
      <c r="J10240" s="309"/>
    </row>
    <row r="10241">
      <c r="B10241" s="309"/>
      <c r="C10241" s="309"/>
      <c r="I10241" s="309"/>
      <c r="J10241" s="309"/>
    </row>
    <row r="10242">
      <c r="B10242" s="309"/>
      <c r="C10242" s="309"/>
      <c r="I10242" s="309"/>
      <c r="J10242" s="309"/>
    </row>
    <row r="10243">
      <c r="B10243" s="309"/>
      <c r="C10243" s="309"/>
      <c r="I10243" s="309"/>
      <c r="J10243" s="309"/>
    </row>
    <row r="10244">
      <c r="B10244" s="309"/>
      <c r="C10244" s="309"/>
      <c r="I10244" s="309"/>
      <c r="J10244" s="309"/>
    </row>
    <row r="10245">
      <c r="B10245" s="309"/>
      <c r="C10245" s="309"/>
      <c r="I10245" s="309"/>
      <c r="J10245" s="309"/>
    </row>
    <row r="10246">
      <c r="B10246" s="309"/>
      <c r="C10246" s="309"/>
      <c r="I10246" s="309"/>
      <c r="J10246" s="309"/>
    </row>
    <row r="10247">
      <c r="B10247" s="309"/>
      <c r="C10247" s="309"/>
      <c r="I10247" s="309"/>
      <c r="J10247" s="309"/>
    </row>
    <row r="10248">
      <c r="B10248" s="309"/>
      <c r="C10248" s="309"/>
      <c r="I10248" s="309"/>
      <c r="J10248" s="309"/>
    </row>
    <row r="10249">
      <c r="B10249" s="309"/>
      <c r="C10249" s="309"/>
      <c r="I10249" s="309"/>
      <c r="J10249" s="309"/>
    </row>
    <row r="10250">
      <c r="B10250" s="309"/>
      <c r="C10250" s="309"/>
      <c r="I10250" s="309"/>
      <c r="J10250" s="309"/>
    </row>
    <row r="10251">
      <c r="B10251" s="309"/>
      <c r="C10251" s="309"/>
      <c r="I10251" s="309"/>
      <c r="J10251" s="309"/>
    </row>
    <row r="10252">
      <c r="B10252" s="309"/>
      <c r="C10252" s="309"/>
      <c r="I10252" s="309"/>
      <c r="J10252" s="309"/>
    </row>
    <row r="10253">
      <c r="B10253" s="309"/>
      <c r="C10253" s="309"/>
      <c r="I10253" s="309"/>
      <c r="J10253" s="309"/>
    </row>
    <row r="10254">
      <c r="B10254" s="309"/>
      <c r="C10254" s="309"/>
      <c r="I10254" s="309"/>
      <c r="J10254" s="309"/>
    </row>
    <row r="10255">
      <c r="B10255" s="309"/>
      <c r="C10255" s="309"/>
      <c r="I10255" s="309"/>
      <c r="J10255" s="309"/>
    </row>
    <row r="10256">
      <c r="B10256" s="309"/>
      <c r="C10256" s="309"/>
      <c r="I10256" s="309"/>
      <c r="J10256" s="309"/>
    </row>
    <row r="10257">
      <c r="B10257" s="309"/>
      <c r="C10257" s="309"/>
      <c r="I10257" s="309"/>
      <c r="J10257" s="309"/>
    </row>
    <row r="10258">
      <c r="B10258" s="309"/>
      <c r="C10258" s="309"/>
      <c r="I10258" s="309"/>
      <c r="J10258" s="309"/>
    </row>
    <row r="10259">
      <c r="B10259" s="309"/>
      <c r="C10259" s="309"/>
      <c r="I10259" s="309"/>
      <c r="J10259" s="309"/>
    </row>
    <row r="10260">
      <c r="B10260" s="309"/>
      <c r="C10260" s="309"/>
      <c r="I10260" s="309"/>
      <c r="J10260" s="309"/>
    </row>
    <row r="10261">
      <c r="B10261" s="309"/>
      <c r="C10261" s="309"/>
      <c r="I10261" s="309"/>
      <c r="J10261" s="309"/>
    </row>
    <row r="10262">
      <c r="B10262" s="309"/>
      <c r="C10262" s="309"/>
      <c r="I10262" s="309"/>
      <c r="J10262" s="309"/>
    </row>
    <row r="10263">
      <c r="B10263" s="309"/>
      <c r="C10263" s="309"/>
      <c r="I10263" s="309"/>
      <c r="J10263" s="309"/>
    </row>
    <row r="10264">
      <c r="B10264" s="309"/>
      <c r="C10264" s="309"/>
      <c r="I10264" s="309"/>
      <c r="J10264" s="309"/>
    </row>
    <row r="10265">
      <c r="B10265" s="309"/>
      <c r="C10265" s="309"/>
      <c r="I10265" s="309"/>
      <c r="J10265" s="309"/>
    </row>
    <row r="10266">
      <c r="B10266" s="309"/>
      <c r="C10266" s="309"/>
      <c r="I10266" s="309"/>
      <c r="J10266" s="309"/>
    </row>
    <row r="10267">
      <c r="B10267" s="309"/>
      <c r="C10267" s="309"/>
      <c r="I10267" s="309"/>
      <c r="J10267" s="309"/>
    </row>
    <row r="10268">
      <c r="B10268" s="309"/>
      <c r="C10268" s="309"/>
      <c r="I10268" s="309"/>
      <c r="J10268" s="309"/>
    </row>
    <row r="10269">
      <c r="B10269" s="309"/>
      <c r="C10269" s="309"/>
      <c r="I10269" s="309"/>
      <c r="J10269" s="309"/>
    </row>
    <row r="10270">
      <c r="B10270" s="309"/>
      <c r="C10270" s="309"/>
      <c r="I10270" s="309"/>
      <c r="J10270" s="309"/>
    </row>
    <row r="10271">
      <c r="B10271" s="309"/>
      <c r="C10271" s="309"/>
      <c r="I10271" s="309"/>
      <c r="J10271" s="309"/>
    </row>
    <row r="10272">
      <c r="B10272" s="309"/>
      <c r="C10272" s="309"/>
      <c r="I10272" s="309"/>
      <c r="J10272" s="309"/>
    </row>
    <row r="10273">
      <c r="B10273" s="309"/>
      <c r="C10273" s="309"/>
      <c r="I10273" s="309"/>
      <c r="J10273" s="309"/>
    </row>
    <row r="10274">
      <c r="B10274" s="309"/>
      <c r="C10274" s="309"/>
      <c r="I10274" s="309"/>
      <c r="J10274" s="309"/>
    </row>
    <row r="10275">
      <c r="B10275" s="309"/>
      <c r="C10275" s="309"/>
      <c r="I10275" s="309"/>
      <c r="J10275" s="309"/>
    </row>
    <row r="10276">
      <c r="B10276" s="309"/>
      <c r="C10276" s="309"/>
      <c r="I10276" s="309"/>
      <c r="J10276" s="309"/>
    </row>
    <row r="10277">
      <c r="B10277" s="309"/>
      <c r="C10277" s="309"/>
      <c r="I10277" s="309"/>
      <c r="J10277" s="309"/>
    </row>
    <row r="10278">
      <c r="B10278" s="309"/>
      <c r="C10278" s="309"/>
      <c r="I10278" s="309"/>
      <c r="J10278" s="309"/>
    </row>
    <row r="10279">
      <c r="B10279" s="309"/>
      <c r="C10279" s="309"/>
      <c r="I10279" s="309"/>
      <c r="J10279" s="309"/>
    </row>
    <row r="10280">
      <c r="B10280" s="309"/>
      <c r="C10280" s="309"/>
      <c r="I10280" s="309"/>
      <c r="J10280" s="309"/>
    </row>
    <row r="10281">
      <c r="B10281" s="309"/>
      <c r="C10281" s="309"/>
      <c r="I10281" s="309"/>
      <c r="J10281" s="309"/>
    </row>
    <row r="10282">
      <c r="B10282" s="309"/>
      <c r="C10282" s="309"/>
      <c r="I10282" s="309"/>
      <c r="J10282" s="309"/>
    </row>
    <row r="10283">
      <c r="B10283" s="309"/>
      <c r="C10283" s="309"/>
      <c r="I10283" s="309"/>
      <c r="J10283" s="309"/>
    </row>
    <row r="10284">
      <c r="B10284" s="309"/>
      <c r="C10284" s="309"/>
      <c r="I10284" s="309"/>
      <c r="J10284" s="309"/>
    </row>
    <row r="10285">
      <c r="B10285" s="309"/>
      <c r="C10285" s="309"/>
      <c r="I10285" s="309"/>
      <c r="J10285" s="309"/>
    </row>
    <row r="10286">
      <c r="B10286" s="309"/>
      <c r="C10286" s="309"/>
      <c r="I10286" s="309"/>
      <c r="J10286" s="309"/>
    </row>
    <row r="10287">
      <c r="B10287" s="309"/>
      <c r="C10287" s="309"/>
      <c r="I10287" s="309"/>
      <c r="J10287" s="309"/>
    </row>
    <row r="10288">
      <c r="B10288" s="309"/>
      <c r="C10288" s="309"/>
      <c r="I10288" s="309"/>
      <c r="J10288" s="309"/>
    </row>
    <row r="10289">
      <c r="B10289" s="309"/>
      <c r="C10289" s="309"/>
      <c r="I10289" s="309"/>
      <c r="J10289" s="309"/>
    </row>
    <row r="10290">
      <c r="B10290" s="309"/>
      <c r="C10290" s="309"/>
      <c r="I10290" s="309"/>
      <c r="J10290" s="309"/>
    </row>
    <row r="10291">
      <c r="B10291" s="309"/>
      <c r="C10291" s="309"/>
      <c r="I10291" s="309"/>
      <c r="J10291" s="309"/>
    </row>
    <row r="10292">
      <c r="B10292" s="309"/>
      <c r="C10292" s="309"/>
      <c r="I10292" s="309"/>
      <c r="J10292" s="309"/>
    </row>
    <row r="10293">
      <c r="B10293" s="309"/>
      <c r="C10293" s="309"/>
      <c r="I10293" s="309"/>
      <c r="J10293" s="309"/>
    </row>
    <row r="10294">
      <c r="B10294" s="309"/>
      <c r="C10294" s="309"/>
      <c r="I10294" s="309"/>
      <c r="J10294" s="309"/>
    </row>
    <row r="10295">
      <c r="B10295" s="309"/>
      <c r="C10295" s="309"/>
      <c r="I10295" s="309"/>
      <c r="J10295" s="309"/>
    </row>
    <row r="10296">
      <c r="B10296" s="309"/>
      <c r="C10296" s="309"/>
      <c r="I10296" s="309"/>
      <c r="J10296" s="309"/>
    </row>
    <row r="10297">
      <c r="B10297" s="309"/>
      <c r="C10297" s="309"/>
      <c r="I10297" s="309"/>
      <c r="J10297" s="309"/>
    </row>
    <row r="10298">
      <c r="B10298" s="309"/>
      <c r="C10298" s="309"/>
      <c r="I10298" s="309"/>
      <c r="J10298" s="309"/>
    </row>
    <row r="10299">
      <c r="B10299" s="309"/>
      <c r="C10299" s="309"/>
      <c r="I10299" s="309"/>
      <c r="J10299" s="309"/>
    </row>
    <row r="10300">
      <c r="B10300" s="309"/>
      <c r="C10300" s="309"/>
      <c r="I10300" s="309"/>
      <c r="J10300" s="309"/>
    </row>
    <row r="10301">
      <c r="B10301" s="309"/>
      <c r="C10301" s="309"/>
      <c r="I10301" s="309"/>
      <c r="J10301" s="309"/>
    </row>
    <row r="10302">
      <c r="B10302" s="309"/>
      <c r="C10302" s="309"/>
      <c r="I10302" s="309"/>
      <c r="J10302" s="309"/>
    </row>
    <row r="10303">
      <c r="B10303" s="309"/>
      <c r="C10303" s="309"/>
      <c r="I10303" s="309"/>
      <c r="J10303" s="309"/>
    </row>
    <row r="10304">
      <c r="B10304" s="309"/>
      <c r="C10304" s="309"/>
      <c r="I10304" s="309"/>
      <c r="J10304" s="309"/>
    </row>
    <row r="10305">
      <c r="B10305" s="309"/>
      <c r="C10305" s="309"/>
      <c r="I10305" s="309"/>
      <c r="J10305" s="309"/>
    </row>
    <row r="10306">
      <c r="B10306" s="309"/>
      <c r="C10306" s="309"/>
      <c r="I10306" s="309"/>
      <c r="J10306" s="309"/>
    </row>
    <row r="10307">
      <c r="B10307" s="309"/>
      <c r="C10307" s="309"/>
      <c r="I10307" s="309"/>
      <c r="J10307" s="309"/>
    </row>
    <row r="10308">
      <c r="B10308" s="309"/>
      <c r="C10308" s="309"/>
      <c r="I10308" s="309"/>
      <c r="J10308" s="309"/>
    </row>
    <row r="10309">
      <c r="B10309" s="309"/>
      <c r="C10309" s="309"/>
      <c r="I10309" s="309"/>
      <c r="J10309" s="309"/>
    </row>
    <row r="10310">
      <c r="B10310" s="309"/>
      <c r="C10310" s="309"/>
      <c r="I10310" s="309"/>
      <c r="J10310" s="309"/>
    </row>
    <row r="10311">
      <c r="B10311" s="309"/>
      <c r="C10311" s="309"/>
      <c r="I10311" s="309"/>
      <c r="J10311" s="309"/>
    </row>
    <row r="10312">
      <c r="B10312" s="309"/>
      <c r="C10312" s="309"/>
      <c r="I10312" s="309"/>
      <c r="J10312" s="309"/>
    </row>
    <row r="10313">
      <c r="B10313" s="309"/>
      <c r="C10313" s="309"/>
      <c r="I10313" s="309"/>
      <c r="J10313" s="309"/>
    </row>
    <row r="10314">
      <c r="B10314" s="309"/>
      <c r="C10314" s="309"/>
      <c r="I10314" s="309"/>
      <c r="J10314" s="309"/>
    </row>
    <row r="10315">
      <c r="B10315" s="309"/>
      <c r="C10315" s="309"/>
      <c r="I10315" s="309"/>
      <c r="J10315" s="309"/>
    </row>
    <row r="10316">
      <c r="B10316" s="309"/>
      <c r="C10316" s="309"/>
      <c r="I10316" s="309"/>
      <c r="J10316" s="309"/>
    </row>
    <row r="10317">
      <c r="B10317" s="309"/>
      <c r="C10317" s="309"/>
      <c r="I10317" s="309"/>
      <c r="J10317" s="309"/>
    </row>
    <row r="10318">
      <c r="B10318" s="309"/>
      <c r="C10318" s="309"/>
      <c r="I10318" s="309"/>
      <c r="J10318" s="309"/>
    </row>
    <row r="10319">
      <c r="B10319" s="309"/>
      <c r="C10319" s="309"/>
      <c r="I10319" s="309"/>
      <c r="J10319" s="309"/>
    </row>
    <row r="10320">
      <c r="B10320" s="309"/>
      <c r="C10320" s="309"/>
      <c r="I10320" s="309"/>
      <c r="J10320" s="309"/>
    </row>
    <row r="10321">
      <c r="B10321" s="309"/>
      <c r="C10321" s="309"/>
      <c r="I10321" s="309"/>
      <c r="J10321" s="309"/>
    </row>
    <row r="10322">
      <c r="B10322" s="309"/>
      <c r="C10322" s="309"/>
      <c r="I10322" s="309"/>
      <c r="J10322" s="309"/>
    </row>
    <row r="10323">
      <c r="B10323" s="309"/>
      <c r="C10323" s="309"/>
      <c r="I10323" s="309"/>
      <c r="J10323" s="309"/>
    </row>
    <row r="10324">
      <c r="B10324" s="309"/>
      <c r="C10324" s="309"/>
      <c r="I10324" s="309"/>
      <c r="J10324" s="309"/>
    </row>
    <row r="10325">
      <c r="B10325" s="309"/>
      <c r="C10325" s="309"/>
      <c r="I10325" s="309"/>
      <c r="J10325" s="309"/>
    </row>
    <row r="10326">
      <c r="B10326" s="309"/>
      <c r="C10326" s="309"/>
      <c r="I10326" s="309"/>
      <c r="J10326" s="309"/>
    </row>
    <row r="10327">
      <c r="B10327" s="309"/>
      <c r="C10327" s="309"/>
      <c r="I10327" s="309"/>
      <c r="J10327" s="309"/>
    </row>
    <row r="10328">
      <c r="B10328" s="309"/>
      <c r="C10328" s="309"/>
      <c r="I10328" s="309"/>
      <c r="J10328" s="309"/>
    </row>
    <row r="10329">
      <c r="B10329" s="309"/>
      <c r="C10329" s="309"/>
      <c r="I10329" s="309"/>
      <c r="J10329" s="309"/>
    </row>
    <row r="10330">
      <c r="B10330" s="309"/>
      <c r="C10330" s="309"/>
      <c r="I10330" s="309"/>
      <c r="J10330" s="309"/>
    </row>
    <row r="10331">
      <c r="B10331" s="309"/>
      <c r="C10331" s="309"/>
      <c r="I10331" s="309"/>
      <c r="J10331" s="309"/>
    </row>
    <row r="10332">
      <c r="B10332" s="309"/>
      <c r="C10332" s="309"/>
      <c r="I10332" s="309"/>
      <c r="J10332" s="309"/>
    </row>
    <row r="10333">
      <c r="B10333" s="309"/>
      <c r="C10333" s="309"/>
      <c r="I10333" s="309"/>
      <c r="J10333" s="309"/>
    </row>
    <row r="10334">
      <c r="B10334" s="309"/>
      <c r="C10334" s="309"/>
      <c r="I10334" s="309"/>
      <c r="J10334" s="309"/>
    </row>
    <row r="10335">
      <c r="B10335" s="309"/>
      <c r="C10335" s="309"/>
      <c r="I10335" s="309"/>
      <c r="J10335" s="309"/>
    </row>
    <row r="10336">
      <c r="B10336" s="309"/>
      <c r="C10336" s="309"/>
      <c r="I10336" s="309"/>
      <c r="J10336" s="309"/>
    </row>
    <row r="10337">
      <c r="B10337" s="309"/>
      <c r="C10337" s="309"/>
      <c r="I10337" s="309"/>
      <c r="J10337" s="309"/>
    </row>
    <row r="10338">
      <c r="B10338" s="309"/>
      <c r="C10338" s="309"/>
      <c r="I10338" s="309"/>
      <c r="J10338" s="309"/>
    </row>
    <row r="10339">
      <c r="B10339" s="309"/>
      <c r="C10339" s="309"/>
      <c r="I10339" s="309"/>
      <c r="J10339" s="309"/>
    </row>
    <row r="10340">
      <c r="B10340" s="309"/>
      <c r="C10340" s="309"/>
      <c r="I10340" s="309"/>
      <c r="J10340" s="309"/>
    </row>
    <row r="10341">
      <c r="B10341" s="309"/>
      <c r="C10341" s="309"/>
      <c r="I10341" s="309"/>
      <c r="J10341" s="309"/>
    </row>
    <row r="10342">
      <c r="B10342" s="309"/>
      <c r="C10342" s="309"/>
      <c r="I10342" s="309"/>
      <c r="J10342" s="309"/>
    </row>
    <row r="10343">
      <c r="B10343" s="309"/>
      <c r="C10343" s="309"/>
      <c r="I10343" s="309"/>
      <c r="J10343" s="309"/>
    </row>
    <row r="10344">
      <c r="B10344" s="309"/>
      <c r="C10344" s="309"/>
      <c r="I10344" s="309"/>
      <c r="J10344" s="309"/>
    </row>
    <row r="10345">
      <c r="B10345" s="309"/>
      <c r="C10345" s="309"/>
      <c r="I10345" s="309"/>
      <c r="J10345" s="309"/>
    </row>
    <row r="10346">
      <c r="B10346" s="309"/>
      <c r="C10346" s="309"/>
      <c r="I10346" s="309"/>
      <c r="J10346" s="309"/>
    </row>
    <row r="10347">
      <c r="B10347" s="309"/>
      <c r="C10347" s="309"/>
      <c r="I10347" s="309"/>
      <c r="J10347" s="309"/>
    </row>
    <row r="10348">
      <c r="B10348" s="309"/>
      <c r="C10348" s="309"/>
      <c r="I10348" s="309"/>
      <c r="J10348" s="309"/>
    </row>
    <row r="10349">
      <c r="B10349" s="309"/>
      <c r="C10349" s="309"/>
      <c r="I10349" s="309"/>
      <c r="J10349" s="309"/>
    </row>
    <row r="10350">
      <c r="B10350" s="309"/>
      <c r="C10350" s="309"/>
      <c r="I10350" s="309"/>
      <c r="J10350" s="309"/>
    </row>
    <row r="10351">
      <c r="B10351" s="309"/>
      <c r="C10351" s="309"/>
      <c r="I10351" s="309"/>
      <c r="J10351" s="309"/>
    </row>
    <row r="10352">
      <c r="B10352" s="309"/>
      <c r="C10352" s="309"/>
      <c r="I10352" s="309"/>
      <c r="J10352" s="309"/>
    </row>
    <row r="10353">
      <c r="B10353" s="309"/>
      <c r="C10353" s="309"/>
      <c r="I10353" s="309"/>
      <c r="J10353" s="309"/>
    </row>
    <row r="10354">
      <c r="B10354" s="309"/>
      <c r="C10354" s="309"/>
      <c r="I10354" s="309"/>
      <c r="J10354" s="309"/>
    </row>
    <row r="10355">
      <c r="B10355" s="309"/>
      <c r="C10355" s="309"/>
      <c r="I10355" s="309"/>
      <c r="J10355" s="309"/>
    </row>
    <row r="10356">
      <c r="B10356" s="309"/>
      <c r="C10356" s="309"/>
      <c r="I10356" s="309"/>
      <c r="J10356" s="309"/>
    </row>
    <row r="10357">
      <c r="B10357" s="309"/>
      <c r="C10357" s="309"/>
      <c r="I10357" s="309"/>
      <c r="J10357" s="309"/>
    </row>
    <row r="10358">
      <c r="B10358" s="309"/>
      <c r="C10358" s="309"/>
      <c r="I10358" s="309"/>
      <c r="J10358" s="309"/>
    </row>
    <row r="10359">
      <c r="B10359" s="309"/>
      <c r="C10359" s="309"/>
      <c r="I10359" s="309"/>
      <c r="J10359" s="309"/>
    </row>
    <row r="10360">
      <c r="B10360" s="309"/>
      <c r="C10360" s="309"/>
      <c r="I10360" s="309"/>
      <c r="J10360" s="309"/>
    </row>
    <row r="10361">
      <c r="B10361" s="309"/>
      <c r="C10361" s="309"/>
      <c r="I10361" s="309"/>
      <c r="J10361" s="309"/>
    </row>
    <row r="10362">
      <c r="B10362" s="309"/>
      <c r="C10362" s="309"/>
      <c r="I10362" s="309"/>
      <c r="J10362" s="309"/>
    </row>
    <row r="10363">
      <c r="B10363" s="309"/>
      <c r="C10363" s="309"/>
      <c r="I10363" s="309"/>
      <c r="J10363" s="309"/>
    </row>
    <row r="10364">
      <c r="B10364" s="309"/>
      <c r="C10364" s="309"/>
      <c r="I10364" s="309"/>
      <c r="J10364" s="309"/>
    </row>
    <row r="10365">
      <c r="B10365" s="309"/>
      <c r="C10365" s="309"/>
      <c r="I10365" s="309"/>
      <c r="J10365" s="309"/>
    </row>
    <row r="10366">
      <c r="B10366" s="309"/>
      <c r="C10366" s="309"/>
      <c r="I10366" s="309"/>
      <c r="J10366" s="309"/>
    </row>
    <row r="10367">
      <c r="B10367" s="309"/>
      <c r="C10367" s="309"/>
      <c r="I10367" s="309"/>
      <c r="J10367" s="309"/>
    </row>
    <row r="10368">
      <c r="B10368" s="309"/>
      <c r="C10368" s="309"/>
      <c r="I10368" s="309"/>
      <c r="J10368" s="309"/>
    </row>
    <row r="10369">
      <c r="B10369" s="309"/>
      <c r="C10369" s="309"/>
      <c r="I10369" s="309"/>
      <c r="J10369" s="309"/>
    </row>
    <row r="10370">
      <c r="B10370" s="309"/>
      <c r="C10370" s="309"/>
      <c r="I10370" s="309"/>
      <c r="J10370" s="309"/>
    </row>
    <row r="10371">
      <c r="B10371" s="309"/>
      <c r="C10371" s="309"/>
      <c r="I10371" s="309"/>
      <c r="J10371" s="309"/>
    </row>
    <row r="10372">
      <c r="B10372" s="309"/>
      <c r="C10372" s="309"/>
      <c r="I10372" s="309"/>
      <c r="J10372" s="309"/>
    </row>
    <row r="10373">
      <c r="B10373" s="309"/>
      <c r="C10373" s="309"/>
      <c r="I10373" s="309"/>
      <c r="J10373" s="309"/>
    </row>
    <row r="10374">
      <c r="B10374" s="309"/>
      <c r="C10374" s="309"/>
      <c r="I10374" s="309"/>
      <c r="J10374" s="309"/>
    </row>
    <row r="10375">
      <c r="B10375" s="309"/>
      <c r="C10375" s="309"/>
      <c r="I10375" s="309"/>
      <c r="J10375" s="309"/>
    </row>
    <row r="10376">
      <c r="B10376" s="309"/>
      <c r="C10376" s="309"/>
      <c r="I10376" s="309"/>
      <c r="J10376" s="309"/>
    </row>
    <row r="10377">
      <c r="B10377" s="309"/>
      <c r="C10377" s="309"/>
      <c r="I10377" s="309"/>
      <c r="J10377" s="309"/>
    </row>
    <row r="10378">
      <c r="B10378" s="309"/>
      <c r="C10378" s="309"/>
      <c r="I10378" s="309"/>
      <c r="J10378" s="309"/>
    </row>
    <row r="10379">
      <c r="B10379" s="309"/>
      <c r="C10379" s="309"/>
      <c r="I10379" s="309"/>
      <c r="J10379" s="309"/>
    </row>
    <row r="10380">
      <c r="B10380" s="309"/>
      <c r="C10380" s="309"/>
      <c r="I10380" s="309"/>
      <c r="J10380" s="309"/>
    </row>
    <row r="10381">
      <c r="B10381" s="309"/>
      <c r="C10381" s="309"/>
      <c r="I10381" s="309"/>
      <c r="J10381" s="309"/>
    </row>
    <row r="10382">
      <c r="B10382" s="309"/>
      <c r="C10382" s="309"/>
      <c r="I10382" s="309"/>
      <c r="J10382" s="309"/>
    </row>
    <row r="10383">
      <c r="B10383" s="309"/>
      <c r="C10383" s="309"/>
      <c r="I10383" s="309"/>
      <c r="J10383" s="309"/>
    </row>
    <row r="10384">
      <c r="B10384" s="309"/>
      <c r="C10384" s="309"/>
      <c r="I10384" s="309"/>
      <c r="J10384" s="309"/>
    </row>
    <row r="10385">
      <c r="B10385" s="309"/>
      <c r="C10385" s="309"/>
      <c r="I10385" s="309"/>
      <c r="J10385" s="309"/>
    </row>
    <row r="10386">
      <c r="B10386" s="309"/>
      <c r="C10386" s="309"/>
      <c r="I10386" s="309"/>
      <c r="J10386" s="309"/>
    </row>
    <row r="10387">
      <c r="B10387" s="309"/>
      <c r="C10387" s="309"/>
      <c r="I10387" s="309"/>
      <c r="J10387" s="309"/>
    </row>
    <row r="10388">
      <c r="B10388" s="309"/>
      <c r="C10388" s="309"/>
      <c r="I10388" s="309"/>
      <c r="J10388" s="309"/>
    </row>
    <row r="10389">
      <c r="B10389" s="309"/>
      <c r="C10389" s="309"/>
      <c r="I10389" s="309"/>
      <c r="J10389" s="309"/>
    </row>
    <row r="10390">
      <c r="B10390" s="309"/>
      <c r="C10390" s="309"/>
      <c r="I10390" s="309"/>
      <c r="J10390" s="309"/>
    </row>
    <row r="10391">
      <c r="B10391" s="309"/>
      <c r="C10391" s="309"/>
      <c r="I10391" s="309"/>
      <c r="J10391" s="309"/>
    </row>
    <row r="10392">
      <c r="B10392" s="309"/>
      <c r="C10392" s="309"/>
      <c r="I10392" s="309"/>
      <c r="J10392" s="309"/>
    </row>
    <row r="10393">
      <c r="B10393" s="309"/>
      <c r="C10393" s="309"/>
      <c r="I10393" s="309"/>
      <c r="J10393" s="309"/>
    </row>
    <row r="10394">
      <c r="B10394" s="309"/>
      <c r="C10394" s="309"/>
      <c r="I10394" s="309"/>
      <c r="J10394" s="309"/>
    </row>
    <row r="10395">
      <c r="B10395" s="309"/>
      <c r="C10395" s="309"/>
      <c r="I10395" s="309"/>
      <c r="J10395" s="309"/>
    </row>
    <row r="10396">
      <c r="B10396" s="309"/>
      <c r="C10396" s="309"/>
      <c r="I10396" s="309"/>
      <c r="J10396" s="309"/>
    </row>
    <row r="10397">
      <c r="B10397" s="309"/>
      <c r="C10397" s="309"/>
      <c r="I10397" s="309"/>
      <c r="J10397" s="309"/>
    </row>
    <row r="10398">
      <c r="B10398" s="309"/>
      <c r="C10398" s="309"/>
      <c r="I10398" s="309"/>
      <c r="J10398" s="309"/>
    </row>
    <row r="10399">
      <c r="B10399" s="309"/>
      <c r="C10399" s="309"/>
      <c r="I10399" s="309"/>
      <c r="J10399" s="309"/>
    </row>
    <row r="10400">
      <c r="B10400" s="309"/>
      <c r="C10400" s="309"/>
      <c r="I10400" s="309"/>
      <c r="J10400" s="309"/>
    </row>
    <row r="10401">
      <c r="B10401" s="309"/>
      <c r="C10401" s="309"/>
      <c r="I10401" s="309"/>
      <c r="J10401" s="309"/>
    </row>
    <row r="10402">
      <c r="B10402" s="309"/>
      <c r="C10402" s="309"/>
      <c r="I10402" s="309"/>
      <c r="J10402" s="309"/>
    </row>
    <row r="10403">
      <c r="B10403" s="309"/>
      <c r="C10403" s="309"/>
      <c r="I10403" s="309"/>
      <c r="J10403" s="309"/>
    </row>
    <row r="10404">
      <c r="B10404" s="309"/>
      <c r="C10404" s="309"/>
      <c r="I10404" s="309"/>
      <c r="J10404" s="309"/>
    </row>
    <row r="10405">
      <c r="B10405" s="309"/>
      <c r="C10405" s="309"/>
      <c r="I10405" s="309"/>
      <c r="J10405" s="309"/>
    </row>
    <row r="10406">
      <c r="B10406" s="309"/>
      <c r="C10406" s="309"/>
      <c r="I10406" s="309"/>
      <c r="J10406" s="309"/>
    </row>
    <row r="10407">
      <c r="B10407" s="309"/>
      <c r="C10407" s="309"/>
      <c r="I10407" s="309"/>
      <c r="J10407" s="309"/>
    </row>
    <row r="10408">
      <c r="B10408" s="309"/>
      <c r="C10408" s="309"/>
      <c r="I10408" s="309"/>
      <c r="J10408" s="309"/>
    </row>
    <row r="10409">
      <c r="B10409" s="309"/>
      <c r="C10409" s="309"/>
      <c r="I10409" s="309"/>
      <c r="J10409" s="309"/>
    </row>
    <row r="10410">
      <c r="B10410" s="309"/>
      <c r="C10410" s="309"/>
      <c r="I10410" s="309"/>
      <c r="J10410" s="309"/>
    </row>
    <row r="10411">
      <c r="B10411" s="309"/>
      <c r="C10411" s="309"/>
      <c r="I10411" s="309"/>
      <c r="J10411" s="309"/>
    </row>
    <row r="10412">
      <c r="B10412" s="309"/>
      <c r="C10412" s="309"/>
      <c r="I10412" s="309"/>
      <c r="J10412" s="309"/>
    </row>
    <row r="10413">
      <c r="B10413" s="309"/>
      <c r="C10413" s="309"/>
      <c r="I10413" s="309"/>
      <c r="J10413" s="309"/>
    </row>
    <row r="10414">
      <c r="B10414" s="309"/>
      <c r="C10414" s="309"/>
      <c r="I10414" s="309"/>
      <c r="J10414" s="309"/>
    </row>
    <row r="10415">
      <c r="B10415" s="309"/>
      <c r="C10415" s="309"/>
      <c r="I10415" s="309"/>
      <c r="J10415" s="309"/>
    </row>
    <row r="10416">
      <c r="B10416" s="309"/>
      <c r="C10416" s="309"/>
      <c r="I10416" s="309"/>
      <c r="J10416" s="309"/>
    </row>
    <row r="10417">
      <c r="B10417" s="309"/>
      <c r="C10417" s="309"/>
      <c r="I10417" s="309"/>
      <c r="J10417" s="309"/>
    </row>
    <row r="10418">
      <c r="B10418" s="309"/>
      <c r="C10418" s="309"/>
      <c r="I10418" s="309"/>
      <c r="J10418" s="309"/>
    </row>
    <row r="10419">
      <c r="B10419" s="309"/>
      <c r="C10419" s="309"/>
      <c r="I10419" s="309"/>
      <c r="J10419" s="309"/>
    </row>
    <row r="10420">
      <c r="B10420" s="309"/>
      <c r="C10420" s="309"/>
      <c r="I10420" s="309"/>
      <c r="J10420" s="309"/>
    </row>
    <row r="10421">
      <c r="B10421" s="309"/>
      <c r="C10421" s="309"/>
      <c r="I10421" s="309"/>
      <c r="J10421" s="309"/>
    </row>
    <row r="10422">
      <c r="B10422" s="309"/>
      <c r="C10422" s="309"/>
      <c r="I10422" s="309"/>
      <c r="J10422" s="309"/>
    </row>
    <row r="10423">
      <c r="B10423" s="309"/>
      <c r="C10423" s="309"/>
      <c r="I10423" s="309"/>
      <c r="J10423" s="309"/>
    </row>
    <row r="10424">
      <c r="B10424" s="309"/>
      <c r="C10424" s="309"/>
      <c r="I10424" s="309"/>
      <c r="J10424" s="309"/>
    </row>
    <row r="10425">
      <c r="B10425" s="309"/>
      <c r="C10425" s="309"/>
      <c r="I10425" s="309"/>
      <c r="J10425" s="309"/>
    </row>
    <row r="10426">
      <c r="B10426" s="309"/>
      <c r="C10426" s="309"/>
      <c r="I10426" s="309"/>
      <c r="J10426" s="309"/>
    </row>
    <row r="10427">
      <c r="B10427" s="309"/>
      <c r="C10427" s="309"/>
      <c r="I10427" s="309"/>
      <c r="J10427" s="309"/>
    </row>
    <row r="10428">
      <c r="B10428" s="309"/>
      <c r="C10428" s="309"/>
      <c r="I10428" s="309"/>
      <c r="J10428" s="309"/>
    </row>
    <row r="10429">
      <c r="B10429" s="309"/>
      <c r="C10429" s="309"/>
      <c r="I10429" s="309"/>
      <c r="J10429" s="309"/>
    </row>
    <row r="10430">
      <c r="B10430" s="309"/>
      <c r="C10430" s="309"/>
      <c r="I10430" s="309"/>
      <c r="J10430" s="309"/>
    </row>
    <row r="10431">
      <c r="B10431" s="309"/>
      <c r="C10431" s="309"/>
      <c r="I10431" s="309"/>
      <c r="J10431" s="309"/>
    </row>
    <row r="10432">
      <c r="B10432" s="309"/>
      <c r="C10432" s="309"/>
      <c r="I10432" s="309"/>
      <c r="J10432" s="309"/>
    </row>
    <row r="10433">
      <c r="B10433" s="309"/>
      <c r="C10433" s="309"/>
      <c r="I10433" s="309"/>
      <c r="J10433" s="309"/>
    </row>
    <row r="10434">
      <c r="B10434" s="309"/>
      <c r="C10434" s="309"/>
      <c r="I10434" s="309"/>
      <c r="J10434" s="309"/>
    </row>
    <row r="10435">
      <c r="B10435" s="309"/>
      <c r="C10435" s="309"/>
      <c r="I10435" s="309"/>
      <c r="J10435" s="309"/>
    </row>
    <row r="10436">
      <c r="B10436" s="309"/>
      <c r="C10436" s="309"/>
      <c r="I10436" s="309"/>
      <c r="J10436" s="309"/>
    </row>
    <row r="10437">
      <c r="B10437" s="309"/>
      <c r="C10437" s="309"/>
      <c r="I10437" s="309"/>
      <c r="J10437" s="309"/>
    </row>
    <row r="10438">
      <c r="B10438" s="309"/>
      <c r="C10438" s="309"/>
      <c r="I10438" s="309"/>
      <c r="J10438" s="309"/>
    </row>
    <row r="10439">
      <c r="B10439" s="309"/>
      <c r="C10439" s="309"/>
      <c r="I10439" s="309"/>
      <c r="J10439" s="309"/>
    </row>
    <row r="10440">
      <c r="B10440" s="309"/>
      <c r="C10440" s="309"/>
      <c r="I10440" s="309"/>
      <c r="J10440" s="309"/>
    </row>
    <row r="10441">
      <c r="B10441" s="309"/>
      <c r="C10441" s="309"/>
      <c r="I10441" s="309"/>
      <c r="J10441" s="309"/>
    </row>
    <row r="10442">
      <c r="B10442" s="309"/>
      <c r="C10442" s="309"/>
      <c r="I10442" s="309"/>
      <c r="J10442" s="309"/>
    </row>
    <row r="10443">
      <c r="B10443" s="309"/>
      <c r="C10443" s="309"/>
      <c r="I10443" s="309"/>
      <c r="J10443" s="309"/>
    </row>
    <row r="10444">
      <c r="B10444" s="309"/>
      <c r="C10444" s="309"/>
      <c r="I10444" s="309"/>
      <c r="J10444" s="309"/>
    </row>
    <row r="10445">
      <c r="B10445" s="309"/>
      <c r="C10445" s="309"/>
      <c r="I10445" s="309"/>
      <c r="J10445" s="309"/>
    </row>
    <row r="10446">
      <c r="B10446" s="309"/>
      <c r="C10446" s="309"/>
      <c r="I10446" s="309"/>
      <c r="J10446" s="309"/>
    </row>
    <row r="10447">
      <c r="B10447" s="309"/>
      <c r="C10447" s="309"/>
      <c r="I10447" s="309"/>
      <c r="J10447" s="309"/>
    </row>
    <row r="10448">
      <c r="B10448" s="309"/>
      <c r="C10448" s="309"/>
      <c r="I10448" s="309"/>
      <c r="J10448" s="309"/>
    </row>
    <row r="10449">
      <c r="B10449" s="309"/>
      <c r="C10449" s="309"/>
      <c r="I10449" s="309"/>
      <c r="J10449" s="309"/>
    </row>
    <row r="10450">
      <c r="B10450" s="309"/>
      <c r="C10450" s="309"/>
      <c r="I10450" s="309"/>
      <c r="J10450" s="309"/>
    </row>
    <row r="10451">
      <c r="B10451" s="309"/>
      <c r="C10451" s="309"/>
      <c r="I10451" s="309"/>
      <c r="J10451" s="309"/>
    </row>
    <row r="10452">
      <c r="B10452" s="309"/>
      <c r="C10452" s="309"/>
      <c r="I10452" s="309"/>
      <c r="J10452" s="309"/>
    </row>
    <row r="10453">
      <c r="B10453" s="309"/>
      <c r="C10453" s="309"/>
      <c r="I10453" s="309"/>
      <c r="J10453" s="309"/>
    </row>
    <row r="10454">
      <c r="B10454" s="309"/>
      <c r="C10454" s="309"/>
      <c r="I10454" s="309"/>
      <c r="J10454" s="309"/>
    </row>
    <row r="10455">
      <c r="B10455" s="309"/>
      <c r="C10455" s="309"/>
      <c r="I10455" s="309"/>
      <c r="J10455" s="309"/>
    </row>
    <row r="10456">
      <c r="B10456" s="309"/>
      <c r="C10456" s="309"/>
      <c r="I10456" s="309"/>
      <c r="J10456" s="309"/>
    </row>
    <row r="10457">
      <c r="B10457" s="309"/>
      <c r="C10457" s="309"/>
      <c r="I10457" s="309"/>
      <c r="J10457" s="309"/>
    </row>
    <row r="10458">
      <c r="B10458" s="309"/>
      <c r="C10458" s="309"/>
      <c r="I10458" s="309"/>
      <c r="J10458" s="309"/>
    </row>
    <row r="10459">
      <c r="B10459" s="309"/>
      <c r="C10459" s="309"/>
      <c r="I10459" s="309"/>
      <c r="J10459" s="309"/>
    </row>
    <row r="10460">
      <c r="B10460" s="309"/>
      <c r="C10460" s="309"/>
      <c r="I10460" s="309"/>
      <c r="J10460" s="309"/>
    </row>
    <row r="10461">
      <c r="B10461" s="309"/>
      <c r="C10461" s="309"/>
      <c r="I10461" s="309"/>
      <c r="J10461" s="309"/>
    </row>
    <row r="10462">
      <c r="B10462" s="309"/>
      <c r="C10462" s="309"/>
      <c r="I10462" s="309"/>
      <c r="J10462" s="309"/>
    </row>
    <row r="10463">
      <c r="B10463" s="309"/>
      <c r="C10463" s="309"/>
      <c r="I10463" s="309"/>
      <c r="J10463" s="309"/>
    </row>
    <row r="10464">
      <c r="B10464" s="309"/>
      <c r="C10464" s="309"/>
      <c r="I10464" s="309"/>
      <c r="J10464" s="309"/>
    </row>
    <row r="10465">
      <c r="B10465" s="309"/>
      <c r="C10465" s="309"/>
      <c r="I10465" s="309"/>
      <c r="J10465" s="309"/>
    </row>
    <row r="10466">
      <c r="B10466" s="309"/>
      <c r="C10466" s="309"/>
      <c r="I10466" s="309"/>
      <c r="J10466" s="309"/>
    </row>
    <row r="10467">
      <c r="B10467" s="309"/>
      <c r="C10467" s="309"/>
      <c r="I10467" s="309"/>
      <c r="J10467" s="309"/>
    </row>
    <row r="10468">
      <c r="B10468" s="309"/>
      <c r="C10468" s="309"/>
      <c r="I10468" s="309"/>
      <c r="J10468" s="309"/>
    </row>
    <row r="10469">
      <c r="B10469" s="309"/>
      <c r="C10469" s="309"/>
      <c r="I10469" s="309"/>
      <c r="J10469" s="309"/>
    </row>
    <row r="10470">
      <c r="B10470" s="309"/>
      <c r="C10470" s="309"/>
      <c r="I10470" s="309"/>
      <c r="J10470" s="309"/>
    </row>
    <row r="10471">
      <c r="B10471" s="309"/>
      <c r="C10471" s="309"/>
      <c r="I10471" s="309"/>
      <c r="J10471" s="309"/>
    </row>
    <row r="10472">
      <c r="B10472" s="309"/>
      <c r="C10472" s="309"/>
      <c r="I10472" s="309"/>
      <c r="J10472" s="309"/>
    </row>
    <row r="10473">
      <c r="B10473" s="309"/>
      <c r="C10473" s="309"/>
      <c r="I10473" s="309"/>
      <c r="J10473" s="309"/>
    </row>
    <row r="10474">
      <c r="B10474" s="309"/>
      <c r="C10474" s="309"/>
      <c r="I10474" s="309"/>
      <c r="J10474" s="309"/>
    </row>
    <row r="10475">
      <c r="B10475" s="309"/>
      <c r="C10475" s="309"/>
      <c r="I10475" s="309"/>
      <c r="J10475" s="309"/>
    </row>
    <row r="10476">
      <c r="B10476" s="309"/>
      <c r="C10476" s="309"/>
      <c r="I10476" s="309"/>
      <c r="J10476" s="309"/>
    </row>
    <row r="10477">
      <c r="B10477" s="309"/>
      <c r="C10477" s="309"/>
      <c r="I10477" s="309"/>
      <c r="J10477" s="309"/>
    </row>
    <row r="10478">
      <c r="B10478" s="309"/>
      <c r="C10478" s="309"/>
      <c r="I10478" s="309"/>
      <c r="J10478" s="309"/>
    </row>
    <row r="10479">
      <c r="B10479" s="309"/>
      <c r="C10479" s="309"/>
      <c r="I10479" s="309"/>
      <c r="J10479" s="309"/>
    </row>
    <row r="10480">
      <c r="B10480" s="309"/>
      <c r="C10480" s="309"/>
      <c r="I10480" s="309"/>
      <c r="J10480" s="309"/>
    </row>
    <row r="10481">
      <c r="B10481" s="309"/>
      <c r="C10481" s="309"/>
      <c r="I10481" s="309"/>
      <c r="J10481" s="309"/>
    </row>
    <row r="10482">
      <c r="B10482" s="309"/>
      <c r="C10482" s="309"/>
      <c r="I10482" s="309"/>
      <c r="J10482" s="309"/>
    </row>
    <row r="10483">
      <c r="B10483" s="309"/>
      <c r="C10483" s="309"/>
      <c r="I10483" s="309"/>
      <c r="J10483" s="309"/>
    </row>
    <row r="10484">
      <c r="B10484" s="309"/>
      <c r="C10484" s="309"/>
      <c r="I10484" s="309"/>
      <c r="J10484" s="309"/>
    </row>
    <row r="10485">
      <c r="B10485" s="309"/>
      <c r="C10485" s="309"/>
      <c r="I10485" s="309"/>
      <c r="J10485" s="309"/>
    </row>
    <row r="10486">
      <c r="B10486" s="309"/>
      <c r="C10486" s="309"/>
      <c r="I10486" s="309"/>
      <c r="J10486" s="309"/>
    </row>
    <row r="10487">
      <c r="B10487" s="309"/>
      <c r="C10487" s="309"/>
      <c r="I10487" s="309"/>
      <c r="J10487" s="309"/>
    </row>
    <row r="10488">
      <c r="B10488" s="309"/>
      <c r="C10488" s="309"/>
      <c r="I10488" s="309"/>
      <c r="J10488" s="309"/>
    </row>
    <row r="10489">
      <c r="B10489" s="309"/>
      <c r="C10489" s="309"/>
      <c r="I10489" s="309"/>
      <c r="J10489" s="309"/>
    </row>
    <row r="10490">
      <c r="B10490" s="309"/>
      <c r="C10490" s="309"/>
      <c r="I10490" s="309"/>
      <c r="J10490" s="309"/>
    </row>
    <row r="10491">
      <c r="B10491" s="309"/>
      <c r="C10491" s="309"/>
      <c r="I10491" s="309"/>
      <c r="J10491" s="309"/>
    </row>
    <row r="10492">
      <c r="B10492" s="309"/>
      <c r="C10492" s="309"/>
      <c r="I10492" s="309"/>
      <c r="J10492" s="309"/>
    </row>
    <row r="10493">
      <c r="B10493" s="309"/>
      <c r="C10493" s="309"/>
      <c r="I10493" s="309"/>
      <c r="J10493" s="309"/>
    </row>
    <row r="10494">
      <c r="B10494" s="309"/>
      <c r="C10494" s="309"/>
      <c r="I10494" s="309"/>
      <c r="J10494" s="309"/>
    </row>
    <row r="10495">
      <c r="B10495" s="309"/>
      <c r="C10495" s="309"/>
      <c r="I10495" s="309"/>
      <c r="J10495" s="309"/>
    </row>
    <row r="10496">
      <c r="B10496" s="309"/>
      <c r="C10496" s="309"/>
      <c r="I10496" s="309"/>
      <c r="J10496" s="309"/>
    </row>
    <row r="10497">
      <c r="B10497" s="309"/>
      <c r="C10497" s="309"/>
      <c r="I10497" s="309"/>
      <c r="J10497" s="309"/>
    </row>
    <row r="10498">
      <c r="B10498" s="309"/>
      <c r="C10498" s="309"/>
      <c r="I10498" s="309"/>
      <c r="J10498" s="309"/>
    </row>
    <row r="10499">
      <c r="B10499" s="309"/>
      <c r="C10499" s="309"/>
      <c r="I10499" s="309"/>
      <c r="J10499" s="309"/>
    </row>
    <row r="10500">
      <c r="B10500" s="309"/>
      <c r="C10500" s="309"/>
      <c r="I10500" s="309"/>
      <c r="J10500" s="309"/>
    </row>
    <row r="10501">
      <c r="B10501" s="309"/>
      <c r="C10501" s="309"/>
      <c r="I10501" s="309"/>
      <c r="J10501" s="309"/>
    </row>
    <row r="10502">
      <c r="B10502" s="309"/>
      <c r="C10502" s="309"/>
      <c r="I10502" s="309"/>
      <c r="J10502" s="309"/>
    </row>
    <row r="10503">
      <c r="B10503" s="309"/>
      <c r="C10503" s="309"/>
      <c r="I10503" s="309"/>
      <c r="J10503" s="309"/>
    </row>
    <row r="10504">
      <c r="B10504" s="309"/>
      <c r="C10504" s="309"/>
      <c r="I10504" s="309"/>
      <c r="J10504" s="309"/>
    </row>
    <row r="10505">
      <c r="B10505" s="309"/>
      <c r="C10505" s="309"/>
      <c r="I10505" s="309"/>
      <c r="J10505" s="309"/>
    </row>
    <row r="10506">
      <c r="B10506" s="309"/>
      <c r="C10506" s="309"/>
      <c r="I10506" s="309"/>
      <c r="J10506" s="309"/>
    </row>
    <row r="10507">
      <c r="B10507" s="309"/>
      <c r="C10507" s="309"/>
      <c r="I10507" s="309"/>
      <c r="J10507" s="309"/>
    </row>
    <row r="10508">
      <c r="B10508" s="309"/>
      <c r="C10508" s="309"/>
      <c r="I10508" s="309"/>
      <c r="J10508" s="309"/>
    </row>
    <row r="10509">
      <c r="B10509" s="309"/>
      <c r="C10509" s="309"/>
      <c r="I10509" s="309"/>
      <c r="J10509" s="309"/>
    </row>
    <row r="10510">
      <c r="B10510" s="309"/>
      <c r="C10510" s="309"/>
      <c r="I10510" s="309"/>
      <c r="J10510" s="309"/>
    </row>
    <row r="10511">
      <c r="B10511" s="309"/>
      <c r="C10511" s="309"/>
      <c r="I10511" s="309"/>
      <c r="J10511" s="309"/>
    </row>
    <row r="10512">
      <c r="B10512" s="309"/>
      <c r="C10512" s="309"/>
      <c r="I10512" s="309"/>
      <c r="J10512" s="309"/>
    </row>
    <row r="10513">
      <c r="B10513" s="309"/>
      <c r="C10513" s="309"/>
      <c r="I10513" s="309"/>
      <c r="J10513" s="309"/>
    </row>
    <row r="10514">
      <c r="B10514" s="309"/>
      <c r="C10514" s="309"/>
      <c r="I10514" s="309"/>
      <c r="J10514" s="309"/>
    </row>
    <row r="10515">
      <c r="B10515" s="309"/>
      <c r="C10515" s="309"/>
      <c r="I10515" s="309"/>
      <c r="J10515" s="309"/>
    </row>
    <row r="10516">
      <c r="B10516" s="309"/>
      <c r="C10516" s="309"/>
      <c r="I10516" s="309"/>
      <c r="J10516" s="309"/>
    </row>
    <row r="10517">
      <c r="B10517" s="309"/>
      <c r="C10517" s="309"/>
      <c r="I10517" s="309"/>
      <c r="J10517" s="309"/>
    </row>
    <row r="10518">
      <c r="B10518" s="309"/>
      <c r="C10518" s="309"/>
      <c r="I10518" s="309"/>
      <c r="J10518" s="309"/>
    </row>
    <row r="10519">
      <c r="B10519" s="309"/>
      <c r="C10519" s="309"/>
      <c r="I10519" s="309"/>
      <c r="J10519" s="309"/>
    </row>
    <row r="10520">
      <c r="B10520" s="309"/>
      <c r="C10520" s="309"/>
      <c r="I10520" s="309"/>
      <c r="J10520" s="309"/>
    </row>
    <row r="10521">
      <c r="B10521" s="309"/>
      <c r="C10521" s="309"/>
      <c r="I10521" s="309"/>
      <c r="J10521" s="309"/>
    </row>
    <row r="10522">
      <c r="B10522" s="309"/>
      <c r="C10522" s="309"/>
      <c r="I10522" s="309"/>
      <c r="J10522" s="309"/>
    </row>
    <row r="10523">
      <c r="B10523" s="309"/>
      <c r="C10523" s="309"/>
      <c r="I10523" s="309"/>
      <c r="J10523" s="309"/>
    </row>
    <row r="10524">
      <c r="B10524" s="309"/>
      <c r="C10524" s="309"/>
      <c r="I10524" s="309"/>
      <c r="J10524" s="309"/>
    </row>
    <row r="10525">
      <c r="B10525" s="309"/>
      <c r="C10525" s="309"/>
      <c r="I10525" s="309"/>
      <c r="J10525" s="309"/>
    </row>
    <row r="10526">
      <c r="B10526" s="309"/>
      <c r="C10526" s="309"/>
      <c r="I10526" s="309"/>
      <c r="J10526" s="309"/>
    </row>
    <row r="10527">
      <c r="B10527" s="309"/>
      <c r="C10527" s="309"/>
      <c r="I10527" s="309"/>
      <c r="J10527" s="309"/>
    </row>
    <row r="10528">
      <c r="B10528" s="309"/>
      <c r="C10528" s="309"/>
      <c r="I10528" s="309"/>
      <c r="J10528" s="309"/>
    </row>
    <row r="10529">
      <c r="B10529" s="309"/>
      <c r="C10529" s="309"/>
      <c r="I10529" s="309"/>
      <c r="J10529" s="309"/>
    </row>
    <row r="10530">
      <c r="B10530" s="309"/>
      <c r="C10530" s="309"/>
      <c r="I10530" s="309"/>
      <c r="J10530" s="309"/>
    </row>
    <row r="10531">
      <c r="B10531" s="309"/>
      <c r="C10531" s="309"/>
      <c r="I10531" s="309"/>
      <c r="J10531" s="309"/>
    </row>
    <row r="10532">
      <c r="B10532" s="309"/>
      <c r="C10532" s="309"/>
      <c r="I10532" s="309"/>
      <c r="J10532" s="309"/>
    </row>
    <row r="10533">
      <c r="B10533" s="309"/>
      <c r="C10533" s="309"/>
      <c r="I10533" s="309"/>
      <c r="J10533" s="309"/>
    </row>
    <row r="10534">
      <c r="B10534" s="309"/>
      <c r="C10534" s="309"/>
      <c r="I10534" s="309"/>
      <c r="J10534" s="309"/>
    </row>
    <row r="10535">
      <c r="B10535" s="309"/>
      <c r="C10535" s="309"/>
      <c r="I10535" s="309"/>
      <c r="J10535" s="309"/>
    </row>
    <row r="10536">
      <c r="B10536" s="309"/>
      <c r="C10536" s="309"/>
      <c r="I10536" s="309"/>
      <c r="J10536" s="309"/>
    </row>
    <row r="10537">
      <c r="B10537" s="309"/>
      <c r="C10537" s="309"/>
      <c r="I10537" s="309"/>
      <c r="J10537" s="309"/>
    </row>
    <row r="10538">
      <c r="B10538" s="309"/>
      <c r="C10538" s="309"/>
      <c r="I10538" s="309"/>
      <c r="J10538" s="309"/>
    </row>
    <row r="10539">
      <c r="B10539" s="309"/>
      <c r="C10539" s="309"/>
      <c r="I10539" s="309"/>
      <c r="J10539" s="309"/>
    </row>
    <row r="10540">
      <c r="B10540" s="309"/>
      <c r="C10540" s="309"/>
      <c r="I10540" s="309"/>
      <c r="J10540" s="309"/>
    </row>
    <row r="10541">
      <c r="B10541" s="309"/>
      <c r="C10541" s="309"/>
      <c r="I10541" s="309"/>
      <c r="J10541" s="309"/>
    </row>
    <row r="10542">
      <c r="B10542" s="309"/>
      <c r="C10542" s="309"/>
      <c r="I10542" s="309"/>
      <c r="J10542" s="309"/>
    </row>
    <row r="10543">
      <c r="B10543" s="309"/>
      <c r="C10543" s="309"/>
      <c r="I10543" s="309"/>
      <c r="J10543" s="309"/>
    </row>
    <row r="10544">
      <c r="B10544" s="309"/>
      <c r="C10544" s="309"/>
      <c r="I10544" s="309"/>
      <c r="J10544" s="309"/>
    </row>
    <row r="10545">
      <c r="B10545" s="309"/>
      <c r="C10545" s="309"/>
      <c r="I10545" s="309"/>
      <c r="J10545" s="309"/>
    </row>
    <row r="10546">
      <c r="B10546" s="309"/>
      <c r="C10546" s="309"/>
      <c r="I10546" s="309"/>
      <c r="J10546" s="309"/>
    </row>
    <row r="10547">
      <c r="B10547" s="309"/>
      <c r="C10547" s="309"/>
      <c r="I10547" s="309"/>
      <c r="J10547" s="309"/>
    </row>
    <row r="10548">
      <c r="B10548" s="309"/>
      <c r="C10548" s="309"/>
      <c r="I10548" s="309"/>
      <c r="J10548" s="309"/>
    </row>
    <row r="10549">
      <c r="B10549" s="309"/>
      <c r="C10549" s="309"/>
      <c r="I10549" s="309"/>
      <c r="J10549" s="309"/>
    </row>
    <row r="10550">
      <c r="B10550" s="309"/>
      <c r="C10550" s="309"/>
      <c r="I10550" s="309"/>
      <c r="J10550" s="309"/>
    </row>
    <row r="10551">
      <c r="B10551" s="309"/>
      <c r="C10551" s="309"/>
      <c r="I10551" s="309"/>
      <c r="J10551" s="309"/>
    </row>
    <row r="10552">
      <c r="B10552" s="309"/>
      <c r="C10552" s="309"/>
      <c r="I10552" s="309"/>
      <c r="J10552" s="309"/>
    </row>
    <row r="10553">
      <c r="B10553" s="309"/>
      <c r="C10553" s="309"/>
      <c r="I10553" s="309"/>
      <c r="J10553" s="309"/>
    </row>
    <row r="10554">
      <c r="B10554" s="309"/>
      <c r="C10554" s="309"/>
      <c r="I10554" s="309"/>
      <c r="J10554" s="309"/>
    </row>
    <row r="10555">
      <c r="B10555" s="309"/>
      <c r="C10555" s="309"/>
      <c r="I10555" s="309"/>
      <c r="J10555" s="309"/>
    </row>
    <row r="10556">
      <c r="B10556" s="309"/>
      <c r="C10556" s="309"/>
      <c r="I10556" s="309"/>
      <c r="J10556" s="309"/>
    </row>
    <row r="10557">
      <c r="B10557" s="309"/>
      <c r="C10557" s="309"/>
      <c r="I10557" s="309"/>
      <c r="J10557" s="309"/>
    </row>
    <row r="10558">
      <c r="B10558" s="309"/>
      <c r="C10558" s="309"/>
      <c r="I10558" s="309"/>
      <c r="J10558" s="309"/>
    </row>
    <row r="10559">
      <c r="B10559" s="309"/>
      <c r="C10559" s="309"/>
      <c r="I10559" s="309"/>
      <c r="J10559" s="309"/>
    </row>
    <row r="10560">
      <c r="B10560" s="309"/>
      <c r="C10560" s="309"/>
      <c r="I10560" s="309"/>
      <c r="J10560" s="309"/>
    </row>
    <row r="10561">
      <c r="B10561" s="309"/>
      <c r="C10561" s="309"/>
      <c r="I10561" s="309"/>
      <c r="J10561" s="309"/>
    </row>
    <row r="10562">
      <c r="B10562" s="309"/>
      <c r="C10562" s="309"/>
      <c r="I10562" s="309"/>
      <c r="J10562" s="309"/>
    </row>
    <row r="10563">
      <c r="B10563" s="309"/>
      <c r="C10563" s="309"/>
      <c r="I10563" s="309"/>
      <c r="J10563" s="309"/>
    </row>
    <row r="10564">
      <c r="B10564" s="309"/>
      <c r="C10564" s="309"/>
      <c r="I10564" s="309"/>
      <c r="J10564" s="309"/>
    </row>
    <row r="10565">
      <c r="B10565" s="309"/>
      <c r="C10565" s="309"/>
      <c r="I10565" s="309"/>
      <c r="J10565" s="309"/>
    </row>
    <row r="10566">
      <c r="B10566" s="309"/>
      <c r="C10566" s="309"/>
      <c r="I10566" s="309"/>
      <c r="J10566" s="309"/>
    </row>
    <row r="10567">
      <c r="B10567" s="309"/>
      <c r="C10567" s="309"/>
      <c r="I10567" s="309"/>
      <c r="J10567" s="309"/>
    </row>
    <row r="10568">
      <c r="B10568" s="309"/>
      <c r="C10568" s="309"/>
      <c r="I10568" s="309"/>
      <c r="J10568" s="309"/>
    </row>
    <row r="10569">
      <c r="B10569" s="309"/>
      <c r="C10569" s="309"/>
      <c r="I10569" s="309"/>
      <c r="J10569" s="309"/>
    </row>
    <row r="10570">
      <c r="B10570" s="309"/>
      <c r="C10570" s="309"/>
      <c r="I10570" s="309"/>
      <c r="J10570" s="309"/>
    </row>
    <row r="10571">
      <c r="B10571" s="309"/>
      <c r="C10571" s="309"/>
      <c r="I10571" s="309"/>
      <c r="J10571" s="309"/>
    </row>
    <row r="10572">
      <c r="B10572" s="309"/>
      <c r="C10572" s="309"/>
      <c r="I10572" s="309"/>
      <c r="J10572" s="309"/>
    </row>
    <row r="10573">
      <c r="B10573" s="309"/>
      <c r="C10573" s="309"/>
      <c r="I10573" s="309"/>
      <c r="J10573" s="309"/>
    </row>
    <row r="10574">
      <c r="B10574" s="309"/>
      <c r="C10574" s="309"/>
      <c r="I10574" s="309"/>
      <c r="J10574" s="309"/>
    </row>
    <row r="10575">
      <c r="B10575" s="309"/>
      <c r="C10575" s="309"/>
      <c r="I10575" s="309"/>
      <c r="J10575" s="309"/>
    </row>
    <row r="10576">
      <c r="B10576" s="309"/>
      <c r="C10576" s="309"/>
      <c r="I10576" s="309"/>
      <c r="J10576" s="309"/>
    </row>
    <row r="10577">
      <c r="B10577" s="309"/>
      <c r="C10577" s="309"/>
      <c r="I10577" s="309"/>
      <c r="J10577" s="309"/>
    </row>
    <row r="10578">
      <c r="B10578" s="309"/>
      <c r="C10578" s="309"/>
      <c r="I10578" s="309"/>
      <c r="J10578" s="309"/>
    </row>
    <row r="10579">
      <c r="B10579" s="309"/>
      <c r="C10579" s="309"/>
      <c r="I10579" s="309"/>
      <c r="J10579" s="309"/>
    </row>
    <row r="10580">
      <c r="B10580" s="309"/>
      <c r="C10580" s="309"/>
      <c r="I10580" s="309"/>
      <c r="J10580" s="309"/>
    </row>
    <row r="10581">
      <c r="B10581" s="309"/>
      <c r="C10581" s="309"/>
      <c r="I10581" s="309"/>
      <c r="J10581" s="309"/>
    </row>
    <row r="10582">
      <c r="B10582" s="309"/>
      <c r="C10582" s="309"/>
      <c r="I10582" s="309"/>
      <c r="J10582" s="309"/>
    </row>
    <row r="10583">
      <c r="B10583" s="309"/>
      <c r="C10583" s="309"/>
      <c r="I10583" s="309"/>
      <c r="J10583" s="309"/>
    </row>
    <row r="10584">
      <c r="B10584" s="309"/>
      <c r="C10584" s="309"/>
      <c r="I10584" s="309"/>
      <c r="J10584" s="309"/>
    </row>
    <row r="10585">
      <c r="B10585" s="309"/>
      <c r="C10585" s="309"/>
      <c r="I10585" s="309"/>
      <c r="J10585" s="309"/>
    </row>
    <row r="10586">
      <c r="B10586" s="309"/>
      <c r="C10586" s="309"/>
      <c r="I10586" s="309"/>
      <c r="J10586" s="309"/>
    </row>
    <row r="10587">
      <c r="B10587" s="309"/>
      <c r="C10587" s="309"/>
      <c r="I10587" s="309"/>
      <c r="J10587" s="309"/>
    </row>
    <row r="10588">
      <c r="B10588" s="309"/>
      <c r="C10588" s="309"/>
      <c r="I10588" s="309"/>
      <c r="J10588" s="309"/>
    </row>
    <row r="10589">
      <c r="B10589" s="309"/>
      <c r="C10589" s="309"/>
      <c r="I10589" s="309"/>
      <c r="J10589" s="309"/>
    </row>
    <row r="10590">
      <c r="B10590" s="309"/>
      <c r="C10590" s="309"/>
      <c r="I10590" s="309"/>
      <c r="J10590" s="309"/>
    </row>
    <row r="10591">
      <c r="B10591" s="309"/>
      <c r="C10591" s="309"/>
      <c r="I10591" s="309"/>
      <c r="J10591" s="309"/>
    </row>
    <row r="10592">
      <c r="B10592" s="309"/>
      <c r="C10592" s="309"/>
      <c r="I10592" s="309"/>
      <c r="J10592" s="309"/>
    </row>
    <row r="10593">
      <c r="B10593" s="309"/>
      <c r="C10593" s="309"/>
      <c r="I10593" s="309"/>
      <c r="J10593" s="309"/>
    </row>
    <row r="10594">
      <c r="B10594" s="309"/>
      <c r="C10594" s="309"/>
      <c r="I10594" s="309"/>
      <c r="J10594" s="309"/>
    </row>
    <row r="10595">
      <c r="B10595" s="309"/>
      <c r="C10595" s="309"/>
      <c r="I10595" s="309"/>
      <c r="J10595" s="309"/>
    </row>
    <row r="10596">
      <c r="B10596" s="309"/>
      <c r="C10596" s="309"/>
      <c r="I10596" s="309"/>
      <c r="J10596" s="309"/>
    </row>
    <row r="10597">
      <c r="B10597" s="309"/>
      <c r="C10597" s="309"/>
      <c r="I10597" s="309"/>
      <c r="J10597" s="309"/>
    </row>
    <row r="10598">
      <c r="B10598" s="309"/>
      <c r="C10598" s="309"/>
      <c r="I10598" s="309"/>
      <c r="J10598" s="309"/>
    </row>
    <row r="10599">
      <c r="B10599" s="309"/>
      <c r="C10599" s="309"/>
      <c r="I10599" s="309"/>
      <c r="J10599" s="309"/>
    </row>
    <row r="10600">
      <c r="B10600" s="309"/>
      <c r="C10600" s="309"/>
      <c r="I10600" s="309"/>
      <c r="J10600" s="309"/>
    </row>
    <row r="10601">
      <c r="B10601" s="309"/>
      <c r="C10601" s="309"/>
      <c r="I10601" s="309"/>
      <c r="J10601" s="309"/>
    </row>
    <row r="10602">
      <c r="B10602" s="309"/>
      <c r="C10602" s="309"/>
      <c r="I10602" s="309"/>
      <c r="J10602" s="309"/>
    </row>
    <row r="10603">
      <c r="B10603" s="309"/>
      <c r="C10603" s="309"/>
      <c r="I10603" s="309"/>
      <c r="J10603" s="309"/>
    </row>
    <row r="10604">
      <c r="B10604" s="309"/>
      <c r="C10604" s="309"/>
      <c r="I10604" s="309"/>
      <c r="J10604" s="309"/>
    </row>
    <row r="10605">
      <c r="B10605" s="309"/>
      <c r="C10605" s="309"/>
      <c r="I10605" s="309"/>
      <c r="J10605" s="309"/>
    </row>
    <row r="10606">
      <c r="B10606" s="309"/>
      <c r="C10606" s="309"/>
      <c r="I10606" s="309"/>
      <c r="J10606" s="309"/>
    </row>
    <row r="10607">
      <c r="B10607" s="309"/>
      <c r="C10607" s="309"/>
      <c r="I10607" s="309"/>
      <c r="J10607" s="309"/>
    </row>
    <row r="10608">
      <c r="B10608" s="309"/>
      <c r="C10608" s="309"/>
      <c r="I10608" s="309"/>
      <c r="J10608" s="309"/>
    </row>
    <row r="10609">
      <c r="B10609" s="309"/>
      <c r="C10609" s="309"/>
      <c r="I10609" s="309"/>
      <c r="J10609" s="309"/>
    </row>
    <row r="10610">
      <c r="B10610" s="309"/>
      <c r="C10610" s="309"/>
      <c r="I10610" s="309"/>
      <c r="J10610" s="309"/>
    </row>
    <row r="10611">
      <c r="B10611" s="309"/>
      <c r="C10611" s="309"/>
      <c r="I10611" s="309"/>
      <c r="J10611" s="309"/>
    </row>
    <row r="10612">
      <c r="B10612" s="309"/>
      <c r="C10612" s="309"/>
      <c r="I10612" s="309"/>
      <c r="J10612" s="309"/>
    </row>
    <row r="10613">
      <c r="B10613" s="309"/>
      <c r="C10613" s="309"/>
      <c r="I10613" s="309"/>
      <c r="J10613" s="309"/>
    </row>
    <row r="10614">
      <c r="B10614" s="309"/>
      <c r="C10614" s="309"/>
      <c r="I10614" s="309"/>
      <c r="J10614" s="309"/>
    </row>
    <row r="10615">
      <c r="B10615" s="309"/>
      <c r="C10615" s="309"/>
      <c r="I10615" s="309"/>
      <c r="J10615" s="309"/>
    </row>
    <row r="10616">
      <c r="B10616" s="309"/>
      <c r="C10616" s="309"/>
      <c r="I10616" s="309"/>
      <c r="J10616" s="309"/>
    </row>
    <row r="10617">
      <c r="B10617" s="309"/>
      <c r="C10617" s="309"/>
      <c r="I10617" s="309"/>
      <c r="J10617" s="309"/>
    </row>
    <row r="10618">
      <c r="B10618" s="309"/>
      <c r="C10618" s="309"/>
      <c r="I10618" s="309"/>
      <c r="J10618" s="309"/>
    </row>
    <row r="10619">
      <c r="B10619" s="309"/>
      <c r="C10619" s="309"/>
      <c r="I10619" s="309"/>
      <c r="J10619" s="309"/>
    </row>
    <row r="10620">
      <c r="B10620" s="309"/>
      <c r="C10620" s="309"/>
      <c r="I10620" s="309"/>
      <c r="J10620" s="309"/>
    </row>
    <row r="10621">
      <c r="B10621" s="309"/>
      <c r="C10621" s="309"/>
      <c r="I10621" s="309"/>
      <c r="J10621" s="309"/>
    </row>
    <row r="10622">
      <c r="B10622" s="309"/>
      <c r="C10622" s="309"/>
      <c r="I10622" s="309"/>
      <c r="J10622" s="309"/>
    </row>
    <row r="10623">
      <c r="B10623" s="309"/>
      <c r="C10623" s="309"/>
      <c r="I10623" s="309"/>
      <c r="J10623" s="309"/>
    </row>
    <row r="10624">
      <c r="B10624" s="309"/>
      <c r="C10624" s="309"/>
      <c r="I10624" s="309"/>
      <c r="J10624" s="309"/>
    </row>
    <row r="10625">
      <c r="B10625" s="309"/>
      <c r="C10625" s="309"/>
      <c r="I10625" s="309"/>
      <c r="J10625" s="309"/>
    </row>
    <row r="10626">
      <c r="B10626" s="309"/>
      <c r="C10626" s="309"/>
      <c r="I10626" s="309"/>
      <c r="J10626" s="309"/>
    </row>
    <row r="10627">
      <c r="B10627" s="309"/>
      <c r="C10627" s="309"/>
      <c r="I10627" s="309"/>
      <c r="J10627" s="309"/>
    </row>
    <row r="10628">
      <c r="B10628" s="309"/>
      <c r="C10628" s="309"/>
      <c r="I10628" s="309"/>
      <c r="J10628" s="309"/>
    </row>
    <row r="10629">
      <c r="B10629" s="309"/>
      <c r="C10629" s="309"/>
      <c r="I10629" s="309"/>
      <c r="J10629" s="309"/>
    </row>
    <row r="10630">
      <c r="B10630" s="309"/>
      <c r="C10630" s="309"/>
      <c r="I10630" s="309"/>
      <c r="J10630" s="309"/>
    </row>
    <row r="10631">
      <c r="B10631" s="309"/>
      <c r="C10631" s="309"/>
      <c r="I10631" s="309"/>
      <c r="J10631" s="309"/>
    </row>
    <row r="10632">
      <c r="B10632" s="309"/>
      <c r="C10632" s="309"/>
      <c r="I10632" s="309"/>
      <c r="J10632" s="309"/>
    </row>
    <row r="10633">
      <c r="B10633" s="309"/>
      <c r="C10633" s="309"/>
      <c r="I10633" s="309"/>
      <c r="J10633" s="309"/>
    </row>
    <row r="10634">
      <c r="B10634" s="309"/>
      <c r="C10634" s="309"/>
      <c r="I10634" s="309"/>
      <c r="J10634" s="309"/>
    </row>
    <row r="10635">
      <c r="B10635" s="309"/>
      <c r="C10635" s="309"/>
      <c r="I10635" s="309"/>
      <c r="J10635" s="309"/>
    </row>
    <row r="10636">
      <c r="B10636" s="309"/>
      <c r="C10636" s="309"/>
      <c r="I10636" s="309"/>
      <c r="J10636" s="309"/>
    </row>
    <row r="10637">
      <c r="B10637" s="309"/>
      <c r="C10637" s="309"/>
      <c r="I10637" s="309"/>
      <c r="J10637" s="309"/>
    </row>
    <row r="10638">
      <c r="B10638" s="309"/>
      <c r="C10638" s="309"/>
      <c r="I10638" s="309"/>
      <c r="J10638" s="309"/>
    </row>
    <row r="10639">
      <c r="B10639" s="309"/>
      <c r="C10639" s="309"/>
      <c r="I10639" s="309"/>
      <c r="J10639" s="309"/>
    </row>
    <row r="10640">
      <c r="B10640" s="309"/>
      <c r="C10640" s="309"/>
      <c r="I10640" s="309"/>
      <c r="J10640" s="309"/>
    </row>
    <row r="10641">
      <c r="B10641" s="309"/>
      <c r="C10641" s="309"/>
      <c r="I10641" s="309"/>
      <c r="J10641" s="309"/>
    </row>
    <row r="10642">
      <c r="B10642" s="309"/>
      <c r="C10642" s="309"/>
      <c r="I10642" s="309"/>
      <c r="J10642" s="309"/>
    </row>
    <row r="10643">
      <c r="B10643" s="309"/>
      <c r="C10643" s="309"/>
      <c r="I10643" s="309"/>
      <c r="J10643" s="309"/>
    </row>
    <row r="10644">
      <c r="B10644" s="309"/>
      <c r="C10644" s="309"/>
      <c r="I10644" s="309"/>
      <c r="J10644" s="309"/>
    </row>
    <row r="10645">
      <c r="B10645" s="309"/>
      <c r="C10645" s="309"/>
      <c r="I10645" s="309"/>
      <c r="J10645" s="309"/>
    </row>
    <row r="10646">
      <c r="B10646" s="309"/>
      <c r="C10646" s="309"/>
      <c r="I10646" s="309"/>
      <c r="J10646" s="309"/>
    </row>
    <row r="10647">
      <c r="B10647" s="309"/>
      <c r="C10647" s="309"/>
      <c r="I10647" s="309"/>
      <c r="J10647" s="309"/>
    </row>
    <row r="10648">
      <c r="B10648" s="309"/>
      <c r="C10648" s="309"/>
      <c r="I10648" s="309"/>
      <c r="J10648" s="309"/>
    </row>
    <row r="10649">
      <c r="B10649" s="309"/>
      <c r="C10649" s="309"/>
      <c r="I10649" s="309"/>
      <c r="J10649" s="309"/>
    </row>
    <row r="10650">
      <c r="B10650" s="309"/>
      <c r="C10650" s="309"/>
      <c r="I10650" s="309"/>
      <c r="J10650" s="309"/>
    </row>
    <row r="10651">
      <c r="B10651" s="309"/>
      <c r="C10651" s="309"/>
      <c r="I10651" s="309"/>
      <c r="J10651" s="309"/>
    </row>
    <row r="10652">
      <c r="B10652" s="309"/>
      <c r="C10652" s="309"/>
      <c r="I10652" s="309"/>
      <c r="J10652" s="309"/>
    </row>
    <row r="10653">
      <c r="B10653" s="309"/>
      <c r="C10653" s="309"/>
      <c r="I10653" s="309"/>
      <c r="J10653" s="309"/>
    </row>
    <row r="10654">
      <c r="B10654" s="309"/>
      <c r="C10654" s="309"/>
      <c r="I10654" s="309"/>
      <c r="J10654" s="309"/>
    </row>
    <row r="10655">
      <c r="B10655" s="309"/>
      <c r="C10655" s="309"/>
      <c r="I10655" s="309"/>
      <c r="J10655" s="309"/>
    </row>
    <row r="10656">
      <c r="B10656" s="309"/>
      <c r="C10656" s="309"/>
      <c r="I10656" s="309"/>
      <c r="J10656" s="309"/>
    </row>
    <row r="10657">
      <c r="B10657" s="309"/>
      <c r="C10657" s="309"/>
      <c r="I10657" s="309"/>
      <c r="J10657" s="309"/>
    </row>
    <row r="10658">
      <c r="B10658" s="309"/>
      <c r="C10658" s="309"/>
      <c r="I10658" s="309"/>
      <c r="J10658" s="309"/>
    </row>
    <row r="10659">
      <c r="B10659" s="309"/>
      <c r="C10659" s="309"/>
      <c r="I10659" s="309"/>
      <c r="J10659" s="309"/>
    </row>
    <row r="10660">
      <c r="B10660" s="309"/>
      <c r="C10660" s="309"/>
      <c r="I10660" s="309"/>
      <c r="J10660" s="309"/>
    </row>
    <row r="10661">
      <c r="B10661" s="309"/>
      <c r="C10661" s="309"/>
      <c r="I10661" s="309"/>
      <c r="J10661" s="309"/>
    </row>
    <row r="10662">
      <c r="B10662" s="309"/>
      <c r="C10662" s="309"/>
      <c r="I10662" s="309"/>
      <c r="J10662" s="309"/>
    </row>
    <row r="10663">
      <c r="B10663" s="309"/>
      <c r="C10663" s="309"/>
      <c r="I10663" s="309"/>
      <c r="J10663" s="309"/>
    </row>
    <row r="10664">
      <c r="B10664" s="309"/>
      <c r="C10664" s="309"/>
      <c r="I10664" s="309"/>
      <c r="J10664" s="309"/>
    </row>
    <row r="10665">
      <c r="B10665" s="309"/>
      <c r="C10665" s="309"/>
      <c r="I10665" s="309"/>
      <c r="J10665" s="309"/>
    </row>
    <row r="10666">
      <c r="B10666" s="309"/>
      <c r="C10666" s="309"/>
      <c r="I10666" s="309"/>
      <c r="J10666" s="309"/>
    </row>
    <row r="10667">
      <c r="B10667" s="309"/>
      <c r="C10667" s="309"/>
      <c r="I10667" s="309"/>
      <c r="J10667" s="309"/>
    </row>
    <row r="10668">
      <c r="B10668" s="309"/>
      <c r="C10668" s="309"/>
      <c r="I10668" s="309"/>
      <c r="J10668" s="309"/>
    </row>
    <row r="10669">
      <c r="B10669" s="309"/>
      <c r="C10669" s="309"/>
      <c r="I10669" s="309"/>
      <c r="J10669" s="309"/>
    </row>
    <row r="10670">
      <c r="B10670" s="309"/>
      <c r="C10670" s="309"/>
      <c r="I10670" s="309"/>
      <c r="J10670" s="309"/>
    </row>
    <row r="10671">
      <c r="B10671" s="309"/>
      <c r="C10671" s="309"/>
      <c r="I10671" s="309"/>
      <c r="J10671" s="309"/>
    </row>
    <row r="10672">
      <c r="B10672" s="309"/>
      <c r="C10672" s="309"/>
      <c r="I10672" s="309"/>
      <c r="J10672" s="309"/>
    </row>
    <row r="10673">
      <c r="B10673" s="309"/>
      <c r="C10673" s="309"/>
      <c r="I10673" s="309"/>
      <c r="J10673" s="309"/>
    </row>
    <row r="10674">
      <c r="B10674" s="309"/>
      <c r="C10674" s="309"/>
      <c r="I10674" s="309"/>
      <c r="J10674" s="309"/>
    </row>
    <row r="10675">
      <c r="B10675" s="309"/>
      <c r="C10675" s="309"/>
      <c r="I10675" s="309"/>
      <c r="J10675" s="309"/>
    </row>
    <row r="10676">
      <c r="B10676" s="309"/>
      <c r="C10676" s="309"/>
      <c r="I10676" s="309"/>
      <c r="J10676" s="309"/>
    </row>
    <row r="10677">
      <c r="B10677" s="309"/>
      <c r="C10677" s="309"/>
      <c r="I10677" s="309"/>
      <c r="J10677" s="309"/>
    </row>
    <row r="10678">
      <c r="B10678" s="309"/>
      <c r="C10678" s="309"/>
      <c r="I10678" s="309"/>
      <c r="J10678" s="309"/>
    </row>
    <row r="10679">
      <c r="B10679" s="309"/>
      <c r="C10679" s="309"/>
      <c r="I10679" s="309"/>
      <c r="J10679" s="309"/>
    </row>
    <row r="10680">
      <c r="B10680" s="309"/>
      <c r="C10680" s="309"/>
      <c r="I10680" s="309"/>
      <c r="J10680" s="309"/>
    </row>
    <row r="10681">
      <c r="B10681" s="309"/>
      <c r="C10681" s="309"/>
      <c r="I10681" s="309"/>
      <c r="J10681" s="309"/>
    </row>
    <row r="10682">
      <c r="B10682" s="309"/>
      <c r="C10682" s="309"/>
      <c r="I10682" s="309"/>
      <c r="J10682" s="309"/>
    </row>
    <row r="10683">
      <c r="B10683" s="309"/>
      <c r="C10683" s="309"/>
      <c r="I10683" s="309"/>
      <c r="J10683" s="309"/>
    </row>
    <row r="10684">
      <c r="B10684" s="309"/>
      <c r="C10684" s="309"/>
      <c r="I10684" s="309"/>
      <c r="J10684" s="309"/>
    </row>
    <row r="10685">
      <c r="B10685" s="309"/>
      <c r="C10685" s="309"/>
      <c r="I10685" s="309"/>
      <c r="J10685" s="309"/>
    </row>
    <row r="10686">
      <c r="B10686" s="309"/>
      <c r="C10686" s="309"/>
      <c r="I10686" s="309"/>
      <c r="J10686" s="309"/>
    </row>
    <row r="10687">
      <c r="B10687" s="309"/>
      <c r="C10687" s="309"/>
      <c r="I10687" s="309"/>
      <c r="J10687" s="309"/>
    </row>
    <row r="10688">
      <c r="B10688" s="309"/>
      <c r="C10688" s="309"/>
      <c r="I10688" s="309"/>
      <c r="J10688" s="309"/>
    </row>
    <row r="10689">
      <c r="B10689" s="309"/>
      <c r="C10689" s="309"/>
      <c r="I10689" s="309"/>
      <c r="J10689" s="309"/>
    </row>
    <row r="10690">
      <c r="B10690" s="309"/>
      <c r="C10690" s="309"/>
      <c r="I10690" s="309"/>
      <c r="J10690" s="309"/>
    </row>
    <row r="10691">
      <c r="B10691" s="309"/>
      <c r="C10691" s="309"/>
      <c r="I10691" s="309"/>
      <c r="J10691" s="309"/>
    </row>
    <row r="10692">
      <c r="B10692" s="309"/>
      <c r="C10692" s="309"/>
      <c r="I10692" s="309"/>
      <c r="J10692" s="309"/>
    </row>
    <row r="10693">
      <c r="B10693" s="309"/>
      <c r="C10693" s="309"/>
      <c r="I10693" s="309"/>
      <c r="J10693" s="309"/>
    </row>
    <row r="10694">
      <c r="B10694" s="309"/>
      <c r="C10694" s="309"/>
      <c r="I10694" s="309"/>
      <c r="J10694" s="309"/>
    </row>
    <row r="10695">
      <c r="B10695" s="309"/>
      <c r="C10695" s="309"/>
      <c r="I10695" s="309"/>
      <c r="J10695" s="309"/>
    </row>
    <row r="10696">
      <c r="B10696" s="309"/>
      <c r="C10696" s="309"/>
      <c r="I10696" s="309"/>
      <c r="J10696" s="309"/>
    </row>
    <row r="10697">
      <c r="B10697" s="309"/>
      <c r="C10697" s="309"/>
      <c r="I10697" s="309"/>
      <c r="J10697" s="309"/>
    </row>
    <row r="10698">
      <c r="B10698" s="309"/>
      <c r="C10698" s="309"/>
      <c r="I10698" s="309"/>
      <c r="J10698" s="309"/>
    </row>
    <row r="10699">
      <c r="B10699" s="309"/>
      <c r="C10699" s="309"/>
      <c r="I10699" s="309"/>
      <c r="J10699" s="309"/>
    </row>
    <row r="10700">
      <c r="B10700" s="309"/>
      <c r="C10700" s="309"/>
      <c r="I10700" s="309"/>
      <c r="J10700" s="309"/>
    </row>
    <row r="10701">
      <c r="B10701" s="309"/>
      <c r="C10701" s="309"/>
      <c r="I10701" s="309"/>
      <c r="J10701" s="309"/>
    </row>
    <row r="10702">
      <c r="B10702" s="309"/>
      <c r="C10702" s="309"/>
      <c r="I10702" s="309"/>
      <c r="J10702" s="309"/>
    </row>
    <row r="10703">
      <c r="B10703" s="309"/>
      <c r="C10703" s="309"/>
      <c r="I10703" s="309"/>
      <c r="J10703" s="309"/>
    </row>
    <row r="10704">
      <c r="B10704" s="309"/>
      <c r="C10704" s="309"/>
      <c r="I10704" s="309"/>
      <c r="J10704" s="309"/>
    </row>
    <row r="10705">
      <c r="B10705" s="309"/>
      <c r="C10705" s="309"/>
      <c r="I10705" s="309"/>
      <c r="J10705" s="309"/>
    </row>
    <row r="10706">
      <c r="B10706" s="309"/>
      <c r="C10706" s="309"/>
      <c r="I10706" s="309"/>
      <c r="J10706" s="309"/>
    </row>
    <row r="10707">
      <c r="B10707" s="309"/>
      <c r="C10707" s="309"/>
      <c r="I10707" s="309"/>
      <c r="J10707" s="309"/>
    </row>
    <row r="10708">
      <c r="B10708" s="309"/>
      <c r="C10708" s="309"/>
      <c r="I10708" s="309"/>
      <c r="J10708" s="309"/>
    </row>
    <row r="10709">
      <c r="B10709" s="309"/>
      <c r="C10709" s="309"/>
      <c r="I10709" s="309"/>
      <c r="J10709" s="309"/>
    </row>
    <row r="10710">
      <c r="B10710" s="309"/>
      <c r="C10710" s="309"/>
      <c r="I10710" s="309"/>
      <c r="J10710" s="309"/>
    </row>
    <row r="10711">
      <c r="B10711" s="309"/>
      <c r="C10711" s="309"/>
      <c r="I10711" s="309"/>
      <c r="J10711" s="309"/>
    </row>
    <row r="10712">
      <c r="B10712" s="309"/>
      <c r="C10712" s="309"/>
      <c r="I10712" s="309"/>
      <c r="J10712" s="309"/>
    </row>
    <row r="10713">
      <c r="B10713" s="309"/>
      <c r="C10713" s="309"/>
      <c r="I10713" s="309"/>
      <c r="J10713" s="309"/>
    </row>
    <row r="10714">
      <c r="B10714" s="309"/>
      <c r="C10714" s="309"/>
      <c r="I10714" s="309"/>
      <c r="J10714" s="309"/>
    </row>
    <row r="10715">
      <c r="B10715" s="309"/>
      <c r="C10715" s="309"/>
      <c r="I10715" s="309"/>
      <c r="J10715" s="309"/>
    </row>
    <row r="10716">
      <c r="B10716" s="309"/>
      <c r="C10716" s="309"/>
      <c r="I10716" s="309"/>
      <c r="J10716" s="309"/>
    </row>
    <row r="10717">
      <c r="B10717" s="309"/>
      <c r="C10717" s="309"/>
      <c r="I10717" s="309"/>
      <c r="J10717" s="309"/>
    </row>
    <row r="10718">
      <c r="B10718" s="309"/>
      <c r="C10718" s="309"/>
      <c r="I10718" s="309"/>
      <c r="J10718" s="309"/>
    </row>
    <row r="10719">
      <c r="B10719" s="309"/>
      <c r="C10719" s="309"/>
      <c r="I10719" s="309"/>
      <c r="J10719" s="309"/>
    </row>
    <row r="10720">
      <c r="B10720" s="309"/>
      <c r="C10720" s="309"/>
      <c r="I10720" s="309"/>
      <c r="J10720" s="309"/>
    </row>
    <row r="10721">
      <c r="B10721" s="309"/>
      <c r="C10721" s="309"/>
      <c r="I10721" s="309"/>
      <c r="J10721" s="309"/>
    </row>
    <row r="10722">
      <c r="B10722" s="309"/>
      <c r="C10722" s="309"/>
      <c r="I10722" s="309"/>
      <c r="J10722" s="309"/>
    </row>
    <row r="10723">
      <c r="B10723" s="309"/>
      <c r="C10723" s="309"/>
      <c r="I10723" s="309"/>
      <c r="J10723" s="309"/>
    </row>
    <row r="10724">
      <c r="B10724" s="309"/>
      <c r="C10724" s="309"/>
      <c r="I10724" s="309"/>
      <c r="J10724" s="309"/>
    </row>
    <row r="10725">
      <c r="B10725" s="309"/>
      <c r="C10725" s="309"/>
      <c r="I10725" s="309"/>
      <c r="J10725" s="309"/>
    </row>
    <row r="10726">
      <c r="B10726" s="309"/>
      <c r="C10726" s="309"/>
      <c r="I10726" s="309"/>
      <c r="J10726" s="309"/>
    </row>
    <row r="10727">
      <c r="B10727" s="309"/>
      <c r="C10727" s="309"/>
      <c r="I10727" s="309"/>
      <c r="J10727" s="309"/>
    </row>
    <row r="10728">
      <c r="B10728" s="309"/>
      <c r="C10728" s="309"/>
      <c r="I10728" s="309"/>
      <c r="J10728" s="309"/>
    </row>
    <row r="10729">
      <c r="B10729" s="309"/>
      <c r="C10729" s="309"/>
      <c r="I10729" s="309"/>
      <c r="J10729" s="309"/>
    </row>
    <row r="10730">
      <c r="B10730" s="309"/>
      <c r="C10730" s="309"/>
      <c r="I10730" s="309"/>
      <c r="J10730" s="309"/>
    </row>
    <row r="10731">
      <c r="B10731" s="309"/>
      <c r="C10731" s="309"/>
      <c r="I10731" s="309"/>
      <c r="J10731" s="309"/>
    </row>
    <row r="10732">
      <c r="B10732" s="309"/>
      <c r="C10732" s="309"/>
      <c r="I10732" s="309"/>
      <c r="J10732" s="309"/>
    </row>
    <row r="10733">
      <c r="B10733" s="309"/>
      <c r="C10733" s="309"/>
      <c r="I10733" s="309"/>
      <c r="J10733" s="309"/>
    </row>
    <row r="10734">
      <c r="B10734" s="309"/>
      <c r="C10734" s="309"/>
      <c r="I10734" s="309"/>
      <c r="J10734" s="309"/>
    </row>
    <row r="10735">
      <c r="B10735" s="309"/>
      <c r="C10735" s="309"/>
      <c r="I10735" s="309"/>
      <c r="J10735" s="309"/>
    </row>
    <row r="10736">
      <c r="B10736" s="309"/>
      <c r="C10736" s="309"/>
      <c r="I10736" s="309"/>
      <c r="J10736" s="309"/>
    </row>
    <row r="10737">
      <c r="B10737" s="309"/>
      <c r="C10737" s="309"/>
      <c r="I10737" s="309"/>
      <c r="J10737" s="309"/>
    </row>
    <row r="10738">
      <c r="B10738" s="309"/>
      <c r="C10738" s="309"/>
      <c r="I10738" s="309"/>
      <c r="J10738" s="309"/>
    </row>
    <row r="10739">
      <c r="B10739" s="309"/>
      <c r="C10739" s="309"/>
      <c r="I10739" s="309"/>
      <c r="J10739" s="309"/>
    </row>
    <row r="10740">
      <c r="B10740" s="309"/>
      <c r="C10740" s="309"/>
      <c r="I10740" s="309"/>
      <c r="J10740" s="309"/>
    </row>
    <row r="10741">
      <c r="B10741" s="309"/>
      <c r="C10741" s="309"/>
      <c r="I10741" s="309"/>
      <c r="J10741" s="309"/>
    </row>
    <row r="10742">
      <c r="B10742" s="309"/>
      <c r="C10742" s="309"/>
      <c r="I10742" s="309"/>
      <c r="J10742" s="309"/>
    </row>
    <row r="10743">
      <c r="B10743" s="309"/>
      <c r="C10743" s="309"/>
      <c r="I10743" s="309"/>
      <c r="J10743" s="309"/>
    </row>
    <row r="10744">
      <c r="B10744" s="309"/>
      <c r="C10744" s="309"/>
      <c r="I10744" s="309"/>
      <c r="J10744" s="309"/>
    </row>
    <row r="10745">
      <c r="B10745" s="309"/>
      <c r="C10745" s="309"/>
      <c r="I10745" s="309"/>
      <c r="J10745" s="309"/>
    </row>
    <row r="10746">
      <c r="B10746" s="309"/>
      <c r="C10746" s="309"/>
      <c r="I10746" s="309"/>
      <c r="J10746" s="309"/>
    </row>
    <row r="10747">
      <c r="B10747" s="309"/>
      <c r="C10747" s="309"/>
      <c r="I10747" s="309"/>
      <c r="J10747" s="309"/>
    </row>
    <row r="10748">
      <c r="B10748" s="309"/>
      <c r="C10748" s="309"/>
      <c r="I10748" s="309"/>
      <c r="J10748" s="309"/>
    </row>
    <row r="10749">
      <c r="B10749" s="309"/>
      <c r="C10749" s="309"/>
      <c r="I10749" s="309"/>
      <c r="J10749" s="309"/>
    </row>
    <row r="10750">
      <c r="B10750" s="309"/>
      <c r="C10750" s="309"/>
      <c r="I10750" s="309"/>
      <c r="J10750" s="309"/>
    </row>
    <row r="10751">
      <c r="B10751" s="309"/>
      <c r="C10751" s="309"/>
      <c r="I10751" s="309"/>
      <c r="J10751" s="309"/>
    </row>
    <row r="10752">
      <c r="B10752" s="309"/>
      <c r="C10752" s="309"/>
      <c r="I10752" s="309"/>
      <c r="J10752" s="309"/>
    </row>
    <row r="10753">
      <c r="B10753" s="309"/>
      <c r="C10753" s="309"/>
      <c r="I10753" s="309"/>
      <c r="J10753" s="309"/>
    </row>
    <row r="10754">
      <c r="B10754" s="309"/>
      <c r="C10754" s="309"/>
      <c r="I10754" s="309"/>
      <c r="J10754" s="309"/>
    </row>
    <row r="10755">
      <c r="B10755" s="309"/>
      <c r="C10755" s="309"/>
      <c r="I10755" s="309"/>
      <c r="J10755" s="309"/>
    </row>
    <row r="10756">
      <c r="B10756" s="309"/>
      <c r="C10756" s="309"/>
      <c r="I10756" s="309"/>
      <c r="J10756" s="309"/>
    </row>
    <row r="10757">
      <c r="B10757" s="309"/>
      <c r="C10757" s="309"/>
      <c r="I10757" s="309"/>
      <c r="J10757" s="309"/>
    </row>
    <row r="10758">
      <c r="B10758" s="309"/>
      <c r="C10758" s="309"/>
      <c r="I10758" s="309"/>
      <c r="J10758" s="309"/>
    </row>
    <row r="10759">
      <c r="B10759" s="309"/>
      <c r="C10759" s="309"/>
      <c r="I10759" s="309"/>
      <c r="J10759" s="309"/>
    </row>
    <row r="10760">
      <c r="B10760" s="309"/>
      <c r="C10760" s="309"/>
      <c r="I10760" s="309"/>
      <c r="J10760" s="309"/>
    </row>
    <row r="10761">
      <c r="B10761" s="309"/>
      <c r="C10761" s="309"/>
      <c r="I10761" s="309"/>
      <c r="J10761" s="309"/>
    </row>
    <row r="10762">
      <c r="B10762" s="309"/>
      <c r="C10762" s="309"/>
      <c r="I10762" s="309"/>
      <c r="J10762" s="309"/>
    </row>
    <row r="10763">
      <c r="B10763" s="309"/>
      <c r="C10763" s="309"/>
      <c r="I10763" s="309"/>
      <c r="J10763" s="309"/>
    </row>
    <row r="10764">
      <c r="B10764" s="309"/>
      <c r="C10764" s="309"/>
      <c r="I10764" s="309"/>
      <c r="J10764" s="309"/>
    </row>
    <row r="10765">
      <c r="B10765" s="309"/>
      <c r="C10765" s="309"/>
      <c r="I10765" s="309"/>
      <c r="J10765" s="309"/>
    </row>
    <row r="10766">
      <c r="B10766" s="309"/>
      <c r="C10766" s="309"/>
      <c r="I10766" s="309"/>
      <c r="J10766" s="309"/>
    </row>
    <row r="10767">
      <c r="B10767" s="309"/>
      <c r="C10767" s="309"/>
      <c r="I10767" s="309"/>
      <c r="J10767" s="309"/>
    </row>
    <row r="10768">
      <c r="B10768" s="309"/>
      <c r="C10768" s="309"/>
      <c r="I10768" s="309"/>
      <c r="J10768" s="309"/>
    </row>
    <row r="10769">
      <c r="B10769" s="309"/>
      <c r="C10769" s="309"/>
      <c r="I10769" s="309"/>
      <c r="J10769" s="309"/>
    </row>
    <row r="10770">
      <c r="B10770" s="309"/>
      <c r="C10770" s="309"/>
      <c r="I10770" s="309"/>
      <c r="J10770" s="309"/>
    </row>
    <row r="10771">
      <c r="B10771" s="309"/>
      <c r="C10771" s="309"/>
      <c r="I10771" s="309"/>
      <c r="J10771" s="309"/>
    </row>
    <row r="10772">
      <c r="B10772" s="309"/>
      <c r="C10772" s="309"/>
      <c r="I10772" s="309"/>
      <c r="J10772" s="309"/>
    </row>
    <row r="10773">
      <c r="B10773" s="309"/>
      <c r="C10773" s="309"/>
      <c r="I10773" s="309"/>
      <c r="J10773" s="309"/>
    </row>
    <row r="10774">
      <c r="B10774" s="309"/>
      <c r="C10774" s="309"/>
      <c r="I10774" s="309"/>
      <c r="J10774" s="309"/>
    </row>
    <row r="10775">
      <c r="B10775" s="309"/>
      <c r="C10775" s="309"/>
      <c r="I10775" s="309"/>
      <c r="J10775" s="309"/>
    </row>
    <row r="10776">
      <c r="B10776" s="309"/>
      <c r="C10776" s="309"/>
      <c r="I10776" s="309"/>
      <c r="J10776" s="309"/>
    </row>
    <row r="10777">
      <c r="B10777" s="309"/>
      <c r="C10777" s="309"/>
      <c r="I10777" s="309"/>
      <c r="J10777" s="309"/>
    </row>
    <row r="10778">
      <c r="B10778" s="309"/>
      <c r="C10778" s="309"/>
      <c r="I10778" s="309"/>
      <c r="J10778" s="309"/>
    </row>
    <row r="10779">
      <c r="B10779" s="309"/>
      <c r="C10779" s="309"/>
      <c r="I10779" s="309"/>
      <c r="J10779" s="309"/>
    </row>
    <row r="10780">
      <c r="B10780" s="309"/>
      <c r="C10780" s="309"/>
      <c r="I10780" s="309"/>
      <c r="J10780" s="309"/>
    </row>
    <row r="10781">
      <c r="B10781" s="309"/>
      <c r="C10781" s="309"/>
      <c r="I10781" s="309"/>
      <c r="J10781" s="309"/>
    </row>
    <row r="10782">
      <c r="B10782" s="309"/>
      <c r="C10782" s="309"/>
      <c r="I10782" s="309"/>
      <c r="J10782" s="309"/>
    </row>
    <row r="10783">
      <c r="B10783" s="309"/>
      <c r="C10783" s="309"/>
      <c r="I10783" s="309"/>
      <c r="J10783" s="309"/>
    </row>
    <row r="10784">
      <c r="B10784" s="309"/>
      <c r="C10784" s="309"/>
      <c r="I10784" s="309"/>
      <c r="J10784" s="309"/>
    </row>
    <row r="10785">
      <c r="B10785" s="309"/>
      <c r="C10785" s="309"/>
      <c r="I10785" s="309"/>
      <c r="J10785" s="309"/>
    </row>
    <row r="10786">
      <c r="B10786" s="309"/>
      <c r="C10786" s="309"/>
      <c r="I10786" s="309"/>
      <c r="J10786" s="309"/>
    </row>
    <row r="10787">
      <c r="B10787" s="309"/>
      <c r="C10787" s="309"/>
      <c r="I10787" s="309"/>
      <c r="J10787" s="309"/>
    </row>
    <row r="10788">
      <c r="B10788" s="309"/>
      <c r="C10788" s="309"/>
      <c r="I10788" s="309"/>
      <c r="J10788" s="309"/>
    </row>
    <row r="10789">
      <c r="B10789" s="309"/>
      <c r="C10789" s="309"/>
      <c r="I10789" s="309"/>
      <c r="J10789" s="309"/>
    </row>
    <row r="10790">
      <c r="B10790" s="309"/>
      <c r="C10790" s="309"/>
      <c r="I10790" s="309"/>
      <c r="J10790" s="309"/>
    </row>
    <row r="10791">
      <c r="B10791" s="309"/>
      <c r="C10791" s="309"/>
      <c r="I10791" s="309"/>
      <c r="J10791" s="309"/>
    </row>
    <row r="10792">
      <c r="B10792" s="309"/>
      <c r="C10792" s="309"/>
      <c r="I10792" s="309"/>
      <c r="J10792" s="309"/>
    </row>
    <row r="10793">
      <c r="B10793" s="309"/>
      <c r="C10793" s="309"/>
      <c r="I10793" s="309"/>
      <c r="J10793" s="309"/>
    </row>
    <row r="10794">
      <c r="B10794" s="309"/>
      <c r="C10794" s="309"/>
      <c r="I10794" s="309"/>
      <c r="J10794" s="309"/>
    </row>
    <row r="10795">
      <c r="B10795" s="309"/>
      <c r="C10795" s="309"/>
      <c r="I10795" s="309"/>
      <c r="J10795" s="309"/>
    </row>
    <row r="10796">
      <c r="B10796" s="309"/>
      <c r="C10796" s="309"/>
      <c r="I10796" s="309"/>
      <c r="J10796" s="309"/>
    </row>
    <row r="10797">
      <c r="B10797" s="309"/>
      <c r="C10797" s="309"/>
      <c r="I10797" s="309"/>
      <c r="J10797" s="309"/>
    </row>
    <row r="10798">
      <c r="B10798" s="309"/>
      <c r="C10798" s="309"/>
      <c r="I10798" s="309"/>
      <c r="J10798" s="309"/>
    </row>
    <row r="10799">
      <c r="B10799" s="309"/>
      <c r="C10799" s="309"/>
      <c r="I10799" s="309"/>
      <c r="J10799" s="309"/>
    </row>
    <row r="10800">
      <c r="B10800" s="309"/>
      <c r="C10800" s="309"/>
      <c r="I10800" s="309"/>
      <c r="J10800" s="309"/>
    </row>
    <row r="10801">
      <c r="B10801" s="309"/>
      <c r="C10801" s="309"/>
      <c r="I10801" s="309"/>
      <c r="J10801" s="309"/>
    </row>
    <row r="10802">
      <c r="B10802" s="309"/>
      <c r="C10802" s="309"/>
      <c r="I10802" s="309"/>
      <c r="J10802" s="309"/>
    </row>
    <row r="10803">
      <c r="B10803" s="309"/>
      <c r="C10803" s="309"/>
      <c r="I10803" s="309"/>
      <c r="J10803" s="309"/>
    </row>
    <row r="10804">
      <c r="B10804" s="309"/>
      <c r="C10804" s="309"/>
      <c r="I10804" s="309"/>
      <c r="J10804" s="309"/>
    </row>
    <row r="10805">
      <c r="B10805" s="309"/>
      <c r="C10805" s="309"/>
      <c r="I10805" s="309"/>
      <c r="J10805" s="309"/>
    </row>
    <row r="10806">
      <c r="B10806" s="309"/>
      <c r="C10806" s="309"/>
      <c r="I10806" s="309"/>
      <c r="J10806" s="309"/>
    </row>
    <row r="10807">
      <c r="B10807" s="309"/>
      <c r="C10807" s="309"/>
      <c r="I10807" s="309"/>
      <c r="J10807" s="309"/>
    </row>
    <row r="10808">
      <c r="B10808" s="309"/>
      <c r="C10808" s="309"/>
      <c r="I10808" s="309"/>
      <c r="J10808" s="309"/>
    </row>
    <row r="10809">
      <c r="B10809" s="309"/>
      <c r="C10809" s="309"/>
      <c r="I10809" s="309"/>
      <c r="J10809" s="309"/>
    </row>
    <row r="10810">
      <c r="B10810" s="309"/>
      <c r="C10810" s="309"/>
      <c r="I10810" s="309"/>
      <c r="J10810" s="309"/>
    </row>
    <row r="10811">
      <c r="B10811" s="309"/>
      <c r="C10811" s="309"/>
      <c r="I10811" s="309"/>
      <c r="J10811" s="309"/>
    </row>
    <row r="10812">
      <c r="B10812" s="309"/>
      <c r="C10812" s="309"/>
      <c r="I10812" s="309"/>
      <c r="J10812" s="309"/>
    </row>
    <row r="10813">
      <c r="B10813" s="309"/>
      <c r="C10813" s="309"/>
      <c r="I10813" s="309"/>
      <c r="J10813" s="309"/>
    </row>
    <row r="10814">
      <c r="B10814" s="309"/>
      <c r="C10814" s="309"/>
      <c r="I10814" s="309"/>
      <c r="J10814" s="309"/>
    </row>
    <row r="10815">
      <c r="B10815" s="309"/>
      <c r="C10815" s="309"/>
      <c r="I10815" s="309"/>
      <c r="J10815" s="309"/>
    </row>
    <row r="10816">
      <c r="B10816" s="309"/>
      <c r="C10816" s="309"/>
      <c r="I10816" s="309"/>
      <c r="J10816" s="309"/>
    </row>
    <row r="10817">
      <c r="B10817" s="309"/>
      <c r="C10817" s="309"/>
      <c r="I10817" s="309"/>
      <c r="J10817" s="309"/>
    </row>
    <row r="10818">
      <c r="B10818" s="309"/>
      <c r="C10818" s="309"/>
      <c r="I10818" s="309"/>
      <c r="J10818" s="309"/>
    </row>
    <row r="10819">
      <c r="B10819" s="309"/>
      <c r="C10819" s="309"/>
      <c r="I10819" s="309"/>
      <c r="J10819" s="309"/>
    </row>
    <row r="10820">
      <c r="B10820" s="309"/>
      <c r="C10820" s="309"/>
      <c r="I10820" s="309"/>
      <c r="J10820" s="309"/>
    </row>
    <row r="10821">
      <c r="B10821" s="309"/>
      <c r="C10821" s="309"/>
      <c r="I10821" s="309"/>
      <c r="J10821" s="309"/>
    </row>
    <row r="10822">
      <c r="B10822" s="309"/>
      <c r="C10822" s="309"/>
      <c r="I10822" s="309"/>
      <c r="J10822" s="309"/>
    </row>
    <row r="10823">
      <c r="B10823" s="309"/>
      <c r="C10823" s="309"/>
      <c r="I10823" s="309"/>
      <c r="J10823" s="309"/>
    </row>
    <row r="10824">
      <c r="B10824" s="309"/>
      <c r="C10824" s="309"/>
      <c r="I10824" s="309"/>
      <c r="J10824" s="309"/>
    </row>
    <row r="10825">
      <c r="B10825" s="309"/>
      <c r="C10825" s="309"/>
      <c r="I10825" s="309"/>
      <c r="J10825" s="309"/>
    </row>
    <row r="10826">
      <c r="B10826" s="309"/>
      <c r="C10826" s="309"/>
      <c r="I10826" s="309"/>
      <c r="J10826" s="309"/>
    </row>
    <row r="10827">
      <c r="B10827" s="309"/>
      <c r="C10827" s="309"/>
      <c r="I10827" s="309"/>
      <c r="J10827" s="309"/>
    </row>
    <row r="10828">
      <c r="B10828" s="309"/>
      <c r="C10828" s="309"/>
      <c r="I10828" s="309"/>
      <c r="J10828" s="309"/>
    </row>
    <row r="10829">
      <c r="B10829" s="309"/>
      <c r="C10829" s="309"/>
      <c r="I10829" s="309"/>
      <c r="J10829" s="309"/>
    </row>
    <row r="10830">
      <c r="B10830" s="309"/>
      <c r="C10830" s="309"/>
      <c r="I10830" s="309"/>
      <c r="J10830" s="309"/>
    </row>
    <row r="10831">
      <c r="B10831" s="309"/>
      <c r="C10831" s="309"/>
      <c r="I10831" s="309"/>
      <c r="J10831" s="309"/>
    </row>
    <row r="10832">
      <c r="B10832" s="309"/>
      <c r="C10832" s="309"/>
      <c r="I10832" s="309"/>
      <c r="J10832" s="309"/>
    </row>
    <row r="10833">
      <c r="B10833" s="309"/>
      <c r="C10833" s="309"/>
      <c r="I10833" s="309"/>
      <c r="J10833" s="309"/>
    </row>
    <row r="10834">
      <c r="B10834" s="309"/>
      <c r="C10834" s="309"/>
      <c r="I10834" s="309"/>
      <c r="J10834" s="309"/>
    </row>
    <row r="10835">
      <c r="B10835" s="309"/>
      <c r="C10835" s="309"/>
      <c r="I10835" s="309"/>
      <c r="J10835" s="309"/>
    </row>
    <row r="10836">
      <c r="B10836" s="309"/>
      <c r="C10836" s="309"/>
      <c r="I10836" s="309"/>
      <c r="J10836" s="309"/>
    </row>
    <row r="10837">
      <c r="B10837" s="309"/>
      <c r="C10837" s="309"/>
      <c r="I10837" s="309"/>
      <c r="J10837" s="309"/>
    </row>
    <row r="10838">
      <c r="B10838" s="309"/>
      <c r="C10838" s="309"/>
      <c r="I10838" s="309"/>
      <c r="J10838" s="309"/>
    </row>
    <row r="10839">
      <c r="B10839" s="309"/>
      <c r="C10839" s="309"/>
      <c r="I10839" s="309"/>
      <c r="J10839" s="309"/>
    </row>
    <row r="10840">
      <c r="B10840" s="309"/>
      <c r="C10840" s="309"/>
      <c r="I10840" s="309"/>
      <c r="J10840" s="309"/>
    </row>
    <row r="10841">
      <c r="B10841" s="309"/>
      <c r="C10841" s="309"/>
      <c r="I10841" s="309"/>
      <c r="J10841" s="309"/>
    </row>
    <row r="10842">
      <c r="B10842" s="309"/>
      <c r="C10842" s="309"/>
      <c r="I10842" s="309"/>
      <c r="J10842" s="309"/>
    </row>
    <row r="10843">
      <c r="B10843" s="309"/>
      <c r="C10843" s="309"/>
      <c r="I10843" s="309"/>
      <c r="J10843" s="309"/>
    </row>
    <row r="10844">
      <c r="B10844" s="309"/>
      <c r="C10844" s="309"/>
      <c r="I10844" s="309"/>
      <c r="J10844" s="309"/>
    </row>
    <row r="10845">
      <c r="B10845" s="309"/>
      <c r="C10845" s="309"/>
      <c r="I10845" s="309"/>
      <c r="J10845" s="309"/>
    </row>
    <row r="10846">
      <c r="B10846" s="309"/>
      <c r="C10846" s="309"/>
      <c r="I10846" s="309"/>
      <c r="J10846" s="309"/>
    </row>
    <row r="10847">
      <c r="B10847" s="309"/>
      <c r="C10847" s="309"/>
      <c r="I10847" s="309"/>
      <c r="J10847" s="309"/>
    </row>
    <row r="10848">
      <c r="B10848" s="309"/>
      <c r="C10848" s="309"/>
      <c r="I10848" s="309"/>
      <c r="J10848" s="309"/>
    </row>
    <row r="10849">
      <c r="B10849" s="309"/>
      <c r="C10849" s="309"/>
      <c r="I10849" s="309"/>
      <c r="J10849" s="309"/>
    </row>
    <row r="10850">
      <c r="B10850" s="309"/>
      <c r="C10850" s="309"/>
      <c r="I10850" s="309"/>
      <c r="J10850" s="309"/>
    </row>
    <row r="10851">
      <c r="B10851" s="309"/>
      <c r="C10851" s="309"/>
      <c r="I10851" s="309"/>
      <c r="J10851" s="309"/>
    </row>
    <row r="10852">
      <c r="B10852" s="309"/>
      <c r="C10852" s="309"/>
      <c r="I10852" s="309"/>
      <c r="J10852" s="309"/>
    </row>
    <row r="10853">
      <c r="B10853" s="309"/>
      <c r="C10853" s="309"/>
      <c r="I10853" s="309"/>
      <c r="J10853" s="309"/>
    </row>
    <row r="10854">
      <c r="B10854" s="309"/>
      <c r="C10854" s="309"/>
      <c r="I10854" s="309"/>
      <c r="J10854" s="309"/>
    </row>
    <row r="10855">
      <c r="B10855" s="309"/>
      <c r="C10855" s="309"/>
      <c r="I10855" s="309"/>
      <c r="J10855" s="309"/>
    </row>
    <row r="10856">
      <c r="B10856" s="309"/>
      <c r="C10856" s="309"/>
      <c r="I10856" s="309"/>
      <c r="J10856" s="309"/>
    </row>
    <row r="10857">
      <c r="B10857" s="309"/>
      <c r="C10857" s="309"/>
      <c r="I10857" s="309"/>
      <c r="J10857" s="309"/>
    </row>
    <row r="10858">
      <c r="B10858" s="309"/>
      <c r="C10858" s="309"/>
      <c r="I10858" s="309"/>
      <c r="J10858" s="309"/>
    </row>
    <row r="10859">
      <c r="B10859" s="309"/>
      <c r="C10859" s="309"/>
      <c r="I10859" s="309"/>
      <c r="J10859" s="309"/>
    </row>
    <row r="10860">
      <c r="B10860" s="309"/>
      <c r="C10860" s="309"/>
      <c r="I10860" s="309"/>
      <c r="J10860" s="309"/>
    </row>
    <row r="10861">
      <c r="B10861" s="309"/>
      <c r="C10861" s="309"/>
      <c r="I10861" s="309"/>
      <c r="J10861" s="309"/>
    </row>
    <row r="10862">
      <c r="B10862" s="309"/>
      <c r="C10862" s="309"/>
      <c r="I10862" s="309"/>
      <c r="J10862" s="309"/>
    </row>
    <row r="10863">
      <c r="B10863" s="309"/>
      <c r="C10863" s="309"/>
      <c r="I10863" s="309"/>
      <c r="J10863" s="309"/>
    </row>
    <row r="10864">
      <c r="B10864" s="309"/>
      <c r="C10864" s="309"/>
      <c r="I10864" s="309"/>
      <c r="J10864" s="309"/>
    </row>
    <row r="10865">
      <c r="B10865" s="309"/>
      <c r="C10865" s="309"/>
      <c r="I10865" s="309"/>
      <c r="J10865" s="309"/>
    </row>
    <row r="10866">
      <c r="B10866" s="309"/>
      <c r="C10866" s="309"/>
      <c r="I10866" s="309"/>
      <c r="J10866" s="309"/>
    </row>
    <row r="10867">
      <c r="B10867" s="309"/>
      <c r="C10867" s="309"/>
      <c r="I10867" s="309"/>
      <c r="J10867" s="309"/>
    </row>
    <row r="10868">
      <c r="B10868" s="309"/>
      <c r="C10868" s="309"/>
      <c r="I10868" s="309"/>
      <c r="J10868" s="309"/>
    </row>
    <row r="10869">
      <c r="B10869" s="309"/>
      <c r="C10869" s="309"/>
      <c r="I10869" s="309"/>
      <c r="J10869" s="309"/>
    </row>
    <row r="10870">
      <c r="B10870" s="309"/>
      <c r="C10870" s="309"/>
      <c r="I10870" s="309"/>
      <c r="J10870" s="309"/>
    </row>
    <row r="10871">
      <c r="B10871" s="309"/>
      <c r="C10871" s="309"/>
      <c r="I10871" s="309"/>
      <c r="J10871" s="309"/>
    </row>
    <row r="10872">
      <c r="B10872" s="309"/>
      <c r="C10872" s="309"/>
      <c r="I10872" s="309"/>
      <c r="J10872" s="309"/>
    </row>
    <row r="10873">
      <c r="B10873" s="309"/>
      <c r="C10873" s="309"/>
      <c r="I10873" s="309"/>
      <c r="J10873" s="309"/>
    </row>
    <row r="10874">
      <c r="B10874" s="309"/>
      <c r="C10874" s="309"/>
      <c r="I10874" s="309"/>
      <c r="J10874" s="309"/>
    </row>
    <row r="10875">
      <c r="B10875" s="309"/>
      <c r="C10875" s="309"/>
      <c r="I10875" s="309"/>
      <c r="J10875" s="309"/>
    </row>
    <row r="10876">
      <c r="B10876" s="309"/>
      <c r="C10876" s="309"/>
      <c r="I10876" s="309"/>
      <c r="J10876" s="309"/>
    </row>
    <row r="10877">
      <c r="B10877" s="309"/>
      <c r="C10877" s="309"/>
      <c r="I10877" s="309"/>
      <c r="J10877" s="309"/>
    </row>
    <row r="10878">
      <c r="B10878" s="309"/>
      <c r="C10878" s="309"/>
      <c r="I10878" s="309"/>
      <c r="J10878" s="309"/>
    </row>
    <row r="10879">
      <c r="B10879" s="309"/>
      <c r="C10879" s="309"/>
      <c r="I10879" s="309"/>
      <c r="J10879" s="309"/>
    </row>
    <row r="10880">
      <c r="B10880" s="309"/>
      <c r="C10880" s="309"/>
      <c r="I10880" s="309"/>
      <c r="J10880" s="309"/>
    </row>
    <row r="10881">
      <c r="B10881" s="309"/>
      <c r="C10881" s="309"/>
      <c r="I10881" s="309"/>
      <c r="J10881" s="309"/>
    </row>
    <row r="10882">
      <c r="B10882" s="309"/>
      <c r="C10882" s="309"/>
      <c r="I10882" s="309"/>
      <c r="J10882" s="309"/>
    </row>
    <row r="10883">
      <c r="B10883" s="309"/>
      <c r="C10883" s="309"/>
      <c r="I10883" s="309"/>
      <c r="J10883" s="309"/>
    </row>
    <row r="10884">
      <c r="B10884" s="309"/>
      <c r="C10884" s="309"/>
      <c r="I10884" s="309"/>
      <c r="J10884" s="309"/>
    </row>
    <row r="10885">
      <c r="B10885" s="309"/>
      <c r="C10885" s="309"/>
      <c r="I10885" s="309"/>
      <c r="J10885" s="309"/>
    </row>
    <row r="10886">
      <c r="B10886" s="309"/>
      <c r="C10886" s="309"/>
      <c r="I10886" s="309"/>
      <c r="J10886" s="309"/>
    </row>
    <row r="10887">
      <c r="B10887" s="309"/>
      <c r="C10887" s="309"/>
      <c r="I10887" s="309"/>
      <c r="J10887" s="309"/>
    </row>
    <row r="10888">
      <c r="B10888" s="309"/>
      <c r="C10888" s="309"/>
      <c r="I10888" s="309"/>
      <c r="J10888" s="309"/>
    </row>
    <row r="10889">
      <c r="B10889" s="309"/>
      <c r="C10889" s="309"/>
      <c r="I10889" s="309"/>
      <c r="J10889" s="309"/>
    </row>
    <row r="10890">
      <c r="B10890" s="309"/>
      <c r="C10890" s="309"/>
      <c r="I10890" s="309"/>
      <c r="J10890" s="309"/>
    </row>
    <row r="10891">
      <c r="B10891" s="309"/>
      <c r="C10891" s="309"/>
      <c r="I10891" s="309"/>
      <c r="J10891" s="309"/>
    </row>
    <row r="10892">
      <c r="B10892" s="309"/>
      <c r="C10892" s="309"/>
      <c r="I10892" s="309"/>
      <c r="J10892" s="309"/>
    </row>
    <row r="10893">
      <c r="B10893" s="309"/>
      <c r="C10893" s="309"/>
      <c r="I10893" s="309"/>
      <c r="J10893" s="309"/>
    </row>
    <row r="10894">
      <c r="B10894" s="309"/>
      <c r="C10894" s="309"/>
      <c r="I10894" s="309"/>
      <c r="J10894" s="309"/>
    </row>
    <row r="10895">
      <c r="B10895" s="309"/>
      <c r="C10895" s="309"/>
      <c r="I10895" s="309"/>
      <c r="J10895" s="309"/>
    </row>
    <row r="10896">
      <c r="B10896" s="309"/>
      <c r="C10896" s="309"/>
      <c r="I10896" s="309"/>
      <c r="J10896" s="309"/>
    </row>
    <row r="10897">
      <c r="B10897" s="309"/>
      <c r="C10897" s="309"/>
      <c r="I10897" s="309"/>
      <c r="J10897" s="309"/>
    </row>
    <row r="10898">
      <c r="B10898" s="309"/>
      <c r="C10898" s="309"/>
      <c r="I10898" s="309"/>
      <c r="J10898" s="309"/>
    </row>
    <row r="10899">
      <c r="B10899" s="309"/>
      <c r="C10899" s="309"/>
      <c r="I10899" s="309"/>
      <c r="J10899" s="309"/>
    </row>
    <row r="10900">
      <c r="B10900" s="309"/>
      <c r="C10900" s="309"/>
      <c r="I10900" s="309"/>
      <c r="J10900" s="309"/>
    </row>
    <row r="10901">
      <c r="B10901" s="309"/>
      <c r="C10901" s="309"/>
      <c r="I10901" s="309"/>
      <c r="J10901" s="309"/>
    </row>
    <row r="10902">
      <c r="B10902" s="309"/>
      <c r="C10902" s="309"/>
      <c r="I10902" s="309"/>
      <c r="J10902" s="309"/>
    </row>
    <row r="10903">
      <c r="B10903" s="309"/>
      <c r="C10903" s="309"/>
      <c r="I10903" s="309"/>
      <c r="J10903" s="309"/>
    </row>
    <row r="10904">
      <c r="B10904" s="309"/>
      <c r="C10904" s="309"/>
      <c r="I10904" s="309"/>
      <c r="J10904" s="309"/>
    </row>
    <row r="10905">
      <c r="B10905" s="309"/>
      <c r="C10905" s="309"/>
      <c r="I10905" s="309"/>
      <c r="J10905" s="309"/>
    </row>
    <row r="10906">
      <c r="B10906" s="309"/>
      <c r="C10906" s="309"/>
      <c r="I10906" s="309"/>
      <c r="J10906" s="309"/>
    </row>
    <row r="10907">
      <c r="B10907" s="309"/>
      <c r="C10907" s="309"/>
      <c r="I10907" s="309"/>
      <c r="J10907" s="309"/>
    </row>
    <row r="10908">
      <c r="B10908" s="309"/>
      <c r="C10908" s="309"/>
      <c r="I10908" s="309"/>
      <c r="J10908" s="309"/>
    </row>
    <row r="10909">
      <c r="B10909" s="309"/>
      <c r="C10909" s="309"/>
      <c r="I10909" s="309"/>
      <c r="J10909" s="309"/>
    </row>
    <row r="10910">
      <c r="B10910" s="309"/>
      <c r="C10910" s="309"/>
      <c r="I10910" s="309"/>
      <c r="J10910" s="309"/>
    </row>
    <row r="10911">
      <c r="B10911" s="309"/>
      <c r="C10911" s="309"/>
      <c r="I10911" s="309"/>
      <c r="J10911" s="309"/>
    </row>
    <row r="10912">
      <c r="B10912" s="309"/>
      <c r="C10912" s="309"/>
      <c r="I10912" s="309"/>
      <c r="J10912" s="309"/>
    </row>
    <row r="10913">
      <c r="B10913" s="309"/>
      <c r="C10913" s="309"/>
      <c r="I10913" s="309"/>
      <c r="J10913" s="309"/>
    </row>
    <row r="10914">
      <c r="B10914" s="309"/>
      <c r="C10914" s="309"/>
      <c r="I10914" s="309"/>
      <c r="J10914" s="309"/>
    </row>
    <row r="10915">
      <c r="B10915" s="309"/>
      <c r="C10915" s="309"/>
      <c r="I10915" s="309"/>
      <c r="J10915" s="309"/>
    </row>
    <row r="10916">
      <c r="B10916" s="309"/>
      <c r="C10916" s="309"/>
      <c r="I10916" s="309"/>
      <c r="J10916" s="309"/>
    </row>
    <row r="10917">
      <c r="B10917" s="309"/>
      <c r="C10917" s="309"/>
      <c r="I10917" s="309"/>
      <c r="J10917" s="309"/>
    </row>
    <row r="10918">
      <c r="B10918" s="309"/>
      <c r="C10918" s="309"/>
      <c r="I10918" s="309"/>
      <c r="J10918" s="309"/>
    </row>
    <row r="10919">
      <c r="B10919" s="309"/>
      <c r="C10919" s="309"/>
      <c r="I10919" s="309"/>
      <c r="J10919" s="309"/>
    </row>
    <row r="10920">
      <c r="B10920" s="309"/>
      <c r="C10920" s="309"/>
      <c r="I10920" s="309"/>
      <c r="J10920" s="309"/>
    </row>
    <row r="10921">
      <c r="B10921" s="309"/>
      <c r="C10921" s="309"/>
      <c r="I10921" s="309"/>
      <c r="J10921" s="309"/>
    </row>
    <row r="10922">
      <c r="B10922" s="309"/>
      <c r="C10922" s="309"/>
      <c r="I10922" s="309"/>
      <c r="J10922" s="309"/>
    </row>
    <row r="10923">
      <c r="B10923" s="309"/>
      <c r="C10923" s="309"/>
      <c r="I10923" s="309"/>
      <c r="J10923" s="309"/>
    </row>
    <row r="10924">
      <c r="B10924" s="309"/>
      <c r="C10924" s="309"/>
      <c r="I10924" s="309"/>
      <c r="J10924" s="309"/>
    </row>
    <row r="10925">
      <c r="B10925" s="309"/>
      <c r="C10925" s="309"/>
      <c r="I10925" s="309"/>
      <c r="J10925" s="309"/>
    </row>
    <row r="10926">
      <c r="B10926" s="309"/>
      <c r="C10926" s="309"/>
      <c r="I10926" s="309"/>
      <c r="J10926" s="309"/>
    </row>
    <row r="10927">
      <c r="B10927" s="309"/>
      <c r="C10927" s="309"/>
      <c r="I10927" s="309"/>
      <c r="J10927" s="309"/>
    </row>
    <row r="10928">
      <c r="B10928" s="309"/>
      <c r="C10928" s="309"/>
      <c r="I10928" s="309"/>
      <c r="J10928" s="309"/>
    </row>
    <row r="10929">
      <c r="B10929" s="309"/>
      <c r="C10929" s="309"/>
      <c r="I10929" s="309"/>
      <c r="J10929" s="309"/>
    </row>
    <row r="10930">
      <c r="B10930" s="309"/>
      <c r="C10930" s="309"/>
      <c r="I10930" s="309"/>
      <c r="J10930" s="309"/>
    </row>
    <row r="10931">
      <c r="B10931" s="309"/>
      <c r="C10931" s="309"/>
      <c r="I10931" s="309"/>
      <c r="J10931" s="309"/>
    </row>
    <row r="10932">
      <c r="B10932" s="309"/>
      <c r="C10932" s="309"/>
      <c r="I10932" s="309"/>
      <c r="J10932" s="309"/>
    </row>
    <row r="10933">
      <c r="B10933" s="309"/>
      <c r="C10933" s="309"/>
      <c r="I10933" s="309"/>
      <c r="J10933" s="309"/>
    </row>
    <row r="10934">
      <c r="B10934" s="309"/>
      <c r="C10934" s="309"/>
      <c r="I10934" s="309"/>
      <c r="J10934" s="309"/>
    </row>
    <row r="10935">
      <c r="B10935" s="309"/>
      <c r="C10935" s="309"/>
      <c r="I10935" s="309"/>
      <c r="J10935" s="309"/>
    </row>
    <row r="10936">
      <c r="B10936" s="309"/>
      <c r="C10936" s="309"/>
      <c r="I10936" s="309"/>
      <c r="J10936" s="309"/>
    </row>
    <row r="10937">
      <c r="B10937" s="309"/>
      <c r="C10937" s="309"/>
      <c r="I10937" s="309"/>
      <c r="J10937" s="309"/>
    </row>
    <row r="10938">
      <c r="B10938" s="309"/>
      <c r="C10938" s="309"/>
      <c r="I10938" s="309"/>
      <c r="J10938" s="309"/>
    </row>
    <row r="10939">
      <c r="B10939" s="309"/>
      <c r="C10939" s="309"/>
      <c r="I10939" s="309"/>
      <c r="J10939" s="309"/>
    </row>
    <row r="10940">
      <c r="B10940" s="309"/>
      <c r="C10940" s="309"/>
      <c r="I10940" s="309"/>
      <c r="J10940" s="309"/>
    </row>
    <row r="10941">
      <c r="B10941" s="309"/>
      <c r="C10941" s="309"/>
      <c r="I10941" s="309"/>
      <c r="J10941" s="309"/>
    </row>
    <row r="10942">
      <c r="B10942" s="309"/>
      <c r="C10942" s="309"/>
      <c r="I10942" s="309"/>
      <c r="J10942" s="309"/>
    </row>
    <row r="10943">
      <c r="B10943" s="309"/>
      <c r="C10943" s="309"/>
      <c r="I10943" s="309"/>
      <c r="J10943" s="309"/>
    </row>
    <row r="10944">
      <c r="B10944" s="309"/>
      <c r="C10944" s="309"/>
      <c r="I10944" s="309"/>
      <c r="J10944" s="309"/>
    </row>
    <row r="10945">
      <c r="B10945" s="309"/>
      <c r="C10945" s="309"/>
      <c r="I10945" s="309"/>
      <c r="J10945" s="309"/>
    </row>
    <row r="10946">
      <c r="B10946" s="309"/>
      <c r="C10946" s="309"/>
      <c r="I10946" s="309"/>
      <c r="J10946" s="309"/>
    </row>
    <row r="10947">
      <c r="B10947" s="309"/>
      <c r="C10947" s="309"/>
      <c r="I10947" s="309"/>
      <c r="J10947" s="309"/>
    </row>
    <row r="10948">
      <c r="B10948" s="309"/>
      <c r="C10948" s="309"/>
      <c r="I10948" s="309"/>
      <c r="J10948" s="309"/>
    </row>
    <row r="10949">
      <c r="B10949" s="309"/>
      <c r="C10949" s="309"/>
      <c r="I10949" s="309"/>
      <c r="J10949" s="309"/>
    </row>
    <row r="10950">
      <c r="B10950" s="309"/>
      <c r="C10950" s="309"/>
      <c r="I10950" s="309"/>
      <c r="J10950" s="309"/>
    </row>
    <row r="10951">
      <c r="B10951" s="309"/>
      <c r="C10951" s="309"/>
      <c r="I10951" s="309"/>
      <c r="J10951" s="309"/>
    </row>
    <row r="10952">
      <c r="B10952" s="309"/>
      <c r="C10952" s="309"/>
      <c r="I10952" s="309"/>
      <c r="J10952" s="309"/>
    </row>
    <row r="10953">
      <c r="B10953" s="309"/>
      <c r="C10953" s="309"/>
      <c r="I10953" s="309"/>
      <c r="J10953" s="309"/>
    </row>
    <row r="10954">
      <c r="B10954" s="309"/>
      <c r="C10954" s="309"/>
      <c r="I10954" s="309"/>
      <c r="J10954" s="309"/>
    </row>
    <row r="10955">
      <c r="B10955" s="309"/>
      <c r="C10955" s="309"/>
      <c r="I10955" s="309"/>
      <c r="J10955" s="309"/>
    </row>
    <row r="10956">
      <c r="B10956" s="309"/>
      <c r="C10956" s="309"/>
      <c r="I10956" s="309"/>
      <c r="J10956" s="309"/>
    </row>
    <row r="10957">
      <c r="B10957" s="309"/>
      <c r="C10957" s="309"/>
      <c r="I10957" s="309"/>
      <c r="J10957" s="309"/>
    </row>
    <row r="10958">
      <c r="B10958" s="309"/>
      <c r="C10958" s="309"/>
      <c r="I10958" s="309"/>
      <c r="J10958" s="309"/>
    </row>
    <row r="10959">
      <c r="B10959" s="309"/>
      <c r="C10959" s="309"/>
      <c r="I10959" s="309"/>
      <c r="J10959" s="309"/>
    </row>
    <row r="10960">
      <c r="B10960" s="309"/>
      <c r="C10960" s="309"/>
      <c r="I10960" s="309"/>
      <c r="J10960" s="309"/>
    </row>
    <row r="10961">
      <c r="B10961" s="309"/>
      <c r="C10961" s="309"/>
      <c r="I10961" s="309"/>
      <c r="J10961" s="309"/>
    </row>
    <row r="10962">
      <c r="B10962" s="309"/>
      <c r="C10962" s="309"/>
      <c r="I10962" s="309"/>
      <c r="J10962" s="309"/>
    </row>
    <row r="10963">
      <c r="B10963" s="309"/>
      <c r="C10963" s="309"/>
      <c r="I10963" s="309"/>
      <c r="J10963" s="309"/>
    </row>
    <row r="10964">
      <c r="B10964" s="309"/>
      <c r="C10964" s="309"/>
      <c r="I10964" s="309"/>
      <c r="J10964" s="309"/>
    </row>
    <row r="10965">
      <c r="B10965" s="309"/>
      <c r="C10965" s="309"/>
      <c r="I10965" s="309"/>
      <c r="J10965" s="309"/>
    </row>
    <row r="10966">
      <c r="B10966" s="309"/>
      <c r="C10966" s="309"/>
      <c r="I10966" s="309"/>
      <c r="J10966" s="309"/>
    </row>
    <row r="10967">
      <c r="B10967" s="309"/>
      <c r="C10967" s="309"/>
      <c r="I10967" s="309"/>
      <c r="J10967" s="309"/>
    </row>
    <row r="10968">
      <c r="B10968" s="309"/>
      <c r="C10968" s="309"/>
      <c r="I10968" s="309"/>
      <c r="J10968" s="309"/>
    </row>
    <row r="10969">
      <c r="B10969" s="309"/>
      <c r="C10969" s="309"/>
      <c r="I10969" s="309"/>
      <c r="J10969" s="309"/>
    </row>
    <row r="10970">
      <c r="B10970" s="309"/>
      <c r="C10970" s="309"/>
      <c r="I10970" s="309"/>
      <c r="J10970" s="309"/>
    </row>
    <row r="10971">
      <c r="B10971" s="309"/>
      <c r="C10971" s="309"/>
      <c r="I10971" s="309"/>
      <c r="J10971" s="309"/>
    </row>
    <row r="10972">
      <c r="B10972" s="309"/>
      <c r="C10972" s="309"/>
      <c r="I10972" s="309"/>
      <c r="J10972" s="309"/>
    </row>
    <row r="10973">
      <c r="B10973" s="309"/>
      <c r="C10973" s="309"/>
      <c r="I10973" s="309"/>
      <c r="J10973" s="309"/>
    </row>
    <row r="10974">
      <c r="B10974" s="309"/>
      <c r="C10974" s="309"/>
      <c r="I10974" s="309"/>
      <c r="J10974" s="309"/>
    </row>
    <row r="10975">
      <c r="B10975" s="309"/>
      <c r="C10975" s="309"/>
      <c r="I10975" s="309"/>
      <c r="J10975" s="309"/>
    </row>
    <row r="10976">
      <c r="B10976" s="309"/>
      <c r="C10976" s="309"/>
      <c r="I10976" s="309"/>
      <c r="J10976" s="309"/>
    </row>
    <row r="10977">
      <c r="B10977" s="309"/>
      <c r="C10977" s="309"/>
      <c r="I10977" s="309"/>
      <c r="J10977" s="309"/>
    </row>
    <row r="10978">
      <c r="B10978" s="309"/>
      <c r="C10978" s="309"/>
      <c r="I10978" s="309"/>
      <c r="J10978" s="309"/>
    </row>
    <row r="10979">
      <c r="B10979" s="309"/>
      <c r="C10979" s="309"/>
      <c r="I10979" s="309"/>
      <c r="J10979" s="309"/>
    </row>
    <row r="10980">
      <c r="B10980" s="309"/>
      <c r="C10980" s="309"/>
      <c r="I10980" s="309"/>
      <c r="J10980" s="309"/>
    </row>
    <row r="10981">
      <c r="B10981" s="309"/>
      <c r="C10981" s="309"/>
      <c r="I10981" s="309"/>
      <c r="J10981" s="309"/>
    </row>
    <row r="10982">
      <c r="B10982" s="309"/>
      <c r="C10982" s="309"/>
      <c r="I10982" s="309"/>
      <c r="J10982" s="309"/>
    </row>
    <row r="10983">
      <c r="B10983" s="309"/>
      <c r="C10983" s="309"/>
      <c r="I10983" s="309"/>
      <c r="J10983" s="309"/>
    </row>
    <row r="10984">
      <c r="B10984" s="309"/>
      <c r="C10984" s="309"/>
      <c r="I10984" s="309"/>
      <c r="J10984" s="309"/>
    </row>
    <row r="10985">
      <c r="B10985" s="309"/>
      <c r="C10985" s="309"/>
      <c r="I10985" s="309"/>
      <c r="J10985" s="309"/>
    </row>
    <row r="10986">
      <c r="B10986" s="309"/>
      <c r="C10986" s="309"/>
      <c r="I10986" s="309"/>
      <c r="J10986" s="309"/>
    </row>
    <row r="10987">
      <c r="B10987" s="309"/>
      <c r="C10987" s="309"/>
      <c r="I10987" s="309"/>
      <c r="J10987" s="309"/>
    </row>
    <row r="10988">
      <c r="B10988" s="309"/>
      <c r="C10988" s="309"/>
      <c r="I10988" s="309"/>
      <c r="J10988" s="309"/>
    </row>
    <row r="10989">
      <c r="B10989" s="309"/>
      <c r="C10989" s="309"/>
      <c r="I10989" s="309"/>
      <c r="J10989" s="309"/>
    </row>
    <row r="10990">
      <c r="B10990" s="309"/>
      <c r="C10990" s="309"/>
      <c r="I10990" s="309"/>
      <c r="J10990" s="309"/>
    </row>
    <row r="10991">
      <c r="B10991" s="309"/>
      <c r="C10991" s="309"/>
      <c r="I10991" s="309"/>
      <c r="J10991" s="309"/>
    </row>
    <row r="10992">
      <c r="B10992" s="309"/>
      <c r="C10992" s="309"/>
      <c r="I10992" s="309"/>
      <c r="J10992" s="309"/>
    </row>
    <row r="10993">
      <c r="B10993" s="309"/>
      <c r="C10993" s="309"/>
      <c r="I10993" s="309"/>
      <c r="J10993" s="309"/>
    </row>
    <row r="10994">
      <c r="B10994" s="309"/>
      <c r="C10994" s="309"/>
      <c r="I10994" s="309"/>
      <c r="J10994" s="309"/>
    </row>
    <row r="10995">
      <c r="B10995" s="309"/>
      <c r="C10995" s="309"/>
      <c r="I10995" s="309"/>
      <c r="J10995" s="309"/>
    </row>
    <row r="10996">
      <c r="B10996" s="309"/>
      <c r="C10996" s="309"/>
      <c r="I10996" s="309"/>
      <c r="J10996" s="309"/>
    </row>
    <row r="10997">
      <c r="B10997" s="309"/>
      <c r="C10997" s="309"/>
      <c r="I10997" s="309"/>
      <c r="J10997" s="309"/>
    </row>
    <row r="10998">
      <c r="B10998" s="309"/>
      <c r="C10998" s="309"/>
      <c r="I10998" s="309"/>
      <c r="J10998" s="309"/>
    </row>
    <row r="10999">
      <c r="B10999" s="309"/>
      <c r="C10999" s="309"/>
      <c r="I10999" s="309"/>
      <c r="J10999" s="309"/>
    </row>
    <row r="11000">
      <c r="B11000" s="309"/>
      <c r="C11000" s="309"/>
      <c r="I11000" s="309"/>
      <c r="J11000" s="309"/>
    </row>
    <row r="11001">
      <c r="B11001" s="309"/>
      <c r="C11001" s="309"/>
      <c r="I11001" s="309"/>
      <c r="J11001" s="309"/>
    </row>
    <row r="11002">
      <c r="B11002" s="309"/>
      <c r="C11002" s="309"/>
      <c r="I11002" s="309"/>
      <c r="J11002" s="309"/>
    </row>
    <row r="11003">
      <c r="B11003" s="309"/>
      <c r="C11003" s="309"/>
      <c r="I11003" s="309"/>
      <c r="J11003" s="309"/>
    </row>
    <row r="11004">
      <c r="B11004" s="309"/>
      <c r="C11004" s="309"/>
      <c r="I11004" s="309"/>
      <c r="J11004" s="309"/>
    </row>
    <row r="11005">
      <c r="B11005" s="309"/>
      <c r="C11005" s="309"/>
      <c r="I11005" s="309"/>
      <c r="J11005" s="309"/>
    </row>
    <row r="11006">
      <c r="B11006" s="309"/>
      <c r="C11006" s="309"/>
      <c r="I11006" s="309"/>
      <c r="J11006" s="309"/>
    </row>
    <row r="11007">
      <c r="B11007" s="309"/>
      <c r="C11007" s="309"/>
      <c r="I11007" s="309"/>
      <c r="J11007" s="309"/>
    </row>
    <row r="11008">
      <c r="B11008" s="309"/>
      <c r="C11008" s="309"/>
      <c r="I11008" s="309"/>
      <c r="J11008" s="309"/>
    </row>
    <row r="11009">
      <c r="B11009" s="309"/>
      <c r="C11009" s="309"/>
      <c r="I11009" s="309"/>
      <c r="J11009" s="309"/>
    </row>
    <row r="11010">
      <c r="B11010" s="309"/>
      <c r="C11010" s="309"/>
      <c r="I11010" s="309"/>
      <c r="J11010" s="309"/>
    </row>
    <row r="11011">
      <c r="B11011" s="309"/>
      <c r="C11011" s="309"/>
      <c r="I11011" s="309"/>
      <c r="J11011" s="309"/>
    </row>
    <row r="11012">
      <c r="B11012" s="309"/>
      <c r="C11012" s="309"/>
      <c r="I11012" s="309"/>
      <c r="J11012" s="309"/>
    </row>
    <row r="11013">
      <c r="B11013" s="309"/>
      <c r="C11013" s="309"/>
      <c r="I11013" s="309"/>
      <c r="J11013" s="309"/>
    </row>
    <row r="11014">
      <c r="B11014" s="309"/>
      <c r="C11014" s="309"/>
      <c r="I11014" s="309"/>
      <c r="J11014" s="309"/>
    </row>
    <row r="11015">
      <c r="B11015" s="309"/>
      <c r="C11015" s="309"/>
      <c r="I11015" s="309"/>
      <c r="J11015" s="309"/>
    </row>
    <row r="11016">
      <c r="B11016" s="309"/>
      <c r="C11016" s="309"/>
      <c r="I11016" s="309"/>
      <c r="J11016" s="309"/>
    </row>
    <row r="11017">
      <c r="B11017" s="309"/>
      <c r="C11017" s="309"/>
      <c r="I11017" s="309"/>
      <c r="J11017" s="309"/>
    </row>
    <row r="11018">
      <c r="B11018" s="309"/>
      <c r="C11018" s="309"/>
      <c r="I11018" s="309"/>
      <c r="J11018" s="309"/>
    </row>
    <row r="11019">
      <c r="B11019" s="309"/>
      <c r="C11019" s="309"/>
      <c r="I11019" s="309"/>
      <c r="J11019" s="309"/>
    </row>
    <row r="11020">
      <c r="B11020" s="309"/>
      <c r="C11020" s="309"/>
      <c r="I11020" s="309"/>
      <c r="J11020" s="309"/>
    </row>
    <row r="11021">
      <c r="B11021" s="309"/>
      <c r="C11021" s="309"/>
      <c r="I11021" s="309"/>
      <c r="J11021" s="309"/>
    </row>
    <row r="11022">
      <c r="B11022" s="309"/>
      <c r="C11022" s="309"/>
      <c r="I11022" s="309"/>
      <c r="J11022" s="309"/>
    </row>
    <row r="11023">
      <c r="B11023" s="309"/>
      <c r="C11023" s="309"/>
      <c r="I11023" s="309"/>
      <c r="J11023" s="309"/>
    </row>
    <row r="11024">
      <c r="B11024" s="309"/>
      <c r="C11024" s="309"/>
      <c r="I11024" s="309"/>
      <c r="J11024" s="309"/>
    </row>
    <row r="11025">
      <c r="B11025" s="309"/>
      <c r="C11025" s="309"/>
      <c r="I11025" s="309"/>
      <c r="J11025" s="309"/>
    </row>
    <row r="11026">
      <c r="B11026" s="309"/>
      <c r="C11026" s="309"/>
      <c r="I11026" s="309"/>
      <c r="J11026" s="309"/>
    </row>
    <row r="11027">
      <c r="B11027" s="309"/>
      <c r="C11027" s="309"/>
      <c r="I11027" s="309"/>
      <c r="J11027" s="309"/>
    </row>
    <row r="11028">
      <c r="B11028" s="309"/>
      <c r="C11028" s="309"/>
      <c r="I11028" s="309"/>
      <c r="J11028" s="309"/>
    </row>
    <row r="11029">
      <c r="B11029" s="309"/>
      <c r="C11029" s="309"/>
      <c r="I11029" s="309"/>
      <c r="J11029" s="309"/>
    </row>
    <row r="11030">
      <c r="B11030" s="309"/>
      <c r="C11030" s="309"/>
      <c r="I11030" s="309"/>
      <c r="J11030" s="309"/>
    </row>
    <row r="11031">
      <c r="B11031" s="309"/>
      <c r="C11031" s="309"/>
      <c r="I11031" s="309"/>
      <c r="J11031" s="309"/>
    </row>
    <row r="11032">
      <c r="B11032" s="309"/>
      <c r="C11032" s="309"/>
      <c r="I11032" s="309"/>
      <c r="J11032" s="309"/>
    </row>
    <row r="11033">
      <c r="B11033" s="309"/>
      <c r="C11033" s="309"/>
      <c r="I11033" s="309"/>
      <c r="J11033" s="309"/>
    </row>
    <row r="11034">
      <c r="B11034" s="309"/>
      <c r="C11034" s="309"/>
      <c r="I11034" s="309"/>
      <c r="J11034" s="309"/>
    </row>
    <row r="11035">
      <c r="B11035" s="309"/>
      <c r="C11035" s="309"/>
      <c r="I11035" s="309"/>
      <c r="J11035" s="309"/>
    </row>
    <row r="11036">
      <c r="B11036" s="309"/>
      <c r="C11036" s="309"/>
      <c r="I11036" s="309"/>
      <c r="J11036" s="309"/>
    </row>
    <row r="11037">
      <c r="B11037" s="309"/>
      <c r="C11037" s="309"/>
      <c r="I11037" s="309"/>
      <c r="J11037" s="309"/>
    </row>
    <row r="11038">
      <c r="B11038" s="309"/>
      <c r="C11038" s="309"/>
      <c r="I11038" s="309"/>
      <c r="J11038" s="309"/>
    </row>
    <row r="11039">
      <c r="B11039" s="309"/>
      <c r="C11039" s="309"/>
      <c r="I11039" s="309"/>
      <c r="J11039" s="309"/>
    </row>
    <row r="11040">
      <c r="B11040" s="309"/>
      <c r="C11040" s="309"/>
      <c r="I11040" s="309"/>
      <c r="J11040" s="309"/>
    </row>
    <row r="11041">
      <c r="B11041" s="309"/>
      <c r="C11041" s="309"/>
      <c r="I11041" s="309"/>
      <c r="J11041" s="309"/>
    </row>
    <row r="11042">
      <c r="B11042" s="309"/>
      <c r="C11042" s="309"/>
      <c r="I11042" s="309"/>
      <c r="J11042" s="309"/>
    </row>
    <row r="11043">
      <c r="B11043" s="309"/>
      <c r="C11043" s="309"/>
      <c r="I11043" s="309"/>
      <c r="J11043" s="309"/>
    </row>
    <row r="11044">
      <c r="B11044" s="309"/>
      <c r="C11044" s="309"/>
      <c r="I11044" s="309"/>
      <c r="J11044" s="309"/>
    </row>
    <row r="11045">
      <c r="B11045" s="309"/>
      <c r="C11045" s="309"/>
      <c r="I11045" s="309"/>
      <c r="J11045" s="309"/>
    </row>
    <row r="11046">
      <c r="B11046" s="309"/>
      <c r="C11046" s="309"/>
      <c r="I11046" s="309"/>
      <c r="J11046" s="309"/>
    </row>
    <row r="11047">
      <c r="B11047" s="309"/>
      <c r="C11047" s="309"/>
      <c r="I11047" s="309"/>
      <c r="J11047" s="309"/>
    </row>
    <row r="11048">
      <c r="B11048" s="309"/>
      <c r="C11048" s="309"/>
      <c r="I11048" s="309"/>
      <c r="J11048" s="309"/>
    </row>
    <row r="11049">
      <c r="B11049" s="309"/>
      <c r="C11049" s="309"/>
      <c r="I11049" s="309"/>
      <c r="J11049" s="309"/>
    </row>
    <row r="11050">
      <c r="B11050" s="309"/>
      <c r="C11050" s="309"/>
      <c r="I11050" s="309"/>
      <c r="J11050" s="309"/>
    </row>
    <row r="11051">
      <c r="B11051" s="309"/>
      <c r="C11051" s="309"/>
      <c r="I11051" s="309"/>
      <c r="J11051" s="309"/>
    </row>
    <row r="11052">
      <c r="B11052" s="309"/>
      <c r="C11052" s="309"/>
      <c r="I11052" s="309"/>
      <c r="J11052" s="309"/>
    </row>
    <row r="11053">
      <c r="B11053" s="309"/>
      <c r="C11053" s="309"/>
      <c r="I11053" s="309"/>
      <c r="J11053" s="309"/>
    </row>
    <row r="11054">
      <c r="B11054" s="309"/>
      <c r="C11054" s="309"/>
      <c r="I11054" s="309"/>
      <c r="J11054" s="309"/>
    </row>
    <row r="11055">
      <c r="B11055" s="309"/>
      <c r="C11055" s="309"/>
      <c r="I11055" s="309"/>
      <c r="J11055" s="309"/>
    </row>
    <row r="11056">
      <c r="B11056" s="309"/>
      <c r="C11056" s="309"/>
      <c r="I11056" s="309"/>
      <c r="J11056" s="309"/>
    </row>
    <row r="11057">
      <c r="B11057" s="309"/>
      <c r="C11057" s="309"/>
      <c r="I11057" s="309"/>
      <c r="J11057" s="309"/>
    </row>
    <row r="11058">
      <c r="B11058" s="309"/>
      <c r="C11058" s="309"/>
      <c r="I11058" s="309"/>
      <c r="J11058" s="309"/>
    </row>
    <row r="11059">
      <c r="B11059" s="309"/>
      <c r="C11059" s="309"/>
      <c r="I11059" s="309"/>
      <c r="J11059" s="309"/>
    </row>
    <row r="11060">
      <c r="B11060" s="309"/>
      <c r="C11060" s="309"/>
      <c r="I11060" s="309"/>
      <c r="J11060" s="309"/>
    </row>
    <row r="11061">
      <c r="B11061" s="309"/>
      <c r="C11061" s="309"/>
      <c r="I11061" s="309"/>
      <c r="J11061" s="309"/>
    </row>
    <row r="11062">
      <c r="B11062" s="309"/>
      <c r="C11062" s="309"/>
      <c r="I11062" s="309"/>
      <c r="J11062" s="309"/>
    </row>
    <row r="11063">
      <c r="B11063" s="309"/>
      <c r="C11063" s="309"/>
      <c r="I11063" s="309"/>
      <c r="J11063" s="309"/>
    </row>
    <row r="11064">
      <c r="B11064" s="309"/>
      <c r="C11064" s="309"/>
      <c r="I11064" s="309"/>
      <c r="J11064" s="309"/>
    </row>
    <row r="11065">
      <c r="B11065" s="309"/>
      <c r="C11065" s="309"/>
      <c r="I11065" s="309"/>
      <c r="J11065" s="309"/>
    </row>
    <row r="11066">
      <c r="B11066" s="309"/>
      <c r="C11066" s="309"/>
      <c r="I11066" s="309"/>
      <c r="J11066" s="309"/>
    </row>
    <row r="11067">
      <c r="B11067" s="309"/>
      <c r="C11067" s="309"/>
      <c r="I11067" s="309"/>
      <c r="J11067" s="309"/>
    </row>
    <row r="11068">
      <c r="B11068" s="309"/>
      <c r="C11068" s="309"/>
      <c r="I11068" s="309"/>
      <c r="J11068" s="309"/>
    </row>
    <row r="11069">
      <c r="B11069" s="309"/>
      <c r="C11069" s="309"/>
      <c r="I11069" s="309"/>
      <c r="J11069" s="309"/>
    </row>
    <row r="11070">
      <c r="B11070" s="309"/>
      <c r="C11070" s="309"/>
      <c r="I11070" s="309"/>
      <c r="J11070" s="309"/>
    </row>
    <row r="11071">
      <c r="B11071" s="309"/>
      <c r="C11071" s="309"/>
      <c r="I11071" s="309"/>
      <c r="J11071" s="309"/>
    </row>
    <row r="11072">
      <c r="B11072" s="309"/>
      <c r="C11072" s="309"/>
      <c r="I11072" s="309"/>
      <c r="J11072" s="309"/>
    </row>
    <row r="11073">
      <c r="B11073" s="309"/>
      <c r="C11073" s="309"/>
      <c r="I11073" s="309"/>
      <c r="J11073" s="309"/>
    </row>
    <row r="11074">
      <c r="B11074" s="309"/>
      <c r="C11074" s="309"/>
      <c r="I11074" s="309"/>
      <c r="J11074" s="309"/>
    </row>
    <row r="11075">
      <c r="B11075" s="309"/>
      <c r="C11075" s="309"/>
      <c r="I11075" s="309"/>
      <c r="J11075" s="309"/>
    </row>
    <row r="11076">
      <c r="B11076" s="309"/>
      <c r="C11076" s="309"/>
      <c r="I11076" s="309"/>
      <c r="J11076" s="309"/>
    </row>
    <row r="11077">
      <c r="B11077" s="309"/>
      <c r="C11077" s="309"/>
      <c r="I11077" s="309"/>
      <c r="J11077" s="309"/>
    </row>
    <row r="11078">
      <c r="B11078" s="309"/>
      <c r="C11078" s="309"/>
      <c r="I11078" s="309"/>
      <c r="J11078" s="309"/>
    </row>
    <row r="11079">
      <c r="B11079" s="309"/>
      <c r="C11079" s="309"/>
      <c r="I11079" s="309"/>
      <c r="J11079" s="309"/>
    </row>
    <row r="11080">
      <c r="B11080" s="309"/>
      <c r="C11080" s="309"/>
      <c r="I11080" s="309"/>
      <c r="J11080" s="309"/>
    </row>
    <row r="11081">
      <c r="B11081" s="309"/>
      <c r="C11081" s="309"/>
      <c r="I11081" s="309"/>
      <c r="J11081" s="309"/>
    </row>
    <row r="11082">
      <c r="B11082" s="309"/>
      <c r="C11082" s="309"/>
      <c r="I11082" s="309"/>
      <c r="J11082" s="309"/>
    </row>
    <row r="11083">
      <c r="B11083" s="309"/>
      <c r="C11083" s="309"/>
      <c r="I11083" s="309"/>
      <c r="J11083" s="309"/>
    </row>
    <row r="11084">
      <c r="B11084" s="309"/>
      <c r="C11084" s="309"/>
      <c r="I11084" s="309"/>
      <c r="J11084" s="309"/>
    </row>
    <row r="11085">
      <c r="B11085" s="309"/>
      <c r="C11085" s="309"/>
      <c r="I11085" s="309"/>
      <c r="J11085" s="309"/>
    </row>
    <row r="11086">
      <c r="B11086" s="309"/>
      <c r="C11086" s="309"/>
      <c r="I11086" s="309"/>
      <c r="J11086" s="309"/>
    </row>
    <row r="11087">
      <c r="B11087" s="309"/>
      <c r="C11087" s="309"/>
      <c r="I11087" s="309"/>
      <c r="J11087" s="309"/>
    </row>
    <row r="11088">
      <c r="B11088" s="309"/>
      <c r="C11088" s="309"/>
      <c r="I11088" s="309"/>
      <c r="J11088" s="309"/>
    </row>
    <row r="11089">
      <c r="B11089" s="309"/>
      <c r="C11089" s="309"/>
      <c r="I11089" s="309"/>
      <c r="J11089" s="309"/>
    </row>
    <row r="11090">
      <c r="B11090" s="309"/>
      <c r="C11090" s="309"/>
      <c r="I11090" s="309"/>
      <c r="J11090" s="309"/>
    </row>
    <row r="11091">
      <c r="B11091" s="309"/>
      <c r="C11091" s="309"/>
      <c r="I11091" s="309"/>
      <c r="J11091" s="309"/>
    </row>
    <row r="11092">
      <c r="B11092" s="309"/>
      <c r="C11092" s="309"/>
      <c r="I11092" s="309"/>
      <c r="J11092" s="309"/>
    </row>
    <row r="11093">
      <c r="B11093" s="309"/>
      <c r="C11093" s="309"/>
      <c r="I11093" s="309"/>
      <c r="J11093" s="309"/>
    </row>
    <row r="11094">
      <c r="B11094" s="309"/>
      <c r="C11094" s="309"/>
      <c r="I11094" s="309"/>
      <c r="J11094" s="309"/>
    </row>
    <row r="11095">
      <c r="B11095" s="309"/>
      <c r="C11095" s="309"/>
      <c r="I11095" s="309"/>
      <c r="J11095" s="309"/>
    </row>
    <row r="11096">
      <c r="B11096" s="309"/>
      <c r="C11096" s="309"/>
      <c r="I11096" s="309"/>
      <c r="J11096" s="309"/>
    </row>
    <row r="11097">
      <c r="B11097" s="309"/>
      <c r="C11097" s="309"/>
      <c r="I11097" s="309"/>
      <c r="J11097" s="309"/>
    </row>
    <row r="11098">
      <c r="B11098" s="309"/>
      <c r="C11098" s="309"/>
      <c r="I11098" s="309"/>
      <c r="J11098" s="309"/>
    </row>
    <row r="11099">
      <c r="B11099" s="309"/>
      <c r="C11099" s="309"/>
      <c r="I11099" s="309"/>
      <c r="J11099" s="309"/>
    </row>
    <row r="11100">
      <c r="B11100" s="309"/>
      <c r="C11100" s="309"/>
      <c r="I11100" s="309"/>
      <c r="J11100" s="309"/>
    </row>
    <row r="11101">
      <c r="B11101" s="309"/>
      <c r="C11101" s="309"/>
      <c r="I11101" s="309"/>
      <c r="J11101" s="309"/>
    </row>
    <row r="11102">
      <c r="B11102" s="309"/>
      <c r="C11102" s="309"/>
      <c r="I11102" s="309"/>
      <c r="J11102" s="309"/>
    </row>
    <row r="11103">
      <c r="B11103" s="309"/>
      <c r="C11103" s="309"/>
      <c r="I11103" s="309"/>
      <c r="J11103" s="309"/>
    </row>
    <row r="11104">
      <c r="B11104" s="309"/>
      <c r="C11104" s="309"/>
      <c r="I11104" s="309"/>
      <c r="J11104" s="309"/>
    </row>
    <row r="11105">
      <c r="B11105" s="309"/>
      <c r="C11105" s="309"/>
      <c r="I11105" s="309"/>
      <c r="J11105" s="309"/>
    </row>
    <row r="11106">
      <c r="B11106" s="309"/>
      <c r="C11106" s="309"/>
      <c r="I11106" s="309"/>
      <c r="J11106" s="309"/>
    </row>
    <row r="11107">
      <c r="B11107" s="309"/>
      <c r="C11107" s="309"/>
      <c r="I11107" s="309"/>
      <c r="J11107" s="309"/>
    </row>
    <row r="11108">
      <c r="B11108" s="309"/>
      <c r="C11108" s="309"/>
      <c r="I11108" s="309"/>
      <c r="J11108" s="309"/>
    </row>
    <row r="11109">
      <c r="B11109" s="309"/>
      <c r="C11109" s="309"/>
      <c r="I11109" s="309"/>
      <c r="J11109" s="309"/>
    </row>
    <row r="11110">
      <c r="B11110" s="309"/>
      <c r="C11110" s="309"/>
      <c r="I11110" s="309"/>
      <c r="J11110" s="309"/>
    </row>
    <row r="11111">
      <c r="B11111" s="309"/>
      <c r="C11111" s="309"/>
      <c r="I11111" s="309"/>
      <c r="J11111" s="309"/>
    </row>
    <row r="11112">
      <c r="B11112" s="309"/>
      <c r="C11112" s="309"/>
      <c r="I11112" s="309"/>
      <c r="J11112" s="309"/>
    </row>
    <row r="11113">
      <c r="B11113" s="309"/>
      <c r="C11113" s="309"/>
      <c r="I11113" s="309"/>
      <c r="J11113" s="309"/>
    </row>
    <row r="11114">
      <c r="B11114" s="309"/>
      <c r="C11114" s="309"/>
      <c r="I11114" s="309"/>
      <c r="J11114" s="309"/>
    </row>
    <row r="11115">
      <c r="B11115" s="309"/>
      <c r="C11115" s="309"/>
      <c r="I11115" s="309"/>
      <c r="J11115" s="309"/>
    </row>
    <row r="11116">
      <c r="B11116" s="309"/>
      <c r="C11116" s="309"/>
      <c r="I11116" s="309"/>
      <c r="J11116" s="309"/>
    </row>
    <row r="11117">
      <c r="B11117" s="309"/>
      <c r="C11117" s="309"/>
      <c r="I11117" s="309"/>
      <c r="J11117" s="309"/>
    </row>
    <row r="11118">
      <c r="B11118" s="309"/>
      <c r="C11118" s="309"/>
      <c r="I11118" s="309"/>
      <c r="J11118" s="309"/>
    </row>
    <row r="11119">
      <c r="B11119" s="309"/>
      <c r="C11119" s="309"/>
      <c r="I11119" s="309"/>
      <c r="J11119" s="309"/>
    </row>
    <row r="11120">
      <c r="B11120" s="309"/>
      <c r="C11120" s="309"/>
      <c r="I11120" s="309"/>
      <c r="J11120" s="309"/>
    </row>
    <row r="11121">
      <c r="B11121" s="309"/>
      <c r="C11121" s="309"/>
      <c r="I11121" s="309"/>
      <c r="J11121" s="309"/>
    </row>
    <row r="11122">
      <c r="B11122" s="309"/>
      <c r="C11122" s="309"/>
      <c r="I11122" s="309"/>
      <c r="J11122" s="309"/>
    </row>
    <row r="11123">
      <c r="B11123" s="309"/>
      <c r="C11123" s="309"/>
      <c r="I11123" s="309"/>
      <c r="J11123" s="309"/>
    </row>
    <row r="11124">
      <c r="B11124" s="309"/>
      <c r="C11124" s="309"/>
      <c r="I11124" s="309"/>
      <c r="J11124" s="309"/>
    </row>
    <row r="11125">
      <c r="B11125" s="309"/>
      <c r="C11125" s="309"/>
      <c r="I11125" s="309"/>
      <c r="J11125" s="309"/>
    </row>
    <row r="11126">
      <c r="B11126" s="309"/>
      <c r="C11126" s="309"/>
      <c r="I11126" s="309"/>
      <c r="J11126" s="309"/>
    </row>
    <row r="11127">
      <c r="B11127" s="309"/>
      <c r="C11127" s="309"/>
      <c r="I11127" s="309"/>
      <c r="J11127" s="309"/>
    </row>
    <row r="11128">
      <c r="B11128" s="309"/>
      <c r="C11128" s="309"/>
      <c r="I11128" s="309"/>
      <c r="J11128" s="309"/>
    </row>
    <row r="11129">
      <c r="B11129" s="309"/>
      <c r="C11129" s="309"/>
      <c r="I11129" s="309"/>
      <c r="J11129" s="309"/>
    </row>
    <row r="11130">
      <c r="B11130" s="309"/>
      <c r="C11130" s="309"/>
      <c r="I11130" s="309"/>
      <c r="J11130" s="309"/>
    </row>
    <row r="11131">
      <c r="B11131" s="309"/>
      <c r="C11131" s="309"/>
      <c r="I11131" s="309"/>
      <c r="J11131" s="309"/>
    </row>
    <row r="11132">
      <c r="B11132" s="309"/>
      <c r="C11132" s="309"/>
      <c r="I11132" s="309"/>
      <c r="J11132" s="309"/>
    </row>
    <row r="11133">
      <c r="B11133" s="309"/>
      <c r="C11133" s="309"/>
      <c r="I11133" s="309"/>
      <c r="J11133" s="309"/>
    </row>
    <row r="11134">
      <c r="B11134" s="309"/>
      <c r="C11134" s="309"/>
      <c r="I11134" s="309"/>
      <c r="J11134" s="309"/>
    </row>
    <row r="11135">
      <c r="B11135" s="309"/>
      <c r="C11135" s="309"/>
      <c r="I11135" s="309"/>
      <c r="J11135" s="309"/>
    </row>
    <row r="11136">
      <c r="B11136" s="309"/>
      <c r="C11136" s="309"/>
      <c r="I11136" s="309"/>
      <c r="J11136" s="309"/>
    </row>
    <row r="11137">
      <c r="B11137" s="309"/>
      <c r="C11137" s="309"/>
      <c r="I11137" s="309"/>
      <c r="J11137" s="309"/>
    </row>
    <row r="11138">
      <c r="B11138" s="309"/>
      <c r="C11138" s="309"/>
      <c r="I11138" s="309"/>
      <c r="J11138" s="309"/>
    </row>
    <row r="11139">
      <c r="B11139" s="309"/>
      <c r="C11139" s="309"/>
      <c r="I11139" s="309"/>
      <c r="J11139" s="309"/>
    </row>
    <row r="11140">
      <c r="B11140" s="309"/>
      <c r="C11140" s="309"/>
      <c r="I11140" s="309"/>
      <c r="J11140" s="309"/>
    </row>
    <row r="11141">
      <c r="B11141" s="309"/>
      <c r="C11141" s="309"/>
      <c r="I11141" s="309"/>
      <c r="J11141" s="309"/>
    </row>
    <row r="11142">
      <c r="B11142" s="309"/>
      <c r="C11142" s="309"/>
      <c r="I11142" s="309"/>
      <c r="J11142" s="309"/>
    </row>
    <row r="11143">
      <c r="B11143" s="309"/>
      <c r="C11143" s="309"/>
      <c r="I11143" s="309"/>
      <c r="J11143" s="309"/>
    </row>
    <row r="11144">
      <c r="B11144" s="309"/>
      <c r="C11144" s="309"/>
      <c r="I11144" s="309"/>
      <c r="J11144" s="309"/>
    </row>
    <row r="11145">
      <c r="B11145" s="309"/>
      <c r="C11145" s="309"/>
      <c r="I11145" s="309"/>
      <c r="J11145" s="309"/>
    </row>
    <row r="11146">
      <c r="B11146" s="309"/>
      <c r="C11146" s="309"/>
      <c r="I11146" s="309"/>
      <c r="J11146" s="309"/>
    </row>
    <row r="11147">
      <c r="B11147" s="309"/>
      <c r="C11147" s="309"/>
      <c r="I11147" s="309"/>
      <c r="J11147" s="309"/>
    </row>
    <row r="11148">
      <c r="B11148" s="309"/>
      <c r="C11148" s="309"/>
      <c r="I11148" s="309"/>
      <c r="J11148" s="309"/>
    </row>
    <row r="11149">
      <c r="B11149" s="309"/>
      <c r="C11149" s="309"/>
      <c r="I11149" s="309"/>
      <c r="J11149" s="309"/>
    </row>
    <row r="11150">
      <c r="B11150" s="309"/>
      <c r="C11150" s="309"/>
      <c r="I11150" s="309"/>
      <c r="J11150" s="309"/>
    </row>
    <row r="11151">
      <c r="B11151" s="309"/>
      <c r="C11151" s="309"/>
      <c r="I11151" s="309"/>
      <c r="J11151" s="309"/>
    </row>
    <row r="11152">
      <c r="B11152" s="309"/>
      <c r="C11152" s="309"/>
      <c r="I11152" s="309"/>
      <c r="J11152" s="309"/>
    </row>
    <row r="11153">
      <c r="B11153" s="309"/>
      <c r="C11153" s="309"/>
      <c r="I11153" s="309"/>
      <c r="J11153" s="309"/>
    </row>
    <row r="11154">
      <c r="B11154" s="309"/>
      <c r="C11154" s="309"/>
      <c r="I11154" s="309"/>
      <c r="J11154" s="309"/>
    </row>
    <row r="11155">
      <c r="B11155" s="309"/>
      <c r="C11155" s="309"/>
      <c r="I11155" s="309"/>
      <c r="J11155" s="309"/>
    </row>
    <row r="11156">
      <c r="B11156" s="309"/>
      <c r="C11156" s="309"/>
      <c r="I11156" s="309"/>
      <c r="J11156" s="309"/>
    </row>
    <row r="11157">
      <c r="B11157" s="309"/>
      <c r="C11157" s="309"/>
      <c r="I11157" s="309"/>
      <c r="J11157" s="309"/>
    </row>
    <row r="11158">
      <c r="B11158" s="309"/>
      <c r="C11158" s="309"/>
      <c r="I11158" s="309"/>
      <c r="J11158" s="309"/>
    </row>
    <row r="11159">
      <c r="B11159" s="309"/>
      <c r="C11159" s="309"/>
      <c r="I11159" s="309"/>
      <c r="J11159" s="309"/>
    </row>
    <row r="11160">
      <c r="B11160" s="309"/>
      <c r="C11160" s="309"/>
      <c r="I11160" s="309"/>
      <c r="J11160" s="309"/>
    </row>
    <row r="11161">
      <c r="B11161" s="309"/>
      <c r="C11161" s="309"/>
      <c r="I11161" s="309"/>
      <c r="J11161" s="309"/>
    </row>
    <row r="11162">
      <c r="B11162" s="309"/>
      <c r="C11162" s="309"/>
      <c r="I11162" s="309"/>
      <c r="J11162" s="309"/>
    </row>
    <row r="11163">
      <c r="B11163" s="309"/>
      <c r="C11163" s="309"/>
      <c r="I11163" s="309"/>
      <c r="J11163" s="309"/>
    </row>
    <row r="11164">
      <c r="B11164" s="309"/>
      <c r="C11164" s="309"/>
      <c r="I11164" s="309"/>
      <c r="J11164" s="309"/>
    </row>
    <row r="11165">
      <c r="B11165" s="309"/>
      <c r="C11165" s="309"/>
      <c r="I11165" s="309"/>
      <c r="J11165" s="309"/>
    </row>
    <row r="11166">
      <c r="B11166" s="309"/>
      <c r="C11166" s="309"/>
      <c r="I11166" s="309"/>
      <c r="J11166" s="309"/>
    </row>
    <row r="11167">
      <c r="B11167" s="309"/>
      <c r="C11167" s="309"/>
      <c r="I11167" s="309"/>
      <c r="J11167" s="309"/>
    </row>
    <row r="11168">
      <c r="B11168" s="309"/>
      <c r="C11168" s="309"/>
      <c r="I11168" s="309"/>
      <c r="J11168" s="309"/>
    </row>
    <row r="11169">
      <c r="B11169" s="309"/>
      <c r="C11169" s="309"/>
      <c r="I11169" s="309"/>
      <c r="J11169" s="309"/>
    </row>
    <row r="11170">
      <c r="B11170" s="309"/>
      <c r="C11170" s="309"/>
      <c r="I11170" s="309"/>
      <c r="J11170" s="309"/>
    </row>
    <row r="11171">
      <c r="B11171" s="309"/>
      <c r="C11171" s="309"/>
      <c r="I11171" s="309"/>
      <c r="J11171" s="309"/>
    </row>
    <row r="11172">
      <c r="B11172" s="309"/>
      <c r="C11172" s="309"/>
      <c r="I11172" s="309"/>
      <c r="J11172" s="309"/>
    </row>
    <row r="11173">
      <c r="B11173" s="309"/>
      <c r="C11173" s="309"/>
      <c r="I11173" s="309"/>
      <c r="J11173" s="309"/>
    </row>
    <row r="11174">
      <c r="B11174" s="309"/>
      <c r="C11174" s="309"/>
      <c r="I11174" s="309"/>
      <c r="J11174" s="309"/>
    </row>
    <row r="11175">
      <c r="B11175" s="309"/>
      <c r="C11175" s="309"/>
      <c r="I11175" s="309"/>
      <c r="J11175" s="309"/>
    </row>
    <row r="11176">
      <c r="B11176" s="309"/>
      <c r="C11176" s="309"/>
      <c r="I11176" s="309"/>
      <c r="J11176" s="309"/>
    </row>
    <row r="11177">
      <c r="B11177" s="309"/>
      <c r="C11177" s="309"/>
      <c r="I11177" s="309"/>
      <c r="J11177" s="309"/>
    </row>
    <row r="11178">
      <c r="B11178" s="309"/>
      <c r="C11178" s="309"/>
      <c r="I11178" s="309"/>
      <c r="J11178" s="309"/>
    </row>
    <row r="11179">
      <c r="B11179" s="309"/>
      <c r="C11179" s="309"/>
      <c r="I11179" s="309"/>
      <c r="J11179" s="309"/>
    </row>
    <row r="11180">
      <c r="B11180" s="309"/>
      <c r="C11180" s="309"/>
      <c r="I11180" s="309"/>
      <c r="J11180" s="309"/>
    </row>
    <row r="11181">
      <c r="B11181" s="309"/>
      <c r="C11181" s="309"/>
      <c r="I11181" s="309"/>
      <c r="J11181" s="309"/>
    </row>
    <row r="11182">
      <c r="B11182" s="309"/>
      <c r="C11182" s="309"/>
      <c r="I11182" s="309"/>
      <c r="J11182" s="309"/>
    </row>
    <row r="11183">
      <c r="B11183" s="309"/>
      <c r="C11183" s="309"/>
      <c r="I11183" s="309"/>
      <c r="J11183" s="309"/>
    </row>
    <row r="11184">
      <c r="B11184" s="309"/>
      <c r="C11184" s="309"/>
      <c r="I11184" s="309"/>
      <c r="J11184" s="309"/>
    </row>
    <row r="11185">
      <c r="B11185" s="309"/>
      <c r="C11185" s="309"/>
      <c r="I11185" s="309"/>
      <c r="J11185" s="309"/>
    </row>
    <row r="11186">
      <c r="B11186" s="309"/>
      <c r="C11186" s="309"/>
      <c r="I11186" s="309"/>
      <c r="J11186" s="309"/>
    </row>
    <row r="11187">
      <c r="B11187" s="309"/>
      <c r="C11187" s="309"/>
      <c r="I11187" s="309"/>
      <c r="J11187" s="309"/>
    </row>
    <row r="11188">
      <c r="B11188" s="309"/>
      <c r="C11188" s="309"/>
      <c r="I11188" s="309"/>
      <c r="J11188" s="309"/>
    </row>
    <row r="11189">
      <c r="B11189" s="309"/>
      <c r="C11189" s="309"/>
      <c r="I11189" s="309"/>
      <c r="J11189" s="309"/>
    </row>
    <row r="11190">
      <c r="B11190" s="309"/>
      <c r="C11190" s="309"/>
      <c r="I11190" s="309"/>
      <c r="J11190" s="309"/>
    </row>
    <row r="11191">
      <c r="B11191" s="309"/>
      <c r="C11191" s="309"/>
      <c r="I11191" s="309"/>
      <c r="J11191" s="309"/>
    </row>
    <row r="11192">
      <c r="B11192" s="309"/>
      <c r="C11192" s="309"/>
      <c r="I11192" s="309"/>
      <c r="J11192" s="309"/>
    </row>
    <row r="11193">
      <c r="B11193" s="309"/>
      <c r="C11193" s="309"/>
      <c r="I11193" s="309"/>
      <c r="J11193" s="309"/>
    </row>
    <row r="11194">
      <c r="B11194" s="309"/>
      <c r="C11194" s="309"/>
      <c r="I11194" s="309"/>
      <c r="J11194" s="309"/>
    </row>
    <row r="11195">
      <c r="B11195" s="309"/>
      <c r="C11195" s="309"/>
      <c r="I11195" s="309"/>
      <c r="J11195" s="309"/>
    </row>
    <row r="11196">
      <c r="B11196" s="309"/>
      <c r="C11196" s="309"/>
      <c r="I11196" s="309"/>
      <c r="J11196" s="309"/>
    </row>
    <row r="11197">
      <c r="B11197" s="309"/>
      <c r="C11197" s="309"/>
      <c r="I11197" s="309"/>
      <c r="J11197" s="309"/>
    </row>
    <row r="11198">
      <c r="B11198" s="309"/>
      <c r="C11198" s="309"/>
      <c r="I11198" s="309"/>
      <c r="J11198" s="309"/>
    </row>
    <row r="11199">
      <c r="B11199" s="309"/>
      <c r="C11199" s="309"/>
      <c r="I11199" s="309"/>
      <c r="J11199" s="309"/>
    </row>
    <row r="11200">
      <c r="B11200" s="309"/>
      <c r="C11200" s="309"/>
      <c r="I11200" s="309"/>
      <c r="J11200" s="309"/>
    </row>
    <row r="11201">
      <c r="B11201" s="309"/>
      <c r="C11201" s="309"/>
      <c r="I11201" s="309"/>
      <c r="J11201" s="309"/>
    </row>
    <row r="11202">
      <c r="B11202" s="309"/>
      <c r="C11202" s="309"/>
      <c r="I11202" s="309"/>
      <c r="J11202" s="309"/>
    </row>
    <row r="11203">
      <c r="B11203" s="309"/>
      <c r="C11203" s="309"/>
      <c r="I11203" s="309"/>
      <c r="J11203" s="309"/>
    </row>
    <row r="11204">
      <c r="B11204" s="309"/>
      <c r="C11204" s="309"/>
      <c r="I11204" s="309"/>
      <c r="J11204" s="309"/>
    </row>
    <row r="11205">
      <c r="B11205" s="309"/>
      <c r="C11205" s="309"/>
      <c r="I11205" s="309"/>
      <c r="J11205" s="309"/>
    </row>
    <row r="11206">
      <c r="B11206" s="309"/>
      <c r="C11206" s="309"/>
      <c r="I11206" s="309"/>
      <c r="J11206" s="309"/>
    </row>
    <row r="11207">
      <c r="B11207" s="309"/>
      <c r="C11207" s="309"/>
      <c r="I11207" s="309"/>
      <c r="J11207" s="309"/>
    </row>
    <row r="11208">
      <c r="B11208" s="309"/>
      <c r="C11208" s="309"/>
      <c r="I11208" s="309"/>
      <c r="J11208" s="309"/>
    </row>
    <row r="11209">
      <c r="B11209" s="309"/>
      <c r="C11209" s="309"/>
      <c r="I11209" s="309"/>
      <c r="J11209" s="309"/>
    </row>
    <row r="11210">
      <c r="B11210" s="309"/>
      <c r="C11210" s="309"/>
      <c r="I11210" s="309"/>
      <c r="J11210" s="309"/>
    </row>
    <row r="11211">
      <c r="B11211" s="309"/>
      <c r="C11211" s="309"/>
      <c r="I11211" s="309"/>
      <c r="J11211" s="309"/>
    </row>
    <row r="11212">
      <c r="B11212" s="309"/>
      <c r="C11212" s="309"/>
      <c r="I11212" s="309"/>
      <c r="J11212" s="309"/>
    </row>
    <row r="11213">
      <c r="B11213" s="309"/>
      <c r="C11213" s="309"/>
      <c r="I11213" s="309"/>
      <c r="J11213" s="309"/>
    </row>
    <row r="11214">
      <c r="B11214" s="309"/>
      <c r="C11214" s="309"/>
      <c r="I11214" s="309"/>
      <c r="J11214" s="309"/>
    </row>
    <row r="11215">
      <c r="B11215" s="309"/>
      <c r="C11215" s="309"/>
      <c r="I11215" s="309"/>
      <c r="J11215" s="309"/>
    </row>
    <row r="11216">
      <c r="B11216" s="309"/>
      <c r="C11216" s="309"/>
      <c r="I11216" s="309"/>
      <c r="J11216" s="309"/>
    </row>
    <row r="11217">
      <c r="B11217" s="309"/>
      <c r="C11217" s="309"/>
      <c r="I11217" s="309"/>
      <c r="J11217" s="309"/>
    </row>
    <row r="11218">
      <c r="B11218" s="309"/>
      <c r="C11218" s="309"/>
      <c r="I11218" s="309"/>
      <c r="J11218" s="309"/>
    </row>
    <row r="11219">
      <c r="B11219" s="309"/>
      <c r="C11219" s="309"/>
      <c r="I11219" s="309"/>
      <c r="J11219" s="309"/>
    </row>
    <row r="11220">
      <c r="B11220" s="309"/>
      <c r="C11220" s="309"/>
      <c r="I11220" s="309"/>
      <c r="J11220" s="309"/>
    </row>
    <row r="11221">
      <c r="B11221" s="309"/>
      <c r="C11221" s="309"/>
      <c r="I11221" s="309"/>
      <c r="J11221" s="309"/>
    </row>
    <row r="11222">
      <c r="B11222" s="309"/>
      <c r="C11222" s="309"/>
      <c r="I11222" s="309"/>
      <c r="J11222" s="309"/>
    </row>
    <row r="11223">
      <c r="B11223" s="309"/>
      <c r="C11223" s="309"/>
      <c r="I11223" s="309"/>
      <c r="J11223" s="309"/>
    </row>
    <row r="11224">
      <c r="B11224" s="309"/>
      <c r="C11224" s="309"/>
      <c r="I11224" s="309"/>
      <c r="J11224" s="309"/>
    </row>
    <row r="11225">
      <c r="B11225" s="309"/>
      <c r="C11225" s="309"/>
      <c r="I11225" s="309"/>
      <c r="J11225" s="309"/>
    </row>
    <row r="11226">
      <c r="B11226" s="309"/>
      <c r="C11226" s="309"/>
      <c r="I11226" s="309"/>
      <c r="J11226" s="309"/>
    </row>
    <row r="11227">
      <c r="B11227" s="309"/>
      <c r="C11227" s="309"/>
      <c r="I11227" s="309"/>
      <c r="J11227" s="309"/>
    </row>
    <row r="11228">
      <c r="B11228" s="309"/>
      <c r="C11228" s="309"/>
      <c r="I11228" s="309"/>
      <c r="J11228" s="309"/>
    </row>
    <row r="11229">
      <c r="B11229" s="309"/>
      <c r="C11229" s="309"/>
      <c r="I11229" s="309"/>
      <c r="J11229" s="309"/>
    </row>
    <row r="11230">
      <c r="B11230" s="309"/>
      <c r="C11230" s="309"/>
      <c r="I11230" s="309"/>
      <c r="J11230" s="309"/>
    </row>
    <row r="11231">
      <c r="B11231" s="309"/>
      <c r="C11231" s="309"/>
      <c r="I11231" s="309"/>
      <c r="J11231" s="309"/>
    </row>
    <row r="11232">
      <c r="B11232" s="309"/>
      <c r="C11232" s="309"/>
      <c r="I11232" s="309"/>
      <c r="J11232" s="309"/>
    </row>
    <row r="11233">
      <c r="B11233" s="309"/>
      <c r="C11233" s="309"/>
      <c r="I11233" s="309"/>
      <c r="J11233" s="309"/>
    </row>
    <row r="11234">
      <c r="B11234" s="309"/>
      <c r="C11234" s="309"/>
      <c r="I11234" s="309"/>
      <c r="J11234" s="309"/>
    </row>
    <row r="11235">
      <c r="B11235" s="309"/>
      <c r="C11235" s="309"/>
      <c r="I11235" s="309"/>
      <c r="J11235" s="309"/>
    </row>
    <row r="11236">
      <c r="B11236" s="309"/>
      <c r="C11236" s="309"/>
      <c r="I11236" s="309"/>
      <c r="J11236" s="309"/>
    </row>
    <row r="11237">
      <c r="B11237" s="309"/>
      <c r="C11237" s="309"/>
      <c r="I11237" s="309"/>
      <c r="J11237" s="309"/>
    </row>
    <row r="11238">
      <c r="B11238" s="309"/>
      <c r="C11238" s="309"/>
      <c r="I11238" s="309"/>
      <c r="J11238" s="309"/>
    </row>
    <row r="11239">
      <c r="B11239" s="309"/>
      <c r="C11239" s="309"/>
      <c r="I11239" s="309"/>
      <c r="J11239" s="309"/>
    </row>
    <row r="11240">
      <c r="B11240" s="309"/>
      <c r="C11240" s="309"/>
      <c r="I11240" s="309"/>
      <c r="J11240" s="309"/>
    </row>
    <row r="11241">
      <c r="B11241" s="309"/>
      <c r="C11241" s="309"/>
      <c r="I11241" s="309"/>
      <c r="J11241" s="309"/>
    </row>
    <row r="11242">
      <c r="B11242" s="309"/>
      <c r="C11242" s="309"/>
      <c r="I11242" s="309"/>
      <c r="J11242" s="309"/>
    </row>
    <row r="11243">
      <c r="B11243" s="309"/>
      <c r="C11243" s="309"/>
      <c r="I11243" s="309"/>
      <c r="J11243" s="309"/>
    </row>
    <row r="11244">
      <c r="B11244" s="309"/>
      <c r="C11244" s="309"/>
      <c r="I11244" s="309"/>
      <c r="J11244" s="309"/>
    </row>
    <row r="11245">
      <c r="B11245" s="309"/>
      <c r="C11245" s="309"/>
      <c r="I11245" s="309"/>
      <c r="J11245" s="309"/>
    </row>
    <row r="11246">
      <c r="B11246" s="309"/>
      <c r="C11246" s="309"/>
      <c r="I11246" s="309"/>
      <c r="J11246" s="309"/>
    </row>
    <row r="11247">
      <c r="B11247" s="309"/>
      <c r="C11247" s="309"/>
      <c r="I11247" s="309"/>
      <c r="J11247" s="309"/>
    </row>
    <row r="11248">
      <c r="B11248" s="309"/>
      <c r="C11248" s="309"/>
      <c r="I11248" s="309"/>
      <c r="J11248" s="309"/>
    </row>
    <row r="11249">
      <c r="B11249" s="309"/>
      <c r="C11249" s="309"/>
      <c r="I11249" s="309"/>
      <c r="J11249" s="309"/>
    </row>
    <row r="11250">
      <c r="B11250" s="309"/>
      <c r="C11250" s="309"/>
      <c r="I11250" s="309"/>
      <c r="J11250" s="309"/>
    </row>
    <row r="11251">
      <c r="B11251" s="309"/>
      <c r="C11251" s="309"/>
      <c r="I11251" s="309"/>
      <c r="J11251" s="309"/>
    </row>
    <row r="11252">
      <c r="B11252" s="309"/>
      <c r="C11252" s="309"/>
      <c r="I11252" s="309"/>
      <c r="J11252" s="309"/>
    </row>
    <row r="11253">
      <c r="B11253" s="309"/>
      <c r="C11253" s="309"/>
      <c r="I11253" s="309"/>
      <c r="J11253" s="309"/>
    </row>
    <row r="11254">
      <c r="B11254" s="309"/>
      <c r="C11254" s="309"/>
      <c r="I11254" s="309"/>
      <c r="J11254" s="309"/>
    </row>
    <row r="11255">
      <c r="B11255" s="309"/>
      <c r="C11255" s="309"/>
      <c r="I11255" s="309"/>
      <c r="J11255" s="309"/>
    </row>
    <row r="11256">
      <c r="B11256" s="309"/>
      <c r="C11256" s="309"/>
      <c r="I11256" s="309"/>
      <c r="J11256" s="309"/>
    </row>
    <row r="11257">
      <c r="B11257" s="309"/>
      <c r="C11257" s="309"/>
      <c r="I11257" s="309"/>
      <c r="J11257" s="309"/>
    </row>
    <row r="11258">
      <c r="B11258" s="309"/>
      <c r="C11258" s="309"/>
      <c r="I11258" s="309"/>
      <c r="J11258" s="309"/>
    </row>
    <row r="11259">
      <c r="B11259" s="309"/>
      <c r="C11259" s="309"/>
      <c r="I11259" s="309"/>
      <c r="J11259" s="309"/>
    </row>
    <row r="11260">
      <c r="B11260" s="309"/>
      <c r="C11260" s="309"/>
      <c r="I11260" s="309"/>
      <c r="J11260" s="309"/>
    </row>
    <row r="11261">
      <c r="B11261" s="309"/>
      <c r="C11261" s="309"/>
      <c r="I11261" s="309"/>
      <c r="J11261" s="309"/>
    </row>
    <row r="11262">
      <c r="B11262" s="309"/>
      <c r="C11262" s="309"/>
      <c r="I11262" s="309"/>
      <c r="J11262" s="309"/>
    </row>
    <row r="11263">
      <c r="B11263" s="309"/>
      <c r="C11263" s="309"/>
      <c r="I11263" s="309"/>
      <c r="J11263" s="309"/>
    </row>
    <row r="11264">
      <c r="B11264" s="309"/>
      <c r="C11264" s="309"/>
      <c r="I11264" s="309"/>
      <c r="J11264" s="309"/>
    </row>
    <row r="11265">
      <c r="B11265" s="309"/>
      <c r="C11265" s="309"/>
      <c r="I11265" s="309"/>
      <c r="J11265" s="309"/>
    </row>
    <row r="11266">
      <c r="B11266" s="309"/>
      <c r="C11266" s="309"/>
      <c r="I11266" s="309"/>
      <c r="J11266" s="309"/>
    </row>
    <row r="11267">
      <c r="B11267" s="309"/>
      <c r="C11267" s="309"/>
      <c r="I11267" s="309"/>
      <c r="J11267" s="309"/>
    </row>
    <row r="11268">
      <c r="B11268" s="309"/>
      <c r="C11268" s="309"/>
      <c r="I11268" s="309"/>
      <c r="J11268" s="309"/>
    </row>
    <row r="11269">
      <c r="B11269" s="309"/>
      <c r="C11269" s="309"/>
      <c r="I11269" s="309"/>
      <c r="J11269" s="309"/>
    </row>
    <row r="11270">
      <c r="B11270" s="309"/>
      <c r="C11270" s="309"/>
      <c r="I11270" s="309"/>
      <c r="J11270" s="309"/>
    </row>
    <row r="11271">
      <c r="B11271" s="309"/>
      <c r="C11271" s="309"/>
      <c r="I11271" s="309"/>
      <c r="J11271" s="309"/>
    </row>
    <row r="11272">
      <c r="B11272" s="309"/>
      <c r="C11272" s="309"/>
      <c r="I11272" s="309"/>
      <c r="J11272" s="309"/>
    </row>
    <row r="11273">
      <c r="B11273" s="309"/>
      <c r="C11273" s="309"/>
      <c r="I11273" s="309"/>
      <c r="J11273" s="309"/>
    </row>
    <row r="11274">
      <c r="B11274" s="309"/>
      <c r="C11274" s="309"/>
      <c r="I11274" s="309"/>
      <c r="J11274" s="309"/>
    </row>
    <row r="11275">
      <c r="B11275" s="309"/>
      <c r="C11275" s="309"/>
      <c r="I11275" s="309"/>
      <c r="J11275" s="309"/>
    </row>
    <row r="11276">
      <c r="B11276" s="309"/>
      <c r="C11276" s="309"/>
      <c r="I11276" s="309"/>
      <c r="J11276" s="309"/>
    </row>
    <row r="11277">
      <c r="B11277" s="309"/>
      <c r="C11277" s="309"/>
      <c r="I11277" s="309"/>
      <c r="J11277" s="309"/>
    </row>
    <row r="11278">
      <c r="B11278" s="309"/>
      <c r="C11278" s="309"/>
      <c r="I11278" s="309"/>
      <c r="J11278" s="309"/>
    </row>
    <row r="11279">
      <c r="B11279" s="309"/>
      <c r="C11279" s="309"/>
      <c r="I11279" s="309"/>
      <c r="J11279" s="309"/>
    </row>
    <row r="11280">
      <c r="B11280" s="309"/>
      <c r="C11280" s="309"/>
      <c r="I11280" s="309"/>
      <c r="J11280" s="309"/>
    </row>
    <row r="11281">
      <c r="B11281" s="309"/>
      <c r="C11281" s="309"/>
      <c r="I11281" s="309"/>
      <c r="J11281" s="309"/>
    </row>
    <row r="11282">
      <c r="B11282" s="309"/>
      <c r="C11282" s="309"/>
      <c r="I11282" s="309"/>
      <c r="J11282" s="309"/>
    </row>
    <row r="11283">
      <c r="B11283" s="309"/>
      <c r="C11283" s="309"/>
      <c r="I11283" s="309"/>
      <c r="J11283" s="309"/>
    </row>
    <row r="11284">
      <c r="B11284" s="309"/>
      <c r="C11284" s="309"/>
      <c r="I11284" s="309"/>
      <c r="J11284" s="309"/>
    </row>
    <row r="11285">
      <c r="B11285" s="309"/>
      <c r="C11285" s="309"/>
      <c r="I11285" s="309"/>
      <c r="J11285" s="309"/>
    </row>
    <row r="11286">
      <c r="B11286" s="309"/>
      <c r="C11286" s="309"/>
      <c r="I11286" s="309"/>
      <c r="J11286" s="309"/>
    </row>
    <row r="11287">
      <c r="B11287" s="309"/>
      <c r="C11287" s="309"/>
      <c r="I11287" s="309"/>
      <c r="J11287" s="309"/>
    </row>
    <row r="11288">
      <c r="B11288" s="309"/>
      <c r="C11288" s="309"/>
      <c r="I11288" s="309"/>
      <c r="J11288" s="309"/>
    </row>
    <row r="11289">
      <c r="B11289" s="309"/>
      <c r="C11289" s="309"/>
      <c r="I11289" s="309"/>
      <c r="J11289" s="309"/>
    </row>
    <row r="11290">
      <c r="B11290" s="309"/>
      <c r="C11290" s="309"/>
      <c r="I11290" s="309"/>
      <c r="J11290" s="309"/>
    </row>
    <row r="11291">
      <c r="B11291" s="309"/>
      <c r="C11291" s="309"/>
      <c r="I11291" s="309"/>
      <c r="J11291" s="309"/>
    </row>
    <row r="11292">
      <c r="B11292" s="309"/>
      <c r="C11292" s="309"/>
      <c r="I11292" s="309"/>
      <c r="J11292" s="309"/>
    </row>
    <row r="11293">
      <c r="B11293" s="309"/>
      <c r="C11293" s="309"/>
      <c r="I11293" s="309"/>
      <c r="J11293" s="309"/>
    </row>
    <row r="11294">
      <c r="B11294" s="309"/>
      <c r="C11294" s="309"/>
      <c r="I11294" s="309"/>
      <c r="J11294" s="309"/>
    </row>
    <row r="11295">
      <c r="B11295" s="309"/>
      <c r="C11295" s="309"/>
      <c r="I11295" s="309"/>
      <c r="J11295" s="309"/>
    </row>
    <row r="11296">
      <c r="B11296" s="309"/>
      <c r="C11296" s="309"/>
      <c r="I11296" s="309"/>
      <c r="J11296" s="309"/>
    </row>
    <row r="11297">
      <c r="B11297" s="309"/>
      <c r="C11297" s="309"/>
      <c r="I11297" s="309"/>
      <c r="J11297" s="309"/>
    </row>
    <row r="11298">
      <c r="B11298" s="309"/>
      <c r="C11298" s="309"/>
      <c r="I11298" s="309"/>
      <c r="J11298" s="309"/>
    </row>
    <row r="11299">
      <c r="B11299" s="309"/>
      <c r="C11299" s="309"/>
      <c r="I11299" s="309"/>
      <c r="J11299" s="309"/>
    </row>
    <row r="11300">
      <c r="B11300" s="309"/>
      <c r="C11300" s="309"/>
      <c r="I11300" s="309"/>
      <c r="J11300" s="309"/>
    </row>
    <row r="11301">
      <c r="B11301" s="309"/>
      <c r="C11301" s="309"/>
      <c r="I11301" s="309"/>
      <c r="J11301" s="309"/>
    </row>
    <row r="11302">
      <c r="B11302" s="309"/>
      <c r="C11302" s="309"/>
      <c r="I11302" s="309"/>
      <c r="J11302" s="309"/>
    </row>
    <row r="11303">
      <c r="B11303" s="309"/>
      <c r="C11303" s="309"/>
      <c r="I11303" s="309"/>
      <c r="J11303" s="309"/>
    </row>
    <row r="11304">
      <c r="B11304" s="309"/>
      <c r="C11304" s="309"/>
      <c r="I11304" s="309"/>
      <c r="J11304" s="309"/>
    </row>
    <row r="11305">
      <c r="B11305" s="309"/>
      <c r="C11305" s="309"/>
      <c r="I11305" s="309"/>
      <c r="J11305" s="309"/>
    </row>
    <row r="11306">
      <c r="B11306" s="309"/>
      <c r="C11306" s="309"/>
      <c r="I11306" s="309"/>
      <c r="J11306" s="309"/>
    </row>
    <row r="11307">
      <c r="B11307" s="309"/>
      <c r="C11307" s="309"/>
      <c r="I11307" s="309"/>
      <c r="J11307" s="309"/>
    </row>
    <row r="11308">
      <c r="B11308" s="309"/>
      <c r="C11308" s="309"/>
      <c r="I11308" s="309"/>
      <c r="J11308" s="309"/>
    </row>
    <row r="11309">
      <c r="B11309" s="309"/>
      <c r="C11309" s="309"/>
      <c r="I11309" s="309"/>
      <c r="J11309" s="309"/>
    </row>
    <row r="11310">
      <c r="B11310" s="309"/>
      <c r="C11310" s="309"/>
      <c r="I11310" s="309"/>
      <c r="J11310" s="309"/>
    </row>
    <row r="11311">
      <c r="B11311" s="309"/>
      <c r="C11311" s="309"/>
      <c r="I11311" s="309"/>
      <c r="J11311" s="309"/>
    </row>
    <row r="11312">
      <c r="B11312" s="309"/>
      <c r="C11312" s="309"/>
      <c r="I11312" s="309"/>
      <c r="J11312" s="309"/>
    </row>
    <row r="11313">
      <c r="B11313" s="309"/>
      <c r="C11313" s="309"/>
      <c r="I11313" s="309"/>
      <c r="J11313" s="309"/>
    </row>
    <row r="11314">
      <c r="B11314" s="309"/>
      <c r="C11314" s="309"/>
      <c r="I11314" s="309"/>
      <c r="J11314" s="309"/>
    </row>
    <row r="11315">
      <c r="B11315" s="309"/>
      <c r="C11315" s="309"/>
      <c r="I11315" s="309"/>
      <c r="J11315" s="309"/>
    </row>
    <row r="11316">
      <c r="B11316" s="309"/>
      <c r="C11316" s="309"/>
      <c r="I11316" s="309"/>
      <c r="J11316" s="309"/>
    </row>
    <row r="11317">
      <c r="B11317" s="309"/>
      <c r="C11317" s="309"/>
      <c r="I11317" s="309"/>
      <c r="J11317" s="309"/>
    </row>
    <row r="11318">
      <c r="B11318" s="309"/>
      <c r="C11318" s="309"/>
      <c r="I11318" s="309"/>
      <c r="J11318" s="309"/>
    </row>
    <row r="11319">
      <c r="B11319" s="309"/>
      <c r="C11319" s="309"/>
      <c r="I11319" s="309"/>
      <c r="J11319" s="309"/>
    </row>
    <row r="11320">
      <c r="B11320" s="309"/>
      <c r="C11320" s="309"/>
      <c r="I11320" s="309"/>
      <c r="J11320" s="309"/>
    </row>
    <row r="11321">
      <c r="B11321" s="309"/>
      <c r="C11321" s="309"/>
      <c r="I11321" s="309"/>
      <c r="J11321" s="309"/>
    </row>
    <row r="11322">
      <c r="B11322" s="309"/>
      <c r="C11322" s="309"/>
      <c r="I11322" s="309"/>
      <c r="J11322" s="309"/>
    </row>
    <row r="11323">
      <c r="B11323" s="309"/>
      <c r="C11323" s="309"/>
      <c r="I11323" s="309"/>
      <c r="J11323" s="309"/>
    </row>
    <row r="11324">
      <c r="B11324" s="309"/>
      <c r="C11324" s="309"/>
      <c r="I11324" s="309"/>
      <c r="J11324" s="309"/>
    </row>
    <row r="11325">
      <c r="B11325" s="309"/>
      <c r="C11325" s="309"/>
      <c r="I11325" s="309"/>
      <c r="J11325" s="309"/>
    </row>
    <row r="11326">
      <c r="B11326" s="309"/>
      <c r="C11326" s="309"/>
      <c r="I11326" s="309"/>
      <c r="J11326" s="309"/>
    </row>
    <row r="11327">
      <c r="B11327" s="309"/>
      <c r="C11327" s="309"/>
      <c r="I11327" s="309"/>
      <c r="J11327" s="309"/>
    </row>
    <row r="11328">
      <c r="B11328" s="309"/>
      <c r="C11328" s="309"/>
      <c r="I11328" s="309"/>
      <c r="J11328" s="309"/>
    </row>
    <row r="11329">
      <c r="B11329" s="309"/>
      <c r="C11329" s="309"/>
      <c r="I11329" s="309"/>
      <c r="J11329" s="309"/>
    </row>
    <row r="11330">
      <c r="B11330" s="309"/>
      <c r="C11330" s="309"/>
      <c r="I11330" s="309"/>
      <c r="J11330" s="309"/>
    </row>
    <row r="11331">
      <c r="B11331" s="309"/>
      <c r="C11331" s="309"/>
      <c r="I11331" s="309"/>
      <c r="J11331" s="309"/>
    </row>
    <row r="11332">
      <c r="B11332" s="309"/>
      <c r="C11332" s="309"/>
      <c r="I11332" s="309"/>
      <c r="J11332" s="309"/>
    </row>
    <row r="11333">
      <c r="B11333" s="309"/>
      <c r="C11333" s="309"/>
      <c r="I11333" s="309"/>
      <c r="J11333" s="309"/>
    </row>
    <row r="11334">
      <c r="B11334" s="309"/>
      <c r="C11334" s="309"/>
      <c r="I11334" s="309"/>
      <c r="J11334" s="309"/>
    </row>
    <row r="11335">
      <c r="B11335" s="309"/>
      <c r="C11335" s="309"/>
      <c r="I11335" s="309"/>
      <c r="J11335" s="309"/>
    </row>
    <row r="11336">
      <c r="B11336" s="309"/>
      <c r="C11336" s="309"/>
      <c r="I11336" s="309"/>
      <c r="J11336" s="309"/>
    </row>
    <row r="11337">
      <c r="B11337" s="309"/>
      <c r="C11337" s="309"/>
      <c r="I11337" s="309"/>
      <c r="J11337" s="309"/>
    </row>
    <row r="11338">
      <c r="B11338" s="309"/>
      <c r="C11338" s="309"/>
      <c r="I11338" s="309"/>
      <c r="J11338" s="309"/>
    </row>
    <row r="11339">
      <c r="B11339" s="309"/>
      <c r="C11339" s="309"/>
      <c r="I11339" s="309"/>
      <c r="J11339" s="309"/>
    </row>
    <row r="11340">
      <c r="B11340" s="309"/>
      <c r="C11340" s="309"/>
      <c r="I11340" s="309"/>
      <c r="J11340" s="309"/>
    </row>
    <row r="11341">
      <c r="B11341" s="309"/>
      <c r="C11341" s="309"/>
      <c r="I11341" s="309"/>
      <c r="J11341" s="309"/>
    </row>
    <row r="11342">
      <c r="B11342" s="309"/>
      <c r="C11342" s="309"/>
      <c r="I11342" s="309"/>
      <c r="J11342" s="309"/>
    </row>
    <row r="11343">
      <c r="B11343" s="309"/>
      <c r="C11343" s="309"/>
      <c r="I11343" s="309"/>
      <c r="J11343" s="309"/>
    </row>
    <row r="11344">
      <c r="B11344" s="309"/>
      <c r="C11344" s="309"/>
      <c r="I11344" s="309"/>
      <c r="J11344" s="309"/>
    </row>
    <row r="11345">
      <c r="B11345" s="309"/>
      <c r="C11345" s="309"/>
      <c r="I11345" s="309"/>
      <c r="J11345" s="309"/>
    </row>
    <row r="11346">
      <c r="B11346" s="309"/>
      <c r="C11346" s="309"/>
      <c r="I11346" s="309"/>
      <c r="J11346" s="309"/>
    </row>
    <row r="11347">
      <c r="B11347" s="309"/>
      <c r="C11347" s="309"/>
      <c r="I11347" s="309"/>
      <c r="J11347" s="309"/>
    </row>
    <row r="11348">
      <c r="B11348" s="309"/>
      <c r="C11348" s="309"/>
      <c r="I11348" s="309"/>
      <c r="J11348" s="309"/>
    </row>
    <row r="11349">
      <c r="B11349" s="309"/>
      <c r="C11349" s="309"/>
      <c r="I11349" s="309"/>
      <c r="J11349" s="309"/>
    </row>
    <row r="11350">
      <c r="B11350" s="309"/>
      <c r="C11350" s="309"/>
      <c r="I11350" s="309"/>
      <c r="J11350" s="309"/>
    </row>
    <row r="11351">
      <c r="B11351" s="309"/>
      <c r="C11351" s="309"/>
      <c r="I11351" s="309"/>
      <c r="J11351" s="309"/>
    </row>
    <row r="11352">
      <c r="B11352" s="309"/>
      <c r="C11352" s="309"/>
      <c r="I11352" s="309"/>
      <c r="J11352" s="309"/>
    </row>
    <row r="11353">
      <c r="B11353" s="309"/>
      <c r="C11353" s="309"/>
      <c r="I11353" s="309"/>
      <c r="J11353" s="309"/>
    </row>
    <row r="11354">
      <c r="B11354" s="309"/>
      <c r="C11354" s="309"/>
      <c r="I11354" s="309"/>
      <c r="J11354" s="309"/>
    </row>
    <row r="11355">
      <c r="B11355" s="309"/>
      <c r="C11355" s="309"/>
      <c r="I11355" s="309"/>
      <c r="J11355" s="309"/>
    </row>
    <row r="11356">
      <c r="B11356" s="309"/>
      <c r="C11356" s="309"/>
      <c r="I11356" s="309"/>
      <c r="J11356" s="309"/>
    </row>
    <row r="11357">
      <c r="B11357" s="309"/>
      <c r="C11357" s="309"/>
      <c r="I11357" s="309"/>
      <c r="J11357" s="309"/>
    </row>
    <row r="11358">
      <c r="B11358" s="309"/>
      <c r="C11358" s="309"/>
      <c r="I11358" s="309"/>
      <c r="J11358" s="309"/>
    </row>
    <row r="11359">
      <c r="B11359" s="309"/>
      <c r="C11359" s="309"/>
      <c r="I11359" s="309"/>
      <c r="J11359" s="309"/>
    </row>
    <row r="11360">
      <c r="B11360" s="309"/>
      <c r="C11360" s="309"/>
      <c r="I11360" s="309"/>
      <c r="J11360" s="309"/>
    </row>
    <row r="11361">
      <c r="B11361" s="309"/>
      <c r="C11361" s="309"/>
      <c r="I11361" s="309"/>
      <c r="J11361" s="309"/>
    </row>
    <row r="11362">
      <c r="B11362" s="309"/>
      <c r="C11362" s="309"/>
      <c r="I11362" s="309"/>
      <c r="J11362" s="309"/>
    </row>
    <row r="11363">
      <c r="B11363" s="309"/>
      <c r="C11363" s="309"/>
      <c r="I11363" s="309"/>
      <c r="J11363" s="309"/>
    </row>
    <row r="11364">
      <c r="B11364" s="309"/>
      <c r="C11364" s="309"/>
      <c r="I11364" s="309"/>
      <c r="J11364" s="309"/>
    </row>
    <row r="11365">
      <c r="B11365" s="309"/>
      <c r="C11365" s="309"/>
      <c r="I11365" s="309"/>
      <c r="J11365" s="309"/>
    </row>
    <row r="11366">
      <c r="B11366" s="309"/>
      <c r="C11366" s="309"/>
      <c r="I11366" s="309"/>
      <c r="J11366" s="309"/>
    </row>
    <row r="11367">
      <c r="B11367" s="309"/>
      <c r="C11367" s="309"/>
      <c r="I11367" s="309"/>
      <c r="J11367" s="309"/>
    </row>
    <row r="11368">
      <c r="B11368" s="309"/>
      <c r="C11368" s="309"/>
      <c r="I11368" s="309"/>
      <c r="J11368" s="309"/>
    </row>
    <row r="11369">
      <c r="B11369" s="309"/>
      <c r="C11369" s="309"/>
      <c r="I11369" s="309"/>
      <c r="J11369" s="309"/>
    </row>
    <row r="11370">
      <c r="B11370" s="309"/>
      <c r="C11370" s="309"/>
      <c r="I11370" s="309"/>
      <c r="J11370" s="309"/>
    </row>
    <row r="11371">
      <c r="B11371" s="309"/>
      <c r="C11371" s="309"/>
      <c r="I11371" s="309"/>
      <c r="J11371" s="309"/>
    </row>
    <row r="11372">
      <c r="B11372" s="309"/>
      <c r="C11372" s="309"/>
      <c r="I11372" s="309"/>
      <c r="J11372" s="309"/>
    </row>
    <row r="11373">
      <c r="B11373" s="309"/>
      <c r="C11373" s="309"/>
      <c r="I11373" s="309"/>
      <c r="J11373" s="309"/>
    </row>
    <row r="11374">
      <c r="B11374" s="309"/>
      <c r="C11374" s="309"/>
      <c r="I11374" s="309"/>
      <c r="J11374" s="309"/>
    </row>
    <row r="11375">
      <c r="B11375" s="309"/>
      <c r="C11375" s="309"/>
      <c r="I11375" s="309"/>
      <c r="J11375" s="309"/>
    </row>
    <row r="11376">
      <c r="B11376" s="309"/>
      <c r="C11376" s="309"/>
      <c r="I11376" s="309"/>
      <c r="J11376" s="309"/>
    </row>
    <row r="11377">
      <c r="B11377" s="309"/>
      <c r="C11377" s="309"/>
      <c r="I11377" s="309"/>
      <c r="J11377" s="309"/>
    </row>
    <row r="11378">
      <c r="B11378" s="309"/>
      <c r="C11378" s="309"/>
      <c r="I11378" s="309"/>
      <c r="J11378" s="309"/>
    </row>
    <row r="11379">
      <c r="B11379" s="309"/>
      <c r="C11379" s="309"/>
      <c r="I11379" s="309"/>
      <c r="J11379" s="309"/>
    </row>
    <row r="11380">
      <c r="B11380" s="309"/>
      <c r="C11380" s="309"/>
      <c r="I11380" s="309"/>
      <c r="J11380" s="309"/>
    </row>
    <row r="11381">
      <c r="B11381" s="309"/>
      <c r="C11381" s="309"/>
      <c r="I11381" s="309"/>
      <c r="J11381" s="309"/>
    </row>
    <row r="11382">
      <c r="B11382" s="309"/>
      <c r="C11382" s="309"/>
      <c r="I11382" s="309"/>
      <c r="J11382" s="309"/>
    </row>
    <row r="11383">
      <c r="B11383" s="309"/>
      <c r="C11383" s="309"/>
      <c r="I11383" s="309"/>
      <c r="J11383" s="309"/>
    </row>
    <row r="11384">
      <c r="B11384" s="309"/>
      <c r="C11384" s="309"/>
      <c r="I11384" s="309"/>
      <c r="J11384" s="309"/>
    </row>
    <row r="11385">
      <c r="B11385" s="309"/>
      <c r="C11385" s="309"/>
      <c r="I11385" s="309"/>
      <c r="J11385" s="309"/>
    </row>
    <row r="11386">
      <c r="B11386" s="309"/>
      <c r="C11386" s="309"/>
      <c r="I11386" s="309"/>
      <c r="J11386" s="309"/>
    </row>
    <row r="11387">
      <c r="B11387" s="309"/>
      <c r="C11387" s="309"/>
      <c r="I11387" s="309"/>
      <c r="J11387" s="309"/>
    </row>
    <row r="11388">
      <c r="B11388" s="309"/>
      <c r="C11388" s="309"/>
      <c r="I11388" s="309"/>
      <c r="J11388" s="309"/>
    </row>
    <row r="11389">
      <c r="B11389" s="309"/>
      <c r="C11389" s="309"/>
      <c r="I11389" s="309"/>
      <c r="J11389" s="309"/>
    </row>
    <row r="11390">
      <c r="B11390" s="309"/>
      <c r="C11390" s="309"/>
      <c r="I11390" s="309"/>
      <c r="J11390" s="309"/>
    </row>
    <row r="11391">
      <c r="B11391" s="309"/>
      <c r="C11391" s="309"/>
      <c r="I11391" s="309"/>
      <c r="J11391" s="309"/>
    </row>
    <row r="11392">
      <c r="B11392" s="309"/>
      <c r="C11392" s="309"/>
      <c r="I11392" s="309"/>
      <c r="J11392" s="309"/>
    </row>
    <row r="11393">
      <c r="B11393" s="309"/>
      <c r="C11393" s="309"/>
      <c r="I11393" s="309"/>
      <c r="J11393" s="309"/>
    </row>
    <row r="11394">
      <c r="B11394" s="309"/>
      <c r="C11394" s="309"/>
      <c r="I11394" s="309"/>
      <c r="J11394" s="309"/>
    </row>
    <row r="11395">
      <c r="B11395" s="309"/>
      <c r="C11395" s="309"/>
      <c r="I11395" s="309"/>
      <c r="J11395" s="309"/>
    </row>
    <row r="11396">
      <c r="B11396" s="309"/>
      <c r="C11396" s="309"/>
      <c r="I11396" s="309"/>
      <c r="J11396" s="309"/>
    </row>
    <row r="11397">
      <c r="B11397" s="309"/>
      <c r="C11397" s="309"/>
      <c r="I11397" s="309"/>
      <c r="J11397" s="309"/>
    </row>
    <row r="11398">
      <c r="B11398" s="309"/>
      <c r="C11398" s="309"/>
      <c r="I11398" s="309"/>
      <c r="J11398" s="309"/>
    </row>
    <row r="11399">
      <c r="B11399" s="309"/>
      <c r="C11399" s="309"/>
      <c r="I11399" s="309"/>
      <c r="J11399" s="309"/>
    </row>
    <row r="11400">
      <c r="B11400" s="309"/>
      <c r="C11400" s="309"/>
      <c r="I11400" s="309"/>
      <c r="J11400" s="309"/>
    </row>
    <row r="11401">
      <c r="B11401" s="309"/>
      <c r="C11401" s="309"/>
      <c r="I11401" s="309"/>
      <c r="J11401" s="309"/>
    </row>
    <row r="11402">
      <c r="B11402" s="309"/>
      <c r="C11402" s="309"/>
      <c r="I11402" s="309"/>
      <c r="J11402" s="309"/>
    </row>
    <row r="11403">
      <c r="B11403" s="309"/>
      <c r="C11403" s="309"/>
      <c r="I11403" s="309"/>
      <c r="J11403" s="309"/>
    </row>
    <row r="11404">
      <c r="B11404" s="309"/>
      <c r="C11404" s="309"/>
      <c r="I11404" s="309"/>
      <c r="J11404" s="309"/>
    </row>
    <row r="11405">
      <c r="B11405" s="309"/>
      <c r="C11405" s="309"/>
      <c r="I11405" s="309"/>
      <c r="J11405" s="309"/>
    </row>
    <row r="11406">
      <c r="B11406" s="309"/>
      <c r="C11406" s="309"/>
      <c r="I11406" s="309"/>
      <c r="J11406" s="309"/>
    </row>
    <row r="11407">
      <c r="B11407" s="309"/>
      <c r="C11407" s="309"/>
      <c r="I11407" s="309"/>
      <c r="J11407" s="309"/>
    </row>
    <row r="11408">
      <c r="B11408" s="309"/>
      <c r="C11408" s="309"/>
      <c r="I11408" s="309"/>
      <c r="J11408" s="309"/>
    </row>
    <row r="11409">
      <c r="B11409" s="309"/>
      <c r="C11409" s="309"/>
      <c r="I11409" s="309"/>
      <c r="J11409" s="309"/>
    </row>
    <row r="11410">
      <c r="B11410" s="309"/>
      <c r="C11410" s="309"/>
      <c r="I11410" s="309"/>
      <c r="J11410" s="309"/>
    </row>
    <row r="11411">
      <c r="B11411" s="309"/>
      <c r="C11411" s="309"/>
      <c r="I11411" s="309"/>
      <c r="J11411" s="309"/>
    </row>
    <row r="11412">
      <c r="B11412" s="309"/>
      <c r="C11412" s="309"/>
      <c r="I11412" s="309"/>
      <c r="J11412" s="309"/>
    </row>
    <row r="11413">
      <c r="B11413" s="309"/>
      <c r="C11413" s="309"/>
      <c r="I11413" s="309"/>
      <c r="J11413" s="309"/>
    </row>
    <row r="11414">
      <c r="B11414" s="309"/>
      <c r="C11414" s="309"/>
      <c r="I11414" s="309"/>
      <c r="J11414" s="309"/>
    </row>
    <row r="11415">
      <c r="B11415" s="309"/>
      <c r="C11415" s="309"/>
      <c r="I11415" s="309"/>
      <c r="J11415" s="309"/>
    </row>
    <row r="11416">
      <c r="B11416" s="309"/>
      <c r="C11416" s="309"/>
      <c r="I11416" s="309"/>
      <c r="J11416" s="309"/>
    </row>
    <row r="11417">
      <c r="B11417" s="309"/>
      <c r="C11417" s="309"/>
      <c r="I11417" s="309"/>
      <c r="J11417" s="309"/>
    </row>
    <row r="11418">
      <c r="B11418" s="309"/>
      <c r="C11418" s="309"/>
      <c r="I11418" s="309"/>
      <c r="J11418" s="309"/>
    </row>
    <row r="11419">
      <c r="B11419" s="309"/>
      <c r="C11419" s="309"/>
      <c r="I11419" s="309"/>
      <c r="J11419" s="309"/>
    </row>
    <row r="11420">
      <c r="B11420" s="309"/>
      <c r="C11420" s="309"/>
      <c r="I11420" s="309"/>
      <c r="J11420" s="309"/>
    </row>
    <row r="11421">
      <c r="B11421" s="309"/>
      <c r="C11421" s="309"/>
      <c r="I11421" s="309"/>
      <c r="J11421" s="309"/>
    </row>
    <row r="11422">
      <c r="B11422" s="309"/>
      <c r="C11422" s="309"/>
      <c r="I11422" s="309"/>
      <c r="J11422" s="309"/>
    </row>
    <row r="11423">
      <c r="B11423" s="309"/>
      <c r="C11423" s="309"/>
      <c r="I11423" s="309"/>
      <c r="J11423" s="309"/>
    </row>
    <row r="11424">
      <c r="B11424" s="309"/>
      <c r="C11424" s="309"/>
      <c r="I11424" s="309"/>
      <c r="J11424" s="309"/>
    </row>
    <row r="11425">
      <c r="B11425" s="309"/>
      <c r="C11425" s="309"/>
      <c r="I11425" s="309"/>
      <c r="J11425" s="309"/>
    </row>
    <row r="11426">
      <c r="B11426" s="309"/>
      <c r="C11426" s="309"/>
      <c r="I11426" s="309"/>
      <c r="J11426" s="309"/>
    </row>
    <row r="11427">
      <c r="B11427" s="309"/>
      <c r="C11427" s="309"/>
      <c r="I11427" s="309"/>
      <c r="J11427" s="309"/>
    </row>
    <row r="11428">
      <c r="B11428" s="309"/>
      <c r="C11428" s="309"/>
      <c r="I11428" s="309"/>
      <c r="J11428" s="309"/>
    </row>
    <row r="11429">
      <c r="B11429" s="309"/>
      <c r="C11429" s="309"/>
      <c r="I11429" s="309"/>
      <c r="J11429" s="309"/>
    </row>
    <row r="11430">
      <c r="B11430" s="309"/>
      <c r="C11430" s="309"/>
      <c r="I11430" s="309"/>
      <c r="J11430" s="309"/>
    </row>
    <row r="11431">
      <c r="B11431" s="309"/>
      <c r="C11431" s="309"/>
      <c r="I11431" s="309"/>
      <c r="J11431" s="309"/>
    </row>
    <row r="11432">
      <c r="B11432" s="309"/>
      <c r="C11432" s="309"/>
      <c r="I11432" s="309"/>
      <c r="J11432" s="309"/>
    </row>
    <row r="11433">
      <c r="B11433" s="309"/>
      <c r="C11433" s="309"/>
      <c r="I11433" s="309"/>
      <c r="J11433" s="309"/>
    </row>
    <row r="11434">
      <c r="B11434" s="309"/>
      <c r="C11434" s="309"/>
      <c r="I11434" s="309"/>
      <c r="J11434" s="309"/>
    </row>
    <row r="11435">
      <c r="B11435" s="309"/>
      <c r="C11435" s="309"/>
      <c r="I11435" s="309"/>
      <c r="J11435" s="309"/>
    </row>
    <row r="11436">
      <c r="B11436" s="309"/>
      <c r="C11436" s="309"/>
      <c r="I11436" s="309"/>
      <c r="J11436" s="309"/>
    </row>
    <row r="11437">
      <c r="B11437" s="309"/>
      <c r="C11437" s="309"/>
      <c r="I11437" s="309"/>
      <c r="J11437" s="309"/>
    </row>
    <row r="11438">
      <c r="B11438" s="309"/>
      <c r="C11438" s="309"/>
      <c r="I11438" s="309"/>
      <c r="J11438" s="309"/>
    </row>
    <row r="11439">
      <c r="B11439" s="309"/>
      <c r="C11439" s="309"/>
      <c r="I11439" s="309"/>
      <c r="J11439" s="309"/>
    </row>
    <row r="11440">
      <c r="B11440" s="309"/>
      <c r="C11440" s="309"/>
      <c r="I11440" s="309"/>
      <c r="J11440" s="309"/>
    </row>
    <row r="11441">
      <c r="B11441" s="309"/>
      <c r="C11441" s="309"/>
      <c r="I11441" s="309"/>
      <c r="J11441" s="309"/>
    </row>
    <row r="11442">
      <c r="B11442" s="309"/>
      <c r="C11442" s="309"/>
      <c r="I11442" s="309"/>
      <c r="J11442" s="309"/>
    </row>
    <row r="11443">
      <c r="B11443" s="309"/>
      <c r="C11443" s="309"/>
      <c r="I11443" s="309"/>
      <c r="J11443" s="309"/>
    </row>
    <row r="11444">
      <c r="B11444" s="309"/>
      <c r="C11444" s="309"/>
      <c r="I11444" s="309"/>
      <c r="J11444" s="309"/>
    </row>
    <row r="11445">
      <c r="B11445" s="309"/>
      <c r="C11445" s="309"/>
      <c r="I11445" s="309"/>
      <c r="J11445" s="309"/>
    </row>
    <row r="11446">
      <c r="B11446" s="309"/>
      <c r="C11446" s="309"/>
      <c r="I11446" s="309"/>
      <c r="J11446" s="309"/>
    </row>
    <row r="11447">
      <c r="B11447" s="309"/>
      <c r="C11447" s="309"/>
      <c r="I11447" s="309"/>
      <c r="J11447" s="309"/>
    </row>
    <row r="11448">
      <c r="B11448" s="309"/>
      <c r="C11448" s="309"/>
      <c r="I11448" s="309"/>
      <c r="J11448" s="309"/>
    </row>
    <row r="11449">
      <c r="B11449" s="309"/>
      <c r="C11449" s="309"/>
      <c r="I11449" s="309"/>
      <c r="J11449" s="309"/>
    </row>
    <row r="11450">
      <c r="B11450" s="309"/>
      <c r="C11450" s="309"/>
      <c r="I11450" s="309"/>
      <c r="J11450" s="309"/>
    </row>
    <row r="11451">
      <c r="B11451" s="309"/>
      <c r="C11451" s="309"/>
      <c r="I11451" s="309"/>
      <c r="J11451" s="309"/>
    </row>
    <row r="11452">
      <c r="B11452" s="309"/>
      <c r="C11452" s="309"/>
      <c r="I11452" s="309"/>
      <c r="J11452" s="309"/>
    </row>
    <row r="11453">
      <c r="B11453" s="309"/>
      <c r="C11453" s="309"/>
      <c r="I11453" s="309"/>
      <c r="J11453" s="309"/>
    </row>
    <row r="11454">
      <c r="B11454" s="309"/>
      <c r="C11454" s="309"/>
      <c r="I11454" s="309"/>
      <c r="J11454" s="309"/>
    </row>
    <row r="11455">
      <c r="B11455" s="309"/>
      <c r="C11455" s="309"/>
      <c r="I11455" s="309"/>
      <c r="J11455" s="309"/>
    </row>
    <row r="11456">
      <c r="B11456" s="309"/>
      <c r="C11456" s="309"/>
      <c r="I11456" s="309"/>
      <c r="J11456" s="309"/>
    </row>
    <row r="11457">
      <c r="B11457" s="309"/>
      <c r="C11457" s="309"/>
      <c r="I11457" s="309"/>
      <c r="J11457" s="309"/>
    </row>
    <row r="11458">
      <c r="B11458" s="309"/>
      <c r="C11458" s="309"/>
      <c r="I11458" s="309"/>
      <c r="J11458" s="309"/>
    </row>
    <row r="11459">
      <c r="B11459" s="309"/>
      <c r="C11459" s="309"/>
      <c r="I11459" s="309"/>
      <c r="J11459" s="309"/>
    </row>
    <row r="11460">
      <c r="B11460" s="309"/>
      <c r="C11460" s="309"/>
      <c r="I11460" s="309"/>
      <c r="J11460" s="309"/>
    </row>
    <row r="11461">
      <c r="B11461" s="309"/>
      <c r="C11461" s="309"/>
      <c r="I11461" s="309"/>
      <c r="J11461" s="309"/>
    </row>
    <row r="11462">
      <c r="B11462" s="309"/>
      <c r="C11462" s="309"/>
      <c r="I11462" s="309"/>
      <c r="J11462" s="309"/>
    </row>
    <row r="11463">
      <c r="B11463" s="309"/>
      <c r="C11463" s="309"/>
      <c r="I11463" s="309"/>
      <c r="J11463" s="309"/>
    </row>
    <row r="11464">
      <c r="B11464" s="309"/>
      <c r="C11464" s="309"/>
      <c r="I11464" s="309"/>
      <c r="J11464" s="309"/>
    </row>
    <row r="11465">
      <c r="B11465" s="309"/>
      <c r="C11465" s="309"/>
      <c r="I11465" s="309"/>
      <c r="J11465" s="309"/>
    </row>
    <row r="11466">
      <c r="B11466" s="309"/>
      <c r="C11466" s="309"/>
      <c r="I11466" s="309"/>
      <c r="J11466" s="309"/>
    </row>
    <row r="11467">
      <c r="B11467" s="309"/>
      <c r="C11467" s="309"/>
      <c r="I11467" s="309"/>
      <c r="J11467" s="309"/>
    </row>
    <row r="11468">
      <c r="B11468" s="309"/>
      <c r="C11468" s="309"/>
      <c r="I11468" s="309"/>
      <c r="J11468" s="309"/>
    </row>
    <row r="11469">
      <c r="B11469" s="309"/>
      <c r="C11469" s="309"/>
      <c r="I11469" s="309"/>
      <c r="J11469" s="309"/>
    </row>
    <row r="11470">
      <c r="B11470" s="309"/>
      <c r="C11470" s="309"/>
      <c r="I11470" s="309"/>
      <c r="J11470" s="309"/>
    </row>
    <row r="11471">
      <c r="B11471" s="309"/>
      <c r="C11471" s="309"/>
      <c r="I11471" s="309"/>
      <c r="J11471" s="309"/>
    </row>
    <row r="11472">
      <c r="B11472" s="309"/>
      <c r="C11472" s="309"/>
      <c r="I11472" s="309"/>
      <c r="J11472" s="309"/>
    </row>
    <row r="11473">
      <c r="B11473" s="309"/>
      <c r="C11473" s="309"/>
      <c r="I11473" s="309"/>
      <c r="J11473" s="309"/>
    </row>
    <row r="11474">
      <c r="B11474" s="309"/>
      <c r="C11474" s="309"/>
      <c r="I11474" s="309"/>
      <c r="J11474" s="309"/>
    </row>
    <row r="11475">
      <c r="B11475" s="309"/>
      <c r="C11475" s="309"/>
      <c r="I11475" s="309"/>
      <c r="J11475" s="309"/>
    </row>
    <row r="11476">
      <c r="B11476" s="309"/>
      <c r="C11476" s="309"/>
      <c r="I11476" s="309"/>
      <c r="J11476" s="309"/>
    </row>
    <row r="11477">
      <c r="B11477" s="309"/>
      <c r="C11477" s="309"/>
      <c r="I11477" s="309"/>
      <c r="J11477" s="309"/>
    </row>
    <row r="11478">
      <c r="B11478" s="309"/>
      <c r="C11478" s="309"/>
      <c r="I11478" s="309"/>
      <c r="J11478" s="309"/>
    </row>
    <row r="11479">
      <c r="B11479" s="309"/>
      <c r="C11479" s="309"/>
      <c r="I11479" s="309"/>
      <c r="J11479" s="309"/>
    </row>
    <row r="11480">
      <c r="B11480" s="309"/>
      <c r="C11480" s="309"/>
      <c r="I11480" s="309"/>
      <c r="J11480" s="309"/>
    </row>
    <row r="11481">
      <c r="B11481" s="309"/>
      <c r="C11481" s="309"/>
      <c r="I11481" s="309"/>
      <c r="J11481" s="309"/>
    </row>
    <row r="11482">
      <c r="B11482" s="309"/>
      <c r="C11482" s="309"/>
      <c r="I11482" s="309"/>
      <c r="J11482" s="309"/>
    </row>
    <row r="11483">
      <c r="B11483" s="309"/>
      <c r="C11483" s="309"/>
      <c r="I11483" s="309"/>
      <c r="J11483" s="309"/>
    </row>
    <row r="11484">
      <c r="B11484" s="309"/>
      <c r="C11484" s="309"/>
      <c r="I11484" s="309"/>
      <c r="J11484" s="309"/>
    </row>
    <row r="11485">
      <c r="B11485" s="309"/>
      <c r="C11485" s="309"/>
      <c r="I11485" s="309"/>
      <c r="J11485" s="309"/>
    </row>
    <row r="11486">
      <c r="B11486" s="309"/>
      <c r="C11486" s="309"/>
      <c r="I11486" s="309"/>
      <c r="J11486" s="309"/>
    </row>
    <row r="11487">
      <c r="B11487" s="309"/>
      <c r="C11487" s="309"/>
      <c r="I11487" s="309"/>
      <c r="J11487" s="309"/>
    </row>
    <row r="11488">
      <c r="B11488" s="309"/>
      <c r="C11488" s="309"/>
      <c r="I11488" s="309"/>
      <c r="J11488" s="309"/>
    </row>
    <row r="11489">
      <c r="B11489" s="309"/>
      <c r="C11489" s="309"/>
      <c r="I11489" s="309"/>
      <c r="J11489" s="309"/>
    </row>
    <row r="11490">
      <c r="B11490" s="309"/>
      <c r="C11490" s="309"/>
      <c r="I11490" s="309"/>
      <c r="J11490" s="309"/>
    </row>
    <row r="11491">
      <c r="B11491" s="309"/>
      <c r="C11491" s="309"/>
      <c r="I11491" s="309"/>
      <c r="J11491" s="309"/>
    </row>
    <row r="11492">
      <c r="B11492" s="309"/>
      <c r="C11492" s="309"/>
      <c r="I11492" s="309"/>
      <c r="J11492" s="309"/>
    </row>
    <row r="11493">
      <c r="B11493" s="309"/>
      <c r="C11493" s="309"/>
      <c r="I11493" s="309"/>
      <c r="J11493" s="309"/>
    </row>
    <row r="11494">
      <c r="B11494" s="309"/>
      <c r="C11494" s="309"/>
      <c r="I11494" s="309"/>
      <c r="J11494" s="309"/>
    </row>
    <row r="11495">
      <c r="B11495" s="309"/>
      <c r="C11495" s="309"/>
      <c r="I11495" s="309"/>
      <c r="J11495" s="309"/>
    </row>
    <row r="11496">
      <c r="B11496" s="309"/>
      <c r="C11496" s="309"/>
      <c r="I11496" s="309"/>
      <c r="J11496" s="309"/>
    </row>
    <row r="11497">
      <c r="B11497" s="309"/>
      <c r="C11497" s="309"/>
      <c r="I11497" s="309"/>
      <c r="J11497" s="309"/>
    </row>
    <row r="11498">
      <c r="B11498" s="309"/>
      <c r="C11498" s="309"/>
      <c r="I11498" s="309"/>
      <c r="J11498" s="309"/>
    </row>
    <row r="11499">
      <c r="B11499" s="309"/>
      <c r="C11499" s="309"/>
      <c r="I11499" s="309"/>
      <c r="J11499" s="309"/>
    </row>
    <row r="11500">
      <c r="B11500" s="309"/>
      <c r="C11500" s="309"/>
      <c r="I11500" s="309"/>
      <c r="J11500" s="309"/>
    </row>
    <row r="11501">
      <c r="B11501" s="309"/>
      <c r="C11501" s="309"/>
      <c r="I11501" s="309"/>
      <c r="J11501" s="309"/>
    </row>
    <row r="11502">
      <c r="B11502" s="309"/>
      <c r="C11502" s="309"/>
      <c r="I11502" s="309"/>
      <c r="J11502" s="309"/>
    </row>
    <row r="11503">
      <c r="B11503" s="309"/>
      <c r="C11503" s="309"/>
      <c r="I11503" s="309"/>
      <c r="J11503" s="309"/>
    </row>
    <row r="11504">
      <c r="B11504" s="309"/>
      <c r="C11504" s="309"/>
      <c r="I11504" s="309"/>
      <c r="J11504" s="309"/>
    </row>
    <row r="11505">
      <c r="B11505" s="309"/>
      <c r="C11505" s="309"/>
      <c r="I11505" s="309"/>
      <c r="J11505" s="309"/>
    </row>
    <row r="11506">
      <c r="B11506" s="309"/>
      <c r="C11506" s="309"/>
      <c r="I11506" s="309"/>
      <c r="J11506" s="309"/>
    </row>
    <row r="11507">
      <c r="B11507" s="309"/>
      <c r="C11507" s="309"/>
      <c r="I11507" s="309"/>
      <c r="J11507" s="309"/>
    </row>
    <row r="11508">
      <c r="B11508" s="309"/>
      <c r="C11508" s="309"/>
      <c r="I11508" s="309"/>
      <c r="J11508" s="309"/>
    </row>
    <row r="11509">
      <c r="B11509" s="309"/>
      <c r="C11509" s="309"/>
      <c r="I11509" s="309"/>
      <c r="J11509" s="309"/>
    </row>
    <row r="11510">
      <c r="B11510" s="309"/>
      <c r="C11510" s="309"/>
      <c r="I11510" s="309"/>
      <c r="J11510" s="309"/>
    </row>
    <row r="11511">
      <c r="B11511" s="309"/>
      <c r="C11511" s="309"/>
      <c r="I11511" s="309"/>
      <c r="J11511" s="309"/>
    </row>
    <row r="11512">
      <c r="B11512" s="309"/>
      <c r="C11512" s="309"/>
      <c r="I11512" s="309"/>
      <c r="J11512" s="309"/>
    </row>
    <row r="11513">
      <c r="B11513" s="309"/>
      <c r="C11513" s="309"/>
      <c r="I11513" s="309"/>
      <c r="J11513" s="309"/>
    </row>
    <row r="11514">
      <c r="B11514" s="309"/>
      <c r="C11514" s="309"/>
      <c r="I11514" s="309"/>
      <c r="J11514" s="309"/>
    </row>
    <row r="11515">
      <c r="B11515" s="309"/>
      <c r="C11515" s="309"/>
      <c r="I11515" s="309"/>
      <c r="J11515" s="309"/>
    </row>
    <row r="11516">
      <c r="B11516" s="309"/>
      <c r="C11516" s="309"/>
      <c r="I11516" s="309"/>
      <c r="J11516" s="309"/>
    </row>
    <row r="11517">
      <c r="B11517" s="309"/>
      <c r="C11517" s="309"/>
      <c r="I11517" s="309"/>
      <c r="J11517" s="309"/>
    </row>
    <row r="11518">
      <c r="B11518" s="309"/>
      <c r="C11518" s="309"/>
      <c r="I11518" s="309"/>
      <c r="J11518" s="309"/>
    </row>
    <row r="11519">
      <c r="B11519" s="309"/>
      <c r="C11519" s="309"/>
      <c r="I11519" s="309"/>
      <c r="J11519" s="309"/>
    </row>
    <row r="11520">
      <c r="B11520" s="309"/>
      <c r="C11520" s="309"/>
      <c r="I11520" s="309"/>
      <c r="J11520" s="309"/>
    </row>
    <row r="11521">
      <c r="B11521" s="309"/>
      <c r="C11521" s="309"/>
      <c r="I11521" s="309"/>
      <c r="J11521" s="309"/>
    </row>
    <row r="11522">
      <c r="B11522" s="309"/>
      <c r="C11522" s="309"/>
      <c r="I11522" s="309"/>
      <c r="J11522" s="309"/>
    </row>
    <row r="11523">
      <c r="B11523" s="309"/>
      <c r="C11523" s="309"/>
      <c r="I11523" s="309"/>
      <c r="J11523" s="309"/>
    </row>
    <row r="11524">
      <c r="B11524" s="309"/>
      <c r="C11524" s="309"/>
      <c r="I11524" s="309"/>
      <c r="J11524" s="309"/>
    </row>
    <row r="11525">
      <c r="B11525" s="309"/>
      <c r="C11525" s="309"/>
      <c r="I11525" s="309"/>
      <c r="J11525" s="309"/>
    </row>
    <row r="11526">
      <c r="B11526" s="309"/>
      <c r="C11526" s="309"/>
      <c r="I11526" s="309"/>
      <c r="J11526" s="309"/>
    </row>
    <row r="11527">
      <c r="B11527" s="309"/>
      <c r="C11527" s="309"/>
      <c r="I11527" s="309"/>
      <c r="J11527" s="309"/>
    </row>
    <row r="11528">
      <c r="B11528" s="309"/>
      <c r="C11528" s="309"/>
      <c r="I11528" s="309"/>
      <c r="J11528" s="309"/>
    </row>
    <row r="11529">
      <c r="B11529" s="309"/>
      <c r="C11529" s="309"/>
      <c r="I11529" s="309"/>
      <c r="J11529" s="309"/>
    </row>
    <row r="11530">
      <c r="B11530" s="309"/>
      <c r="C11530" s="309"/>
      <c r="I11530" s="309"/>
      <c r="J11530" s="309"/>
    </row>
    <row r="11531">
      <c r="B11531" s="309"/>
      <c r="C11531" s="309"/>
      <c r="I11531" s="309"/>
      <c r="J11531" s="309"/>
    </row>
    <row r="11532">
      <c r="B11532" s="309"/>
      <c r="C11532" s="309"/>
      <c r="I11532" s="309"/>
      <c r="J11532" s="309"/>
    </row>
    <row r="11533">
      <c r="B11533" s="309"/>
      <c r="C11533" s="309"/>
      <c r="I11533" s="309"/>
      <c r="J11533" s="309"/>
    </row>
    <row r="11534">
      <c r="B11534" s="309"/>
      <c r="C11534" s="309"/>
      <c r="I11534" s="309"/>
      <c r="J11534" s="309"/>
    </row>
    <row r="11535">
      <c r="B11535" s="309"/>
      <c r="C11535" s="309"/>
      <c r="I11535" s="309"/>
      <c r="J11535" s="309"/>
    </row>
    <row r="11536">
      <c r="B11536" s="309"/>
      <c r="C11536" s="309"/>
      <c r="I11536" s="309"/>
      <c r="J11536" s="309"/>
    </row>
    <row r="11537">
      <c r="B11537" s="309"/>
      <c r="C11537" s="309"/>
      <c r="I11537" s="309"/>
      <c r="J11537" s="309"/>
    </row>
    <row r="11538">
      <c r="B11538" s="309"/>
      <c r="C11538" s="309"/>
      <c r="I11538" s="309"/>
      <c r="J11538" s="309"/>
    </row>
    <row r="11539">
      <c r="B11539" s="309"/>
      <c r="C11539" s="309"/>
      <c r="I11539" s="309"/>
      <c r="J11539" s="309"/>
    </row>
    <row r="11540">
      <c r="B11540" s="309"/>
      <c r="C11540" s="309"/>
      <c r="I11540" s="309"/>
      <c r="J11540" s="309"/>
    </row>
    <row r="11541">
      <c r="B11541" s="309"/>
      <c r="C11541" s="309"/>
      <c r="I11541" s="309"/>
      <c r="J11541" s="309"/>
    </row>
    <row r="11542">
      <c r="B11542" s="309"/>
      <c r="C11542" s="309"/>
      <c r="I11542" s="309"/>
      <c r="J11542" s="309"/>
    </row>
    <row r="11543">
      <c r="B11543" s="309"/>
      <c r="C11543" s="309"/>
      <c r="I11543" s="309"/>
      <c r="J11543" s="309"/>
    </row>
    <row r="11544">
      <c r="B11544" s="309"/>
      <c r="C11544" s="309"/>
      <c r="I11544" s="309"/>
      <c r="J11544" s="309"/>
    </row>
    <row r="11545">
      <c r="B11545" s="309"/>
      <c r="C11545" s="309"/>
      <c r="I11545" s="309"/>
      <c r="J11545" s="309"/>
    </row>
    <row r="11546">
      <c r="B11546" s="309"/>
      <c r="C11546" s="309"/>
      <c r="I11546" s="309"/>
      <c r="J11546" s="309"/>
    </row>
    <row r="11547">
      <c r="B11547" s="309"/>
      <c r="C11547" s="309"/>
      <c r="I11547" s="309"/>
      <c r="J11547" s="309"/>
    </row>
    <row r="11548">
      <c r="B11548" s="309"/>
      <c r="C11548" s="309"/>
      <c r="I11548" s="309"/>
      <c r="J11548" s="309"/>
    </row>
    <row r="11549">
      <c r="B11549" s="309"/>
      <c r="C11549" s="309"/>
      <c r="I11549" s="309"/>
      <c r="J11549" s="309"/>
    </row>
    <row r="11550">
      <c r="B11550" s="309"/>
      <c r="C11550" s="309"/>
      <c r="I11550" s="309"/>
      <c r="J11550" s="309"/>
    </row>
    <row r="11551">
      <c r="B11551" s="309"/>
      <c r="C11551" s="309"/>
      <c r="I11551" s="309"/>
      <c r="J11551" s="309"/>
    </row>
    <row r="11552">
      <c r="B11552" s="309"/>
      <c r="C11552" s="309"/>
      <c r="I11552" s="309"/>
      <c r="J11552" s="309"/>
    </row>
    <row r="11553">
      <c r="B11553" s="309"/>
      <c r="C11553" s="309"/>
      <c r="I11553" s="309"/>
      <c r="J11553" s="309"/>
    </row>
    <row r="11554">
      <c r="B11554" s="309"/>
      <c r="C11554" s="309"/>
      <c r="I11554" s="309"/>
      <c r="J11554" s="309"/>
    </row>
    <row r="11555">
      <c r="B11555" s="309"/>
      <c r="C11555" s="309"/>
      <c r="I11555" s="309"/>
      <c r="J11555" s="309"/>
    </row>
    <row r="11556">
      <c r="B11556" s="309"/>
      <c r="C11556" s="309"/>
      <c r="I11556" s="309"/>
      <c r="J11556" s="309"/>
    </row>
    <row r="11557">
      <c r="B11557" s="309"/>
      <c r="C11557" s="309"/>
      <c r="I11557" s="309"/>
      <c r="J11557" s="309"/>
    </row>
    <row r="11558">
      <c r="B11558" s="309"/>
      <c r="C11558" s="309"/>
      <c r="I11558" s="309"/>
      <c r="J11558" s="309"/>
    </row>
    <row r="11559">
      <c r="B11559" s="309"/>
      <c r="C11559" s="309"/>
      <c r="I11559" s="309"/>
      <c r="J11559" s="309"/>
    </row>
    <row r="11560">
      <c r="B11560" s="309"/>
      <c r="C11560" s="309"/>
      <c r="I11560" s="309"/>
      <c r="J11560" s="309"/>
    </row>
    <row r="11561">
      <c r="B11561" s="309"/>
      <c r="C11561" s="309"/>
      <c r="I11561" s="309"/>
      <c r="J11561" s="309"/>
    </row>
    <row r="11562">
      <c r="B11562" s="309"/>
      <c r="C11562" s="309"/>
      <c r="I11562" s="309"/>
      <c r="J11562" s="309"/>
    </row>
    <row r="11563">
      <c r="B11563" s="309"/>
      <c r="C11563" s="309"/>
      <c r="I11563" s="309"/>
      <c r="J11563" s="309"/>
    </row>
    <row r="11564">
      <c r="B11564" s="309"/>
      <c r="C11564" s="309"/>
      <c r="I11564" s="309"/>
      <c r="J11564" s="309"/>
    </row>
    <row r="11565">
      <c r="B11565" s="309"/>
      <c r="C11565" s="309"/>
      <c r="I11565" s="309"/>
      <c r="J11565" s="309"/>
    </row>
    <row r="11566">
      <c r="B11566" s="309"/>
      <c r="C11566" s="309"/>
      <c r="I11566" s="309"/>
      <c r="J11566" s="309"/>
    </row>
    <row r="11567">
      <c r="B11567" s="309"/>
      <c r="C11567" s="309"/>
      <c r="I11567" s="309"/>
      <c r="J11567" s="309"/>
    </row>
    <row r="11568">
      <c r="B11568" s="309"/>
      <c r="C11568" s="309"/>
      <c r="I11568" s="309"/>
      <c r="J11568" s="309"/>
    </row>
    <row r="11569">
      <c r="B11569" s="309"/>
      <c r="C11569" s="309"/>
      <c r="I11569" s="309"/>
      <c r="J11569" s="309"/>
    </row>
    <row r="11570">
      <c r="B11570" s="309"/>
      <c r="C11570" s="309"/>
      <c r="I11570" s="309"/>
      <c r="J11570" s="309"/>
    </row>
    <row r="11571">
      <c r="B11571" s="309"/>
      <c r="C11571" s="309"/>
      <c r="I11571" s="309"/>
      <c r="J11571" s="309"/>
    </row>
    <row r="11572">
      <c r="B11572" s="309"/>
      <c r="C11572" s="309"/>
      <c r="I11572" s="309"/>
      <c r="J11572" s="309"/>
    </row>
    <row r="11573">
      <c r="B11573" s="309"/>
      <c r="C11573" s="309"/>
      <c r="I11573" s="309"/>
      <c r="J11573" s="309"/>
    </row>
    <row r="11574">
      <c r="B11574" s="309"/>
      <c r="C11574" s="309"/>
      <c r="I11574" s="309"/>
      <c r="J11574" s="309"/>
    </row>
    <row r="11575">
      <c r="B11575" s="309"/>
      <c r="C11575" s="309"/>
      <c r="I11575" s="309"/>
      <c r="J11575" s="309"/>
    </row>
    <row r="11576">
      <c r="B11576" s="309"/>
      <c r="C11576" s="309"/>
      <c r="I11576" s="309"/>
      <c r="J11576" s="309"/>
    </row>
    <row r="11577">
      <c r="B11577" s="309"/>
      <c r="C11577" s="309"/>
      <c r="I11577" s="309"/>
      <c r="J11577" s="309"/>
    </row>
    <row r="11578">
      <c r="B11578" s="309"/>
      <c r="C11578" s="309"/>
      <c r="I11578" s="309"/>
      <c r="J11578" s="309"/>
    </row>
    <row r="11579">
      <c r="B11579" s="309"/>
      <c r="C11579" s="309"/>
      <c r="I11579" s="309"/>
      <c r="J11579" s="309"/>
    </row>
    <row r="11580">
      <c r="B11580" s="309"/>
      <c r="C11580" s="309"/>
      <c r="I11580" s="309"/>
      <c r="J11580" s="309"/>
    </row>
    <row r="11581">
      <c r="B11581" s="309"/>
      <c r="C11581" s="309"/>
      <c r="I11581" s="309"/>
      <c r="J11581" s="309"/>
    </row>
    <row r="11582">
      <c r="B11582" s="309"/>
      <c r="C11582" s="309"/>
      <c r="I11582" s="309"/>
      <c r="J11582" s="309"/>
    </row>
    <row r="11583">
      <c r="B11583" s="309"/>
      <c r="C11583" s="309"/>
      <c r="I11583" s="309"/>
      <c r="J11583" s="309"/>
    </row>
    <row r="11584">
      <c r="B11584" s="309"/>
      <c r="C11584" s="309"/>
      <c r="I11584" s="309"/>
      <c r="J11584" s="309"/>
    </row>
    <row r="11585">
      <c r="B11585" s="309"/>
      <c r="C11585" s="309"/>
      <c r="I11585" s="309"/>
      <c r="J11585" s="309"/>
    </row>
    <row r="11586">
      <c r="B11586" s="309"/>
      <c r="C11586" s="309"/>
      <c r="I11586" s="309"/>
      <c r="J11586" s="309"/>
    </row>
    <row r="11587">
      <c r="B11587" s="309"/>
      <c r="C11587" s="309"/>
      <c r="I11587" s="309"/>
      <c r="J11587" s="309"/>
    </row>
    <row r="11588">
      <c r="B11588" s="309"/>
      <c r="C11588" s="309"/>
      <c r="I11588" s="309"/>
      <c r="J11588" s="309"/>
    </row>
    <row r="11589">
      <c r="B11589" s="309"/>
      <c r="C11589" s="309"/>
      <c r="I11589" s="309"/>
      <c r="J11589" s="309"/>
    </row>
    <row r="11590">
      <c r="B11590" s="309"/>
      <c r="C11590" s="309"/>
      <c r="I11590" s="309"/>
      <c r="J11590" s="309"/>
    </row>
    <row r="11591">
      <c r="B11591" s="309"/>
      <c r="C11591" s="309"/>
      <c r="I11591" s="309"/>
      <c r="J11591" s="309"/>
    </row>
    <row r="11592">
      <c r="B11592" s="309"/>
      <c r="C11592" s="309"/>
      <c r="I11592" s="309"/>
      <c r="J11592" s="309"/>
    </row>
    <row r="11593">
      <c r="B11593" s="309"/>
      <c r="C11593" s="309"/>
      <c r="I11593" s="309"/>
      <c r="J11593" s="309"/>
    </row>
    <row r="11594">
      <c r="B11594" s="309"/>
      <c r="C11594" s="309"/>
      <c r="I11594" s="309"/>
      <c r="J11594" s="309"/>
    </row>
    <row r="11595">
      <c r="B11595" s="309"/>
      <c r="C11595" s="309"/>
      <c r="I11595" s="309"/>
      <c r="J11595" s="309"/>
    </row>
    <row r="11596">
      <c r="B11596" s="309"/>
      <c r="C11596" s="309"/>
      <c r="I11596" s="309"/>
      <c r="J11596" s="309"/>
    </row>
    <row r="11597">
      <c r="B11597" s="309"/>
      <c r="C11597" s="309"/>
      <c r="I11597" s="309"/>
      <c r="J11597" s="309"/>
    </row>
    <row r="11598">
      <c r="B11598" s="309"/>
      <c r="C11598" s="309"/>
      <c r="I11598" s="309"/>
      <c r="J11598" s="309"/>
    </row>
    <row r="11599">
      <c r="B11599" s="309"/>
      <c r="C11599" s="309"/>
      <c r="I11599" s="309"/>
      <c r="J11599" s="309"/>
    </row>
    <row r="11600">
      <c r="B11600" s="309"/>
      <c r="C11600" s="309"/>
      <c r="I11600" s="309"/>
      <c r="J11600" s="309"/>
    </row>
    <row r="11601">
      <c r="B11601" s="309"/>
      <c r="C11601" s="309"/>
      <c r="I11601" s="309"/>
      <c r="J11601" s="309"/>
    </row>
    <row r="11602">
      <c r="B11602" s="309"/>
      <c r="C11602" s="309"/>
      <c r="I11602" s="309"/>
      <c r="J11602" s="309"/>
    </row>
    <row r="11603">
      <c r="B11603" s="309"/>
      <c r="C11603" s="309"/>
      <c r="I11603" s="309"/>
      <c r="J11603" s="309"/>
    </row>
    <row r="11604">
      <c r="B11604" s="309"/>
      <c r="C11604" s="309"/>
      <c r="I11604" s="309"/>
      <c r="J11604" s="309"/>
    </row>
    <row r="11605">
      <c r="B11605" s="309"/>
      <c r="C11605" s="309"/>
      <c r="I11605" s="309"/>
      <c r="J11605" s="309"/>
    </row>
    <row r="11606">
      <c r="B11606" s="309"/>
      <c r="C11606" s="309"/>
      <c r="I11606" s="309"/>
      <c r="J11606" s="309"/>
    </row>
    <row r="11607">
      <c r="B11607" s="309"/>
      <c r="C11607" s="309"/>
      <c r="I11607" s="309"/>
      <c r="J11607" s="309"/>
    </row>
    <row r="11608">
      <c r="B11608" s="309"/>
      <c r="C11608" s="309"/>
      <c r="I11608" s="309"/>
      <c r="J11608" s="309"/>
    </row>
    <row r="11609">
      <c r="B11609" s="309"/>
      <c r="C11609" s="309"/>
      <c r="I11609" s="309"/>
      <c r="J11609" s="309"/>
    </row>
    <row r="11610">
      <c r="B11610" s="309"/>
      <c r="C11610" s="309"/>
      <c r="I11610" s="309"/>
      <c r="J11610" s="309"/>
    </row>
    <row r="11611">
      <c r="B11611" s="309"/>
      <c r="C11611" s="309"/>
      <c r="I11611" s="309"/>
      <c r="J11611" s="309"/>
    </row>
    <row r="11612">
      <c r="B11612" s="309"/>
      <c r="C11612" s="309"/>
      <c r="I11612" s="309"/>
      <c r="J11612" s="309"/>
    </row>
    <row r="11613">
      <c r="B11613" s="309"/>
      <c r="C11613" s="309"/>
      <c r="I11613" s="309"/>
      <c r="J11613" s="309"/>
    </row>
    <row r="11614">
      <c r="B11614" s="309"/>
      <c r="C11614" s="309"/>
      <c r="I11614" s="309"/>
      <c r="J11614" s="309"/>
    </row>
    <row r="11615">
      <c r="B11615" s="309"/>
      <c r="C11615" s="309"/>
      <c r="I11615" s="309"/>
      <c r="J11615" s="309"/>
    </row>
    <row r="11616">
      <c r="B11616" s="309"/>
      <c r="C11616" s="309"/>
      <c r="I11616" s="309"/>
      <c r="J11616" s="309"/>
    </row>
    <row r="11617">
      <c r="B11617" s="309"/>
      <c r="C11617" s="309"/>
      <c r="I11617" s="309"/>
      <c r="J11617" s="309"/>
    </row>
    <row r="11618">
      <c r="B11618" s="309"/>
      <c r="C11618" s="309"/>
      <c r="I11618" s="309"/>
      <c r="J11618" s="309"/>
    </row>
    <row r="11619">
      <c r="B11619" s="309"/>
      <c r="C11619" s="309"/>
      <c r="I11619" s="309"/>
      <c r="J11619" s="309"/>
    </row>
    <row r="11620">
      <c r="B11620" s="309"/>
      <c r="C11620" s="309"/>
      <c r="I11620" s="309"/>
      <c r="J11620" s="309"/>
    </row>
    <row r="11621">
      <c r="B11621" s="309"/>
      <c r="C11621" s="309"/>
      <c r="I11621" s="309"/>
      <c r="J11621" s="309"/>
    </row>
    <row r="11622">
      <c r="B11622" s="309"/>
      <c r="C11622" s="309"/>
      <c r="I11622" s="309"/>
      <c r="J11622" s="309"/>
    </row>
    <row r="11623">
      <c r="B11623" s="309"/>
      <c r="C11623" s="309"/>
      <c r="I11623" s="309"/>
      <c r="J11623" s="309"/>
    </row>
    <row r="11624">
      <c r="B11624" s="309"/>
      <c r="C11624" s="309"/>
      <c r="I11624" s="309"/>
      <c r="J11624" s="309"/>
    </row>
    <row r="11625">
      <c r="B11625" s="309"/>
      <c r="C11625" s="309"/>
      <c r="I11625" s="309"/>
      <c r="J11625" s="309"/>
    </row>
    <row r="11626">
      <c r="B11626" s="309"/>
      <c r="C11626" s="309"/>
      <c r="I11626" s="309"/>
      <c r="J11626" s="309"/>
    </row>
    <row r="11627">
      <c r="B11627" s="309"/>
      <c r="C11627" s="309"/>
      <c r="I11627" s="309"/>
      <c r="J11627" s="309"/>
    </row>
    <row r="11628">
      <c r="B11628" s="309"/>
      <c r="C11628" s="309"/>
      <c r="I11628" s="309"/>
      <c r="J11628" s="309"/>
    </row>
    <row r="11629">
      <c r="B11629" s="309"/>
      <c r="C11629" s="309"/>
      <c r="I11629" s="309"/>
      <c r="J11629" s="309"/>
    </row>
    <row r="11630">
      <c r="B11630" s="309"/>
      <c r="C11630" s="309"/>
      <c r="I11630" s="309"/>
      <c r="J11630" s="309"/>
    </row>
    <row r="11631">
      <c r="B11631" s="309"/>
      <c r="C11631" s="309"/>
      <c r="I11631" s="309"/>
      <c r="J11631" s="309"/>
    </row>
    <row r="11632">
      <c r="B11632" s="309"/>
      <c r="C11632" s="309"/>
      <c r="I11632" s="309"/>
      <c r="J11632" s="309"/>
    </row>
    <row r="11633">
      <c r="B11633" s="309"/>
      <c r="C11633" s="309"/>
      <c r="I11633" s="309"/>
      <c r="J11633" s="309"/>
    </row>
    <row r="11634">
      <c r="B11634" s="309"/>
      <c r="C11634" s="309"/>
      <c r="I11634" s="309"/>
      <c r="J11634" s="309"/>
    </row>
    <row r="11635">
      <c r="B11635" s="309"/>
      <c r="C11635" s="309"/>
      <c r="I11635" s="309"/>
      <c r="J11635" s="309"/>
    </row>
    <row r="11636">
      <c r="B11636" s="309"/>
      <c r="C11636" s="309"/>
      <c r="I11636" s="309"/>
      <c r="J11636" s="309"/>
    </row>
    <row r="11637">
      <c r="B11637" s="309"/>
      <c r="C11637" s="309"/>
      <c r="I11637" s="309"/>
      <c r="J11637" s="309"/>
    </row>
    <row r="11638">
      <c r="B11638" s="309"/>
      <c r="C11638" s="309"/>
      <c r="I11638" s="309"/>
      <c r="J11638" s="309"/>
    </row>
    <row r="11639">
      <c r="B11639" s="309"/>
      <c r="C11639" s="309"/>
      <c r="I11639" s="309"/>
      <c r="J11639" s="309"/>
    </row>
    <row r="11640">
      <c r="B11640" s="309"/>
      <c r="C11640" s="309"/>
      <c r="I11640" s="309"/>
      <c r="J11640" s="309"/>
    </row>
    <row r="11641">
      <c r="B11641" s="309"/>
      <c r="C11641" s="309"/>
      <c r="I11641" s="309"/>
      <c r="J11641" s="309"/>
    </row>
    <row r="11642">
      <c r="B11642" s="309"/>
      <c r="C11642" s="309"/>
      <c r="I11642" s="309"/>
      <c r="J11642" s="309"/>
    </row>
    <row r="11643">
      <c r="B11643" s="309"/>
      <c r="C11643" s="309"/>
      <c r="I11643" s="309"/>
      <c r="J11643" s="309"/>
    </row>
    <row r="11644">
      <c r="B11644" s="309"/>
      <c r="C11644" s="309"/>
      <c r="I11644" s="309"/>
      <c r="J11644" s="309"/>
    </row>
    <row r="11645">
      <c r="B11645" s="309"/>
      <c r="C11645" s="309"/>
      <c r="I11645" s="309"/>
      <c r="J11645" s="309"/>
    </row>
    <row r="11646">
      <c r="B11646" s="309"/>
      <c r="C11646" s="309"/>
      <c r="I11646" s="309"/>
      <c r="J11646" s="309"/>
    </row>
    <row r="11647">
      <c r="B11647" s="309"/>
      <c r="C11647" s="309"/>
      <c r="I11647" s="309"/>
      <c r="J11647" s="309"/>
    </row>
    <row r="11648">
      <c r="B11648" s="309"/>
      <c r="C11648" s="309"/>
      <c r="I11648" s="309"/>
      <c r="J11648" s="309"/>
    </row>
    <row r="11649">
      <c r="B11649" s="309"/>
      <c r="C11649" s="309"/>
      <c r="I11649" s="309"/>
      <c r="J11649" s="309"/>
    </row>
    <row r="11650">
      <c r="B11650" s="309"/>
      <c r="C11650" s="309"/>
      <c r="I11650" s="309"/>
      <c r="J11650" s="309"/>
    </row>
    <row r="11651">
      <c r="B11651" s="309"/>
      <c r="C11651" s="309"/>
      <c r="I11651" s="309"/>
      <c r="J11651" s="309"/>
    </row>
    <row r="11652">
      <c r="B11652" s="309"/>
      <c r="C11652" s="309"/>
      <c r="I11652" s="309"/>
      <c r="J11652" s="309"/>
    </row>
    <row r="11653">
      <c r="B11653" s="309"/>
      <c r="C11653" s="309"/>
      <c r="I11653" s="309"/>
      <c r="J11653" s="309"/>
    </row>
    <row r="11654">
      <c r="B11654" s="309"/>
      <c r="C11654" s="309"/>
      <c r="I11654" s="309"/>
      <c r="J11654" s="309"/>
    </row>
    <row r="11655">
      <c r="B11655" s="309"/>
      <c r="C11655" s="309"/>
      <c r="I11655" s="309"/>
      <c r="J11655" s="309"/>
    </row>
    <row r="11656">
      <c r="B11656" s="309"/>
      <c r="C11656" s="309"/>
      <c r="I11656" s="309"/>
      <c r="J11656" s="309"/>
    </row>
    <row r="11657">
      <c r="B11657" s="309"/>
      <c r="C11657" s="309"/>
      <c r="I11657" s="309"/>
      <c r="J11657" s="309"/>
    </row>
    <row r="11658">
      <c r="B11658" s="309"/>
      <c r="C11658" s="309"/>
      <c r="I11658" s="309"/>
      <c r="J11658" s="309"/>
    </row>
    <row r="11659">
      <c r="B11659" s="309"/>
      <c r="C11659" s="309"/>
      <c r="I11659" s="309"/>
      <c r="J11659" s="309"/>
    </row>
    <row r="11660">
      <c r="B11660" s="309"/>
      <c r="C11660" s="309"/>
      <c r="I11660" s="309"/>
      <c r="J11660" s="309"/>
    </row>
    <row r="11661">
      <c r="B11661" s="309"/>
      <c r="C11661" s="309"/>
      <c r="I11661" s="309"/>
      <c r="J11661" s="309"/>
    </row>
    <row r="11662">
      <c r="B11662" s="309"/>
      <c r="C11662" s="309"/>
      <c r="I11662" s="309"/>
      <c r="J11662" s="309"/>
    </row>
    <row r="11663">
      <c r="B11663" s="309"/>
      <c r="C11663" s="309"/>
      <c r="I11663" s="309"/>
      <c r="J11663" s="309"/>
    </row>
    <row r="11664">
      <c r="B11664" s="309"/>
      <c r="C11664" s="309"/>
      <c r="I11664" s="309"/>
      <c r="J11664" s="309"/>
    </row>
    <row r="11665">
      <c r="B11665" s="309"/>
      <c r="C11665" s="309"/>
      <c r="I11665" s="309"/>
      <c r="J11665" s="309"/>
    </row>
    <row r="11666">
      <c r="B11666" s="309"/>
      <c r="C11666" s="309"/>
      <c r="I11666" s="309"/>
      <c r="J11666" s="309"/>
    </row>
    <row r="11667">
      <c r="B11667" s="309"/>
      <c r="C11667" s="309"/>
      <c r="I11667" s="309"/>
      <c r="J11667" s="309"/>
    </row>
    <row r="11668">
      <c r="B11668" s="309"/>
      <c r="C11668" s="309"/>
      <c r="I11668" s="309"/>
      <c r="J11668" s="309"/>
    </row>
    <row r="11669">
      <c r="B11669" s="309"/>
      <c r="C11669" s="309"/>
      <c r="I11669" s="309"/>
      <c r="J11669" s="309"/>
    </row>
    <row r="11670">
      <c r="B11670" s="309"/>
      <c r="C11670" s="309"/>
      <c r="I11670" s="309"/>
      <c r="J11670" s="309"/>
    </row>
    <row r="11671">
      <c r="B11671" s="309"/>
      <c r="C11671" s="309"/>
      <c r="I11671" s="309"/>
      <c r="J11671" s="309"/>
    </row>
    <row r="11672">
      <c r="B11672" s="309"/>
      <c r="C11672" s="309"/>
      <c r="I11672" s="309"/>
      <c r="J11672" s="309"/>
    </row>
    <row r="11673">
      <c r="B11673" s="309"/>
      <c r="C11673" s="309"/>
      <c r="I11673" s="309"/>
      <c r="J11673" s="309"/>
    </row>
    <row r="11674">
      <c r="B11674" s="309"/>
      <c r="C11674" s="309"/>
      <c r="I11674" s="309"/>
      <c r="J11674" s="309"/>
    </row>
    <row r="11675">
      <c r="B11675" s="309"/>
      <c r="C11675" s="309"/>
      <c r="I11675" s="309"/>
      <c r="J11675" s="309"/>
    </row>
    <row r="11676">
      <c r="B11676" s="309"/>
      <c r="C11676" s="309"/>
      <c r="I11676" s="309"/>
      <c r="J11676" s="309"/>
    </row>
    <row r="11677">
      <c r="B11677" s="309"/>
      <c r="C11677" s="309"/>
      <c r="I11677" s="309"/>
      <c r="J11677" s="309"/>
    </row>
    <row r="11678">
      <c r="B11678" s="309"/>
      <c r="C11678" s="309"/>
      <c r="I11678" s="309"/>
      <c r="J11678" s="309"/>
    </row>
    <row r="11679">
      <c r="B11679" s="309"/>
      <c r="C11679" s="309"/>
      <c r="I11679" s="309"/>
      <c r="J11679" s="309"/>
    </row>
    <row r="11680">
      <c r="B11680" s="309"/>
      <c r="C11680" s="309"/>
      <c r="I11680" s="309"/>
      <c r="J11680" s="309"/>
    </row>
    <row r="11681">
      <c r="B11681" s="309"/>
      <c r="C11681" s="309"/>
      <c r="I11681" s="309"/>
      <c r="J11681" s="309"/>
    </row>
    <row r="11682">
      <c r="B11682" s="309"/>
      <c r="C11682" s="309"/>
      <c r="I11682" s="309"/>
      <c r="J11682" s="309"/>
    </row>
    <row r="11683">
      <c r="B11683" s="309"/>
      <c r="C11683" s="309"/>
      <c r="I11683" s="309"/>
      <c r="J11683" s="309"/>
    </row>
    <row r="11684">
      <c r="B11684" s="309"/>
      <c r="C11684" s="309"/>
      <c r="I11684" s="309"/>
      <c r="J11684" s="309"/>
    </row>
    <row r="11685">
      <c r="B11685" s="309"/>
      <c r="C11685" s="309"/>
      <c r="I11685" s="309"/>
      <c r="J11685" s="309"/>
    </row>
    <row r="11686">
      <c r="B11686" s="309"/>
      <c r="C11686" s="309"/>
      <c r="I11686" s="309"/>
      <c r="J11686" s="309"/>
    </row>
    <row r="11687">
      <c r="B11687" s="309"/>
      <c r="C11687" s="309"/>
      <c r="I11687" s="309"/>
      <c r="J11687" s="309"/>
    </row>
    <row r="11688">
      <c r="B11688" s="309"/>
      <c r="C11688" s="309"/>
      <c r="I11688" s="309"/>
      <c r="J11688" s="309"/>
    </row>
    <row r="11689">
      <c r="B11689" s="309"/>
      <c r="C11689" s="309"/>
      <c r="I11689" s="309"/>
      <c r="J11689" s="309"/>
    </row>
    <row r="11690">
      <c r="B11690" s="309"/>
      <c r="C11690" s="309"/>
      <c r="I11690" s="309"/>
      <c r="J11690" s="309"/>
    </row>
    <row r="11691">
      <c r="B11691" s="309"/>
      <c r="C11691" s="309"/>
      <c r="I11691" s="309"/>
      <c r="J11691" s="309"/>
    </row>
    <row r="11692">
      <c r="B11692" s="309"/>
      <c r="C11692" s="309"/>
      <c r="I11692" s="309"/>
      <c r="J11692" s="309"/>
    </row>
    <row r="11693">
      <c r="B11693" s="309"/>
      <c r="C11693" s="309"/>
      <c r="I11693" s="309"/>
      <c r="J11693" s="309"/>
    </row>
    <row r="11694">
      <c r="B11694" s="309"/>
      <c r="C11694" s="309"/>
      <c r="I11694" s="309"/>
      <c r="J11694" s="309"/>
    </row>
    <row r="11695">
      <c r="B11695" s="309"/>
      <c r="C11695" s="309"/>
      <c r="I11695" s="309"/>
      <c r="J11695" s="309"/>
    </row>
    <row r="11696">
      <c r="B11696" s="309"/>
      <c r="C11696" s="309"/>
      <c r="I11696" s="309"/>
      <c r="J11696" s="309"/>
    </row>
    <row r="11697">
      <c r="B11697" s="309"/>
      <c r="C11697" s="309"/>
      <c r="I11697" s="309"/>
      <c r="J11697" s="309"/>
    </row>
    <row r="11698">
      <c r="B11698" s="309"/>
      <c r="C11698" s="309"/>
      <c r="I11698" s="309"/>
      <c r="J11698" s="309"/>
    </row>
    <row r="11699">
      <c r="B11699" s="309"/>
      <c r="C11699" s="309"/>
      <c r="I11699" s="309"/>
      <c r="J11699" s="309"/>
    </row>
    <row r="11700">
      <c r="B11700" s="309"/>
      <c r="C11700" s="309"/>
      <c r="I11700" s="309"/>
      <c r="J11700" s="309"/>
    </row>
    <row r="11701">
      <c r="B11701" s="309"/>
      <c r="C11701" s="309"/>
      <c r="I11701" s="309"/>
      <c r="J11701" s="309"/>
    </row>
    <row r="11702">
      <c r="B11702" s="309"/>
      <c r="C11702" s="309"/>
      <c r="I11702" s="309"/>
      <c r="J11702" s="309"/>
    </row>
    <row r="11703">
      <c r="B11703" s="309"/>
      <c r="C11703" s="309"/>
      <c r="I11703" s="309"/>
      <c r="J11703" s="309"/>
    </row>
    <row r="11704">
      <c r="B11704" s="309"/>
      <c r="C11704" s="309"/>
      <c r="I11704" s="309"/>
      <c r="J11704" s="309"/>
    </row>
    <row r="11705">
      <c r="B11705" s="309"/>
      <c r="C11705" s="309"/>
      <c r="I11705" s="309"/>
      <c r="J11705" s="309"/>
    </row>
    <row r="11706">
      <c r="B11706" s="309"/>
      <c r="C11706" s="309"/>
      <c r="I11706" s="309"/>
      <c r="J11706" s="309"/>
    </row>
    <row r="11707">
      <c r="B11707" s="309"/>
      <c r="C11707" s="309"/>
      <c r="I11707" s="309"/>
      <c r="J11707" s="309"/>
    </row>
    <row r="11708">
      <c r="B11708" s="309"/>
      <c r="C11708" s="309"/>
      <c r="I11708" s="309"/>
      <c r="J11708" s="309"/>
    </row>
    <row r="11709">
      <c r="B11709" s="309"/>
      <c r="C11709" s="309"/>
      <c r="I11709" s="309"/>
      <c r="J11709" s="309"/>
    </row>
    <row r="11710">
      <c r="B11710" s="309"/>
      <c r="C11710" s="309"/>
      <c r="I11710" s="309"/>
      <c r="J11710" s="309"/>
    </row>
    <row r="11711">
      <c r="B11711" s="309"/>
      <c r="C11711" s="309"/>
      <c r="I11711" s="309"/>
      <c r="J11711" s="309"/>
    </row>
    <row r="11712">
      <c r="B11712" s="309"/>
      <c r="C11712" s="309"/>
      <c r="I11712" s="309"/>
      <c r="J11712" s="309"/>
    </row>
    <row r="11713">
      <c r="B11713" s="309"/>
      <c r="C11713" s="309"/>
      <c r="I11713" s="309"/>
      <c r="J11713" s="309"/>
    </row>
    <row r="11714">
      <c r="B11714" s="309"/>
      <c r="C11714" s="309"/>
      <c r="I11714" s="309"/>
      <c r="J11714" s="309"/>
    </row>
    <row r="11715">
      <c r="B11715" s="309"/>
      <c r="C11715" s="309"/>
      <c r="I11715" s="309"/>
      <c r="J11715" s="309"/>
    </row>
    <row r="11716">
      <c r="B11716" s="309"/>
      <c r="C11716" s="309"/>
      <c r="I11716" s="309"/>
      <c r="J11716" s="309"/>
    </row>
    <row r="11717">
      <c r="B11717" s="309"/>
      <c r="C11717" s="309"/>
      <c r="I11717" s="309"/>
      <c r="J11717" s="309"/>
    </row>
    <row r="11718">
      <c r="B11718" s="309"/>
      <c r="C11718" s="309"/>
      <c r="I11718" s="309"/>
      <c r="J11718" s="309"/>
    </row>
    <row r="11719">
      <c r="B11719" s="309"/>
      <c r="C11719" s="309"/>
      <c r="I11719" s="309"/>
      <c r="J11719" s="309"/>
    </row>
    <row r="11720">
      <c r="B11720" s="309"/>
      <c r="C11720" s="309"/>
      <c r="I11720" s="309"/>
      <c r="J11720" s="309"/>
    </row>
    <row r="11721">
      <c r="B11721" s="309"/>
      <c r="C11721" s="309"/>
      <c r="I11721" s="309"/>
      <c r="J11721" s="309"/>
    </row>
    <row r="11722">
      <c r="B11722" s="309"/>
      <c r="C11722" s="309"/>
      <c r="I11722" s="309"/>
      <c r="J11722" s="309"/>
    </row>
    <row r="11723">
      <c r="B11723" s="309"/>
      <c r="C11723" s="309"/>
      <c r="I11723" s="309"/>
      <c r="J11723" s="309"/>
    </row>
    <row r="11724">
      <c r="B11724" s="309"/>
      <c r="C11724" s="309"/>
      <c r="I11724" s="309"/>
      <c r="J11724" s="309"/>
    </row>
    <row r="11725">
      <c r="B11725" s="309"/>
      <c r="C11725" s="309"/>
      <c r="I11725" s="309"/>
      <c r="J11725" s="309"/>
    </row>
    <row r="11726">
      <c r="B11726" s="309"/>
      <c r="C11726" s="309"/>
      <c r="I11726" s="309"/>
      <c r="J11726" s="309"/>
    </row>
    <row r="11727">
      <c r="B11727" s="309"/>
      <c r="C11727" s="309"/>
      <c r="I11727" s="309"/>
      <c r="J11727" s="309"/>
    </row>
    <row r="11728">
      <c r="B11728" s="309"/>
      <c r="C11728" s="309"/>
      <c r="I11728" s="309"/>
      <c r="J11728" s="309"/>
    </row>
    <row r="11729">
      <c r="B11729" s="309"/>
      <c r="C11729" s="309"/>
      <c r="I11729" s="309"/>
      <c r="J11729" s="309"/>
    </row>
    <row r="11730">
      <c r="B11730" s="309"/>
      <c r="C11730" s="309"/>
      <c r="I11730" s="309"/>
      <c r="J11730" s="309"/>
    </row>
    <row r="11731">
      <c r="B11731" s="309"/>
      <c r="C11731" s="309"/>
      <c r="I11731" s="309"/>
      <c r="J11731" s="309"/>
    </row>
    <row r="11732">
      <c r="B11732" s="309"/>
      <c r="C11732" s="309"/>
      <c r="I11732" s="309"/>
      <c r="J11732" s="309"/>
    </row>
    <row r="11733">
      <c r="B11733" s="309"/>
      <c r="C11733" s="309"/>
      <c r="I11733" s="309"/>
      <c r="J11733" s="309"/>
    </row>
    <row r="11734">
      <c r="B11734" s="309"/>
      <c r="C11734" s="309"/>
      <c r="I11734" s="309"/>
      <c r="J11734" s="309"/>
    </row>
    <row r="11735">
      <c r="B11735" s="309"/>
      <c r="C11735" s="309"/>
      <c r="I11735" s="309"/>
      <c r="J11735" s="309"/>
    </row>
    <row r="11736">
      <c r="B11736" s="309"/>
      <c r="C11736" s="309"/>
      <c r="I11736" s="309"/>
      <c r="J11736" s="309"/>
    </row>
    <row r="11737">
      <c r="B11737" s="309"/>
      <c r="C11737" s="309"/>
      <c r="I11737" s="309"/>
      <c r="J11737" s="309"/>
    </row>
    <row r="11738">
      <c r="B11738" s="309"/>
      <c r="C11738" s="309"/>
      <c r="I11738" s="309"/>
      <c r="J11738" s="309"/>
    </row>
    <row r="11739">
      <c r="B11739" s="309"/>
      <c r="C11739" s="309"/>
      <c r="I11739" s="309"/>
      <c r="J11739" s="309"/>
    </row>
    <row r="11740">
      <c r="B11740" s="309"/>
      <c r="C11740" s="309"/>
      <c r="I11740" s="309"/>
      <c r="J11740" s="309"/>
    </row>
    <row r="11741">
      <c r="B11741" s="309"/>
      <c r="C11741" s="309"/>
      <c r="I11741" s="309"/>
      <c r="J11741" s="309"/>
    </row>
    <row r="11742">
      <c r="B11742" s="309"/>
      <c r="C11742" s="309"/>
      <c r="I11742" s="309"/>
      <c r="J11742" s="309"/>
    </row>
    <row r="11743">
      <c r="B11743" s="309"/>
      <c r="C11743" s="309"/>
      <c r="I11743" s="309"/>
      <c r="J11743" s="309"/>
    </row>
    <row r="11744">
      <c r="B11744" s="309"/>
      <c r="C11744" s="309"/>
      <c r="I11744" s="309"/>
      <c r="J11744" s="309"/>
    </row>
    <row r="11745">
      <c r="B11745" s="309"/>
      <c r="C11745" s="309"/>
      <c r="I11745" s="309"/>
      <c r="J11745" s="309"/>
    </row>
    <row r="11746">
      <c r="B11746" s="309"/>
      <c r="C11746" s="309"/>
      <c r="I11746" s="309"/>
      <c r="J11746" s="309"/>
    </row>
    <row r="11747">
      <c r="B11747" s="309"/>
      <c r="C11747" s="309"/>
      <c r="I11747" s="309"/>
      <c r="J11747" s="309"/>
    </row>
    <row r="11748">
      <c r="B11748" s="309"/>
      <c r="C11748" s="309"/>
      <c r="I11748" s="309"/>
      <c r="J11748" s="309"/>
    </row>
    <row r="11749">
      <c r="B11749" s="309"/>
      <c r="C11749" s="309"/>
      <c r="I11749" s="309"/>
      <c r="J11749" s="309"/>
    </row>
    <row r="11750">
      <c r="B11750" s="309"/>
      <c r="C11750" s="309"/>
      <c r="I11750" s="309"/>
      <c r="J11750" s="309"/>
    </row>
    <row r="11751">
      <c r="B11751" s="309"/>
      <c r="C11751" s="309"/>
      <c r="I11751" s="309"/>
      <c r="J11751" s="309"/>
    </row>
    <row r="11752">
      <c r="B11752" s="309"/>
      <c r="C11752" s="309"/>
      <c r="I11752" s="309"/>
      <c r="J11752" s="309"/>
    </row>
    <row r="11753">
      <c r="B11753" s="309"/>
      <c r="C11753" s="309"/>
      <c r="I11753" s="309"/>
      <c r="J11753" s="309"/>
    </row>
    <row r="11754">
      <c r="B11754" s="309"/>
      <c r="C11754" s="309"/>
      <c r="I11754" s="309"/>
      <c r="J11754" s="309"/>
    </row>
    <row r="11755">
      <c r="B11755" s="309"/>
      <c r="C11755" s="309"/>
      <c r="I11755" s="309"/>
      <c r="J11755" s="309"/>
    </row>
    <row r="11756">
      <c r="B11756" s="309"/>
      <c r="C11756" s="309"/>
      <c r="I11756" s="309"/>
      <c r="J11756" s="309"/>
    </row>
    <row r="11757">
      <c r="B11757" s="309"/>
      <c r="C11757" s="309"/>
      <c r="I11757" s="309"/>
      <c r="J11757" s="309"/>
    </row>
    <row r="11758">
      <c r="B11758" s="309"/>
      <c r="C11758" s="309"/>
      <c r="I11758" s="309"/>
      <c r="J11758" s="309"/>
    </row>
    <row r="11759">
      <c r="B11759" s="309"/>
      <c r="C11759" s="309"/>
      <c r="I11759" s="309"/>
      <c r="J11759" s="309"/>
    </row>
    <row r="11760">
      <c r="B11760" s="309"/>
      <c r="C11760" s="309"/>
      <c r="I11760" s="309"/>
      <c r="J11760" s="309"/>
    </row>
    <row r="11761">
      <c r="B11761" s="309"/>
      <c r="C11761" s="309"/>
      <c r="I11761" s="309"/>
      <c r="J11761" s="309"/>
    </row>
    <row r="11762">
      <c r="B11762" s="309"/>
      <c r="C11762" s="309"/>
      <c r="I11762" s="309"/>
      <c r="J11762" s="309"/>
    </row>
    <row r="11763">
      <c r="B11763" s="309"/>
      <c r="C11763" s="309"/>
      <c r="I11763" s="309"/>
      <c r="J11763" s="309"/>
    </row>
    <row r="11764">
      <c r="B11764" s="309"/>
      <c r="C11764" s="309"/>
      <c r="I11764" s="309"/>
      <c r="J11764" s="309"/>
    </row>
    <row r="11765">
      <c r="B11765" s="309"/>
      <c r="C11765" s="309"/>
      <c r="I11765" s="309"/>
      <c r="J11765" s="309"/>
    </row>
    <row r="11766">
      <c r="B11766" s="309"/>
      <c r="C11766" s="309"/>
      <c r="I11766" s="309"/>
      <c r="J11766" s="309"/>
    </row>
    <row r="11767">
      <c r="B11767" s="309"/>
      <c r="C11767" s="309"/>
      <c r="I11767" s="309"/>
      <c r="J11767" s="309"/>
    </row>
    <row r="11768">
      <c r="B11768" s="309"/>
      <c r="C11768" s="309"/>
      <c r="I11768" s="309"/>
      <c r="J11768" s="309"/>
    </row>
    <row r="11769">
      <c r="B11769" s="309"/>
      <c r="C11769" s="309"/>
      <c r="I11769" s="309"/>
      <c r="J11769" s="309"/>
    </row>
    <row r="11770">
      <c r="B11770" s="309"/>
      <c r="C11770" s="309"/>
      <c r="I11770" s="309"/>
      <c r="J11770" s="309"/>
    </row>
    <row r="11771">
      <c r="B11771" s="309"/>
      <c r="C11771" s="309"/>
      <c r="I11771" s="309"/>
      <c r="J11771" s="309"/>
    </row>
    <row r="11772">
      <c r="B11772" s="309"/>
      <c r="C11772" s="309"/>
      <c r="I11772" s="309"/>
      <c r="J11772" s="309"/>
    </row>
    <row r="11773">
      <c r="B11773" s="309"/>
      <c r="C11773" s="309"/>
      <c r="I11773" s="309"/>
      <c r="J11773" s="309"/>
    </row>
    <row r="11774">
      <c r="B11774" s="309"/>
      <c r="C11774" s="309"/>
      <c r="I11774" s="309"/>
      <c r="J11774" s="309"/>
    </row>
    <row r="11775">
      <c r="B11775" s="309"/>
      <c r="C11775" s="309"/>
      <c r="I11775" s="309"/>
      <c r="J11775" s="309"/>
    </row>
    <row r="11776">
      <c r="B11776" s="309"/>
      <c r="C11776" s="309"/>
      <c r="I11776" s="309"/>
      <c r="J11776" s="309"/>
    </row>
    <row r="11777">
      <c r="B11777" s="309"/>
      <c r="C11777" s="309"/>
      <c r="I11777" s="309"/>
      <c r="J11777" s="309"/>
    </row>
    <row r="11778">
      <c r="B11778" s="309"/>
      <c r="C11778" s="309"/>
      <c r="I11778" s="309"/>
      <c r="J11778" s="309"/>
    </row>
    <row r="11779">
      <c r="B11779" s="309"/>
      <c r="C11779" s="309"/>
      <c r="I11779" s="309"/>
      <c r="J11779" s="309"/>
    </row>
    <row r="11780">
      <c r="B11780" s="309"/>
      <c r="C11780" s="309"/>
      <c r="I11780" s="309"/>
      <c r="J11780" s="309"/>
    </row>
    <row r="11781">
      <c r="B11781" s="309"/>
      <c r="C11781" s="309"/>
      <c r="I11781" s="309"/>
      <c r="J11781" s="309"/>
    </row>
    <row r="11782">
      <c r="B11782" s="309"/>
      <c r="C11782" s="309"/>
      <c r="I11782" s="309"/>
      <c r="J11782" s="309"/>
    </row>
    <row r="11783">
      <c r="B11783" s="309"/>
      <c r="C11783" s="309"/>
      <c r="I11783" s="309"/>
      <c r="J11783" s="309"/>
    </row>
    <row r="11784">
      <c r="B11784" s="309"/>
      <c r="C11784" s="309"/>
      <c r="I11784" s="309"/>
      <c r="J11784" s="309"/>
    </row>
    <row r="11785">
      <c r="B11785" s="309"/>
      <c r="C11785" s="309"/>
      <c r="I11785" s="309"/>
      <c r="J11785" s="309"/>
    </row>
    <row r="11786">
      <c r="B11786" s="309"/>
      <c r="C11786" s="309"/>
      <c r="I11786" s="309"/>
      <c r="J11786" s="309"/>
    </row>
    <row r="11787">
      <c r="B11787" s="309"/>
      <c r="C11787" s="309"/>
      <c r="I11787" s="309"/>
      <c r="J11787" s="309"/>
    </row>
    <row r="11788">
      <c r="B11788" s="309"/>
      <c r="C11788" s="309"/>
      <c r="I11788" s="309"/>
      <c r="J11788" s="309"/>
    </row>
    <row r="11789">
      <c r="B11789" s="309"/>
      <c r="C11789" s="309"/>
      <c r="I11789" s="309"/>
      <c r="J11789" s="309"/>
    </row>
    <row r="11790">
      <c r="B11790" s="309"/>
      <c r="C11790" s="309"/>
      <c r="I11790" s="309"/>
      <c r="J11790" s="309"/>
    </row>
    <row r="11791">
      <c r="B11791" s="309"/>
      <c r="C11791" s="309"/>
      <c r="I11791" s="309"/>
      <c r="J11791" s="309"/>
    </row>
    <row r="11792">
      <c r="B11792" s="309"/>
      <c r="C11792" s="309"/>
      <c r="I11792" s="309"/>
      <c r="J11792" s="309"/>
    </row>
    <row r="11793">
      <c r="B11793" s="309"/>
      <c r="C11793" s="309"/>
      <c r="I11793" s="309"/>
      <c r="J11793" s="309"/>
    </row>
    <row r="11794">
      <c r="B11794" s="309"/>
      <c r="C11794" s="309"/>
      <c r="I11794" s="309"/>
      <c r="J11794" s="309"/>
    </row>
    <row r="11795">
      <c r="B11795" s="309"/>
      <c r="C11795" s="309"/>
      <c r="I11795" s="309"/>
      <c r="J11795" s="309"/>
    </row>
    <row r="11796">
      <c r="B11796" s="309"/>
      <c r="C11796" s="309"/>
      <c r="I11796" s="309"/>
      <c r="J11796" s="309"/>
    </row>
    <row r="11797">
      <c r="B11797" s="309"/>
      <c r="C11797" s="309"/>
      <c r="I11797" s="309"/>
      <c r="J11797" s="309"/>
    </row>
    <row r="11798">
      <c r="B11798" s="309"/>
      <c r="C11798" s="309"/>
      <c r="I11798" s="309"/>
      <c r="J11798" s="309"/>
    </row>
    <row r="11799">
      <c r="B11799" s="309"/>
      <c r="C11799" s="309"/>
      <c r="I11799" s="309"/>
      <c r="J11799" s="309"/>
    </row>
    <row r="11800">
      <c r="B11800" s="309"/>
      <c r="C11800" s="309"/>
      <c r="I11800" s="309"/>
      <c r="J11800" s="309"/>
    </row>
    <row r="11801">
      <c r="B11801" s="309"/>
      <c r="C11801" s="309"/>
      <c r="I11801" s="309"/>
      <c r="J11801" s="309"/>
    </row>
    <row r="11802">
      <c r="B11802" s="309"/>
      <c r="C11802" s="309"/>
      <c r="I11802" s="309"/>
      <c r="J11802" s="309"/>
    </row>
    <row r="11803">
      <c r="B11803" s="309"/>
      <c r="C11803" s="309"/>
      <c r="I11803" s="309"/>
      <c r="J11803" s="309"/>
    </row>
    <row r="11804">
      <c r="B11804" s="309"/>
      <c r="C11804" s="309"/>
      <c r="I11804" s="309"/>
      <c r="J11804" s="309"/>
    </row>
    <row r="11805">
      <c r="B11805" s="309"/>
      <c r="C11805" s="309"/>
      <c r="I11805" s="309"/>
      <c r="J11805" s="309"/>
    </row>
    <row r="11806">
      <c r="B11806" s="309"/>
      <c r="C11806" s="309"/>
      <c r="I11806" s="309"/>
      <c r="J11806" s="309"/>
    </row>
    <row r="11807">
      <c r="B11807" s="309"/>
      <c r="C11807" s="309"/>
      <c r="I11807" s="309"/>
      <c r="J11807" s="309"/>
    </row>
    <row r="11808">
      <c r="B11808" s="309"/>
      <c r="C11808" s="309"/>
      <c r="I11808" s="309"/>
      <c r="J11808" s="309"/>
    </row>
    <row r="11809">
      <c r="B11809" s="309"/>
      <c r="C11809" s="309"/>
      <c r="I11809" s="309"/>
      <c r="J11809" s="309"/>
    </row>
    <row r="11810">
      <c r="B11810" s="309"/>
      <c r="C11810" s="309"/>
      <c r="I11810" s="309"/>
      <c r="J11810" s="309"/>
    </row>
    <row r="11811">
      <c r="B11811" s="309"/>
      <c r="C11811" s="309"/>
      <c r="I11811" s="309"/>
      <c r="J11811" s="309"/>
    </row>
    <row r="11812">
      <c r="B11812" s="309"/>
      <c r="C11812" s="309"/>
      <c r="I11812" s="309"/>
      <c r="J11812" s="309"/>
    </row>
    <row r="11813">
      <c r="B11813" s="309"/>
      <c r="C11813" s="309"/>
      <c r="I11813" s="309"/>
      <c r="J11813" s="309"/>
    </row>
    <row r="11814">
      <c r="B11814" s="309"/>
      <c r="C11814" s="309"/>
      <c r="I11814" s="309"/>
      <c r="J11814" s="309"/>
    </row>
    <row r="11815">
      <c r="B11815" s="309"/>
      <c r="C11815" s="309"/>
      <c r="I11815" s="309"/>
      <c r="J11815" s="309"/>
    </row>
    <row r="11816">
      <c r="B11816" s="309"/>
      <c r="C11816" s="309"/>
      <c r="I11816" s="309"/>
      <c r="J11816" s="309"/>
    </row>
    <row r="11817">
      <c r="B11817" s="309"/>
      <c r="C11817" s="309"/>
      <c r="I11817" s="309"/>
      <c r="J11817" s="309"/>
    </row>
    <row r="11818">
      <c r="B11818" s="309"/>
      <c r="C11818" s="309"/>
      <c r="I11818" s="309"/>
      <c r="J11818" s="309"/>
    </row>
    <row r="11819">
      <c r="B11819" s="309"/>
      <c r="C11819" s="309"/>
      <c r="I11819" s="309"/>
      <c r="J11819" s="309"/>
    </row>
    <row r="11820">
      <c r="B11820" s="309"/>
      <c r="C11820" s="309"/>
      <c r="I11820" s="309"/>
      <c r="J11820" s="309"/>
    </row>
    <row r="11821">
      <c r="B11821" s="309"/>
      <c r="C11821" s="309"/>
      <c r="I11821" s="309"/>
      <c r="J11821" s="309"/>
    </row>
    <row r="11822">
      <c r="B11822" s="309"/>
      <c r="C11822" s="309"/>
      <c r="I11822" s="309"/>
      <c r="J11822" s="309"/>
    </row>
    <row r="11823">
      <c r="B11823" s="309"/>
      <c r="C11823" s="309"/>
      <c r="I11823" s="309"/>
      <c r="J11823" s="309"/>
    </row>
    <row r="11824">
      <c r="B11824" s="309"/>
      <c r="C11824" s="309"/>
      <c r="I11824" s="309"/>
      <c r="J11824" s="309"/>
    </row>
    <row r="11825">
      <c r="B11825" s="309"/>
      <c r="C11825" s="309"/>
      <c r="I11825" s="309"/>
      <c r="J11825" s="309"/>
    </row>
    <row r="11826">
      <c r="B11826" s="309"/>
      <c r="C11826" s="309"/>
      <c r="I11826" s="309"/>
      <c r="J11826" s="309"/>
    </row>
    <row r="11827">
      <c r="B11827" s="309"/>
      <c r="C11827" s="309"/>
      <c r="I11827" s="309"/>
      <c r="J11827" s="309"/>
    </row>
    <row r="11828">
      <c r="B11828" s="309"/>
      <c r="C11828" s="309"/>
      <c r="I11828" s="309"/>
      <c r="J11828" s="309"/>
    </row>
    <row r="11829">
      <c r="B11829" s="309"/>
      <c r="C11829" s="309"/>
      <c r="I11829" s="309"/>
      <c r="J11829" s="309"/>
    </row>
    <row r="11830">
      <c r="B11830" s="309"/>
      <c r="C11830" s="309"/>
      <c r="I11830" s="309"/>
      <c r="J11830" s="309"/>
    </row>
    <row r="11831">
      <c r="B11831" s="309"/>
      <c r="C11831" s="309"/>
      <c r="I11831" s="309"/>
      <c r="J11831" s="309"/>
    </row>
    <row r="11832">
      <c r="B11832" s="309"/>
      <c r="C11832" s="309"/>
      <c r="I11832" s="309"/>
      <c r="J11832" s="309"/>
    </row>
    <row r="11833">
      <c r="B11833" s="309"/>
      <c r="C11833" s="309"/>
      <c r="I11833" s="309"/>
      <c r="J11833" s="309"/>
    </row>
    <row r="11834">
      <c r="B11834" s="309"/>
      <c r="C11834" s="309"/>
      <c r="I11834" s="309"/>
      <c r="J11834" s="309"/>
    </row>
    <row r="11835">
      <c r="B11835" s="309"/>
      <c r="C11835" s="309"/>
      <c r="I11835" s="309"/>
      <c r="J11835" s="309"/>
    </row>
    <row r="11836">
      <c r="B11836" s="309"/>
      <c r="C11836" s="309"/>
      <c r="I11836" s="309"/>
      <c r="J11836" s="309"/>
    </row>
    <row r="11837">
      <c r="B11837" s="309"/>
      <c r="C11837" s="309"/>
      <c r="I11837" s="309"/>
      <c r="J11837" s="309"/>
    </row>
    <row r="11838">
      <c r="B11838" s="309"/>
      <c r="C11838" s="309"/>
      <c r="I11838" s="309"/>
      <c r="J11838" s="309"/>
    </row>
    <row r="11839">
      <c r="B11839" s="309"/>
      <c r="C11839" s="309"/>
      <c r="I11839" s="309"/>
      <c r="J11839" s="309"/>
    </row>
    <row r="11840">
      <c r="B11840" s="309"/>
      <c r="C11840" s="309"/>
      <c r="I11840" s="309"/>
      <c r="J11840" s="309"/>
    </row>
    <row r="11841">
      <c r="B11841" s="309"/>
      <c r="C11841" s="309"/>
      <c r="I11841" s="309"/>
      <c r="J11841" s="309"/>
    </row>
    <row r="11842">
      <c r="B11842" s="309"/>
      <c r="C11842" s="309"/>
      <c r="I11842" s="309"/>
      <c r="J11842" s="309"/>
    </row>
    <row r="11843">
      <c r="B11843" s="309"/>
      <c r="C11843" s="309"/>
      <c r="I11843" s="309"/>
      <c r="J11843" s="309"/>
    </row>
    <row r="11844">
      <c r="B11844" s="309"/>
      <c r="C11844" s="309"/>
      <c r="I11844" s="309"/>
      <c r="J11844" s="309"/>
    </row>
    <row r="11845">
      <c r="B11845" s="309"/>
      <c r="C11845" s="309"/>
      <c r="I11845" s="309"/>
      <c r="J11845" s="309"/>
    </row>
    <row r="11846">
      <c r="B11846" s="309"/>
      <c r="C11846" s="309"/>
      <c r="I11846" s="309"/>
      <c r="J11846" s="309"/>
    </row>
    <row r="11847">
      <c r="B11847" s="309"/>
      <c r="C11847" s="309"/>
      <c r="I11847" s="309"/>
      <c r="J11847" s="309"/>
    </row>
    <row r="11848">
      <c r="B11848" s="309"/>
      <c r="C11848" s="309"/>
      <c r="I11848" s="309"/>
      <c r="J11848" s="309"/>
    </row>
    <row r="11849">
      <c r="B11849" s="309"/>
      <c r="C11849" s="309"/>
      <c r="I11849" s="309"/>
      <c r="J11849" s="309"/>
    </row>
    <row r="11850">
      <c r="B11850" s="309"/>
      <c r="C11850" s="309"/>
      <c r="I11850" s="309"/>
      <c r="J11850" s="309"/>
    </row>
    <row r="11851">
      <c r="B11851" s="309"/>
      <c r="C11851" s="309"/>
      <c r="I11851" s="309"/>
      <c r="J11851" s="309"/>
    </row>
    <row r="11852">
      <c r="B11852" s="309"/>
      <c r="C11852" s="309"/>
      <c r="I11852" s="309"/>
      <c r="J11852" s="309"/>
    </row>
    <row r="11853">
      <c r="B11853" s="309"/>
      <c r="C11853" s="309"/>
      <c r="I11853" s="309"/>
      <c r="J11853" s="309"/>
    </row>
    <row r="11854">
      <c r="B11854" s="309"/>
      <c r="C11854" s="309"/>
      <c r="I11854" s="309"/>
      <c r="J11854" s="309"/>
    </row>
    <row r="11855">
      <c r="B11855" s="309"/>
      <c r="C11855" s="309"/>
      <c r="I11855" s="309"/>
      <c r="J11855" s="309"/>
    </row>
    <row r="11856">
      <c r="B11856" s="309"/>
      <c r="C11856" s="309"/>
      <c r="I11856" s="309"/>
      <c r="J11856" s="309"/>
    </row>
    <row r="11857">
      <c r="B11857" s="309"/>
      <c r="C11857" s="309"/>
      <c r="I11857" s="309"/>
      <c r="J11857" s="309"/>
    </row>
    <row r="11858">
      <c r="B11858" s="309"/>
      <c r="C11858" s="309"/>
      <c r="I11858" s="309"/>
      <c r="J11858" s="309"/>
    </row>
    <row r="11859">
      <c r="B11859" s="309"/>
      <c r="C11859" s="309"/>
      <c r="I11859" s="309"/>
      <c r="J11859" s="309"/>
    </row>
    <row r="11860">
      <c r="B11860" s="309"/>
      <c r="C11860" s="309"/>
      <c r="I11860" s="309"/>
      <c r="J11860" s="309"/>
    </row>
    <row r="11861">
      <c r="B11861" s="309"/>
      <c r="C11861" s="309"/>
      <c r="I11861" s="309"/>
      <c r="J11861" s="309"/>
    </row>
    <row r="11862">
      <c r="B11862" s="309"/>
      <c r="C11862" s="309"/>
      <c r="I11862" s="309"/>
      <c r="J11862" s="309"/>
    </row>
    <row r="11863">
      <c r="B11863" s="309"/>
      <c r="C11863" s="309"/>
      <c r="I11863" s="309"/>
      <c r="J11863" s="309"/>
    </row>
    <row r="11864">
      <c r="B11864" s="309"/>
      <c r="C11864" s="309"/>
      <c r="I11864" s="309"/>
      <c r="J11864" s="309"/>
    </row>
    <row r="11865">
      <c r="B11865" s="309"/>
      <c r="C11865" s="309"/>
      <c r="I11865" s="309"/>
      <c r="J11865" s="309"/>
    </row>
    <row r="11866">
      <c r="B11866" s="309"/>
      <c r="C11866" s="309"/>
      <c r="I11866" s="309"/>
      <c r="J11866" s="309"/>
    </row>
    <row r="11867">
      <c r="B11867" s="309"/>
      <c r="C11867" s="309"/>
      <c r="I11867" s="309"/>
      <c r="J11867" s="309"/>
    </row>
    <row r="11868">
      <c r="B11868" s="309"/>
      <c r="C11868" s="309"/>
      <c r="I11868" s="309"/>
      <c r="J11868" s="309"/>
    </row>
    <row r="11869">
      <c r="B11869" s="309"/>
      <c r="C11869" s="309"/>
      <c r="I11869" s="309"/>
      <c r="J11869" s="309"/>
    </row>
    <row r="11870">
      <c r="B11870" s="309"/>
      <c r="C11870" s="309"/>
      <c r="I11870" s="309"/>
      <c r="J11870" s="309"/>
    </row>
    <row r="11871">
      <c r="B11871" s="309"/>
      <c r="C11871" s="309"/>
      <c r="I11871" s="309"/>
      <c r="J11871" s="309"/>
    </row>
    <row r="11872">
      <c r="B11872" s="309"/>
      <c r="C11872" s="309"/>
      <c r="I11872" s="309"/>
      <c r="J11872" s="309"/>
    </row>
    <row r="11873">
      <c r="B11873" s="309"/>
      <c r="C11873" s="309"/>
      <c r="I11873" s="309"/>
      <c r="J11873" s="309"/>
    </row>
    <row r="11874">
      <c r="B11874" s="309"/>
      <c r="C11874" s="309"/>
      <c r="I11874" s="309"/>
      <c r="J11874" s="309"/>
    </row>
    <row r="11875">
      <c r="B11875" s="309"/>
      <c r="C11875" s="309"/>
      <c r="I11875" s="309"/>
      <c r="J11875" s="309"/>
    </row>
    <row r="11876">
      <c r="B11876" s="309"/>
      <c r="C11876" s="309"/>
      <c r="I11876" s="309"/>
      <c r="J11876" s="309"/>
    </row>
    <row r="11877">
      <c r="B11877" s="309"/>
      <c r="C11877" s="309"/>
      <c r="I11877" s="309"/>
      <c r="J11877" s="309"/>
    </row>
    <row r="11878">
      <c r="B11878" s="309"/>
      <c r="C11878" s="309"/>
      <c r="I11878" s="309"/>
      <c r="J11878" s="309"/>
    </row>
    <row r="11879">
      <c r="B11879" s="309"/>
      <c r="C11879" s="309"/>
      <c r="I11879" s="309"/>
      <c r="J11879" s="309"/>
    </row>
    <row r="11880">
      <c r="B11880" s="309"/>
      <c r="C11880" s="309"/>
      <c r="I11880" s="309"/>
      <c r="J11880" s="309"/>
    </row>
    <row r="11881">
      <c r="B11881" s="309"/>
      <c r="C11881" s="309"/>
      <c r="I11881" s="309"/>
      <c r="J11881" s="309"/>
    </row>
    <row r="11882">
      <c r="B11882" s="309"/>
      <c r="C11882" s="309"/>
      <c r="I11882" s="309"/>
      <c r="J11882" s="309"/>
    </row>
    <row r="11883">
      <c r="B11883" s="309"/>
      <c r="C11883" s="309"/>
      <c r="I11883" s="309"/>
      <c r="J11883" s="309"/>
    </row>
    <row r="11884">
      <c r="B11884" s="309"/>
      <c r="C11884" s="309"/>
      <c r="I11884" s="309"/>
      <c r="J11884" s="309"/>
    </row>
    <row r="11885">
      <c r="B11885" s="309"/>
      <c r="C11885" s="309"/>
      <c r="I11885" s="309"/>
      <c r="J11885" s="309"/>
    </row>
    <row r="11886">
      <c r="B11886" s="309"/>
      <c r="C11886" s="309"/>
      <c r="I11886" s="309"/>
      <c r="J11886" s="309"/>
    </row>
    <row r="11887">
      <c r="B11887" s="309"/>
      <c r="C11887" s="309"/>
      <c r="I11887" s="309"/>
      <c r="J11887" s="309"/>
    </row>
    <row r="11888">
      <c r="B11888" s="309"/>
      <c r="C11888" s="309"/>
      <c r="I11888" s="309"/>
      <c r="J11888" s="309"/>
    </row>
    <row r="11889">
      <c r="B11889" s="309"/>
      <c r="C11889" s="309"/>
      <c r="I11889" s="309"/>
      <c r="J11889" s="309"/>
    </row>
    <row r="11890">
      <c r="B11890" s="309"/>
      <c r="C11890" s="309"/>
      <c r="I11890" s="309"/>
      <c r="J11890" s="309"/>
    </row>
    <row r="11891">
      <c r="B11891" s="309"/>
      <c r="C11891" s="309"/>
      <c r="I11891" s="309"/>
      <c r="J11891" s="309"/>
    </row>
    <row r="11892">
      <c r="B11892" s="309"/>
      <c r="C11892" s="309"/>
      <c r="I11892" s="309"/>
      <c r="J11892" s="309"/>
    </row>
    <row r="11893">
      <c r="B11893" s="309"/>
      <c r="C11893" s="309"/>
      <c r="I11893" s="309"/>
      <c r="J11893" s="309"/>
    </row>
    <row r="11894">
      <c r="B11894" s="309"/>
      <c r="C11894" s="309"/>
      <c r="I11894" s="309"/>
      <c r="J11894" s="309"/>
    </row>
    <row r="11895">
      <c r="B11895" s="309"/>
      <c r="C11895" s="309"/>
      <c r="I11895" s="309"/>
      <c r="J11895" s="309"/>
    </row>
    <row r="11896">
      <c r="B11896" s="309"/>
      <c r="C11896" s="309"/>
      <c r="I11896" s="309"/>
      <c r="J11896" s="309"/>
    </row>
    <row r="11897">
      <c r="B11897" s="309"/>
      <c r="C11897" s="309"/>
      <c r="I11897" s="309"/>
      <c r="J11897" s="309"/>
    </row>
    <row r="11898">
      <c r="B11898" s="309"/>
      <c r="C11898" s="309"/>
      <c r="I11898" s="309"/>
      <c r="J11898" s="309"/>
    </row>
    <row r="11899">
      <c r="B11899" s="309"/>
      <c r="C11899" s="309"/>
      <c r="I11899" s="309"/>
      <c r="J11899" s="309"/>
    </row>
    <row r="11900">
      <c r="B11900" s="309"/>
      <c r="C11900" s="309"/>
      <c r="I11900" s="309"/>
      <c r="J11900" s="309"/>
    </row>
    <row r="11901">
      <c r="B11901" s="309"/>
      <c r="C11901" s="309"/>
      <c r="I11901" s="309"/>
      <c r="J11901" s="309"/>
    </row>
    <row r="11902">
      <c r="B11902" s="309"/>
      <c r="C11902" s="309"/>
      <c r="I11902" s="309"/>
      <c r="J11902" s="309"/>
    </row>
    <row r="11903">
      <c r="B11903" s="309"/>
      <c r="C11903" s="309"/>
      <c r="I11903" s="309"/>
      <c r="J11903" s="309"/>
    </row>
    <row r="11904">
      <c r="B11904" s="309"/>
      <c r="C11904" s="309"/>
      <c r="I11904" s="309"/>
      <c r="J11904" s="309"/>
    </row>
    <row r="11905">
      <c r="B11905" s="309"/>
      <c r="C11905" s="309"/>
      <c r="I11905" s="309"/>
      <c r="J11905" s="309"/>
    </row>
    <row r="11906">
      <c r="B11906" s="309"/>
      <c r="C11906" s="309"/>
      <c r="I11906" s="309"/>
      <c r="J11906" s="309"/>
    </row>
    <row r="11907">
      <c r="B11907" s="309"/>
      <c r="C11907" s="309"/>
      <c r="I11907" s="309"/>
      <c r="J11907" s="309"/>
    </row>
    <row r="11908">
      <c r="B11908" s="309"/>
      <c r="C11908" s="309"/>
      <c r="I11908" s="309"/>
      <c r="J11908" s="309"/>
    </row>
    <row r="11909">
      <c r="B11909" s="309"/>
      <c r="C11909" s="309"/>
      <c r="I11909" s="309"/>
      <c r="J11909" s="309"/>
    </row>
    <row r="11910">
      <c r="B11910" s="309"/>
      <c r="C11910" s="309"/>
      <c r="I11910" s="309"/>
      <c r="J11910" s="309"/>
    </row>
    <row r="11911">
      <c r="B11911" s="309"/>
      <c r="C11911" s="309"/>
      <c r="I11911" s="309"/>
      <c r="J11911" s="309"/>
    </row>
    <row r="11912">
      <c r="B11912" s="309"/>
      <c r="C11912" s="309"/>
      <c r="I11912" s="309"/>
      <c r="J11912" s="309"/>
    </row>
    <row r="11913">
      <c r="B11913" s="309"/>
      <c r="C11913" s="309"/>
      <c r="I11913" s="309"/>
      <c r="J11913" s="309"/>
    </row>
    <row r="11914">
      <c r="B11914" s="309"/>
      <c r="C11914" s="309"/>
      <c r="I11914" s="309"/>
      <c r="J11914" s="309"/>
    </row>
    <row r="11915">
      <c r="B11915" s="309"/>
      <c r="C11915" s="309"/>
      <c r="I11915" s="309"/>
      <c r="J11915" s="309"/>
    </row>
    <row r="11916">
      <c r="B11916" s="309"/>
      <c r="C11916" s="309"/>
      <c r="I11916" s="309"/>
      <c r="J11916" s="309"/>
    </row>
    <row r="11917">
      <c r="B11917" s="309"/>
      <c r="C11917" s="309"/>
      <c r="I11917" s="309"/>
      <c r="J11917" s="309"/>
    </row>
    <row r="11918">
      <c r="B11918" s="309"/>
      <c r="C11918" s="309"/>
      <c r="I11918" s="309"/>
      <c r="J11918" s="309"/>
    </row>
    <row r="11919">
      <c r="B11919" s="309"/>
      <c r="C11919" s="309"/>
      <c r="I11919" s="309"/>
      <c r="J11919" s="309"/>
    </row>
    <row r="11920">
      <c r="B11920" s="309"/>
      <c r="C11920" s="309"/>
      <c r="I11920" s="309"/>
      <c r="J11920" s="309"/>
    </row>
    <row r="11921">
      <c r="B11921" s="309"/>
      <c r="C11921" s="309"/>
      <c r="I11921" s="309"/>
      <c r="J11921" s="309"/>
    </row>
    <row r="11922">
      <c r="B11922" s="309"/>
      <c r="C11922" s="309"/>
      <c r="I11922" s="309"/>
      <c r="J11922" s="309"/>
    </row>
    <row r="11923">
      <c r="B11923" s="309"/>
      <c r="C11923" s="309"/>
      <c r="I11923" s="309"/>
      <c r="J11923" s="309"/>
    </row>
    <row r="11924">
      <c r="B11924" s="309"/>
      <c r="C11924" s="309"/>
      <c r="I11924" s="309"/>
      <c r="J11924" s="309"/>
    </row>
    <row r="11925">
      <c r="B11925" s="309"/>
      <c r="C11925" s="309"/>
      <c r="I11925" s="309"/>
      <c r="J11925" s="309"/>
    </row>
    <row r="11926">
      <c r="B11926" s="309"/>
      <c r="C11926" s="309"/>
      <c r="I11926" s="309"/>
      <c r="J11926" s="309"/>
    </row>
    <row r="11927">
      <c r="B11927" s="309"/>
      <c r="C11927" s="309"/>
      <c r="I11927" s="309"/>
      <c r="J11927" s="309"/>
    </row>
    <row r="11928">
      <c r="B11928" s="309"/>
      <c r="C11928" s="309"/>
      <c r="I11928" s="309"/>
      <c r="J11928" s="309"/>
    </row>
    <row r="11929">
      <c r="B11929" s="309"/>
      <c r="C11929" s="309"/>
      <c r="I11929" s="309"/>
      <c r="J11929" s="309"/>
    </row>
    <row r="11930">
      <c r="B11930" s="309"/>
      <c r="C11930" s="309"/>
      <c r="I11930" s="309"/>
      <c r="J11930" s="309"/>
    </row>
    <row r="11931">
      <c r="B11931" s="309"/>
      <c r="C11931" s="309"/>
      <c r="I11931" s="309"/>
      <c r="J11931" s="309"/>
    </row>
    <row r="11932">
      <c r="B11932" s="309"/>
      <c r="C11932" s="309"/>
      <c r="I11932" s="309"/>
      <c r="J11932" s="309"/>
    </row>
    <row r="11933">
      <c r="B11933" s="309"/>
      <c r="C11933" s="309"/>
      <c r="I11933" s="309"/>
      <c r="J11933" s="309"/>
    </row>
    <row r="11934">
      <c r="B11934" s="309"/>
      <c r="C11934" s="309"/>
      <c r="I11934" s="309"/>
      <c r="J11934" s="309"/>
    </row>
    <row r="11935">
      <c r="B11935" s="309"/>
      <c r="C11935" s="309"/>
      <c r="I11935" s="309"/>
      <c r="J11935" s="309"/>
    </row>
    <row r="11936">
      <c r="B11936" s="309"/>
      <c r="C11936" s="309"/>
      <c r="I11936" s="309"/>
      <c r="J11936" s="309"/>
    </row>
    <row r="11937">
      <c r="B11937" s="309"/>
      <c r="C11937" s="309"/>
      <c r="I11937" s="309"/>
      <c r="J11937" s="309"/>
    </row>
    <row r="11938">
      <c r="B11938" s="309"/>
      <c r="C11938" s="309"/>
      <c r="I11938" s="309"/>
      <c r="J11938" s="309"/>
    </row>
    <row r="11939">
      <c r="B11939" s="309"/>
      <c r="C11939" s="309"/>
      <c r="I11939" s="309"/>
      <c r="J11939" s="309"/>
    </row>
    <row r="11940">
      <c r="B11940" s="309"/>
      <c r="C11940" s="309"/>
      <c r="I11940" s="309"/>
      <c r="J11940" s="309"/>
    </row>
    <row r="11941">
      <c r="B11941" s="309"/>
      <c r="C11941" s="309"/>
      <c r="I11941" s="309"/>
      <c r="J11941" s="309"/>
    </row>
    <row r="11942">
      <c r="B11942" s="309"/>
      <c r="C11942" s="309"/>
      <c r="I11942" s="309"/>
      <c r="J11942" s="309"/>
    </row>
    <row r="11943">
      <c r="B11943" s="309"/>
      <c r="C11943" s="309"/>
      <c r="I11943" s="309"/>
      <c r="J11943" s="309"/>
    </row>
    <row r="11944">
      <c r="B11944" s="309"/>
      <c r="C11944" s="309"/>
      <c r="I11944" s="309"/>
      <c r="J11944" s="309"/>
    </row>
    <row r="11945">
      <c r="B11945" s="309"/>
      <c r="C11945" s="309"/>
      <c r="I11945" s="309"/>
      <c r="J11945" s="309"/>
    </row>
    <row r="11946">
      <c r="B11946" s="309"/>
      <c r="C11946" s="309"/>
      <c r="I11946" s="309"/>
      <c r="J11946" s="309"/>
    </row>
    <row r="11947">
      <c r="B11947" s="309"/>
      <c r="C11947" s="309"/>
      <c r="I11947" s="309"/>
      <c r="J11947" s="309"/>
    </row>
    <row r="11948">
      <c r="B11948" s="309"/>
      <c r="C11948" s="309"/>
      <c r="I11948" s="309"/>
      <c r="J11948" s="309"/>
    </row>
    <row r="11949">
      <c r="B11949" s="309"/>
      <c r="C11949" s="309"/>
      <c r="I11949" s="309"/>
      <c r="J11949" s="309"/>
    </row>
    <row r="11950">
      <c r="B11950" s="309"/>
      <c r="C11950" s="309"/>
      <c r="I11950" s="309"/>
      <c r="J11950" s="309"/>
    </row>
    <row r="11951">
      <c r="B11951" s="309"/>
      <c r="C11951" s="309"/>
      <c r="I11951" s="309"/>
      <c r="J11951" s="309"/>
    </row>
    <row r="11952">
      <c r="B11952" s="309"/>
      <c r="C11952" s="309"/>
      <c r="I11952" s="309"/>
      <c r="J11952" s="309"/>
    </row>
    <row r="11953">
      <c r="B11953" s="309"/>
      <c r="C11953" s="309"/>
      <c r="I11953" s="309"/>
      <c r="J11953" s="309"/>
    </row>
    <row r="11954">
      <c r="B11954" s="309"/>
      <c r="C11954" s="309"/>
      <c r="I11954" s="309"/>
      <c r="J11954" s="309"/>
    </row>
    <row r="11955">
      <c r="B11955" s="309"/>
      <c r="C11955" s="309"/>
      <c r="I11955" s="309"/>
      <c r="J11955" s="309"/>
    </row>
    <row r="11956">
      <c r="B11956" s="309"/>
      <c r="C11956" s="309"/>
      <c r="I11956" s="309"/>
      <c r="J11956" s="309"/>
    </row>
    <row r="11957">
      <c r="B11957" s="309"/>
      <c r="C11957" s="309"/>
      <c r="I11957" s="309"/>
      <c r="J11957" s="309"/>
    </row>
    <row r="11958">
      <c r="B11958" s="309"/>
      <c r="C11958" s="309"/>
      <c r="I11958" s="309"/>
      <c r="J11958" s="309"/>
    </row>
    <row r="11959">
      <c r="B11959" s="309"/>
      <c r="C11959" s="309"/>
      <c r="I11959" s="309"/>
      <c r="J11959" s="309"/>
    </row>
    <row r="11960">
      <c r="B11960" s="309"/>
      <c r="C11960" s="309"/>
      <c r="I11960" s="309"/>
      <c r="J11960" s="309"/>
    </row>
    <row r="11961">
      <c r="B11961" s="309"/>
      <c r="C11961" s="309"/>
      <c r="I11961" s="309"/>
      <c r="J11961" s="309"/>
    </row>
    <row r="11962">
      <c r="B11962" s="309"/>
      <c r="C11962" s="309"/>
      <c r="I11962" s="309"/>
      <c r="J11962" s="309"/>
    </row>
    <row r="11963">
      <c r="B11963" s="309"/>
      <c r="C11963" s="309"/>
      <c r="I11963" s="309"/>
      <c r="J11963" s="309"/>
    </row>
    <row r="11964">
      <c r="B11964" s="309"/>
      <c r="C11964" s="309"/>
      <c r="I11964" s="309"/>
      <c r="J11964" s="309"/>
    </row>
    <row r="11965">
      <c r="B11965" s="309"/>
      <c r="C11965" s="309"/>
      <c r="I11965" s="309"/>
      <c r="J11965" s="309"/>
    </row>
    <row r="11966">
      <c r="B11966" s="309"/>
      <c r="C11966" s="309"/>
      <c r="I11966" s="309"/>
      <c r="J11966" s="309"/>
    </row>
    <row r="11967">
      <c r="B11967" s="309"/>
      <c r="C11967" s="309"/>
      <c r="I11967" s="309"/>
      <c r="J11967" s="309"/>
    </row>
    <row r="11968">
      <c r="B11968" s="309"/>
      <c r="C11968" s="309"/>
      <c r="I11968" s="309"/>
      <c r="J11968" s="309"/>
    </row>
    <row r="11969">
      <c r="B11969" s="309"/>
      <c r="C11969" s="309"/>
      <c r="I11969" s="309"/>
      <c r="J11969" s="309"/>
    </row>
    <row r="11970">
      <c r="B11970" s="309"/>
      <c r="C11970" s="309"/>
      <c r="I11970" s="309"/>
      <c r="J11970" s="309"/>
    </row>
    <row r="11971">
      <c r="B11971" s="309"/>
      <c r="C11971" s="309"/>
      <c r="I11971" s="309"/>
      <c r="J11971" s="309"/>
    </row>
    <row r="11972">
      <c r="B11972" s="309"/>
      <c r="C11972" s="309"/>
      <c r="I11972" s="309"/>
      <c r="J11972" s="309"/>
    </row>
    <row r="11973">
      <c r="B11973" s="309"/>
      <c r="C11973" s="309"/>
      <c r="I11973" s="309"/>
      <c r="J11973" s="309"/>
    </row>
    <row r="11974">
      <c r="B11974" s="309"/>
      <c r="C11974" s="309"/>
      <c r="I11974" s="309"/>
      <c r="J11974" s="309"/>
    </row>
    <row r="11975">
      <c r="B11975" s="309"/>
      <c r="C11975" s="309"/>
      <c r="I11975" s="309"/>
      <c r="J11975" s="309"/>
    </row>
    <row r="11976">
      <c r="B11976" s="309"/>
      <c r="C11976" s="309"/>
      <c r="I11976" s="309"/>
      <c r="J11976" s="309"/>
    </row>
    <row r="11977">
      <c r="B11977" s="309"/>
      <c r="C11977" s="309"/>
      <c r="I11977" s="309"/>
      <c r="J11977" s="309"/>
    </row>
    <row r="11978">
      <c r="B11978" s="309"/>
      <c r="C11978" s="309"/>
      <c r="I11978" s="309"/>
      <c r="J11978" s="309"/>
    </row>
    <row r="11979">
      <c r="B11979" s="309"/>
      <c r="C11979" s="309"/>
      <c r="I11979" s="309"/>
      <c r="J11979" s="309"/>
    </row>
    <row r="11980">
      <c r="B11980" s="309"/>
      <c r="C11980" s="309"/>
      <c r="I11980" s="309"/>
      <c r="J11980" s="309"/>
    </row>
    <row r="11981">
      <c r="B11981" s="309"/>
      <c r="C11981" s="309"/>
      <c r="I11981" s="309"/>
      <c r="J11981" s="309"/>
    </row>
    <row r="11982">
      <c r="B11982" s="309"/>
      <c r="C11982" s="309"/>
      <c r="I11982" s="309"/>
      <c r="J11982" s="309"/>
    </row>
    <row r="11983">
      <c r="B11983" s="309"/>
      <c r="C11983" s="309"/>
      <c r="I11983" s="309"/>
      <c r="J11983" s="309"/>
    </row>
    <row r="11984">
      <c r="B11984" s="309"/>
      <c r="C11984" s="309"/>
      <c r="I11984" s="309"/>
      <c r="J11984" s="309"/>
    </row>
    <row r="11985">
      <c r="B11985" s="309"/>
      <c r="C11985" s="309"/>
      <c r="I11985" s="309"/>
      <c r="J11985" s="309"/>
    </row>
    <row r="11986">
      <c r="B11986" s="309"/>
      <c r="C11986" s="309"/>
      <c r="I11986" s="309"/>
      <c r="J11986" s="309"/>
    </row>
    <row r="11987">
      <c r="B11987" s="309"/>
      <c r="C11987" s="309"/>
      <c r="I11987" s="309"/>
      <c r="J11987" s="309"/>
    </row>
    <row r="11988">
      <c r="B11988" s="309"/>
      <c r="C11988" s="309"/>
      <c r="I11988" s="309"/>
      <c r="J11988" s="309"/>
    </row>
    <row r="11989">
      <c r="B11989" s="309"/>
      <c r="C11989" s="309"/>
      <c r="I11989" s="309"/>
      <c r="J11989" s="309"/>
    </row>
    <row r="11990">
      <c r="B11990" s="309"/>
      <c r="C11990" s="309"/>
      <c r="I11990" s="309"/>
      <c r="J11990" s="309"/>
    </row>
    <row r="11991">
      <c r="B11991" s="309"/>
      <c r="C11991" s="309"/>
      <c r="I11991" s="309"/>
      <c r="J11991" s="309"/>
    </row>
    <row r="11992">
      <c r="B11992" s="309"/>
      <c r="C11992" s="309"/>
      <c r="I11992" s="309"/>
      <c r="J11992" s="309"/>
    </row>
    <row r="11993">
      <c r="B11993" s="309"/>
      <c r="C11993" s="309"/>
      <c r="I11993" s="309"/>
      <c r="J11993" s="309"/>
    </row>
    <row r="11994">
      <c r="B11994" s="309"/>
      <c r="C11994" s="309"/>
      <c r="I11994" s="309"/>
      <c r="J11994" s="309"/>
    </row>
    <row r="11995">
      <c r="B11995" s="309"/>
      <c r="C11995" s="309"/>
      <c r="I11995" s="309"/>
      <c r="J11995" s="309"/>
    </row>
    <row r="11996">
      <c r="B11996" s="309"/>
      <c r="C11996" s="309"/>
      <c r="I11996" s="309"/>
      <c r="J11996" s="309"/>
    </row>
    <row r="11997">
      <c r="B11997" s="309"/>
      <c r="C11997" s="309"/>
      <c r="I11997" s="309"/>
      <c r="J11997" s="309"/>
    </row>
    <row r="11998">
      <c r="B11998" s="309"/>
      <c r="C11998" s="309"/>
      <c r="I11998" s="309"/>
      <c r="J11998" s="309"/>
    </row>
    <row r="11999">
      <c r="B11999" s="309"/>
      <c r="C11999" s="309"/>
      <c r="I11999" s="309"/>
      <c r="J11999" s="309"/>
    </row>
    <row r="12000">
      <c r="B12000" s="309"/>
      <c r="C12000" s="309"/>
      <c r="I12000" s="309"/>
      <c r="J12000" s="309"/>
    </row>
    <row r="12001">
      <c r="B12001" s="309"/>
      <c r="C12001" s="309"/>
      <c r="I12001" s="309"/>
      <c r="J12001" s="309"/>
    </row>
    <row r="12002">
      <c r="B12002" s="309"/>
      <c r="C12002" s="309"/>
      <c r="I12002" s="309"/>
      <c r="J12002" s="309"/>
    </row>
    <row r="12003">
      <c r="B12003" s="309"/>
      <c r="C12003" s="309"/>
      <c r="I12003" s="309"/>
      <c r="J12003" s="309"/>
    </row>
    <row r="12004">
      <c r="B12004" s="309"/>
      <c r="C12004" s="309"/>
      <c r="I12004" s="309"/>
      <c r="J12004" s="309"/>
    </row>
    <row r="12005">
      <c r="B12005" s="309"/>
      <c r="C12005" s="309"/>
      <c r="I12005" s="309"/>
      <c r="J12005" s="309"/>
    </row>
    <row r="12006">
      <c r="B12006" s="309"/>
      <c r="C12006" s="309"/>
      <c r="I12006" s="309"/>
      <c r="J12006" s="309"/>
    </row>
    <row r="12007">
      <c r="B12007" s="309"/>
      <c r="C12007" s="309"/>
      <c r="I12007" s="309"/>
      <c r="J12007" s="309"/>
    </row>
    <row r="12008">
      <c r="B12008" s="309"/>
      <c r="C12008" s="309"/>
      <c r="I12008" s="309"/>
      <c r="J12008" s="309"/>
    </row>
    <row r="12009">
      <c r="B12009" s="309"/>
      <c r="C12009" s="309"/>
      <c r="I12009" s="309"/>
      <c r="J12009" s="309"/>
    </row>
    <row r="12010">
      <c r="B12010" s="309"/>
      <c r="C12010" s="309"/>
      <c r="I12010" s="309"/>
      <c r="J12010" s="309"/>
    </row>
    <row r="12011">
      <c r="B12011" s="309"/>
      <c r="C12011" s="309"/>
      <c r="I12011" s="309"/>
      <c r="J12011" s="309"/>
    </row>
    <row r="12012">
      <c r="B12012" s="309"/>
      <c r="C12012" s="309"/>
      <c r="I12012" s="309"/>
      <c r="J12012" s="309"/>
    </row>
    <row r="12013">
      <c r="B12013" s="309"/>
      <c r="C12013" s="309"/>
      <c r="I12013" s="309"/>
      <c r="J12013" s="309"/>
    </row>
    <row r="12014">
      <c r="B12014" s="309"/>
      <c r="C12014" s="309"/>
      <c r="I12014" s="309"/>
      <c r="J12014" s="309"/>
    </row>
    <row r="12015">
      <c r="B12015" s="309"/>
      <c r="C12015" s="309"/>
      <c r="I12015" s="309"/>
      <c r="J12015" s="309"/>
    </row>
    <row r="12016">
      <c r="B12016" s="309"/>
      <c r="C12016" s="309"/>
      <c r="I12016" s="309"/>
      <c r="J12016" s="309"/>
    </row>
    <row r="12017">
      <c r="B12017" s="309"/>
      <c r="C12017" s="309"/>
      <c r="I12017" s="309"/>
      <c r="J12017" s="309"/>
    </row>
    <row r="12018">
      <c r="B12018" s="309"/>
      <c r="C12018" s="309"/>
      <c r="I12018" s="309"/>
      <c r="J12018" s="309"/>
    </row>
    <row r="12019">
      <c r="B12019" s="309"/>
      <c r="C12019" s="309"/>
      <c r="I12019" s="309"/>
      <c r="J12019" s="309"/>
    </row>
    <row r="12020">
      <c r="B12020" s="309"/>
      <c r="C12020" s="309"/>
      <c r="I12020" s="309"/>
      <c r="J12020" s="309"/>
    </row>
    <row r="12021">
      <c r="B12021" s="309"/>
      <c r="C12021" s="309"/>
      <c r="I12021" s="309"/>
      <c r="J12021" s="309"/>
    </row>
    <row r="12022">
      <c r="B12022" s="309"/>
      <c r="C12022" s="309"/>
      <c r="I12022" s="309"/>
      <c r="J12022" s="309"/>
    </row>
    <row r="12023">
      <c r="B12023" s="309"/>
      <c r="C12023" s="309"/>
      <c r="I12023" s="309"/>
      <c r="J12023" s="309"/>
    </row>
    <row r="12024">
      <c r="B12024" s="309"/>
      <c r="C12024" s="309"/>
      <c r="I12024" s="309"/>
      <c r="J12024" s="309"/>
    </row>
    <row r="12025">
      <c r="B12025" s="309"/>
      <c r="C12025" s="309"/>
      <c r="I12025" s="309"/>
      <c r="J12025" s="309"/>
    </row>
    <row r="12026">
      <c r="B12026" s="309"/>
      <c r="C12026" s="309"/>
      <c r="I12026" s="309"/>
      <c r="J12026" s="309"/>
    </row>
    <row r="12027">
      <c r="B12027" s="309"/>
      <c r="C12027" s="309"/>
      <c r="I12027" s="309"/>
      <c r="J12027" s="309"/>
    </row>
    <row r="12028">
      <c r="B12028" s="309"/>
      <c r="C12028" s="309"/>
      <c r="I12028" s="309"/>
      <c r="J12028" s="309"/>
    </row>
    <row r="12029">
      <c r="B12029" s="309"/>
      <c r="C12029" s="309"/>
      <c r="I12029" s="309"/>
      <c r="J12029" s="309"/>
    </row>
    <row r="12030">
      <c r="B12030" s="309"/>
      <c r="C12030" s="309"/>
      <c r="I12030" s="309"/>
      <c r="J12030" s="309"/>
    </row>
    <row r="12031">
      <c r="B12031" s="309"/>
      <c r="C12031" s="309"/>
      <c r="I12031" s="309"/>
      <c r="J12031" s="309"/>
    </row>
    <row r="12032">
      <c r="B12032" s="309"/>
      <c r="C12032" s="309"/>
      <c r="I12032" s="309"/>
      <c r="J12032" s="309"/>
    </row>
    <row r="12033">
      <c r="B12033" s="309"/>
      <c r="C12033" s="309"/>
      <c r="I12033" s="309"/>
      <c r="J12033" s="309"/>
    </row>
    <row r="12034">
      <c r="B12034" s="309"/>
      <c r="C12034" s="309"/>
      <c r="I12034" s="309"/>
      <c r="J12034" s="309"/>
    </row>
    <row r="12035">
      <c r="B12035" s="309"/>
      <c r="C12035" s="309"/>
      <c r="I12035" s="309"/>
      <c r="J12035" s="309"/>
    </row>
    <row r="12036">
      <c r="B12036" s="309"/>
      <c r="C12036" s="309"/>
      <c r="I12036" s="309"/>
      <c r="J12036" s="309"/>
    </row>
    <row r="12037">
      <c r="B12037" s="309"/>
      <c r="C12037" s="309"/>
      <c r="I12037" s="309"/>
      <c r="J12037" s="309"/>
    </row>
    <row r="12038">
      <c r="B12038" s="309"/>
      <c r="C12038" s="309"/>
      <c r="I12038" s="309"/>
      <c r="J12038" s="309"/>
    </row>
    <row r="12039">
      <c r="B12039" s="309"/>
      <c r="C12039" s="309"/>
      <c r="I12039" s="309"/>
      <c r="J12039" s="309"/>
    </row>
    <row r="12040">
      <c r="B12040" s="309"/>
      <c r="C12040" s="309"/>
      <c r="I12040" s="309"/>
      <c r="J12040" s="309"/>
    </row>
    <row r="12041">
      <c r="B12041" s="309"/>
      <c r="C12041" s="309"/>
      <c r="I12041" s="309"/>
      <c r="J12041" s="309"/>
    </row>
    <row r="12042">
      <c r="B12042" s="309"/>
      <c r="C12042" s="309"/>
      <c r="I12042" s="309"/>
      <c r="J12042" s="309"/>
    </row>
    <row r="12043">
      <c r="B12043" s="309"/>
      <c r="C12043" s="309"/>
      <c r="I12043" s="309"/>
      <c r="J12043" s="309"/>
    </row>
    <row r="12044">
      <c r="B12044" s="309"/>
      <c r="C12044" s="309"/>
      <c r="I12044" s="309"/>
      <c r="J12044" s="309"/>
    </row>
    <row r="12045">
      <c r="B12045" s="309"/>
      <c r="C12045" s="309"/>
      <c r="I12045" s="309"/>
      <c r="J12045" s="309"/>
    </row>
    <row r="12046">
      <c r="B12046" s="309"/>
      <c r="C12046" s="309"/>
      <c r="I12046" s="309"/>
      <c r="J12046" s="309"/>
    </row>
    <row r="12047">
      <c r="B12047" s="309"/>
      <c r="C12047" s="309"/>
      <c r="I12047" s="309"/>
      <c r="J12047" s="309"/>
    </row>
    <row r="12048">
      <c r="B12048" s="309"/>
      <c r="C12048" s="309"/>
      <c r="I12048" s="309"/>
      <c r="J12048" s="309"/>
    </row>
    <row r="12049">
      <c r="B12049" s="309"/>
      <c r="C12049" s="309"/>
      <c r="I12049" s="309"/>
      <c r="J12049" s="309"/>
    </row>
    <row r="12050">
      <c r="B12050" s="309"/>
      <c r="C12050" s="309"/>
      <c r="I12050" s="309"/>
      <c r="J12050" s="309"/>
    </row>
    <row r="12051">
      <c r="B12051" s="309"/>
      <c r="C12051" s="309"/>
      <c r="I12051" s="309"/>
      <c r="J12051" s="309"/>
    </row>
    <row r="12052">
      <c r="B12052" s="309"/>
      <c r="C12052" s="309"/>
      <c r="I12052" s="309"/>
      <c r="J12052" s="309"/>
    </row>
    <row r="12053">
      <c r="B12053" s="309"/>
      <c r="C12053" s="309"/>
      <c r="I12053" s="309"/>
      <c r="J12053" s="309"/>
    </row>
    <row r="12054">
      <c r="B12054" s="309"/>
      <c r="C12054" s="309"/>
      <c r="I12054" s="309"/>
      <c r="J12054" s="309"/>
    </row>
    <row r="12055">
      <c r="B12055" s="309"/>
      <c r="C12055" s="309"/>
      <c r="I12055" s="309"/>
      <c r="J12055" s="309"/>
    </row>
    <row r="12056">
      <c r="B12056" s="309"/>
      <c r="C12056" s="309"/>
      <c r="I12056" s="309"/>
      <c r="J12056" s="309"/>
    </row>
    <row r="12057">
      <c r="B12057" s="309"/>
      <c r="C12057" s="309"/>
      <c r="I12057" s="309"/>
      <c r="J12057" s="309"/>
    </row>
    <row r="12058">
      <c r="B12058" s="309"/>
      <c r="C12058" s="309"/>
      <c r="I12058" s="309"/>
      <c r="J12058" s="309"/>
    </row>
    <row r="12059">
      <c r="B12059" s="309"/>
      <c r="C12059" s="309"/>
      <c r="I12059" s="309"/>
      <c r="J12059" s="309"/>
    </row>
    <row r="12060">
      <c r="B12060" s="309"/>
      <c r="C12060" s="309"/>
      <c r="I12060" s="309"/>
      <c r="J12060" s="309"/>
    </row>
    <row r="12061">
      <c r="B12061" s="309"/>
      <c r="C12061" s="309"/>
      <c r="I12061" s="309"/>
      <c r="J12061" s="309"/>
    </row>
    <row r="12062">
      <c r="B12062" s="309"/>
      <c r="C12062" s="309"/>
      <c r="I12062" s="309"/>
      <c r="J12062" s="309"/>
    </row>
    <row r="12063">
      <c r="B12063" s="309"/>
      <c r="C12063" s="309"/>
      <c r="I12063" s="309"/>
      <c r="J12063" s="309"/>
    </row>
    <row r="12064">
      <c r="B12064" s="309"/>
      <c r="C12064" s="309"/>
      <c r="I12064" s="309"/>
      <c r="J12064" s="309"/>
    </row>
    <row r="12065">
      <c r="B12065" s="309"/>
      <c r="C12065" s="309"/>
      <c r="I12065" s="309"/>
      <c r="J12065" s="309"/>
    </row>
    <row r="12066">
      <c r="B12066" s="309"/>
      <c r="C12066" s="309"/>
      <c r="I12066" s="309"/>
      <c r="J12066" s="309"/>
    </row>
    <row r="12067">
      <c r="B12067" s="309"/>
      <c r="C12067" s="309"/>
      <c r="I12067" s="309"/>
      <c r="J12067" s="309"/>
    </row>
    <row r="12068">
      <c r="B12068" s="309"/>
      <c r="C12068" s="309"/>
      <c r="I12068" s="309"/>
      <c r="J12068" s="309"/>
    </row>
    <row r="12069">
      <c r="B12069" s="309"/>
      <c r="C12069" s="309"/>
      <c r="I12069" s="309"/>
      <c r="J12069" s="309"/>
    </row>
    <row r="12070">
      <c r="B12070" s="309"/>
      <c r="C12070" s="309"/>
      <c r="I12070" s="309"/>
      <c r="J12070" s="309"/>
    </row>
    <row r="12071">
      <c r="B12071" s="309"/>
      <c r="C12071" s="309"/>
      <c r="I12071" s="309"/>
      <c r="J12071" s="309"/>
    </row>
    <row r="12072">
      <c r="B12072" s="309"/>
      <c r="C12072" s="309"/>
      <c r="I12072" s="309"/>
      <c r="J12072" s="309"/>
    </row>
    <row r="12073">
      <c r="B12073" s="309"/>
      <c r="C12073" s="309"/>
      <c r="I12073" s="309"/>
      <c r="J12073" s="309"/>
    </row>
    <row r="12074">
      <c r="B12074" s="309"/>
      <c r="C12074" s="309"/>
      <c r="I12074" s="309"/>
      <c r="J12074" s="309"/>
    </row>
    <row r="12075">
      <c r="B12075" s="309"/>
      <c r="C12075" s="309"/>
      <c r="I12075" s="309"/>
      <c r="J12075" s="309"/>
    </row>
    <row r="12076">
      <c r="B12076" s="309"/>
      <c r="C12076" s="309"/>
      <c r="I12076" s="309"/>
      <c r="J12076" s="309"/>
    </row>
    <row r="12077">
      <c r="B12077" s="309"/>
      <c r="C12077" s="309"/>
      <c r="I12077" s="309"/>
      <c r="J12077" s="309"/>
    </row>
    <row r="12078">
      <c r="B12078" s="309"/>
      <c r="C12078" s="309"/>
      <c r="I12078" s="309"/>
      <c r="J12078" s="309"/>
    </row>
    <row r="12079">
      <c r="B12079" s="309"/>
      <c r="C12079" s="309"/>
      <c r="I12079" s="309"/>
      <c r="J12079" s="309"/>
    </row>
    <row r="12080">
      <c r="B12080" s="309"/>
      <c r="C12080" s="309"/>
      <c r="I12080" s="309"/>
      <c r="J12080" s="309"/>
    </row>
    <row r="12081">
      <c r="B12081" s="309"/>
      <c r="C12081" s="309"/>
      <c r="I12081" s="309"/>
      <c r="J12081" s="309"/>
    </row>
    <row r="12082">
      <c r="B12082" s="309"/>
      <c r="C12082" s="309"/>
      <c r="I12082" s="309"/>
      <c r="J12082" s="309"/>
    </row>
    <row r="12083">
      <c r="B12083" s="309"/>
      <c r="C12083" s="309"/>
      <c r="I12083" s="309"/>
      <c r="J12083" s="309"/>
    </row>
    <row r="12084">
      <c r="B12084" s="309"/>
      <c r="C12084" s="309"/>
      <c r="I12084" s="309"/>
      <c r="J12084" s="309"/>
    </row>
    <row r="12085">
      <c r="B12085" s="309"/>
      <c r="C12085" s="309"/>
      <c r="I12085" s="309"/>
      <c r="J12085" s="309"/>
    </row>
    <row r="12086">
      <c r="B12086" s="309"/>
      <c r="C12086" s="309"/>
      <c r="I12086" s="309"/>
      <c r="J12086" s="309"/>
    </row>
    <row r="12087">
      <c r="B12087" s="309"/>
      <c r="C12087" s="309"/>
      <c r="I12087" s="309"/>
      <c r="J12087" s="309"/>
    </row>
    <row r="12088">
      <c r="B12088" s="309"/>
      <c r="C12088" s="309"/>
      <c r="I12088" s="309"/>
      <c r="J12088" s="309"/>
    </row>
    <row r="12089">
      <c r="B12089" s="309"/>
      <c r="C12089" s="309"/>
      <c r="I12089" s="309"/>
      <c r="J12089" s="309"/>
    </row>
    <row r="12090">
      <c r="B12090" s="309"/>
      <c r="C12090" s="309"/>
      <c r="I12090" s="309"/>
      <c r="J12090" s="309"/>
    </row>
    <row r="12091">
      <c r="B12091" s="309"/>
      <c r="C12091" s="309"/>
      <c r="I12091" s="309"/>
      <c r="J12091" s="309"/>
    </row>
    <row r="12092">
      <c r="B12092" s="309"/>
      <c r="C12092" s="309"/>
      <c r="I12092" s="309"/>
      <c r="J12092" s="309"/>
    </row>
    <row r="12093">
      <c r="B12093" s="309"/>
      <c r="C12093" s="309"/>
      <c r="I12093" s="309"/>
      <c r="J12093" s="309"/>
    </row>
    <row r="12094">
      <c r="B12094" s="309"/>
      <c r="C12094" s="309"/>
      <c r="I12094" s="309"/>
      <c r="J12094" s="309"/>
    </row>
    <row r="12095">
      <c r="B12095" s="309"/>
      <c r="C12095" s="309"/>
      <c r="I12095" s="309"/>
      <c r="J12095" s="309"/>
    </row>
    <row r="12096">
      <c r="B12096" s="309"/>
      <c r="C12096" s="309"/>
      <c r="I12096" s="309"/>
      <c r="J12096" s="309"/>
    </row>
    <row r="12097">
      <c r="B12097" s="309"/>
      <c r="C12097" s="309"/>
      <c r="I12097" s="309"/>
      <c r="J12097" s="309"/>
    </row>
    <row r="12098">
      <c r="B12098" s="309"/>
      <c r="C12098" s="309"/>
      <c r="I12098" s="309"/>
      <c r="J12098" s="309"/>
    </row>
    <row r="12099">
      <c r="B12099" s="309"/>
      <c r="C12099" s="309"/>
      <c r="I12099" s="309"/>
      <c r="J12099" s="309"/>
    </row>
    <row r="12100">
      <c r="B12100" s="309"/>
      <c r="C12100" s="309"/>
      <c r="I12100" s="309"/>
      <c r="J12100" s="309"/>
    </row>
    <row r="12101">
      <c r="B12101" s="309"/>
      <c r="C12101" s="309"/>
      <c r="I12101" s="309"/>
      <c r="J12101" s="309"/>
    </row>
    <row r="12102">
      <c r="B12102" s="309"/>
      <c r="C12102" s="309"/>
      <c r="I12102" s="309"/>
      <c r="J12102" s="309"/>
    </row>
    <row r="12103">
      <c r="B12103" s="309"/>
      <c r="C12103" s="309"/>
      <c r="I12103" s="309"/>
      <c r="J12103" s="309"/>
    </row>
    <row r="12104">
      <c r="B12104" s="309"/>
      <c r="C12104" s="309"/>
      <c r="I12104" s="309"/>
      <c r="J12104" s="309"/>
    </row>
    <row r="12105">
      <c r="B12105" s="309"/>
      <c r="C12105" s="309"/>
      <c r="I12105" s="309"/>
      <c r="J12105" s="309"/>
    </row>
    <row r="12106">
      <c r="B12106" s="309"/>
      <c r="C12106" s="309"/>
      <c r="I12106" s="309"/>
      <c r="J12106" s="309"/>
    </row>
    <row r="12107">
      <c r="B12107" s="309"/>
      <c r="C12107" s="309"/>
      <c r="I12107" s="309"/>
      <c r="J12107" s="309"/>
    </row>
    <row r="12108">
      <c r="B12108" s="309"/>
      <c r="C12108" s="309"/>
      <c r="I12108" s="309"/>
      <c r="J12108" s="309"/>
    </row>
    <row r="12109">
      <c r="B12109" s="309"/>
      <c r="C12109" s="309"/>
      <c r="I12109" s="309"/>
      <c r="J12109" s="309"/>
    </row>
    <row r="12110">
      <c r="B12110" s="309"/>
      <c r="C12110" s="309"/>
      <c r="I12110" s="309"/>
      <c r="J12110" s="309"/>
    </row>
    <row r="12111">
      <c r="B12111" s="309"/>
      <c r="C12111" s="309"/>
      <c r="I12111" s="309"/>
      <c r="J12111" s="309"/>
    </row>
    <row r="12112">
      <c r="B12112" s="309"/>
      <c r="C12112" s="309"/>
      <c r="I12112" s="309"/>
      <c r="J12112" s="309"/>
    </row>
    <row r="12113">
      <c r="B12113" s="309"/>
      <c r="C12113" s="309"/>
      <c r="I12113" s="309"/>
      <c r="J12113" s="309"/>
    </row>
    <row r="12114">
      <c r="B12114" s="309"/>
      <c r="C12114" s="309"/>
      <c r="I12114" s="309"/>
      <c r="J12114" s="309"/>
    </row>
    <row r="12115">
      <c r="B12115" s="309"/>
      <c r="C12115" s="309"/>
      <c r="I12115" s="309"/>
      <c r="J12115" s="309"/>
    </row>
    <row r="12116">
      <c r="B12116" s="309"/>
      <c r="C12116" s="309"/>
      <c r="I12116" s="309"/>
      <c r="J12116" s="309"/>
    </row>
    <row r="12117">
      <c r="B12117" s="309"/>
      <c r="C12117" s="309"/>
      <c r="I12117" s="309"/>
      <c r="J12117" s="309"/>
    </row>
    <row r="12118">
      <c r="B12118" s="309"/>
      <c r="C12118" s="309"/>
      <c r="I12118" s="309"/>
      <c r="J12118" s="309"/>
    </row>
    <row r="12119">
      <c r="B12119" s="309"/>
      <c r="C12119" s="309"/>
      <c r="I12119" s="309"/>
      <c r="J12119" s="309"/>
    </row>
    <row r="12120">
      <c r="B12120" s="309"/>
      <c r="C12120" s="309"/>
      <c r="I12120" s="309"/>
      <c r="J12120" s="309"/>
    </row>
    <row r="12121">
      <c r="B12121" s="309"/>
      <c r="C12121" s="309"/>
      <c r="I12121" s="309"/>
      <c r="J12121" s="309"/>
    </row>
    <row r="12122">
      <c r="B12122" s="309"/>
      <c r="C12122" s="309"/>
      <c r="I12122" s="309"/>
      <c r="J12122" s="309"/>
    </row>
    <row r="12123">
      <c r="B12123" s="309"/>
      <c r="C12123" s="309"/>
      <c r="I12123" s="309"/>
      <c r="J12123" s="309"/>
    </row>
    <row r="12124">
      <c r="B12124" s="309"/>
      <c r="C12124" s="309"/>
      <c r="I12124" s="309"/>
      <c r="J12124" s="309"/>
    </row>
    <row r="12125">
      <c r="B12125" s="309"/>
      <c r="C12125" s="309"/>
      <c r="I12125" s="309"/>
      <c r="J12125" s="309"/>
    </row>
    <row r="12126">
      <c r="B12126" s="309"/>
      <c r="C12126" s="309"/>
      <c r="I12126" s="309"/>
      <c r="J12126" s="309"/>
    </row>
    <row r="12127">
      <c r="B12127" s="309"/>
      <c r="C12127" s="309"/>
      <c r="I12127" s="309"/>
      <c r="J12127" s="309"/>
    </row>
    <row r="12128">
      <c r="B12128" s="309"/>
      <c r="C12128" s="309"/>
      <c r="I12128" s="309"/>
      <c r="J12128" s="309"/>
    </row>
    <row r="12129">
      <c r="B12129" s="309"/>
      <c r="C12129" s="309"/>
      <c r="I12129" s="309"/>
      <c r="J12129" s="309"/>
    </row>
    <row r="12130">
      <c r="B12130" s="309"/>
      <c r="C12130" s="309"/>
      <c r="I12130" s="309"/>
      <c r="J12130" s="309"/>
    </row>
    <row r="12131">
      <c r="B12131" s="309"/>
      <c r="C12131" s="309"/>
      <c r="I12131" s="309"/>
      <c r="J12131" s="309"/>
    </row>
    <row r="12132">
      <c r="B12132" s="309"/>
      <c r="C12132" s="309"/>
      <c r="I12132" s="309"/>
      <c r="J12132" s="309"/>
    </row>
    <row r="12133">
      <c r="B12133" s="309"/>
      <c r="C12133" s="309"/>
      <c r="I12133" s="309"/>
      <c r="J12133" s="309"/>
    </row>
    <row r="12134">
      <c r="B12134" s="309"/>
      <c r="C12134" s="309"/>
      <c r="I12134" s="309"/>
      <c r="J12134" s="309"/>
    </row>
    <row r="12135">
      <c r="B12135" s="309"/>
      <c r="C12135" s="309"/>
      <c r="I12135" s="309"/>
      <c r="J12135" s="309"/>
    </row>
    <row r="12136">
      <c r="B12136" s="309"/>
      <c r="C12136" s="309"/>
      <c r="I12136" s="309"/>
      <c r="J12136" s="309"/>
    </row>
    <row r="12137">
      <c r="B12137" s="309"/>
      <c r="C12137" s="309"/>
      <c r="I12137" s="309"/>
      <c r="J12137" s="309"/>
    </row>
    <row r="12138">
      <c r="B12138" s="309"/>
      <c r="C12138" s="309"/>
      <c r="I12138" s="309"/>
      <c r="J12138" s="309"/>
    </row>
    <row r="12139">
      <c r="B12139" s="309"/>
      <c r="C12139" s="309"/>
      <c r="I12139" s="309"/>
      <c r="J12139" s="309"/>
    </row>
    <row r="12140">
      <c r="B12140" s="309"/>
      <c r="C12140" s="309"/>
      <c r="I12140" s="309"/>
      <c r="J12140" s="309"/>
    </row>
    <row r="12141">
      <c r="B12141" s="309"/>
      <c r="C12141" s="309"/>
      <c r="I12141" s="309"/>
      <c r="J12141" s="309"/>
    </row>
    <row r="12142">
      <c r="B12142" s="309"/>
      <c r="C12142" s="309"/>
      <c r="I12142" s="309"/>
      <c r="J12142" s="309"/>
    </row>
    <row r="12143">
      <c r="B12143" s="309"/>
      <c r="C12143" s="309"/>
      <c r="I12143" s="309"/>
      <c r="J12143" s="309"/>
    </row>
    <row r="12144">
      <c r="B12144" s="309"/>
      <c r="C12144" s="309"/>
      <c r="I12144" s="309"/>
      <c r="J12144" s="309"/>
    </row>
    <row r="12145">
      <c r="B12145" s="309"/>
      <c r="C12145" s="309"/>
      <c r="I12145" s="309"/>
      <c r="J12145" s="309"/>
    </row>
    <row r="12146">
      <c r="B12146" s="309"/>
      <c r="C12146" s="309"/>
      <c r="I12146" s="309"/>
      <c r="J12146" s="309"/>
    </row>
    <row r="12147">
      <c r="B12147" s="309"/>
      <c r="C12147" s="309"/>
      <c r="I12147" s="309"/>
      <c r="J12147" s="309"/>
    </row>
    <row r="12148">
      <c r="B12148" s="309"/>
      <c r="C12148" s="309"/>
      <c r="I12148" s="309"/>
      <c r="J12148" s="309"/>
    </row>
    <row r="12149">
      <c r="B12149" s="309"/>
      <c r="C12149" s="309"/>
      <c r="I12149" s="309"/>
      <c r="J12149" s="309"/>
    </row>
    <row r="12150">
      <c r="B12150" s="309"/>
      <c r="C12150" s="309"/>
      <c r="I12150" s="309"/>
      <c r="J12150" s="309"/>
    </row>
    <row r="12151">
      <c r="B12151" s="309"/>
      <c r="C12151" s="309"/>
      <c r="I12151" s="309"/>
      <c r="J12151" s="309"/>
    </row>
    <row r="12152">
      <c r="B12152" s="309"/>
      <c r="C12152" s="309"/>
      <c r="I12152" s="309"/>
      <c r="J12152" s="309"/>
    </row>
    <row r="12153">
      <c r="B12153" s="309"/>
      <c r="C12153" s="309"/>
      <c r="I12153" s="309"/>
      <c r="J12153" s="309"/>
    </row>
    <row r="12154">
      <c r="B12154" s="309"/>
      <c r="C12154" s="309"/>
      <c r="I12154" s="309"/>
      <c r="J12154" s="309"/>
    </row>
    <row r="12155">
      <c r="B12155" s="309"/>
      <c r="C12155" s="309"/>
      <c r="I12155" s="309"/>
      <c r="J12155" s="309"/>
    </row>
    <row r="12156">
      <c r="B12156" s="309"/>
      <c r="C12156" s="309"/>
      <c r="I12156" s="309"/>
      <c r="J12156" s="309"/>
    </row>
    <row r="12157">
      <c r="B12157" s="309"/>
      <c r="C12157" s="309"/>
      <c r="I12157" s="309"/>
      <c r="J12157" s="309"/>
    </row>
    <row r="12158">
      <c r="B12158" s="309"/>
      <c r="C12158" s="309"/>
      <c r="I12158" s="309"/>
      <c r="J12158" s="309"/>
    </row>
    <row r="12159">
      <c r="B12159" s="309"/>
      <c r="C12159" s="309"/>
      <c r="I12159" s="309"/>
      <c r="J12159" s="309"/>
    </row>
    <row r="12160">
      <c r="B12160" s="309"/>
      <c r="C12160" s="309"/>
      <c r="I12160" s="309"/>
      <c r="J12160" s="309"/>
    </row>
    <row r="12161">
      <c r="B12161" s="309"/>
      <c r="C12161" s="309"/>
      <c r="I12161" s="309"/>
      <c r="J12161" s="309"/>
    </row>
    <row r="12162">
      <c r="B12162" s="309"/>
      <c r="C12162" s="309"/>
      <c r="I12162" s="309"/>
      <c r="J12162" s="309"/>
    </row>
    <row r="12163">
      <c r="B12163" s="309"/>
      <c r="C12163" s="309"/>
      <c r="I12163" s="309"/>
      <c r="J12163" s="309"/>
    </row>
    <row r="12164">
      <c r="B12164" s="309"/>
      <c r="C12164" s="309"/>
      <c r="I12164" s="309"/>
      <c r="J12164" s="309"/>
    </row>
    <row r="12165">
      <c r="B12165" s="309"/>
      <c r="C12165" s="309"/>
      <c r="I12165" s="309"/>
      <c r="J12165" s="309"/>
    </row>
    <row r="12166">
      <c r="B12166" s="309"/>
      <c r="C12166" s="309"/>
      <c r="I12166" s="309"/>
      <c r="J12166" s="309"/>
    </row>
    <row r="12167">
      <c r="B12167" s="309"/>
      <c r="C12167" s="309"/>
      <c r="I12167" s="309"/>
      <c r="J12167" s="309"/>
    </row>
    <row r="12168">
      <c r="B12168" s="309"/>
      <c r="C12168" s="309"/>
      <c r="I12168" s="309"/>
      <c r="J12168" s="309"/>
    </row>
    <row r="12169">
      <c r="B12169" s="309"/>
      <c r="C12169" s="309"/>
      <c r="I12169" s="309"/>
      <c r="J12169" s="309"/>
    </row>
    <row r="12170">
      <c r="B12170" s="309"/>
      <c r="C12170" s="309"/>
      <c r="I12170" s="309"/>
      <c r="J12170" s="309"/>
    </row>
    <row r="12171">
      <c r="B12171" s="309"/>
      <c r="C12171" s="309"/>
      <c r="I12171" s="309"/>
      <c r="J12171" s="309"/>
    </row>
    <row r="12172">
      <c r="B12172" s="309"/>
      <c r="C12172" s="309"/>
      <c r="I12172" s="309"/>
      <c r="J12172" s="309"/>
    </row>
    <row r="12173">
      <c r="B12173" s="309"/>
      <c r="C12173" s="309"/>
      <c r="I12173" s="309"/>
      <c r="J12173" s="309"/>
    </row>
    <row r="12174">
      <c r="B12174" s="309"/>
      <c r="C12174" s="309"/>
      <c r="I12174" s="309"/>
      <c r="J12174" s="309"/>
    </row>
    <row r="12175">
      <c r="B12175" s="309"/>
      <c r="C12175" s="309"/>
      <c r="I12175" s="309"/>
      <c r="J12175" s="309"/>
    </row>
    <row r="12176">
      <c r="B12176" s="309"/>
      <c r="C12176" s="309"/>
      <c r="I12176" s="309"/>
      <c r="J12176" s="309"/>
    </row>
    <row r="12177">
      <c r="B12177" s="309"/>
      <c r="C12177" s="309"/>
      <c r="I12177" s="309"/>
      <c r="J12177" s="309"/>
    </row>
    <row r="12178">
      <c r="B12178" s="309"/>
      <c r="C12178" s="309"/>
      <c r="I12178" s="309"/>
      <c r="J12178" s="309"/>
    </row>
    <row r="12179">
      <c r="B12179" s="309"/>
      <c r="C12179" s="309"/>
      <c r="I12179" s="309"/>
      <c r="J12179" s="309"/>
    </row>
    <row r="12180">
      <c r="B12180" s="309"/>
      <c r="C12180" s="309"/>
      <c r="I12180" s="309"/>
      <c r="J12180" s="309"/>
    </row>
    <row r="12181">
      <c r="B12181" s="309"/>
      <c r="C12181" s="309"/>
      <c r="I12181" s="309"/>
      <c r="J12181" s="309"/>
    </row>
    <row r="12182">
      <c r="B12182" s="309"/>
      <c r="C12182" s="309"/>
      <c r="I12182" s="309"/>
      <c r="J12182" s="309"/>
    </row>
    <row r="12183">
      <c r="B12183" s="309"/>
      <c r="C12183" s="309"/>
      <c r="I12183" s="309"/>
      <c r="J12183" s="309"/>
    </row>
    <row r="12184">
      <c r="B12184" s="309"/>
      <c r="C12184" s="309"/>
      <c r="I12184" s="309"/>
      <c r="J12184" s="309"/>
    </row>
    <row r="12185">
      <c r="B12185" s="309"/>
      <c r="C12185" s="309"/>
      <c r="I12185" s="309"/>
      <c r="J12185" s="309"/>
    </row>
    <row r="12186">
      <c r="B12186" s="309"/>
      <c r="C12186" s="309"/>
      <c r="I12186" s="309"/>
      <c r="J12186" s="309"/>
    </row>
    <row r="12187">
      <c r="B12187" s="309"/>
      <c r="C12187" s="309"/>
      <c r="I12187" s="309"/>
      <c r="J12187" s="309"/>
    </row>
    <row r="12188">
      <c r="B12188" s="309"/>
      <c r="C12188" s="309"/>
      <c r="I12188" s="309"/>
      <c r="J12188" s="309"/>
    </row>
    <row r="12189">
      <c r="B12189" s="309"/>
      <c r="C12189" s="309"/>
      <c r="I12189" s="309"/>
      <c r="J12189" s="309"/>
    </row>
    <row r="12190">
      <c r="B12190" s="309"/>
      <c r="C12190" s="309"/>
      <c r="I12190" s="309"/>
      <c r="J12190" s="309"/>
    </row>
    <row r="12191">
      <c r="B12191" s="309"/>
      <c r="C12191" s="309"/>
      <c r="I12191" s="309"/>
      <c r="J12191" s="309"/>
    </row>
    <row r="12192">
      <c r="B12192" s="309"/>
      <c r="C12192" s="309"/>
      <c r="I12192" s="309"/>
      <c r="J12192" s="309"/>
    </row>
    <row r="12193">
      <c r="B12193" s="309"/>
      <c r="C12193" s="309"/>
      <c r="I12193" s="309"/>
      <c r="J12193" s="309"/>
    </row>
    <row r="12194">
      <c r="B12194" s="309"/>
      <c r="C12194" s="309"/>
      <c r="I12194" s="309"/>
      <c r="J12194" s="309"/>
    </row>
    <row r="12195">
      <c r="B12195" s="309"/>
      <c r="C12195" s="309"/>
      <c r="I12195" s="309"/>
      <c r="J12195" s="309"/>
    </row>
    <row r="12196">
      <c r="B12196" s="309"/>
      <c r="C12196" s="309"/>
      <c r="I12196" s="309"/>
      <c r="J12196" s="309"/>
    </row>
    <row r="12197">
      <c r="B12197" s="309"/>
      <c r="C12197" s="309"/>
      <c r="I12197" s="309"/>
      <c r="J12197" s="309"/>
    </row>
    <row r="12198">
      <c r="B12198" s="309"/>
      <c r="C12198" s="309"/>
      <c r="I12198" s="309"/>
      <c r="J12198" s="309"/>
    </row>
    <row r="12199">
      <c r="B12199" s="309"/>
      <c r="C12199" s="309"/>
      <c r="I12199" s="309"/>
      <c r="J12199" s="309"/>
    </row>
    <row r="12200">
      <c r="B12200" s="309"/>
      <c r="C12200" s="309"/>
      <c r="I12200" s="309"/>
      <c r="J12200" s="309"/>
    </row>
    <row r="12201">
      <c r="B12201" s="309"/>
      <c r="C12201" s="309"/>
      <c r="I12201" s="309"/>
      <c r="J12201" s="309"/>
    </row>
    <row r="12202">
      <c r="B12202" s="309"/>
      <c r="C12202" s="309"/>
      <c r="I12202" s="309"/>
      <c r="J12202" s="309"/>
    </row>
    <row r="12203">
      <c r="B12203" s="309"/>
      <c r="C12203" s="309"/>
      <c r="I12203" s="309"/>
      <c r="J12203" s="309"/>
    </row>
    <row r="12204">
      <c r="B12204" s="309"/>
      <c r="C12204" s="309"/>
      <c r="I12204" s="309"/>
      <c r="J12204" s="309"/>
    </row>
    <row r="12205">
      <c r="B12205" s="309"/>
      <c r="C12205" s="309"/>
      <c r="I12205" s="309"/>
      <c r="J12205" s="309"/>
    </row>
    <row r="12206">
      <c r="B12206" s="309"/>
      <c r="C12206" s="309"/>
      <c r="I12206" s="309"/>
      <c r="J12206" s="309"/>
    </row>
    <row r="12207">
      <c r="B12207" s="309"/>
      <c r="C12207" s="309"/>
      <c r="I12207" s="309"/>
      <c r="J12207" s="309"/>
    </row>
    <row r="12208">
      <c r="B12208" s="309"/>
      <c r="C12208" s="309"/>
      <c r="I12208" s="309"/>
      <c r="J12208" s="309"/>
    </row>
    <row r="12209">
      <c r="B12209" s="309"/>
      <c r="C12209" s="309"/>
      <c r="I12209" s="309"/>
      <c r="J12209" s="309"/>
    </row>
    <row r="12210">
      <c r="B12210" s="309"/>
      <c r="C12210" s="309"/>
      <c r="I12210" s="309"/>
      <c r="J12210" s="309"/>
    </row>
    <row r="12211">
      <c r="B12211" s="309"/>
      <c r="C12211" s="309"/>
      <c r="I12211" s="309"/>
      <c r="J12211" s="309"/>
    </row>
    <row r="12212">
      <c r="B12212" s="309"/>
      <c r="C12212" s="309"/>
      <c r="I12212" s="309"/>
      <c r="J12212" s="309"/>
    </row>
    <row r="12213">
      <c r="B12213" s="309"/>
      <c r="C12213" s="309"/>
      <c r="I12213" s="309"/>
      <c r="J12213" s="309"/>
    </row>
    <row r="12214">
      <c r="B12214" s="309"/>
      <c r="C12214" s="309"/>
      <c r="I12214" s="309"/>
      <c r="J12214" s="309"/>
    </row>
    <row r="12215">
      <c r="B12215" s="309"/>
      <c r="C12215" s="309"/>
      <c r="I12215" s="309"/>
      <c r="J12215" s="309"/>
    </row>
    <row r="12216">
      <c r="B12216" s="309"/>
      <c r="C12216" s="309"/>
      <c r="I12216" s="309"/>
      <c r="J12216" s="309"/>
    </row>
    <row r="12217">
      <c r="B12217" s="309"/>
      <c r="C12217" s="309"/>
      <c r="I12217" s="309"/>
      <c r="J12217" s="309"/>
    </row>
    <row r="12218">
      <c r="B12218" s="309"/>
      <c r="C12218" s="309"/>
      <c r="I12218" s="309"/>
      <c r="J12218" s="309"/>
    </row>
    <row r="12219">
      <c r="B12219" s="309"/>
      <c r="C12219" s="309"/>
      <c r="I12219" s="309"/>
      <c r="J12219" s="309"/>
    </row>
    <row r="12220">
      <c r="B12220" s="309"/>
      <c r="C12220" s="309"/>
      <c r="I12220" s="309"/>
      <c r="J12220" s="309"/>
    </row>
    <row r="12221">
      <c r="B12221" s="309"/>
      <c r="C12221" s="309"/>
      <c r="I12221" s="309"/>
      <c r="J12221" s="309"/>
    </row>
    <row r="12222">
      <c r="B12222" s="309"/>
      <c r="C12222" s="309"/>
      <c r="I12222" s="309"/>
      <c r="J12222" s="309"/>
    </row>
    <row r="12223">
      <c r="B12223" s="309"/>
      <c r="C12223" s="309"/>
      <c r="I12223" s="309"/>
      <c r="J12223" s="309"/>
    </row>
    <row r="12224">
      <c r="B12224" s="309"/>
      <c r="C12224" s="309"/>
      <c r="I12224" s="309"/>
      <c r="J12224" s="309"/>
    </row>
    <row r="12225">
      <c r="B12225" s="309"/>
      <c r="C12225" s="309"/>
      <c r="I12225" s="309"/>
      <c r="J12225" s="309"/>
    </row>
    <row r="12226">
      <c r="B12226" s="309"/>
      <c r="C12226" s="309"/>
      <c r="I12226" s="309"/>
      <c r="J12226" s="309"/>
    </row>
    <row r="12227">
      <c r="B12227" s="309"/>
      <c r="C12227" s="309"/>
      <c r="I12227" s="309"/>
      <c r="J12227" s="309"/>
    </row>
    <row r="12228">
      <c r="B12228" s="309"/>
      <c r="C12228" s="309"/>
      <c r="I12228" s="309"/>
      <c r="J12228" s="309"/>
    </row>
    <row r="12229">
      <c r="B12229" s="309"/>
      <c r="C12229" s="309"/>
      <c r="I12229" s="309"/>
      <c r="J12229" s="309"/>
    </row>
    <row r="12230">
      <c r="B12230" s="309"/>
      <c r="C12230" s="309"/>
      <c r="I12230" s="309"/>
      <c r="J12230" s="309"/>
    </row>
    <row r="12231">
      <c r="B12231" s="309"/>
      <c r="C12231" s="309"/>
      <c r="I12231" s="309"/>
      <c r="J12231" s="309"/>
    </row>
    <row r="12232">
      <c r="B12232" s="309"/>
      <c r="C12232" s="309"/>
      <c r="I12232" s="309"/>
      <c r="J12232" s="309"/>
    </row>
    <row r="12233">
      <c r="B12233" s="309"/>
      <c r="C12233" s="309"/>
      <c r="I12233" s="309"/>
      <c r="J12233" s="309"/>
    </row>
    <row r="12234">
      <c r="B12234" s="309"/>
      <c r="C12234" s="309"/>
      <c r="I12234" s="309"/>
      <c r="J12234" s="309"/>
    </row>
    <row r="12235">
      <c r="B12235" s="309"/>
      <c r="C12235" s="309"/>
      <c r="I12235" s="309"/>
      <c r="J12235" s="309"/>
    </row>
    <row r="12236">
      <c r="B12236" s="309"/>
      <c r="C12236" s="309"/>
      <c r="I12236" s="309"/>
      <c r="J12236" s="309"/>
    </row>
    <row r="12237">
      <c r="B12237" s="309"/>
      <c r="C12237" s="309"/>
      <c r="I12237" s="309"/>
      <c r="J12237" s="309"/>
    </row>
    <row r="12238">
      <c r="B12238" s="309"/>
      <c r="C12238" s="309"/>
      <c r="I12238" s="309"/>
      <c r="J12238" s="309"/>
    </row>
    <row r="12239">
      <c r="B12239" s="309"/>
      <c r="C12239" s="309"/>
      <c r="I12239" s="309"/>
      <c r="J12239" s="309"/>
    </row>
    <row r="12240">
      <c r="B12240" s="309"/>
      <c r="C12240" s="309"/>
      <c r="I12240" s="309"/>
      <c r="J12240" s="309"/>
    </row>
    <row r="12241">
      <c r="B12241" s="309"/>
      <c r="C12241" s="309"/>
      <c r="I12241" s="309"/>
      <c r="J12241" s="309"/>
    </row>
    <row r="12242">
      <c r="B12242" s="309"/>
      <c r="C12242" s="309"/>
      <c r="I12242" s="309"/>
      <c r="J12242" s="309"/>
    </row>
    <row r="12243">
      <c r="B12243" s="309"/>
      <c r="C12243" s="309"/>
      <c r="I12243" s="309"/>
      <c r="J12243" s="309"/>
    </row>
    <row r="12244">
      <c r="B12244" s="309"/>
      <c r="C12244" s="309"/>
      <c r="I12244" s="309"/>
      <c r="J12244" s="309"/>
    </row>
    <row r="12245">
      <c r="B12245" s="309"/>
      <c r="C12245" s="309"/>
      <c r="I12245" s="309"/>
      <c r="J12245" s="309"/>
    </row>
    <row r="12246">
      <c r="B12246" s="309"/>
      <c r="C12246" s="309"/>
      <c r="I12246" s="309"/>
      <c r="J12246" s="309"/>
    </row>
    <row r="12247">
      <c r="B12247" s="309"/>
      <c r="C12247" s="309"/>
      <c r="I12247" s="309"/>
      <c r="J12247" s="309"/>
    </row>
    <row r="12248">
      <c r="B12248" s="309"/>
      <c r="C12248" s="309"/>
      <c r="I12248" s="309"/>
      <c r="J12248" s="309"/>
    </row>
    <row r="12249">
      <c r="B12249" s="309"/>
      <c r="C12249" s="309"/>
      <c r="I12249" s="309"/>
      <c r="J12249" s="309"/>
    </row>
    <row r="12250">
      <c r="B12250" s="309"/>
      <c r="C12250" s="309"/>
      <c r="I12250" s="309"/>
      <c r="J12250" s="309"/>
    </row>
    <row r="12251">
      <c r="B12251" s="309"/>
      <c r="C12251" s="309"/>
      <c r="I12251" s="309"/>
      <c r="J12251" s="309"/>
    </row>
    <row r="12252">
      <c r="B12252" s="309"/>
      <c r="C12252" s="309"/>
      <c r="I12252" s="309"/>
      <c r="J12252" s="309"/>
    </row>
    <row r="12253">
      <c r="B12253" s="309"/>
      <c r="C12253" s="309"/>
      <c r="I12253" s="309"/>
      <c r="J12253" s="309"/>
    </row>
    <row r="12254">
      <c r="B12254" s="309"/>
      <c r="C12254" s="309"/>
      <c r="I12254" s="309"/>
      <c r="J12254" s="309"/>
    </row>
    <row r="12255">
      <c r="B12255" s="309"/>
      <c r="C12255" s="309"/>
      <c r="I12255" s="309"/>
      <c r="J12255" s="309"/>
    </row>
    <row r="12256">
      <c r="B12256" s="309"/>
      <c r="C12256" s="309"/>
      <c r="I12256" s="309"/>
      <c r="J12256" s="309"/>
    </row>
    <row r="12257">
      <c r="B12257" s="309"/>
      <c r="C12257" s="309"/>
      <c r="I12257" s="309"/>
      <c r="J12257" s="309"/>
    </row>
    <row r="12258">
      <c r="B12258" s="309"/>
      <c r="C12258" s="309"/>
      <c r="I12258" s="309"/>
      <c r="J12258" s="309"/>
    </row>
    <row r="12259">
      <c r="B12259" s="309"/>
      <c r="C12259" s="309"/>
      <c r="I12259" s="309"/>
      <c r="J12259" s="309"/>
    </row>
    <row r="12260">
      <c r="B12260" s="309"/>
      <c r="C12260" s="309"/>
      <c r="I12260" s="309"/>
      <c r="J12260" s="309"/>
    </row>
    <row r="12261">
      <c r="B12261" s="309"/>
      <c r="C12261" s="309"/>
      <c r="I12261" s="309"/>
      <c r="J12261" s="309"/>
    </row>
    <row r="12262">
      <c r="B12262" s="309"/>
      <c r="C12262" s="309"/>
      <c r="I12262" s="309"/>
      <c r="J12262" s="309"/>
    </row>
    <row r="12263">
      <c r="B12263" s="309"/>
      <c r="C12263" s="309"/>
      <c r="I12263" s="309"/>
      <c r="J12263" s="309"/>
    </row>
    <row r="12264">
      <c r="B12264" s="309"/>
      <c r="C12264" s="309"/>
      <c r="I12264" s="309"/>
      <c r="J12264" s="309"/>
    </row>
    <row r="12265">
      <c r="B12265" s="309"/>
      <c r="C12265" s="309"/>
      <c r="I12265" s="309"/>
      <c r="J12265" s="309"/>
    </row>
    <row r="12266">
      <c r="B12266" s="309"/>
      <c r="C12266" s="309"/>
      <c r="I12266" s="309"/>
      <c r="J12266" s="309"/>
    </row>
    <row r="12267">
      <c r="B12267" s="309"/>
      <c r="C12267" s="309"/>
      <c r="I12267" s="309"/>
      <c r="J12267" s="309"/>
    </row>
    <row r="12268">
      <c r="B12268" s="309"/>
      <c r="C12268" s="309"/>
      <c r="I12268" s="309"/>
      <c r="J12268" s="309"/>
    </row>
    <row r="12269">
      <c r="B12269" s="309"/>
      <c r="C12269" s="309"/>
      <c r="I12269" s="309"/>
      <c r="J12269" s="309"/>
    </row>
    <row r="12270">
      <c r="B12270" s="309"/>
      <c r="C12270" s="309"/>
      <c r="I12270" s="309"/>
      <c r="J12270" s="309"/>
    </row>
    <row r="12271">
      <c r="B12271" s="309"/>
      <c r="C12271" s="309"/>
      <c r="I12271" s="309"/>
      <c r="J12271" s="309"/>
    </row>
    <row r="12272">
      <c r="B12272" s="309"/>
      <c r="C12272" s="309"/>
      <c r="I12272" s="309"/>
      <c r="J12272" s="309"/>
    </row>
    <row r="12273">
      <c r="B12273" s="309"/>
      <c r="C12273" s="309"/>
      <c r="I12273" s="309"/>
      <c r="J12273" s="309"/>
    </row>
    <row r="12274">
      <c r="B12274" s="309"/>
      <c r="C12274" s="309"/>
      <c r="I12274" s="309"/>
      <c r="J12274" s="309"/>
    </row>
    <row r="12275">
      <c r="B12275" s="309"/>
      <c r="C12275" s="309"/>
      <c r="I12275" s="309"/>
      <c r="J12275" s="309"/>
    </row>
    <row r="12276">
      <c r="B12276" s="309"/>
      <c r="C12276" s="309"/>
      <c r="I12276" s="309"/>
      <c r="J12276" s="309"/>
    </row>
    <row r="12277">
      <c r="B12277" s="309"/>
      <c r="C12277" s="309"/>
      <c r="I12277" s="309"/>
      <c r="J12277" s="309"/>
    </row>
    <row r="12278">
      <c r="B12278" s="309"/>
      <c r="C12278" s="309"/>
      <c r="I12278" s="309"/>
      <c r="J12278" s="309"/>
    </row>
    <row r="12279">
      <c r="B12279" s="309"/>
      <c r="C12279" s="309"/>
      <c r="I12279" s="309"/>
      <c r="J12279" s="309"/>
    </row>
    <row r="12280">
      <c r="B12280" s="309"/>
      <c r="C12280" s="309"/>
      <c r="I12280" s="309"/>
      <c r="J12280" s="309"/>
    </row>
    <row r="12281">
      <c r="B12281" s="309"/>
      <c r="C12281" s="309"/>
      <c r="I12281" s="309"/>
      <c r="J12281" s="309"/>
    </row>
    <row r="12282">
      <c r="B12282" s="309"/>
      <c r="C12282" s="309"/>
      <c r="I12282" s="309"/>
      <c r="J12282" s="309"/>
    </row>
    <row r="12283">
      <c r="B12283" s="309"/>
      <c r="C12283" s="309"/>
      <c r="I12283" s="309"/>
      <c r="J12283" s="309"/>
    </row>
    <row r="12284">
      <c r="B12284" s="309"/>
      <c r="C12284" s="309"/>
      <c r="I12284" s="309"/>
      <c r="J12284" s="309"/>
    </row>
    <row r="12285">
      <c r="B12285" s="309"/>
      <c r="C12285" s="309"/>
      <c r="I12285" s="309"/>
      <c r="J12285" s="309"/>
    </row>
    <row r="12286">
      <c r="B12286" s="309"/>
      <c r="C12286" s="309"/>
      <c r="I12286" s="309"/>
      <c r="J12286" s="309"/>
    </row>
    <row r="12287">
      <c r="B12287" s="309"/>
      <c r="C12287" s="309"/>
      <c r="I12287" s="309"/>
      <c r="J12287" s="309"/>
    </row>
    <row r="12288">
      <c r="B12288" s="309"/>
      <c r="C12288" s="309"/>
      <c r="I12288" s="309"/>
      <c r="J12288" s="309"/>
    </row>
    <row r="12289">
      <c r="B12289" s="309"/>
      <c r="C12289" s="309"/>
      <c r="I12289" s="309"/>
      <c r="J12289" s="309"/>
    </row>
    <row r="12290">
      <c r="B12290" s="309"/>
      <c r="C12290" s="309"/>
      <c r="I12290" s="309"/>
      <c r="J12290" s="309"/>
    </row>
    <row r="12291">
      <c r="B12291" s="309"/>
      <c r="C12291" s="309"/>
      <c r="I12291" s="309"/>
      <c r="J12291" s="309"/>
    </row>
    <row r="12292">
      <c r="B12292" s="309"/>
      <c r="C12292" s="309"/>
      <c r="I12292" s="309"/>
      <c r="J12292" s="309"/>
    </row>
    <row r="12293">
      <c r="B12293" s="309"/>
      <c r="C12293" s="309"/>
      <c r="I12293" s="309"/>
      <c r="J12293" s="309"/>
    </row>
    <row r="12294">
      <c r="B12294" s="309"/>
      <c r="C12294" s="309"/>
      <c r="I12294" s="309"/>
      <c r="J12294" s="309"/>
    </row>
    <row r="12295">
      <c r="B12295" s="309"/>
      <c r="C12295" s="309"/>
      <c r="I12295" s="309"/>
      <c r="J12295" s="309"/>
    </row>
    <row r="12296">
      <c r="B12296" s="309"/>
      <c r="C12296" s="309"/>
      <c r="I12296" s="309"/>
      <c r="J12296" s="309"/>
    </row>
    <row r="12297">
      <c r="B12297" s="309"/>
      <c r="C12297" s="309"/>
      <c r="I12297" s="309"/>
      <c r="J12297" s="309"/>
    </row>
    <row r="12298">
      <c r="B12298" s="309"/>
      <c r="C12298" s="309"/>
      <c r="I12298" s="309"/>
      <c r="J12298" s="309"/>
    </row>
    <row r="12299">
      <c r="B12299" s="309"/>
      <c r="C12299" s="309"/>
      <c r="I12299" s="309"/>
      <c r="J12299" s="309"/>
    </row>
    <row r="12300">
      <c r="B12300" s="309"/>
      <c r="C12300" s="309"/>
      <c r="I12300" s="309"/>
      <c r="J12300" s="309"/>
    </row>
    <row r="12301">
      <c r="B12301" s="309"/>
      <c r="C12301" s="309"/>
      <c r="I12301" s="309"/>
      <c r="J12301" s="309"/>
    </row>
    <row r="12302">
      <c r="B12302" s="309"/>
      <c r="C12302" s="309"/>
      <c r="I12302" s="309"/>
      <c r="J12302" s="309"/>
    </row>
    <row r="12303">
      <c r="B12303" s="309"/>
      <c r="C12303" s="309"/>
      <c r="I12303" s="309"/>
      <c r="J12303" s="309"/>
    </row>
    <row r="12304">
      <c r="B12304" s="309"/>
      <c r="C12304" s="309"/>
      <c r="I12304" s="309"/>
      <c r="J12304" s="309"/>
    </row>
    <row r="12305">
      <c r="B12305" s="309"/>
      <c r="C12305" s="309"/>
      <c r="I12305" s="309"/>
      <c r="J12305" s="309"/>
    </row>
    <row r="12306">
      <c r="B12306" s="309"/>
      <c r="C12306" s="309"/>
      <c r="I12306" s="309"/>
      <c r="J12306" s="309"/>
    </row>
    <row r="12307">
      <c r="B12307" s="309"/>
      <c r="C12307" s="309"/>
      <c r="I12307" s="309"/>
      <c r="J12307" s="309"/>
    </row>
    <row r="12308">
      <c r="B12308" s="309"/>
      <c r="C12308" s="309"/>
      <c r="I12308" s="309"/>
      <c r="J12308" s="309"/>
    </row>
    <row r="12309">
      <c r="B12309" s="309"/>
      <c r="C12309" s="309"/>
      <c r="I12309" s="309"/>
      <c r="J12309" s="309"/>
    </row>
    <row r="12310">
      <c r="B12310" s="309"/>
      <c r="C12310" s="309"/>
      <c r="I12310" s="309"/>
      <c r="J12310" s="309"/>
    </row>
    <row r="12311">
      <c r="B12311" s="309"/>
      <c r="C12311" s="309"/>
      <c r="I12311" s="309"/>
      <c r="J12311" s="309"/>
    </row>
    <row r="12312">
      <c r="B12312" s="309"/>
      <c r="C12312" s="309"/>
      <c r="I12312" s="309"/>
      <c r="J12312" s="309"/>
    </row>
    <row r="12313">
      <c r="B12313" s="309"/>
      <c r="C12313" s="309"/>
      <c r="I12313" s="309"/>
      <c r="J12313" s="309"/>
    </row>
    <row r="12314">
      <c r="B12314" s="309"/>
      <c r="C12314" s="309"/>
      <c r="I12314" s="309"/>
      <c r="J12314" s="309"/>
    </row>
    <row r="12315">
      <c r="B12315" s="309"/>
      <c r="C12315" s="309"/>
      <c r="I12315" s="309"/>
      <c r="J12315" s="309"/>
    </row>
    <row r="12316">
      <c r="B12316" s="309"/>
      <c r="C12316" s="309"/>
      <c r="I12316" s="309"/>
      <c r="J12316" s="309"/>
    </row>
    <row r="12317">
      <c r="B12317" s="309"/>
      <c r="C12317" s="309"/>
      <c r="I12317" s="309"/>
      <c r="J12317" s="309"/>
    </row>
    <row r="12318">
      <c r="B12318" s="309"/>
      <c r="C12318" s="309"/>
      <c r="I12318" s="309"/>
      <c r="J12318" s="309"/>
    </row>
    <row r="12319">
      <c r="B12319" s="309"/>
      <c r="C12319" s="309"/>
      <c r="I12319" s="309"/>
      <c r="J12319" s="309"/>
    </row>
    <row r="12320">
      <c r="B12320" s="309"/>
      <c r="C12320" s="309"/>
      <c r="I12320" s="309"/>
      <c r="J12320" s="309"/>
    </row>
    <row r="12321">
      <c r="B12321" s="309"/>
      <c r="C12321" s="309"/>
      <c r="I12321" s="309"/>
      <c r="J12321" s="309"/>
    </row>
    <row r="12322">
      <c r="B12322" s="309"/>
      <c r="C12322" s="309"/>
      <c r="I12322" s="309"/>
      <c r="J12322" s="309"/>
    </row>
    <row r="12323">
      <c r="B12323" s="309"/>
      <c r="C12323" s="309"/>
      <c r="I12323" s="309"/>
      <c r="J12323" s="309"/>
    </row>
    <row r="12324">
      <c r="B12324" s="309"/>
      <c r="C12324" s="309"/>
      <c r="I12324" s="309"/>
      <c r="J12324" s="309"/>
    </row>
    <row r="12325">
      <c r="B12325" s="309"/>
      <c r="C12325" s="309"/>
      <c r="I12325" s="309"/>
      <c r="J12325" s="309"/>
    </row>
    <row r="12326">
      <c r="B12326" s="309"/>
      <c r="C12326" s="309"/>
      <c r="I12326" s="309"/>
      <c r="J12326" s="309"/>
    </row>
    <row r="12327">
      <c r="B12327" s="309"/>
      <c r="C12327" s="309"/>
      <c r="I12327" s="309"/>
      <c r="J12327" s="309"/>
    </row>
    <row r="12328">
      <c r="B12328" s="309"/>
      <c r="C12328" s="309"/>
      <c r="I12328" s="309"/>
      <c r="J12328" s="309"/>
    </row>
    <row r="12329">
      <c r="B12329" s="309"/>
      <c r="C12329" s="309"/>
      <c r="I12329" s="309"/>
      <c r="J12329" s="309"/>
    </row>
    <row r="12330">
      <c r="B12330" s="309"/>
      <c r="C12330" s="309"/>
      <c r="I12330" s="309"/>
      <c r="J12330" s="309"/>
    </row>
    <row r="12331">
      <c r="B12331" s="309"/>
      <c r="C12331" s="309"/>
      <c r="I12331" s="309"/>
      <c r="J12331" s="309"/>
    </row>
    <row r="12332">
      <c r="B12332" s="309"/>
      <c r="C12332" s="309"/>
      <c r="I12332" s="309"/>
      <c r="J12332" s="309"/>
    </row>
    <row r="12333">
      <c r="B12333" s="309"/>
      <c r="C12333" s="309"/>
      <c r="I12333" s="309"/>
      <c r="J12333" s="309"/>
    </row>
    <row r="12334">
      <c r="B12334" s="309"/>
      <c r="C12334" s="309"/>
      <c r="I12334" s="309"/>
      <c r="J12334" s="309"/>
    </row>
    <row r="12335">
      <c r="B12335" s="309"/>
      <c r="C12335" s="309"/>
      <c r="I12335" s="309"/>
      <c r="J12335" s="309"/>
    </row>
    <row r="12336">
      <c r="B12336" s="309"/>
      <c r="C12336" s="309"/>
      <c r="I12336" s="309"/>
      <c r="J12336" s="309"/>
    </row>
    <row r="12337">
      <c r="B12337" s="309"/>
      <c r="C12337" s="309"/>
      <c r="I12337" s="309"/>
      <c r="J12337" s="309"/>
    </row>
    <row r="12338">
      <c r="B12338" s="309"/>
      <c r="C12338" s="309"/>
      <c r="I12338" s="309"/>
      <c r="J12338" s="309"/>
    </row>
    <row r="12339">
      <c r="B12339" s="309"/>
      <c r="C12339" s="309"/>
      <c r="I12339" s="309"/>
      <c r="J12339" s="309"/>
    </row>
    <row r="12340">
      <c r="B12340" s="309"/>
      <c r="C12340" s="309"/>
      <c r="I12340" s="309"/>
      <c r="J12340" s="309"/>
    </row>
    <row r="12341">
      <c r="B12341" s="309"/>
      <c r="C12341" s="309"/>
      <c r="I12341" s="309"/>
      <c r="J12341" s="309"/>
    </row>
    <row r="12342">
      <c r="B12342" s="309"/>
      <c r="C12342" s="309"/>
      <c r="I12342" s="309"/>
      <c r="J12342" s="309"/>
    </row>
    <row r="12343">
      <c r="B12343" s="309"/>
      <c r="C12343" s="309"/>
      <c r="I12343" s="309"/>
      <c r="J12343" s="309"/>
    </row>
    <row r="12344">
      <c r="B12344" s="309"/>
      <c r="C12344" s="309"/>
      <c r="I12344" s="309"/>
      <c r="J12344" s="309"/>
    </row>
    <row r="12345">
      <c r="B12345" s="309"/>
      <c r="C12345" s="309"/>
      <c r="I12345" s="309"/>
      <c r="J12345" s="309"/>
    </row>
    <row r="12346">
      <c r="B12346" s="309"/>
      <c r="C12346" s="309"/>
      <c r="I12346" s="309"/>
      <c r="J12346" s="309"/>
    </row>
    <row r="12347">
      <c r="B12347" s="309"/>
      <c r="C12347" s="309"/>
      <c r="I12347" s="309"/>
      <c r="J12347" s="309"/>
    </row>
    <row r="12348">
      <c r="B12348" s="309"/>
      <c r="C12348" s="309"/>
      <c r="I12348" s="309"/>
      <c r="J12348" s="309"/>
    </row>
    <row r="12349">
      <c r="B12349" s="309"/>
      <c r="C12349" s="309"/>
      <c r="I12349" s="309"/>
      <c r="J12349" s="309"/>
    </row>
    <row r="12350">
      <c r="B12350" s="309"/>
      <c r="C12350" s="309"/>
      <c r="I12350" s="309"/>
      <c r="J12350" s="309"/>
    </row>
    <row r="12351">
      <c r="B12351" s="309"/>
      <c r="C12351" s="309"/>
      <c r="I12351" s="309"/>
      <c r="J12351" s="309"/>
    </row>
    <row r="12352">
      <c r="B12352" s="309"/>
      <c r="C12352" s="309"/>
      <c r="I12352" s="309"/>
      <c r="J12352" s="309"/>
    </row>
    <row r="12353">
      <c r="B12353" s="309"/>
      <c r="C12353" s="309"/>
      <c r="I12353" s="309"/>
      <c r="J12353" s="309"/>
    </row>
    <row r="12354">
      <c r="B12354" s="309"/>
      <c r="C12354" s="309"/>
      <c r="I12354" s="309"/>
      <c r="J12354" s="309"/>
    </row>
    <row r="12355">
      <c r="B12355" s="309"/>
      <c r="C12355" s="309"/>
      <c r="I12355" s="309"/>
      <c r="J12355" s="309"/>
    </row>
    <row r="12356">
      <c r="B12356" s="309"/>
      <c r="C12356" s="309"/>
      <c r="I12356" s="309"/>
      <c r="J12356" s="309"/>
    </row>
    <row r="12357">
      <c r="B12357" s="309"/>
      <c r="C12357" s="309"/>
      <c r="I12357" s="309"/>
      <c r="J12357" s="309"/>
    </row>
    <row r="12358">
      <c r="B12358" s="309"/>
      <c r="C12358" s="309"/>
      <c r="I12358" s="309"/>
      <c r="J12358" s="309"/>
    </row>
    <row r="12359">
      <c r="B12359" s="309"/>
      <c r="C12359" s="309"/>
      <c r="I12359" s="309"/>
      <c r="J12359" s="309"/>
    </row>
    <row r="12360">
      <c r="B12360" s="309"/>
      <c r="C12360" s="309"/>
      <c r="I12360" s="309"/>
      <c r="J12360" s="309"/>
    </row>
    <row r="12361">
      <c r="B12361" s="309"/>
      <c r="C12361" s="309"/>
      <c r="I12361" s="309"/>
      <c r="J12361" s="309"/>
    </row>
    <row r="12362">
      <c r="B12362" s="309"/>
      <c r="C12362" s="309"/>
      <c r="I12362" s="309"/>
      <c r="J12362" s="309"/>
    </row>
    <row r="12363">
      <c r="B12363" s="309"/>
      <c r="C12363" s="309"/>
      <c r="I12363" s="309"/>
      <c r="J12363" s="309"/>
    </row>
    <row r="12364">
      <c r="B12364" s="309"/>
      <c r="C12364" s="309"/>
      <c r="I12364" s="309"/>
      <c r="J12364" s="309"/>
    </row>
    <row r="12365">
      <c r="B12365" s="309"/>
      <c r="C12365" s="309"/>
      <c r="I12365" s="309"/>
      <c r="J12365" s="309"/>
    </row>
    <row r="12366">
      <c r="B12366" s="309"/>
      <c r="C12366" s="309"/>
      <c r="I12366" s="309"/>
      <c r="J12366" s="309"/>
    </row>
    <row r="12367">
      <c r="B12367" s="309"/>
      <c r="C12367" s="309"/>
      <c r="I12367" s="309"/>
      <c r="J12367" s="309"/>
    </row>
    <row r="12368">
      <c r="B12368" s="309"/>
      <c r="C12368" s="309"/>
      <c r="I12368" s="309"/>
      <c r="J12368" s="309"/>
    </row>
    <row r="12369">
      <c r="B12369" s="309"/>
      <c r="C12369" s="309"/>
      <c r="I12369" s="309"/>
      <c r="J12369" s="309"/>
    </row>
    <row r="12370">
      <c r="B12370" s="309"/>
      <c r="C12370" s="309"/>
      <c r="I12370" s="309"/>
      <c r="J12370" s="309"/>
    </row>
    <row r="12371">
      <c r="B12371" s="309"/>
      <c r="C12371" s="309"/>
      <c r="I12371" s="309"/>
      <c r="J12371" s="309"/>
    </row>
    <row r="12372">
      <c r="B12372" s="309"/>
      <c r="C12372" s="309"/>
      <c r="I12372" s="309"/>
      <c r="J12372" s="309"/>
    </row>
    <row r="12373">
      <c r="B12373" s="309"/>
      <c r="C12373" s="309"/>
      <c r="I12373" s="309"/>
      <c r="J12373" s="309"/>
    </row>
    <row r="12374">
      <c r="B12374" s="309"/>
      <c r="C12374" s="309"/>
      <c r="I12374" s="309"/>
      <c r="J12374" s="309"/>
    </row>
    <row r="12375">
      <c r="B12375" s="309"/>
      <c r="C12375" s="309"/>
      <c r="I12375" s="309"/>
      <c r="J12375" s="309"/>
    </row>
    <row r="12376">
      <c r="B12376" s="309"/>
      <c r="C12376" s="309"/>
      <c r="I12376" s="309"/>
      <c r="J12376" s="309"/>
    </row>
    <row r="12377">
      <c r="B12377" s="309"/>
      <c r="C12377" s="309"/>
      <c r="I12377" s="309"/>
      <c r="J12377" s="309"/>
    </row>
    <row r="12378">
      <c r="B12378" s="309"/>
      <c r="C12378" s="309"/>
      <c r="I12378" s="309"/>
      <c r="J12378" s="309"/>
    </row>
    <row r="12379">
      <c r="B12379" s="309"/>
      <c r="C12379" s="309"/>
      <c r="I12379" s="309"/>
      <c r="J12379" s="309"/>
    </row>
    <row r="12380">
      <c r="B12380" s="309"/>
      <c r="C12380" s="309"/>
      <c r="I12380" s="309"/>
      <c r="J12380" s="309"/>
    </row>
    <row r="12381">
      <c r="B12381" s="309"/>
      <c r="C12381" s="309"/>
      <c r="I12381" s="309"/>
      <c r="J12381" s="309"/>
    </row>
    <row r="12382">
      <c r="B12382" s="309"/>
      <c r="C12382" s="309"/>
      <c r="I12382" s="309"/>
      <c r="J12382" s="309"/>
    </row>
    <row r="12383">
      <c r="B12383" s="309"/>
      <c r="C12383" s="309"/>
      <c r="I12383" s="309"/>
      <c r="J12383" s="309"/>
    </row>
    <row r="12384">
      <c r="B12384" s="309"/>
      <c r="C12384" s="309"/>
      <c r="I12384" s="309"/>
      <c r="J12384" s="309"/>
    </row>
    <row r="12385">
      <c r="B12385" s="309"/>
      <c r="C12385" s="309"/>
      <c r="I12385" s="309"/>
      <c r="J12385" s="309"/>
    </row>
    <row r="12386">
      <c r="B12386" s="309"/>
      <c r="C12386" s="309"/>
      <c r="I12386" s="309"/>
      <c r="J12386" s="309"/>
    </row>
    <row r="12387">
      <c r="B12387" s="309"/>
      <c r="C12387" s="309"/>
      <c r="I12387" s="309"/>
      <c r="J12387" s="309"/>
    </row>
    <row r="12388">
      <c r="B12388" s="309"/>
      <c r="C12388" s="309"/>
      <c r="I12388" s="309"/>
      <c r="J12388" s="309"/>
    </row>
    <row r="12389">
      <c r="B12389" s="309"/>
      <c r="C12389" s="309"/>
      <c r="I12389" s="309"/>
      <c r="J12389" s="309"/>
    </row>
    <row r="12390">
      <c r="B12390" s="309"/>
      <c r="C12390" s="309"/>
      <c r="I12390" s="309"/>
      <c r="J12390" s="309"/>
    </row>
    <row r="12391">
      <c r="B12391" s="309"/>
      <c r="C12391" s="309"/>
      <c r="I12391" s="309"/>
      <c r="J12391" s="309"/>
    </row>
    <row r="12392">
      <c r="B12392" s="309"/>
      <c r="C12392" s="309"/>
      <c r="I12392" s="309"/>
      <c r="J12392" s="309"/>
    </row>
    <row r="12393">
      <c r="B12393" s="309"/>
      <c r="C12393" s="309"/>
      <c r="I12393" s="309"/>
      <c r="J12393" s="309"/>
    </row>
    <row r="12394">
      <c r="B12394" s="309"/>
      <c r="C12394" s="309"/>
      <c r="I12394" s="309"/>
      <c r="J12394" s="309"/>
    </row>
    <row r="12395">
      <c r="B12395" s="309"/>
      <c r="C12395" s="309"/>
      <c r="I12395" s="309"/>
      <c r="J12395" s="309"/>
    </row>
    <row r="12396">
      <c r="B12396" s="309"/>
      <c r="C12396" s="309"/>
      <c r="I12396" s="309"/>
      <c r="J12396" s="309"/>
    </row>
    <row r="12397">
      <c r="B12397" s="309"/>
      <c r="C12397" s="309"/>
      <c r="I12397" s="309"/>
      <c r="J12397" s="309"/>
    </row>
    <row r="12398">
      <c r="B12398" s="309"/>
      <c r="C12398" s="309"/>
      <c r="I12398" s="309"/>
      <c r="J12398" s="309"/>
    </row>
    <row r="12399">
      <c r="B12399" s="309"/>
      <c r="C12399" s="309"/>
      <c r="I12399" s="309"/>
      <c r="J12399" s="309"/>
    </row>
    <row r="12400">
      <c r="B12400" s="309"/>
      <c r="C12400" s="309"/>
      <c r="I12400" s="309"/>
      <c r="J12400" s="309"/>
    </row>
    <row r="12401">
      <c r="B12401" s="309"/>
      <c r="C12401" s="309"/>
      <c r="I12401" s="309"/>
      <c r="J12401" s="309"/>
    </row>
    <row r="12402">
      <c r="B12402" s="309"/>
      <c r="C12402" s="309"/>
      <c r="I12402" s="309"/>
      <c r="J12402" s="309"/>
    </row>
    <row r="12403">
      <c r="B12403" s="309"/>
      <c r="C12403" s="309"/>
      <c r="I12403" s="309"/>
      <c r="J12403" s="309"/>
    </row>
    <row r="12404">
      <c r="B12404" s="309"/>
      <c r="C12404" s="309"/>
      <c r="I12404" s="309"/>
      <c r="J12404" s="309"/>
    </row>
    <row r="12405">
      <c r="B12405" s="309"/>
      <c r="C12405" s="309"/>
      <c r="I12405" s="309"/>
      <c r="J12405" s="309"/>
    </row>
    <row r="12406">
      <c r="B12406" s="309"/>
      <c r="C12406" s="309"/>
      <c r="I12406" s="309"/>
      <c r="J12406" s="309"/>
    </row>
    <row r="12407">
      <c r="B12407" s="309"/>
      <c r="C12407" s="309"/>
      <c r="I12407" s="309"/>
      <c r="J12407" s="309"/>
    </row>
    <row r="12408">
      <c r="B12408" s="309"/>
      <c r="C12408" s="309"/>
      <c r="I12408" s="309"/>
      <c r="J12408" s="309"/>
    </row>
    <row r="12409">
      <c r="B12409" s="309"/>
      <c r="C12409" s="309"/>
      <c r="I12409" s="309"/>
      <c r="J12409" s="309"/>
    </row>
    <row r="12410">
      <c r="B12410" s="309"/>
      <c r="C12410" s="309"/>
      <c r="I12410" s="309"/>
      <c r="J12410" s="309"/>
    </row>
    <row r="12411">
      <c r="B12411" s="309"/>
      <c r="C12411" s="309"/>
      <c r="I12411" s="309"/>
      <c r="J12411" s="309"/>
    </row>
    <row r="12412">
      <c r="B12412" s="309"/>
      <c r="C12412" s="309"/>
      <c r="I12412" s="309"/>
      <c r="J12412" s="309"/>
    </row>
    <row r="12413">
      <c r="B12413" s="309"/>
      <c r="C12413" s="309"/>
      <c r="I12413" s="309"/>
      <c r="J12413" s="309"/>
    </row>
    <row r="12414">
      <c r="B12414" s="309"/>
      <c r="C12414" s="309"/>
      <c r="I12414" s="309"/>
      <c r="J12414" s="309"/>
    </row>
    <row r="12415">
      <c r="B12415" s="309"/>
      <c r="C12415" s="309"/>
      <c r="I12415" s="309"/>
      <c r="J12415" s="309"/>
    </row>
    <row r="12416">
      <c r="B12416" s="309"/>
      <c r="C12416" s="309"/>
      <c r="I12416" s="309"/>
      <c r="J12416" s="309"/>
    </row>
    <row r="12417">
      <c r="B12417" s="309"/>
      <c r="C12417" s="309"/>
      <c r="I12417" s="309"/>
      <c r="J12417" s="309"/>
    </row>
    <row r="12418">
      <c r="B12418" s="309"/>
      <c r="C12418" s="309"/>
      <c r="I12418" s="309"/>
      <c r="J12418" s="309"/>
    </row>
    <row r="12419">
      <c r="B12419" s="309"/>
      <c r="C12419" s="309"/>
      <c r="I12419" s="309"/>
      <c r="J12419" s="309"/>
    </row>
    <row r="12420">
      <c r="B12420" s="309"/>
      <c r="C12420" s="309"/>
      <c r="I12420" s="309"/>
      <c r="J12420" s="309"/>
    </row>
    <row r="12421">
      <c r="B12421" s="309"/>
      <c r="C12421" s="309"/>
      <c r="I12421" s="309"/>
      <c r="J12421" s="309"/>
    </row>
    <row r="12422">
      <c r="B12422" s="309"/>
      <c r="C12422" s="309"/>
      <c r="I12422" s="309"/>
      <c r="J12422" s="309"/>
    </row>
    <row r="12423">
      <c r="B12423" s="309"/>
      <c r="C12423" s="309"/>
      <c r="I12423" s="309"/>
      <c r="J12423" s="309"/>
    </row>
    <row r="12424">
      <c r="B12424" s="309"/>
      <c r="C12424" s="309"/>
      <c r="I12424" s="309"/>
      <c r="J12424" s="309"/>
    </row>
    <row r="12425">
      <c r="B12425" s="309"/>
      <c r="C12425" s="309"/>
      <c r="I12425" s="309"/>
      <c r="J12425" s="309"/>
    </row>
    <row r="12426">
      <c r="B12426" s="309"/>
      <c r="C12426" s="309"/>
      <c r="I12426" s="309"/>
      <c r="J12426" s="309"/>
    </row>
    <row r="12427">
      <c r="B12427" s="309"/>
      <c r="C12427" s="309"/>
      <c r="I12427" s="309"/>
      <c r="J12427" s="309"/>
    </row>
    <row r="12428">
      <c r="B12428" s="309"/>
      <c r="C12428" s="309"/>
      <c r="I12428" s="309"/>
      <c r="J12428" s="309"/>
    </row>
    <row r="12429">
      <c r="B12429" s="309"/>
      <c r="C12429" s="309"/>
      <c r="I12429" s="309"/>
      <c r="J12429" s="309"/>
    </row>
    <row r="12430">
      <c r="B12430" s="309"/>
      <c r="C12430" s="309"/>
      <c r="I12430" s="309"/>
      <c r="J12430" s="309"/>
    </row>
    <row r="12431">
      <c r="B12431" s="309"/>
      <c r="C12431" s="309"/>
      <c r="I12431" s="309"/>
      <c r="J12431" s="309"/>
    </row>
    <row r="12432">
      <c r="B12432" s="309"/>
      <c r="C12432" s="309"/>
      <c r="I12432" s="309"/>
      <c r="J12432" s="309"/>
    </row>
    <row r="12433">
      <c r="B12433" s="309"/>
      <c r="C12433" s="309"/>
      <c r="I12433" s="309"/>
      <c r="J12433" s="309"/>
    </row>
    <row r="12434">
      <c r="B12434" s="309"/>
      <c r="C12434" s="309"/>
      <c r="I12434" s="309"/>
      <c r="J12434" s="309"/>
    </row>
    <row r="12435">
      <c r="B12435" s="309"/>
      <c r="C12435" s="309"/>
      <c r="I12435" s="309"/>
      <c r="J12435" s="309"/>
    </row>
    <row r="12436">
      <c r="B12436" s="309"/>
      <c r="C12436" s="309"/>
      <c r="I12436" s="309"/>
      <c r="J12436" s="309"/>
    </row>
    <row r="12437">
      <c r="B12437" s="309"/>
      <c r="C12437" s="309"/>
      <c r="I12437" s="309"/>
      <c r="J12437" s="309"/>
    </row>
    <row r="12438">
      <c r="B12438" s="309"/>
      <c r="C12438" s="309"/>
      <c r="I12438" s="309"/>
      <c r="J12438" s="309"/>
    </row>
    <row r="12439">
      <c r="B12439" s="309"/>
      <c r="C12439" s="309"/>
      <c r="I12439" s="309"/>
      <c r="J12439" s="309"/>
    </row>
    <row r="12440">
      <c r="B12440" s="309"/>
      <c r="C12440" s="309"/>
      <c r="I12440" s="309"/>
      <c r="J12440" s="309"/>
    </row>
    <row r="12441">
      <c r="B12441" s="309"/>
      <c r="C12441" s="309"/>
      <c r="I12441" s="309"/>
      <c r="J12441" s="309"/>
    </row>
    <row r="12442">
      <c r="B12442" s="309"/>
      <c r="C12442" s="309"/>
      <c r="I12442" s="309"/>
      <c r="J12442" s="309"/>
    </row>
    <row r="12443">
      <c r="B12443" s="309"/>
      <c r="C12443" s="309"/>
      <c r="I12443" s="309"/>
      <c r="J12443" s="309"/>
    </row>
    <row r="12444">
      <c r="B12444" s="309"/>
      <c r="C12444" s="309"/>
      <c r="I12444" s="309"/>
      <c r="J12444" s="309"/>
    </row>
    <row r="12445">
      <c r="B12445" s="309"/>
      <c r="C12445" s="309"/>
      <c r="I12445" s="309"/>
      <c r="J12445" s="309"/>
    </row>
    <row r="12446">
      <c r="B12446" s="309"/>
      <c r="C12446" s="309"/>
      <c r="I12446" s="309"/>
      <c r="J12446" s="309"/>
    </row>
    <row r="12447">
      <c r="B12447" s="309"/>
      <c r="C12447" s="309"/>
      <c r="I12447" s="309"/>
      <c r="J12447" s="309"/>
    </row>
    <row r="12448">
      <c r="B12448" s="309"/>
      <c r="C12448" s="309"/>
      <c r="I12448" s="309"/>
      <c r="J12448" s="309"/>
    </row>
    <row r="12449">
      <c r="B12449" s="309"/>
      <c r="C12449" s="309"/>
      <c r="I12449" s="309"/>
      <c r="J12449" s="309"/>
    </row>
    <row r="12450">
      <c r="B12450" s="309"/>
      <c r="C12450" s="309"/>
      <c r="I12450" s="309"/>
      <c r="J12450" s="309"/>
    </row>
    <row r="12451">
      <c r="B12451" s="309"/>
      <c r="C12451" s="309"/>
      <c r="I12451" s="309"/>
      <c r="J12451" s="309"/>
    </row>
    <row r="12452">
      <c r="B12452" s="309"/>
      <c r="C12452" s="309"/>
      <c r="I12452" s="309"/>
      <c r="J12452" s="309"/>
    </row>
    <row r="12453">
      <c r="B12453" s="309"/>
      <c r="C12453" s="309"/>
      <c r="I12453" s="309"/>
      <c r="J12453" s="309"/>
    </row>
    <row r="12454">
      <c r="B12454" s="309"/>
      <c r="C12454" s="309"/>
      <c r="I12454" s="309"/>
      <c r="J12454" s="309"/>
    </row>
    <row r="12455">
      <c r="B12455" s="309"/>
      <c r="C12455" s="309"/>
      <c r="I12455" s="309"/>
      <c r="J12455" s="309"/>
    </row>
    <row r="12456">
      <c r="B12456" s="309"/>
      <c r="C12456" s="309"/>
      <c r="I12456" s="309"/>
      <c r="J12456" s="309"/>
    </row>
    <row r="12457">
      <c r="B12457" s="309"/>
      <c r="C12457" s="309"/>
      <c r="I12457" s="309"/>
      <c r="J12457" s="309"/>
    </row>
    <row r="12458">
      <c r="B12458" s="309"/>
      <c r="C12458" s="309"/>
      <c r="I12458" s="309"/>
      <c r="J12458" s="309"/>
    </row>
    <row r="12459">
      <c r="B12459" s="309"/>
      <c r="C12459" s="309"/>
      <c r="I12459" s="309"/>
      <c r="J12459" s="309"/>
    </row>
    <row r="12460">
      <c r="B12460" s="309"/>
      <c r="C12460" s="309"/>
      <c r="I12460" s="309"/>
      <c r="J12460" s="309"/>
    </row>
    <row r="12461">
      <c r="B12461" s="309"/>
      <c r="C12461" s="309"/>
      <c r="I12461" s="309"/>
      <c r="J12461" s="309"/>
    </row>
    <row r="12462">
      <c r="B12462" s="309"/>
      <c r="C12462" s="309"/>
      <c r="I12462" s="309"/>
      <c r="J12462" s="309"/>
    </row>
    <row r="12463">
      <c r="B12463" s="309"/>
      <c r="C12463" s="309"/>
      <c r="I12463" s="309"/>
      <c r="J12463" s="309"/>
    </row>
    <row r="12464">
      <c r="B12464" s="309"/>
      <c r="C12464" s="309"/>
      <c r="I12464" s="309"/>
      <c r="J12464" s="309"/>
    </row>
    <row r="12465">
      <c r="B12465" s="309"/>
      <c r="C12465" s="309"/>
      <c r="I12465" s="309"/>
      <c r="J12465" s="309"/>
    </row>
    <row r="12466">
      <c r="B12466" s="309"/>
      <c r="C12466" s="309"/>
      <c r="I12466" s="309"/>
      <c r="J12466" s="309"/>
    </row>
    <row r="12467">
      <c r="B12467" s="309"/>
      <c r="C12467" s="309"/>
      <c r="I12467" s="309"/>
      <c r="J12467" s="309"/>
    </row>
    <row r="12468">
      <c r="B12468" s="309"/>
      <c r="C12468" s="309"/>
      <c r="I12468" s="309"/>
      <c r="J12468" s="309"/>
    </row>
    <row r="12469">
      <c r="B12469" s="309"/>
      <c r="C12469" s="309"/>
      <c r="I12469" s="309"/>
      <c r="J12469" s="309"/>
    </row>
    <row r="12470">
      <c r="B12470" s="309"/>
      <c r="C12470" s="309"/>
      <c r="I12470" s="309"/>
      <c r="J12470" s="309"/>
    </row>
    <row r="12471">
      <c r="B12471" s="309"/>
      <c r="C12471" s="309"/>
      <c r="I12471" s="309"/>
      <c r="J12471" s="309"/>
    </row>
    <row r="12472">
      <c r="B12472" s="309"/>
      <c r="C12472" s="309"/>
      <c r="I12472" s="309"/>
      <c r="J12472" s="309"/>
    </row>
    <row r="12473">
      <c r="B12473" s="309"/>
      <c r="C12473" s="309"/>
      <c r="I12473" s="309"/>
      <c r="J12473" s="309"/>
    </row>
    <row r="12474">
      <c r="B12474" s="309"/>
      <c r="C12474" s="309"/>
      <c r="I12474" s="309"/>
      <c r="J12474" s="309"/>
    </row>
    <row r="12475">
      <c r="B12475" s="309"/>
      <c r="C12475" s="309"/>
      <c r="I12475" s="309"/>
      <c r="J12475" s="309"/>
    </row>
    <row r="12476">
      <c r="B12476" s="309"/>
      <c r="C12476" s="309"/>
      <c r="I12476" s="309"/>
      <c r="J12476" s="309"/>
    </row>
    <row r="12477">
      <c r="B12477" s="309"/>
      <c r="C12477" s="309"/>
      <c r="I12477" s="309"/>
      <c r="J12477" s="309"/>
    </row>
    <row r="12478">
      <c r="B12478" s="309"/>
      <c r="C12478" s="309"/>
      <c r="I12478" s="309"/>
      <c r="J12478" s="309"/>
    </row>
    <row r="12479">
      <c r="B12479" s="309"/>
      <c r="C12479" s="309"/>
      <c r="I12479" s="309"/>
      <c r="J12479" s="309"/>
    </row>
    <row r="12480">
      <c r="B12480" s="309"/>
      <c r="C12480" s="309"/>
      <c r="I12480" s="309"/>
      <c r="J12480" s="309"/>
    </row>
    <row r="12481">
      <c r="B12481" s="309"/>
      <c r="C12481" s="309"/>
      <c r="I12481" s="309"/>
      <c r="J12481" s="309"/>
    </row>
    <row r="12482">
      <c r="B12482" s="309"/>
      <c r="C12482" s="309"/>
      <c r="I12482" s="309"/>
      <c r="J12482" s="309"/>
    </row>
    <row r="12483">
      <c r="B12483" s="309"/>
      <c r="C12483" s="309"/>
      <c r="I12483" s="309"/>
      <c r="J12483" s="309"/>
    </row>
    <row r="12484">
      <c r="B12484" s="309"/>
      <c r="C12484" s="309"/>
      <c r="I12484" s="309"/>
      <c r="J12484" s="309"/>
    </row>
    <row r="12485">
      <c r="B12485" s="309"/>
      <c r="C12485" s="309"/>
      <c r="I12485" s="309"/>
      <c r="J12485" s="309"/>
    </row>
    <row r="12486">
      <c r="B12486" s="309"/>
      <c r="C12486" s="309"/>
      <c r="I12486" s="309"/>
      <c r="J12486" s="309"/>
    </row>
    <row r="12487">
      <c r="B12487" s="309"/>
      <c r="C12487" s="309"/>
      <c r="I12487" s="309"/>
      <c r="J12487" s="309"/>
    </row>
    <row r="12488">
      <c r="B12488" s="309"/>
      <c r="C12488" s="309"/>
      <c r="I12488" s="309"/>
      <c r="J12488" s="309"/>
    </row>
    <row r="12489">
      <c r="B12489" s="309"/>
      <c r="C12489" s="309"/>
      <c r="I12489" s="309"/>
      <c r="J12489" s="309"/>
    </row>
    <row r="12490">
      <c r="B12490" s="309"/>
      <c r="C12490" s="309"/>
      <c r="I12490" s="309"/>
      <c r="J12490" s="309"/>
    </row>
    <row r="12491">
      <c r="B12491" s="309"/>
      <c r="C12491" s="309"/>
      <c r="I12491" s="309"/>
      <c r="J12491" s="309"/>
    </row>
    <row r="12492">
      <c r="B12492" s="309"/>
      <c r="C12492" s="309"/>
      <c r="I12492" s="309"/>
      <c r="J12492" s="309"/>
    </row>
    <row r="12493">
      <c r="B12493" s="309"/>
      <c r="C12493" s="309"/>
      <c r="I12493" s="309"/>
      <c r="J12493" s="309"/>
    </row>
    <row r="12494">
      <c r="B12494" s="309"/>
      <c r="C12494" s="309"/>
      <c r="I12494" s="309"/>
      <c r="J12494" s="309"/>
    </row>
    <row r="12495">
      <c r="B12495" s="309"/>
      <c r="C12495" s="309"/>
      <c r="I12495" s="309"/>
      <c r="J12495" s="309"/>
    </row>
    <row r="12496">
      <c r="B12496" s="309"/>
      <c r="C12496" s="309"/>
      <c r="I12496" s="309"/>
      <c r="J12496" s="309"/>
    </row>
    <row r="12497">
      <c r="B12497" s="309"/>
      <c r="C12497" s="309"/>
      <c r="I12497" s="309"/>
      <c r="J12497" s="309"/>
    </row>
    <row r="12498">
      <c r="B12498" s="309"/>
      <c r="C12498" s="309"/>
      <c r="I12498" s="309"/>
      <c r="J12498" s="309"/>
    </row>
    <row r="12499">
      <c r="B12499" s="309"/>
      <c r="C12499" s="309"/>
      <c r="I12499" s="309"/>
      <c r="J12499" s="309"/>
    </row>
    <row r="12500">
      <c r="B12500" s="309"/>
      <c r="C12500" s="309"/>
      <c r="I12500" s="309"/>
      <c r="J12500" s="309"/>
    </row>
    <row r="12501">
      <c r="B12501" s="309"/>
      <c r="C12501" s="309"/>
      <c r="I12501" s="309"/>
      <c r="J12501" s="309"/>
    </row>
    <row r="12502">
      <c r="B12502" s="309"/>
      <c r="C12502" s="309"/>
      <c r="I12502" s="309"/>
      <c r="J12502" s="309"/>
    </row>
    <row r="12503">
      <c r="B12503" s="309"/>
      <c r="C12503" s="309"/>
      <c r="I12503" s="309"/>
      <c r="J12503" s="309"/>
    </row>
    <row r="12504">
      <c r="B12504" s="309"/>
      <c r="C12504" s="309"/>
      <c r="I12504" s="309"/>
      <c r="J12504" s="309"/>
    </row>
    <row r="12505">
      <c r="B12505" s="309"/>
      <c r="C12505" s="309"/>
      <c r="I12505" s="309"/>
      <c r="J12505" s="309"/>
    </row>
    <row r="12506">
      <c r="B12506" s="309"/>
      <c r="C12506" s="309"/>
      <c r="I12506" s="309"/>
      <c r="J12506" s="309"/>
    </row>
    <row r="12507">
      <c r="B12507" s="309"/>
      <c r="C12507" s="309"/>
      <c r="I12507" s="309"/>
      <c r="J12507" s="309"/>
    </row>
    <row r="12508">
      <c r="B12508" s="309"/>
      <c r="C12508" s="309"/>
      <c r="I12508" s="309"/>
      <c r="J12508" s="309"/>
    </row>
    <row r="12509">
      <c r="B12509" s="309"/>
      <c r="C12509" s="309"/>
      <c r="I12509" s="309"/>
      <c r="J12509" s="309"/>
    </row>
    <row r="12510">
      <c r="B12510" s="309"/>
      <c r="C12510" s="309"/>
      <c r="I12510" s="309"/>
      <c r="J12510" s="309"/>
    </row>
    <row r="12511">
      <c r="B12511" s="309"/>
      <c r="C12511" s="309"/>
      <c r="I12511" s="309"/>
      <c r="J12511" s="309"/>
    </row>
    <row r="12512">
      <c r="B12512" s="309"/>
      <c r="C12512" s="309"/>
      <c r="I12512" s="309"/>
      <c r="J12512" s="309"/>
    </row>
    <row r="12513">
      <c r="B12513" s="309"/>
      <c r="C12513" s="309"/>
      <c r="I12513" s="309"/>
      <c r="J12513" s="309"/>
    </row>
    <row r="12514">
      <c r="B12514" s="309"/>
      <c r="C12514" s="309"/>
      <c r="I12514" s="309"/>
      <c r="J12514" s="309"/>
    </row>
    <row r="12515">
      <c r="B12515" s="309"/>
      <c r="C12515" s="309"/>
      <c r="I12515" s="309"/>
      <c r="J12515" s="309"/>
    </row>
    <row r="12516">
      <c r="B12516" s="309"/>
      <c r="C12516" s="309"/>
      <c r="I12516" s="309"/>
      <c r="J12516" s="309"/>
    </row>
    <row r="12517">
      <c r="B12517" s="309"/>
      <c r="C12517" s="309"/>
      <c r="I12517" s="309"/>
      <c r="J12517" s="309"/>
    </row>
    <row r="12518">
      <c r="B12518" s="309"/>
      <c r="C12518" s="309"/>
      <c r="I12518" s="309"/>
      <c r="J12518" s="309"/>
    </row>
    <row r="12519">
      <c r="B12519" s="309"/>
      <c r="C12519" s="309"/>
      <c r="I12519" s="309"/>
      <c r="J12519" s="309"/>
    </row>
    <row r="12520">
      <c r="B12520" s="309"/>
      <c r="C12520" s="309"/>
      <c r="I12520" s="309"/>
      <c r="J12520" s="309"/>
    </row>
    <row r="12521">
      <c r="B12521" s="309"/>
      <c r="C12521" s="309"/>
      <c r="I12521" s="309"/>
      <c r="J12521" s="309"/>
    </row>
    <row r="12522">
      <c r="B12522" s="309"/>
      <c r="C12522" s="309"/>
      <c r="I12522" s="309"/>
      <c r="J12522" s="309"/>
    </row>
    <row r="12523">
      <c r="B12523" s="309"/>
      <c r="C12523" s="309"/>
      <c r="I12523" s="309"/>
      <c r="J12523" s="309"/>
    </row>
    <row r="12524">
      <c r="B12524" s="309"/>
      <c r="C12524" s="309"/>
      <c r="I12524" s="309"/>
      <c r="J12524" s="309"/>
    </row>
    <row r="12525">
      <c r="B12525" s="309"/>
      <c r="C12525" s="309"/>
      <c r="I12525" s="309"/>
      <c r="J12525" s="309"/>
    </row>
    <row r="12526">
      <c r="B12526" s="309"/>
      <c r="C12526" s="309"/>
      <c r="I12526" s="309"/>
      <c r="J12526" s="309"/>
    </row>
    <row r="12527">
      <c r="B12527" s="309"/>
      <c r="C12527" s="309"/>
      <c r="I12527" s="309"/>
      <c r="J12527" s="309"/>
    </row>
    <row r="12528">
      <c r="B12528" s="309"/>
      <c r="C12528" s="309"/>
      <c r="I12528" s="309"/>
      <c r="J12528" s="309"/>
    </row>
    <row r="12529">
      <c r="B12529" s="309"/>
      <c r="C12529" s="309"/>
      <c r="I12529" s="309"/>
      <c r="J12529" s="309"/>
    </row>
    <row r="12530">
      <c r="B12530" s="309"/>
      <c r="C12530" s="309"/>
      <c r="I12530" s="309"/>
      <c r="J12530" s="309"/>
    </row>
    <row r="12531">
      <c r="B12531" s="309"/>
      <c r="C12531" s="309"/>
      <c r="I12531" s="309"/>
      <c r="J12531" s="309"/>
    </row>
    <row r="12532">
      <c r="B12532" s="309"/>
      <c r="C12532" s="309"/>
      <c r="I12532" s="309"/>
      <c r="J12532" s="309"/>
    </row>
    <row r="12533">
      <c r="B12533" s="309"/>
      <c r="C12533" s="309"/>
      <c r="I12533" s="309"/>
      <c r="J12533" s="309"/>
    </row>
    <row r="12534">
      <c r="B12534" s="309"/>
      <c r="C12534" s="309"/>
      <c r="I12534" s="309"/>
      <c r="J12534" s="309"/>
    </row>
    <row r="12535">
      <c r="B12535" s="309"/>
      <c r="C12535" s="309"/>
      <c r="I12535" s="309"/>
      <c r="J12535" s="309"/>
    </row>
    <row r="12536">
      <c r="B12536" s="309"/>
      <c r="C12536" s="309"/>
      <c r="I12536" s="309"/>
      <c r="J12536" s="309"/>
    </row>
    <row r="12537">
      <c r="B12537" s="309"/>
      <c r="C12537" s="309"/>
      <c r="I12537" s="309"/>
      <c r="J12537" s="309"/>
    </row>
    <row r="12538">
      <c r="B12538" s="309"/>
      <c r="C12538" s="309"/>
      <c r="I12538" s="309"/>
      <c r="J12538" s="309"/>
    </row>
    <row r="12539">
      <c r="B12539" s="309"/>
      <c r="C12539" s="309"/>
      <c r="I12539" s="309"/>
      <c r="J12539" s="309"/>
    </row>
    <row r="12540">
      <c r="B12540" s="309"/>
      <c r="C12540" s="309"/>
      <c r="I12540" s="309"/>
      <c r="J12540" s="309"/>
    </row>
    <row r="12541">
      <c r="B12541" s="309"/>
      <c r="C12541" s="309"/>
      <c r="I12541" s="309"/>
      <c r="J12541" s="309"/>
    </row>
    <row r="12542">
      <c r="B12542" s="309"/>
      <c r="C12542" s="309"/>
      <c r="I12542" s="309"/>
      <c r="J12542" s="309"/>
    </row>
    <row r="12543">
      <c r="B12543" s="309"/>
      <c r="C12543" s="309"/>
      <c r="I12543" s="309"/>
      <c r="J12543" s="309"/>
    </row>
    <row r="12544">
      <c r="B12544" s="309"/>
      <c r="C12544" s="309"/>
      <c r="I12544" s="309"/>
      <c r="J12544" s="309"/>
    </row>
    <row r="12545">
      <c r="B12545" s="309"/>
      <c r="C12545" s="309"/>
      <c r="I12545" s="309"/>
      <c r="J12545" s="309"/>
    </row>
    <row r="12546">
      <c r="B12546" s="309"/>
      <c r="C12546" s="309"/>
      <c r="I12546" s="309"/>
      <c r="J12546" s="309"/>
    </row>
    <row r="12547">
      <c r="B12547" s="309"/>
      <c r="C12547" s="309"/>
      <c r="I12547" s="309"/>
      <c r="J12547" s="309"/>
    </row>
    <row r="12548">
      <c r="B12548" s="309"/>
      <c r="C12548" s="309"/>
      <c r="I12548" s="309"/>
      <c r="J12548" s="309"/>
    </row>
    <row r="12549">
      <c r="B12549" s="309"/>
      <c r="C12549" s="309"/>
      <c r="I12549" s="309"/>
      <c r="J12549" s="309"/>
    </row>
    <row r="12550">
      <c r="B12550" s="309"/>
      <c r="C12550" s="309"/>
      <c r="I12550" s="309"/>
      <c r="J12550" s="309"/>
    </row>
    <row r="12551">
      <c r="B12551" s="309"/>
      <c r="C12551" s="309"/>
      <c r="I12551" s="309"/>
      <c r="J12551" s="309"/>
    </row>
    <row r="12552">
      <c r="B12552" s="309"/>
      <c r="C12552" s="309"/>
      <c r="I12552" s="309"/>
      <c r="J12552" s="309"/>
    </row>
    <row r="12553">
      <c r="B12553" s="309"/>
      <c r="C12553" s="309"/>
      <c r="I12553" s="309"/>
      <c r="J12553" s="309"/>
    </row>
    <row r="12554">
      <c r="B12554" s="309"/>
      <c r="C12554" s="309"/>
      <c r="I12554" s="309"/>
      <c r="J12554" s="309"/>
    </row>
    <row r="12555">
      <c r="B12555" s="309"/>
      <c r="C12555" s="309"/>
      <c r="I12555" s="309"/>
      <c r="J12555" s="309"/>
    </row>
    <row r="12556">
      <c r="B12556" s="309"/>
      <c r="C12556" s="309"/>
      <c r="I12556" s="309"/>
      <c r="J12556" s="309"/>
    </row>
    <row r="12557">
      <c r="B12557" s="309"/>
      <c r="C12557" s="309"/>
      <c r="I12557" s="309"/>
      <c r="J12557" s="309"/>
    </row>
    <row r="12558">
      <c r="B12558" s="309"/>
      <c r="C12558" s="309"/>
      <c r="I12558" s="309"/>
      <c r="J12558" s="309"/>
    </row>
    <row r="12559">
      <c r="B12559" s="309"/>
      <c r="C12559" s="309"/>
      <c r="I12559" s="309"/>
      <c r="J12559" s="309"/>
    </row>
    <row r="12560">
      <c r="B12560" s="309"/>
      <c r="C12560" s="309"/>
      <c r="I12560" s="309"/>
      <c r="J12560" s="309"/>
    </row>
    <row r="12561">
      <c r="B12561" s="309"/>
      <c r="C12561" s="309"/>
      <c r="I12561" s="309"/>
      <c r="J12561" s="309"/>
    </row>
    <row r="12562">
      <c r="B12562" s="309"/>
      <c r="C12562" s="309"/>
      <c r="I12562" s="309"/>
      <c r="J12562" s="309"/>
    </row>
    <row r="12563">
      <c r="B12563" s="309"/>
      <c r="C12563" s="309"/>
      <c r="I12563" s="309"/>
      <c r="J12563" s="309"/>
    </row>
    <row r="12564">
      <c r="B12564" s="309"/>
      <c r="C12564" s="309"/>
      <c r="I12564" s="309"/>
      <c r="J12564" s="309"/>
    </row>
    <row r="12565">
      <c r="B12565" s="309"/>
      <c r="C12565" s="309"/>
      <c r="I12565" s="309"/>
      <c r="J12565" s="309"/>
    </row>
    <row r="12566">
      <c r="B12566" s="309"/>
      <c r="C12566" s="309"/>
      <c r="I12566" s="309"/>
      <c r="J12566" s="309"/>
    </row>
    <row r="12567">
      <c r="B12567" s="309"/>
      <c r="C12567" s="309"/>
      <c r="I12567" s="309"/>
      <c r="J12567" s="309"/>
    </row>
    <row r="12568">
      <c r="B12568" s="309"/>
      <c r="C12568" s="309"/>
      <c r="I12568" s="309"/>
      <c r="J12568" s="309"/>
    </row>
    <row r="12569">
      <c r="B12569" s="309"/>
      <c r="C12569" s="309"/>
      <c r="I12569" s="309"/>
      <c r="J12569" s="309"/>
    </row>
    <row r="12570">
      <c r="B12570" s="309"/>
      <c r="C12570" s="309"/>
      <c r="I12570" s="309"/>
      <c r="J12570" s="309"/>
    </row>
    <row r="12571">
      <c r="B12571" s="309"/>
      <c r="C12571" s="309"/>
      <c r="I12571" s="309"/>
      <c r="J12571" s="309"/>
    </row>
    <row r="12572">
      <c r="B12572" s="309"/>
      <c r="C12572" s="309"/>
      <c r="I12572" s="309"/>
      <c r="J12572" s="309"/>
    </row>
    <row r="12573">
      <c r="B12573" s="309"/>
      <c r="C12573" s="309"/>
      <c r="I12573" s="309"/>
      <c r="J12573" s="309"/>
    </row>
    <row r="12574">
      <c r="B12574" s="309"/>
      <c r="C12574" s="309"/>
      <c r="I12574" s="309"/>
      <c r="J12574" s="309"/>
    </row>
    <row r="12575">
      <c r="B12575" s="309"/>
      <c r="C12575" s="309"/>
      <c r="I12575" s="309"/>
      <c r="J12575" s="309"/>
    </row>
    <row r="12576">
      <c r="B12576" s="309"/>
      <c r="C12576" s="309"/>
      <c r="I12576" s="309"/>
      <c r="J12576" s="309"/>
    </row>
    <row r="12577">
      <c r="B12577" s="309"/>
      <c r="C12577" s="309"/>
      <c r="I12577" s="309"/>
      <c r="J12577" s="309"/>
    </row>
    <row r="12578">
      <c r="B12578" s="309"/>
      <c r="C12578" s="309"/>
      <c r="I12578" s="309"/>
      <c r="J12578" s="309"/>
    </row>
    <row r="12579">
      <c r="B12579" s="309"/>
      <c r="C12579" s="309"/>
      <c r="I12579" s="309"/>
      <c r="J12579" s="309"/>
    </row>
    <row r="12580">
      <c r="B12580" s="309"/>
      <c r="C12580" s="309"/>
      <c r="I12580" s="309"/>
      <c r="J12580" s="309"/>
    </row>
    <row r="12581">
      <c r="B12581" s="309"/>
      <c r="C12581" s="309"/>
      <c r="I12581" s="309"/>
      <c r="J12581" s="309"/>
    </row>
    <row r="12582">
      <c r="B12582" s="309"/>
      <c r="C12582" s="309"/>
      <c r="I12582" s="309"/>
      <c r="J12582" s="309"/>
    </row>
    <row r="12583">
      <c r="B12583" s="309"/>
      <c r="C12583" s="309"/>
      <c r="I12583" s="309"/>
      <c r="J12583" s="309"/>
    </row>
    <row r="12584">
      <c r="B12584" s="309"/>
      <c r="C12584" s="309"/>
      <c r="I12584" s="309"/>
      <c r="J12584" s="309"/>
    </row>
    <row r="12585">
      <c r="B12585" s="309"/>
      <c r="C12585" s="309"/>
      <c r="I12585" s="309"/>
      <c r="J12585" s="309"/>
    </row>
    <row r="12586">
      <c r="B12586" s="309"/>
      <c r="C12586" s="309"/>
      <c r="I12586" s="309"/>
      <c r="J12586" s="309"/>
    </row>
    <row r="12587">
      <c r="B12587" s="309"/>
      <c r="C12587" s="309"/>
      <c r="I12587" s="309"/>
      <c r="J12587" s="309"/>
    </row>
    <row r="12588">
      <c r="B12588" s="309"/>
      <c r="C12588" s="309"/>
      <c r="I12588" s="309"/>
      <c r="J12588" s="309"/>
    </row>
    <row r="12589">
      <c r="B12589" s="309"/>
      <c r="C12589" s="309"/>
      <c r="I12589" s="309"/>
      <c r="J12589" s="309"/>
    </row>
    <row r="12590">
      <c r="B12590" s="309"/>
      <c r="C12590" s="309"/>
      <c r="I12590" s="309"/>
      <c r="J12590" s="309"/>
    </row>
    <row r="12591">
      <c r="B12591" s="309"/>
      <c r="C12591" s="309"/>
      <c r="I12591" s="309"/>
      <c r="J12591" s="309"/>
    </row>
    <row r="12592">
      <c r="B12592" s="309"/>
      <c r="C12592" s="309"/>
      <c r="I12592" s="309"/>
      <c r="J12592" s="309"/>
    </row>
    <row r="12593">
      <c r="B12593" s="309"/>
      <c r="C12593" s="309"/>
      <c r="I12593" s="309"/>
      <c r="J12593" s="309"/>
    </row>
    <row r="12594">
      <c r="B12594" s="309"/>
      <c r="C12594" s="309"/>
      <c r="I12594" s="309"/>
      <c r="J12594" s="309"/>
    </row>
    <row r="12595">
      <c r="B12595" s="309"/>
      <c r="C12595" s="309"/>
      <c r="I12595" s="309"/>
      <c r="J12595" s="309"/>
    </row>
    <row r="12596">
      <c r="B12596" s="309"/>
      <c r="C12596" s="309"/>
      <c r="I12596" s="309"/>
      <c r="J12596" s="309"/>
    </row>
    <row r="12597">
      <c r="B12597" s="309"/>
      <c r="C12597" s="309"/>
      <c r="I12597" s="309"/>
      <c r="J12597" s="309"/>
    </row>
    <row r="12598">
      <c r="B12598" s="309"/>
      <c r="C12598" s="309"/>
      <c r="I12598" s="309"/>
      <c r="J12598" s="309"/>
    </row>
    <row r="12599">
      <c r="B12599" s="309"/>
      <c r="C12599" s="309"/>
      <c r="I12599" s="309"/>
      <c r="J12599" s="309"/>
    </row>
    <row r="12600">
      <c r="B12600" s="309"/>
      <c r="C12600" s="309"/>
      <c r="I12600" s="309"/>
      <c r="J12600" s="309"/>
    </row>
    <row r="12601">
      <c r="B12601" s="309"/>
      <c r="C12601" s="309"/>
      <c r="I12601" s="309"/>
      <c r="J12601" s="309"/>
    </row>
    <row r="12602">
      <c r="B12602" s="309"/>
      <c r="C12602" s="309"/>
      <c r="I12602" s="309"/>
      <c r="J12602" s="309"/>
    </row>
    <row r="12603">
      <c r="B12603" s="309"/>
      <c r="C12603" s="309"/>
      <c r="I12603" s="309"/>
      <c r="J12603" s="309"/>
    </row>
    <row r="12604">
      <c r="B12604" s="309"/>
      <c r="C12604" s="309"/>
      <c r="I12604" s="309"/>
      <c r="J12604" s="309"/>
    </row>
    <row r="12605">
      <c r="B12605" s="309"/>
      <c r="C12605" s="309"/>
      <c r="I12605" s="309"/>
      <c r="J12605" s="309"/>
    </row>
    <row r="12606">
      <c r="B12606" s="309"/>
      <c r="C12606" s="309"/>
      <c r="I12606" s="309"/>
      <c r="J12606" s="309"/>
    </row>
    <row r="12607">
      <c r="B12607" s="309"/>
      <c r="C12607" s="309"/>
      <c r="I12607" s="309"/>
      <c r="J12607" s="309"/>
    </row>
    <row r="12608">
      <c r="B12608" s="309"/>
      <c r="C12608" s="309"/>
      <c r="I12608" s="309"/>
      <c r="J12608" s="309"/>
    </row>
    <row r="12609">
      <c r="B12609" s="309"/>
      <c r="C12609" s="309"/>
      <c r="I12609" s="309"/>
      <c r="J12609" s="309"/>
    </row>
    <row r="12610">
      <c r="B12610" s="309"/>
      <c r="C12610" s="309"/>
      <c r="I12610" s="309"/>
      <c r="J12610" s="309"/>
    </row>
    <row r="12611">
      <c r="B12611" s="309"/>
      <c r="C12611" s="309"/>
      <c r="I12611" s="309"/>
      <c r="J12611" s="309"/>
    </row>
    <row r="12612">
      <c r="B12612" s="309"/>
      <c r="C12612" s="309"/>
      <c r="I12612" s="309"/>
      <c r="J12612" s="309"/>
    </row>
    <row r="12613">
      <c r="B12613" s="309"/>
      <c r="C12613" s="309"/>
      <c r="I12613" s="309"/>
      <c r="J12613" s="309"/>
    </row>
    <row r="12614">
      <c r="B12614" s="309"/>
      <c r="C12614" s="309"/>
      <c r="I12614" s="309"/>
      <c r="J12614" s="309"/>
    </row>
    <row r="12615">
      <c r="B12615" s="309"/>
      <c r="C12615" s="309"/>
      <c r="I12615" s="309"/>
      <c r="J12615" s="309"/>
    </row>
    <row r="12616">
      <c r="B12616" s="309"/>
      <c r="C12616" s="309"/>
      <c r="I12616" s="309"/>
      <c r="J12616" s="309"/>
    </row>
    <row r="12617">
      <c r="B12617" s="309"/>
      <c r="C12617" s="309"/>
      <c r="I12617" s="309"/>
      <c r="J12617" s="309"/>
    </row>
    <row r="12618">
      <c r="B12618" s="309"/>
      <c r="C12618" s="309"/>
      <c r="I12618" s="309"/>
      <c r="J12618" s="309"/>
    </row>
    <row r="12619">
      <c r="B12619" s="309"/>
      <c r="C12619" s="309"/>
      <c r="I12619" s="309"/>
      <c r="J12619" s="309"/>
    </row>
    <row r="12620">
      <c r="B12620" s="309"/>
      <c r="C12620" s="309"/>
      <c r="I12620" s="309"/>
      <c r="J12620" s="309"/>
    </row>
    <row r="12621">
      <c r="B12621" s="309"/>
      <c r="C12621" s="309"/>
      <c r="I12621" s="309"/>
      <c r="J12621" s="309"/>
    </row>
    <row r="12622">
      <c r="B12622" s="309"/>
      <c r="C12622" s="309"/>
      <c r="I12622" s="309"/>
      <c r="J12622" s="309"/>
    </row>
    <row r="12623">
      <c r="B12623" s="309"/>
      <c r="C12623" s="309"/>
      <c r="I12623" s="309"/>
      <c r="J12623" s="309"/>
    </row>
    <row r="12624">
      <c r="B12624" s="309"/>
      <c r="C12624" s="309"/>
      <c r="I12624" s="309"/>
      <c r="J12624" s="309"/>
    </row>
    <row r="12625">
      <c r="B12625" s="309"/>
      <c r="C12625" s="309"/>
      <c r="I12625" s="309"/>
      <c r="J12625" s="309"/>
    </row>
    <row r="12626">
      <c r="B12626" s="309"/>
      <c r="C12626" s="309"/>
      <c r="I12626" s="309"/>
      <c r="J12626" s="309"/>
    </row>
    <row r="12627">
      <c r="B12627" s="309"/>
      <c r="C12627" s="309"/>
      <c r="I12627" s="309"/>
      <c r="J12627" s="309"/>
    </row>
    <row r="12628">
      <c r="B12628" s="309"/>
      <c r="C12628" s="309"/>
      <c r="I12628" s="309"/>
      <c r="J12628" s="309"/>
    </row>
    <row r="12629">
      <c r="B12629" s="309"/>
      <c r="C12629" s="309"/>
      <c r="I12629" s="309"/>
      <c r="J12629" s="309"/>
    </row>
    <row r="12630">
      <c r="B12630" s="309"/>
      <c r="C12630" s="309"/>
      <c r="I12630" s="309"/>
      <c r="J12630" s="309"/>
    </row>
    <row r="12631">
      <c r="B12631" s="309"/>
      <c r="C12631" s="309"/>
      <c r="I12631" s="309"/>
      <c r="J12631" s="309"/>
    </row>
    <row r="12632">
      <c r="B12632" s="309"/>
      <c r="C12632" s="309"/>
      <c r="I12632" s="309"/>
      <c r="J12632" s="309"/>
    </row>
    <row r="12633">
      <c r="B12633" s="309"/>
      <c r="C12633" s="309"/>
      <c r="I12633" s="309"/>
      <c r="J12633" s="309"/>
    </row>
    <row r="12634">
      <c r="B12634" s="309"/>
      <c r="C12634" s="309"/>
      <c r="I12634" s="309"/>
      <c r="J12634" s="309"/>
    </row>
    <row r="12635">
      <c r="B12635" s="309"/>
      <c r="C12635" s="309"/>
      <c r="I12635" s="309"/>
      <c r="J12635" s="309"/>
    </row>
    <row r="12636">
      <c r="B12636" s="309"/>
      <c r="C12636" s="309"/>
      <c r="I12636" s="309"/>
      <c r="J12636" s="309"/>
    </row>
    <row r="12637">
      <c r="B12637" s="309"/>
      <c r="C12637" s="309"/>
      <c r="I12637" s="309"/>
      <c r="J12637" s="309"/>
    </row>
    <row r="12638">
      <c r="B12638" s="309"/>
      <c r="C12638" s="309"/>
      <c r="I12638" s="309"/>
      <c r="J12638" s="309"/>
    </row>
    <row r="12639">
      <c r="B12639" s="309"/>
      <c r="C12639" s="309"/>
      <c r="I12639" s="309"/>
      <c r="J12639" s="309"/>
    </row>
    <row r="12640">
      <c r="B12640" s="309"/>
      <c r="C12640" s="309"/>
      <c r="I12640" s="309"/>
      <c r="J12640" s="309"/>
    </row>
    <row r="12641">
      <c r="B12641" s="309"/>
      <c r="C12641" s="309"/>
      <c r="I12641" s="309"/>
      <c r="J12641" s="309"/>
    </row>
    <row r="12642">
      <c r="B12642" s="309"/>
      <c r="C12642" s="309"/>
      <c r="I12642" s="309"/>
      <c r="J12642" s="309"/>
    </row>
    <row r="12643">
      <c r="B12643" s="309"/>
      <c r="C12643" s="309"/>
      <c r="I12643" s="309"/>
      <c r="J12643" s="309"/>
    </row>
    <row r="12644">
      <c r="B12644" s="309"/>
      <c r="C12644" s="309"/>
      <c r="I12644" s="309"/>
      <c r="J12644" s="309"/>
    </row>
    <row r="12645">
      <c r="B12645" s="309"/>
      <c r="C12645" s="309"/>
      <c r="I12645" s="309"/>
      <c r="J12645" s="309"/>
    </row>
    <row r="12646">
      <c r="B12646" s="309"/>
      <c r="C12646" s="309"/>
      <c r="I12646" s="309"/>
      <c r="J12646" s="309"/>
    </row>
    <row r="12647">
      <c r="B12647" s="309"/>
      <c r="C12647" s="309"/>
      <c r="I12647" s="309"/>
      <c r="J12647" s="309"/>
    </row>
    <row r="12648">
      <c r="B12648" s="309"/>
      <c r="C12648" s="309"/>
      <c r="I12648" s="309"/>
      <c r="J12648" s="309"/>
    </row>
    <row r="12649">
      <c r="B12649" s="309"/>
      <c r="C12649" s="309"/>
      <c r="I12649" s="309"/>
      <c r="J12649" s="309"/>
    </row>
    <row r="12650">
      <c r="B12650" s="309"/>
      <c r="C12650" s="309"/>
      <c r="I12650" s="309"/>
      <c r="J12650" s="309"/>
    </row>
    <row r="12651">
      <c r="B12651" s="309"/>
      <c r="C12651" s="309"/>
      <c r="I12651" s="309"/>
      <c r="J12651" s="309"/>
    </row>
    <row r="12652">
      <c r="B12652" s="309"/>
      <c r="C12652" s="309"/>
      <c r="I12652" s="309"/>
      <c r="J12652" s="309"/>
    </row>
    <row r="12653">
      <c r="B12653" s="309"/>
      <c r="C12653" s="309"/>
      <c r="I12653" s="309"/>
      <c r="J12653" s="309"/>
    </row>
    <row r="12654">
      <c r="B12654" s="309"/>
      <c r="C12654" s="309"/>
      <c r="I12654" s="309"/>
      <c r="J12654" s="309"/>
    </row>
    <row r="12655">
      <c r="B12655" s="309"/>
      <c r="C12655" s="309"/>
      <c r="I12655" s="309"/>
      <c r="J12655" s="309"/>
    </row>
    <row r="12656">
      <c r="B12656" s="309"/>
      <c r="C12656" s="309"/>
      <c r="I12656" s="309"/>
      <c r="J12656" s="309"/>
    </row>
    <row r="12657">
      <c r="B12657" s="309"/>
      <c r="C12657" s="309"/>
      <c r="I12657" s="309"/>
      <c r="J12657" s="309"/>
    </row>
    <row r="12658">
      <c r="B12658" s="309"/>
      <c r="C12658" s="309"/>
      <c r="I12658" s="309"/>
      <c r="J12658" s="309"/>
    </row>
    <row r="12659">
      <c r="B12659" s="309"/>
      <c r="C12659" s="309"/>
      <c r="I12659" s="309"/>
      <c r="J12659" s="309"/>
    </row>
    <row r="12660">
      <c r="B12660" s="309"/>
      <c r="C12660" s="309"/>
      <c r="I12660" s="309"/>
      <c r="J12660" s="309"/>
    </row>
    <row r="12661">
      <c r="B12661" s="309"/>
      <c r="C12661" s="309"/>
      <c r="I12661" s="309"/>
      <c r="J12661" s="309"/>
    </row>
    <row r="12662">
      <c r="B12662" s="309"/>
      <c r="C12662" s="309"/>
      <c r="I12662" s="309"/>
      <c r="J12662" s="309"/>
    </row>
    <row r="12663">
      <c r="B12663" s="309"/>
      <c r="C12663" s="309"/>
      <c r="I12663" s="309"/>
      <c r="J12663" s="309"/>
    </row>
    <row r="12664">
      <c r="B12664" s="309"/>
      <c r="C12664" s="309"/>
      <c r="I12664" s="309"/>
      <c r="J12664" s="309"/>
    </row>
    <row r="12665">
      <c r="B12665" s="309"/>
      <c r="C12665" s="309"/>
      <c r="I12665" s="309"/>
      <c r="J12665" s="309"/>
    </row>
    <row r="12666">
      <c r="B12666" s="309"/>
      <c r="C12666" s="309"/>
      <c r="I12666" s="309"/>
      <c r="J12666" s="309"/>
    </row>
    <row r="12667">
      <c r="B12667" s="309"/>
      <c r="C12667" s="309"/>
      <c r="I12667" s="309"/>
      <c r="J12667" s="309"/>
    </row>
    <row r="12668">
      <c r="B12668" s="309"/>
      <c r="C12668" s="309"/>
      <c r="I12668" s="309"/>
      <c r="J12668" s="309"/>
    </row>
    <row r="12669">
      <c r="B12669" s="309"/>
      <c r="C12669" s="309"/>
      <c r="I12669" s="309"/>
      <c r="J12669" s="309"/>
    </row>
    <row r="12670">
      <c r="B12670" s="309"/>
      <c r="C12670" s="309"/>
      <c r="I12670" s="309"/>
      <c r="J12670" s="309"/>
    </row>
    <row r="12671">
      <c r="B12671" s="309"/>
      <c r="C12671" s="309"/>
      <c r="I12671" s="309"/>
      <c r="J12671" s="309"/>
    </row>
    <row r="12672">
      <c r="B12672" s="309"/>
      <c r="C12672" s="309"/>
      <c r="I12672" s="309"/>
      <c r="J12672" s="309"/>
    </row>
    <row r="12673">
      <c r="B12673" s="309"/>
      <c r="C12673" s="309"/>
      <c r="I12673" s="309"/>
      <c r="J12673" s="309"/>
    </row>
    <row r="12674">
      <c r="B12674" s="309"/>
      <c r="C12674" s="309"/>
      <c r="I12674" s="309"/>
      <c r="J12674" s="309"/>
    </row>
    <row r="12675">
      <c r="B12675" s="309"/>
      <c r="C12675" s="309"/>
      <c r="I12675" s="309"/>
      <c r="J12675" s="309"/>
    </row>
    <row r="12676">
      <c r="B12676" s="309"/>
      <c r="C12676" s="309"/>
      <c r="I12676" s="309"/>
      <c r="J12676" s="309"/>
    </row>
    <row r="12677">
      <c r="B12677" s="309"/>
      <c r="C12677" s="309"/>
      <c r="I12677" s="309"/>
      <c r="J12677" s="309"/>
    </row>
    <row r="12678">
      <c r="B12678" s="309"/>
      <c r="C12678" s="309"/>
      <c r="I12678" s="309"/>
      <c r="J12678" s="309"/>
    </row>
    <row r="12679">
      <c r="B12679" s="309"/>
      <c r="C12679" s="309"/>
      <c r="I12679" s="309"/>
      <c r="J12679" s="309"/>
    </row>
    <row r="12680">
      <c r="B12680" s="309"/>
      <c r="C12680" s="309"/>
      <c r="I12680" s="309"/>
      <c r="J12680" s="309"/>
    </row>
    <row r="12681">
      <c r="B12681" s="309"/>
      <c r="C12681" s="309"/>
      <c r="I12681" s="309"/>
      <c r="J12681" s="309"/>
    </row>
    <row r="12682">
      <c r="B12682" s="309"/>
      <c r="C12682" s="309"/>
      <c r="I12682" s="309"/>
      <c r="J12682" s="309"/>
    </row>
    <row r="12683">
      <c r="B12683" s="309"/>
      <c r="C12683" s="309"/>
      <c r="I12683" s="309"/>
      <c r="J12683" s="309"/>
    </row>
    <row r="12684">
      <c r="B12684" s="309"/>
      <c r="C12684" s="309"/>
      <c r="I12684" s="309"/>
      <c r="J12684" s="309"/>
    </row>
    <row r="12685">
      <c r="B12685" s="309"/>
      <c r="C12685" s="309"/>
      <c r="I12685" s="309"/>
      <c r="J12685" s="309"/>
    </row>
    <row r="12686">
      <c r="B12686" s="309"/>
      <c r="C12686" s="309"/>
      <c r="I12686" s="309"/>
      <c r="J12686" s="309"/>
    </row>
    <row r="12687">
      <c r="B12687" s="309"/>
      <c r="C12687" s="309"/>
      <c r="I12687" s="309"/>
      <c r="J12687" s="309"/>
    </row>
    <row r="12688">
      <c r="B12688" s="309"/>
      <c r="C12688" s="309"/>
      <c r="I12688" s="309"/>
      <c r="J12688" s="309"/>
    </row>
    <row r="12689">
      <c r="B12689" s="309"/>
      <c r="C12689" s="309"/>
      <c r="I12689" s="309"/>
      <c r="J12689" s="309"/>
    </row>
    <row r="12690">
      <c r="B12690" s="309"/>
      <c r="C12690" s="309"/>
      <c r="I12690" s="309"/>
      <c r="J12690" s="309"/>
    </row>
    <row r="12691">
      <c r="B12691" s="309"/>
      <c r="C12691" s="309"/>
      <c r="I12691" s="309"/>
      <c r="J12691" s="309"/>
    </row>
    <row r="12692">
      <c r="B12692" s="309"/>
      <c r="C12692" s="309"/>
      <c r="I12692" s="309"/>
      <c r="J12692" s="309"/>
    </row>
    <row r="12693">
      <c r="B12693" s="309"/>
      <c r="C12693" s="309"/>
      <c r="I12693" s="309"/>
      <c r="J12693" s="309"/>
    </row>
    <row r="12694">
      <c r="B12694" s="309"/>
      <c r="C12694" s="309"/>
      <c r="I12694" s="309"/>
      <c r="J12694" s="309"/>
    </row>
    <row r="12695">
      <c r="B12695" s="309"/>
      <c r="C12695" s="309"/>
      <c r="I12695" s="309"/>
      <c r="J12695" s="309"/>
    </row>
    <row r="12696">
      <c r="B12696" s="309"/>
      <c r="C12696" s="309"/>
      <c r="I12696" s="309"/>
      <c r="J12696" s="309"/>
    </row>
    <row r="12697">
      <c r="B12697" s="309"/>
      <c r="C12697" s="309"/>
      <c r="I12697" s="309"/>
      <c r="J12697" s="309"/>
    </row>
    <row r="12698">
      <c r="B12698" s="309"/>
      <c r="C12698" s="309"/>
      <c r="I12698" s="309"/>
      <c r="J12698" s="309"/>
    </row>
    <row r="12699">
      <c r="B12699" s="309"/>
      <c r="C12699" s="309"/>
      <c r="I12699" s="309"/>
      <c r="J12699" s="309"/>
    </row>
    <row r="12700">
      <c r="B12700" s="309"/>
      <c r="C12700" s="309"/>
      <c r="I12700" s="309"/>
      <c r="J12700" s="309"/>
    </row>
    <row r="12701">
      <c r="B12701" s="309"/>
      <c r="C12701" s="309"/>
      <c r="I12701" s="309"/>
      <c r="J12701" s="309"/>
    </row>
    <row r="12702">
      <c r="B12702" s="309"/>
      <c r="C12702" s="309"/>
      <c r="I12702" s="309"/>
      <c r="J12702" s="309"/>
    </row>
    <row r="12703">
      <c r="B12703" s="309"/>
      <c r="C12703" s="309"/>
      <c r="I12703" s="309"/>
      <c r="J12703" s="309"/>
    </row>
    <row r="12704">
      <c r="B12704" s="309"/>
      <c r="C12704" s="309"/>
      <c r="I12704" s="309"/>
      <c r="J12704" s="309"/>
    </row>
    <row r="12705">
      <c r="B12705" s="309"/>
      <c r="C12705" s="309"/>
      <c r="I12705" s="309"/>
      <c r="J12705" s="309"/>
    </row>
    <row r="12706">
      <c r="B12706" s="309"/>
      <c r="C12706" s="309"/>
      <c r="I12706" s="309"/>
      <c r="J12706" s="309"/>
    </row>
    <row r="12707">
      <c r="B12707" s="309"/>
      <c r="C12707" s="309"/>
      <c r="I12707" s="309"/>
      <c r="J12707" s="309"/>
    </row>
    <row r="12708">
      <c r="B12708" s="309"/>
      <c r="C12708" s="309"/>
      <c r="I12708" s="309"/>
      <c r="J12708" s="309"/>
    </row>
    <row r="12709">
      <c r="B12709" s="309"/>
      <c r="C12709" s="309"/>
      <c r="I12709" s="309"/>
      <c r="J12709" s="309"/>
    </row>
    <row r="12710">
      <c r="B12710" s="309"/>
      <c r="C12710" s="309"/>
      <c r="I12710" s="309"/>
      <c r="J12710" s="309"/>
    </row>
    <row r="12711">
      <c r="B12711" s="309"/>
      <c r="C12711" s="309"/>
      <c r="I12711" s="309"/>
      <c r="J12711" s="309"/>
    </row>
    <row r="12712">
      <c r="B12712" s="309"/>
      <c r="C12712" s="309"/>
      <c r="I12712" s="309"/>
      <c r="J12712" s="309"/>
    </row>
    <row r="12713">
      <c r="B12713" s="309"/>
      <c r="C12713" s="309"/>
      <c r="I12713" s="309"/>
      <c r="J12713" s="309"/>
    </row>
    <row r="12714">
      <c r="B12714" s="309"/>
      <c r="C12714" s="309"/>
      <c r="I12714" s="309"/>
      <c r="J12714" s="309"/>
    </row>
    <row r="12715">
      <c r="B12715" s="309"/>
      <c r="C12715" s="309"/>
      <c r="I12715" s="309"/>
      <c r="J12715" s="309"/>
    </row>
    <row r="12716">
      <c r="B12716" s="309"/>
      <c r="C12716" s="309"/>
      <c r="I12716" s="309"/>
      <c r="J12716" s="309"/>
    </row>
    <row r="12717">
      <c r="B12717" s="309"/>
      <c r="C12717" s="309"/>
      <c r="I12717" s="309"/>
      <c r="J12717" s="309"/>
    </row>
    <row r="12718">
      <c r="B12718" s="309"/>
      <c r="C12718" s="309"/>
      <c r="I12718" s="309"/>
      <c r="J12718" s="309"/>
    </row>
    <row r="12719">
      <c r="B12719" s="309"/>
      <c r="C12719" s="309"/>
      <c r="I12719" s="309"/>
      <c r="J12719" s="309"/>
    </row>
    <row r="12720">
      <c r="B12720" s="309"/>
      <c r="C12720" s="309"/>
      <c r="I12720" s="309"/>
      <c r="J12720" s="309"/>
    </row>
    <row r="12721">
      <c r="B12721" s="309"/>
      <c r="C12721" s="309"/>
      <c r="I12721" s="309"/>
      <c r="J12721" s="309"/>
    </row>
    <row r="12722">
      <c r="B12722" s="309"/>
      <c r="C12722" s="309"/>
      <c r="I12722" s="309"/>
      <c r="J12722" s="309"/>
    </row>
    <row r="12723">
      <c r="B12723" s="309"/>
      <c r="C12723" s="309"/>
      <c r="I12723" s="309"/>
      <c r="J12723" s="309"/>
    </row>
    <row r="12724">
      <c r="B12724" s="309"/>
      <c r="C12724" s="309"/>
      <c r="I12724" s="309"/>
      <c r="J12724" s="309"/>
    </row>
    <row r="12725">
      <c r="B12725" s="309"/>
      <c r="C12725" s="309"/>
      <c r="I12725" s="309"/>
      <c r="J12725" s="309"/>
    </row>
    <row r="12726">
      <c r="B12726" s="309"/>
      <c r="C12726" s="309"/>
      <c r="I12726" s="309"/>
      <c r="J12726" s="309"/>
    </row>
    <row r="12727">
      <c r="B12727" s="309"/>
      <c r="C12727" s="309"/>
      <c r="I12727" s="309"/>
      <c r="J12727" s="309"/>
    </row>
    <row r="12728">
      <c r="B12728" s="309"/>
      <c r="C12728" s="309"/>
      <c r="I12728" s="309"/>
      <c r="J12728" s="309"/>
    </row>
    <row r="12729">
      <c r="B12729" s="309"/>
      <c r="C12729" s="309"/>
      <c r="I12729" s="309"/>
      <c r="J12729" s="309"/>
    </row>
    <row r="12730">
      <c r="B12730" s="309"/>
      <c r="C12730" s="309"/>
      <c r="I12730" s="309"/>
      <c r="J12730" s="309"/>
    </row>
    <row r="12731">
      <c r="B12731" s="309"/>
      <c r="C12731" s="309"/>
      <c r="I12731" s="309"/>
      <c r="J12731" s="309"/>
    </row>
    <row r="12732">
      <c r="B12732" s="309"/>
      <c r="C12732" s="309"/>
      <c r="I12732" s="309"/>
      <c r="J12732" s="309"/>
    </row>
    <row r="12733">
      <c r="B12733" s="309"/>
      <c r="C12733" s="309"/>
      <c r="I12733" s="309"/>
      <c r="J12733" s="309"/>
    </row>
    <row r="12734">
      <c r="B12734" s="309"/>
      <c r="C12734" s="309"/>
      <c r="I12734" s="309"/>
      <c r="J12734" s="309"/>
    </row>
    <row r="12735">
      <c r="B12735" s="309"/>
      <c r="C12735" s="309"/>
      <c r="I12735" s="309"/>
      <c r="J12735" s="309"/>
    </row>
    <row r="12736">
      <c r="B12736" s="309"/>
      <c r="C12736" s="309"/>
      <c r="I12736" s="309"/>
      <c r="J12736" s="309"/>
    </row>
    <row r="12737">
      <c r="B12737" s="309"/>
      <c r="C12737" s="309"/>
      <c r="I12737" s="309"/>
      <c r="J12737" s="309"/>
    </row>
    <row r="12738">
      <c r="B12738" s="309"/>
      <c r="C12738" s="309"/>
      <c r="I12738" s="309"/>
      <c r="J12738" s="309"/>
    </row>
    <row r="12739">
      <c r="B12739" s="309"/>
      <c r="C12739" s="309"/>
      <c r="I12739" s="309"/>
      <c r="J12739" s="309"/>
    </row>
    <row r="12740">
      <c r="B12740" s="309"/>
      <c r="C12740" s="309"/>
      <c r="I12740" s="309"/>
      <c r="J12740" s="309"/>
    </row>
    <row r="12741">
      <c r="B12741" s="309"/>
      <c r="C12741" s="309"/>
      <c r="I12741" s="309"/>
      <c r="J12741" s="309"/>
    </row>
    <row r="12742">
      <c r="B12742" s="309"/>
      <c r="C12742" s="309"/>
      <c r="I12742" s="309"/>
      <c r="J12742" s="309"/>
    </row>
    <row r="12743">
      <c r="B12743" s="309"/>
      <c r="C12743" s="309"/>
      <c r="I12743" s="309"/>
      <c r="J12743" s="309"/>
    </row>
    <row r="12744">
      <c r="B12744" s="309"/>
      <c r="C12744" s="309"/>
      <c r="I12744" s="309"/>
      <c r="J12744" s="309"/>
    </row>
    <row r="12745">
      <c r="B12745" s="309"/>
      <c r="C12745" s="309"/>
      <c r="I12745" s="309"/>
      <c r="J12745" s="309"/>
    </row>
    <row r="12746">
      <c r="B12746" s="309"/>
      <c r="C12746" s="309"/>
      <c r="I12746" s="309"/>
      <c r="J12746" s="309"/>
    </row>
    <row r="12747">
      <c r="B12747" s="309"/>
      <c r="C12747" s="309"/>
      <c r="I12747" s="309"/>
      <c r="J12747" s="309"/>
    </row>
    <row r="12748">
      <c r="B12748" s="309"/>
      <c r="C12748" s="309"/>
      <c r="I12748" s="309"/>
      <c r="J12748" s="309"/>
    </row>
    <row r="12749">
      <c r="B12749" s="309"/>
      <c r="C12749" s="309"/>
      <c r="I12749" s="309"/>
      <c r="J12749" s="309"/>
    </row>
    <row r="12750">
      <c r="B12750" s="309"/>
      <c r="C12750" s="309"/>
      <c r="I12750" s="309"/>
      <c r="J12750" s="309"/>
    </row>
    <row r="12751">
      <c r="B12751" s="309"/>
      <c r="C12751" s="309"/>
      <c r="I12751" s="309"/>
      <c r="J12751" s="309"/>
    </row>
    <row r="12752">
      <c r="B12752" s="309"/>
      <c r="C12752" s="309"/>
      <c r="I12752" s="309"/>
      <c r="J12752" s="309"/>
    </row>
    <row r="12753">
      <c r="B12753" s="309"/>
      <c r="C12753" s="309"/>
      <c r="I12753" s="309"/>
      <c r="J12753" s="309"/>
    </row>
    <row r="12754">
      <c r="B12754" s="309"/>
      <c r="C12754" s="309"/>
      <c r="I12754" s="309"/>
      <c r="J12754" s="309"/>
    </row>
    <row r="12755">
      <c r="B12755" s="309"/>
      <c r="C12755" s="309"/>
      <c r="I12755" s="309"/>
      <c r="J12755" s="309"/>
    </row>
    <row r="12756">
      <c r="B12756" s="309"/>
      <c r="C12756" s="309"/>
      <c r="I12756" s="309"/>
      <c r="J12756" s="309"/>
    </row>
    <row r="12757">
      <c r="B12757" s="309"/>
      <c r="C12757" s="309"/>
      <c r="I12757" s="309"/>
      <c r="J12757" s="309"/>
    </row>
    <row r="12758">
      <c r="B12758" s="309"/>
      <c r="C12758" s="309"/>
      <c r="I12758" s="309"/>
      <c r="J12758" s="309"/>
    </row>
    <row r="12759">
      <c r="B12759" s="309"/>
      <c r="C12759" s="309"/>
      <c r="I12759" s="309"/>
      <c r="J12759" s="309"/>
    </row>
    <row r="12760">
      <c r="B12760" s="309"/>
      <c r="C12760" s="309"/>
      <c r="I12760" s="309"/>
      <c r="J12760" s="309"/>
    </row>
    <row r="12761">
      <c r="B12761" s="309"/>
      <c r="C12761" s="309"/>
      <c r="I12761" s="309"/>
      <c r="J12761" s="309"/>
    </row>
    <row r="12762">
      <c r="B12762" s="309"/>
      <c r="C12762" s="309"/>
      <c r="I12762" s="309"/>
      <c r="J12762" s="309"/>
    </row>
    <row r="12763">
      <c r="B12763" s="309"/>
      <c r="C12763" s="309"/>
      <c r="I12763" s="309"/>
      <c r="J12763" s="309"/>
    </row>
    <row r="12764">
      <c r="B12764" s="309"/>
      <c r="C12764" s="309"/>
      <c r="I12764" s="309"/>
      <c r="J12764" s="309"/>
    </row>
    <row r="12765">
      <c r="B12765" s="309"/>
      <c r="C12765" s="309"/>
      <c r="I12765" s="309"/>
      <c r="J12765" s="309"/>
    </row>
    <row r="12766">
      <c r="B12766" s="309"/>
      <c r="C12766" s="309"/>
      <c r="I12766" s="309"/>
      <c r="J12766" s="309"/>
    </row>
    <row r="12767">
      <c r="B12767" s="309"/>
      <c r="C12767" s="309"/>
      <c r="I12767" s="309"/>
      <c r="J12767" s="309"/>
    </row>
    <row r="12768">
      <c r="B12768" s="309"/>
      <c r="C12768" s="309"/>
      <c r="I12768" s="309"/>
      <c r="J12768" s="309"/>
    </row>
    <row r="12769">
      <c r="B12769" s="309"/>
      <c r="C12769" s="309"/>
      <c r="I12769" s="309"/>
      <c r="J12769" s="309"/>
    </row>
    <row r="12770">
      <c r="B12770" s="309"/>
      <c r="C12770" s="309"/>
      <c r="I12770" s="309"/>
      <c r="J12770" s="309"/>
    </row>
    <row r="12771">
      <c r="B12771" s="309"/>
      <c r="C12771" s="309"/>
      <c r="I12771" s="309"/>
      <c r="J12771" s="309"/>
    </row>
    <row r="12772">
      <c r="B12772" s="309"/>
      <c r="C12772" s="309"/>
      <c r="I12772" s="309"/>
      <c r="J12772" s="309"/>
    </row>
    <row r="12773">
      <c r="B12773" s="309"/>
      <c r="C12773" s="309"/>
      <c r="I12773" s="309"/>
      <c r="J12773" s="309"/>
    </row>
    <row r="12774">
      <c r="B12774" s="309"/>
      <c r="C12774" s="309"/>
      <c r="I12774" s="309"/>
      <c r="J12774" s="309"/>
    </row>
    <row r="12775">
      <c r="B12775" s="309"/>
      <c r="C12775" s="309"/>
      <c r="I12775" s="309"/>
      <c r="J12775" s="309"/>
    </row>
    <row r="12776">
      <c r="B12776" s="309"/>
      <c r="C12776" s="309"/>
      <c r="I12776" s="309"/>
      <c r="J12776" s="309"/>
    </row>
    <row r="12777">
      <c r="B12777" s="309"/>
      <c r="C12777" s="309"/>
      <c r="I12777" s="309"/>
      <c r="J12777" s="309"/>
    </row>
    <row r="12778">
      <c r="B12778" s="309"/>
      <c r="C12778" s="309"/>
      <c r="I12778" s="309"/>
      <c r="J12778" s="309"/>
    </row>
    <row r="12779">
      <c r="B12779" s="309"/>
      <c r="C12779" s="309"/>
      <c r="I12779" s="309"/>
      <c r="J12779" s="309"/>
    </row>
    <row r="12780">
      <c r="B12780" s="309"/>
      <c r="C12780" s="309"/>
      <c r="I12780" s="309"/>
      <c r="J12780" s="309"/>
    </row>
    <row r="12781">
      <c r="B12781" s="309"/>
      <c r="C12781" s="309"/>
      <c r="I12781" s="309"/>
      <c r="J12781" s="309"/>
    </row>
    <row r="12782">
      <c r="B12782" s="309"/>
      <c r="C12782" s="309"/>
      <c r="I12782" s="309"/>
      <c r="J12782" s="309"/>
    </row>
    <row r="12783">
      <c r="B12783" s="309"/>
      <c r="C12783" s="309"/>
      <c r="I12783" s="309"/>
      <c r="J12783" s="309"/>
    </row>
    <row r="12784">
      <c r="B12784" s="309"/>
      <c r="C12784" s="309"/>
      <c r="I12784" s="309"/>
      <c r="J12784" s="309"/>
    </row>
    <row r="12785">
      <c r="B12785" s="309"/>
      <c r="C12785" s="309"/>
      <c r="I12785" s="309"/>
      <c r="J12785" s="309"/>
    </row>
    <row r="12786">
      <c r="B12786" s="309"/>
      <c r="C12786" s="309"/>
      <c r="I12786" s="309"/>
      <c r="J12786" s="309"/>
    </row>
    <row r="12787">
      <c r="B12787" s="309"/>
      <c r="C12787" s="309"/>
      <c r="I12787" s="309"/>
      <c r="J12787" s="309"/>
    </row>
    <row r="12788">
      <c r="B12788" s="309"/>
      <c r="C12788" s="309"/>
      <c r="I12788" s="309"/>
      <c r="J12788" s="309"/>
    </row>
    <row r="12789">
      <c r="B12789" s="309"/>
      <c r="C12789" s="309"/>
      <c r="I12789" s="309"/>
      <c r="J12789" s="309"/>
    </row>
    <row r="12790">
      <c r="B12790" s="309"/>
      <c r="C12790" s="309"/>
      <c r="I12790" s="309"/>
      <c r="J12790" s="309"/>
    </row>
    <row r="12791">
      <c r="B12791" s="309"/>
      <c r="C12791" s="309"/>
      <c r="I12791" s="309"/>
      <c r="J12791" s="309"/>
    </row>
    <row r="12792">
      <c r="B12792" s="309"/>
      <c r="C12792" s="309"/>
      <c r="I12792" s="309"/>
      <c r="J12792" s="309"/>
    </row>
    <row r="12793">
      <c r="B12793" s="309"/>
      <c r="C12793" s="309"/>
      <c r="I12793" s="309"/>
      <c r="J12793" s="309"/>
    </row>
    <row r="12794">
      <c r="B12794" s="309"/>
      <c r="C12794" s="309"/>
      <c r="I12794" s="309"/>
      <c r="J12794" s="309"/>
    </row>
    <row r="12795">
      <c r="B12795" s="309"/>
      <c r="C12795" s="309"/>
      <c r="I12795" s="309"/>
      <c r="J12795" s="309"/>
    </row>
    <row r="12796">
      <c r="B12796" s="309"/>
      <c r="C12796" s="309"/>
      <c r="I12796" s="309"/>
      <c r="J12796" s="309"/>
    </row>
    <row r="12797">
      <c r="B12797" s="309"/>
      <c r="C12797" s="309"/>
      <c r="I12797" s="309"/>
      <c r="J12797" s="309"/>
    </row>
    <row r="12798">
      <c r="B12798" s="309"/>
      <c r="C12798" s="309"/>
      <c r="I12798" s="309"/>
      <c r="J12798" s="309"/>
    </row>
    <row r="12799">
      <c r="B12799" s="309"/>
      <c r="C12799" s="309"/>
      <c r="I12799" s="309"/>
      <c r="J12799" s="309"/>
    </row>
    <row r="12800">
      <c r="B12800" s="309"/>
      <c r="C12800" s="309"/>
      <c r="I12800" s="309"/>
      <c r="J12800" s="309"/>
    </row>
    <row r="12801">
      <c r="B12801" s="309"/>
      <c r="C12801" s="309"/>
      <c r="I12801" s="309"/>
      <c r="J12801" s="309"/>
    </row>
    <row r="12802">
      <c r="B12802" s="309"/>
      <c r="C12802" s="309"/>
      <c r="I12802" s="309"/>
      <c r="J12802" s="309"/>
    </row>
    <row r="12803">
      <c r="B12803" s="309"/>
      <c r="C12803" s="309"/>
      <c r="I12803" s="309"/>
      <c r="J12803" s="309"/>
    </row>
    <row r="12804">
      <c r="B12804" s="309"/>
      <c r="C12804" s="309"/>
      <c r="I12804" s="309"/>
      <c r="J12804" s="309"/>
    </row>
    <row r="12805">
      <c r="B12805" s="309"/>
      <c r="C12805" s="309"/>
      <c r="I12805" s="309"/>
      <c r="J12805" s="309"/>
    </row>
    <row r="12806">
      <c r="B12806" s="309"/>
      <c r="C12806" s="309"/>
      <c r="I12806" s="309"/>
      <c r="J12806" s="309"/>
    </row>
    <row r="12807">
      <c r="B12807" s="309"/>
      <c r="C12807" s="309"/>
      <c r="I12807" s="309"/>
      <c r="J12807" s="309"/>
    </row>
    <row r="12808">
      <c r="B12808" s="309"/>
      <c r="C12808" s="309"/>
      <c r="I12808" s="309"/>
      <c r="J12808" s="309"/>
    </row>
    <row r="12809">
      <c r="B12809" s="309"/>
      <c r="C12809" s="309"/>
      <c r="I12809" s="309"/>
      <c r="J12809" s="309"/>
    </row>
    <row r="12810">
      <c r="B12810" s="309"/>
      <c r="C12810" s="309"/>
      <c r="I12810" s="309"/>
      <c r="J12810" s="309"/>
    </row>
    <row r="12811">
      <c r="B12811" s="309"/>
      <c r="C12811" s="309"/>
      <c r="I12811" s="309"/>
      <c r="J12811" s="309"/>
    </row>
    <row r="12812">
      <c r="B12812" s="309"/>
      <c r="C12812" s="309"/>
      <c r="I12812" s="309"/>
      <c r="J12812" s="309"/>
    </row>
    <row r="12813">
      <c r="B12813" s="309"/>
      <c r="C12813" s="309"/>
      <c r="I12813" s="309"/>
      <c r="J12813" s="309"/>
    </row>
    <row r="12814">
      <c r="B12814" s="309"/>
      <c r="C12814" s="309"/>
      <c r="I12814" s="309"/>
      <c r="J12814" s="309"/>
    </row>
    <row r="12815">
      <c r="B12815" s="309"/>
      <c r="C12815" s="309"/>
      <c r="I12815" s="309"/>
      <c r="J12815" s="309"/>
    </row>
    <row r="12816">
      <c r="B12816" s="309"/>
      <c r="C12816" s="309"/>
      <c r="I12816" s="309"/>
      <c r="J12816" s="309"/>
    </row>
    <row r="12817">
      <c r="B12817" s="309"/>
      <c r="C12817" s="309"/>
      <c r="I12817" s="309"/>
      <c r="J12817" s="309"/>
    </row>
    <row r="12818">
      <c r="B12818" s="309"/>
      <c r="C12818" s="309"/>
      <c r="I12818" s="309"/>
      <c r="J12818" s="309"/>
    </row>
    <row r="12819">
      <c r="B12819" s="309"/>
      <c r="C12819" s="309"/>
      <c r="I12819" s="309"/>
      <c r="J12819" s="309"/>
    </row>
    <row r="12820">
      <c r="B12820" s="309"/>
      <c r="C12820" s="309"/>
      <c r="I12820" s="309"/>
      <c r="J12820" s="309"/>
    </row>
    <row r="12821">
      <c r="B12821" s="309"/>
      <c r="C12821" s="309"/>
      <c r="I12821" s="309"/>
      <c r="J12821" s="309"/>
    </row>
    <row r="12822">
      <c r="B12822" s="309"/>
      <c r="C12822" s="309"/>
      <c r="I12822" s="309"/>
      <c r="J12822" s="309"/>
    </row>
    <row r="12823">
      <c r="B12823" s="309"/>
      <c r="C12823" s="309"/>
      <c r="I12823" s="309"/>
      <c r="J12823" s="309"/>
    </row>
    <row r="12824">
      <c r="B12824" s="309"/>
      <c r="C12824" s="309"/>
      <c r="I12824" s="309"/>
      <c r="J12824" s="309"/>
    </row>
    <row r="12825">
      <c r="B12825" s="309"/>
      <c r="C12825" s="309"/>
      <c r="I12825" s="309"/>
      <c r="J12825" s="309"/>
    </row>
    <row r="12826">
      <c r="B12826" s="309"/>
      <c r="C12826" s="309"/>
      <c r="I12826" s="309"/>
      <c r="J12826" s="309"/>
    </row>
    <row r="12827">
      <c r="B12827" s="309"/>
      <c r="C12827" s="309"/>
      <c r="I12827" s="309"/>
      <c r="J12827" s="309"/>
    </row>
    <row r="12828">
      <c r="B12828" s="309"/>
      <c r="C12828" s="309"/>
      <c r="I12828" s="309"/>
      <c r="J12828" s="309"/>
    </row>
    <row r="12829">
      <c r="B12829" s="309"/>
      <c r="C12829" s="309"/>
      <c r="I12829" s="309"/>
      <c r="J12829" s="309"/>
    </row>
    <row r="12830">
      <c r="B12830" s="309"/>
      <c r="C12830" s="309"/>
      <c r="I12830" s="309"/>
      <c r="J12830" s="309"/>
    </row>
    <row r="12831">
      <c r="B12831" s="309"/>
      <c r="C12831" s="309"/>
      <c r="I12831" s="309"/>
      <c r="J12831" s="309"/>
    </row>
    <row r="12832">
      <c r="B12832" s="309"/>
      <c r="C12832" s="309"/>
      <c r="I12832" s="309"/>
      <c r="J12832" s="309"/>
    </row>
    <row r="12833">
      <c r="B12833" s="309"/>
      <c r="C12833" s="309"/>
      <c r="I12833" s="309"/>
      <c r="J12833" s="309"/>
    </row>
    <row r="12834">
      <c r="B12834" s="309"/>
      <c r="C12834" s="309"/>
      <c r="I12834" s="309"/>
      <c r="J12834" s="309"/>
    </row>
    <row r="12835">
      <c r="B12835" s="309"/>
      <c r="C12835" s="309"/>
      <c r="I12835" s="309"/>
      <c r="J12835" s="309"/>
    </row>
    <row r="12836">
      <c r="B12836" s="309"/>
      <c r="C12836" s="309"/>
      <c r="I12836" s="309"/>
      <c r="J12836" s="309"/>
    </row>
    <row r="12837">
      <c r="B12837" s="309"/>
      <c r="C12837" s="309"/>
      <c r="I12837" s="309"/>
      <c r="J12837" s="309"/>
    </row>
    <row r="12838">
      <c r="B12838" s="309"/>
      <c r="C12838" s="309"/>
      <c r="I12838" s="309"/>
      <c r="J12838" s="309"/>
    </row>
    <row r="12839">
      <c r="B12839" s="309"/>
      <c r="C12839" s="309"/>
      <c r="I12839" s="309"/>
      <c r="J12839" s="309"/>
    </row>
    <row r="12840">
      <c r="B12840" s="309"/>
      <c r="C12840" s="309"/>
      <c r="I12840" s="309"/>
      <c r="J12840" s="309"/>
    </row>
    <row r="12841">
      <c r="B12841" s="309"/>
      <c r="C12841" s="309"/>
      <c r="I12841" s="309"/>
      <c r="J12841" s="309"/>
    </row>
    <row r="12842">
      <c r="B12842" s="309"/>
      <c r="C12842" s="309"/>
      <c r="I12842" s="309"/>
      <c r="J12842" s="309"/>
    </row>
    <row r="12843">
      <c r="B12843" s="309"/>
      <c r="C12843" s="309"/>
      <c r="I12843" s="309"/>
      <c r="J12843" s="309"/>
    </row>
    <row r="12844">
      <c r="B12844" s="309"/>
      <c r="C12844" s="309"/>
      <c r="I12844" s="309"/>
      <c r="J12844" s="309"/>
    </row>
    <row r="12845">
      <c r="B12845" s="309"/>
      <c r="C12845" s="309"/>
      <c r="I12845" s="309"/>
      <c r="J12845" s="309"/>
    </row>
    <row r="12846">
      <c r="B12846" s="309"/>
      <c r="C12846" s="309"/>
      <c r="I12846" s="309"/>
      <c r="J12846" s="309"/>
    </row>
    <row r="12847">
      <c r="B12847" s="309"/>
      <c r="C12847" s="309"/>
      <c r="I12847" s="309"/>
      <c r="J12847" s="309"/>
    </row>
    <row r="12848">
      <c r="B12848" s="309"/>
      <c r="C12848" s="309"/>
      <c r="I12848" s="309"/>
      <c r="J12848" s="309"/>
    </row>
    <row r="12849">
      <c r="B12849" s="309"/>
      <c r="C12849" s="309"/>
      <c r="I12849" s="309"/>
      <c r="J12849" s="309"/>
    </row>
    <row r="12850">
      <c r="B12850" s="309"/>
      <c r="C12850" s="309"/>
      <c r="I12850" s="309"/>
      <c r="J12850" s="309"/>
    </row>
    <row r="12851">
      <c r="B12851" s="309"/>
      <c r="C12851" s="309"/>
      <c r="I12851" s="309"/>
      <c r="J12851" s="309"/>
    </row>
    <row r="12852">
      <c r="B12852" s="309"/>
      <c r="C12852" s="309"/>
      <c r="I12852" s="309"/>
      <c r="J12852" s="309"/>
    </row>
    <row r="12853">
      <c r="B12853" s="309"/>
      <c r="C12853" s="309"/>
      <c r="I12853" s="309"/>
      <c r="J12853" s="309"/>
    </row>
    <row r="12854">
      <c r="B12854" s="309"/>
      <c r="C12854" s="309"/>
      <c r="I12854" s="309"/>
      <c r="J12854" s="309"/>
    </row>
    <row r="12855">
      <c r="B12855" s="309"/>
      <c r="C12855" s="309"/>
      <c r="I12855" s="309"/>
      <c r="J12855" s="309"/>
    </row>
    <row r="12856">
      <c r="B12856" s="309"/>
      <c r="C12856" s="309"/>
      <c r="I12856" s="309"/>
      <c r="J12856" s="309"/>
    </row>
    <row r="12857">
      <c r="B12857" s="309"/>
      <c r="C12857" s="309"/>
      <c r="I12857" s="309"/>
      <c r="J12857" s="309"/>
    </row>
    <row r="12858">
      <c r="B12858" s="309"/>
      <c r="C12858" s="309"/>
      <c r="I12858" s="309"/>
      <c r="J12858" s="309"/>
    </row>
    <row r="12859">
      <c r="B12859" s="309"/>
      <c r="C12859" s="309"/>
      <c r="I12859" s="309"/>
      <c r="J12859" s="309"/>
    </row>
    <row r="12860">
      <c r="B12860" s="309"/>
      <c r="C12860" s="309"/>
      <c r="I12860" s="309"/>
      <c r="J12860" s="309"/>
    </row>
    <row r="12861">
      <c r="B12861" s="309"/>
      <c r="C12861" s="309"/>
      <c r="I12861" s="309"/>
      <c r="J12861" s="309"/>
    </row>
    <row r="12862">
      <c r="B12862" s="309"/>
      <c r="C12862" s="309"/>
      <c r="I12862" s="309"/>
      <c r="J12862" s="309"/>
    </row>
    <row r="12863">
      <c r="B12863" s="309"/>
      <c r="C12863" s="309"/>
      <c r="I12863" s="309"/>
      <c r="J12863" s="309"/>
    </row>
    <row r="12864">
      <c r="B12864" s="309"/>
      <c r="C12864" s="309"/>
      <c r="I12864" s="309"/>
      <c r="J12864" s="309"/>
    </row>
    <row r="12865">
      <c r="B12865" s="309"/>
      <c r="C12865" s="309"/>
      <c r="I12865" s="309"/>
      <c r="J12865" s="309"/>
    </row>
    <row r="12866">
      <c r="B12866" s="309"/>
      <c r="C12866" s="309"/>
      <c r="I12866" s="309"/>
      <c r="J12866" s="309"/>
    </row>
    <row r="12867">
      <c r="B12867" s="309"/>
      <c r="C12867" s="309"/>
      <c r="I12867" s="309"/>
      <c r="J12867" s="309"/>
    </row>
    <row r="12868">
      <c r="B12868" s="309"/>
      <c r="C12868" s="309"/>
      <c r="I12868" s="309"/>
      <c r="J12868" s="309"/>
    </row>
    <row r="12869">
      <c r="B12869" s="309"/>
      <c r="C12869" s="309"/>
      <c r="I12869" s="309"/>
      <c r="J12869" s="309"/>
    </row>
    <row r="12870">
      <c r="B12870" s="309"/>
      <c r="C12870" s="309"/>
      <c r="I12870" s="309"/>
      <c r="J12870" s="309"/>
    </row>
    <row r="12871">
      <c r="B12871" s="309"/>
      <c r="C12871" s="309"/>
      <c r="I12871" s="309"/>
      <c r="J12871" s="309"/>
    </row>
    <row r="12872">
      <c r="B12872" s="309"/>
      <c r="C12872" s="309"/>
      <c r="I12872" s="309"/>
      <c r="J12872" s="309"/>
    </row>
    <row r="12873">
      <c r="B12873" s="309"/>
      <c r="C12873" s="309"/>
      <c r="I12873" s="309"/>
      <c r="J12873" s="309"/>
    </row>
    <row r="12874">
      <c r="B12874" s="309"/>
      <c r="C12874" s="309"/>
      <c r="I12874" s="309"/>
      <c r="J12874" s="309"/>
    </row>
    <row r="12875">
      <c r="B12875" s="309"/>
      <c r="C12875" s="309"/>
      <c r="I12875" s="309"/>
      <c r="J12875" s="309"/>
    </row>
    <row r="12876">
      <c r="B12876" s="309"/>
      <c r="C12876" s="309"/>
      <c r="I12876" s="309"/>
      <c r="J12876" s="309"/>
    </row>
    <row r="12877">
      <c r="B12877" s="309"/>
      <c r="C12877" s="309"/>
      <c r="I12877" s="309"/>
      <c r="J12877" s="309"/>
    </row>
    <row r="12878">
      <c r="B12878" s="309"/>
      <c r="C12878" s="309"/>
      <c r="I12878" s="309"/>
      <c r="J12878" s="309"/>
    </row>
    <row r="12879">
      <c r="B12879" s="309"/>
      <c r="C12879" s="309"/>
      <c r="I12879" s="309"/>
      <c r="J12879" s="309"/>
    </row>
    <row r="12880">
      <c r="B12880" s="309"/>
      <c r="C12880" s="309"/>
      <c r="I12880" s="309"/>
      <c r="J12880" s="309"/>
    </row>
    <row r="12881">
      <c r="B12881" s="309"/>
      <c r="C12881" s="309"/>
      <c r="I12881" s="309"/>
      <c r="J12881" s="309"/>
    </row>
    <row r="12882">
      <c r="B12882" s="309"/>
      <c r="C12882" s="309"/>
      <c r="I12882" s="309"/>
      <c r="J12882" s="309"/>
    </row>
    <row r="12883">
      <c r="B12883" s="309"/>
      <c r="C12883" s="309"/>
      <c r="I12883" s="309"/>
      <c r="J12883" s="309"/>
    </row>
    <row r="12884">
      <c r="B12884" s="309"/>
      <c r="C12884" s="309"/>
      <c r="I12884" s="309"/>
      <c r="J12884" s="309"/>
    </row>
    <row r="12885">
      <c r="B12885" s="309"/>
      <c r="C12885" s="309"/>
      <c r="I12885" s="309"/>
      <c r="J12885" s="309"/>
    </row>
    <row r="12886">
      <c r="B12886" s="309"/>
      <c r="C12886" s="309"/>
      <c r="I12886" s="309"/>
      <c r="J12886" s="309"/>
    </row>
    <row r="12887">
      <c r="B12887" s="309"/>
      <c r="C12887" s="309"/>
      <c r="I12887" s="309"/>
      <c r="J12887" s="309"/>
    </row>
    <row r="12888">
      <c r="B12888" s="309"/>
      <c r="C12888" s="309"/>
      <c r="I12888" s="309"/>
      <c r="J12888" s="309"/>
    </row>
    <row r="12889">
      <c r="B12889" s="309"/>
      <c r="C12889" s="309"/>
      <c r="I12889" s="309"/>
      <c r="J12889" s="309"/>
    </row>
    <row r="12890">
      <c r="B12890" s="309"/>
      <c r="C12890" s="309"/>
      <c r="I12890" s="309"/>
      <c r="J12890" s="309"/>
    </row>
    <row r="12891">
      <c r="B12891" s="309"/>
      <c r="C12891" s="309"/>
      <c r="I12891" s="309"/>
      <c r="J12891" s="309"/>
    </row>
    <row r="12892">
      <c r="B12892" s="309"/>
      <c r="C12892" s="309"/>
      <c r="I12892" s="309"/>
      <c r="J12892" s="309"/>
    </row>
    <row r="12893">
      <c r="B12893" s="309"/>
      <c r="C12893" s="309"/>
      <c r="I12893" s="309"/>
      <c r="J12893" s="309"/>
    </row>
    <row r="12894">
      <c r="B12894" s="309"/>
      <c r="C12894" s="309"/>
      <c r="I12894" s="309"/>
      <c r="J12894" s="309"/>
    </row>
    <row r="12895">
      <c r="B12895" s="309"/>
      <c r="C12895" s="309"/>
      <c r="I12895" s="309"/>
      <c r="J12895" s="309"/>
    </row>
    <row r="12896">
      <c r="B12896" s="309"/>
      <c r="C12896" s="309"/>
      <c r="I12896" s="309"/>
      <c r="J12896" s="309"/>
    </row>
    <row r="12897">
      <c r="B12897" s="309"/>
      <c r="C12897" s="309"/>
      <c r="I12897" s="309"/>
      <c r="J12897" s="309"/>
    </row>
    <row r="12898">
      <c r="B12898" s="309"/>
      <c r="C12898" s="309"/>
      <c r="I12898" s="309"/>
      <c r="J12898" s="309"/>
    </row>
    <row r="12899">
      <c r="B12899" s="309"/>
      <c r="C12899" s="309"/>
      <c r="I12899" s="309"/>
      <c r="J12899" s="309"/>
    </row>
    <row r="12900">
      <c r="B12900" s="309"/>
      <c r="C12900" s="309"/>
      <c r="I12900" s="309"/>
      <c r="J12900" s="309"/>
    </row>
    <row r="12901">
      <c r="B12901" s="309"/>
      <c r="C12901" s="309"/>
      <c r="I12901" s="309"/>
      <c r="J12901" s="309"/>
    </row>
    <row r="12902">
      <c r="B12902" s="309"/>
      <c r="C12902" s="309"/>
      <c r="I12902" s="309"/>
      <c r="J12902" s="309"/>
    </row>
    <row r="12903">
      <c r="B12903" s="309"/>
      <c r="C12903" s="309"/>
      <c r="I12903" s="309"/>
      <c r="J12903" s="309"/>
    </row>
    <row r="12904">
      <c r="B12904" s="309"/>
      <c r="C12904" s="309"/>
      <c r="I12904" s="309"/>
      <c r="J12904" s="309"/>
    </row>
    <row r="12905">
      <c r="B12905" s="309"/>
      <c r="C12905" s="309"/>
      <c r="I12905" s="309"/>
      <c r="J12905" s="309"/>
    </row>
    <row r="12906">
      <c r="B12906" s="309"/>
      <c r="C12906" s="309"/>
      <c r="I12906" s="309"/>
      <c r="J12906" s="309"/>
    </row>
    <row r="12907">
      <c r="B12907" s="309"/>
      <c r="C12907" s="309"/>
      <c r="I12907" s="309"/>
      <c r="J12907" s="309"/>
    </row>
    <row r="12908">
      <c r="B12908" s="309"/>
      <c r="C12908" s="309"/>
      <c r="I12908" s="309"/>
      <c r="J12908" s="309"/>
    </row>
    <row r="12909">
      <c r="B12909" s="309"/>
      <c r="C12909" s="309"/>
      <c r="I12909" s="309"/>
      <c r="J12909" s="309"/>
    </row>
    <row r="12910">
      <c r="B12910" s="309"/>
      <c r="C12910" s="309"/>
      <c r="I12910" s="309"/>
      <c r="J12910" s="309"/>
    </row>
    <row r="12911">
      <c r="B12911" s="309"/>
      <c r="C12911" s="309"/>
      <c r="I12911" s="309"/>
      <c r="J12911" s="309"/>
    </row>
    <row r="12912">
      <c r="B12912" s="309"/>
      <c r="C12912" s="309"/>
      <c r="I12912" s="309"/>
      <c r="J12912" s="309"/>
    </row>
    <row r="12913">
      <c r="B12913" s="309"/>
      <c r="C12913" s="309"/>
      <c r="I12913" s="309"/>
      <c r="J12913" s="309"/>
    </row>
    <row r="12914">
      <c r="B12914" s="309"/>
      <c r="C12914" s="309"/>
      <c r="I12914" s="309"/>
      <c r="J12914" s="309"/>
    </row>
    <row r="12915">
      <c r="B12915" s="309"/>
      <c r="C12915" s="309"/>
      <c r="I12915" s="309"/>
      <c r="J12915" s="309"/>
    </row>
    <row r="12916">
      <c r="B12916" s="309"/>
      <c r="C12916" s="309"/>
      <c r="I12916" s="309"/>
      <c r="J12916" s="309"/>
    </row>
    <row r="12917">
      <c r="B12917" s="309"/>
      <c r="C12917" s="309"/>
      <c r="I12917" s="309"/>
      <c r="J12917" s="309"/>
    </row>
    <row r="12918">
      <c r="B12918" s="309"/>
      <c r="C12918" s="309"/>
      <c r="I12918" s="309"/>
      <c r="J12918" s="309"/>
    </row>
    <row r="12919">
      <c r="B12919" s="309"/>
      <c r="C12919" s="309"/>
      <c r="I12919" s="309"/>
      <c r="J12919" s="309"/>
    </row>
    <row r="12920">
      <c r="B12920" s="309"/>
      <c r="C12920" s="309"/>
      <c r="I12920" s="309"/>
      <c r="J12920" s="309"/>
    </row>
    <row r="12921">
      <c r="B12921" s="309"/>
      <c r="C12921" s="309"/>
      <c r="I12921" s="309"/>
      <c r="J12921" s="309"/>
    </row>
    <row r="12922">
      <c r="B12922" s="309"/>
      <c r="C12922" s="309"/>
      <c r="I12922" s="309"/>
      <c r="J12922" s="309"/>
    </row>
    <row r="12923">
      <c r="B12923" s="309"/>
      <c r="C12923" s="309"/>
      <c r="I12923" s="309"/>
      <c r="J12923" s="309"/>
    </row>
    <row r="12924">
      <c r="B12924" s="309"/>
      <c r="C12924" s="309"/>
      <c r="I12924" s="309"/>
      <c r="J12924" s="309"/>
    </row>
    <row r="12925">
      <c r="B12925" s="309"/>
      <c r="C12925" s="309"/>
      <c r="I12925" s="309"/>
      <c r="J12925" s="309"/>
    </row>
    <row r="12926">
      <c r="B12926" s="309"/>
      <c r="C12926" s="309"/>
      <c r="I12926" s="309"/>
      <c r="J12926" s="309"/>
    </row>
    <row r="12927">
      <c r="B12927" s="309"/>
      <c r="C12927" s="309"/>
      <c r="I12927" s="309"/>
      <c r="J12927" s="309"/>
    </row>
    <row r="12928">
      <c r="B12928" s="309"/>
      <c r="C12928" s="309"/>
      <c r="I12928" s="309"/>
      <c r="J12928" s="309"/>
    </row>
    <row r="12929">
      <c r="B12929" s="309"/>
      <c r="C12929" s="309"/>
      <c r="I12929" s="309"/>
      <c r="J12929" s="309"/>
    </row>
    <row r="12930">
      <c r="B12930" s="309"/>
      <c r="C12930" s="309"/>
      <c r="I12930" s="309"/>
      <c r="J12930" s="309"/>
    </row>
    <row r="12931">
      <c r="B12931" s="309"/>
      <c r="C12931" s="309"/>
      <c r="I12931" s="309"/>
      <c r="J12931" s="309"/>
    </row>
    <row r="12932">
      <c r="B12932" s="309"/>
      <c r="C12932" s="309"/>
      <c r="I12932" s="309"/>
      <c r="J12932" s="309"/>
    </row>
    <row r="12933">
      <c r="B12933" s="309"/>
      <c r="C12933" s="309"/>
      <c r="I12933" s="309"/>
      <c r="J12933" s="309"/>
    </row>
    <row r="12934">
      <c r="B12934" s="309"/>
      <c r="C12934" s="309"/>
      <c r="I12934" s="309"/>
      <c r="J12934" s="309"/>
    </row>
    <row r="12935">
      <c r="B12935" s="309"/>
      <c r="C12935" s="309"/>
      <c r="I12935" s="309"/>
      <c r="J12935" s="309"/>
    </row>
    <row r="12936">
      <c r="B12936" s="309"/>
      <c r="C12936" s="309"/>
      <c r="I12936" s="309"/>
      <c r="J12936" s="309"/>
    </row>
    <row r="12937">
      <c r="B12937" s="309"/>
      <c r="C12937" s="309"/>
      <c r="I12937" s="309"/>
      <c r="J12937" s="309"/>
    </row>
    <row r="12938">
      <c r="B12938" s="309"/>
      <c r="C12938" s="309"/>
      <c r="I12938" s="309"/>
      <c r="J12938" s="309"/>
    </row>
    <row r="12939">
      <c r="B12939" s="309"/>
      <c r="C12939" s="309"/>
      <c r="I12939" s="309"/>
      <c r="J12939" s="309"/>
    </row>
    <row r="12940">
      <c r="B12940" s="309"/>
      <c r="C12940" s="309"/>
      <c r="I12940" s="309"/>
      <c r="J12940" s="309"/>
    </row>
    <row r="12941">
      <c r="B12941" s="309"/>
      <c r="C12941" s="309"/>
      <c r="I12941" s="309"/>
      <c r="J12941" s="309"/>
    </row>
    <row r="12942">
      <c r="B12942" s="309"/>
      <c r="C12942" s="309"/>
      <c r="I12942" s="309"/>
      <c r="J12942" s="309"/>
    </row>
    <row r="12943">
      <c r="B12943" s="309"/>
      <c r="C12943" s="309"/>
      <c r="I12943" s="309"/>
      <c r="J12943" s="309"/>
    </row>
    <row r="12944">
      <c r="B12944" s="309"/>
      <c r="C12944" s="309"/>
      <c r="I12944" s="309"/>
      <c r="J12944" s="309"/>
    </row>
    <row r="12945">
      <c r="B12945" s="309"/>
      <c r="C12945" s="309"/>
      <c r="I12945" s="309"/>
      <c r="J12945" s="309"/>
    </row>
    <row r="12946">
      <c r="B12946" s="309"/>
      <c r="C12946" s="309"/>
      <c r="I12946" s="309"/>
      <c r="J12946" s="309"/>
    </row>
    <row r="12947">
      <c r="B12947" s="309"/>
      <c r="C12947" s="309"/>
      <c r="I12947" s="309"/>
      <c r="J12947" s="309"/>
    </row>
    <row r="12948">
      <c r="B12948" s="309"/>
      <c r="C12948" s="309"/>
      <c r="I12948" s="309"/>
      <c r="J12948" s="309"/>
    </row>
    <row r="12949">
      <c r="B12949" s="309"/>
      <c r="C12949" s="309"/>
      <c r="I12949" s="309"/>
      <c r="J12949" s="309"/>
    </row>
    <row r="12950">
      <c r="B12950" s="309"/>
      <c r="C12950" s="309"/>
      <c r="I12950" s="309"/>
      <c r="J12950" s="309"/>
    </row>
    <row r="12951">
      <c r="B12951" s="309"/>
      <c r="C12951" s="309"/>
      <c r="I12951" s="309"/>
      <c r="J12951" s="309"/>
    </row>
    <row r="12952">
      <c r="B12952" s="309"/>
      <c r="C12952" s="309"/>
      <c r="I12952" s="309"/>
      <c r="J12952" s="309"/>
    </row>
    <row r="12953">
      <c r="B12953" s="309"/>
      <c r="C12953" s="309"/>
      <c r="I12953" s="309"/>
      <c r="J12953" s="309"/>
    </row>
    <row r="12954">
      <c r="B12954" s="309"/>
      <c r="C12954" s="309"/>
      <c r="I12954" s="309"/>
      <c r="J12954" s="309"/>
    </row>
    <row r="12955">
      <c r="B12955" s="309"/>
      <c r="C12955" s="309"/>
      <c r="I12955" s="309"/>
      <c r="J12955" s="309"/>
    </row>
    <row r="12956">
      <c r="B12956" s="309"/>
      <c r="C12956" s="309"/>
      <c r="I12956" s="309"/>
      <c r="J12956" s="309"/>
    </row>
    <row r="12957">
      <c r="B12957" s="309"/>
      <c r="C12957" s="309"/>
      <c r="I12957" s="309"/>
      <c r="J12957" s="309"/>
    </row>
    <row r="12958">
      <c r="B12958" s="309"/>
      <c r="C12958" s="309"/>
      <c r="I12958" s="309"/>
      <c r="J12958" s="309"/>
    </row>
    <row r="12959">
      <c r="B12959" s="309"/>
      <c r="C12959" s="309"/>
      <c r="I12959" s="309"/>
      <c r="J12959" s="309"/>
    </row>
    <row r="12960">
      <c r="B12960" s="309"/>
      <c r="C12960" s="309"/>
      <c r="I12960" s="309"/>
      <c r="J12960" s="309"/>
    </row>
    <row r="12961">
      <c r="B12961" s="309"/>
      <c r="C12961" s="309"/>
      <c r="I12961" s="309"/>
      <c r="J12961" s="309"/>
    </row>
    <row r="12962">
      <c r="B12962" s="309"/>
      <c r="C12962" s="309"/>
      <c r="I12962" s="309"/>
      <c r="J12962" s="309"/>
    </row>
    <row r="12963">
      <c r="B12963" s="309"/>
      <c r="C12963" s="309"/>
      <c r="I12963" s="309"/>
      <c r="J12963" s="309"/>
    </row>
    <row r="12964">
      <c r="B12964" s="309"/>
      <c r="C12964" s="309"/>
      <c r="I12964" s="309"/>
      <c r="J12964" s="309"/>
    </row>
    <row r="12965">
      <c r="B12965" s="309"/>
      <c r="C12965" s="309"/>
      <c r="I12965" s="309"/>
      <c r="J12965" s="309"/>
    </row>
    <row r="12966">
      <c r="B12966" s="309"/>
      <c r="C12966" s="309"/>
      <c r="I12966" s="309"/>
      <c r="J12966" s="309"/>
    </row>
    <row r="12967">
      <c r="B12967" s="309"/>
      <c r="C12967" s="309"/>
      <c r="I12967" s="309"/>
      <c r="J12967" s="309"/>
    </row>
    <row r="12968">
      <c r="B12968" s="309"/>
      <c r="C12968" s="309"/>
      <c r="I12968" s="309"/>
      <c r="J12968" s="309"/>
    </row>
    <row r="12969">
      <c r="B12969" s="309"/>
      <c r="C12969" s="309"/>
      <c r="I12969" s="309"/>
      <c r="J12969" s="309"/>
    </row>
    <row r="12970">
      <c r="B12970" s="309"/>
      <c r="C12970" s="309"/>
      <c r="I12970" s="309"/>
      <c r="J12970" s="309"/>
    </row>
    <row r="12971">
      <c r="B12971" s="309"/>
      <c r="C12971" s="309"/>
      <c r="I12971" s="309"/>
      <c r="J12971" s="309"/>
    </row>
    <row r="12972">
      <c r="B12972" s="309"/>
      <c r="C12972" s="309"/>
      <c r="I12972" s="309"/>
      <c r="J12972" s="309"/>
    </row>
    <row r="12973">
      <c r="B12973" s="309"/>
      <c r="C12973" s="309"/>
      <c r="I12973" s="309"/>
      <c r="J12973" s="309"/>
    </row>
    <row r="12974">
      <c r="B12974" s="309"/>
      <c r="C12974" s="309"/>
      <c r="I12974" s="309"/>
      <c r="J12974" s="309"/>
    </row>
    <row r="12975">
      <c r="B12975" s="309"/>
      <c r="C12975" s="309"/>
      <c r="I12975" s="309"/>
      <c r="J12975" s="309"/>
    </row>
    <row r="12976">
      <c r="B12976" s="309"/>
      <c r="C12976" s="309"/>
      <c r="I12976" s="309"/>
      <c r="J12976" s="309"/>
    </row>
    <row r="12977">
      <c r="B12977" s="309"/>
      <c r="C12977" s="309"/>
      <c r="I12977" s="309"/>
      <c r="J12977" s="309"/>
    </row>
    <row r="12978">
      <c r="B12978" s="309"/>
      <c r="C12978" s="309"/>
      <c r="I12978" s="309"/>
      <c r="J12978" s="309"/>
    </row>
    <row r="12979">
      <c r="B12979" s="309"/>
      <c r="C12979" s="309"/>
      <c r="I12979" s="309"/>
      <c r="J12979" s="309"/>
    </row>
    <row r="12980">
      <c r="B12980" s="309"/>
      <c r="C12980" s="309"/>
      <c r="I12980" s="309"/>
      <c r="J12980" s="309"/>
    </row>
    <row r="12981">
      <c r="B12981" s="309"/>
      <c r="C12981" s="309"/>
      <c r="I12981" s="309"/>
      <c r="J12981" s="309"/>
    </row>
    <row r="12982">
      <c r="B12982" s="309"/>
      <c r="C12982" s="309"/>
      <c r="I12982" s="309"/>
      <c r="J12982" s="309"/>
    </row>
    <row r="12983">
      <c r="B12983" s="309"/>
      <c r="C12983" s="309"/>
      <c r="I12983" s="309"/>
      <c r="J12983" s="309"/>
    </row>
    <row r="12984">
      <c r="B12984" s="309"/>
      <c r="C12984" s="309"/>
      <c r="I12984" s="309"/>
      <c r="J12984" s="309"/>
    </row>
    <row r="12985">
      <c r="B12985" s="309"/>
      <c r="C12985" s="309"/>
      <c r="I12985" s="309"/>
      <c r="J12985" s="309"/>
    </row>
    <row r="12986">
      <c r="B12986" s="309"/>
      <c r="C12986" s="309"/>
      <c r="I12986" s="309"/>
      <c r="J12986" s="309"/>
    </row>
    <row r="12987">
      <c r="B12987" s="309"/>
      <c r="C12987" s="309"/>
      <c r="I12987" s="309"/>
      <c r="J12987" s="309"/>
    </row>
    <row r="12988">
      <c r="B12988" s="309"/>
      <c r="C12988" s="309"/>
      <c r="I12988" s="309"/>
      <c r="J12988" s="309"/>
    </row>
    <row r="12989">
      <c r="B12989" s="309"/>
      <c r="C12989" s="309"/>
      <c r="I12989" s="309"/>
      <c r="J12989" s="309"/>
    </row>
    <row r="12990">
      <c r="B12990" s="309"/>
      <c r="C12990" s="309"/>
      <c r="I12990" s="309"/>
      <c r="J12990" s="309"/>
    </row>
    <row r="12991">
      <c r="B12991" s="309"/>
      <c r="C12991" s="309"/>
      <c r="I12991" s="309"/>
      <c r="J12991" s="309"/>
    </row>
    <row r="12992">
      <c r="B12992" s="309"/>
      <c r="C12992" s="309"/>
      <c r="I12992" s="309"/>
      <c r="J12992" s="309"/>
    </row>
    <row r="12993">
      <c r="B12993" s="309"/>
      <c r="C12993" s="309"/>
      <c r="I12993" s="309"/>
      <c r="J12993" s="309"/>
    </row>
    <row r="12994">
      <c r="B12994" s="309"/>
      <c r="C12994" s="309"/>
      <c r="I12994" s="309"/>
      <c r="J12994" s="309"/>
    </row>
    <row r="12995">
      <c r="B12995" s="309"/>
      <c r="C12995" s="309"/>
      <c r="I12995" s="309"/>
      <c r="J12995" s="309"/>
    </row>
    <row r="12996">
      <c r="B12996" s="309"/>
      <c r="C12996" s="309"/>
      <c r="I12996" s="309"/>
      <c r="J12996" s="309"/>
    </row>
    <row r="12997">
      <c r="B12997" s="309"/>
      <c r="C12997" s="309"/>
      <c r="I12997" s="309"/>
      <c r="J12997" s="309"/>
    </row>
    <row r="12998">
      <c r="B12998" s="309"/>
      <c r="C12998" s="309"/>
      <c r="I12998" s="309"/>
      <c r="J12998" s="309"/>
    </row>
    <row r="12999">
      <c r="B12999" s="309"/>
      <c r="C12999" s="309"/>
      <c r="I12999" s="309"/>
      <c r="J12999" s="309"/>
    </row>
    <row r="13000">
      <c r="B13000" s="309"/>
      <c r="C13000" s="309"/>
      <c r="I13000" s="309"/>
      <c r="J13000" s="309"/>
    </row>
    <row r="13001">
      <c r="B13001" s="309"/>
      <c r="C13001" s="309"/>
      <c r="I13001" s="309"/>
      <c r="J13001" s="309"/>
    </row>
    <row r="13002">
      <c r="B13002" s="309"/>
      <c r="C13002" s="309"/>
      <c r="I13002" s="309"/>
      <c r="J13002" s="309"/>
    </row>
    <row r="13003">
      <c r="B13003" s="309"/>
      <c r="C13003" s="309"/>
      <c r="I13003" s="309"/>
      <c r="J13003" s="309"/>
    </row>
    <row r="13004">
      <c r="B13004" s="309"/>
      <c r="C13004" s="309"/>
      <c r="I13004" s="309"/>
      <c r="J13004" s="309"/>
    </row>
    <row r="13005">
      <c r="B13005" s="309"/>
      <c r="C13005" s="309"/>
      <c r="I13005" s="309"/>
      <c r="J13005" s="309"/>
    </row>
    <row r="13006">
      <c r="B13006" s="309"/>
      <c r="C13006" s="309"/>
      <c r="I13006" s="309"/>
      <c r="J13006" s="309"/>
    </row>
    <row r="13007">
      <c r="B13007" s="309"/>
      <c r="C13007" s="309"/>
      <c r="I13007" s="309"/>
      <c r="J13007" s="309"/>
    </row>
    <row r="13008">
      <c r="B13008" s="309"/>
      <c r="C13008" s="309"/>
      <c r="I13008" s="309"/>
      <c r="J13008" s="309"/>
    </row>
    <row r="13009">
      <c r="B13009" s="309"/>
      <c r="C13009" s="309"/>
      <c r="I13009" s="309"/>
      <c r="J13009" s="309"/>
    </row>
    <row r="13010">
      <c r="B13010" s="309"/>
      <c r="C13010" s="309"/>
      <c r="I13010" s="309"/>
      <c r="J13010" s="309"/>
    </row>
    <row r="13011">
      <c r="B13011" s="309"/>
      <c r="C13011" s="309"/>
      <c r="I13011" s="309"/>
      <c r="J13011" s="309"/>
    </row>
    <row r="13012">
      <c r="B13012" s="309"/>
      <c r="C13012" s="309"/>
      <c r="I13012" s="309"/>
      <c r="J13012" s="309"/>
    </row>
    <row r="13013">
      <c r="B13013" s="309"/>
      <c r="C13013" s="309"/>
      <c r="I13013" s="309"/>
      <c r="J13013" s="309"/>
    </row>
    <row r="13014">
      <c r="B13014" s="309"/>
      <c r="C13014" s="309"/>
      <c r="I13014" s="309"/>
      <c r="J13014" s="309"/>
    </row>
    <row r="13015">
      <c r="B13015" s="309"/>
      <c r="C13015" s="309"/>
      <c r="I13015" s="309"/>
      <c r="J13015" s="309"/>
    </row>
    <row r="13016">
      <c r="B13016" s="309"/>
      <c r="C13016" s="309"/>
      <c r="I13016" s="309"/>
      <c r="J13016" s="309"/>
    </row>
    <row r="13017">
      <c r="B13017" s="309"/>
      <c r="C13017" s="309"/>
      <c r="I13017" s="309"/>
      <c r="J13017" s="309"/>
    </row>
    <row r="13018">
      <c r="B13018" s="309"/>
      <c r="C13018" s="309"/>
      <c r="I13018" s="309"/>
      <c r="J13018" s="309"/>
    </row>
    <row r="13019">
      <c r="B13019" s="309"/>
      <c r="C13019" s="309"/>
      <c r="I13019" s="309"/>
      <c r="J13019" s="309"/>
    </row>
    <row r="13020">
      <c r="B13020" s="309"/>
      <c r="C13020" s="309"/>
      <c r="I13020" s="309"/>
      <c r="J13020" s="309"/>
    </row>
    <row r="13021">
      <c r="B13021" s="309"/>
      <c r="C13021" s="309"/>
      <c r="I13021" s="309"/>
      <c r="J13021" s="309"/>
    </row>
    <row r="13022">
      <c r="B13022" s="309"/>
      <c r="C13022" s="309"/>
      <c r="I13022" s="309"/>
      <c r="J13022" s="309"/>
    </row>
    <row r="13023">
      <c r="B13023" s="309"/>
      <c r="C13023" s="309"/>
      <c r="I13023" s="309"/>
      <c r="J13023" s="309"/>
    </row>
    <row r="13024">
      <c r="B13024" s="309"/>
      <c r="C13024" s="309"/>
      <c r="I13024" s="309"/>
      <c r="J13024" s="309"/>
    </row>
    <row r="13025">
      <c r="B13025" s="309"/>
      <c r="C13025" s="309"/>
      <c r="I13025" s="309"/>
      <c r="J13025" s="309"/>
    </row>
    <row r="13026">
      <c r="B13026" s="309"/>
      <c r="C13026" s="309"/>
      <c r="I13026" s="309"/>
      <c r="J13026" s="309"/>
    </row>
    <row r="13027">
      <c r="B13027" s="309"/>
      <c r="C13027" s="309"/>
      <c r="I13027" s="309"/>
      <c r="J13027" s="309"/>
    </row>
    <row r="13028">
      <c r="B13028" s="309"/>
      <c r="C13028" s="309"/>
      <c r="I13028" s="309"/>
      <c r="J13028" s="309"/>
    </row>
    <row r="13029">
      <c r="B13029" s="309"/>
      <c r="C13029" s="309"/>
      <c r="I13029" s="309"/>
      <c r="J13029" s="309"/>
    </row>
    <row r="13030">
      <c r="B13030" s="309"/>
      <c r="C13030" s="309"/>
      <c r="I13030" s="309"/>
      <c r="J13030" s="309"/>
    </row>
    <row r="13031">
      <c r="B13031" s="309"/>
      <c r="C13031" s="309"/>
      <c r="I13031" s="309"/>
      <c r="J13031" s="309"/>
    </row>
    <row r="13032">
      <c r="B13032" s="309"/>
      <c r="C13032" s="309"/>
      <c r="I13032" s="309"/>
      <c r="J13032" s="309"/>
    </row>
    <row r="13033">
      <c r="B13033" s="309"/>
      <c r="C13033" s="309"/>
      <c r="I13033" s="309"/>
      <c r="J13033" s="309"/>
    </row>
    <row r="13034">
      <c r="B13034" s="309"/>
      <c r="C13034" s="309"/>
      <c r="I13034" s="309"/>
      <c r="J13034" s="309"/>
    </row>
    <row r="13035">
      <c r="B13035" s="309"/>
      <c r="C13035" s="309"/>
      <c r="I13035" s="309"/>
      <c r="J13035" s="309"/>
    </row>
    <row r="13036">
      <c r="B13036" s="309"/>
      <c r="C13036" s="309"/>
      <c r="I13036" s="309"/>
      <c r="J13036" s="309"/>
    </row>
    <row r="13037">
      <c r="B13037" s="309"/>
      <c r="C13037" s="309"/>
      <c r="I13037" s="309"/>
      <c r="J13037" s="309"/>
    </row>
    <row r="13038">
      <c r="B13038" s="309"/>
      <c r="C13038" s="309"/>
      <c r="I13038" s="309"/>
      <c r="J13038" s="309"/>
    </row>
    <row r="13039">
      <c r="B13039" s="309"/>
      <c r="C13039" s="309"/>
      <c r="I13039" s="309"/>
      <c r="J13039" s="309"/>
    </row>
    <row r="13040">
      <c r="B13040" s="309"/>
      <c r="C13040" s="309"/>
      <c r="I13040" s="309"/>
      <c r="J13040" s="309"/>
    </row>
    <row r="13041">
      <c r="B13041" s="309"/>
      <c r="C13041" s="309"/>
      <c r="I13041" s="309"/>
      <c r="J13041" s="309"/>
    </row>
    <row r="13042">
      <c r="B13042" s="309"/>
      <c r="C13042" s="309"/>
      <c r="I13042" s="309"/>
      <c r="J13042" s="309"/>
    </row>
    <row r="13043">
      <c r="B13043" s="309"/>
      <c r="C13043" s="309"/>
      <c r="I13043" s="309"/>
      <c r="J13043" s="309"/>
    </row>
    <row r="13044">
      <c r="B13044" s="309"/>
      <c r="C13044" s="309"/>
      <c r="I13044" s="309"/>
      <c r="J13044" s="309"/>
    </row>
    <row r="13045">
      <c r="B13045" s="309"/>
      <c r="C13045" s="309"/>
      <c r="I13045" s="309"/>
      <c r="J13045" s="309"/>
    </row>
    <row r="13046">
      <c r="B13046" s="309"/>
      <c r="C13046" s="309"/>
      <c r="I13046" s="309"/>
      <c r="J13046" s="309"/>
    </row>
    <row r="13047">
      <c r="B13047" s="309"/>
      <c r="C13047" s="309"/>
      <c r="I13047" s="309"/>
      <c r="J13047" s="309"/>
    </row>
    <row r="13048">
      <c r="B13048" s="309"/>
      <c r="C13048" s="309"/>
      <c r="I13048" s="309"/>
      <c r="J13048" s="309"/>
    </row>
    <row r="13049">
      <c r="B13049" s="309"/>
      <c r="C13049" s="309"/>
      <c r="I13049" s="309"/>
      <c r="J13049" s="309"/>
    </row>
    <row r="13050">
      <c r="B13050" s="309"/>
      <c r="C13050" s="309"/>
      <c r="I13050" s="309"/>
      <c r="J13050" s="309"/>
    </row>
    <row r="13051">
      <c r="B13051" s="309"/>
      <c r="C13051" s="309"/>
      <c r="I13051" s="309"/>
      <c r="J13051" s="309"/>
    </row>
    <row r="13052">
      <c r="B13052" s="309"/>
      <c r="C13052" s="309"/>
      <c r="I13052" s="309"/>
      <c r="J13052" s="309"/>
    </row>
    <row r="13053">
      <c r="B13053" s="309"/>
      <c r="C13053" s="309"/>
      <c r="I13053" s="309"/>
      <c r="J13053" s="309"/>
    </row>
    <row r="13054">
      <c r="B13054" s="309"/>
      <c r="C13054" s="309"/>
      <c r="I13054" s="309"/>
      <c r="J13054" s="309"/>
    </row>
    <row r="13055">
      <c r="B13055" s="309"/>
      <c r="C13055" s="309"/>
      <c r="I13055" s="309"/>
      <c r="J13055" s="309"/>
    </row>
    <row r="13056">
      <c r="B13056" s="309"/>
      <c r="C13056" s="309"/>
      <c r="I13056" s="309"/>
      <c r="J13056" s="309"/>
    </row>
    <row r="13057">
      <c r="B13057" s="309"/>
      <c r="C13057" s="309"/>
      <c r="I13057" s="309"/>
      <c r="J13057" s="309"/>
    </row>
    <row r="13058">
      <c r="B13058" s="309"/>
      <c r="C13058" s="309"/>
      <c r="I13058" s="309"/>
      <c r="J13058" s="309"/>
    </row>
    <row r="13059">
      <c r="B13059" s="309"/>
      <c r="C13059" s="309"/>
      <c r="I13059" s="309"/>
      <c r="J13059" s="309"/>
    </row>
    <row r="13060">
      <c r="B13060" s="309"/>
      <c r="C13060" s="309"/>
      <c r="I13060" s="309"/>
      <c r="J13060" s="309"/>
    </row>
    <row r="13061">
      <c r="B13061" s="309"/>
      <c r="C13061" s="309"/>
      <c r="I13061" s="309"/>
      <c r="J13061" s="309"/>
    </row>
    <row r="13062">
      <c r="B13062" s="309"/>
      <c r="C13062" s="309"/>
      <c r="I13062" s="309"/>
      <c r="J13062" s="309"/>
    </row>
    <row r="13063">
      <c r="B13063" s="309"/>
      <c r="C13063" s="309"/>
      <c r="I13063" s="309"/>
      <c r="J13063" s="309"/>
    </row>
    <row r="13064">
      <c r="B13064" s="309"/>
      <c r="C13064" s="309"/>
      <c r="I13064" s="309"/>
      <c r="J13064" s="309"/>
    </row>
    <row r="13065">
      <c r="B13065" s="309"/>
      <c r="C13065" s="309"/>
      <c r="I13065" s="309"/>
      <c r="J13065" s="309"/>
    </row>
    <row r="13066">
      <c r="B13066" s="309"/>
      <c r="C13066" s="309"/>
      <c r="I13066" s="309"/>
      <c r="J13066" s="309"/>
    </row>
    <row r="13067">
      <c r="B13067" s="309"/>
      <c r="C13067" s="309"/>
      <c r="I13067" s="309"/>
      <c r="J13067" s="309"/>
    </row>
    <row r="13068">
      <c r="B13068" s="309"/>
      <c r="C13068" s="309"/>
      <c r="I13068" s="309"/>
      <c r="J13068" s="309"/>
    </row>
    <row r="13069">
      <c r="B13069" s="309"/>
      <c r="C13069" s="309"/>
      <c r="I13069" s="309"/>
      <c r="J13069" s="309"/>
    </row>
    <row r="13070">
      <c r="B13070" s="309"/>
      <c r="C13070" s="309"/>
      <c r="I13070" s="309"/>
      <c r="J13070" s="309"/>
    </row>
    <row r="13071">
      <c r="B13071" s="309"/>
      <c r="C13071" s="309"/>
      <c r="I13071" s="309"/>
      <c r="J13071" s="309"/>
    </row>
    <row r="13072">
      <c r="B13072" s="309"/>
      <c r="C13072" s="309"/>
      <c r="I13072" s="309"/>
      <c r="J13072" s="309"/>
    </row>
    <row r="13073">
      <c r="B13073" s="309"/>
      <c r="C13073" s="309"/>
      <c r="I13073" s="309"/>
      <c r="J13073" s="309"/>
    </row>
    <row r="13074">
      <c r="B13074" s="309"/>
      <c r="C13074" s="309"/>
      <c r="I13074" s="309"/>
      <c r="J13074" s="309"/>
    </row>
    <row r="13075">
      <c r="B13075" s="309"/>
      <c r="C13075" s="309"/>
      <c r="I13075" s="309"/>
      <c r="J13075" s="309"/>
    </row>
    <row r="13076">
      <c r="B13076" s="309"/>
      <c r="C13076" s="309"/>
      <c r="I13076" s="309"/>
      <c r="J13076" s="309"/>
    </row>
    <row r="13077">
      <c r="B13077" s="309"/>
      <c r="C13077" s="309"/>
      <c r="I13077" s="309"/>
      <c r="J13077" s="309"/>
    </row>
    <row r="13078">
      <c r="B13078" s="309"/>
      <c r="C13078" s="309"/>
      <c r="I13078" s="309"/>
      <c r="J13078" s="309"/>
    </row>
    <row r="13079">
      <c r="B13079" s="309"/>
      <c r="C13079" s="309"/>
      <c r="I13079" s="309"/>
      <c r="J13079" s="309"/>
    </row>
    <row r="13080">
      <c r="B13080" s="309"/>
      <c r="C13080" s="309"/>
      <c r="I13080" s="309"/>
      <c r="J13080" s="309"/>
    </row>
    <row r="13081">
      <c r="B13081" s="309"/>
      <c r="C13081" s="309"/>
      <c r="I13081" s="309"/>
      <c r="J13081" s="309"/>
    </row>
    <row r="13082">
      <c r="B13082" s="309"/>
      <c r="C13082" s="309"/>
      <c r="I13082" s="309"/>
      <c r="J13082" s="309"/>
    </row>
    <row r="13083">
      <c r="B13083" s="309"/>
      <c r="C13083" s="309"/>
      <c r="I13083" s="309"/>
      <c r="J13083" s="309"/>
    </row>
    <row r="13084">
      <c r="B13084" s="309"/>
      <c r="C13084" s="309"/>
      <c r="I13084" s="309"/>
      <c r="J13084" s="309"/>
    </row>
    <row r="13085">
      <c r="B13085" s="309"/>
      <c r="C13085" s="309"/>
      <c r="I13085" s="309"/>
      <c r="J13085" s="309"/>
    </row>
    <row r="13086">
      <c r="B13086" s="309"/>
      <c r="C13086" s="309"/>
      <c r="I13086" s="309"/>
      <c r="J13086" s="309"/>
    </row>
    <row r="13087">
      <c r="B13087" s="309"/>
      <c r="C13087" s="309"/>
      <c r="I13087" s="309"/>
      <c r="J13087" s="309"/>
    </row>
    <row r="13088">
      <c r="B13088" s="309"/>
      <c r="C13088" s="309"/>
      <c r="I13088" s="309"/>
      <c r="J13088" s="309"/>
    </row>
    <row r="13089">
      <c r="B13089" s="309"/>
      <c r="C13089" s="309"/>
      <c r="I13089" s="309"/>
      <c r="J13089" s="309"/>
    </row>
    <row r="13090">
      <c r="B13090" s="309"/>
      <c r="C13090" s="309"/>
      <c r="I13090" s="309"/>
      <c r="J13090" s="309"/>
    </row>
    <row r="13091">
      <c r="B13091" s="309"/>
      <c r="C13091" s="309"/>
      <c r="I13091" s="309"/>
      <c r="J13091" s="309"/>
    </row>
    <row r="13092">
      <c r="B13092" s="309"/>
      <c r="C13092" s="309"/>
      <c r="I13092" s="309"/>
      <c r="J13092" s="309"/>
    </row>
    <row r="13093">
      <c r="B13093" s="309"/>
      <c r="C13093" s="309"/>
      <c r="I13093" s="309"/>
      <c r="J13093" s="309"/>
    </row>
    <row r="13094">
      <c r="B13094" s="309"/>
      <c r="C13094" s="309"/>
      <c r="I13094" s="309"/>
      <c r="J13094" s="309"/>
    </row>
    <row r="13095">
      <c r="B13095" s="309"/>
      <c r="C13095" s="309"/>
      <c r="I13095" s="309"/>
      <c r="J13095" s="309"/>
    </row>
    <row r="13096">
      <c r="B13096" s="309"/>
      <c r="C13096" s="309"/>
      <c r="I13096" s="309"/>
      <c r="J13096" s="309"/>
    </row>
    <row r="13097">
      <c r="B13097" s="309"/>
      <c r="C13097" s="309"/>
      <c r="I13097" s="309"/>
      <c r="J13097" s="309"/>
    </row>
    <row r="13098">
      <c r="B13098" s="309"/>
      <c r="C13098" s="309"/>
      <c r="I13098" s="309"/>
      <c r="J13098" s="309"/>
    </row>
    <row r="13099">
      <c r="B13099" s="309"/>
      <c r="C13099" s="309"/>
      <c r="I13099" s="309"/>
      <c r="J13099" s="309"/>
    </row>
    <row r="13100">
      <c r="B13100" s="309"/>
      <c r="C13100" s="309"/>
      <c r="I13100" s="309"/>
      <c r="J13100" s="309"/>
    </row>
    <row r="13101">
      <c r="B13101" s="309"/>
      <c r="C13101" s="309"/>
      <c r="I13101" s="309"/>
      <c r="J13101" s="309"/>
    </row>
    <row r="13102">
      <c r="B13102" s="309"/>
      <c r="C13102" s="309"/>
      <c r="I13102" s="309"/>
      <c r="J13102" s="309"/>
    </row>
    <row r="13103">
      <c r="B13103" s="309"/>
      <c r="C13103" s="309"/>
      <c r="I13103" s="309"/>
      <c r="J13103" s="309"/>
    </row>
    <row r="13104">
      <c r="B13104" s="309"/>
      <c r="C13104" s="309"/>
      <c r="I13104" s="309"/>
      <c r="J13104" s="309"/>
    </row>
    <row r="13105">
      <c r="B13105" s="309"/>
      <c r="C13105" s="309"/>
      <c r="I13105" s="309"/>
      <c r="J13105" s="309"/>
    </row>
    <row r="13106">
      <c r="B13106" s="309"/>
      <c r="C13106" s="309"/>
      <c r="I13106" s="309"/>
      <c r="J13106" s="309"/>
    </row>
    <row r="13107">
      <c r="B13107" s="309"/>
      <c r="C13107" s="309"/>
      <c r="I13107" s="309"/>
      <c r="J13107" s="309"/>
    </row>
    <row r="13108">
      <c r="B13108" s="309"/>
      <c r="C13108" s="309"/>
      <c r="I13108" s="309"/>
      <c r="J13108" s="309"/>
    </row>
    <row r="13109">
      <c r="B13109" s="309"/>
      <c r="C13109" s="309"/>
      <c r="I13109" s="309"/>
      <c r="J13109" s="309"/>
    </row>
    <row r="13110">
      <c r="B13110" s="309"/>
      <c r="C13110" s="309"/>
      <c r="I13110" s="309"/>
      <c r="J13110" s="309"/>
    </row>
    <row r="13111">
      <c r="B13111" s="309"/>
      <c r="C13111" s="309"/>
      <c r="I13111" s="309"/>
      <c r="J13111" s="309"/>
    </row>
    <row r="13112">
      <c r="B13112" s="309"/>
      <c r="C13112" s="309"/>
      <c r="I13112" s="309"/>
      <c r="J13112" s="309"/>
    </row>
    <row r="13113">
      <c r="B13113" s="309"/>
      <c r="C13113" s="309"/>
      <c r="I13113" s="309"/>
      <c r="J13113" s="309"/>
    </row>
    <row r="13114">
      <c r="B13114" s="309"/>
      <c r="C13114" s="309"/>
      <c r="I13114" s="309"/>
      <c r="J13114" s="309"/>
    </row>
    <row r="13115">
      <c r="B13115" s="309"/>
      <c r="C13115" s="309"/>
      <c r="I13115" s="309"/>
      <c r="J13115" s="309"/>
    </row>
    <row r="13116">
      <c r="B13116" s="309"/>
      <c r="C13116" s="309"/>
      <c r="I13116" s="309"/>
      <c r="J13116" s="309"/>
    </row>
    <row r="13117">
      <c r="B13117" s="309"/>
      <c r="C13117" s="309"/>
      <c r="I13117" s="309"/>
      <c r="J13117" s="309"/>
    </row>
    <row r="13118">
      <c r="B13118" s="309"/>
      <c r="C13118" s="309"/>
      <c r="I13118" s="309"/>
      <c r="J13118" s="309"/>
    </row>
    <row r="13119">
      <c r="B13119" s="309"/>
      <c r="C13119" s="309"/>
      <c r="I13119" s="309"/>
      <c r="J13119" s="309"/>
    </row>
    <row r="13120">
      <c r="B13120" s="309"/>
      <c r="C13120" s="309"/>
      <c r="I13120" s="309"/>
      <c r="J13120" s="309"/>
    </row>
    <row r="13121">
      <c r="B13121" s="309"/>
      <c r="C13121" s="309"/>
      <c r="I13121" s="309"/>
      <c r="J13121" s="309"/>
    </row>
    <row r="13122">
      <c r="B13122" s="309"/>
      <c r="C13122" s="309"/>
      <c r="I13122" s="309"/>
      <c r="J13122" s="309"/>
    </row>
    <row r="13123">
      <c r="B13123" s="309"/>
      <c r="C13123" s="309"/>
      <c r="I13123" s="309"/>
      <c r="J13123" s="309"/>
    </row>
    <row r="13124">
      <c r="B13124" s="309"/>
      <c r="C13124" s="309"/>
      <c r="I13124" s="309"/>
      <c r="J13124" s="309"/>
    </row>
    <row r="13125">
      <c r="B13125" s="309"/>
      <c r="C13125" s="309"/>
      <c r="I13125" s="309"/>
      <c r="J13125" s="309"/>
    </row>
    <row r="13126">
      <c r="B13126" s="309"/>
      <c r="C13126" s="309"/>
      <c r="I13126" s="309"/>
      <c r="J13126" s="309"/>
    </row>
    <row r="13127">
      <c r="B13127" s="309"/>
      <c r="C13127" s="309"/>
      <c r="I13127" s="309"/>
      <c r="J13127" s="309"/>
    </row>
    <row r="13128">
      <c r="B13128" s="309"/>
      <c r="C13128" s="309"/>
      <c r="I13128" s="309"/>
      <c r="J13128" s="309"/>
    </row>
    <row r="13129">
      <c r="B13129" s="309"/>
      <c r="C13129" s="309"/>
      <c r="I13129" s="309"/>
      <c r="J13129" s="309"/>
    </row>
    <row r="13130">
      <c r="B13130" s="309"/>
      <c r="C13130" s="309"/>
      <c r="I13130" s="309"/>
      <c r="J13130" s="309"/>
    </row>
    <row r="13131">
      <c r="B13131" s="309"/>
      <c r="C13131" s="309"/>
      <c r="I13131" s="309"/>
      <c r="J13131" s="309"/>
    </row>
    <row r="13132">
      <c r="B13132" s="309"/>
      <c r="C13132" s="309"/>
      <c r="I13132" s="309"/>
      <c r="J13132" s="309"/>
    </row>
    <row r="13133">
      <c r="B13133" s="309"/>
      <c r="C13133" s="309"/>
      <c r="I13133" s="309"/>
      <c r="J13133" s="309"/>
    </row>
    <row r="13134">
      <c r="B13134" s="309"/>
      <c r="C13134" s="309"/>
      <c r="I13134" s="309"/>
      <c r="J13134" s="309"/>
    </row>
    <row r="13135">
      <c r="B13135" s="309"/>
      <c r="C13135" s="309"/>
      <c r="I13135" s="309"/>
      <c r="J13135" s="309"/>
    </row>
    <row r="13136">
      <c r="B13136" s="309"/>
      <c r="C13136" s="309"/>
      <c r="I13136" s="309"/>
      <c r="J13136" s="309"/>
    </row>
    <row r="13137">
      <c r="B13137" s="309"/>
      <c r="C13137" s="309"/>
      <c r="I13137" s="309"/>
      <c r="J13137" s="309"/>
    </row>
    <row r="13138">
      <c r="B13138" s="309"/>
      <c r="C13138" s="309"/>
      <c r="I13138" s="309"/>
      <c r="J13138" s="309"/>
    </row>
    <row r="13139">
      <c r="B13139" s="309"/>
      <c r="C13139" s="309"/>
      <c r="I13139" s="309"/>
      <c r="J13139" s="309"/>
    </row>
    <row r="13140">
      <c r="B13140" s="309"/>
      <c r="C13140" s="309"/>
      <c r="I13140" s="309"/>
      <c r="J13140" s="309"/>
    </row>
    <row r="13141">
      <c r="B13141" s="309"/>
      <c r="C13141" s="309"/>
      <c r="I13141" s="309"/>
      <c r="J13141" s="309"/>
    </row>
    <row r="13142">
      <c r="B13142" s="309"/>
      <c r="C13142" s="309"/>
      <c r="I13142" s="309"/>
      <c r="J13142" s="309"/>
    </row>
    <row r="13143">
      <c r="B13143" s="309"/>
      <c r="C13143" s="309"/>
      <c r="I13143" s="309"/>
      <c r="J13143" s="309"/>
    </row>
    <row r="13144">
      <c r="B13144" s="309"/>
      <c r="C13144" s="309"/>
      <c r="I13144" s="309"/>
      <c r="J13144" s="309"/>
    </row>
    <row r="13145">
      <c r="B13145" s="309"/>
      <c r="C13145" s="309"/>
      <c r="I13145" s="309"/>
      <c r="J13145" s="309"/>
    </row>
    <row r="13146">
      <c r="B13146" s="309"/>
      <c r="C13146" s="309"/>
      <c r="I13146" s="309"/>
      <c r="J13146" s="309"/>
    </row>
    <row r="13147">
      <c r="B13147" s="309"/>
      <c r="C13147" s="309"/>
      <c r="I13147" s="309"/>
      <c r="J13147" s="309"/>
    </row>
    <row r="13148">
      <c r="B13148" s="309"/>
      <c r="C13148" s="309"/>
      <c r="I13148" s="309"/>
      <c r="J13148" s="309"/>
    </row>
    <row r="13149">
      <c r="B13149" s="309"/>
      <c r="C13149" s="309"/>
      <c r="I13149" s="309"/>
      <c r="J13149" s="309"/>
    </row>
    <row r="13150">
      <c r="B13150" s="309"/>
      <c r="C13150" s="309"/>
      <c r="I13150" s="309"/>
      <c r="J13150" s="309"/>
    </row>
    <row r="13151">
      <c r="B13151" s="309"/>
      <c r="C13151" s="309"/>
      <c r="I13151" s="309"/>
      <c r="J13151" s="309"/>
    </row>
    <row r="13152">
      <c r="B13152" s="309"/>
      <c r="C13152" s="309"/>
      <c r="I13152" s="309"/>
      <c r="J13152" s="309"/>
    </row>
    <row r="13153">
      <c r="B13153" s="309"/>
      <c r="C13153" s="309"/>
      <c r="I13153" s="309"/>
      <c r="J13153" s="309"/>
    </row>
    <row r="13154">
      <c r="B13154" s="309"/>
      <c r="C13154" s="309"/>
      <c r="I13154" s="309"/>
      <c r="J13154" s="309"/>
    </row>
    <row r="13155">
      <c r="B13155" s="309"/>
      <c r="C13155" s="309"/>
      <c r="I13155" s="309"/>
      <c r="J13155" s="309"/>
    </row>
    <row r="13156">
      <c r="B13156" s="309"/>
      <c r="C13156" s="309"/>
      <c r="I13156" s="309"/>
      <c r="J13156" s="309"/>
    </row>
    <row r="13157">
      <c r="B13157" s="309"/>
      <c r="C13157" s="309"/>
      <c r="I13157" s="309"/>
      <c r="J13157" s="309"/>
    </row>
    <row r="13158">
      <c r="B13158" s="309"/>
      <c r="C13158" s="309"/>
      <c r="I13158" s="309"/>
      <c r="J13158" s="309"/>
    </row>
    <row r="13159">
      <c r="B13159" s="309"/>
      <c r="C13159" s="309"/>
      <c r="I13159" s="309"/>
      <c r="J13159" s="309"/>
    </row>
    <row r="13160">
      <c r="B13160" s="309"/>
      <c r="C13160" s="309"/>
      <c r="I13160" s="309"/>
      <c r="J13160" s="309"/>
    </row>
    <row r="13161">
      <c r="B13161" s="309"/>
      <c r="C13161" s="309"/>
      <c r="I13161" s="309"/>
      <c r="J13161" s="309"/>
    </row>
    <row r="13162">
      <c r="B13162" s="309"/>
      <c r="C13162" s="309"/>
      <c r="I13162" s="309"/>
      <c r="J13162" s="309"/>
    </row>
    <row r="13163">
      <c r="B13163" s="309"/>
      <c r="C13163" s="309"/>
      <c r="I13163" s="309"/>
      <c r="J13163" s="309"/>
    </row>
    <row r="13164">
      <c r="B13164" s="309"/>
      <c r="C13164" s="309"/>
      <c r="I13164" s="309"/>
      <c r="J13164" s="309"/>
    </row>
    <row r="13165">
      <c r="B13165" s="309"/>
      <c r="C13165" s="309"/>
      <c r="I13165" s="309"/>
      <c r="J13165" s="309"/>
    </row>
    <row r="13166">
      <c r="B13166" s="309"/>
      <c r="C13166" s="309"/>
      <c r="I13166" s="309"/>
      <c r="J13166" s="309"/>
    </row>
    <row r="13167">
      <c r="B13167" s="309"/>
      <c r="C13167" s="309"/>
      <c r="I13167" s="309"/>
      <c r="J13167" s="309"/>
    </row>
    <row r="13168">
      <c r="B13168" s="309"/>
      <c r="C13168" s="309"/>
      <c r="I13168" s="309"/>
      <c r="J13168" s="309"/>
    </row>
    <row r="13169">
      <c r="B13169" s="309"/>
      <c r="C13169" s="309"/>
      <c r="I13169" s="309"/>
      <c r="J13169" s="309"/>
    </row>
    <row r="13170">
      <c r="B13170" s="309"/>
      <c r="C13170" s="309"/>
      <c r="I13170" s="309"/>
      <c r="J13170" s="309"/>
    </row>
    <row r="13171">
      <c r="B13171" s="309"/>
      <c r="C13171" s="309"/>
      <c r="I13171" s="309"/>
      <c r="J13171" s="309"/>
    </row>
    <row r="13172">
      <c r="B13172" s="309"/>
      <c r="C13172" s="309"/>
      <c r="I13172" s="309"/>
      <c r="J13172" s="309"/>
    </row>
    <row r="13173">
      <c r="B13173" s="309"/>
      <c r="C13173" s="309"/>
      <c r="I13173" s="309"/>
      <c r="J13173" s="309"/>
    </row>
    <row r="13174">
      <c r="B13174" s="309"/>
      <c r="C13174" s="309"/>
      <c r="I13174" s="309"/>
      <c r="J13174" s="309"/>
    </row>
    <row r="13175">
      <c r="B13175" s="309"/>
      <c r="C13175" s="309"/>
      <c r="I13175" s="309"/>
      <c r="J13175" s="309"/>
    </row>
    <row r="13176">
      <c r="B13176" s="309"/>
      <c r="C13176" s="309"/>
      <c r="I13176" s="309"/>
      <c r="J13176" s="309"/>
    </row>
    <row r="13177">
      <c r="B13177" s="309"/>
      <c r="C13177" s="309"/>
      <c r="I13177" s="309"/>
      <c r="J13177" s="309"/>
    </row>
    <row r="13178">
      <c r="B13178" s="309"/>
      <c r="C13178" s="309"/>
      <c r="I13178" s="309"/>
      <c r="J13178" s="309"/>
    </row>
    <row r="13179">
      <c r="B13179" s="309"/>
      <c r="C13179" s="309"/>
      <c r="I13179" s="309"/>
      <c r="J13179" s="309"/>
    </row>
    <row r="13180">
      <c r="B13180" s="309"/>
      <c r="C13180" s="309"/>
      <c r="I13180" s="309"/>
      <c r="J13180" s="309"/>
    </row>
    <row r="13181">
      <c r="B13181" s="309"/>
      <c r="C13181" s="309"/>
      <c r="I13181" s="309"/>
      <c r="J13181" s="309"/>
    </row>
    <row r="13182">
      <c r="B13182" s="309"/>
      <c r="C13182" s="309"/>
      <c r="I13182" s="309"/>
      <c r="J13182" s="309"/>
    </row>
    <row r="13183">
      <c r="B13183" s="309"/>
      <c r="C13183" s="309"/>
      <c r="I13183" s="309"/>
      <c r="J13183" s="309"/>
    </row>
    <row r="13184">
      <c r="B13184" s="309"/>
      <c r="C13184" s="309"/>
      <c r="I13184" s="309"/>
      <c r="J13184" s="309"/>
    </row>
    <row r="13185">
      <c r="B13185" s="309"/>
      <c r="C13185" s="309"/>
      <c r="I13185" s="309"/>
      <c r="J13185" s="309"/>
    </row>
    <row r="13186">
      <c r="B13186" s="309"/>
      <c r="C13186" s="309"/>
      <c r="I13186" s="309"/>
      <c r="J13186" s="309"/>
    </row>
    <row r="13187">
      <c r="B13187" s="309"/>
      <c r="C13187" s="309"/>
      <c r="I13187" s="309"/>
      <c r="J13187" s="309"/>
    </row>
    <row r="13188">
      <c r="B13188" s="309"/>
      <c r="C13188" s="309"/>
      <c r="I13188" s="309"/>
      <c r="J13188" s="309"/>
    </row>
    <row r="13189">
      <c r="B13189" s="309"/>
      <c r="C13189" s="309"/>
      <c r="I13189" s="309"/>
      <c r="J13189" s="309"/>
    </row>
    <row r="13190">
      <c r="B13190" s="309"/>
      <c r="C13190" s="309"/>
      <c r="I13190" s="309"/>
      <c r="J13190" s="309"/>
    </row>
    <row r="13191">
      <c r="B13191" s="309"/>
      <c r="C13191" s="309"/>
      <c r="I13191" s="309"/>
      <c r="J13191" s="309"/>
    </row>
    <row r="13192">
      <c r="B13192" s="309"/>
      <c r="C13192" s="309"/>
      <c r="I13192" s="309"/>
      <c r="J13192" s="309"/>
    </row>
    <row r="13193">
      <c r="B13193" s="309"/>
      <c r="C13193" s="309"/>
      <c r="I13193" s="309"/>
      <c r="J13193" s="309"/>
    </row>
    <row r="13194">
      <c r="B13194" s="309"/>
      <c r="C13194" s="309"/>
      <c r="I13194" s="309"/>
      <c r="J13194" s="309"/>
    </row>
    <row r="13195">
      <c r="B13195" s="309"/>
      <c r="C13195" s="309"/>
      <c r="I13195" s="309"/>
      <c r="J13195" s="309"/>
    </row>
    <row r="13196">
      <c r="B13196" s="309"/>
      <c r="C13196" s="309"/>
      <c r="I13196" s="309"/>
      <c r="J13196" s="309"/>
    </row>
    <row r="13197">
      <c r="B13197" s="309"/>
      <c r="C13197" s="309"/>
      <c r="I13197" s="309"/>
      <c r="J13197" s="309"/>
    </row>
    <row r="13198">
      <c r="B13198" s="309"/>
      <c r="C13198" s="309"/>
      <c r="I13198" s="309"/>
      <c r="J13198" s="309"/>
    </row>
    <row r="13199">
      <c r="B13199" s="309"/>
      <c r="C13199" s="309"/>
      <c r="I13199" s="309"/>
      <c r="J13199" s="309"/>
    </row>
    <row r="13200">
      <c r="B13200" s="309"/>
      <c r="C13200" s="309"/>
      <c r="I13200" s="309"/>
      <c r="J13200" s="309"/>
    </row>
    <row r="13201">
      <c r="B13201" s="309"/>
      <c r="C13201" s="309"/>
      <c r="I13201" s="309"/>
      <c r="J13201" s="309"/>
    </row>
    <row r="13202">
      <c r="B13202" s="309"/>
      <c r="C13202" s="309"/>
      <c r="I13202" s="309"/>
      <c r="J13202" s="309"/>
    </row>
    <row r="13203">
      <c r="B13203" s="309"/>
      <c r="C13203" s="309"/>
      <c r="I13203" s="309"/>
      <c r="J13203" s="309"/>
    </row>
    <row r="13204">
      <c r="B13204" s="309"/>
      <c r="C13204" s="309"/>
      <c r="I13204" s="309"/>
      <c r="J13204" s="309"/>
    </row>
    <row r="13205">
      <c r="B13205" s="309"/>
      <c r="C13205" s="309"/>
      <c r="I13205" s="309"/>
      <c r="J13205" s="309"/>
    </row>
    <row r="13206">
      <c r="B13206" s="309"/>
      <c r="C13206" s="309"/>
      <c r="I13206" s="309"/>
      <c r="J13206" s="309"/>
    </row>
    <row r="13207">
      <c r="B13207" s="309"/>
      <c r="C13207" s="309"/>
      <c r="I13207" s="309"/>
      <c r="J13207" s="309"/>
    </row>
    <row r="13208">
      <c r="B13208" s="309"/>
      <c r="C13208" s="309"/>
      <c r="I13208" s="309"/>
      <c r="J13208" s="309"/>
    </row>
    <row r="13209">
      <c r="B13209" s="309"/>
      <c r="C13209" s="309"/>
      <c r="I13209" s="309"/>
      <c r="J13209" s="309"/>
    </row>
    <row r="13210">
      <c r="B13210" s="309"/>
      <c r="C13210" s="309"/>
      <c r="I13210" s="309"/>
      <c r="J13210" s="309"/>
    </row>
    <row r="13211">
      <c r="B13211" s="309"/>
      <c r="C13211" s="309"/>
      <c r="I13211" s="309"/>
      <c r="J13211" s="309"/>
    </row>
    <row r="13212">
      <c r="B13212" s="309"/>
      <c r="C13212" s="309"/>
      <c r="I13212" s="309"/>
      <c r="J13212" s="309"/>
    </row>
    <row r="13213">
      <c r="B13213" s="309"/>
      <c r="C13213" s="309"/>
      <c r="I13213" s="309"/>
      <c r="J13213" s="309"/>
    </row>
    <row r="13214">
      <c r="B13214" s="309"/>
      <c r="C13214" s="309"/>
      <c r="I13214" s="309"/>
      <c r="J13214" s="309"/>
    </row>
    <row r="13215">
      <c r="B13215" s="309"/>
      <c r="C13215" s="309"/>
      <c r="I13215" s="309"/>
      <c r="J13215" s="309"/>
    </row>
    <row r="13216">
      <c r="B13216" s="309"/>
      <c r="C13216" s="309"/>
      <c r="I13216" s="309"/>
      <c r="J13216" s="309"/>
    </row>
    <row r="13217">
      <c r="B13217" s="309"/>
      <c r="C13217" s="309"/>
      <c r="I13217" s="309"/>
      <c r="J13217" s="309"/>
    </row>
    <row r="13218">
      <c r="B13218" s="309"/>
      <c r="C13218" s="309"/>
      <c r="I13218" s="309"/>
      <c r="J13218" s="309"/>
    </row>
    <row r="13219">
      <c r="B13219" s="309"/>
      <c r="C13219" s="309"/>
      <c r="I13219" s="309"/>
      <c r="J13219" s="309"/>
    </row>
    <row r="13220">
      <c r="B13220" s="309"/>
      <c r="C13220" s="309"/>
      <c r="I13220" s="309"/>
      <c r="J13220" s="309"/>
    </row>
    <row r="13221">
      <c r="B13221" s="309"/>
      <c r="C13221" s="309"/>
      <c r="I13221" s="309"/>
      <c r="J13221" s="309"/>
    </row>
    <row r="13222">
      <c r="B13222" s="309"/>
      <c r="C13222" s="309"/>
      <c r="I13222" s="309"/>
      <c r="J13222" s="309"/>
    </row>
    <row r="13223">
      <c r="B13223" s="309"/>
      <c r="C13223" s="309"/>
      <c r="I13223" s="309"/>
      <c r="J13223" s="309"/>
    </row>
    <row r="13224">
      <c r="B13224" s="309"/>
      <c r="C13224" s="309"/>
      <c r="I13224" s="309"/>
      <c r="J13224" s="309"/>
    </row>
    <row r="13225">
      <c r="B13225" s="309"/>
      <c r="C13225" s="309"/>
      <c r="I13225" s="309"/>
      <c r="J13225" s="309"/>
    </row>
    <row r="13226">
      <c r="B13226" s="309"/>
      <c r="C13226" s="309"/>
      <c r="I13226" s="309"/>
      <c r="J13226" s="309"/>
    </row>
    <row r="13227">
      <c r="B13227" s="309"/>
      <c r="C13227" s="309"/>
      <c r="I13227" s="309"/>
      <c r="J13227" s="309"/>
    </row>
    <row r="13228">
      <c r="B13228" s="309"/>
      <c r="C13228" s="309"/>
      <c r="I13228" s="309"/>
      <c r="J13228" s="309"/>
    </row>
    <row r="13229">
      <c r="B13229" s="309"/>
      <c r="C13229" s="309"/>
      <c r="I13229" s="309"/>
      <c r="J13229" s="309"/>
    </row>
    <row r="13230">
      <c r="B13230" s="309"/>
      <c r="C13230" s="309"/>
      <c r="I13230" s="309"/>
      <c r="J13230" s="309"/>
    </row>
    <row r="13231">
      <c r="B13231" s="309"/>
      <c r="C13231" s="309"/>
      <c r="I13231" s="309"/>
      <c r="J13231" s="309"/>
    </row>
    <row r="13232">
      <c r="B13232" s="309"/>
      <c r="C13232" s="309"/>
      <c r="I13232" s="309"/>
      <c r="J13232" s="309"/>
    </row>
    <row r="13233">
      <c r="B13233" s="309"/>
      <c r="C13233" s="309"/>
      <c r="I13233" s="309"/>
      <c r="J13233" s="309"/>
    </row>
    <row r="13234">
      <c r="B13234" s="309"/>
      <c r="C13234" s="309"/>
      <c r="I13234" s="309"/>
      <c r="J13234" s="309"/>
    </row>
    <row r="13235">
      <c r="B13235" s="309"/>
      <c r="C13235" s="309"/>
      <c r="I13235" s="309"/>
      <c r="J13235" s="309"/>
    </row>
    <row r="13236">
      <c r="B13236" s="309"/>
      <c r="C13236" s="309"/>
      <c r="I13236" s="309"/>
      <c r="J13236" s="309"/>
    </row>
    <row r="13237">
      <c r="B13237" s="309"/>
      <c r="C13237" s="309"/>
      <c r="I13237" s="309"/>
      <c r="J13237" s="309"/>
    </row>
    <row r="13238">
      <c r="B13238" s="309"/>
      <c r="C13238" s="309"/>
      <c r="I13238" s="309"/>
      <c r="J13238" s="309"/>
    </row>
    <row r="13239">
      <c r="B13239" s="309"/>
      <c r="C13239" s="309"/>
      <c r="I13239" s="309"/>
      <c r="J13239" s="309"/>
    </row>
    <row r="13240">
      <c r="B13240" s="309"/>
      <c r="C13240" s="309"/>
      <c r="I13240" s="309"/>
      <c r="J13240" s="309"/>
    </row>
    <row r="13241">
      <c r="B13241" s="309"/>
      <c r="C13241" s="309"/>
      <c r="I13241" s="309"/>
      <c r="J13241" s="309"/>
    </row>
    <row r="13242">
      <c r="B13242" s="309"/>
      <c r="C13242" s="309"/>
      <c r="I13242" s="309"/>
      <c r="J13242" s="309"/>
    </row>
    <row r="13243">
      <c r="B13243" s="309"/>
      <c r="C13243" s="309"/>
      <c r="I13243" s="309"/>
      <c r="J13243" s="309"/>
    </row>
    <row r="13244">
      <c r="B13244" s="309"/>
      <c r="C13244" s="309"/>
      <c r="I13244" s="309"/>
      <c r="J13244" s="309"/>
    </row>
    <row r="13245">
      <c r="B13245" s="309"/>
      <c r="C13245" s="309"/>
      <c r="I13245" s="309"/>
      <c r="J13245" s="309"/>
    </row>
    <row r="13246">
      <c r="B13246" s="309"/>
      <c r="C13246" s="309"/>
      <c r="I13246" s="309"/>
      <c r="J13246" s="309"/>
    </row>
    <row r="13247">
      <c r="B13247" s="309"/>
      <c r="C13247" s="309"/>
      <c r="I13247" s="309"/>
      <c r="J13247" s="309"/>
    </row>
    <row r="13248">
      <c r="B13248" s="309"/>
      <c r="C13248" s="309"/>
      <c r="I13248" s="309"/>
      <c r="J13248" s="309"/>
    </row>
    <row r="13249">
      <c r="B13249" s="309"/>
      <c r="C13249" s="309"/>
      <c r="I13249" s="309"/>
      <c r="J13249" s="309"/>
    </row>
    <row r="13250">
      <c r="B13250" s="309"/>
      <c r="C13250" s="309"/>
      <c r="I13250" s="309"/>
      <c r="J13250" s="309"/>
    </row>
    <row r="13251">
      <c r="B13251" s="309"/>
      <c r="C13251" s="309"/>
      <c r="I13251" s="309"/>
      <c r="J13251" s="309"/>
    </row>
    <row r="13252">
      <c r="B13252" s="309"/>
      <c r="C13252" s="309"/>
      <c r="I13252" s="309"/>
      <c r="J13252" s="309"/>
    </row>
    <row r="13253">
      <c r="B13253" s="309"/>
      <c r="C13253" s="309"/>
      <c r="I13253" s="309"/>
      <c r="J13253" s="309"/>
    </row>
    <row r="13254">
      <c r="B13254" s="309"/>
      <c r="C13254" s="309"/>
      <c r="I13254" s="309"/>
      <c r="J13254" s="309"/>
    </row>
    <row r="13255">
      <c r="B13255" s="309"/>
      <c r="C13255" s="309"/>
      <c r="I13255" s="309"/>
      <c r="J13255" s="309"/>
    </row>
    <row r="13256">
      <c r="B13256" s="309"/>
      <c r="C13256" s="309"/>
      <c r="I13256" s="309"/>
      <c r="J13256" s="309"/>
    </row>
    <row r="13257">
      <c r="B13257" s="309"/>
      <c r="C13257" s="309"/>
      <c r="I13257" s="309"/>
      <c r="J13257" s="309"/>
    </row>
    <row r="13258">
      <c r="B13258" s="309"/>
      <c r="C13258" s="309"/>
      <c r="I13258" s="309"/>
      <c r="J13258" s="309"/>
    </row>
    <row r="13259">
      <c r="B13259" s="309"/>
      <c r="C13259" s="309"/>
      <c r="I13259" s="309"/>
      <c r="J13259" s="309"/>
    </row>
    <row r="13260">
      <c r="B13260" s="309"/>
      <c r="C13260" s="309"/>
      <c r="I13260" s="309"/>
      <c r="J13260" s="309"/>
    </row>
    <row r="13261">
      <c r="B13261" s="309"/>
      <c r="C13261" s="309"/>
      <c r="I13261" s="309"/>
      <c r="J13261" s="309"/>
    </row>
    <row r="13262">
      <c r="B13262" s="309"/>
      <c r="C13262" s="309"/>
      <c r="I13262" s="309"/>
      <c r="J13262" s="309"/>
    </row>
    <row r="13263">
      <c r="B13263" s="309"/>
      <c r="C13263" s="309"/>
      <c r="I13263" s="309"/>
      <c r="J13263" s="309"/>
    </row>
    <row r="13264">
      <c r="B13264" s="309"/>
      <c r="C13264" s="309"/>
      <c r="I13264" s="309"/>
      <c r="J13264" s="309"/>
    </row>
    <row r="13265">
      <c r="B13265" s="309"/>
      <c r="C13265" s="309"/>
      <c r="I13265" s="309"/>
      <c r="J13265" s="309"/>
    </row>
    <row r="13266">
      <c r="B13266" s="309"/>
      <c r="C13266" s="309"/>
      <c r="I13266" s="309"/>
      <c r="J13266" s="309"/>
    </row>
    <row r="13267">
      <c r="B13267" s="309"/>
      <c r="C13267" s="309"/>
      <c r="I13267" s="309"/>
      <c r="J13267" s="309"/>
    </row>
    <row r="13268">
      <c r="B13268" s="309"/>
      <c r="C13268" s="309"/>
      <c r="I13268" s="309"/>
      <c r="J13268" s="309"/>
    </row>
    <row r="13269">
      <c r="B13269" s="309"/>
      <c r="C13269" s="309"/>
      <c r="I13269" s="309"/>
      <c r="J13269" s="309"/>
    </row>
    <row r="13270">
      <c r="B13270" s="309"/>
      <c r="C13270" s="309"/>
      <c r="I13270" s="309"/>
      <c r="J13270" s="309"/>
    </row>
    <row r="13271">
      <c r="B13271" s="309"/>
      <c r="C13271" s="309"/>
      <c r="I13271" s="309"/>
      <c r="J13271" s="309"/>
    </row>
    <row r="13272">
      <c r="B13272" s="309"/>
      <c r="C13272" s="309"/>
      <c r="I13272" s="309"/>
      <c r="J13272" s="309"/>
    </row>
    <row r="13273">
      <c r="B13273" s="309"/>
      <c r="C13273" s="309"/>
      <c r="I13273" s="309"/>
      <c r="J13273" s="309"/>
    </row>
    <row r="13274">
      <c r="B13274" s="309"/>
      <c r="C13274" s="309"/>
      <c r="I13274" s="309"/>
      <c r="J13274" s="309"/>
    </row>
    <row r="13275">
      <c r="B13275" s="309"/>
      <c r="C13275" s="309"/>
      <c r="I13275" s="309"/>
      <c r="J13275" s="309"/>
    </row>
    <row r="13276">
      <c r="B13276" s="309"/>
      <c r="C13276" s="309"/>
      <c r="I13276" s="309"/>
      <c r="J13276" s="309"/>
    </row>
    <row r="13277">
      <c r="B13277" s="309"/>
      <c r="C13277" s="309"/>
      <c r="I13277" s="309"/>
      <c r="J13277" s="309"/>
    </row>
    <row r="13278">
      <c r="B13278" s="309"/>
      <c r="C13278" s="309"/>
      <c r="I13278" s="309"/>
      <c r="J13278" s="309"/>
    </row>
    <row r="13279">
      <c r="B13279" s="309"/>
      <c r="C13279" s="309"/>
      <c r="I13279" s="309"/>
      <c r="J13279" s="309"/>
    </row>
    <row r="13280">
      <c r="B13280" s="309"/>
      <c r="C13280" s="309"/>
      <c r="I13280" s="309"/>
      <c r="J13280" s="309"/>
    </row>
    <row r="13281">
      <c r="B13281" s="309"/>
      <c r="C13281" s="309"/>
      <c r="I13281" s="309"/>
      <c r="J13281" s="309"/>
    </row>
    <row r="13282">
      <c r="B13282" s="309"/>
      <c r="C13282" s="309"/>
      <c r="I13282" s="309"/>
      <c r="J13282" s="309"/>
    </row>
    <row r="13283">
      <c r="B13283" s="309"/>
      <c r="C13283" s="309"/>
      <c r="I13283" s="309"/>
      <c r="J13283" s="309"/>
    </row>
    <row r="13284">
      <c r="B13284" s="309"/>
      <c r="C13284" s="309"/>
      <c r="I13284" s="309"/>
      <c r="J13284" s="309"/>
    </row>
    <row r="13285">
      <c r="B13285" s="309"/>
      <c r="C13285" s="309"/>
      <c r="I13285" s="309"/>
      <c r="J13285" s="309"/>
    </row>
    <row r="13286">
      <c r="B13286" s="309"/>
      <c r="C13286" s="309"/>
      <c r="I13286" s="309"/>
      <c r="J13286" s="309"/>
    </row>
    <row r="13287">
      <c r="B13287" s="309"/>
      <c r="C13287" s="309"/>
      <c r="I13287" s="309"/>
      <c r="J13287" s="309"/>
    </row>
    <row r="13288">
      <c r="B13288" s="309"/>
      <c r="C13288" s="309"/>
      <c r="I13288" s="309"/>
      <c r="J13288" s="309"/>
    </row>
    <row r="13289">
      <c r="B13289" s="309"/>
      <c r="C13289" s="309"/>
      <c r="I13289" s="309"/>
      <c r="J13289" s="309"/>
    </row>
    <row r="13290">
      <c r="B13290" s="309"/>
      <c r="C13290" s="309"/>
      <c r="I13290" s="309"/>
      <c r="J13290" s="309"/>
    </row>
    <row r="13291">
      <c r="B13291" s="309"/>
      <c r="C13291" s="309"/>
      <c r="I13291" s="309"/>
      <c r="J13291" s="309"/>
    </row>
    <row r="13292">
      <c r="B13292" s="309"/>
      <c r="C13292" s="309"/>
      <c r="I13292" s="309"/>
      <c r="J13292" s="309"/>
    </row>
    <row r="13293">
      <c r="B13293" s="309"/>
      <c r="C13293" s="309"/>
      <c r="I13293" s="309"/>
      <c r="J13293" s="309"/>
    </row>
    <row r="13294">
      <c r="B13294" s="309"/>
      <c r="C13294" s="309"/>
      <c r="I13294" s="309"/>
      <c r="J13294" s="309"/>
    </row>
    <row r="13295">
      <c r="B13295" s="309"/>
      <c r="C13295" s="309"/>
      <c r="I13295" s="309"/>
      <c r="J13295" s="309"/>
    </row>
    <row r="13296">
      <c r="B13296" s="309"/>
      <c r="C13296" s="309"/>
      <c r="I13296" s="309"/>
      <c r="J13296" s="309"/>
    </row>
    <row r="13297">
      <c r="B13297" s="309"/>
      <c r="C13297" s="309"/>
      <c r="I13297" s="309"/>
      <c r="J13297" s="309"/>
    </row>
    <row r="13298">
      <c r="B13298" s="309"/>
      <c r="C13298" s="309"/>
      <c r="I13298" s="309"/>
      <c r="J13298" s="309"/>
    </row>
    <row r="13299">
      <c r="B13299" s="309"/>
      <c r="C13299" s="309"/>
      <c r="I13299" s="309"/>
      <c r="J13299" s="309"/>
    </row>
    <row r="13300">
      <c r="B13300" s="309"/>
      <c r="C13300" s="309"/>
      <c r="I13300" s="309"/>
      <c r="J13300" s="309"/>
    </row>
    <row r="13301">
      <c r="B13301" s="309"/>
      <c r="C13301" s="309"/>
      <c r="I13301" s="309"/>
      <c r="J13301" s="309"/>
    </row>
    <row r="13302">
      <c r="B13302" s="309"/>
      <c r="C13302" s="309"/>
      <c r="I13302" s="309"/>
      <c r="J13302" s="309"/>
    </row>
    <row r="13303">
      <c r="B13303" s="309"/>
      <c r="C13303" s="309"/>
      <c r="I13303" s="309"/>
      <c r="J13303" s="309"/>
    </row>
    <row r="13304">
      <c r="B13304" s="309"/>
      <c r="C13304" s="309"/>
      <c r="I13304" s="309"/>
      <c r="J13304" s="309"/>
    </row>
    <row r="13305">
      <c r="B13305" s="309"/>
      <c r="C13305" s="309"/>
      <c r="I13305" s="309"/>
      <c r="J13305" s="309"/>
    </row>
    <row r="13306">
      <c r="B13306" s="309"/>
      <c r="C13306" s="309"/>
      <c r="I13306" s="309"/>
      <c r="J13306" s="309"/>
    </row>
    <row r="13307">
      <c r="B13307" s="309"/>
      <c r="C13307" s="309"/>
      <c r="I13307" s="309"/>
      <c r="J13307" s="309"/>
    </row>
    <row r="13308">
      <c r="B13308" s="309"/>
      <c r="C13308" s="309"/>
      <c r="I13308" s="309"/>
      <c r="J13308" s="309"/>
    </row>
    <row r="13309">
      <c r="B13309" s="309"/>
      <c r="C13309" s="309"/>
      <c r="I13309" s="309"/>
      <c r="J13309" s="309"/>
    </row>
    <row r="13310">
      <c r="B13310" s="309"/>
      <c r="C13310" s="309"/>
      <c r="I13310" s="309"/>
      <c r="J13310" s="309"/>
    </row>
    <row r="13311">
      <c r="B13311" s="309"/>
      <c r="C13311" s="309"/>
      <c r="I13311" s="309"/>
      <c r="J13311" s="309"/>
    </row>
    <row r="13312">
      <c r="B13312" s="309"/>
      <c r="C13312" s="309"/>
      <c r="I13312" s="309"/>
      <c r="J13312" s="309"/>
    </row>
    <row r="13313">
      <c r="B13313" s="309"/>
      <c r="C13313" s="309"/>
      <c r="I13313" s="309"/>
      <c r="J13313" s="309"/>
    </row>
    <row r="13314">
      <c r="B13314" s="309"/>
      <c r="C13314" s="309"/>
      <c r="I13314" s="309"/>
      <c r="J13314" s="309"/>
    </row>
    <row r="13315">
      <c r="B13315" s="309"/>
      <c r="C13315" s="309"/>
      <c r="I13315" s="309"/>
      <c r="J13315" s="309"/>
    </row>
    <row r="13316">
      <c r="B13316" s="309"/>
      <c r="C13316" s="309"/>
      <c r="I13316" s="309"/>
      <c r="J13316" s="309"/>
    </row>
    <row r="13317">
      <c r="B13317" s="309"/>
      <c r="C13317" s="309"/>
      <c r="I13317" s="309"/>
      <c r="J13317" s="309"/>
    </row>
    <row r="13318">
      <c r="B13318" s="309"/>
      <c r="C13318" s="309"/>
      <c r="I13318" s="309"/>
      <c r="J13318" s="309"/>
    </row>
    <row r="13319">
      <c r="B13319" s="309"/>
      <c r="C13319" s="309"/>
      <c r="I13319" s="309"/>
      <c r="J13319" s="309"/>
    </row>
    <row r="13320">
      <c r="B13320" s="309"/>
      <c r="C13320" s="309"/>
      <c r="I13320" s="309"/>
      <c r="J13320" s="309"/>
    </row>
    <row r="13321">
      <c r="B13321" s="309"/>
      <c r="C13321" s="309"/>
      <c r="I13321" s="309"/>
      <c r="J13321" s="309"/>
    </row>
    <row r="13322">
      <c r="B13322" s="309"/>
      <c r="C13322" s="309"/>
      <c r="I13322" s="309"/>
      <c r="J13322" s="309"/>
    </row>
    <row r="13323">
      <c r="B13323" s="309"/>
      <c r="C13323" s="309"/>
      <c r="I13323" s="309"/>
      <c r="J13323" s="309"/>
    </row>
    <row r="13324">
      <c r="B13324" s="309"/>
      <c r="C13324" s="309"/>
      <c r="I13324" s="309"/>
      <c r="J13324" s="309"/>
    </row>
    <row r="13325">
      <c r="B13325" s="309"/>
      <c r="C13325" s="309"/>
      <c r="I13325" s="309"/>
      <c r="J13325" s="309"/>
    </row>
    <row r="13326">
      <c r="B13326" s="309"/>
      <c r="C13326" s="309"/>
      <c r="I13326" s="309"/>
      <c r="J13326" s="309"/>
    </row>
    <row r="13327">
      <c r="B13327" s="309"/>
      <c r="C13327" s="309"/>
      <c r="I13327" s="309"/>
      <c r="J13327" s="309"/>
    </row>
    <row r="13328">
      <c r="B13328" s="309"/>
      <c r="C13328" s="309"/>
      <c r="I13328" s="309"/>
      <c r="J13328" s="309"/>
    </row>
    <row r="13329">
      <c r="B13329" s="309"/>
      <c r="C13329" s="309"/>
      <c r="I13329" s="309"/>
      <c r="J13329" s="309"/>
    </row>
    <row r="13330">
      <c r="B13330" s="309"/>
      <c r="C13330" s="309"/>
      <c r="I13330" s="309"/>
      <c r="J13330" s="309"/>
    </row>
    <row r="13331">
      <c r="B13331" s="309"/>
      <c r="C13331" s="309"/>
      <c r="I13331" s="309"/>
      <c r="J13331" s="309"/>
    </row>
    <row r="13332">
      <c r="B13332" s="309"/>
      <c r="C13332" s="309"/>
      <c r="I13332" s="309"/>
      <c r="J13332" s="309"/>
    </row>
    <row r="13333">
      <c r="B13333" s="309"/>
      <c r="C13333" s="309"/>
      <c r="I13333" s="309"/>
      <c r="J13333" s="309"/>
    </row>
    <row r="13334">
      <c r="B13334" s="309"/>
      <c r="C13334" s="309"/>
      <c r="I13334" s="309"/>
      <c r="J13334" s="309"/>
    </row>
    <row r="13335">
      <c r="B13335" s="309"/>
      <c r="C13335" s="309"/>
      <c r="I13335" s="309"/>
      <c r="J13335" s="309"/>
    </row>
    <row r="13336">
      <c r="B13336" s="309"/>
      <c r="C13336" s="309"/>
      <c r="I13336" s="309"/>
      <c r="J13336" s="309"/>
    </row>
    <row r="13337">
      <c r="B13337" s="309"/>
      <c r="C13337" s="309"/>
      <c r="I13337" s="309"/>
      <c r="J13337" s="309"/>
    </row>
    <row r="13338">
      <c r="B13338" s="309"/>
      <c r="C13338" s="309"/>
      <c r="I13338" s="309"/>
      <c r="J13338" s="309"/>
    </row>
    <row r="13339">
      <c r="B13339" s="309"/>
      <c r="C13339" s="309"/>
      <c r="I13339" s="309"/>
      <c r="J13339" s="309"/>
    </row>
    <row r="13340">
      <c r="B13340" s="309"/>
      <c r="C13340" s="309"/>
      <c r="I13340" s="309"/>
      <c r="J13340" s="309"/>
    </row>
    <row r="13341">
      <c r="B13341" s="309"/>
      <c r="C13341" s="309"/>
      <c r="I13341" s="309"/>
      <c r="J13341" s="309"/>
    </row>
    <row r="13342">
      <c r="B13342" s="309"/>
      <c r="C13342" s="309"/>
      <c r="I13342" s="309"/>
      <c r="J13342" s="309"/>
    </row>
    <row r="13343">
      <c r="B13343" s="309"/>
      <c r="C13343" s="309"/>
      <c r="I13343" s="309"/>
      <c r="J13343" s="309"/>
    </row>
    <row r="13344">
      <c r="B13344" s="309"/>
      <c r="C13344" s="309"/>
      <c r="I13344" s="309"/>
      <c r="J13344" s="309"/>
    </row>
    <row r="13345">
      <c r="B13345" s="309"/>
      <c r="C13345" s="309"/>
      <c r="I13345" s="309"/>
      <c r="J13345" s="309"/>
    </row>
    <row r="13346">
      <c r="B13346" s="309"/>
      <c r="C13346" s="309"/>
      <c r="I13346" s="309"/>
      <c r="J13346" s="309"/>
    </row>
    <row r="13347">
      <c r="B13347" s="309"/>
      <c r="C13347" s="309"/>
      <c r="I13347" s="309"/>
      <c r="J13347" s="309"/>
    </row>
    <row r="13348">
      <c r="B13348" s="309"/>
      <c r="C13348" s="309"/>
      <c r="I13348" s="309"/>
      <c r="J13348" s="309"/>
    </row>
    <row r="13349">
      <c r="B13349" s="309"/>
      <c r="C13349" s="309"/>
      <c r="I13349" s="309"/>
      <c r="J13349" s="309"/>
    </row>
    <row r="13350">
      <c r="B13350" s="309"/>
      <c r="C13350" s="309"/>
      <c r="I13350" s="309"/>
      <c r="J13350" s="309"/>
    </row>
    <row r="13351">
      <c r="B13351" s="309"/>
      <c r="C13351" s="309"/>
      <c r="I13351" s="309"/>
      <c r="J13351" s="309"/>
    </row>
    <row r="13352">
      <c r="B13352" s="309"/>
      <c r="C13352" s="309"/>
      <c r="I13352" s="309"/>
      <c r="J13352" s="309"/>
    </row>
    <row r="13353">
      <c r="B13353" s="309"/>
      <c r="C13353" s="309"/>
      <c r="I13353" s="309"/>
      <c r="J13353" s="309"/>
    </row>
    <row r="13354">
      <c r="B13354" s="309"/>
      <c r="C13354" s="309"/>
      <c r="I13354" s="309"/>
      <c r="J13354" s="309"/>
    </row>
    <row r="13355">
      <c r="B13355" s="309"/>
      <c r="C13355" s="309"/>
      <c r="I13355" s="309"/>
      <c r="J13355" s="309"/>
    </row>
    <row r="13356">
      <c r="B13356" s="309"/>
      <c r="C13356" s="309"/>
      <c r="I13356" s="309"/>
      <c r="J13356" s="309"/>
    </row>
    <row r="13357">
      <c r="B13357" s="309"/>
      <c r="C13357" s="309"/>
      <c r="I13357" s="309"/>
      <c r="J13357" s="309"/>
    </row>
    <row r="13358">
      <c r="B13358" s="309"/>
      <c r="C13358" s="309"/>
      <c r="I13358" s="309"/>
      <c r="J13358" s="309"/>
    </row>
    <row r="13359">
      <c r="B13359" s="309"/>
      <c r="C13359" s="309"/>
      <c r="I13359" s="309"/>
      <c r="J13359" s="309"/>
    </row>
    <row r="13360">
      <c r="B13360" s="309"/>
      <c r="C13360" s="309"/>
      <c r="I13360" s="309"/>
      <c r="J13360" s="309"/>
    </row>
    <row r="13361">
      <c r="B13361" s="309"/>
      <c r="C13361" s="309"/>
      <c r="I13361" s="309"/>
      <c r="J13361" s="309"/>
    </row>
    <row r="13362">
      <c r="B13362" s="309"/>
      <c r="C13362" s="309"/>
      <c r="I13362" s="309"/>
      <c r="J13362" s="309"/>
    </row>
    <row r="13363">
      <c r="B13363" s="309"/>
      <c r="C13363" s="309"/>
      <c r="I13363" s="309"/>
      <c r="J13363" s="309"/>
    </row>
    <row r="13364">
      <c r="B13364" s="309"/>
      <c r="C13364" s="309"/>
      <c r="I13364" s="309"/>
      <c r="J13364" s="309"/>
    </row>
    <row r="13365">
      <c r="B13365" s="309"/>
      <c r="C13365" s="309"/>
      <c r="I13365" s="309"/>
      <c r="J13365" s="309"/>
    </row>
    <row r="13366">
      <c r="B13366" s="309"/>
      <c r="C13366" s="309"/>
      <c r="I13366" s="309"/>
      <c r="J13366" s="309"/>
    </row>
    <row r="13367">
      <c r="B13367" s="309"/>
      <c r="C13367" s="309"/>
      <c r="I13367" s="309"/>
      <c r="J13367" s="309"/>
    </row>
    <row r="13368">
      <c r="B13368" s="309"/>
      <c r="C13368" s="309"/>
      <c r="I13368" s="309"/>
      <c r="J13368" s="309"/>
    </row>
    <row r="13369">
      <c r="B13369" s="309"/>
      <c r="C13369" s="309"/>
      <c r="I13369" s="309"/>
      <c r="J13369" s="309"/>
    </row>
    <row r="13370">
      <c r="B13370" s="309"/>
      <c r="C13370" s="309"/>
      <c r="I13370" s="309"/>
      <c r="J13370" s="309"/>
    </row>
    <row r="13371">
      <c r="B13371" s="309"/>
      <c r="C13371" s="309"/>
      <c r="I13371" s="309"/>
      <c r="J13371" s="309"/>
    </row>
    <row r="13372">
      <c r="B13372" s="309"/>
      <c r="C13372" s="309"/>
      <c r="I13372" s="309"/>
      <c r="J13372" s="309"/>
    </row>
    <row r="13373">
      <c r="B13373" s="309"/>
      <c r="C13373" s="309"/>
      <c r="I13373" s="309"/>
      <c r="J13373" s="309"/>
    </row>
    <row r="13374">
      <c r="B13374" s="309"/>
      <c r="C13374" s="309"/>
      <c r="I13374" s="309"/>
      <c r="J13374" s="309"/>
    </row>
    <row r="13375">
      <c r="B13375" s="309"/>
      <c r="C13375" s="309"/>
      <c r="I13375" s="309"/>
      <c r="J13375" s="309"/>
    </row>
    <row r="13376">
      <c r="B13376" s="309"/>
      <c r="C13376" s="309"/>
      <c r="I13376" s="309"/>
      <c r="J13376" s="309"/>
    </row>
    <row r="13377">
      <c r="B13377" s="309"/>
      <c r="C13377" s="309"/>
      <c r="I13377" s="309"/>
      <c r="J13377" s="309"/>
    </row>
    <row r="13378">
      <c r="B13378" s="309"/>
      <c r="C13378" s="309"/>
      <c r="I13378" s="309"/>
      <c r="J13378" s="309"/>
    </row>
    <row r="13379">
      <c r="B13379" s="309"/>
      <c r="C13379" s="309"/>
      <c r="I13379" s="309"/>
      <c r="J13379" s="309"/>
    </row>
    <row r="13380">
      <c r="B13380" s="309"/>
      <c r="C13380" s="309"/>
      <c r="I13380" s="309"/>
      <c r="J13380" s="309"/>
    </row>
    <row r="13381">
      <c r="B13381" s="309"/>
      <c r="C13381" s="309"/>
      <c r="I13381" s="309"/>
      <c r="J13381" s="309"/>
    </row>
    <row r="13382">
      <c r="B13382" s="309"/>
      <c r="C13382" s="309"/>
      <c r="I13382" s="309"/>
      <c r="J13382" s="309"/>
    </row>
    <row r="13383">
      <c r="B13383" s="309"/>
      <c r="C13383" s="309"/>
      <c r="I13383" s="309"/>
      <c r="J13383" s="309"/>
    </row>
    <row r="13384">
      <c r="B13384" s="309"/>
      <c r="C13384" s="309"/>
      <c r="I13384" s="309"/>
      <c r="J13384" s="309"/>
    </row>
    <row r="13385">
      <c r="B13385" s="309"/>
      <c r="C13385" s="309"/>
      <c r="I13385" s="309"/>
      <c r="J13385" s="309"/>
    </row>
    <row r="13386">
      <c r="B13386" s="309"/>
      <c r="C13386" s="309"/>
      <c r="I13386" s="309"/>
      <c r="J13386" s="309"/>
    </row>
    <row r="13387">
      <c r="B13387" s="309"/>
      <c r="C13387" s="309"/>
      <c r="I13387" s="309"/>
      <c r="J13387" s="309"/>
    </row>
    <row r="13388">
      <c r="B13388" s="309"/>
      <c r="C13388" s="309"/>
      <c r="I13388" s="309"/>
      <c r="J13388" s="309"/>
    </row>
    <row r="13389">
      <c r="B13389" s="309"/>
      <c r="C13389" s="309"/>
      <c r="I13389" s="309"/>
      <c r="J13389" s="309"/>
    </row>
    <row r="13390">
      <c r="B13390" s="309"/>
      <c r="C13390" s="309"/>
      <c r="I13390" s="309"/>
      <c r="J13390" s="309"/>
    </row>
    <row r="13391">
      <c r="B13391" s="309"/>
      <c r="C13391" s="309"/>
      <c r="I13391" s="309"/>
      <c r="J13391" s="309"/>
    </row>
    <row r="13392">
      <c r="B13392" s="309"/>
      <c r="C13392" s="309"/>
      <c r="I13392" s="309"/>
      <c r="J13392" s="309"/>
    </row>
    <row r="13393">
      <c r="B13393" s="309"/>
      <c r="C13393" s="309"/>
      <c r="I13393" s="309"/>
      <c r="J13393" s="309"/>
    </row>
    <row r="13394">
      <c r="B13394" s="309"/>
      <c r="C13394" s="309"/>
      <c r="I13394" s="309"/>
      <c r="J13394" s="309"/>
    </row>
    <row r="13395">
      <c r="B13395" s="309"/>
      <c r="C13395" s="309"/>
      <c r="I13395" s="309"/>
      <c r="J13395" s="309"/>
    </row>
    <row r="13396">
      <c r="B13396" s="309"/>
      <c r="C13396" s="309"/>
      <c r="I13396" s="309"/>
      <c r="J13396" s="309"/>
    </row>
    <row r="13397">
      <c r="B13397" s="309"/>
      <c r="C13397" s="309"/>
      <c r="I13397" s="309"/>
      <c r="J13397" s="309"/>
    </row>
    <row r="13398">
      <c r="B13398" s="309"/>
      <c r="C13398" s="309"/>
      <c r="I13398" s="309"/>
      <c r="J13398" s="309"/>
    </row>
    <row r="13399">
      <c r="B13399" s="309"/>
      <c r="C13399" s="309"/>
      <c r="I13399" s="309"/>
      <c r="J13399" s="309"/>
    </row>
    <row r="13400">
      <c r="B13400" s="309"/>
      <c r="C13400" s="309"/>
      <c r="I13400" s="309"/>
      <c r="J13400" s="309"/>
    </row>
    <row r="13401">
      <c r="B13401" s="309"/>
      <c r="C13401" s="309"/>
      <c r="I13401" s="309"/>
      <c r="J13401" s="309"/>
    </row>
    <row r="13402">
      <c r="B13402" s="309"/>
      <c r="C13402" s="309"/>
      <c r="I13402" s="309"/>
      <c r="J13402" s="309"/>
    </row>
    <row r="13403">
      <c r="B13403" s="309"/>
      <c r="C13403" s="309"/>
      <c r="I13403" s="309"/>
      <c r="J13403" s="309"/>
    </row>
    <row r="13404">
      <c r="B13404" s="309"/>
      <c r="C13404" s="309"/>
      <c r="I13404" s="309"/>
      <c r="J13404" s="309"/>
    </row>
    <row r="13405">
      <c r="B13405" s="309"/>
      <c r="C13405" s="309"/>
      <c r="I13405" s="309"/>
      <c r="J13405" s="309"/>
    </row>
    <row r="13406">
      <c r="B13406" s="309"/>
      <c r="C13406" s="309"/>
      <c r="I13406" s="309"/>
      <c r="J13406" s="309"/>
    </row>
    <row r="13407">
      <c r="B13407" s="309"/>
      <c r="C13407" s="309"/>
      <c r="I13407" s="309"/>
      <c r="J13407" s="309"/>
    </row>
    <row r="13408">
      <c r="B13408" s="309"/>
      <c r="C13408" s="309"/>
      <c r="I13408" s="309"/>
      <c r="J13408" s="309"/>
    </row>
    <row r="13409">
      <c r="B13409" s="309"/>
      <c r="C13409" s="309"/>
      <c r="I13409" s="309"/>
      <c r="J13409" s="309"/>
    </row>
    <row r="13410">
      <c r="B13410" s="309"/>
      <c r="C13410" s="309"/>
      <c r="I13410" s="309"/>
      <c r="J13410" s="309"/>
    </row>
    <row r="13411">
      <c r="B13411" s="309"/>
      <c r="C13411" s="309"/>
      <c r="I13411" s="309"/>
      <c r="J13411" s="309"/>
    </row>
    <row r="13412">
      <c r="B13412" s="309"/>
      <c r="C13412" s="309"/>
      <c r="I13412" s="309"/>
      <c r="J13412" s="309"/>
    </row>
    <row r="13413">
      <c r="B13413" s="309"/>
      <c r="C13413" s="309"/>
      <c r="I13413" s="309"/>
      <c r="J13413" s="309"/>
    </row>
    <row r="13414">
      <c r="B13414" s="309"/>
      <c r="C13414" s="309"/>
      <c r="I13414" s="309"/>
      <c r="J13414" s="309"/>
    </row>
    <row r="13415">
      <c r="B13415" s="309"/>
      <c r="C13415" s="309"/>
      <c r="I13415" s="309"/>
      <c r="J13415" s="309"/>
    </row>
    <row r="13416">
      <c r="B13416" s="309"/>
      <c r="C13416" s="309"/>
      <c r="I13416" s="309"/>
      <c r="J13416" s="309"/>
    </row>
    <row r="13417">
      <c r="B13417" s="309"/>
      <c r="C13417" s="309"/>
      <c r="I13417" s="309"/>
      <c r="J13417" s="309"/>
    </row>
    <row r="13418">
      <c r="B13418" s="309"/>
      <c r="C13418" s="309"/>
      <c r="I13418" s="309"/>
      <c r="J13418" s="309"/>
    </row>
    <row r="13419">
      <c r="B13419" s="309"/>
      <c r="C13419" s="309"/>
      <c r="I13419" s="309"/>
      <c r="J13419" s="309"/>
    </row>
    <row r="13420">
      <c r="B13420" s="309"/>
      <c r="C13420" s="309"/>
      <c r="I13420" s="309"/>
      <c r="J13420" s="309"/>
    </row>
    <row r="13421">
      <c r="B13421" s="309"/>
      <c r="C13421" s="309"/>
      <c r="I13421" s="309"/>
      <c r="J13421" s="309"/>
    </row>
    <row r="13422">
      <c r="B13422" s="309"/>
      <c r="C13422" s="309"/>
      <c r="I13422" s="309"/>
      <c r="J13422" s="309"/>
    </row>
    <row r="13423">
      <c r="B13423" s="309"/>
      <c r="C13423" s="309"/>
      <c r="I13423" s="309"/>
      <c r="J13423" s="309"/>
    </row>
    <row r="13424">
      <c r="B13424" s="309"/>
      <c r="C13424" s="309"/>
      <c r="I13424" s="309"/>
      <c r="J13424" s="309"/>
    </row>
    <row r="13425">
      <c r="B13425" s="309"/>
      <c r="C13425" s="309"/>
      <c r="I13425" s="309"/>
      <c r="J13425" s="309"/>
    </row>
    <row r="13426">
      <c r="B13426" s="309"/>
      <c r="C13426" s="309"/>
      <c r="I13426" s="309"/>
      <c r="J13426" s="309"/>
    </row>
    <row r="13427">
      <c r="B13427" s="309"/>
      <c r="C13427" s="309"/>
      <c r="I13427" s="309"/>
      <c r="J13427" s="309"/>
    </row>
    <row r="13428">
      <c r="B13428" s="309"/>
      <c r="C13428" s="309"/>
      <c r="I13428" s="309"/>
      <c r="J13428" s="309"/>
    </row>
    <row r="13429">
      <c r="B13429" s="309"/>
      <c r="C13429" s="309"/>
      <c r="I13429" s="309"/>
      <c r="J13429" s="309"/>
    </row>
    <row r="13430">
      <c r="B13430" s="309"/>
      <c r="C13430" s="309"/>
      <c r="I13430" s="309"/>
      <c r="J13430" s="309"/>
    </row>
    <row r="13431">
      <c r="B13431" s="309"/>
      <c r="C13431" s="309"/>
      <c r="I13431" s="309"/>
      <c r="J13431" s="309"/>
    </row>
    <row r="13432">
      <c r="B13432" s="309"/>
      <c r="C13432" s="309"/>
      <c r="I13432" s="309"/>
      <c r="J13432" s="309"/>
    </row>
    <row r="13433">
      <c r="B13433" s="309"/>
      <c r="C13433" s="309"/>
      <c r="I13433" s="309"/>
      <c r="J13433" s="309"/>
    </row>
    <row r="13434">
      <c r="B13434" s="309"/>
      <c r="C13434" s="309"/>
      <c r="I13434" s="309"/>
      <c r="J13434" s="309"/>
    </row>
    <row r="13435">
      <c r="B13435" s="309"/>
      <c r="C13435" s="309"/>
      <c r="I13435" s="309"/>
      <c r="J13435" s="309"/>
    </row>
    <row r="13436">
      <c r="B13436" s="309"/>
      <c r="C13436" s="309"/>
      <c r="I13436" s="309"/>
      <c r="J13436" s="309"/>
    </row>
    <row r="13437">
      <c r="B13437" s="309"/>
      <c r="C13437" s="309"/>
      <c r="I13437" s="309"/>
      <c r="J13437" s="309"/>
    </row>
    <row r="13438">
      <c r="B13438" s="309"/>
      <c r="C13438" s="309"/>
      <c r="I13438" s="309"/>
      <c r="J13438" s="309"/>
    </row>
    <row r="13439">
      <c r="B13439" s="309"/>
      <c r="C13439" s="309"/>
      <c r="I13439" s="309"/>
      <c r="J13439" s="309"/>
    </row>
    <row r="13440">
      <c r="B13440" s="309"/>
      <c r="C13440" s="309"/>
      <c r="I13440" s="309"/>
      <c r="J13440" s="309"/>
    </row>
    <row r="13441">
      <c r="B13441" s="309"/>
      <c r="C13441" s="309"/>
      <c r="I13441" s="309"/>
      <c r="J13441" s="309"/>
    </row>
    <row r="13442">
      <c r="B13442" s="309"/>
      <c r="C13442" s="309"/>
      <c r="I13442" s="309"/>
      <c r="J13442" s="309"/>
    </row>
    <row r="13443">
      <c r="B13443" s="309"/>
      <c r="C13443" s="309"/>
      <c r="I13443" s="309"/>
      <c r="J13443" s="309"/>
    </row>
    <row r="13444">
      <c r="B13444" s="309"/>
      <c r="C13444" s="309"/>
      <c r="I13444" s="309"/>
      <c r="J13444" s="309"/>
    </row>
    <row r="13445">
      <c r="B13445" s="309"/>
      <c r="C13445" s="309"/>
      <c r="I13445" s="309"/>
      <c r="J13445" s="309"/>
    </row>
    <row r="13446">
      <c r="B13446" s="309"/>
      <c r="C13446" s="309"/>
      <c r="I13446" s="309"/>
      <c r="J13446" s="309"/>
    </row>
    <row r="13447">
      <c r="B13447" s="309"/>
      <c r="C13447" s="309"/>
      <c r="I13447" s="309"/>
      <c r="J13447" s="309"/>
    </row>
    <row r="13448">
      <c r="B13448" s="309"/>
      <c r="C13448" s="309"/>
      <c r="I13448" s="309"/>
      <c r="J13448" s="309"/>
    </row>
    <row r="13449">
      <c r="B13449" s="309"/>
      <c r="C13449" s="309"/>
      <c r="I13449" s="309"/>
      <c r="J13449" s="309"/>
    </row>
    <row r="13450">
      <c r="B13450" s="309"/>
      <c r="C13450" s="309"/>
      <c r="I13450" s="309"/>
      <c r="J13450" s="309"/>
    </row>
    <row r="13451">
      <c r="B13451" s="309"/>
      <c r="C13451" s="309"/>
      <c r="I13451" s="309"/>
      <c r="J13451" s="309"/>
    </row>
    <row r="13452">
      <c r="B13452" s="309"/>
      <c r="C13452" s="309"/>
      <c r="I13452" s="309"/>
      <c r="J13452" s="309"/>
    </row>
    <row r="13453">
      <c r="B13453" s="309"/>
      <c r="C13453" s="309"/>
      <c r="I13453" s="309"/>
      <c r="J13453" s="309"/>
    </row>
    <row r="13454">
      <c r="B13454" s="309"/>
      <c r="C13454" s="309"/>
      <c r="I13454" s="309"/>
      <c r="J13454" s="309"/>
    </row>
    <row r="13455">
      <c r="B13455" s="309"/>
      <c r="C13455" s="309"/>
      <c r="I13455" s="309"/>
      <c r="J13455" s="309"/>
    </row>
    <row r="13456">
      <c r="B13456" s="309"/>
      <c r="C13456" s="309"/>
      <c r="I13456" s="309"/>
      <c r="J13456" s="309"/>
    </row>
    <row r="13457">
      <c r="B13457" s="309"/>
      <c r="C13457" s="309"/>
      <c r="I13457" s="309"/>
      <c r="J13457" s="309"/>
    </row>
    <row r="13458">
      <c r="B13458" s="309"/>
      <c r="C13458" s="309"/>
      <c r="I13458" s="309"/>
      <c r="J13458" s="309"/>
    </row>
    <row r="13459">
      <c r="B13459" s="309"/>
      <c r="C13459" s="309"/>
      <c r="I13459" s="309"/>
      <c r="J13459" s="309"/>
    </row>
    <row r="13460">
      <c r="B13460" s="309"/>
      <c r="C13460" s="309"/>
      <c r="I13460" s="309"/>
      <c r="J13460" s="309"/>
    </row>
    <row r="13461">
      <c r="B13461" s="309"/>
      <c r="C13461" s="309"/>
      <c r="I13461" s="309"/>
      <c r="J13461" s="309"/>
    </row>
    <row r="13462">
      <c r="B13462" s="309"/>
      <c r="C13462" s="309"/>
      <c r="I13462" s="309"/>
      <c r="J13462" s="309"/>
    </row>
    <row r="13463">
      <c r="B13463" s="309"/>
      <c r="C13463" s="309"/>
      <c r="I13463" s="309"/>
      <c r="J13463" s="309"/>
    </row>
    <row r="13464">
      <c r="B13464" s="309"/>
      <c r="C13464" s="309"/>
      <c r="I13464" s="309"/>
      <c r="J13464" s="309"/>
    </row>
    <row r="13465">
      <c r="B13465" s="309"/>
      <c r="C13465" s="309"/>
      <c r="I13465" s="309"/>
      <c r="J13465" s="309"/>
    </row>
    <row r="13466">
      <c r="B13466" s="309"/>
      <c r="C13466" s="309"/>
      <c r="I13466" s="309"/>
      <c r="J13466" s="309"/>
    </row>
    <row r="13467">
      <c r="B13467" s="309"/>
      <c r="C13467" s="309"/>
      <c r="I13467" s="309"/>
      <c r="J13467" s="309"/>
    </row>
    <row r="13468">
      <c r="B13468" s="309"/>
      <c r="C13468" s="309"/>
      <c r="I13468" s="309"/>
      <c r="J13468" s="309"/>
    </row>
    <row r="13469">
      <c r="B13469" s="309"/>
      <c r="C13469" s="309"/>
      <c r="I13469" s="309"/>
      <c r="J13469" s="309"/>
    </row>
    <row r="13470">
      <c r="B13470" s="309"/>
      <c r="C13470" s="309"/>
      <c r="I13470" s="309"/>
      <c r="J13470" s="309"/>
    </row>
    <row r="13471">
      <c r="B13471" s="309"/>
      <c r="C13471" s="309"/>
      <c r="I13471" s="309"/>
      <c r="J13471" s="309"/>
    </row>
    <row r="13472">
      <c r="B13472" s="309"/>
      <c r="C13472" s="309"/>
      <c r="I13472" s="309"/>
      <c r="J13472" s="309"/>
    </row>
    <row r="13473">
      <c r="B13473" s="309"/>
      <c r="C13473" s="309"/>
      <c r="I13473" s="309"/>
      <c r="J13473" s="309"/>
    </row>
    <row r="13474">
      <c r="B13474" s="309"/>
      <c r="C13474" s="309"/>
      <c r="I13474" s="309"/>
      <c r="J13474" s="309"/>
    </row>
    <row r="13475">
      <c r="B13475" s="309"/>
      <c r="C13475" s="309"/>
      <c r="I13475" s="309"/>
      <c r="J13475" s="309"/>
    </row>
    <row r="13476">
      <c r="B13476" s="309"/>
      <c r="C13476" s="309"/>
      <c r="I13476" s="309"/>
      <c r="J13476" s="309"/>
    </row>
    <row r="13477">
      <c r="B13477" s="309"/>
      <c r="C13477" s="309"/>
      <c r="I13477" s="309"/>
      <c r="J13477" s="309"/>
    </row>
    <row r="13478">
      <c r="B13478" s="309"/>
      <c r="C13478" s="309"/>
      <c r="I13478" s="309"/>
      <c r="J13478" s="309"/>
    </row>
    <row r="13479">
      <c r="B13479" s="309"/>
      <c r="C13479" s="309"/>
      <c r="I13479" s="309"/>
      <c r="J13479" s="309"/>
    </row>
    <row r="13480">
      <c r="B13480" s="309"/>
      <c r="C13480" s="309"/>
      <c r="I13480" s="309"/>
      <c r="J13480" s="309"/>
    </row>
    <row r="13481">
      <c r="B13481" s="309"/>
      <c r="C13481" s="309"/>
      <c r="I13481" s="309"/>
      <c r="J13481" s="309"/>
    </row>
    <row r="13482">
      <c r="B13482" s="309"/>
      <c r="C13482" s="309"/>
      <c r="I13482" s="309"/>
      <c r="J13482" s="309"/>
    </row>
    <row r="13483">
      <c r="B13483" s="309"/>
      <c r="C13483" s="309"/>
      <c r="I13483" s="309"/>
      <c r="J13483" s="309"/>
    </row>
    <row r="13484">
      <c r="B13484" s="309"/>
      <c r="C13484" s="309"/>
      <c r="I13484" s="309"/>
      <c r="J13484" s="309"/>
    </row>
    <row r="13485">
      <c r="B13485" s="309"/>
      <c r="C13485" s="309"/>
      <c r="I13485" s="309"/>
      <c r="J13485" s="309"/>
    </row>
    <row r="13486">
      <c r="B13486" s="309"/>
      <c r="C13486" s="309"/>
      <c r="I13486" s="309"/>
      <c r="J13486" s="309"/>
    </row>
    <row r="13487">
      <c r="B13487" s="309"/>
      <c r="C13487" s="309"/>
      <c r="I13487" s="309"/>
      <c r="J13487" s="309"/>
    </row>
    <row r="13488">
      <c r="B13488" s="309"/>
      <c r="C13488" s="309"/>
      <c r="I13488" s="309"/>
      <c r="J13488" s="309"/>
    </row>
    <row r="13489">
      <c r="B13489" s="309"/>
      <c r="C13489" s="309"/>
      <c r="I13489" s="309"/>
      <c r="J13489" s="309"/>
    </row>
    <row r="13490">
      <c r="B13490" s="309"/>
      <c r="C13490" s="309"/>
      <c r="I13490" s="309"/>
      <c r="J13490" s="309"/>
    </row>
    <row r="13491">
      <c r="B13491" s="309"/>
      <c r="C13491" s="309"/>
      <c r="I13491" s="309"/>
      <c r="J13491" s="309"/>
    </row>
    <row r="13492">
      <c r="B13492" s="309"/>
      <c r="C13492" s="309"/>
      <c r="I13492" s="309"/>
      <c r="J13492" s="309"/>
    </row>
    <row r="13493">
      <c r="B13493" s="309"/>
      <c r="C13493" s="309"/>
      <c r="I13493" s="309"/>
      <c r="J13493" s="309"/>
    </row>
    <row r="13494">
      <c r="B13494" s="309"/>
      <c r="C13494" s="309"/>
      <c r="I13494" s="309"/>
      <c r="J13494" s="309"/>
    </row>
    <row r="13495">
      <c r="B13495" s="309"/>
      <c r="C13495" s="309"/>
      <c r="I13495" s="309"/>
      <c r="J13495" s="309"/>
    </row>
    <row r="13496">
      <c r="B13496" s="309"/>
      <c r="C13496" s="309"/>
      <c r="I13496" s="309"/>
      <c r="J13496" s="309"/>
    </row>
    <row r="13497">
      <c r="B13497" s="309"/>
      <c r="C13497" s="309"/>
      <c r="I13497" s="309"/>
      <c r="J13497" s="309"/>
    </row>
    <row r="13498">
      <c r="B13498" s="309"/>
      <c r="C13498" s="309"/>
      <c r="I13498" s="309"/>
      <c r="J13498" s="309"/>
    </row>
    <row r="13499">
      <c r="B13499" s="309"/>
      <c r="C13499" s="309"/>
      <c r="I13499" s="309"/>
      <c r="J13499" s="309"/>
    </row>
    <row r="13500">
      <c r="B13500" s="309"/>
      <c r="C13500" s="309"/>
      <c r="I13500" s="309"/>
      <c r="J13500" s="309"/>
    </row>
    <row r="13501">
      <c r="B13501" s="309"/>
      <c r="C13501" s="309"/>
      <c r="I13501" s="309"/>
      <c r="J13501" s="309"/>
    </row>
    <row r="13502">
      <c r="B13502" s="309"/>
      <c r="C13502" s="309"/>
      <c r="I13502" s="309"/>
      <c r="J13502" s="309"/>
    </row>
    <row r="13503">
      <c r="B13503" s="309"/>
      <c r="C13503" s="309"/>
      <c r="I13503" s="309"/>
      <c r="J13503" s="309"/>
    </row>
    <row r="13504">
      <c r="B13504" s="309"/>
      <c r="C13504" s="309"/>
      <c r="I13504" s="309"/>
      <c r="J13504" s="309"/>
    </row>
    <row r="13505">
      <c r="B13505" s="309"/>
      <c r="C13505" s="309"/>
      <c r="I13505" s="309"/>
      <c r="J13505" s="309"/>
    </row>
    <row r="13506">
      <c r="B13506" s="309"/>
      <c r="C13506" s="309"/>
      <c r="I13506" s="309"/>
      <c r="J13506" s="309"/>
    </row>
    <row r="13507">
      <c r="B13507" s="309"/>
      <c r="C13507" s="309"/>
      <c r="I13507" s="309"/>
      <c r="J13507" s="309"/>
    </row>
    <row r="13508">
      <c r="B13508" s="309"/>
      <c r="C13508" s="309"/>
      <c r="I13508" s="309"/>
      <c r="J13508" s="309"/>
    </row>
    <row r="13509">
      <c r="B13509" s="309"/>
      <c r="C13509" s="309"/>
      <c r="I13509" s="309"/>
      <c r="J13509" s="309"/>
    </row>
    <row r="13510">
      <c r="B13510" s="309"/>
      <c r="C13510" s="309"/>
      <c r="I13510" s="309"/>
      <c r="J13510" s="309"/>
    </row>
    <row r="13511">
      <c r="B13511" s="309"/>
      <c r="C13511" s="309"/>
      <c r="I13511" s="309"/>
      <c r="J13511" s="309"/>
    </row>
    <row r="13512">
      <c r="B13512" s="309"/>
      <c r="C13512" s="309"/>
      <c r="I13512" s="309"/>
      <c r="J13512" s="309"/>
    </row>
    <row r="13513">
      <c r="B13513" s="309"/>
      <c r="C13513" s="309"/>
      <c r="I13513" s="309"/>
      <c r="J13513" s="309"/>
    </row>
    <row r="13514">
      <c r="B13514" s="309"/>
      <c r="C13514" s="309"/>
      <c r="I13514" s="309"/>
      <c r="J13514" s="309"/>
    </row>
    <row r="13515">
      <c r="B13515" s="309"/>
      <c r="C13515" s="309"/>
      <c r="I13515" s="309"/>
      <c r="J13515" s="309"/>
    </row>
    <row r="13516">
      <c r="B13516" s="309"/>
      <c r="C13516" s="309"/>
      <c r="I13516" s="309"/>
      <c r="J13516" s="309"/>
    </row>
    <row r="13517">
      <c r="B13517" s="309"/>
      <c r="C13517" s="309"/>
      <c r="I13517" s="309"/>
      <c r="J13517" s="309"/>
    </row>
    <row r="13518">
      <c r="B13518" s="309"/>
      <c r="C13518" s="309"/>
      <c r="I13518" s="309"/>
      <c r="J13518" s="309"/>
    </row>
    <row r="13519">
      <c r="B13519" s="309"/>
      <c r="C13519" s="309"/>
      <c r="I13519" s="309"/>
      <c r="J13519" s="309"/>
    </row>
    <row r="13520">
      <c r="B13520" s="309"/>
      <c r="C13520" s="309"/>
      <c r="I13520" s="309"/>
      <c r="J13520" s="309"/>
    </row>
    <row r="13521">
      <c r="B13521" s="309"/>
      <c r="C13521" s="309"/>
      <c r="I13521" s="309"/>
      <c r="J13521" s="309"/>
    </row>
    <row r="13522">
      <c r="B13522" s="309"/>
      <c r="C13522" s="309"/>
      <c r="I13522" s="309"/>
      <c r="J13522" s="309"/>
    </row>
    <row r="13523">
      <c r="B13523" s="309"/>
      <c r="C13523" s="309"/>
      <c r="I13523" s="309"/>
      <c r="J13523" s="309"/>
    </row>
    <row r="13524">
      <c r="B13524" s="309"/>
      <c r="C13524" s="309"/>
      <c r="I13524" s="309"/>
      <c r="J13524" s="309"/>
    </row>
    <row r="13525">
      <c r="B13525" s="309"/>
      <c r="C13525" s="309"/>
      <c r="I13525" s="309"/>
      <c r="J13525" s="309"/>
    </row>
    <row r="13526">
      <c r="B13526" s="309"/>
      <c r="C13526" s="309"/>
      <c r="I13526" s="309"/>
      <c r="J13526" s="309"/>
    </row>
    <row r="13527">
      <c r="B13527" s="309"/>
      <c r="C13527" s="309"/>
      <c r="I13527" s="309"/>
      <c r="J13527" s="309"/>
    </row>
    <row r="13528">
      <c r="B13528" s="309"/>
      <c r="C13528" s="309"/>
      <c r="I13528" s="309"/>
      <c r="J13528" s="309"/>
    </row>
    <row r="13529">
      <c r="B13529" s="309"/>
      <c r="C13529" s="309"/>
      <c r="I13529" s="309"/>
      <c r="J13529" s="309"/>
    </row>
    <row r="13530">
      <c r="B13530" s="309"/>
      <c r="C13530" s="309"/>
      <c r="I13530" s="309"/>
      <c r="J13530" s="309"/>
    </row>
    <row r="13531">
      <c r="B13531" s="309"/>
      <c r="C13531" s="309"/>
      <c r="I13531" s="309"/>
      <c r="J13531" s="309"/>
    </row>
    <row r="13532">
      <c r="B13532" s="309"/>
      <c r="C13532" s="309"/>
      <c r="I13532" s="309"/>
      <c r="J13532" s="309"/>
    </row>
    <row r="13533">
      <c r="B13533" s="309"/>
      <c r="C13533" s="309"/>
      <c r="I13533" s="309"/>
      <c r="J13533" s="309"/>
    </row>
    <row r="13534">
      <c r="B13534" s="309"/>
      <c r="C13534" s="309"/>
      <c r="I13534" s="309"/>
      <c r="J13534" s="309"/>
    </row>
    <row r="13535">
      <c r="B13535" s="309"/>
      <c r="C13535" s="309"/>
      <c r="I13535" s="309"/>
      <c r="J13535" s="309"/>
    </row>
    <row r="13536">
      <c r="B13536" s="309"/>
      <c r="C13536" s="309"/>
      <c r="I13536" s="309"/>
      <c r="J13536" s="309"/>
    </row>
    <row r="13537">
      <c r="B13537" s="309"/>
      <c r="C13537" s="309"/>
      <c r="I13537" s="309"/>
      <c r="J13537" s="309"/>
    </row>
    <row r="13538">
      <c r="B13538" s="309"/>
      <c r="C13538" s="309"/>
      <c r="I13538" s="309"/>
      <c r="J13538" s="309"/>
    </row>
    <row r="13539">
      <c r="B13539" s="309"/>
      <c r="C13539" s="309"/>
      <c r="I13539" s="309"/>
      <c r="J13539" s="309"/>
    </row>
    <row r="13540">
      <c r="B13540" s="309"/>
      <c r="C13540" s="309"/>
      <c r="I13540" s="309"/>
      <c r="J13540" s="309"/>
    </row>
    <row r="13541">
      <c r="B13541" s="309"/>
      <c r="C13541" s="309"/>
      <c r="I13541" s="309"/>
      <c r="J13541" s="309"/>
    </row>
    <row r="13542">
      <c r="B13542" s="309"/>
      <c r="C13542" s="309"/>
      <c r="I13542" s="309"/>
      <c r="J13542" s="309"/>
    </row>
    <row r="13543">
      <c r="B13543" s="309"/>
      <c r="C13543" s="309"/>
      <c r="I13543" s="309"/>
      <c r="J13543" s="309"/>
    </row>
    <row r="13544">
      <c r="B13544" s="309"/>
      <c r="C13544" s="309"/>
      <c r="I13544" s="309"/>
      <c r="J13544" s="309"/>
    </row>
    <row r="13545">
      <c r="B13545" s="309"/>
      <c r="C13545" s="309"/>
      <c r="I13545" s="309"/>
      <c r="J13545" s="309"/>
    </row>
    <row r="13546">
      <c r="B13546" s="309"/>
      <c r="C13546" s="309"/>
      <c r="I13546" s="309"/>
      <c r="J13546" s="309"/>
    </row>
    <row r="13547">
      <c r="B13547" s="309"/>
      <c r="C13547" s="309"/>
      <c r="I13547" s="309"/>
      <c r="J13547" s="309"/>
    </row>
    <row r="13548">
      <c r="B13548" s="309"/>
      <c r="C13548" s="309"/>
      <c r="I13548" s="309"/>
      <c r="J13548" s="309"/>
    </row>
    <row r="13549">
      <c r="B13549" s="309"/>
      <c r="C13549" s="309"/>
      <c r="I13549" s="309"/>
      <c r="J13549" s="309"/>
    </row>
    <row r="13550">
      <c r="B13550" s="309"/>
      <c r="C13550" s="309"/>
      <c r="I13550" s="309"/>
      <c r="J13550" s="309"/>
    </row>
    <row r="13551">
      <c r="B13551" s="309"/>
      <c r="C13551" s="309"/>
      <c r="I13551" s="309"/>
      <c r="J13551" s="309"/>
    </row>
    <row r="13552">
      <c r="B13552" s="309"/>
      <c r="C13552" s="309"/>
      <c r="I13552" s="309"/>
      <c r="J13552" s="309"/>
    </row>
    <row r="13553">
      <c r="B13553" s="309"/>
      <c r="C13553" s="309"/>
      <c r="I13553" s="309"/>
      <c r="J13553" s="309"/>
    </row>
    <row r="13554">
      <c r="B13554" s="309"/>
      <c r="C13554" s="309"/>
      <c r="I13554" s="309"/>
      <c r="J13554" s="309"/>
    </row>
    <row r="13555">
      <c r="B13555" s="309"/>
      <c r="C13555" s="309"/>
      <c r="I13555" s="309"/>
      <c r="J13555" s="309"/>
    </row>
    <row r="13556">
      <c r="B13556" s="309"/>
      <c r="C13556" s="309"/>
      <c r="I13556" s="309"/>
      <c r="J13556" s="309"/>
    </row>
    <row r="13557">
      <c r="B13557" s="309"/>
      <c r="C13557" s="309"/>
      <c r="I13557" s="309"/>
      <c r="J13557" s="309"/>
    </row>
    <row r="13558">
      <c r="B13558" s="309"/>
      <c r="C13558" s="309"/>
      <c r="I13558" s="309"/>
      <c r="J13558" s="309"/>
    </row>
    <row r="13559">
      <c r="B13559" s="309"/>
      <c r="C13559" s="309"/>
      <c r="I13559" s="309"/>
      <c r="J13559" s="309"/>
    </row>
    <row r="13560">
      <c r="B13560" s="309"/>
      <c r="C13560" s="309"/>
      <c r="I13560" s="309"/>
      <c r="J13560" s="309"/>
    </row>
    <row r="13561">
      <c r="B13561" s="309"/>
      <c r="C13561" s="309"/>
      <c r="I13561" s="309"/>
      <c r="J13561" s="309"/>
    </row>
    <row r="13562">
      <c r="B13562" s="309"/>
      <c r="C13562" s="309"/>
      <c r="I13562" s="309"/>
      <c r="J13562" s="309"/>
    </row>
    <row r="13563">
      <c r="B13563" s="309"/>
      <c r="C13563" s="309"/>
      <c r="I13563" s="309"/>
      <c r="J13563" s="309"/>
    </row>
    <row r="13564">
      <c r="B13564" s="309"/>
      <c r="C13564" s="309"/>
      <c r="I13564" s="309"/>
      <c r="J13564" s="309"/>
    </row>
    <row r="13565">
      <c r="B13565" s="309"/>
      <c r="C13565" s="309"/>
      <c r="I13565" s="309"/>
      <c r="J13565" s="309"/>
    </row>
    <row r="13566">
      <c r="B13566" s="309"/>
      <c r="C13566" s="309"/>
      <c r="I13566" s="309"/>
      <c r="J13566" s="309"/>
    </row>
    <row r="13567">
      <c r="B13567" s="309"/>
      <c r="C13567" s="309"/>
      <c r="I13567" s="309"/>
      <c r="J13567" s="309"/>
    </row>
    <row r="13568">
      <c r="B13568" s="309"/>
      <c r="C13568" s="309"/>
      <c r="I13568" s="309"/>
      <c r="J13568" s="309"/>
    </row>
    <row r="13569">
      <c r="B13569" s="309"/>
      <c r="C13569" s="309"/>
      <c r="I13569" s="309"/>
      <c r="J13569" s="309"/>
    </row>
    <row r="13570">
      <c r="B13570" s="309"/>
      <c r="C13570" s="309"/>
      <c r="I13570" s="309"/>
      <c r="J13570" s="309"/>
    </row>
    <row r="13571">
      <c r="B13571" s="309"/>
      <c r="C13571" s="309"/>
      <c r="I13571" s="309"/>
      <c r="J13571" s="309"/>
    </row>
    <row r="13572">
      <c r="B13572" s="309"/>
      <c r="C13572" s="309"/>
      <c r="I13572" s="309"/>
      <c r="J13572" s="309"/>
    </row>
    <row r="13573">
      <c r="B13573" s="309"/>
      <c r="C13573" s="309"/>
      <c r="I13573" s="309"/>
      <c r="J13573" s="309"/>
    </row>
    <row r="13574">
      <c r="B13574" s="309"/>
      <c r="C13574" s="309"/>
      <c r="I13574" s="309"/>
      <c r="J13574" s="309"/>
    </row>
    <row r="13575">
      <c r="B13575" s="309"/>
      <c r="C13575" s="309"/>
      <c r="I13575" s="309"/>
      <c r="J13575" s="309"/>
    </row>
    <row r="13576">
      <c r="B13576" s="309"/>
      <c r="C13576" s="309"/>
      <c r="I13576" s="309"/>
      <c r="J13576" s="309"/>
    </row>
    <row r="13577">
      <c r="B13577" s="309"/>
      <c r="C13577" s="309"/>
      <c r="I13577" s="309"/>
      <c r="J13577" s="309"/>
    </row>
    <row r="13578">
      <c r="B13578" s="309"/>
      <c r="C13578" s="309"/>
      <c r="I13578" s="309"/>
      <c r="J13578" s="309"/>
    </row>
    <row r="13579">
      <c r="B13579" s="309"/>
      <c r="C13579" s="309"/>
      <c r="I13579" s="309"/>
      <c r="J13579" s="309"/>
    </row>
    <row r="13580">
      <c r="B13580" s="309"/>
      <c r="C13580" s="309"/>
      <c r="I13580" s="309"/>
      <c r="J13580" s="309"/>
    </row>
    <row r="13581">
      <c r="B13581" s="309"/>
      <c r="C13581" s="309"/>
      <c r="I13581" s="309"/>
      <c r="J13581" s="309"/>
    </row>
    <row r="13582">
      <c r="B13582" s="309"/>
      <c r="C13582" s="309"/>
      <c r="I13582" s="309"/>
      <c r="J13582" s="309"/>
    </row>
    <row r="13583">
      <c r="B13583" s="309"/>
      <c r="C13583" s="309"/>
      <c r="I13583" s="309"/>
      <c r="J13583" s="309"/>
    </row>
    <row r="13584">
      <c r="B13584" s="309"/>
      <c r="C13584" s="309"/>
      <c r="I13584" s="309"/>
      <c r="J13584" s="309"/>
    </row>
    <row r="13585">
      <c r="B13585" s="309"/>
      <c r="C13585" s="309"/>
      <c r="I13585" s="309"/>
      <c r="J13585" s="309"/>
    </row>
    <row r="13586">
      <c r="B13586" s="309"/>
      <c r="C13586" s="309"/>
      <c r="I13586" s="309"/>
      <c r="J13586" s="309"/>
    </row>
    <row r="13587">
      <c r="B13587" s="309"/>
      <c r="C13587" s="309"/>
      <c r="I13587" s="309"/>
      <c r="J13587" s="309"/>
    </row>
    <row r="13588">
      <c r="B13588" s="309"/>
      <c r="C13588" s="309"/>
      <c r="I13588" s="309"/>
      <c r="J13588" s="309"/>
    </row>
    <row r="13589">
      <c r="B13589" s="309"/>
      <c r="C13589" s="309"/>
      <c r="I13589" s="309"/>
      <c r="J13589" s="309"/>
    </row>
    <row r="13590">
      <c r="B13590" s="309"/>
      <c r="C13590" s="309"/>
      <c r="I13590" s="309"/>
      <c r="J13590" s="309"/>
    </row>
    <row r="13591">
      <c r="B13591" s="309"/>
      <c r="C13591" s="309"/>
      <c r="I13591" s="309"/>
      <c r="J13591" s="309"/>
    </row>
    <row r="13592">
      <c r="B13592" s="309"/>
      <c r="C13592" s="309"/>
      <c r="I13592" s="309"/>
      <c r="J13592" s="309"/>
    </row>
    <row r="13593">
      <c r="B13593" s="309"/>
      <c r="C13593" s="309"/>
      <c r="I13593" s="309"/>
      <c r="J13593" s="309"/>
    </row>
    <row r="13594">
      <c r="B13594" s="309"/>
      <c r="C13594" s="309"/>
      <c r="I13594" s="309"/>
      <c r="J13594" s="309"/>
    </row>
    <row r="13595">
      <c r="B13595" s="309"/>
      <c r="C13595" s="309"/>
      <c r="I13595" s="309"/>
      <c r="J13595" s="309"/>
    </row>
    <row r="13596">
      <c r="B13596" s="309"/>
      <c r="C13596" s="309"/>
      <c r="I13596" s="309"/>
      <c r="J13596" s="309"/>
    </row>
    <row r="13597">
      <c r="B13597" s="309"/>
      <c r="C13597" s="309"/>
      <c r="I13597" s="309"/>
      <c r="J13597" s="309"/>
    </row>
    <row r="13598">
      <c r="B13598" s="309"/>
      <c r="C13598" s="309"/>
      <c r="I13598" s="309"/>
      <c r="J13598" s="309"/>
    </row>
    <row r="13599">
      <c r="B13599" s="309"/>
      <c r="C13599" s="309"/>
      <c r="I13599" s="309"/>
      <c r="J13599" s="309"/>
    </row>
    <row r="13600">
      <c r="B13600" s="309"/>
      <c r="C13600" s="309"/>
      <c r="I13600" s="309"/>
      <c r="J13600" s="309"/>
    </row>
    <row r="13601">
      <c r="B13601" s="309"/>
      <c r="C13601" s="309"/>
      <c r="I13601" s="309"/>
      <c r="J13601" s="309"/>
    </row>
    <row r="13602">
      <c r="B13602" s="309"/>
      <c r="C13602" s="309"/>
      <c r="I13602" s="309"/>
      <c r="J13602" s="309"/>
    </row>
    <row r="13603">
      <c r="B13603" s="309"/>
      <c r="C13603" s="309"/>
      <c r="I13603" s="309"/>
      <c r="J13603" s="309"/>
    </row>
    <row r="13604">
      <c r="B13604" s="309"/>
      <c r="C13604" s="309"/>
      <c r="I13604" s="309"/>
      <c r="J13604" s="309"/>
    </row>
    <row r="13605">
      <c r="B13605" s="309"/>
      <c r="C13605" s="309"/>
      <c r="I13605" s="309"/>
      <c r="J13605" s="309"/>
    </row>
    <row r="13606">
      <c r="B13606" s="309"/>
      <c r="C13606" s="309"/>
      <c r="I13606" s="309"/>
      <c r="J13606" s="309"/>
    </row>
    <row r="13607">
      <c r="B13607" s="309"/>
      <c r="C13607" s="309"/>
      <c r="I13607" s="309"/>
      <c r="J13607" s="309"/>
    </row>
    <row r="13608">
      <c r="B13608" s="309"/>
      <c r="C13608" s="309"/>
      <c r="I13608" s="309"/>
      <c r="J13608" s="309"/>
    </row>
    <row r="13609">
      <c r="B13609" s="309"/>
      <c r="C13609" s="309"/>
      <c r="I13609" s="309"/>
      <c r="J13609" s="309"/>
    </row>
    <row r="13610">
      <c r="B13610" s="309"/>
      <c r="C13610" s="309"/>
      <c r="I13610" s="309"/>
      <c r="J13610" s="309"/>
    </row>
    <row r="13611">
      <c r="B13611" s="309"/>
      <c r="C13611" s="309"/>
      <c r="I13611" s="309"/>
      <c r="J13611" s="309"/>
    </row>
    <row r="13612">
      <c r="B13612" s="309"/>
      <c r="C13612" s="309"/>
      <c r="I13612" s="309"/>
      <c r="J13612" s="309"/>
    </row>
    <row r="13613">
      <c r="B13613" s="309"/>
      <c r="C13613" s="309"/>
      <c r="I13613" s="309"/>
      <c r="J13613" s="309"/>
    </row>
    <row r="13614">
      <c r="B13614" s="309"/>
      <c r="C13614" s="309"/>
      <c r="I13614" s="309"/>
      <c r="J13614" s="309"/>
    </row>
    <row r="13615">
      <c r="B13615" s="309"/>
      <c r="C13615" s="309"/>
      <c r="I13615" s="309"/>
      <c r="J13615" s="309"/>
    </row>
    <row r="13616">
      <c r="B13616" s="309"/>
      <c r="C13616" s="309"/>
      <c r="I13616" s="309"/>
      <c r="J13616" s="309"/>
    </row>
    <row r="13617">
      <c r="B13617" s="309"/>
      <c r="C13617" s="309"/>
      <c r="I13617" s="309"/>
      <c r="J13617" s="309"/>
    </row>
    <row r="13618">
      <c r="B13618" s="309"/>
      <c r="C13618" s="309"/>
      <c r="I13618" s="309"/>
      <c r="J13618" s="309"/>
    </row>
    <row r="13619">
      <c r="B13619" s="309"/>
      <c r="C13619" s="309"/>
      <c r="I13619" s="309"/>
      <c r="J13619" s="309"/>
    </row>
    <row r="13620">
      <c r="B13620" s="309"/>
      <c r="C13620" s="309"/>
      <c r="I13620" s="309"/>
      <c r="J13620" s="309"/>
    </row>
    <row r="13621">
      <c r="B13621" s="309"/>
      <c r="C13621" s="309"/>
      <c r="I13621" s="309"/>
      <c r="J13621" s="309"/>
    </row>
    <row r="13622">
      <c r="B13622" s="309"/>
      <c r="C13622" s="309"/>
      <c r="I13622" s="309"/>
      <c r="J13622" s="309"/>
    </row>
    <row r="13623">
      <c r="B13623" s="309"/>
      <c r="C13623" s="309"/>
      <c r="I13623" s="309"/>
      <c r="J13623" s="309"/>
    </row>
    <row r="13624">
      <c r="B13624" s="309"/>
      <c r="C13624" s="309"/>
      <c r="I13624" s="309"/>
      <c r="J13624" s="309"/>
    </row>
    <row r="13625">
      <c r="B13625" s="309"/>
      <c r="C13625" s="309"/>
      <c r="I13625" s="309"/>
      <c r="J13625" s="309"/>
    </row>
    <row r="13626">
      <c r="B13626" s="309"/>
      <c r="C13626" s="309"/>
      <c r="I13626" s="309"/>
      <c r="J13626" s="309"/>
    </row>
    <row r="13627">
      <c r="B13627" s="309"/>
      <c r="C13627" s="309"/>
      <c r="I13627" s="309"/>
      <c r="J13627" s="309"/>
    </row>
    <row r="13628">
      <c r="B13628" s="309"/>
      <c r="C13628" s="309"/>
      <c r="I13628" s="309"/>
      <c r="J13628" s="309"/>
    </row>
    <row r="13629">
      <c r="B13629" s="309"/>
      <c r="C13629" s="309"/>
      <c r="I13629" s="309"/>
      <c r="J13629" s="309"/>
    </row>
    <row r="13630">
      <c r="B13630" s="309"/>
      <c r="C13630" s="309"/>
      <c r="I13630" s="309"/>
      <c r="J13630" s="309"/>
    </row>
    <row r="13631">
      <c r="B13631" s="309"/>
      <c r="C13631" s="309"/>
      <c r="I13631" s="309"/>
      <c r="J13631" s="309"/>
    </row>
    <row r="13632">
      <c r="B13632" s="309"/>
      <c r="C13632" s="309"/>
      <c r="I13632" s="309"/>
      <c r="J13632" s="309"/>
    </row>
    <row r="13633">
      <c r="B13633" s="309"/>
      <c r="C13633" s="309"/>
      <c r="I13633" s="309"/>
      <c r="J13633" s="309"/>
    </row>
    <row r="13634">
      <c r="B13634" s="309"/>
      <c r="C13634" s="309"/>
      <c r="I13634" s="309"/>
      <c r="J13634" s="309"/>
    </row>
    <row r="13635">
      <c r="B13635" s="309"/>
      <c r="C13635" s="309"/>
      <c r="I13635" s="309"/>
      <c r="J13635" s="309"/>
    </row>
    <row r="13636">
      <c r="B13636" s="309"/>
      <c r="C13636" s="309"/>
      <c r="I13636" s="309"/>
      <c r="J13636" s="309"/>
    </row>
    <row r="13637">
      <c r="B13637" s="309"/>
      <c r="C13637" s="309"/>
      <c r="I13637" s="309"/>
      <c r="J13637" s="309"/>
    </row>
    <row r="13638">
      <c r="B13638" s="309"/>
      <c r="C13638" s="309"/>
      <c r="I13638" s="309"/>
      <c r="J13638" s="309"/>
    </row>
    <row r="13639">
      <c r="B13639" s="309"/>
      <c r="C13639" s="309"/>
      <c r="I13639" s="309"/>
      <c r="J13639" s="309"/>
    </row>
    <row r="13640">
      <c r="B13640" s="309"/>
      <c r="C13640" s="309"/>
      <c r="I13640" s="309"/>
      <c r="J13640" s="309"/>
    </row>
    <row r="13641">
      <c r="B13641" s="309"/>
      <c r="C13641" s="309"/>
      <c r="I13641" s="309"/>
      <c r="J13641" s="309"/>
    </row>
    <row r="13642">
      <c r="B13642" s="309"/>
      <c r="C13642" s="309"/>
      <c r="I13642" s="309"/>
      <c r="J13642" s="309"/>
    </row>
    <row r="13643">
      <c r="B13643" s="309"/>
      <c r="C13643" s="309"/>
      <c r="I13643" s="309"/>
      <c r="J13643" s="309"/>
    </row>
    <row r="13644">
      <c r="B13644" s="309"/>
      <c r="C13644" s="309"/>
      <c r="I13644" s="309"/>
      <c r="J13644" s="309"/>
    </row>
    <row r="13645">
      <c r="B13645" s="309"/>
      <c r="C13645" s="309"/>
      <c r="I13645" s="309"/>
      <c r="J13645" s="309"/>
    </row>
    <row r="13646">
      <c r="B13646" s="309"/>
      <c r="C13646" s="309"/>
      <c r="I13646" s="309"/>
      <c r="J13646" s="309"/>
    </row>
    <row r="13647">
      <c r="B13647" s="309"/>
      <c r="C13647" s="309"/>
      <c r="I13647" s="309"/>
      <c r="J13647" s="309"/>
    </row>
    <row r="13648">
      <c r="B13648" s="309"/>
      <c r="C13648" s="309"/>
      <c r="I13648" s="309"/>
      <c r="J13648" s="309"/>
    </row>
    <row r="13649">
      <c r="B13649" s="309"/>
      <c r="C13649" s="309"/>
      <c r="I13649" s="309"/>
      <c r="J13649" s="309"/>
    </row>
    <row r="13650">
      <c r="B13650" s="309"/>
      <c r="C13650" s="309"/>
      <c r="I13650" s="309"/>
      <c r="J13650" s="309"/>
    </row>
    <row r="13651">
      <c r="B13651" s="309"/>
      <c r="C13651" s="309"/>
      <c r="I13651" s="309"/>
      <c r="J13651" s="309"/>
    </row>
    <row r="13652">
      <c r="B13652" s="309"/>
      <c r="C13652" s="309"/>
      <c r="I13652" s="309"/>
      <c r="J13652" s="309"/>
    </row>
    <row r="13653">
      <c r="B13653" s="309"/>
      <c r="C13653" s="309"/>
      <c r="I13653" s="309"/>
      <c r="J13653" s="309"/>
    </row>
    <row r="13654">
      <c r="B13654" s="309"/>
      <c r="C13654" s="309"/>
      <c r="I13654" s="309"/>
      <c r="J13654" s="309"/>
    </row>
    <row r="13655">
      <c r="B13655" s="309"/>
      <c r="C13655" s="309"/>
      <c r="I13655" s="309"/>
      <c r="J13655" s="309"/>
    </row>
    <row r="13656">
      <c r="B13656" s="309"/>
      <c r="C13656" s="309"/>
      <c r="I13656" s="309"/>
      <c r="J13656" s="309"/>
    </row>
    <row r="13657">
      <c r="B13657" s="309"/>
      <c r="C13657" s="309"/>
      <c r="I13657" s="309"/>
      <c r="J13657" s="309"/>
    </row>
    <row r="13658">
      <c r="B13658" s="309"/>
      <c r="C13658" s="309"/>
      <c r="I13658" s="309"/>
      <c r="J13658" s="309"/>
    </row>
    <row r="13659">
      <c r="B13659" s="309"/>
      <c r="C13659" s="309"/>
      <c r="I13659" s="309"/>
      <c r="J13659" s="309"/>
    </row>
    <row r="13660">
      <c r="B13660" s="309"/>
      <c r="C13660" s="309"/>
      <c r="I13660" s="309"/>
      <c r="J13660" s="309"/>
    </row>
    <row r="13661">
      <c r="B13661" s="309"/>
      <c r="C13661" s="309"/>
      <c r="I13661" s="309"/>
      <c r="J13661" s="309"/>
    </row>
    <row r="13662">
      <c r="B13662" s="309"/>
      <c r="C13662" s="309"/>
      <c r="I13662" s="309"/>
      <c r="J13662" s="309"/>
    </row>
    <row r="13663">
      <c r="B13663" s="309"/>
      <c r="C13663" s="309"/>
      <c r="I13663" s="309"/>
      <c r="J13663" s="309"/>
    </row>
    <row r="13664">
      <c r="B13664" s="309"/>
      <c r="C13664" s="309"/>
      <c r="I13664" s="309"/>
      <c r="J13664" s="309"/>
    </row>
    <row r="13665">
      <c r="B13665" s="309"/>
      <c r="C13665" s="309"/>
      <c r="I13665" s="309"/>
      <c r="J13665" s="309"/>
    </row>
    <row r="13666">
      <c r="B13666" s="309"/>
      <c r="C13666" s="309"/>
      <c r="I13666" s="309"/>
      <c r="J13666" s="309"/>
    </row>
    <row r="13667">
      <c r="B13667" s="309"/>
      <c r="C13667" s="309"/>
      <c r="I13667" s="309"/>
      <c r="J13667" s="309"/>
    </row>
    <row r="13668">
      <c r="B13668" s="309"/>
      <c r="C13668" s="309"/>
      <c r="I13668" s="309"/>
      <c r="J13668" s="309"/>
    </row>
    <row r="13669">
      <c r="B13669" s="309"/>
      <c r="C13669" s="309"/>
      <c r="I13669" s="309"/>
      <c r="J13669" s="309"/>
    </row>
    <row r="13670">
      <c r="B13670" s="309"/>
      <c r="C13670" s="309"/>
      <c r="I13670" s="309"/>
      <c r="J13670" s="309"/>
    </row>
    <row r="13671">
      <c r="B13671" s="309"/>
      <c r="C13671" s="309"/>
      <c r="I13671" s="309"/>
      <c r="J13671" s="309"/>
    </row>
    <row r="13672">
      <c r="B13672" s="309"/>
      <c r="C13672" s="309"/>
      <c r="I13672" s="309"/>
      <c r="J13672" s="309"/>
    </row>
    <row r="13673">
      <c r="B13673" s="309"/>
      <c r="C13673" s="309"/>
      <c r="I13673" s="309"/>
      <c r="J13673" s="309"/>
    </row>
    <row r="13674">
      <c r="B13674" s="309"/>
      <c r="C13674" s="309"/>
      <c r="I13674" s="309"/>
      <c r="J13674" s="309"/>
    </row>
    <row r="13675">
      <c r="B13675" s="309"/>
      <c r="C13675" s="309"/>
      <c r="I13675" s="309"/>
      <c r="J13675" s="309"/>
    </row>
    <row r="13676">
      <c r="B13676" s="309"/>
      <c r="C13676" s="309"/>
      <c r="I13676" s="309"/>
      <c r="J13676" s="309"/>
    </row>
    <row r="13677">
      <c r="B13677" s="309"/>
      <c r="C13677" s="309"/>
      <c r="I13677" s="309"/>
      <c r="J13677" s="309"/>
    </row>
    <row r="13678">
      <c r="B13678" s="309"/>
      <c r="C13678" s="309"/>
      <c r="I13678" s="309"/>
      <c r="J13678" s="309"/>
    </row>
    <row r="13679">
      <c r="B13679" s="309"/>
      <c r="C13679" s="309"/>
      <c r="I13679" s="309"/>
      <c r="J13679" s="309"/>
    </row>
    <row r="13680">
      <c r="B13680" s="309"/>
      <c r="C13680" s="309"/>
      <c r="I13680" s="309"/>
      <c r="J13680" s="309"/>
    </row>
    <row r="13681">
      <c r="B13681" s="309"/>
      <c r="C13681" s="309"/>
      <c r="I13681" s="309"/>
      <c r="J13681" s="309"/>
    </row>
    <row r="13682">
      <c r="B13682" s="309"/>
      <c r="C13682" s="309"/>
      <c r="I13682" s="309"/>
      <c r="J13682" s="309"/>
    </row>
    <row r="13683">
      <c r="B13683" s="309"/>
      <c r="C13683" s="309"/>
      <c r="I13683" s="309"/>
      <c r="J13683" s="309"/>
    </row>
    <row r="13684">
      <c r="B13684" s="309"/>
      <c r="C13684" s="309"/>
      <c r="I13684" s="309"/>
      <c r="J13684" s="309"/>
    </row>
    <row r="13685">
      <c r="B13685" s="309"/>
      <c r="C13685" s="309"/>
      <c r="I13685" s="309"/>
      <c r="J13685" s="309"/>
    </row>
    <row r="13686">
      <c r="B13686" s="309"/>
      <c r="C13686" s="309"/>
      <c r="I13686" s="309"/>
      <c r="J13686" s="309"/>
    </row>
    <row r="13687">
      <c r="B13687" s="309"/>
      <c r="C13687" s="309"/>
      <c r="I13687" s="309"/>
      <c r="J13687" s="309"/>
    </row>
    <row r="13688">
      <c r="B13688" s="309"/>
      <c r="C13688" s="309"/>
      <c r="I13688" s="309"/>
      <c r="J13688" s="309"/>
    </row>
    <row r="13689">
      <c r="B13689" s="309"/>
      <c r="C13689" s="309"/>
      <c r="I13689" s="309"/>
      <c r="J13689" s="309"/>
    </row>
    <row r="13690">
      <c r="B13690" s="309"/>
      <c r="C13690" s="309"/>
      <c r="I13690" s="309"/>
      <c r="J13690" s="309"/>
    </row>
    <row r="13691">
      <c r="B13691" s="309"/>
      <c r="C13691" s="309"/>
      <c r="I13691" s="309"/>
      <c r="J13691" s="309"/>
    </row>
    <row r="13692">
      <c r="B13692" s="309"/>
      <c r="C13692" s="309"/>
      <c r="I13692" s="309"/>
      <c r="J13692" s="309"/>
    </row>
    <row r="13693">
      <c r="B13693" s="309"/>
      <c r="C13693" s="309"/>
      <c r="I13693" s="309"/>
      <c r="J13693" s="309"/>
    </row>
    <row r="13694">
      <c r="B13694" s="309"/>
      <c r="C13694" s="309"/>
      <c r="I13694" s="309"/>
      <c r="J13694" s="309"/>
    </row>
    <row r="13695">
      <c r="B13695" s="309"/>
      <c r="C13695" s="309"/>
      <c r="I13695" s="309"/>
      <c r="J13695" s="309"/>
    </row>
    <row r="13696">
      <c r="B13696" s="309"/>
      <c r="C13696" s="309"/>
      <c r="I13696" s="309"/>
      <c r="J13696" s="309"/>
    </row>
    <row r="13697">
      <c r="B13697" s="309"/>
      <c r="C13697" s="309"/>
      <c r="I13697" s="309"/>
      <c r="J13697" s="309"/>
    </row>
    <row r="13698">
      <c r="B13698" s="309"/>
      <c r="C13698" s="309"/>
      <c r="I13698" s="309"/>
      <c r="J13698" s="309"/>
    </row>
    <row r="13699">
      <c r="B13699" s="309"/>
      <c r="C13699" s="309"/>
      <c r="I13699" s="309"/>
      <c r="J13699" s="309"/>
    </row>
    <row r="13700">
      <c r="B13700" s="309"/>
      <c r="C13700" s="309"/>
      <c r="I13700" s="309"/>
      <c r="J13700" s="309"/>
    </row>
    <row r="13701">
      <c r="B13701" s="309"/>
      <c r="C13701" s="309"/>
      <c r="I13701" s="309"/>
      <c r="J13701" s="309"/>
    </row>
    <row r="13702">
      <c r="B13702" s="309"/>
      <c r="C13702" s="309"/>
      <c r="I13702" s="309"/>
      <c r="J13702" s="309"/>
    </row>
    <row r="13703">
      <c r="B13703" s="309"/>
      <c r="C13703" s="309"/>
      <c r="I13703" s="309"/>
      <c r="J13703" s="309"/>
    </row>
    <row r="13704">
      <c r="B13704" s="309"/>
      <c r="C13704" s="309"/>
      <c r="I13704" s="309"/>
      <c r="J13704" s="309"/>
    </row>
    <row r="13705">
      <c r="B13705" s="309"/>
      <c r="C13705" s="309"/>
      <c r="I13705" s="309"/>
      <c r="J13705" s="309"/>
    </row>
    <row r="13706">
      <c r="B13706" s="309"/>
      <c r="C13706" s="309"/>
      <c r="I13706" s="309"/>
      <c r="J13706" s="309"/>
    </row>
    <row r="13707">
      <c r="B13707" s="309"/>
      <c r="C13707" s="309"/>
      <c r="I13707" s="309"/>
      <c r="J13707" s="309"/>
    </row>
    <row r="13708">
      <c r="B13708" s="309"/>
      <c r="C13708" s="309"/>
      <c r="I13708" s="309"/>
      <c r="J13708" s="309"/>
    </row>
    <row r="13709">
      <c r="B13709" s="309"/>
      <c r="C13709" s="309"/>
      <c r="I13709" s="309"/>
      <c r="J13709" s="309"/>
    </row>
    <row r="13710">
      <c r="B13710" s="309"/>
      <c r="C13710" s="309"/>
      <c r="I13710" s="309"/>
      <c r="J13710" s="309"/>
    </row>
    <row r="13711">
      <c r="B13711" s="309"/>
      <c r="C13711" s="309"/>
      <c r="I13711" s="309"/>
      <c r="J13711" s="309"/>
    </row>
    <row r="13712">
      <c r="B13712" s="309"/>
      <c r="C13712" s="309"/>
      <c r="I13712" s="309"/>
      <c r="J13712" s="309"/>
    </row>
    <row r="13713">
      <c r="B13713" s="309"/>
      <c r="C13713" s="309"/>
      <c r="I13713" s="309"/>
      <c r="J13713" s="309"/>
    </row>
    <row r="13714">
      <c r="B13714" s="309"/>
      <c r="C13714" s="309"/>
      <c r="I13714" s="309"/>
      <c r="J13714" s="309"/>
    </row>
    <row r="13715">
      <c r="B13715" s="309"/>
      <c r="C13715" s="309"/>
      <c r="I13715" s="309"/>
      <c r="J13715" s="309"/>
    </row>
    <row r="13716">
      <c r="B13716" s="309"/>
      <c r="C13716" s="309"/>
      <c r="I13716" s="309"/>
      <c r="J13716" s="309"/>
    </row>
    <row r="13717">
      <c r="B13717" s="309"/>
      <c r="C13717" s="309"/>
      <c r="I13717" s="309"/>
      <c r="J13717" s="309"/>
    </row>
    <row r="13718">
      <c r="B13718" s="309"/>
      <c r="C13718" s="309"/>
      <c r="I13718" s="309"/>
      <c r="J13718" s="309"/>
    </row>
    <row r="13719">
      <c r="B13719" s="309"/>
      <c r="C13719" s="309"/>
      <c r="I13719" s="309"/>
      <c r="J13719" s="309"/>
    </row>
    <row r="13720">
      <c r="B13720" s="309"/>
      <c r="C13720" s="309"/>
      <c r="I13720" s="309"/>
      <c r="J13720" s="309"/>
    </row>
    <row r="13721">
      <c r="B13721" s="309"/>
      <c r="C13721" s="309"/>
      <c r="I13721" s="309"/>
      <c r="J13721" s="309"/>
    </row>
    <row r="13722">
      <c r="B13722" s="309"/>
      <c r="C13722" s="309"/>
      <c r="I13722" s="309"/>
      <c r="J13722" s="309"/>
    </row>
    <row r="13723">
      <c r="B13723" s="309"/>
      <c r="C13723" s="309"/>
      <c r="I13723" s="309"/>
      <c r="J13723" s="309"/>
    </row>
    <row r="13724">
      <c r="B13724" s="309"/>
      <c r="C13724" s="309"/>
      <c r="I13724" s="309"/>
      <c r="J13724" s="309"/>
    </row>
    <row r="13725">
      <c r="B13725" s="309"/>
      <c r="C13725" s="309"/>
      <c r="I13725" s="309"/>
      <c r="J13725" s="309"/>
    </row>
    <row r="13726">
      <c r="B13726" s="309"/>
      <c r="C13726" s="309"/>
      <c r="I13726" s="309"/>
      <c r="J13726" s="309"/>
    </row>
    <row r="13727">
      <c r="B13727" s="309"/>
      <c r="C13727" s="309"/>
      <c r="I13727" s="309"/>
      <c r="J13727" s="309"/>
    </row>
    <row r="13728">
      <c r="B13728" s="309"/>
      <c r="C13728" s="309"/>
      <c r="I13728" s="309"/>
      <c r="J13728" s="309"/>
    </row>
    <row r="13729">
      <c r="B13729" s="309"/>
      <c r="C13729" s="309"/>
      <c r="I13729" s="309"/>
      <c r="J13729" s="309"/>
    </row>
    <row r="13730">
      <c r="B13730" s="309"/>
      <c r="C13730" s="309"/>
      <c r="I13730" s="309"/>
      <c r="J13730" s="309"/>
    </row>
    <row r="13731">
      <c r="B13731" s="309"/>
      <c r="C13731" s="309"/>
      <c r="I13731" s="309"/>
      <c r="J13731" s="309"/>
    </row>
    <row r="13732">
      <c r="B13732" s="309"/>
      <c r="C13732" s="309"/>
      <c r="I13732" s="309"/>
      <c r="J13732" s="309"/>
    </row>
    <row r="13733">
      <c r="B13733" s="309"/>
      <c r="C13733" s="309"/>
      <c r="I13733" s="309"/>
      <c r="J13733" s="309"/>
    </row>
    <row r="13734">
      <c r="B13734" s="309"/>
      <c r="C13734" s="309"/>
      <c r="I13734" s="309"/>
      <c r="J13734" s="309"/>
    </row>
    <row r="13735">
      <c r="B13735" s="309"/>
      <c r="C13735" s="309"/>
      <c r="I13735" s="309"/>
      <c r="J13735" s="309"/>
    </row>
    <row r="13736">
      <c r="B13736" s="309"/>
      <c r="C13736" s="309"/>
      <c r="I13736" s="309"/>
      <c r="J13736" s="309"/>
    </row>
    <row r="13737">
      <c r="B13737" s="309"/>
      <c r="C13737" s="309"/>
      <c r="I13737" s="309"/>
      <c r="J13737" s="309"/>
    </row>
    <row r="13738">
      <c r="B13738" s="309"/>
      <c r="C13738" s="309"/>
      <c r="I13738" s="309"/>
      <c r="J13738" s="309"/>
    </row>
    <row r="13739">
      <c r="B13739" s="309"/>
      <c r="C13739" s="309"/>
      <c r="I13739" s="309"/>
      <c r="J13739" s="309"/>
    </row>
    <row r="13740">
      <c r="B13740" s="309"/>
      <c r="C13740" s="309"/>
      <c r="I13740" s="309"/>
      <c r="J13740" s="309"/>
    </row>
    <row r="13741">
      <c r="B13741" s="309"/>
      <c r="C13741" s="309"/>
      <c r="I13741" s="309"/>
      <c r="J13741" s="309"/>
    </row>
    <row r="13742">
      <c r="B13742" s="309"/>
      <c r="C13742" s="309"/>
      <c r="I13742" s="309"/>
      <c r="J13742" s="309"/>
    </row>
    <row r="13743">
      <c r="B13743" s="309"/>
      <c r="C13743" s="309"/>
      <c r="I13743" s="309"/>
      <c r="J13743" s="309"/>
    </row>
    <row r="13744">
      <c r="B13744" s="309"/>
      <c r="C13744" s="309"/>
      <c r="I13744" s="309"/>
      <c r="J13744" s="309"/>
    </row>
    <row r="13745">
      <c r="B13745" s="309"/>
      <c r="C13745" s="309"/>
      <c r="I13745" s="309"/>
      <c r="J13745" s="309"/>
    </row>
    <row r="13746">
      <c r="B13746" s="309"/>
      <c r="C13746" s="309"/>
      <c r="I13746" s="309"/>
      <c r="J13746" s="309"/>
    </row>
    <row r="13747">
      <c r="B13747" s="309"/>
      <c r="C13747" s="309"/>
      <c r="I13747" s="309"/>
      <c r="J13747" s="309"/>
    </row>
    <row r="13748">
      <c r="B13748" s="309"/>
      <c r="C13748" s="309"/>
      <c r="I13748" s="309"/>
      <c r="J13748" s="309"/>
    </row>
    <row r="13749">
      <c r="B13749" s="309"/>
      <c r="C13749" s="309"/>
      <c r="I13749" s="309"/>
      <c r="J13749" s="309"/>
    </row>
    <row r="13750">
      <c r="B13750" s="309"/>
      <c r="C13750" s="309"/>
      <c r="I13750" s="309"/>
      <c r="J13750" s="309"/>
    </row>
    <row r="13751">
      <c r="B13751" s="309"/>
      <c r="C13751" s="309"/>
      <c r="I13751" s="309"/>
      <c r="J13751" s="309"/>
    </row>
    <row r="13752">
      <c r="B13752" s="309"/>
      <c r="C13752" s="309"/>
      <c r="I13752" s="309"/>
      <c r="J13752" s="309"/>
    </row>
    <row r="13753">
      <c r="B13753" s="309"/>
      <c r="C13753" s="309"/>
      <c r="I13753" s="309"/>
      <c r="J13753" s="309"/>
    </row>
    <row r="13754">
      <c r="B13754" s="309"/>
      <c r="C13754" s="309"/>
      <c r="I13754" s="309"/>
      <c r="J13754" s="309"/>
    </row>
    <row r="13755">
      <c r="B13755" s="309"/>
      <c r="C13755" s="309"/>
      <c r="I13755" s="309"/>
      <c r="J13755" s="309"/>
    </row>
    <row r="13756">
      <c r="B13756" s="309"/>
      <c r="C13756" s="309"/>
      <c r="I13756" s="309"/>
      <c r="J13756" s="309"/>
    </row>
    <row r="13757">
      <c r="B13757" s="309"/>
      <c r="C13757" s="309"/>
      <c r="I13757" s="309"/>
      <c r="J13757" s="309"/>
    </row>
    <row r="13758">
      <c r="B13758" s="309"/>
      <c r="C13758" s="309"/>
      <c r="I13758" s="309"/>
      <c r="J13758" s="309"/>
    </row>
    <row r="13759">
      <c r="B13759" s="309"/>
      <c r="C13759" s="309"/>
      <c r="I13759" s="309"/>
      <c r="J13759" s="309"/>
    </row>
    <row r="13760">
      <c r="B13760" s="309"/>
      <c r="C13760" s="309"/>
      <c r="I13760" s="309"/>
      <c r="J13760" s="309"/>
    </row>
    <row r="13761">
      <c r="B13761" s="309"/>
      <c r="C13761" s="309"/>
      <c r="I13761" s="309"/>
      <c r="J13761" s="309"/>
    </row>
    <row r="13762">
      <c r="B13762" s="309"/>
      <c r="C13762" s="309"/>
      <c r="I13762" s="309"/>
      <c r="J13762" s="309"/>
    </row>
    <row r="13763">
      <c r="B13763" s="309"/>
      <c r="C13763" s="309"/>
      <c r="I13763" s="309"/>
      <c r="J13763" s="309"/>
    </row>
    <row r="13764">
      <c r="B13764" s="309"/>
      <c r="C13764" s="309"/>
      <c r="I13764" s="309"/>
      <c r="J13764" s="309"/>
    </row>
    <row r="13765">
      <c r="B13765" s="309"/>
      <c r="C13765" s="309"/>
      <c r="I13765" s="309"/>
      <c r="J13765" s="309"/>
    </row>
    <row r="13766">
      <c r="B13766" s="309"/>
      <c r="C13766" s="309"/>
      <c r="I13766" s="309"/>
      <c r="J13766" s="309"/>
    </row>
    <row r="13767">
      <c r="B13767" s="309"/>
      <c r="C13767" s="309"/>
      <c r="I13767" s="309"/>
      <c r="J13767" s="309"/>
    </row>
    <row r="13768">
      <c r="B13768" s="309"/>
      <c r="C13768" s="309"/>
      <c r="I13768" s="309"/>
      <c r="J13768" s="309"/>
    </row>
    <row r="13769">
      <c r="B13769" s="309"/>
      <c r="C13769" s="309"/>
      <c r="I13769" s="309"/>
      <c r="J13769" s="309"/>
    </row>
    <row r="13770">
      <c r="B13770" s="309"/>
      <c r="C13770" s="309"/>
      <c r="I13770" s="309"/>
      <c r="J13770" s="309"/>
    </row>
    <row r="13771">
      <c r="B13771" s="309"/>
      <c r="C13771" s="309"/>
      <c r="I13771" s="309"/>
      <c r="J13771" s="309"/>
    </row>
    <row r="13772">
      <c r="B13772" s="309"/>
      <c r="C13772" s="309"/>
      <c r="I13772" s="309"/>
      <c r="J13772" s="309"/>
    </row>
    <row r="13773">
      <c r="B13773" s="309"/>
      <c r="C13773" s="309"/>
      <c r="I13773" s="309"/>
      <c r="J13773" s="309"/>
    </row>
    <row r="13774">
      <c r="B13774" s="309"/>
      <c r="C13774" s="309"/>
      <c r="I13774" s="309"/>
      <c r="J13774" s="309"/>
    </row>
    <row r="13775">
      <c r="B13775" s="309"/>
      <c r="C13775" s="309"/>
      <c r="I13775" s="309"/>
      <c r="J13775" s="309"/>
    </row>
    <row r="13776">
      <c r="B13776" s="309"/>
      <c r="C13776" s="309"/>
      <c r="I13776" s="309"/>
      <c r="J13776" s="309"/>
    </row>
    <row r="13777">
      <c r="B13777" s="309"/>
      <c r="C13777" s="309"/>
      <c r="I13777" s="309"/>
      <c r="J13777" s="309"/>
    </row>
    <row r="13778">
      <c r="B13778" s="309"/>
      <c r="C13778" s="309"/>
      <c r="I13778" s="309"/>
      <c r="J13778" s="309"/>
    </row>
    <row r="13779">
      <c r="B13779" s="309"/>
      <c r="C13779" s="309"/>
      <c r="I13779" s="309"/>
      <c r="J13779" s="309"/>
    </row>
    <row r="13780">
      <c r="B13780" s="309"/>
      <c r="C13780" s="309"/>
      <c r="I13780" s="309"/>
      <c r="J13780" s="309"/>
    </row>
    <row r="13781">
      <c r="B13781" s="309"/>
      <c r="C13781" s="309"/>
      <c r="I13781" s="309"/>
      <c r="J13781" s="309"/>
    </row>
    <row r="13782">
      <c r="B13782" s="309"/>
      <c r="C13782" s="309"/>
      <c r="I13782" s="309"/>
      <c r="J13782" s="309"/>
    </row>
    <row r="13783">
      <c r="B13783" s="309"/>
      <c r="C13783" s="309"/>
      <c r="I13783" s="309"/>
      <c r="J13783" s="309"/>
    </row>
    <row r="13784">
      <c r="B13784" s="309"/>
      <c r="C13784" s="309"/>
      <c r="I13784" s="309"/>
      <c r="J13784" s="309"/>
    </row>
    <row r="13785">
      <c r="B13785" s="309"/>
      <c r="C13785" s="309"/>
      <c r="I13785" s="309"/>
      <c r="J13785" s="309"/>
    </row>
    <row r="13786">
      <c r="B13786" s="309"/>
      <c r="C13786" s="309"/>
      <c r="I13786" s="309"/>
      <c r="J13786" s="309"/>
    </row>
    <row r="13787">
      <c r="B13787" s="309"/>
      <c r="C13787" s="309"/>
      <c r="I13787" s="309"/>
      <c r="J13787" s="309"/>
    </row>
    <row r="13788">
      <c r="B13788" s="309"/>
      <c r="C13788" s="309"/>
      <c r="I13788" s="309"/>
      <c r="J13788" s="309"/>
    </row>
    <row r="13789">
      <c r="B13789" s="309"/>
      <c r="C13789" s="309"/>
      <c r="I13789" s="309"/>
      <c r="J13789" s="309"/>
    </row>
    <row r="13790">
      <c r="B13790" s="309"/>
      <c r="C13790" s="309"/>
      <c r="I13790" s="309"/>
      <c r="J13790" s="309"/>
    </row>
    <row r="13791">
      <c r="B13791" s="309"/>
      <c r="C13791" s="309"/>
      <c r="I13791" s="309"/>
      <c r="J13791" s="309"/>
    </row>
    <row r="13792">
      <c r="B13792" s="309"/>
      <c r="C13792" s="309"/>
      <c r="I13792" s="309"/>
      <c r="J13792" s="309"/>
    </row>
    <row r="13793">
      <c r="B13793" s="309"/>
      <c r="C13793" s="309"/>
      <c r="I13793" s="309"/>
      <c r="J13793" s="309"/>
    </row>
    <row r="13794">
      <c r="B13794" s="309"/>
      <c r="C13794" s="309"/>
      <c r="I13794" s="309"/>
      <c r="J13794" s="309"/>
    </row>
    <row r="13795">
      <c r="B13795" s="309"/>
      <c r="C13795" s="309"/>
      <c r="I13795" s="309"/>
      <c r="J13795" s="309"/>
    </row>
    <row r="13796">
      <c r="B13796" s="309"/>
      <c r="C13796" s="309"/>
      <c r="I13796" s="309"/>
      <c r="J13796" s="309"/>
    </row>
    <row r="13797">
      <c r="B13797" s="309"/>
      <c r="C13797" s="309"/>
      <c r="I13797" s="309"/>
      <c r="J13797" s="309"/>
    </row>
    <row r="13798">
      <c r="B13798" s="309"/>
      <c r="C13798" s="309"/>
      <c r="I13798" s="309"/>
      <c r="J13798" s="309"/>
    </row>
    <row r="13799">
      <c r="B13799" s="309"/>
      <c r="C13799" s="309"/>
      <c r="I13799" s="309"/>
      <c r="J13799" s="309"/>
    </row>
    <row r="13800">
      <c r="B13800" s="309"/>
      <c r="C13800" s="309"/>
      <c r="I13800" s="309"/>
      <c r="J13800" s="309"/>
    </row>
    <row r="13801">
      <c r="B13801" s="309"/>
      <c r="C13801" s="309"/>
      <c r="I13801" s="309"/>
      <c r="J13801" s="309"/>
    </row>
    <row r="13802">
      <c r="B13802" s="309"/>
      <c r="C13802" s="309"/>
      <c r="I13802" s="309"/>
      <c r="J13802" s="309"/>
    </row>
    <row r="13803">
      <c r="B13803" s="309"/>
      <c r="C13803" s="309"/>
      <c r="I13803" s="309"/>
      <c r="J13803" s="309"/>
    </row>
    <row r="13804">
      <c r="B13804" s="309"/>
      <c r="C13804" s="309"/>
      <c r="I13804" s="309"/>
      <c r="J13804" s="309"/>
    </row>
    <row r="13805">
      <c r="B13805" s="309"/>
      <c r="C13805" s="309"/>
      <c r="I13805" s="309"/>
      <c r="J13805" s="309"/>
    </row>
    <row r="13806">
      <c r="B13806" s="309"/>
      <c r="C13806" s="309"/>
      <c r="I13806" s="309"/>
      <c r="J13806" s="309"/>
    </row>
    <row r="13807">
      <c r="B13807" s="309"/>
      <c r="C13807" s="309"/>
      <c r="I13807" s="309"/>
      <c r="J13807" s="309"/>
    </row>
    <row r="13808">
      <c r="B13808" s="309"/>
      <c r="C13808" s="309"/>
      <c r="I13808" s="309"/>
      <c r="J13808" s="309"/>
    </row>
    <row r="13809">
      <c r="B13809" s="309"/>
      <c r="C13809" s="309"/>
      <c r="I13809" s="309"/>
      <c r="J13809" s="309"/>
    </row>
    <row r="13810">
      <c r="B13810" s="309"/>
      <c r="C13810" s="309"/>
      <c r="I13810" s="309"/>
      <c r="J13810" s="309"/>
    </row>
    <row r="13811">
      <c r="B13811" s="309"/>
      <c r="C13811" s="309"/>
      <c r="I13811" s="309"/>
      <c r="J13811" s="309"/>
    </row>
    <row r="13812">
      <c r="B13812" s="309"/>
      <c r="C13812" s="309"/>
      <c r="I13812" s="309"/>
      <c r="J13812" s="309"/>
    </row>
    <row r="13813">
      <c r="B13813" s="309"/>
      <c r="C13813" s="309"/>
      <c r="I13813" s="309"/>
      <c r="J13813" s="309"/>
    </row>
    <row r="13814">
      <c r="B13814" s="309"/>
      <c r="C13814" s="309"/>
      <c r="I13814" s="309"/>
      <c r="J13814" s="309"/>
    </row>
    <row r="13815">
      <c r="B13815" s="309"/>
      <c r="C13815" s="309"/>
      <c r="I13815" s="309"/>
      <c r="J13815" s="309"/>
    </row>
    <row r="13816">
      <c r="B13816" s="309"/>
      <c r="C13816" s="309"/>
      <c r="I13816" s="309"/>
      <c r="J13816" s="309"/>
    </row>
    <row r="13817">
      <c r="B13817" s="309"/>
      <c r="C13817" s="309"/>
      <c r="I13817" s="309"/>
      <c r="J13817" s="309"/>
    </row>
    <row r="13818">
      <c r="B13818" s="309"/>
      <c r="C13818" s="309"/>
      <c r="I13818" s="309"/>
      <c r="J13818" s="309"/>
    </row>
    <row r="13819">
      <c r="B13819" s="309"/>
      <c r="C13819" s="309"/>
      <c r="I13819" s="309"/>
      <c r="J13819" s="309"/>
    </row>
    <row r="13820">
      <c r="B13820" s="309"/>
      <c r="C13820" s="309"/>
      <c r="I13820" s="309"/>
      <c r="J13820" s="309"/>
    </row>
    <row r="13821">
      <c r="B13821" s="309"/>
      <c r="C13821" s="309"/>
      <c r="I13821" s="309"/>
      <c r="J13821" s="309"/>
    </row>
    <row r="13822">
      <c r="B13822" s="309"/>
      <c r="C13822" s="309"/>
      <c r="I13822" s="309"/>
      <c r="J13822" s="309"/>
    </row>
    <row r="13823">
      <c r="B13823" s="309"/>
      <c r="C13823" s="309"/>
      <c r="I13823" s="309"/>
      <c r="J13823" s="309"/>
    </row>
    <row r="13824">
      <c r="B13824" s="309"/>
      <c r="C13824" s="309"/>
      <c r="I13824" s="309"/>
      <c r="J13824" s="309"/>
    </row>
    <row r="13825">
      <c r="B13825" s="309"/>
      <c r="C13825" s="309"/>
      <c r="I13825" s="309"/>
      <c r="J13825" s="309"/>
    </row>
    <row r="13826">
      <c r="B13826" s="309"/>
      <c r="C13826" s="309"/>
      <c r="I13826" s="309"/>
      <c r="J13826" s="309"/>
    </row>
    <row r="13827">
      <c r="B13827" s="309"/>
      <c r="C13827" s="309"/>
      <c r="I13827" s="309"/>
      <c r="J13827" s="309"/>
    </row>
    <row r="13828">
      <c r="B13828" s="309"/>
      <c r="C13828" s="309"/>
      <c r="I13828" s="309"/>
      <c r="J13828" s="309"/>
    </row>
    <row r="13829">
      <c r="B13829" s="309"/>
      <c r="C13829" s="309"/>
      <c r="I13829" s="309"/>
      <c r="J13829" s="309"/>
    </row>
    <row r="13830">
      <c r="B13830" s="309"/>
      <c r="C13830" s="309"/>
      <c r="I13830" s="309"/>
      <c r="J13830" s="309"/>
    </row>
    <row r="13831">
      <c r="B13831" s="309"/>
      <c r="C13831" s="309"/>
      <c r="I13831" s="309"/>
      <c r="J13831" s="309"/>
    </row>
    <row r="13832">
      <c r="B13832" s="309"/>
      <c r="C13832" s="309"/>
      <c r="I13832" s="309"/>
      <c r="J13832" s="309"/>
    </row>
    <row r="13833">
      <c r="B13833" s="309"/>
      <c r="C13833" s="309"/>
      <c r="I13833" s="309"/>
      <c r="J13833" s="309"/>
    </row>
    <row r="13834">
      <c r="B13834" s="309"/>
      <c r="C13834" s="309"/>
      <c r="I13834" s="309"/>
      <c r="J13834" s="309"/>
    </row>
    <row r="13835">
      <c r="B13835" s="309"/>
      <c r="C13835" s="309"/>
      <c r="I13835" s="309"/>
      <c r="J13835" s="309"/>
    </row>
    <row r="13836">
      <c r="B13836" s="309"/>
      <c r="C13836" s="309"/>
      <c r="I13836" s="309"/>
      <c r="J13836" s="309"/>
    </row>
    <row r="13837">
      <c r="B13837" s="309"/>
      <c r="C13837" s="309"/>
      <c r="I13837" s="309"/>
      <c r="J13837" s="309"/>
    </row>
    <row r="13838">
      <c r="B13838" s="309"/>
      <c r="C13838" s="309"/>
      <c r="I13838" s="309"/>
      <c r="J13838" s="309"/>
    </row>
    <row r="13839">
      <c r="B13839" s="309"/>
      <c r="C13839" s="309"/>
      <c r="I13839" s="309"/>
      <c r="J13839" s="309"/>
    </row>
    <row r="13840">
      <c r="B13840" s="309"/>
      <c r="C13840" s="309"/>
      <c r="I13840" s="309"/>
      <c r="J13840" s="309"/>
    </row>
    <row r="13841">
      <c r="B13841" s="309"/>
      <c r="C13841" s="309"/>
      <c r="I13841" s="309"/>
      <c r="J13841" s="309"/>
    </row>
    <row r="13842">
      <c r="B13842" s="309"/>
      <c r="C13842" s="309"/>
      <c r="I13842" s="309"/>
      <c r="J13842" s="309"/>
    </row>
    <row r="13843">
      <c r="B13843" s="309"/>
      <c r="C13843" s="309"/>
      <c r="I13843" s="309"/>
      <c r="J13843" s="309"/>
    </row>
    <row r="13844">
      <c r="B13844" s="309"/>
      <c r="C13844" s="309"/>
      <c r="I13844" s="309"/>
      <c r="J13844" s="309"/>
    </row>
    <row r="13845">
      <c r="B13845" s="309"/>
      <c r="C13845" s="309"/>
      <c r="I13845" s="309"/>
      <c r="J13845" s="309"/>
    </row>
    <row r="13846">
      <c r="B13846" s="309"/>
      <c r="C13846" s="309"/>
      <c r="I13846" s="309"/>
      <c r="J13846" s="309"/>
    </row>
    <row r="13847">
      <c r="B13847" s="309"/>
      <c r="C13847" s="309"/>
      <c r="I13847" s="309"/>
      <c r="J13847" s="309"/>
    </row>
    <row r="13848">
      <c r="B13848" s="309"/>
      <c r="C13848" s="309"/>
      <c r="I13848" s="309"/>
      <c r="J13848" s="309"/>
    </row>
    <row r="13849">
      <c r="B13849" s="309"/>
      <c r="C13849" s="309"/>
      <c r="I13849" s="309"/>
      <c r="J13849" s="309"/>
    </row>
    <row r="13850">
      <c r="B13850" s="309"/>
      <c r="C13850" s="309"/>
      <c r="I13850" s="309"/>
      <c r="J13850" s="309"/>
    </row>
    <row r="13851">
      <c r="B13851" s="309"/>
      <c r="C13851" s="309"/>
      <c r="I13851" s="309"/>
      <c r="J13851" s="309"/>
    </row>
    <row r="13852">
      <c r="B13852" s="309"/>
      <c r="C13852" s="309"/>
      <c r="I13852" s="309"/>
      <c r="J13852" s="309"/>
    </row>
    <row r="13853">
      <c r="B13853" s="309"/>
      <c r="C13853" s="309"/>
      <c r="I13853" s="309"/>
      <c r="J13853" s="309"/>
    </row>
    <row r="13854">
      <c r="B13854" s="309"/>
      <c r="C13854" s="309"/>
      <c r="I13854" s="309"/>
      <c r="J13854" s="309"/>
    </row>
    <row r="13855">
      <c r="B13855" s="309"/>
      <c r="C13855" s="309"/>
      <c r="I13855" s="309"/>
      <c r="J13855" s="309"/>
    </row>
    <row r="13856">
      <c r="B13856" s="309"/>
      <c r="C13856" s="309"/>
      <c r="I13856" s="309"/>
      <c r="J13856" s="309"/>
    </row>
    <row r="13857">
      <c r="B13857" s="309"/>
      <c r="C13857" s="309"/>
      <c r="I13857" s="309"/>
      <c r="J13857" s="309"/>
    </row>
    <row r="13858">
      <c r="B13858" s="309"/>
      <c r="C13858" s="309"/>
      <c r="I13858" s="309"/>
      <c r="J13858" s="309"/>
    </row>
    <row r="13859">
      <c r="B13859" s="309"/>
      <c r="C13859" s="309"/>
      <c r="I13859" s="309"/>
      <c r="J13859" s="309"/>
    </row>
    <row r="13860">
      <c r="B13860" s="309"/>
      <c r="C13860" s="309"/>
      <c r="I13860" s="309"/>
      <c r="J13860" s="309"/>
    </row>
    <row r="13861">
      <c r="B13861" s="309"/>
      <c r="C13861" s="309"/>
      <c r="I13861" s="309"/>
      <c r="J13861" s="309"/>
    </row>
    <row r="13862">
      <c r="B13862" s="309"/>
      <c r="C13862" s="309"/>
      <c r="I13862" s="309"/>
      <c r="J13862" s="309"/>
    </row>
    <row r="13863">
      <c r="B13863" s="309"/>
      <c r="C13863" s="309"/>
      <c r="I13863" s="309"/>
      <c r="J13863" s="309"/>
    </row>
    <row r="13864">
      <c r="B13864" s="309"/>
      <c r="C13864" s="309"/>
      <c r="I13864" s="309"/>
      <c r="J13864" s="309"/>
    </row>
    <row r="13865">
      <c r="B13865" s="309"/>
      <c r="C13865" s="309"/>
      <c r="I13865" s="309"/>
      <c r="J13865" s="309"/>
    </row>
    <row r="13866">
      <c r="B13866" s="309"/>
      <c r="C13866" s="309"/>
      <c r="I13866" s="309"/>
      <c r="J13866" s="309"/>
    </row>
    <row r="13867">
      <c r="B13867" s="309"/>
      <c r="C13867" s="309"/>
      <c r="I13867" s="309"/>
      <c r="J13867" s="309"/>
    </row>
    <row r="13868">
      <c r="B13868" s="309"/>
      <c r="C13868" s="309"/>
      <c r="I13868" s="309"/>
      <c r="J13868" s="309"/>
    </row>
    <row r="13869">
      <c r="B13869" s="309"/>
      <c r="C13869" s="309"/>
      <c r="I13869" s="309"/>
      <c r="J13869" s="309"/>
    </row>
    <row r="13870">
      <c r="B13870" s="309"/>
      <c r="C13870" s="309"/>
      <c r="I13870" s="309"/>
      <c r="J13870" s="309"/>
    </row>
    <row r="13871">
      <c r="B13871" s="309"/>
      <c r="C13871" s="309"/>
      <c r="I13871" s="309"/>
      <c r="J13871" s="309"/>
    </row>
    <row r="13872">
      <c r="B13872" s="309"/>
      <c r="C13872" s="309"/>
      <c r="I13872" s="309"/>
      <c r="J13872" s="309"/>
    </row>
    <row r="13873">
      <c r="B13873" s="309"/>
      <c r="C13873" s="309"/>
      <c r="I13873" s="309"/>
      <c r="J13873" s="309"/>
    </row>
    <row r="13874">
      <c r="B13874" s="309"/>
      <c r="C13874" s="309"/>
      <c r="I13874" s="309"/>
      <c r="J13874" s="309"/>
    </row>
    <row r="13875">
      <c r="B13875" s="309"/>
      <c r="C13875" s="309"/>
      <c r="I13875" s="309"/>
      <c r="J13875" s="309"/>
    </row>
    <row r="13876">
      <c r="B13876" s="309"/>
      <c r="C13876" s="309"/>
      <c r="I13876" s="309"/>
      <c r="J13876" s="309"/>
    </row>
    <row r="13877">
      <c r="B13877" s="309"/>
      <c r="C13877" s="309"/>
      <c r="I13877" s="309"/>
      <c r="J13877" s="309"/>
    </row>
    <row r="13878">
      <c r="B13878" s="309"/>
      <c r="C13878" s="309"/>
      <c r="I13878" s="309"/>
      <c r="J13878" s="309"/>
    </row>
    <row r="13879">
      <c r="B13879" s="309"/>
      <c r="C13879" s="309"/>
      <c r="I13879" s="309"/>
      <c r="J13879" s="309"/>
    </row>
    <row r="13880">
      <c r="B13880" s="309"/>
      <c r="C13880" s="309"/>
      <c r="I13880" s="309"/>
      <c r="J13880" s="309"/>
    </row>
    <row r="13881">
      <c r="B13881" s="309"/>
      <c r="C13881" s="309"/>
      <c r="I13881" s="309"/>
      <c r="J13881" s="309"/>
    </row>
    <row r="13882">
      <c r="B13882" s="309"/>
      <c r="C13882" s="309"/>
      <c r="I13882" s="309"/>
      <c r="J13882" s="309"/>
    </row>
    <row r="13883">
      <c r="B13883" s="309"/>
      <c r="C13883" s="309"/>
      <c r="I13883" s="309"/>
      <c r="J13883" s="309"/>
    </row>
    <row r="13884">
      <c r="B13884" s="309"/>
      <c r="C13884" s="309"/>
      <c r="I13884" s="309"/>
      <c r="J13884" s="309"/>
    </row>
    <row r="13885">
      <c r="B13885" s="309"/>
      <c r="C13885" s="309"/>
      <c r="I13885" s="309"/>
      <c r="J13885" s="309"/>
    </row>
    <row r="13886">
      <c r="B13886" s="309"/>
      <c r="C13886" s="309"/>
      <c r="I13886" s="309"/>
      <c r="J13886" s="309"/>
    </row>
    <row r="13887">
      <c r="B13887" s="309"/>
      <c r="C13887" s="309"/>
      <c r="I13887" s="309"/>
      <c r="J13887" s="309"/>
    </row>
    <row r="13888">
      <c r="B13888" s="309"/>
      <c r="C13888" s="309"/>
      <c r="I13888" s="309"/>
      <c r="J13888" s="309"/>
    </row>
    <row r="13889">
      <c r="B13889" s="309"/>
      <c r="C13889" s="309"/>
      <c r="I13889" s="309"/>
      <c r="J13889" s="309"/>
    </row>
    <row r="13890">
      <c r="B13890" s="309"/>
      <c r="C13890" s="309"/>
      <c r="I13890" s="309"/>
      <c r="J13890" s="309"/>
    </row>
    <row r="13891">
      <c r="B13891" s="309"/>
      <c r="C13891" s="309"/>
      <c r="I13891" s="309"/>
      <c r="J13891" s="309"/>
    </row>
    <row r="13892">
      <c r="B13892" s="309"/>
      <c r="C13892" s="309"/>
      <c r="I13892" s="309"/>
      <c r="J13892" s="309"/>
    </row>
    <row r="13893">
      <c r="B13893" s="309"/>
      <c r="C13893" s="309"/>
      <c r="I13893" s="309"/>
      <c r="J13893" s="309"/>
    </row>
    <row r="13894">
      <c r="B13894" s="309"/>
      <c r="C13894" s="309"/>
      <c r="I13894" s="309"/>
      <c r="J13894" s="309"/>
    </row>
    <row r="13895">
      <c r="B13895" s="309"/>
      <c r="C13895" s="309"/>
      <c r="I13895" s="309"/>
      <c r="J13895" s="309"/>
    </row>
    <row r="13896">
      <c r="B13896" s="309"/>
      <c r="C13896" s="309"/>
      <c r="I13896" s="309"/>
      <c r="J13896" s="309"/>
    </row>
    <row r="13897">
      <c r="B13897" s="309"/>
      <c r="C13897" s="309"/>
      <c r="I13897" s="309"/>
      <c r="J13897" s="309"/>
    </row>
    <row r="13898">
      <c r="B13898" s="309"/>
      <c r="C13898" s="309"/>
      <c r="I13898" s="309"/>
      <c r="J13898" s="309"/>
    </row>
    <row r="13899">
      <c r="B13899" s="309"/>
      <c r="C13899" s="309"/>
      <c r="I13899" s="309"/>
      <c r="J13899" s="309"/>
    </row>
    <row r="13900">
      <c r="B13900" s="309"/>
      <c r="C13900" s="309"/>
      <c r="I13900" s="309"/>
      <c r="J13900" s="309"/>
    </row>
    <row r="13901">
      <c r="B13901" s="309"/>
      <c r="C13901" s="309"/>
      <c r="I13901" s="309"/>
      <c r="J13901" s="309"/>
    </row>
    <row r="13902">
      <c r="B13902" s="309"/>
      <c r="C13902" s="309"/>
      <c r="I13902" s="309"/>
      <c r="J13902" s="309"/>
    </row>
    <row r="13903">
      <c r="B13903" s="309"/>
      <c r="C13903" s="309"/>
      <c r="I13903" s="309"/>
      <c r="J13903" s="309"/>
    </row>
    <row r="13904">
      <c r="B13904" s="309"/>
      <c r="C13904" s="309"/>
      <c r="I13904" s="309"/>
      <c r="J13904" s="309"/>
    </row>
    <row r="13905">
      <c r="B13905" s="309"/>
      <c r="C13905" s="309"/>
      <c r="I13905" s="309"/>
      <c r="J13905" s="309"/>
    </row>
    <row r="13906">
      <c r="B13906" s="309"/>
      <c r="C13906" s="309"/>
      <c r="I13906" s="309"/>
      <c r="J13906" s="309"/>
    </row>
    <row r="13907">
      <c r="B13907" s="309"/>
      <c r="C13907" s="309"/>
      <c r="I13907" s="309"/>
      <c r="J13907" s="309"/>
    </row>
    <row r="13908">
      <c r="B13908" s="309"/>
      <c r="C13908" s="309"/>
      <c r="I13908" s="309"/>
      <c r="J13908" s="309"/>
    </row>
    <row r="13909">
      <c r="B13909" s="309"/>
      <c r="C13909" s="309"/>
      <c r="I13909" s="309"/>
      <c r="J13909" s="309"/>
    </row>
    <row r="13910">
      <c r="B13910" s="309"/>
      <c r="C13910" s="309"/>
      <c r="I13910" s="309"/>
      <c r="J13910" s="309"/>
    </row>
    <row r="13911">
      <c r="B13911" s="309"/>
      <c r="C13911" s="309"/>
      <c r="I13911" s="309"/>
      <c r="J13911" s="309"/>
    </row>
    <row r="13912">
      <c r="B13912" s="309"/>
      <c r="C13912" s="309"/>
      <c r="I13912" s="309"/>
      <c r="J13912" s="309"/>
    </row>
    <row r="13913">
      <c r="B13913" s="309"/>
      <c r="C13913" s="309"/>
      <c r="I13913" s="309"/>
      <c r="J13913" s="309"/>
    </row>
    <row r="13914">
      <c r="B13914" s="309"/>
      <c r="C13914" s="309"/>
      <c r="I13914" s="309"/>
      <c r="J13914" s="309"/>
    </row>
    <row r="13915">
      <c r="B13915" s="309"/>
      <c r="C13915" s="309"/>
      <c r="I13915" s="309"/>
      <c r="J13915" s="309"/>
    </row>
    <row r="13916">
      <c r="B13916" s="309"/>
      <c r="C13916" s="309"/>
      <c r="I13916" s="309"/>
      <c r="J13916" s="309"/>
    </row>
    <row r="13917">
      <c r="B13917" s="309"/>
      <c r="C13917" s="309"/>
      <c r="I13917" s="309"/>
      <c r="J13917" s="309"/>
    </row>
    <row r="13918">
      <c r="B13918" s="309"/>
      <c r="C13918" s="309"/>
      <c r="I13918" s="309"/>
      <c r="J13918" s="309"/>
    </row>
    <row r="13919">
      <c r="B13919" s="309"/>
      <c r="C13919" s="309"/>
      <c r="I13919" s="309"/>
      <c r="J13919" s="309"/>
    </row>
    <row r="13920">
      <c r="B13920" s="309"/>
      <c r="C13920" s="309"/>
      <c r="I13920" s="309"/>
      <c r="J13920" s="309"/>
    </row>
    <row r="13921">
      <c r="B13921" s="309"/>
      <c r="C13921" s="309"/>
      <c r="I13921" s="309"/>
      <c r="J13921" s="309"/>
    </row>
    <row r="13922">
      <c r="B13922" s="309"/>
      <c r="C13922" s="309"/>
      <c r="I13922" s="309"/>
      <c r="J13922" s="309"/>
    </row>
    <row r="13923">
      <c r="B13923" s="309"/>
      <c r="C13923" s="309"/>
      <c r="I13923" s="309"/>
      <c r="J13923" s="309"/>
    </row>
    <row r="13924">
      <c r="B13924" s="309"/>
      <c r="C13924" s="309"/>
      <c r="I13924" s="309"/>
      <c r="J13924" s="309"/>
    </row>
    <row r="13925">
      <c r="B13925" s="309"/>
      <c r="C13925" s="309"/>
      <c r="I13925" s="309"/>
      <c r="J13925" s="309"/>
    </row>
    <row r="13926">
      <c r="B13926" s="309"/>
      <c r="C13926" s="309"/>
      <c r="I13926" s="309"/>
      <c r="J13926" s="309"/>
    </row>
    <row r="13927">
      <c r="B13927" s="309"/>
      <c r="C13927" s="309"/>
      <c r="I13927" s="309"/>
      <c r="J13927" s="309"/>
    </row>
    <row r="13928">
      <c r="B13928" s="309"/>
      <c r="C13928" s="309"/>
      <c r="I13928" s="309"/>
      <c r="J13928" s="309"/>
    </row>
    <row r="13929">
      <c r="B13929" s="309"/>
      <c r="C13929" s="309"/>
      <c r="I13929" s="309"/>
      <c r="J13929" s="309"/>
    </row>
    <row r="13930">
      <c r="B13930" s="309"/>
      <c r="C13930" s="309"/>
      <c r="I13930" s="309"/>
      <c r="J13930" s="309"/>
    </row>
    <row r="13931">
      <c r="B13931" s="309"/>
      <c r="C13931" s="309"/>
      <c r="I13931" s="309"/>
      <c r="J13931" s="309"/>
    </row>
    <row r="13932">
      <c r="B13932" s="309"/>
      <c r="C13932" s="309"/>
      <c r="I13932" s="309"/>
      <c r="J13932" s="309"/>
    </row>
    <row r="13933">
      <c r="B13933" s="309"/>
      <c r="C13933" s="309"/>
      <c r="I13933" s="309"/>
      <c r="J13933" s="309"/>
    </row>
    <row r="13934">
      <c r="B13934" s="309"/>
      <c r="C13934" s="309"/>
      <c r="I13934" s="309"/>
      <c r="J13934" s="309"/>
    </row>
    <row r="13935">
      <c r="B13935" s="309"/>
      <c r="C13935" s="309"/>
      <c r="I13935" s="309"/>
      <c r="J13935" s="309"/>
    </row>
    <row r="13936">
      <c r="B13936" s="309"/>
      <c r="C13936" s="309"/>
      <c r="I13936" s="309"/>
      <c r="J13936" s="309"/>
    </row>
    <row r="13937">
      <c r="B13937" s="309"/>
      <c r="C13937" s="309"/>
      <c r="I13937" s="309"/>
      <c r="J13937" s="309"/>
    </row>
    <row r="13938">
      <c r="B13938" s="309"/>
      <c r="C13938" s="309"/>
      <c r="I13938" s="309"/>
      <c r="J13938" s="309"/>
    </row>
    <row r="13939">
      <c r="B13939" s="309"/>
      <c r="C13939" s="309"/>
      <c r="I13939" s="309"/>
      <c r="J13939" s="309"/>
    </row>
    <row r="13940">
      <c r="B13940" s="309"/>
      <c r="C13940" s="309"/>
      <c r="I13940" s="309"/>
      <c r="J13940" s="309"/>
    </row>
    <row r="13941">
      <c r="B13941" s="309"/>
      <c r="C13941" s="309"/>
      <c r="I13941" s="309"/>
      <c r="J13941" s="309"/>
    </row>
    <row r="13942">
      <c r="B13942" s="309"/>
      <c r="C13942" s="309"/>
      <c r="I13942" s="309"/>
      <c r="J13942" s="309"/>
    </row>
    <row r="13943">
      <c r="B13943" s="309"/>
      <c r="C13943" s="309"/>
      <c r="I13943" s="309"/>
      <c r="J13943" s="309"/>
    </row>
    <row r="13944">
      <c r="B13944" s="309"/>
      <c r="C13944" s="309"/>
      <c r="I13944" s="309"/>
      <c r="J13944" s="309"/>
    </row>
    <row r="13945">
      <c r="B13945" s="309"/>
      <c r="C13945" s="309"/>
      <c r="I13945" s="309"/>
      <c r="J13945" s="309"/>
    </row>
    <row r="13946">
      <c r="B13946" s="309"/>
      <c r="C13946" s="309"/>
      <c r="I13946" s="309"/>
      <c r="J13946" s="309"/>
    </row>
    <row r="13947">
      <c r="B13947" s="309"/>
      <c r="C13947" s="309"/>
      <c r="I13947" s="309"/>
      <c r="J13947" s="309"/>
    </row>
    <row r="13948">
      <c r="B13948" s="309"/>
      <c r="C13948" s="309"/>
      <c r="I13948" s="309"/>
      <c r="J13948" s="309"/>
    </row>
    <row r="13949">
      <c r="B13949" s="309"/>
      <c r="C13949" s="309"/>
      <c r="I13949" s="309"/>
      <c r="J13949" s="309"/>
    </row>
    <row r="13950">
      <c r="B13950" s="309"/>
      <c r="C13950" s="309"/>
      <c r="I13950" s="309"/>
      <c r="J13950" s="309"/>
    </row>
    <row r="13951">
      <c r="B13951" s="309"/>
      <c r="C13951" s="309"/>
      <c r="I13951" s="309"/>
      <c r="J13951" s="309"/>
    </row>
    <row r="13952">
      <c r="B13952" s="309"/>
      <c r="C13952" s="309"/>
      <c r="I13952" s="309"/>
      <c r="J13952" s="309"/>
    </row>
    <row r="13953">
      <c r="B13953" s="309"/>
      <c r="C13953" s="309"/>
      <c r="I13953" s="309"/>
      <c r="J13953" s="309"/>
    </row>
    <row r="13954">
      <c r="B13954" s="309"/>
      <c r="C13954" s="309"/>
      <c r="I13954" s="309"/>
      <c r="J13954" s="309"/>
    </row>
    <row r="13955">
      <c r="B13955" s="309"/>
      <c r="C13955" s="309"/>
      <c r="I13955" s="309"/>
      <c r="J13955" s="309"/>
    </row>
    <row r="13956">
      <c r="B13956" s="309"/>
      <c r="C13956" s="309"/>
      <c r="I13956" s="309"/>
      <c r="J13956" s="309"/>
    </row>
    <row r="13957">
      <c r="B13957" s="309"/>
      <c r="C13957" s="309"/>
      <c r="I13957" s="309"/>
      <c r="J13957" s="309"/>
    </row>
    <row r="13958">
      <c r="B13958" s="309"/>
      <c r="C13958" s="309"/>
      <c r="I13958" s="309"/>
      <c r="J13958" s="309"/>
    </row>
    <row r="13959">
      <c r="B13959" s="309"/>
      <c r="C13959" s="309"/>
      <c r="I13959" s="309"/>
      <c r="J13959" s="309"/>
    </row>
    <row r="13960">
      <c r="B13960" s="309"/>
      <c r="C13960" s="309"/>
      <c r="I13960" s="309"/>
      <c r="J13960" s="309"/>
    </row>
    <row r="13961">
      <c r="B13961" s="309"/>
      <c r="C13961" s="309"/>
      <c r="I13961" s="309"/>
      <c r="J13961" s="309"/>
    </row>
    <row r="13962">
      <c r="B13962" s="309"/>
      <c r="C13962" s="309"/>
      <c r="I13962" s="309"/>
      <c r="J13962" s="309"/>
    </row>
    <row r="13963">
      <c r="B13963" s="309"/>
      <c r="C13963" s="309"/>
      <c r="I13963" s="309"/>
      <c r="J13963" s="309"/>
    </row>
    <row r="13964">
      <c r="B13964" s="309"/>
      <c r="C13964" s="309"/>
      <c r="I13964" s="309"/>
      <c r="J13964" s="309"/>
    </row>
    <row r="13965">
      <c r="B13965" s="309"/>
      <c r="C13965" s="309"/>
      <c r="I13965" s="309"/>
      <c r="J13965" s="309"/>
    </row>
    <row r="13966">
      <c r="B13966" s="309"/>
      <c r="C13966" s="309"/>
      <c r="I13966" s="309"/>
      <c r="J13966" s="309"/>
    </row>
    <row r="13967">
      <c r="B13967" s="309"/>
      <c r="C13967" s="309"/>
      <c r="I13967" s="309"/>
      <c r="J13967" s="309"/>
    </row>
    <row r="13968">
      <c r="B13968" s="309"/>
      <c r="C13968" s="309"/>
      <c r="I13968" s="309"/>
      <c r="J13968" s="309"/>
    </row>
    <row r="13969">
      <c r="B13969" s="309"/>
      <c r="C13969" s="309"/>
      <c r="I13969" s="309"/>
      <c r="J13969" s="309"/>
    </row>
    <row r="13970">
      <c r="B13970" s="309"/>
      <c r="C13970" s="309"/>
      <c r="I13970" s="309"/>
      <c r="J13970" s="309"/>
    </row>
    <row r="13971">
      <c r="B13971" s="309"/>
      <c r="C13971" s="309"/>
      <c r="I13971" s="309"/>
      <c r="J13971" s="309"/>
    </row>
    <row r="13972">
      <c r="B13972" s="309"/>
      <c r="C13972" s="309"/>
      <c r="I13972" s="309"/>
      <c r="J13972" s="309"/>
    </row>
    <row r="13973">
      <c r="B13973" s="309"/>
      <c r="C13973" s="309"/>
      <c r="I13973" s="309"/>
      <c r="J13973" s="309"/>
    </row>
    <row r="13974">
      <c r="B13974" s="309"/>
      <c r="C13974" s="309"/>
      <c r="I13974" s="309"/>
      <c r="J13974" s="309"/>
    </row>
    <row r="13975">
      <c r="B13975" s="309"/>
      <c r="C13975" s="309"/>
      <c r="I13975" s="309"/>
      <c r="J13975" s="309"/>
    </row>
    <row r="13976">
      <c r="B13976" s="309"/>
      <c r="C13976" s="309"/>
      <c r="I13976" s="309"/>
      <c r="J13976" s="309"/>
    </row>
    <row r="13977">
      <c r="B13977" s="309"/>
      <c r="C13977" s="309"/>
      <c r="I13977" s="309"/>
      <c r="J13977" s="309"/>
    </row>
    <row r="13978">
      <c r="B13978" s="309"/>
      <c r="C13978" s="309"/>
      <c r="I13978" s="309"/>
      <c r="J13978" s="309"/>
    </row>
    <row r="13979">
      <c r="B13979" s="309"/>
      <c r="C13979" s="309"/>
      <c r="I13979" s="309"/>
      <c r="J13979" s="309"/>
    </row>
    <row r="13980">
      <c r="B13980" s="309"/>
      <c r="C13980" s="309"/>
      <c r="I13980" s="309"/>
      <c r="J13980" s="309"/>
    </row>
    <row r="13981">
      <c r="B13981" s="309"/>
      <c r="C13981" s="309"/>
      <c r="I13981" s="309"/>
      <c r="J13981" s="309"/>
    </row>
    <row r="13982">
      <c r="B13982" s="309"/>
      <c r="C13982" s="309"/>
      <c r="I13982" s="309"/>
      <c r="J13982" s="309"/>
    </row>
    <row r="13983">
      <c r="B13983" s="309"/>
      <c r="C13983" s="309"/>
      <c r="I13983" s="309"/>
      <c r="J13983" s="309"/>
    </row>
    <row r="13984">
      <c r="B13984" s="309"/>
      <c r="C13984" s="309"/>
      <c r="I13984" s="309"/>
      <c r="J13984" s="309"/>
    </row>
    <row r="13985">
      <c r="B13985" s="309"/>
      <c r="C13985" s="309"/>
      <c r="I13985" s="309"/>
      <c r="J13985" s="309"/>
    </row>
    <row r="13986">
      <c r="B13986" s="309"/>
      <c r="C13986" s="309"/>
      <c r="I13986" s="309"/>
      <c r="J13986" s="309"/>
    </row>
    <row r="13987">
      <c r="B13987" s="309"/>
      <c r="C13987" s="309"/>
      <c r="I13987" s="309"/>
      <c r="J13987" s="309"/>
    </row>
    <row r="13988">
      <c r="B13988" s="309"/>
      <c r="C13988" s="309"/>
      <c r="I13988" s="309"/>
      <c r="J13988" s="309"/>
    </row>
    <row r="13989">
      <c r="B13989" s="309"/>
      <c r="C13989" s="309"/>
      <c r="I13989" s="309"/>
      <c r="J13989" s="309"/>
    </row>
    <row r="13990">
      <c r="B13990" s="309"/>
      <c r="C13990" s="309"/>
      <c r="I13990" s="309"/>
      <c r="J13990" s="309"/>
    </row>
    <row r="13991">
      <c r="B13991" s="309"/>
      <c r="C13991" s="309"/>
      <c r="I13991" s="309"/>
      <c r="J13991" s="309"/>
    </row>
    <row r="13992">
      <c r="B13992" s="309"/>
      <c r="C13992" s="309"/>
      <c r="I13992" s="309"/>
      <c r="J13992" s="309"/>
    </row>
    <row r="13993">
      <c r="B13993" s="309"/>
      <c r="C13993" s="309"/>
      <c r="I13993" s="309"/>
      <c r="J13993" s="309"/>
    </row>
    <row r="13994">
      <c r="B13994" s="309"/>
      <c r="C13994" s="309"/>
      <c r="I13994" s="309"/>
      <c r="J13994" s="309"/>
    </row>
    <row r="13995">
      <c r="B13995" s="309"/>
      <c r="C13995" s="309"/>
      <c r="I13995" s="309"/>
      <c r="J13995" s="309"/>
    </row>
    <row r="13996">
      <c r="B13996" s="309"/>
      <c r="C13996" s="309"/>
      <c r="I13996" s="309"/>
      <c r="J13996" s="309"/>
    </row>
    <row r="13997">
      <c r="B13997" s="309"/>
      <c r="C13997" s="309"/>
      <c r="I13997" s="309"/>
      <c r="J13997" s="309"/>
    </row>
    <row r="13998">
      <c r="B13998" s="309"/>
      <c r="C13998" s="309"/>
      <c r="I13998" s="309"/>
      <c r="J13998" s="309"/>
    </row>
    <row r="13999">
      <c r="B13999" s="309"/>
      <c r="C13999" s="309"/>
      <c r="I13999" s="309"/>
      <c r="J13999" s="309"/>
    </row>
    <row r="14000">
      <c r="B14000" s="309"/>
      <c r="C14000" s="309"/>
      <c r="I14000" s="309"/>
      <c r="J14000" s="309"/>
    </row>
    <row r="14001">
      <c r="B14001" s="309"/>
      <c r="C14001" s="309"/>
      <c r="I14001" s="309"/>
      <c r="J14001" s="309"/>
    </row>
    <row r="14002">
      <c r="B14002" s="309"/>
      <c r="C14002" s="309"/>
      <c r="I14002" s="309"/>
      <c r="J14002" s="309"/>
    </row>
    <row r="14003">
      <c r="B14003" s="309"/>
      <c r="C14003" s="309"/>
      <c r="I14003" s="309"/>
      <c r="J14003" s="309"/>
    </row>
    <row r="14004">
      <c r="B14004" s="309"/>
      <c r="C14004" s="309"/>
      <c r="I14004" s="309"/>
      <c r="J14004" s="309"/>
    </row>
    <row r="14005">
      <c r="B14005" s="309"/>
      <c r="C14005" s="309"/>
      <c r="I14005" s="309"/>
      <c r="J14005" s="309"/>
    </row>
    <row r="14006">
      <c r="B14006" s="309"/>
      <c r="C14006" s="309"/>
      <c r="I14006" s="309"/>
      <c r="J14006" s="309"/>
    </row>
    <row r="14007">
      <c r="B14007" s="309"/>
      <c r="C14007" s="309"/>
      <c r="I14007" s="309"/>
      <c r="J14007" s="309"/>
    </row>
    <row r="14008">
      <c r="B14008" s="309"/>
      <c r="C14008" s="309"/>
      <c r="I14008" s="309"/>
      <c r="J14008" s="309"/>
    </row>
    <row r="14009">
      <c r="B14009" s="309"/>
      <c r="C14009" s="309"/>
      <c r="I14009" s="309"/>
      <c r="J14009" s="309"/>
    </row>
    <row r="14010">
      <c r="B14010" s="309"/>
      <c r="C14010" s="309"/>
      <c r="I14010" s="309"/>
      <c r="J14010" s="309"/>
    </row>
    <row r="14011">
      <c r="B14011" s="309"/>
      <c r="C14011" s="309"/>
      <c r="I14011" s="309"/>
      <c r="J14011" s="309"/>
    </row>
    <row r="14012">
      <c r="B14012" s="309"/>
      <c r="C14012" s="309"/>
      <c r="I14012" s="309"/>
      <c r="J14012" s="309"/>
    </row>
    <row r="14013">
      <c r="B14013" s="309"/>
      <c r="C14013" s="309"/>
      <c r="I14013" s="309"/>
      <c r="J14013" s="309"/>
    </row>
    <row r="14014">
      <c r="B14014" s="309"/>
      <c r="C14014" s="309"/>
      <c r="I14014" s="309"/>
      <c r="J14014" s="309"/>
    </row>
    <row r="14015">
      <c r="B14015" s="309"/>
      <c r="C14015" s="309"/>
      <c r="I14015" s="309"/>
      <c r="J14015" s="309"/>
    </row>
    <row r="14016">
      <c r="B14016" s="309"/>
      <c r="C14016" s="309"/>
      <c r="I14016" s="309"/>
      <c r="J14016" s="309"/>
    </row>
    <row r="14017">
      <c r="B14017" s="309"/>
      <c r="C14017" s="309"/>
      <c r="I14017" s="309"/>
      <c r="J14017" s="309"/>
    </row>
    <row r="14018">
      <c r="B14018" s="309"/>
      <c r="C14018" s="309"/>
      <c r="I14018" s="309"/>
      <c r="J14018" s="309"/>
    </row>
    <row r="14019">
      <c r="B14019" s="309"/>
      <c r="C14019" s="309"/>
      <c r="I14019" s="309"/>
      <c r="J14019" s="309"/>
    </row>
    <row r="14020">
      <c r="B14020" s="309"/>
      <c r="C14020" s="309"/>
      <c r="I14020" s="309"/>
      <c r="J14020" s="309"/>
    </row>
    <row r="14021">
      <c r="B14021" s="309"/>
      <c r="C14021" s="309"/>
      <c r="I14021" s="309"/>
      <c r="J14021" s="309"/>
    </row>
    <row r="14022">
      <c r="B14022" s="309"/>
      <c r="C14022" s="309"/>
      <c r="I14022" s="309"/>
      <c r="J14022" s="309"/>
    </row>
    <row r="14023">
      <c r="B14023" s="309"/>
      <c r="C14023" s="309"/>
      <c r="I14023" s="309"/>
      <c r="J14023" s="309"/>
    </row>
    <row r="14024">
      <c r="B14024" s="309"/>
      <c r="C14024" s="309"/>
      <c r="I14024" s="309"/>
      <c r="J14024" s="309"/>
    </row>
    <row r="14025">
      <c r="B14025" s="309"/>
      <c r="C14025" s="309"/>
      <c r="I14025" s="309"/>
      <c r="J14025" s="309"/>
    </row>
    <row r="14026">
      <c r="B14026" s="309"/>
      <c r="C14026" s="309"/>
      <c r="I14026" s="309"/>
      <c r="J14026" s="309"/>
    </row>
    <row r="14027">
      <c r="B14027" s="309"/>
      <c r="C14027" s="309"/>
      <c r="I14027" s="309"/>
      <c r="J14027" s="309"/>
    </row>
    <row r="14028">
      <c r="B14028" s="309"/>
      <c r="C14028" s="309"/>
      <c r="I14028" s="309"/>
      <c r="J14028" s="309"/>
    </row>
    <row r="14029">
      <c r="B14029" s="309"/>
      <c r="C14029" s="309"/>
      <c r="I14029" s="309"/>
      <c r="J14029" s="309"/>
    </row>
    <row r="14030">
      <c r="B14030" s="309"/>
      <c r="C14030" s="309"/>
      <c r="I14030" s="309"/>
      <c r="J14030" s="309"/>
    </row>
    <row r="14031">
      <c r="B14031" s="309"/>
      <c r="C14031" s="309"/>
      <c r="I14031" s="309"/>
      <c r="J14031" s="309"/>
    </row>
    <row r="14032">
      <c r="B14032" s="309"/>
      <c r="C14032" s="309"/>
      <c r="I14032" s="309"/>
      <c r="J14032" s="309"/>
    </row>
    <row r="14033">
      <c r="B14033" s="309"/>
      <c r="C14033" s="309"/>
      <c r="I14033" s="309"/>
      <c r="J14033" s="309"/>
    </row>
    <row r="14034">
      <c r="B14034" s="309"/>
      <c r="C14034" s="309"/>
      <c r="I14034" s="309"/>
      <c r="J14034" s="309"/>
    </row>
    <row r="14035">
      <c r="B14035" s="309"/>
      <c r="C14035" s="309"/>
      <c r="I14035" s="309"/>
      <c r="J14035" s="309"/>
    </row>
    <row r="14036">
      <c r="B14036" s="309"/>
      <c r="C14036" s="309"/>
      <c r="I14036" s="309"/>
      <c r="J14036" s="309"/>
    </row>
    <row r="14037">
      <c r="B14037" s="309"/>
      <c r="C14037" s="309"/>
      <c r="I14037" s="309"/>
      <c r="J14037" s="309"/>
    </row>
    <row r="14038">
      <c r="B14038" s="309"/>
      <c r="C14038" s="309"/>
      <c r="I14038" s="309"/>
      <c r="J14038" s="309"/>
    </row>
    <row r="14039">
      <c r="B14039" s="309"/>
      <c r="C14039" s="309"/>
      <c r="I14039" s="309"/>
      <c r="J14039" s="309"/>
    </row>
    <row r="14040">
      <c r="B14040" s="309"/>
      <c r="C14040" s="309"/>
      <c r="I14040" s="309"/>
      <c r="J14040" s="309"/>
    </row>
    <row r="14041">
      <c r="B14041" s="309"/>
      <c r="C14041" s="309"/>
      <c r="I14041" s="309"/>
      <c r="J14041" s="309"/>
    </row>
    <row r="14042">
      <c r="B14042" s="309"/>
      <c r="C14042" s="309"/>
      <c r="I14042" s="309"/>
      <c r="J14042" s="309"/>
    </row>
    <row r="14043">
      <c r="B14043" s="309"/>
      <c r="C14043" s="309"/>
      <c r="I14043" s="309"/>
      <c r="J14043" s="309"/>
    </row>
    <row r="14044">
      <c r="B14044" s="309"/>
      <c r="C14044" s="309"/>
      <c r="I14044" s="309"/>
      <c r="J14044" s="309"/>
    </row>
    <row r="14045">
      <c r="B14045" s="309"/>
      <c r="C14045" s="309"/>
      <c r="I14045" s="309"/>
      <c r="J14045" s="309"/>
    </row>
    <row r="14046">
      <c r="B14046" s="309"/>
      <c r="C14046" s="309"/>
      <c r="I14046" s="309"/>
      <c r="J14046" s="309"/>
    </row>
    <row r="14047">
      <c r="B14047" s="309"/>
      <c r="C14047" s="309"/>
      <c r="I14047" s="309"/>
      <c r="J14047" s="309"/>
    </row>
    <row r="14048">
      <c r="B14048" s="309"/>
      <c r="C14048" s="309"/>
      <c r="I14048" s="309"/>
      <c r="J14048" s="309"/>
    </row>
    <row r="14049">
      <c r="B14049" s="309"/>
      <c r="C14049" s="309"/>
      <c r="I14049" s="309"/>
      <c r="J14049" s="309"/>
    </row>
    <row r="14050">
      <c r="B14050" s="309"/>
      <c r="C14050" s="309"/>
      <c r="I14050" s="309"/>
      <c r="J14050" s="309"/>
    </row>
    <row r="14051">
      <c r="B14051" s="309"/>
      <c r="C14051" s="309"/>
      <c r="I14051" s="309"/>
      <c r="J14051" s="309"/>
    </row>
    <row r="14052">
      <c r="B14052" s="309"/>
      <c r="C14052" s="309"/>
      <c r="I14052" s="309"/>
      <c r="J14052" s="309"/>
    </row>
    <row r="14053">
      <c r="B14053" s="309"/>
      <c r="C14053" s="309"/>
      <c r="I14053" s="309"/>
      <c r="J14053" s="309"/>
    </row>
    <row r="14054">
      <c r="B14054" s="309"/>
      <c r="C14054" s="309"/>
      <c r="I14054" s="309"/>
      <c r="J14054" s="309"/>
    </row>
    <row r="14055">
      <c r="B14055" s="309"/>
      <c r="C14055" s="309"/>
      <c r="I14055" s="309"/>
      <c r="J14055" s="309"/>
    </row>
    <row r="14056">
      <c r="B14056" s="309"/>
      <c r="C14056" s="309"/>
      <c r="I14056" s="309"/>
      <c r="J14056" s="309"/>
    </row>
    <row r="14057">
      <c r="B14057" s="309"/>
      <c r="C14057" s="309"/>
      <c r="I14057" s="309"/>
      <c r="J14057" s="309"/>
    </row>
    <row r="14058">
      <c r="B14058" s="309"/>
      <c r="C14058" s="309"/>
      <c r="I14058" s="309"/>
      <c r="J14058" s="309"/>
    </row>
    <row r="14059">
      <c r="B14059" s="309"/>
      <c r="C14059" s="309"/>
      <c r="I14059" s="309"/>
      <c r="J14059" s="309"/>
    </row>
    <row r="14060">
      <c r="B14060" s="309"/>
      <c r="C14060" s="309"/>
      <c r="I14060" s="309"/>
      <c r="J14060" s="309"/>
    </row>
    <row r="14061">
      <c r="B14061" s="309"/>
      <c r="C14061" s="309"/>
      <c r="I14061" s="309"/>
      <c r="J14061" s="309"/>
    </row>
    <row r="14062">
      <c r="B14062" s="309"/>
      <c r="C14062" s="309"/>
      <c r="I14062" s="309"/>
      <c r="J14062" s="309"/>
    </row>
    <row r="14063">
      <c r="B14063" s="309"/>
      <c r="C14063" s="309"/>
      <c r="I14063" s="309"/>
      <c r="J14063" s="309"/>
    </row>
    <row r="14064">
      <c r="B14064" s="309"/>
      <c r="C14064" s="309"/>
      <c r="I14064" s="309"/>
      <c r="J14064" s="309"/>
    </row>
    <row r="14065">
      <c r="B14065" s="309"/>
      <c r="C14065" s="309"/>
      <c r="I14065" s="309"/>
      <c r="J14065" s="309"/>
    </row>
    <row r="14066">
      <c r="B14066" s="309"/>
      <c r="C14066" s="309"/>
      <c r="I14066" s="309"/>
      <c r="J14066" s="309"/>
    </row>
    <row r="14067">
      <c r="B14067" s="309"/>
      <c r="C14067" s="309"/>
      <c r="I14067" s="309"/>
      <c r="J14067" s="309"/>
    </row>
    <row r="14068">
      <c r="B14068" s="309"/>
      <c r="C14068" s="309"/>
      <c r="I14068" s="309"/>
      <c r="J14068" s="309"/>
    </row>
    <row r="14069">
      <c r="B14069" s="309"/>
      <c r="C14069" s="309"/>
      <c r="I14069" s="309"/>
      <c r="J14069" s="309"/>
    </row>
    <row r="14070">
      <c r="B14070" s="309"/>
      <c r="C14070" s="309"/>
      <c r="I14070" s="309"/>
      <c r="J14070" s="309"/>
    </row>
    <row r="14071">
      <c r="B14071" s="309"/>
      <c r="C14071" s="309"/>
      <c r="I14071" s="309"/>
      <c r="J14071" s="309"/>
    </row>
    <row r="14072">
      <c r="B14072" s="309"/>
      <c r="C14072" s="309"/>
      <c r="I14072" s="309"/>
      <c r="J14072" s="309"/>
    </row>
    <row r="14073">
      <c r="B14073" s="309"/>
      <c r="C14073" s="309"/>
      <c r="I14073" s="309"/>
      <c r="J14073" s="309"/>
    </row>
    <row r="14074">
      <c r="B14074" s="309"/>
      <c r="C14074" s="309"/>
      <c r="I14074" s="309"/>
      <c r="J14074" s="309"/>
    </row>
    <row r="14075">
      <c r="B14075" s="309"/>
      <c r="C14075" s="309"/>
      <c r="I14075" s="309"/>
      <c r="J14075" s="309"/>
    </row>
    <row r="14076">
      <c r="B14076" s="309"/>
      <c r="C14076" s="309"/>
      <c r="I14076" s="309"/>
      <c r="J14076" s="309"/>
    </row>
    <row r="14077">
      <c r="B14077" s="309"/>
      <c r="C14077" s="309"/>
      <c r="I14077" s="309"/>
      <c r="J14077" s="309"/>
    </row>
    <row r="14078">
      <c r="B14078" s="309"/>
      <c r="C14078" s="309"/>
      <c r="I14078" s="309"/>
      <c r="J14078" s="309"/>
    </row>
    <row r="14079">
      <c r="B14079" s="309"/>
      <c r="C14079" s="309"/>
      <c r="I14079" s="309"/>
      <c r="J14079" s="309"/>
    </row>
    <row r="14080">
      <c r="B14080" s="309"/>
      <c r="C14080" s="309"/>
      <c r="I14080" s="309"/>
      <c r="J14080" s="309"/>
    </row>
    <row r="14081">
      <c r="B14081" s="309"/>
      <c r="C14081" s="309"/>
      <c r="I14081" s="309"/>
      <c r="J14081" s="309"/>
    </row>
    <row r="14082">
      <c r="B14082" s="309"/>
      <c r="C14082" s="309"/>
      <c r="I14082" s="309"/>
      <c r="J14082" s="309"/>
    </row>
    <row r="14083">
      <c r="B14083" s="309"/>
      <c r="C14083" s="309"/>
      <c r="I14083" s="309"/>
      <c r="J14083" s="309"/>
    </row>
    <row r="14084">
      <c r="B14084" s="309"/>
      <c r="C14084" s="309"/>
      <c r="I14084" s="309"/>
      <c r="J14084" s="309"/>
    </row>
    <row r="14085">
      <c r="B14085" s="309"/>
      <c r="C14085" s="309"/>
      <c r="I14085" s="309"/>
      <c r="J14085" s="309"/>
    </row>
    <row r="14086">
      <c r="B14086" s="309"/>
      <c r="C14086" s="309"/>
      <c r="I14086" s="309"/>
      <c r="J14086" s="309"/>
    </row>
    <row r="14087">
      <c r="B14087" s="309"/>
      <c r="C14087" s="309"/>
      <c r="I14087" s="309"/>
      <c r="J14087" s="309"/>
    </row>
    <row r="14088">
      <c r="B14088" s="309"/>
      <c r="C14088" s="309"/>
      <c r="I14088" s="309"/>
      <c r="J14088" s="309"/>
    </row>
    <row r="14089">
      <c r="B14089" s="309"/>
      <c r="C14089" s="309"/>
      <c r="I14089" s="309"/>
      <c r="J14089" s="309"/>
    </row>
    <row r="14090">
      <c r="B14090" s="309"/>
      <c r="C14090" s="309"/>
      <c r="I14090" s="309"/>
      <c r="J14090" s="309"/>
    </row>
    <row r="14091">
      <c r="B14091" s="309"/>
      <c r="C14091" s="309"/>
      <c r="I14091" s="309"/>
      <c r="J14091" s="309"/>
    </row>
    <row r="14092">
      <c r="B14092" s="309"/>
      <c r="C14092" s="309"/>
      <c r="I14092" s="309"/>
      <c r="J14092" s="309"/>
    </row>
    <row r="14093">
      <c r="B14093" s="309"/>
      <c r="C14093" s="309"/>
      <c r="I14093" s="309"/>
      <c r="J14093" s="309"/>
    </row>
    <row r="14094">
      <c r="B14094" s="309"/>
      <c r="C14094" s="309"/>
      <c r="I14094" s="309"/>
      <c r="J14094" s="309"/>
    </row>
    <row r="14095">
      <c r="B14095" s="309"/>
      <c r="C14095" s="309"/>
      <c r="I14095" s="309"/>
      <c r="J14095" s="309"/>
    </row>
    <row r="14096">
      <c r="B14096" s="309"/>
      <c r="C14096" s="309"/>
      <c r="I14096" s="309"/>
      <c r="J14096" s="309"/>
    </row>
    <row r="14097">
      <c r="B14097" s="309"/>
      <c r="C14097" s="309"/>
      <c r="I14097" s="309"/>
      <c r="J14097" s="309"/>
    </row>
    <row r="14098">
      <c r="B14098" s="309"/>
      <c r="C14098" s="309"/>
      <c r="I14098" s="309"/>
      <c r="J14098" s="309"/>
    </row>
    <row r="14099">
      <c r="B14099" s="309"/>
      <c r="C14099" s="309"/>
      <c r="I14099" s="309"/>
      <c r="J14099" s="309"/>
    </row>
    <row r="14100">
      <c r="B14100" s="309"/>
      <c r="C14100" s="309"/>
      <c r="I14100" s="309"/>
      <c r="J14100" s="309"/>
    </row>
    <row r="14101">
      <c r="B14101" s="309"/>
      <c r="C14101" s="309"/>
      <c r="I14101" s="309"/>
      <c r="J14101" s="309"/>
    </row>
    <row r="14102">
      <c r="B14102" s="309"/>
      <c r="C14102" s="309"/>
      <c r="I14102" s="309"/>
      <c r="J14102" s="309"/>
    </row>
    <row r="14103">
      <c r="B14103" s="309"/>
      <c r="C14103" s="309"/>
      <c r="I14103" s="309"/>
      <c r="J14103" s="309"/>
    </row>
    <row r="14104">
      <c r="B14104" s="309"/>
      <c r="C14104" s="309"/>
      <c r="I14104" s="309"/>
      <c r="J14104" s="309"/>
    </row>
    <row r="14105">
      <c r="B14105" s="309"/>
      <c r="C14105" s="309"/>
      <c r="I14105" s="309"/>
      <c r="J14105" s="309"/>
    </row>
    <row r="14106">
      <c r="B14106" s="309"/>
      <c r="C14106" s="309"/>
      <c r="I14106" s="309"/>
      <c r="J14106" s="309"/>
    </row>
    <row r="14107">
      <c r="B14107" s="309"/>
      <c r="C14107" s="309"/>
      <c r="I14107" s="309"/>
      <c r="J14107" s="309"/>
    </row>
    <row r="14108">
      <c r="B14108" s="309"/>
      <c r="C14108" s="309"/>
      <c r="I14108" s="309"/>
      <c r="J14108" s="309"/>
    </row>
    <row r="14109">
      <c r="B14109" s="309"/>
      <c r="C14109" s="309"/>
      <c r="I14109" s="309"/>
      <c r="J14109" s="309"/>
    </row>
    <row r="14110">
      <c r="B14110" s="309"/>
      <c r="C14110" s="309"/>
      <c r="I14110" s="309"/>
      <c r="J14110" s="309"/>
    </row>
    <row r="14111">
      <c r="B14111" s="309"/>
      <c r="C14111" s="309"/>
      <c r="I14111" s="309"/>
      <c r="J14111" s="309"/>
    </row>
    <row r="14112">
      <c r="B14112" s="309"/>
      <c r="C14112" s="309"/>
      <c r="I14112" s="309"/>
      <c r="J14112" s="309"/>
    </row>
    <row r="14113">
      <c r="B14113" s="309"/>
      <c r="C14113" s="309"/>
      <c r="I14113" s="309"/>
      <c r="J14113" s="309"/>
    </row>
    <row r="14114">
      <c r="B14114" s="309"/>
      <c r="C14114" s="309"/>
      <c r="I14114" s="309"/>
      <c r="J14114" s="309"/>
    </row>
    <row r="14115">
      <c r="B14115" s="309"/>
      <c r="C14115" s="309"/>
      <c r="I14115" s="309"/>
      <c r="J14115" s="309"/>
    </row>
    <row r="14116">
      <c r="B14116" s="309"/>
      <c r="C14116" s="309"/>
      <c r="I14116" s="309"/>
      <c r="J14116" s="309"/>
    </row>
    <row r="14117">
      <c r="B14117" s="309"/>
      <c r="C14117" s="309"/>
      <c r="I14117" s="309"/>
      <c r="J14117" s="309"/>
    </row>
    <row r="14118">
      <c r="B14118" s="309"/>
      <c r="C14118" s="309"/>
      <c r="I14118" s="309"/>
      <c r="J14118" s="309"/>
    </row>
    <row r="14119">
      <c r="B14119" s="309"/>
      <c r="C14119" s="309"/>
      <c r="I14119" s="309"/>
      <c r="J14119" s="309"/>
    </row>
    <row r="14120">
      <c r="B14120" s="309"/>
      <c r="C14120" s="309"/>
      <c r="I14120" s="309"/>
      <c r="J14120" s="309"/>
    </row>
    <row r="14121">
      <c r="B14121" s="309"/>
      <c r="C14121" s="309"/>
      <c r="I14121" s="309"/>
      <c r="J14121" s="309"/>
    </row>
    <row r="14122">
      <c r="B14122" s="309"/>
      <c r="C14122" s="309"/>
      <c r="I14122" s="309"/>
      <c r="J14122" s="309"/>
    </row>
    <row r="14123">
      <c r="B14123" s="309"/>
      <c r="C14123" s="309"/>
      <c r="I14123" s="309"/>
      <c r="J14123" s="309"/>
    </row>
    <row r="14124">
      <c r="B14124" s="309"/>
      <c r="C14124" s="309"/>
      <c r="I14124" s="309"/>
      <c r="J14124" s="309"/>
    </row>
    <row r="14125">
      <c r="B14125" s="309"/>
      <c r="C14125" s="309"/>
      <c r="I14125" s="309"/>
      <c r="J14125" s="309"/>
    </row>
    <row r="14126">
      <c r="B14126" s="309"/>
      <c r="C14126" s="309"/>
      <c r="I14126" s="309"/>
      <c r="J14126" s="309"/>
    </row>
    <row r="14127">
      <c r="B14127" s="309"/>
      <c r="C14127" s="309"/>
      <c r="I14127" s="309"/>
      <c r="J14127" s="309"/>
    </row>
    <row r="14128">
      <c r="B14128" s="309"/>
      <c r="C14128" s="309"/>
      <c r="I14128" s="309"/>
      <c r="J14128" s="309"/>
    </row>
    <row r="14129">
      <c r="B14129" s="309"/>
      <c r="C14129" s="309"/>
      <c r="I14129" s="309"/>
      <c r="J14129" s="309"/>
    </row>
    <row r="14130">
      <c r="B14130" s="309"/>
      <c r="C14130" s="309"/>
      <c r="I14130" s="309"/>
      <c r="J14130" s="309"/>
    </row>
    <row r="14131">
      <c r="B14131" s="309"/>
      <c r="C14131" s="309"/>
      <c r="I14131" s="309"/>
      <c r="J14131" s="309"/>
    </row>
    <row r="14132">
      <c r="B14132" s="309"/>
      <c r="C14132" s="309"/>
      <c r="I14132" s="309"/>
      <c r="J14132" s="309"/>
    </row>
    <row r="14133">
      <c r="B14133" s="309"/>
      <c r="C14133" s="309"/>
      <c r="I14133" s="309"/>
      <c r="J14133" s="309"/>
    </row>
    <row r="14134">
      <c r="B14134" s="309"/>
      <c r="C14134" s="309"/>
      <c r="I14134" s="309"/>
      <c r="J14134" s="309"/>
    </row>
    <row r="14135">
      <c r="B14135" s="309"/>
      <c r="C14135" s="309"/>
      <c r="I14135" s="309"/>
      <c r="J14135" s="309"/>
    </row>
    <row r="14136">
      <c r="B14136" s="309"/>
      <c r="C14136" s="309"/>
      <c r="I14136" s="309"/>
      <c r="J14136" s="309"/>
    </row>
    <row r="14137">
      <c r="B14137" s="309"/>
      <c r="C14137" s="309"/>
      <c r="I14137" s="309"/>
      <c r="J14137" s="309"/>
    </row>
    <row r="14138">
      <c r="B14138" s="309"/>
      <c r="C14138" s="309"/>
      <c r="I14138" s="309"/>
      <c r="J14138" s="309"/>
    </row>
    <row r="14139">
      <c r="B14139" s="309"/>
      <c r="C14139" s="309"/>
      <c r="I14139" s="309"/>
      <c r="J14139" s="309"/>
    </row>
    <row r="14140">
      <c r="B14140" s="309"/>
      <c r="C14140" s="309"/>
      <c r="I14140" s="309"/>
      <c r="J14140" s="309"/>
    </row>
    <row r="14141">
      <c r="B14141" s="309"/>
      <c r="C14141" s="309"/>
      <c r="I14141" s="309"/>
      <c r="J14141" s="309"/>
    </row>
    <row r="14142">
      <c r="B14142" s="309"/>
      <c r="C14142" s="309"/>
      <c r="I14142" s="309"/>
      <c r="J14142" s="309"/>
    </row>
    <row r="14143">
      <c r="B14143" s="309"/>
      <c r="C14143" s="309"/>
      <c r="I14143" s="309"/>
      <c r="J14143" s="309"/>
    </row>
    <row r="14144">
      <c r="B14144" s="309"/>
      <c r="C14144" s="309"/>
      <c r="I14144" s="309"/>
      <c r="J14144" s="309"/>
    </row>
    <row r="14145">
      <c r="B14145" s="309"/>
      <c r="C14145" s="309"/>
      <c r="I14145" s="309"/>
      <c r="J14145" s="309"/>
    </row>
    <row r="14146">
      <c r="B14146" s="309"/>
      <c r="C14146" s="309"/>
      <c r="I14146" s="309"/>
      <c r="J14146" s="309"/>
    </row>
    <row r="14147">
      <c r="B14147" s="309"/>
      <c r="C14147" s="309"/>
      <c r="I14147" s="309"/>
      <c r="J14147" s="309"/>
    </row>
    <row r="14148">
      <c r="B14148" s="309"/>
      <c r="C14148" s="309"/>
      <c r="I14148" s="309"/>
      <c r="J14148" s="309"/>
    </row>
    <row r="14149">
      <c r="B14149" s="309"/>
      <c r="C14149" s="309"/>
      <c r="I14149" s="309"/>
      <c r="J14149" s="309"/>
    </row>
    <row r="14150">
      <c r="B14150" s="309"/>
      <c r="C14150" s="309"/>
      <c r="I14150" s="309"/>
      <c r="J14150" s="309"/>
    </row>
    <row r="14151">
      <c r="B14151" s="309"/>
      <c r="C14151" s="309"/>
      <c r="I14151" s="309"/>
      <c r="J14151" s="309"/>
    </row>
    <row r="14152">
      <c r="B14152" s="309"/>
      <c r="C14152" s="309"/>
      <c r="I14152" s="309"/>
      <c r="J14152" s="309"/>
    </row>
    <row r="14153">
      <c r="B14153" s="309"/>
      <c r="C14153" s="309"/>
      <c r="I14153" s="309"/>
      <c r="J14153" s="309"/>
    </row>
    <row r="14154">
      <c r="B14154" s="309"/>
      <c r="C14154" s="309"/>
      <c r="I14154" s="309"/>
      <c r="J14154" s="309"/>
    </row>
    <row r="14155">
      <c r="B14155" s="309"/>
      <c r="C14155" s="309"/>
      <c r="I14155" s="309"/>
      <c r="J14155" s="309"/>
    </row>
    <row r="14156">
      <c r="B14156" s="309"/>
      <c r="C14156" s="309"/>
      <c r="I14156" s="309"/>
      <c r="J14156" s="309"/>
    </row>
    <row r="14157">
      <c r="B14157" s="309"/>
      <c r="C14157" s="309"/>
      <c r="I14157" s="309"/>
      <c r="J14157" s="309"/>
    </row>
    <row r="14158">
      <c r="B14158" s="309"/>
      <c r="C14158" s="309"/>
      <c r="I14158" s="309"/>
      <c r="J14158" s="309"/>
    </row>
    <row r="14159">
      <c r="B14159" s="309"/>
      <c r="C14159" s="309"/>
      <c r="I14159" s="309"/>
      <c r="J14159" s="309"/>
    </row>
    <row r="14160">
      <c r="B14160" s="309"/>
      <c r="C14160" s="309"/>
      <c r="I14160" s="309"/>
      <c r="J14160" s="309"/>
    </row>
    <row r="14161">
      <c r="B14161" s="309"/>
      <c r="C14161" s="309"/>
      <c r="I14161" s="309"/>
      <c r="J14161" s="309"/>
    </row>
    <row r="14162">
      <c r="B14162" s="309"/>
      <c r="C14162" s="309"/>
      <c r="I14162" s="309"/>
      <c r="J14162" s="309"/>
    </row>
    <row r="14163">
      <c r="B14163" s="309"/>
      <c r="C14163" s="309"/>
      <c r="I14163" s="309"/>
      <c r="J14163" s="309"/>
    </row>
    <row r="14164">
      <c r="B14164" s="309"/>
      <c r="C14164" s="309"/>
      <c r="I14164" s="309"/>
      <c r="J14164" s="309"/>
    </row>
    <row r="14165">
      <c r="B14165" s="309"/>
      <c r="C14165" s="309"/>
      <c r="I14165" s="309"/>
      <c r="J14165" s="309"/>
    </row>
    <row r="14166">
      <c r="B14166" s="309"/>
      <c r="C14166" s="309"/>
      <c r="I14166" s="309"/>
      <c r="J14166" s="309"/>
    </row>
    <row r="14167">
      <c r="B14167" s="309"/>
      <c r="C14167" s="309"/>
      <c r="I14167" s="309"/>
      <c r="J14167" s="309"/>
    </row>
    <row r="14168">
      <c r="B14168" s="309"/>
      <c r="C14168" s="309"/>
      <c r="I14168" s="309"/>
      <c r="J14168" s="309"/>
    </row>
    <row r="14169">
      <c r="B14169" s="309"/>
      <c r="C14169" s="309"/>
      <c r="I14169" s="309"/>
      <c r="J14169" s="309"/>
    </row>
    <row r="14170">
      <c r="B14170" s="309"/>
      <c r="C14170" s="309"/>
      <c r="I14170" s="309"/>
      <c r="J14170" s="309"/>
    </row>
    <row r="14171">
      <c r="B14171" s="309"/>
      <c r="C14171" s="309"/>
      <c r="I14171" s="309"/>
      <c r="J14171" s="309"/>
    </row>
    <row r="14172">
      <c r="B14172" s="309"/>
      <c r="C14172" s="309"/>
      <c r="I14172" s="309"/>
      <c r="J14172" s="309"/>
    </row>
    <row r="14173">
      <c r="B14173" s="309"/>
      <c r="C14173" s="309"/>
      <c r="I14173" s="309"/>
      <c r="J14173" s="309"/>
    </row>
    <row r="14174">
      <c r="B14174" s="309"/>
      <c r="C14174" s="309"/>
      <c r="I14174" s="309"/>
      <c r="J14174" s="309"/>
    </row>
    <row r="14175">
      <c r="B14175" s="309"/>
      <c r="C14175" s="309"/>
      <c r="I14175" s="309"/>
      <c r="J14175" s="309"/>
    </row>
    <row r="14176">
      <c r="B14176" s="309"/>
      <c r="C14176" s="309"/>
      <c r="I14176" s="309"/>
      <c r="J14176" s="309"/>
    </row>
    <row r="14177">
      <c r="B14177" s="309"/>
      <c r="C14177" s="309"/>
      <c r="I14177" s="309"/>
      <c r="J14177" s="309"/>
    </row>
    <row r="14178">
      <c r="B14178" s="309"/>
      <c r="C14178" s="309"/>
      <c r="I14178" s="309"/>
      <c r="J14178" s="309"/>
    </row>
    <row r="14179">
      <c r="B14179" s="309"/>
      <c r="C14179" s="309"/>
      <c r="I14179" s="309"/>
      <c r="J14179" s="309"/>
    </row>
    <row r="14180">
      <c r="B14180" s="309"/>
      <c r="C14180" s="309"/>
      <c r="I14180" s="309"/>
      <c r="J14180" s="309"/>
    </row>
    <row r="14181">
      <c r="B14181" s="309"/>
      <c r="C14181" s="309"/>
      <c r="I14181" s="309"/>
      <c r="J14181" s="309"/>
    </row>
    <row r="14182">
      <c r="B14182" s="309"/>
      <c r="C14182" s="309"/>
      <c r="I14182" s="309"/>
      <c r="J14182" s="309"/>
    </row>
    <row r="14183">
      <c r="B14183" s="309"/>
      <c r="C14183" s="309"/>
      <c r="I14183" s="309"/>
      <c r="J14183" s="309"/>
    </row>
    <row r="14184">
      <c r="B14184" s="309"/>
      <c r="C14184" s="309"/>
      <c r="I14184" s="309"/>
      <c r="J14184" s="309"/>
    </row>
    <row r="14185">
      <c r="B14185" s="309"/>
      <c r="C14185" s="309"/>
      <c r="I14185" s="309"/>
      <c r="J14185" s="309"/>
    </row>
    <row r="14186">
      <c r="B14186" s="309"/>
      <c r="C14186" s="309"/>
      <c r="I14186" s="309"/>
      <c r="J14186" s="309"/>
    </row>
    <row r="14187">
      <c r="B14187" s="309"/>
      <c r="C14187" s="309"/>
      <c r="I14187" s="309"/>
      <c r="J14187" s="309"/>
    </row>
    <row r="14188">
      <c r="B14188" s="309"/>
      <c r="C14188" s="309"/>
      <c r="I14188" s="309"/>
      <c r="J14188" s="309"/>
    </row>
    <row r="14189">
      <c r="B14189" s="309"/>
      <c r="C14189" s="309"/>
      <c r="I14189" s="309"/>
      <c r="J14189" s="309"/>
    </row>
    <row r="14190">
      <c r="B14190" s="309"/>
      <c r="C14190" s="309"/>
      <c r="I14190" s="309"/>
      <c r="J14190" s="309"/>
    </row>
    <row r="14191">
      <c r="B14191" s="309"/>
      <c r="C14191" s="309"/>
      <c r="I14191" s="309"/>
      <c r="J14191" s="309"/>
    </row>
    <row r="14192">
      <c r="B14192" s="309"/>
      <c r="C14192" s="309"/>
      <c r="I14192" s="309"/>
      <c r="J14192" s="309"/>
    </row>
    <row r="14193">
      <c r="B14193" s="309"/>
      <c r="C14193" s="309"/>
      <c r="I14193" s="309"/>
      <c r="J14193" s="309"/>
    </row>
    <row r="14194">
      <c r="B14194" s="309"/>
      <c r="C14194" s="309"/>
      <c r="I14194" s="309"/>
      <c r="J14194" s="309"/>
    </row>
    <row r="14195">
      <c r="B14195" s="309"/>
      <c r="C14195" s="309"/>
      <c r="I14195" s="309"/>
      <c r="J14195" s="309"/>
    </row>
    <row r="14196">
      <c r="B14196" s="309"/>
      <c r="C14196" s="309"/>
      <c r="I14196" s="309"/>
      <c r="J14196" s="309"/>
    </row>
    <row r="14197">
      <c r="B14197" s="309"/>
      <c r="C14197" s="309"/>
      <c r="I14197" s="309"/>
      <c r="J14197" s="309"/>
    </row>
    <row r="14198">
      <c r="B14198" s="309"/>
      <c r="C14198" s="309"/>
      <c r="I14198" s="309"/>
      <c r="J14198" s="309"/>
    </row>
    <row r="14199">
      <c r="B14199" s="309"/>
      <c r="C14199" s="309"/>
      <c r="I14199" s="309"/>
      <c r="J14199" s="309"/>
    </row>
    <row r="14200">
      <c r="B14200" s="309"/>
      <c r="C14200" s="309"/>
      <c r="I14200" s="309"/>
      <c r="J14200" s="309"/>
    </row>
    <row r="14201">
      <c r="B14201" s="309"/>
      <c r="C14201" s="309"/>
      <c r="I14201" s="309"/>
      <c r="J14201" s="309"/>
    </row>
    <row r="14202">
      <c r="B14202" s="309"/>
      <c r="C14202" s="309"/>
      <c r="I14202" s="309"/>
      <c r="J14202" s="309"/>
    </row>
    <row r="14203">
      <c r="B14203" s="309"/>
      <c r="C14203" s="309"/>
      <c r="I14203" s="309"/>
      <c r="J14203" s="309"/>
    </row>
    <row r="14204">
      <c r="B14204" s="309"/>
      <c r="C14204" s="309"/>
      <c r="I14204" s="309"/>
      <c r="J14204" s="309"/>
    </row>
    <row r="14205">
      <c r="B14205" s="309"/>
      <c r="C14205" s="309"/>
      <c r="I14205" s="309"/>
      <c r="J14205" s="309"/>
    </row>
    <row r="14206">
      <c r="B14206" s="309"/>
      <c r="C14206" s="309"/>
      <c r="I14206" s="309"/>
      <c r="J14206" s="309"/>
    </row>
    <row r="14207">
      <c r="B14207" s="309"/>
      <c r="C14207" s="309"/>
      <c r="I14207" s="309"/>
      <c r="J14207" s="309"/>
    </row>
    <row r="14208">
      <c r="B14208" s="309"/>
      <c r="C14208" s="309"/>
      <c r="I14208" s="309"/>
      <c r="J14208" s="309"/>
    </row>
    <row r="14209">
      <c r="B14209" s="309"/>
      <c r="C14209" s="309"/>
      <c r="I14209" s="309"/>
      <c r="J14209" s="309"/>
    </row>
    <row r="14210">
      <c r="B14210" s="309"/>
      <c r="C14210" s="309"/>
      <c r="I14210" s="309"/>
      <c r="J14210" s="309"/>
    </row>
    <row r="14211">
      <c r="B14211" s="309"/>
      <c r="C14211" s="309"/>
      <c r="I14211" s="309"/>
      <c r="J14211" s="309"/>
    </row>
    <row r="14212">
      <c r="B14212" s="309"/>
      <c r="C14212" s="309"/>
      <c r="I14212" s="309"/>
      <c r="J14212" s="309"/>
    </row>
    <row r="14213">
      <c r="B14213" s="309"/>
      <c r="C14213" s="309"/>
      <c r="I14213" s="309"/>
      <c r="J14213" s="309"/>
    </row>
    <row r="14214">
      <c r="B14214" s="309"/>
      <c r="C14214" s="309"/>
      <c r="I14214" s="309"/>
      <c r="J14214" s="309"/>
    </row>
    <row r="14215">
      <c r="B14215" s="309"/>
      <c r="C14215" s="309"/>
      <c r="I14215" s="309"/>
      <c r="J14215" s="309"/>
    </row>
    <row r="14216">
      <c r="B14216" s="309"/>
      <c r="C14216" s="309"/>
      <c r="I14216" s="309"/>
      <c r="J14216" s="309"/>
    </row>
    <row r="14217">
      <c r="B14217" s="309"/>
      <c r="C14217" s="309"/>
      <c r="I14217" s="309"/>
      <c r="J14217" s="309"/>
    </row>
    <row r="14218">
      <c r="B14218" s="309"/>
      <c r="C14218" s="309"/>
      <c r="I14218" s="309"/>
      <c r="J14218" s="309"/>
    </row>
    <row r="14219">
      <c r="B14219" s="309"/>
      <c r="C14219" s="309"/>
      <c r="I14219" s="309"/>
      <c r="J14219" s="309"/>
    </row>
    <row r="14220">
      <c r="B14220" s="309"/>
      <c r="C14220" s="309"/>
      <c r="I14220" s="309"/>
      <c r="J14220" s="309"/>
    </row>
    <row r="14221">
      <c r="B14221" s="309"/>
      <c r="C14221" s="309"/>
      <c r="I14221" s="309"/>
      <c r="J14221" s="309"/>
    </row>
    <row r="14222">
      <c r="B14222" s="309"/>
      <c r="C14222" s="309"/>
      <c r="I14222" s="309"/>
      <c r="J14222" s="309"/>
    </row>
    <row r="14223">
      <c r="B14223" s="309"/>
      <c r="C14223" s="309"/>
      <c r="I14223" s="309"/>
      <c r="J14223" s="309"/>
    </row>
    <row r="14224">
      <c r="B14224" s="309"/>
      <c r="C14224" s="309"/>
      <c r="I14224" s="309"/>
      <c r="J14224" s="309"/>
    </row>
    <row r="14225">
      <c r="B14225" s="309"/>
      <c r="C14225" s="309"/>
      <c r="I14225" s="309"/>
      <c r="J14225" s="309"/>
    </row>
    <row r="14226">
      <c r="B14226" s="309"/>
      <c r="C14226" s="309"/>
      <c r="I14226" s="309"/>
      <c r="J14226" s="309"/>
    </row>
    <row r="14227">
      <c r="B14227" s="309"/>
      <c r="C14227" s="309"/>
      <c r="I14227" s="309"/>
      <c r="J14227" s="309"/>
    </row>
    <row r="14228">
      <c r="B14228" s="309"/>
      <c r="C14228" s="309"/>
      <c r="I14228" s="309"/>
      <c r="J14228" s="309"/>
    </row>
    <row r="14229">
      <c r="B14229" s="309"/>
      <c r="C14229" s="309"/>
      <c r="I14229" s="309"/>
      <c r="J14229" s="309"/>
    </row>
    <row r="14230">
      <c r="B14230" s="309"/>
      <c r="C14230" s="309"/>
      <c r="I14230" s="309"/>
      <c r="J14230" s="309"/>
    </row>
    <row r="14231">
      <c r="B14231" s="309"/>
      <c r="C14231" s="309"/>
      <c r="I14231" s="309"/>
      <c r="J14231" s="309"/>
    </row>
    <row r="14232">
      <c r="B14232" s="309"/>
      <c r="C14232" s="309"/>
      <c r="I14232" s="309"/>
      <c r="J14232" s="309"/>
    </row>
    <row r="14233">
      <c r="B14233" s="309"/>
      <c r="C14233" s="309"/>
      <c r="I14233" s="309"/>
      <c r="J14233" s="309"/>
    </row>
    <row r="14234">
      <c r="B14234" s="309"/>
      <c r="C14234" s="309"/>
      <c r="I14234" s="309"/>
      <c r="J14234" s="309"/>
    </row>
    <row r="14235">
      <c r="B14235" s="309"/>
      <c r="C14235" s="309"/>
      <c r="I14235" s="309"/>
      <c r="J14235" s="309"/>
    </row>
    <row r="14236">
      <c r="B14236" s="309"/>
      <c r="C14236" s="309"/>
      <c r="I14236" s="309"/>
      <c r="J14236" s="309"/>
    </row>
    <row r="14237">
      <c r="B14237" s="309"/>
      <c r="C14237" s="309"/>
      <c r="I14237" s="309"/>
      <c r="J14237" s="309"/>
    </row>
    <row r="14238">
      <c r="B14238" s="309"/>
      <c r="C14238" s="309"/>
      <c r="I14238" s="309"/>
      <c r="J14238" s="309"/>
    </row>
    <row r="14239">
      <c r="B14239" s="309"/>
      <c r="C14239" s="309"/>
      <c r="I14239" s="309"/>
      <c r="J14239" s="309"/>
    </row>
    <row r="14240">
      <c r="B14240" s="309"/>
      <c r="C14240" s="309"/>
      <c r="I14240" s="309"/>
      <c r="J14240" s="309"/>
    </row>
    <row r="14241">
      <c r="B14241" s="309"/>
      <c r="C14241" s="309"/>
      <c r="I14241" s="309"/>
      <c r="J14241" s="309"/>
    </row>
    <row r="14242">
      <c r="B14242" s="309"/>
      <c r="C14242" s="309"/>
      <c r="I14242" s="309"/>
      <c r="J14242" s="309"/>
    </row>
    <row r="14243">
      <c r="B14243" s="309"/>
      <c r="C14243" s="309"/>
      <c r="I14243" s="309"/>
      <c r="J14243" s="309"/>
    </row>
    <row r="14244">
      <c r="B14244" s="309"/>
      <c r="C14244" s="309"/>
      <c r="I14244" s="309"/>
      <c r="J14244" s="309"/>
    </row>
    <row r="14245">
      <c r="B14245" s="309"/>
      <c r="C14245" s="309"/>
      <c r="I14245" s="309"/>
      <c r="J14245" s="309"/>
    </row>
    <row r="14246">
      <c r="B14246" s="309"/>
      <c r="C14246" s="309"/>
      <c r="I14246" s="309"/>
      <c r="J14246" s="309"/>
    </row>
    <row r="14247">
      <c r="B14247" s="309"/>
      <c r="C14247" s="309"/>
      <c r="I14247" s="309"/>
      <c r="J14247" s="309"/>
    </row>
    <row r="14248">
      <c r="B14248" s="309"/>
      <c r="C14248" s="309"/>
      <c r="I14248" s="309"/>
      <c r="J14248" s="309"/>
    </row>
    <row r="14249">
      <c r="B14249" s="309"/>
      <c r="C14249" s="309"/>
      <c r="I14249" s="309"/>
      <c r="J14249" s="309"/>
    </row>
    <row r="14250">
      <c r="B14250" s="309"/>
      <c r="C14250" s="309"/>
      <c r="I14250" s="309"/>
      <c r="J14250" s="309"/>
    </row>
    <row r="14251">
      <c r="B14251" s="309"/>
      <c r="C14251" s="309"/>
      <c r="I14251" s="309"/>
      <c r="J14251" s="309"/>
    </row>
    <row r="14252">
      <c r="B14252" s="309"/>
      <c r="C14252" s="309"/>
      <c r="I14252" s="309"/>
      <c r="J14252" s="309"/>
    </row>
    <row r="14253">
      <c r="B14253" s="309"/>
      <c r="C14253" s="309"/>
      <c r="I14253" s="309"/>
      <c r="J14253" s="309"/>
    </row>
    <row r="14254">
      <c r="B14254" s="309"/>
      <c r="C14254" s="309"/>
      <c r="I14254" s="309"/>
      <c r="J14254" s="309"/>
    </row>
    <row r="14255">
      <c r="B14255" s="309"/>
      <c r="C14255" s="309"/>
      <c r="I14255" s="309"/>
      <c r="J14255" s="309"/>
    </row>
    <row r="14256">
      <c r="B14256" s="309"/>
      <c r="C14256" s="309"/>
      <c r="I14256" s="309"/>
      <c r="J14256" s="309"/>
    </row>
    <row r="14257">
      <c r="B14257" s="309"/>
      <c r="C14257" s="309"/>
      <c r="I14257" s="309"/>
      <c r="J14257" s="309"/>
    </row>
    <row r="14258">
      <c r="B14258" s="309"/>
      <c r="C14258" s="309"/>
      <c r="I14258" s="309"/>
      <c r="J14258" s="309"/>
    </row>
    <row r="14259">
      <c r="B14259" s="309"/>
      <c r="C14259" s="309"/>
      <c r="I14259" s="309"/>
      <c r="J14259" s="309"/>
    </row>
    <row r="14260">
      <c r="B14260" s="309"/>
      <c r="C14260" s="309"/>
      <c r="I14260" s="309"/>
      <c r="J14260" s="309"/>
    </row>
    <row r="14261">
      <c r="B14261" s="309"/>
      <c r="C14261" s="309"/>
      <c r="I14261" s="309"/>
      <c r="J14261" s="309"/>
    </row>
    <row r="14262">
      <c r="B14262" s="309"/>
      <c r="C14262" s="309"/>
      <c r="I14262" s="309"/>
      <c r="J14262" s="309"/>
    </row>
    <row r="14263">
      <c r="B14263" s="309"/>
      <c r="C14263" s="309"/>
      <c r="I14263" s="309"/>
      <c r="J14263" s="309"/>
    </row>
    <row r="14264">
      <c r="B14264" s="309"/>
      <c r="C14264" s="309"/>
      <c r="I14264" s="309"/>
      <c r="J14264" s="309"/>
    </row>
    <row r="14265">
      <c r="B14265" s="309"/>
      <c r="C14265" s="309"/>
      <c r="I14265" s="309"/>
      <c r="J14265" s="309"/>
    </row>
    <row r="14266">
      <c r="B14266" s="309"/>
      <c r="C14266" s="309"/>
      <c r="I14266" s="309"/>
      <c r="J14266" s="309"/>
    </row>
    <row r="14267">
      <c r="B14267" s="309"/>
      <c r="C14267" s="309"/>
      <c r="I14267" s="309"/>
      <c r="J14267" s="309"/>
    </row>
    <row r="14268">
      <c r="B14268" s="309"/>
      <c r="C14268" s="309"/>
      <c r="I14268" s="309"/>
      <c r="J14268" s="309"/>
    </row>
    <row r="14269">
      <c r="B14269" s="309"/>
      <c r="C14269" s="309"/>
      <c r="I14269" s="309"/>
      <c r="J14269" s="309"/>
    </row>
    <row r="14270">
      <c r="B14270" s="309"/>
      <c r="C14270" s="309"/>
      <c r="I14270" s="309"/>
      <c r="J14270" s="309"/>
    </row>
    <row r="14271">
      <c r="B14271" s="309"/>
      <c r="C14271" s="309"/>
      <c r="I14271" s="309"/>
      <c r="J14271" s="309"/>
    </row>
    <row r="14272">
      <c r="B14272" s="309"/>
      <c r="C14272" s="309"/>
      <c r="I14272" s="309"/>
      <c r="J14272" s="309"/>
    </row>
    <row r="14273">
      <c r="B14273" s="309"/>
      <c r="C14273" s="309"/>
      <c r="I14273" s="309"/>
      <c r="J14273" s="309"/>
    </row>
    <row r="14274">
      <c r="B14274" s="309"/>
      <c r="C14274" s="309"/>
      <c r="I14274" s="309"/>
      <c r="J14274" s="309"/>
    </row>
    <row r="14275">
      <c r="B14275" s="309"/>
      <c r="C14275" s="309"/>
      <c r="I14275" s="309"/>
      <c r="J14275" s="309"/>
    </row>
    <row r="14276">
      <c r="B14276" s="309"/>
      <c r="C14276" s="309"/>
      <c r="I14276" s="309"/>
      <c r="J14276" s="309"/>
    </row>
    <row r="14277">
      <c r="B14277" s="309"/>
      <c r="C14277" s="309"/>
      <c r="I14277" s="309"/>
      <c r="J14277" s="309"/>
    </row>
    <row r="14278">
      <c r="B14278" s="309"/>
      <c r="C14278" s="309"/>
      <c r="I14278" s="309"/>
      <c r="J14278" s="309"/>
    </row>
    <row r="14279">
      <c r="B14279" s="309"/>
      <c r="C14279" s="309"/>
      <c r="I14279" s="309"/>
      <c r="J14279" s="309"/>
    </row>
    <row r="14280">
      <c r="B14280" s="309"/>
      <c r="C14280" s="309"/>
      <c r="I14280" s="309"/>
      <c r="J14280" s="309"/>
    </row>
    <row r="14281">
      <c r="B14281" s="309"/>
      <c r="C14281" s="309"/>
      <c r="I14281" s="309"/>
      <c r="J14281" s="309"/>
    </row>
    <row r="14282">
      <c r="B14282" s="309"/>
      <c r="C14282" s="309"/>
      <c r="I14282" s="309"/>
      <c r="J14282" s="309"/>
    </row>
    <row r="14283">
      <c r="B14283" s="309"/>
      <c r="C14283" s="309"/>
      <c r="I14283" s="309"/>
      <c r="J14283" s="309"/>
    </row>
    <row r="14284">
      <c r="B14284" s="309"/>
      <c r="C14284" s="309"/>
      <c r="I14284" s="309"/>
      <c r="J14284" s="309"/>
    </row>
    <row r="14285">
      <c r="B14285" s="309"/>
      <c r="C14285" s="309"/>
      <c r="I14285" s="309"/>
      <c r="J14285" s="309"/>
    </row>
    <row r="14286">
      <c r="B14286" s="309"/>
      <c r="C14286" s="309"/>
      <c r="I14286" s="309"/>
      <c r="J14286" s="309"/>
    </row>
    <row r="14287">
      <c r="B14287" s="309"/>
      <c r="C14287" s="309"/>
      <c r="I14287" s="309"/>
      <c r="J14287" s="309"/>
    </row>
    <row r="14288">
      <c r="B14288" s="309"/>
      <c r="C14288" s="309"/>
      <c r="I14288" s="309"/>
      <c r="J14288" s="309"/>
    </row>
    <row r="14289">
      <c r="B14289" s="309"/>
      <c r="C14289" s="309"/>
      <c r="I14289" s="309"/>
      <c r="J14289" s="309"/>
    </row>
    <row r="14290">
      <c r="B14290" s="309"/>
      <c r="C14290" s="309"/>
      <c r="I14290" s="309"/>
      <c r="J14290" s="309"/>
    </row>
    <row r="14291">
      <c r="B14291" s="309"/>
      <c r="C14291" s="309"/>
      <c r="I14291" s="309"/>
      <c r="J14291" s="309"/>
    </row>
    <row r="14292">
      <c r="B14292" s="309"/>
      <c r="C14292" s="309"/>
      <c r="I14292" s="309"/>
      <c r="J14292" s="309"/>
    </row>
    <row r="14293">
      <c r="B14293" s="309"/>
      <c r="C14293" s="309"/>
      <c r="I14293" s="309"/>
      <c r="J14293" s="309"/>
    </row>
    <row r="14294">
      <c r="B14294" s="309"/>
      <c r="C14294" s="309"/>
      <c r="I14294" s="309"/>
      <c r="J14294" s="309"/>
    </row>
    <row r="14295">
      <c r="B14295" s="309"/>
      <c r="C14295" s="309"/>
      <c r="I14295" s="309"/>
      <c r="J14295" s="309"/>
    </row>
    <row r="14296">
      <c r="B14296" s="309"/>
      <c r="C14296" s="309"/>
      <c r="I14296" s="309"/>
      <c r="J14296" s="309"/>
    </row>
    <row r="14297">
      <c r="B14297" s="309"/>
      <c r="C14297" s="309"/>
      <c r="I14297" s="309"/>
      <c r="J14297" s="309"/>
    </row>
    <row r="14298">
      <c r="B14298" s="309"/>
      <c r="C14298" s="309"/>
      <c r="I14298" s="309"/>
      <c r="J14298" s="309"/>
    </row>
    <row r="14299">
      <c r="B14299" s="309"/>
      <c r="C14299" s="309"/>
      <c r="I14299" s="309"/>
      <c r="J14299" s="309"/>
    </row>
    <row r="14300">
      <c r="B14300" s="309"/>
      <c r="C14300" s="309"/>
      <c r="I14300" s="309"/>
      <c r="J14300" s="309"/>
    </row>
    <row r="14301">
      <c r="B14301" s="309"/>
      <c r="C14301" s="309"/>
      <c r="I14301" s="309"/>
      <c r="J14301" s="309"/>
    </row>
    <row r="14302">
      <c r="B14302" s="309"/>
      <c r="C14302" s="309"/>
      <c r="I14302" s="309"/>
      <c r="J14302" s="309"/>
    </row>
    <row r="14303">
      <c r="B14303" s="309"/>
      <c r="C14303" s="309"/>
      <c r="I14303" s="309"/>
      <c r="J14303" s="309"/>
    </row>
    <row r="14304">
      <c r="B14304" s="309"/>
      <c r="C14304" s="309"/>
      <c r="I14304" s="309"/>
      <c r="J14304" s="309"/>
    </row>
    <row r="14305">
      <c r="B14305" s="309"/>
      <c r="C14305" s="309"/>
      <c r="I14305" s="309"/>
      <c r="J14305" s="309"/>
    </row>
    <row r="14306">
      <c r="B14306" s="309"/>
      <c r="C14306" s="309"/>
      <c r="I14306" s="309"/>
      <c r="J14306" s="309"/>
    </row>
    <row r="14307">
      <c r="B14307" s="309"/>
      <c r="C14307" s="309"/>
      <c r="I14307" s="309"/>
      <c r="J14307" s="309"/>
    </row>
    <row r="14308">
      <c r="B14308" s="309"/>
      <c r="C14308" s="309"/>
      <c r="I14308" s="309"/>
      <c r="J14308" s="309"/>
    </row>
    <row r="14309">
      <c r="B14309" s="309"/>
      <c r="C14309" s="309"/>
      <c r="I14309" s="309"/>
      <c r="J14309" s="309"/>
    </row>
    <row r="14310">
      <c r="B14310" s="309"/>
      <c r="C14310" s="309"/>
      <c r="I14310" s="309"/>
      <c r="J14310" s="309"/>
    </row>
    <row r="14311">
      <c r="B14311" s="309"/>
      <c r="C14311" s="309"/>
      <c r="I14311" s="309"/>
      <c r="J14311" s="309"/>
    </row>
    <row r="14312">
      <c r="B14312" s="309"/>
      <c r="C14312" s="309"/>
      <c r="I14312" s="309"/>
      <c r="J14312" s="309"/>
    </row>
    <row r="14313">
      <c r="B14313" s="309"/>
      <c r="C14313" s="309"/>
      <c r="I14313" s="309"/>
      <c r="J14313" s="309"/>
    </row>
    <row r="14314">
      <c r="B14314" s="309"/>
      <c r="C14314" s="309"/>
      <c r="I14314" s="309"/>
      <c r="J14314" s="309"/>
    </row>
    <row r="14315">
      <c r="B14315" s="309"/>
      <c r="C14315" s="309"/>
      <c r="I14315" s="309"/>
      <c r="J14315" s="309"/>
    </row>
    <row r="14316">
      <c r="B14316" s="309"/>
      <c r="C14316" s="309"/>
      <c r="I14316" s="309"/>
      <c r="J14316" s="309"/>
    </row>
    <row r="14317">
      <c r="B14317" s="309"/>
      <c r="C14317" s="309"/>
      <c r="I14317" s="309"/>
      <c r="J14317" s="309"/>
    </row>
    <row r="14318">
      <c r="B14318" s="309"/>
      <c r="C14318" s="309"/>
      <c r="I14318" s="309"/>
      <c r="J14318" s="309"/>
    </row>
    <row r="14319">
      <c r="B14319" s="309"/>
      <c r="C14319" s="309"/>
      <c r="I14319" s="309"/>
      <c r="J14319" s="309"/>
    </row>
    <row r="14320">
      <c r="B14320" s="309"/>
      <c r="C14320" s="309"/>
      <c r="I14320" s="309"/>
      <c r="J14320" s="309"/>
    </row>
    <row r="14321">
      <c r="B14321" s="309"/>
      <c r="C14321" s="309"/>
      <c r="I14321" s="309"/>
      <c r="J14321" s="309"/>
    </row>
    <row r="14322">
      <c r="B14322" s="309"/>
      <c r="C14322" s="309"/>
      <c r="I14322" s="309"/>
      <c r="J14322" s="309"/>
    </row>
    <row r="14323">
      <c r="B14323" s="309"/>
      <c r="C14323" s="309"/>
      <c r="I14323" s="309"/>
      <c r="J14323" s="309"/>
    </row>
    <row r="14324">
      <c r="B14324" s="309"/>
      <c r="C14324" s="309"/>
      <c r="I14324" s="309"/>
      <c r="J14324" s="309"/>
    </row>
    <row r="14325">
      <c r="B14325" s="309"/>
      <c r="C14325" s="309"/>
      <c r="I14325" s="309"/>
      <c r="J14325" s="309"/>
    </row>
    <row r="14326">
      <c r="B14326" s="309"/>
      <c r="C14326" s="309"/>
      <c r="I14326" s="309"/>
      <c r="J14326" s="309"/>
    </row>
    <row r="14327">
      <c r="B14327" s="309"/>
      <c r="C14327" s="309"/>
      <c r="I14327" s="309"/>
      <c r="J14327" s="309"/>
    </row>
    <row r="14328">
      <c r="B14328" s="309"/>
      <c r="C14328" s="309"/>
      <c r="I14328" s="309"/>
      <c r="J14328" s="309"/>
    </row>
    <row r="14329">
      <c r="B14329" s="309"/>
      <c r="C14329" s="309"/>
      <c r="I14329" s="309"/>
      <c r="J14329" s="309"/>
    </row>
    <row r="14330">
      <c r="B14330" s="309"/>
      <c r="C14330" s="309"/>
      <c r="I14330" s="309"/>
      <c r="J14330" s="309"/>
    </row>
    <row r="14331">
      <c r="B14331" s="309"/>
      <c r="C14331" s="309"/>
      <c r="I14331" s="309"/>
      <c r="J14331" s="309"/>
    </row>
    <row r="14332">
      <c r="B14332" s="309"/>
      <c r="C14332" s="309"/>
      <c r="I14332" s="309"/>
      <c r="J14332" s="309"/>
    </row>
    <row r="14333">
      <c r="B14333" s="309"/>
      <c r="C14333" s="309"/>
      <c r="I14333" s="309"/>
      <c r="J14333" s="309"/>
    </row>
    <row r="14334">
      <c r="B14334" s="309"/>
      <c r="C14334" s="309"/>
      <c r="I14334" s="309"/>
      <c r="J14334" s="309"/>
    </row>
    <row r="14335">
      <c r="B14335" s="309"/>
      <c r="C14335" s="309"/>
      <c r="I14335" s="309"/>
      <c r="J14335" s="309"/>
    </row>
    <row r="14336">
      <c r="B14336" s="309"/>
      <c r="C14336" s="309"/>
      <c r="I14336" s="309"/>
      <c r="J14336" s="309"/>
    </row>
    <row r="14337">
      <c r="B14337" s="309"/>
      <c r="C14337" s="309"/>
      <c r="I14337" s="309"/>
      <c r="J14337" s="309"/>
    </row>
    <row r="14338">
      <c r="B14338" s="309"/>
      <c r="C14338" s="309"/>
      <c r="I14338" s="309"/>
      <c r="J14338" s="309"/>
    </row>
    <row r="14339">
      <c r="B14339" s="309"/>
      <c r="C14339" s="309"/>
      <c r="I14339" s="309"/>
      <c r="J14339" s="309"/>
    </row>
    <row r="14340">
      <c r="B14340" s="309"/>
      <c r="C14340" s="309"/>
      <c r="I14340" s="309"/>
      <c r="J14340" s="309"/>
    </row>
    <row r="14341">
      <c r="B14341" s="309"/>
      <c r="C14341" s="309"/>
      <c r="I14341" s="309"/>
      <c r="J14341" s="309"/>
    </row>
    <row r="14342">
      <c r="B14342" s="309"/>
      <c r="C14342" s="309"/>
      <c r="I14342" s="309"/>
      <c r="J14342" s="309"/>
    </row>
    <row r="14343">
      <c r="B14343" s="309"/>
      <c r="C14343" s="309"/>
      <c r="I14343" s="309"/>
      <c r="J14343" s="309"/>
    </row>
    <row r="14344">
      <c r="B14344" s="309"/>
      <c r="C14344" s="309"/>
      <c r="I14344" s="309"/>
      <c r="J14344" s="309"/>
    </row>
    <row r="14345">
      <c r="B14345" s="309"/>
      <c r="C14345" s="309"/>
      <c r="I14345" s="309"/>
      <c r="J14345" s="309"/>
    </row>
    <row r="14346">
      <c r="B14346" s="309"/>
      <c r="C14346" s="309"/>
      <c r="I14346" s="309"/>
      <c r="J14346" s="309"/>
    </row>
    <row r="14347">
      <c r="B14347" s="309"/>
      <c r="C14347" s="309"/>
      <c r="I14347" s="309"/>
      <c r="J14347" s="309"/>
    </row>
    <row r="14348">
      <c r="B14348" s="309"/>
      <c r="C14348" s="309"/>
      <c r="I14348" s="309"/>
      <c r="J14348" s="309"/>
    </row>
    <row r="14349">
      <c r="B14349" s="309"/>
      <c r="C14349" s="309"/>
      <c r="I14349" s="309"/>
      <c r="J14349" s="309"/>
    </row>
    <row r="14350">
      <c r="B14350" s="309"/>
      <c r="C14350" s="309"/>
      <c r="I14350" s="309"/>
      <c r="J14350" s="309"/>
    </row>
    <row r="14351">
      <c r="B14351" s="309"/>
      <c r="C14351" s="309"/>
      <c r="I14351" s="309"/>
      <c r="J14351" s="309"/>
    </row>
    <row r="14352">
      <c r="B14352" s="309"/>
      <c r="C14352" s="309"/>
      <c r="I14352" s="309"/>
      <c r="J14352" s="309"/>
    </row>
    <row r="14353">
      <c r="B14353" s="309"/>
      <c r="C14353" s="309"/>
      <c r="I14353" s="309"/>
      <c r="J14353" s="309"/>
    </row>
    <row r="14354">
      <c r="B14354" s="309"/>
      <c r="C14354" s="309"/>
      <c r="I14354" s="309"/>
      <c r="J14354" s="309"/>
    </row>
    <row r="14355">
      <c r="B14355" s="309"/>
      <c r="C14355" s="309"/>
      <c r="I14355" s="309"/>
      <c r="J14355" s="309"/>
    </row>
    <row r="14356">
      <c r="B14356" s="309"/>
      <c r="C14356" s="309"/>
      <c r="I14356" s="309"/>
      <c r="J14356" s="309"/>
    </row>
    <row r="14357">
      <c r="B14357" s="309"/>
      <c r="C14357" s="309"/>
      <c r="I14357" s="309"/>
      <c r="J14357" s="309"/>
    </row>
    <row r="14358">
      <c r="B14358" s="309"/>
      <c r="C14358" s="309"/>
      <c r="I14358" s="309"/>
      <c r="J14358" s="309"/>
    </row>
    <row r="14359">
      <c r="B14359" s="309"/>
      <c r="C14359" s="309"/>
      <c r="I14359" s="309"/>
      <c r="J14359" s="309"/>
    </row>
    <row r="14360">
      <c r="B14360" s="309"/>
      <c r="C14360" s="309"/>
      <c r="I14360" s="309"/>
      <c r="J14360" s="309"/>
    </row>
    <row r="14361">
      <c r="B14361" s="309"/>
      <c r="C14361" s="309"/>
      <c r="I14361" s="309"/>
      <c r="J14361" s="309"/>
    </row>
    <row r="14362">
      <c r="B14362" s="309"/>
      <c r="C14362" s="309"/>
      <c r="I14362" s="309"/>
      <c r="J14362" s="309"/>
    </row>
    <row r="14363">
      <c r="B14363" s="309"/>
      <c r="C14363" s="309"/>
      <c r="I14363" s="309"/>
      <c r="J14363" s="309"/>
    </row>
    <row r="14364">
      <c r="B14364" s="309"/>
      <c r="C14364" s="309"/>
      <c r="I14364" s="309"/>
      <c r="J14364" s="309"/>
    </row>
    <row r="14365">
      <c r="B14365" s="309"/>
      <c r="C14365" s="309"/>
      <c r="I14365" s="309"/>
      <c r="J14365" s="309"/>
    </row>
    <row r="14366">
      <c r="B14366" s="309"/>
      <c r="C14366" s="309"/>
      <c r="I14366" s="309"/>
      <c r="J14366" s="309"/>
    </row>
    <row r="14367">
      <c r="B14367" s="309"/>
      <c r="C14367" s="309"/>
      <c r="I14367" s="309"/>
      <c r="J14367" s="309"/>
    </row>
    <row r="14368">
      <c r="B14368" s="309"/>
      <c r="C14368" s="309"/>
      <c r="I14368" s="309"/>
      <c r="J14368" s="309"/>
    </row>
    <row r="14369">
      <c r="B14369" s="309"/>
      <c r="C14369" s="309"/>
      <c r="I14369" s="309"/>
      <c r="J14369" s="309"/>
    </row>
    <row r="14370">
      <c r="B14370" s="309"/>
      <c r="C14370" s="309"/>
      <c r="I14370" s="309"/>
      <c r="J14370" s="309"/>
    </row>
    <row r="14371">
      <c r="B14371" s="309"/>
      <c r="C14371" s="309"/>
      <c r="I14371" s="309"/>
      <c r="J14371" s="309"/>
    </row>
    <row r="14372">
      <c r="B14372" s="309"/>
      <c r="C14372" s="309"/>
      <c r="I14372" s="309"/>
      <c r="J14372" s="309"/>
    </row>
    <row r="14373">
      <c r="B14373" s="309"/>
      <c r="C14373" s="309"/>
      <c r="I14373" s="309"/>
      <c r="J14373" s="309"/>
    </row>
    <row r="14374">
      <c r="B14374" s="309"/>
      <c r="C14374" s="309"/>
      <c r="I14374" s="309"/>
      <c r="J14374" s="309"/>
    </row>
    <row r="14375">
      <c r="B14375" s="309"/>
      <c r="C14375" s="309"/>
      <c r="I14375" s="309"/>
      <c r="J14375" s="309"/>
    </row>
    <row r="14376">
      <c r="B14376" s="309"/>
      <c r="C14376" s="309"/>
      <c r="I14376" s="309"/>
      <c r="J14376" s="309"/>
    </row>
    <row r="14377">
      <c r="B14377" s="309"/>
      <c r="C14377" s="309"/>
      <c r="I14377" s="309"/>
      <c r="J14377" s="309"/>
    </row>
    <row r="14378">
      <c r="B14378" s="309"/>
      <c r="C14378" s="309"/>
      <c r="I14378" s="309"/>
      <c r="J14378" s="309"/>
    </row>
    <row r="14379">
      <c r="B14379" s="309"/>
      <c r="C14379" s="309"/>
      <c r="I14379" s="309"/>
      <c r="J14379" s="309"/>
    </row>
    <row r="14380">
      <c r="B14380" s="309"/>
      <c r="C14380" s="309"/>
      <c r="I14380" s="309"/>
      <c r="J14380" s="309"/>
    </row>
    <row r="14381">
      <c r="B14381" s="309"/>
      <c r="C14381" s="309"/>
      <c r="I14381" s="309"/>
      <c r="J14381" s="309"/>
    </row>
    <row r="14382">
      <c r="B14382" s="309"/>
      <c r="C14382" s="309"/>
      <c r="I14382" s="309"/>
      <c r="J14382" s="309"/>
    </row>
    <row r="14383">
      <c r="B14383" s="309"/>
      <c r="C14383" s="309"/>
      <c r="I14383" s="309"/>
      <c r="J14383" s="309"/>
    </row>
    <row r="14384">
      <c r="B14384" s="309"/>
      <c r="C14384" s="309"/>
      <c r="I14384" s="309"/>
      <c r="J14384" s="309"/>
    </row>
    <row r="14385">
      <c r="B14385" s="309"/>
      <c r="C14385" s="309"/>
      <c r="I14385" s="309"/>
      <c r="J14385" s="309"/>
    </row>
    <row r="14386">
      <c r="B14386" s="309"/>
      <c r="C14386" s="309"/>
      <c r="I14386" s="309"/>
      <c r="J14386" s="309"/>
    </row>
    <row r="14387">
      <c r="B14387" s="309"/>
      <c r="C14387" s="309"/>
      <c r="I14387" s="309"/>
      <c r="J14387" s="309"/>
    </row>
    <row r="14388">
      <c r="B14388" s="309"/>
      <c r="C14388" s="309"/>
      <c r="I14388" s="309"/>
      <c r="J14388" s="309"/>
    </row>
    <row r="14389">
      <c r="B14389" s="309"/>
      <c r="C14389" s="309"/>
      <c r="I14389" s="309"/>
      <c r="J14389" s="309"/>
    </row>
    <row r="14390">
      <c r="B14390" s="309"/>
      <c r="C14390" s="309"/>
      <c r="I14390" s="309"/>
      <c r="J14390" s="309"/>
    </row>
    <row r="14391">
      <c r="B14391" s="309"/>
      <c r="C14391" s="309"/>
      <c r="I14391" s="309"/>
      <c r="J14391" s="309"/>
    </row>
    <row r="14392">
      <c r="B14392" s="309"/>
      <c r="C14392" s="309"/>
      <c r="I14392" s="309"/>
      <c r="J14392" s="309"/>
    </row>
    <row r="14393">
      <c r="B14393" s="309"/>
      <c r="C14393" s="309"/>
      <c r="I14393" s="309"/>
      <c r="J14393" s="309"/>
    </row>
    <row r="14394">
      <c r="B14394" s="309"/>
      <c r="C14394" s="309"/>
      <c r="I14394" s="309"/>
      <c r="J14394" s="309"/>
    </row>
    <row r="14395">
      <c r="B14395" s="309"/>
      <c r="C14395" s="309"/>
      <c r="I14395" s="309"/>
      <c r="J14395" s="309"/>
    </row>
    <row r="14396">
      <c r="B14396" s="309"/>
      <c r="C14396" s="309"/>
      <c r="I14396" s="309"/>
      <c r="J14396" s="309"/>
    </row>
    <row r="14397">
      <c r="B14397" s="309"/>
      <c r="C14397" s="309"/>
      <c r="I14397" s="309"/>
      <c r="J14397" s="309"/>
    </row>
    <row r="14398">
      <c r="B14398" s="309"/>
      <c r="C14398" s="309"/>
      <c r="I14398" s="309"/>
      <c r="J14398" s="309"/>
    </row>
    <row r="14399">
      <c r="B14399" s="309"/>
      <c r="C14399" s="309"/>
      <c r="I14399" s="309"/>
      <c r="J14399" s="309"/>
    </row>
    <row r="14400">
      <c r="B14400" s="309"/>
      <c r="C14400" s="309"/>
      <c r="I14400" s="309"/>
      <c r="J14400" s="309"/>
    </row>
    <row r="14401">
      <c r="B14401" s="309"/>
      <c r="C14401" s="309"/>
      <c r="I14401" s="309"/>
      <c r="J14401" s="309"/>
    </row>
    <row r="14402">
      <c r="B14402" s="309"/>
      <c r="C14402" s="309"/>
      <c r="I14402" s="309"/>
      <c r="J14402" s="309"/>
    </row>
    <row r="14403">
      <c r="B14403" s="309"/>
      <c r="C14403" s="309"/>
      <c r="I14403" s="309"/>
      <c r="J14403" s="309"/>
    </row>
    <row r="14404">
      <c r="B14404" s="309"/>
      <c r="C14404" s="309"/>
      <c r="I14404" s="309"/>
      <c r="J14404" s="309"/>
    </row>
    <row r="14405">
      <c r="B14405" s="309"/>
      <c r="C14405" s="309"/>
      <c r="I14405" s="309"/>
      <c r="J14405" s="309"/>
    </row>
    <row r="14406">
      <c r="B14406" s="309"/>
      <c r="C14406" s="309"/>
      <c r="I14406" s="309"/>
      <c r="J14406" s="309"/>
    </row>
    <row r="14407">
      <c r="B14407" s="309"/>
      <c r="C14407" s="309"/>
      <c r="I14407" s="309"/>
      <c r="J14407" s="309"/>
    </row>
    <row r="14408">
      <c r="B14408" s="309"/>
      <c r="C14408" s="309"/>
      <c r="I14408" s="309"/>
      <c r="J14408" s="309"/>
    </row>
    <row r="14409">
      <c r="B14409" s="309"/>
      <c r="C14409" s="309"/>
      <c r="I14409" s="309"/>
      <c r="J14409" s="309"/>
    </row>
    <row r="14410">
      <c r="B14410" s="309"/>
      <c r="C14410" s="309"/>
      <c r="I14410" s="309"/>
      <c r="J14410" s="309"/>
    </row>
    <row r="14411">
      <c r="B14411" s="309"/>
      <c r="C14411" s="309"/>
      <c r="I14411" s="309"/>
      <c r="J14411" s="309"/>
    </row>
    <row r="14412">
      <c r="B14412" s="309"/>
      <c r="C14412" s="309"/>
      <c r="I14412" s="309"/>
      <c r="J14412" s="309"/>
    </row>
    <row r="14413">
      <c r="B14413" s="309"/>
      <c r="C14413" s="309"/>
      <c r="I14413" s="309"/>
      <c r="J14413" s="309"/>
    </row>
    <row r="14414">
      <c r="B14414" s="309"/>
      <c r="C14414" s="309"/>
      <c r="I14414" s="309"/>
      <c r="J14414" s="309"/>
    </row>
    <row r="14415">
      <c r="B14415" s="309"/>
      <c r="C14415" s="309"/>
      <c r="I14415" s="309"/>
      <c r="J14415" s="309"/>
    </row>
    <row r="14416">
      <c r="B14416" s="309"/>
      <c r="C14416" s="309"/>
      <c r="I14416" s="309"/>
      <c r="J14416" s="309"/>
    </row>
    <row r="14417">
      <c r="B14417" s="309"/>
      <c r="C14417" s="309"/>
      <c r="I14417" s="309"/>
      <c r="J14417" s="309"/>
    </row>
    <row r="14418">
      <c r="B14418" s="309"/>
      <c r="C14418" s="309"/>
      <c r="I14418" s="309"/>
      <c r="J14418" s="309"/>
    </row>
    <row r="14419">
      <c r="B14419" s="309"/>
      <c r="C14419" s="309"/>
      <c r="I14419" s="309"/>
      <c r="J14419" s="309"/>
    </row>
    <row r="14420">
      <c r="B14420" s="309"/>
      <c r="C14420" s="309"/>
      <c r="I14420" s="309"/>
      <c r="J14420" s="309"/>
    </row>
    <row r="14421">
      <c r="B14421" s="309"/>
      <c r="C14421" s="309"/>
      <c r="I14421" s="309"/>
      <c r="J14421" s="309"/>
    </row>
    <row r="14422">
      <c r="B14422" s="309"/>
      <c r="C14422" s="309"/>
      <c r="I14422" s="309"/>
      <c r="J14422" s="309"/>
    </row>
    <row r="14423">
      <c r="B14423" s="309"/>
      <c r="C14423" s="309"/>
      <c r="I14423" s="309"/>
      <c r="J14423" s="309"/>
    </row>
    <row r="14424">
      <c r="B14424" s="309"/>
      <c r="C14424" s="309"/>
      <c r="I14424" s="309"/>
      <c r="J14424" s="309"/>
    </row>
    <row r="14425">
      <c r="B14425" s="309"/>
      <c r="C14425" s="309"/>
      <c r="I14425" s="309"/>
      <c r="J14425" s="309"/>
    </row>
    <row r="14426">
      <c r="B14426" s="309"/>
      <c r="C14426" s="309"/>
      <c r="I14426" s="309"/>
      <c r="J14426" s="309"/>
    </row>
    <row r="14427">
      <c r="B14427" s="309"/>
      <c r="C14427" s="309"/>
      <c r="I14427" s="309"/>
      <c r="J14427" s="309"/>
    </row>
    <row r="14428">
      <c r="B14428" s="309"/>
      <c r="C14428" s="309"/>
      <c r="I14428" s="309"/>
      <c r="J14428" s="309"/>
    </row>
    <row r="14429">
      <c r="B14429" s="309"/>
      <c r="C14429" s="309"/>
      <c r="I14429" s="309"/>
      <c r="J14429" s="309"/>
    </row>
    <row r="14430">
      <c r="B14430" s="309"/>
      <c r="C14430" s="309"/>
      <c r="I14430" s="309"/>
      <c r="J14430" s="309"/>
    </row>
    <row r="14431">
      <c r="B14431" s="309"/>
      <c r="C14431" s="309"/>
      <c r="I14431" s="309"/>
      <c r="J14431" s="309"/>
    </row>
    <row r="14432">
      <c r="B14432" s="309"/>
      <c r="C14432" s="309"/>
      <c r="I14432" s="309"/>
      <c r="J14432" s="309"/>
    </row>
    <row r="14433">
      <c r="B14433" s="309"/>
      <c r="C14433" s="309"/>
      <c r="I14433" s="309"/>
      <c r="J14433" s="309"/>
    </row>
    <row r="14434">
      <c r="B14434" s="309"/>
      <c r="C14434" s="309"/>
      <c r="I14434" s="309"/>
      <c r="J14434" s="309"/>
    </row>
    <row r="14435">
      <c r="B14435" s="309"/>
      <c r="C14435" s="309"/>
      <c r="I14435" s="309"/>
      <c r="J14435" s="309"/>
    </row>
    <row r="14436">
      <c r="B14436" s="309"/>
      <c r="C14436" s="309"/>
      <c r="I14436" s="309"/>
      <c r="J14436" s="309"/>
    </row>
    <row r="14437">
      <c r="B14437" s="309"/>
      <c r="C14437" s="309"/>
      <c r="I14437" s="309"/>
      <c r="J14437" s="309"/>
    </row>
    <row r="14438">
      <c r="B14438" s="309"/>
      <c r="C14438" s="309"/>
      <c r="I14438" s="309"/>
      <c r="J14438" s="309"/>
    </row>
    <row r="14439">
      <c r="B14439" s="309"/>
      <c r="C14439" s="309"/>
      <c r="I14439" s="309"/>
      <c r="J14439" s="309"/>
    </row>
    <row r="14440">
      <c r="B14440" s="309"/>
      <c r="C14440" s="309"/>
      <c r="I14440" s="309"/>
      <c r="J14440" s="309"/>
    </row>
    <row r="14441">
      <c r="B14441" s="309"/>
      <c r="C14441" s="309"/>
      <c r="I14441" s="309"/>
      <c r="J14441" s="309"/>
    </row>
    <row r="14442">
      <c r="B14442" s="309"/>
      <c r="C14442" s="309"/>
      <c r="I14442" s="309"/>
      <c r="J14442" s="309"/>
    </row>
    <row r="14443">
      <c r="B14443" s="309"/>
      <c r="C14443" s="309"/>
      <c r="I14443" s="309"/>
      <c r="J14443" s="309"/>
    </row>
    <row r="14444">
      <c r="B14444" s="309"/>
      <c r="C14444" s="309"/>
      <c r="I14444" s="309"/>
      <c r="J14444" s="309"/>
    </row>
    <row r="14445">
      <c r="B14445" s="309"/>
      <c r="C14445" s="309"/>
      <c r="I14445" s="309"/>
      <c r="J14445" s="309"/>
    </row>
    <row r="14446">
      <c r="B14446" s="309"/>
      <c r="C14446" s="309"/>
      <c r="I14446" s="309"/>
      <c r="J14446" s="309"/>
    </row>
    <row r="14447">
      <c r="B14447" s="309"/>
      <c r="C14447" s="309"/>
      <c r="I14447" s="309"/>
      <c r="J14447" s="309"/>
    </row>
    <row r="14448">
      <c r="B14448" s="309"/>
      <c r="C14448" s="309"/>
      <c r="I14448" s="309"/>
      <c r="J14448" s="309"/>
    </row>
    <row r="14449">
      <c r="B14449" s="309"/>
      <c r="C14449" s="309"/>
      <c r="I14449" s="309"/>
      <c r="J14449" s="309"/>
    </row>
    <row r="14450">
      <c r="B14450" s="309"/>
      <c r="C14450" s="309"/>
      <c r="I14450" s="309"/>
      <c r="J14450" s="309"/>
    </row>
    <row r="14451">
      <c r="B14451" s="309"/>
      <c r="C14451" s="309"/>
      <c r="I14451" s="309"/>
      <c r="J14451" s="309"/>
    </row>
    <row r="14452">
      <c r="B14452" s="309"/>
      <c r="C14452" s="309"/>
      <c r="I14452" s="309"/>
      <c r="J14452" s="309"/>
    </row>
    <row r="14453">
      <c r="B14453" s="309"/>
      <c r="C14453" s="309"/>
      <c r="I14453" s="309"/>
      <c r="J14453" s="309"/>
    </row>
    <row r="14454">
      <c r="B14454" s="309"/>
      <c r="C14454" s="309"/>
      <c r="I14454" s="309"/>
      <c r="J14454" s="309"/>
    </row>
    <row r="14455">
      <c r="B14455" s="309"/>
      <c r="C14455" s="309"/>
      <c r="I14455" s="309"/>
      <c r="J14455" s="309"/>
    </row>
    <row r="14456">
      <c r="B14456" s="309"/>
      <c r="C14456" s="309"/>
      <c r="I14456" s="309"/>
      <c r="J14456" s="309"/>
    </row>
    <row r="14457">
      <c r="B14457" s="309"/>
      <c r="C14457" s="309"/>
      <c r="I14457" s="309"/>
      <c r="J14457" s="309"/>
    </row>
    <row r="14458">
      <c r="B14458" s="309"/>
      <c r="C14458" s="309"/>
      <c r="I14458" s="309"/>
      <c r="J14458" s="309"/>
    </row>
    <row r="14459">
      <c r="B14459" s="309"/>
      <c r="C14459" s="309"/>
      <c r="I14459" s="309"/>
      <c r="J14459" s="309"/>
    </row>
    <row r="14460">
      <c r="B14460" s="309"/>
      <c r="C14460" s="309"/>
      <c r="I14460" s="309"/>
      <c r="J14460" s="309"/>
    </row>
    <row r="14461">
      <c r="B14461" s="309"/>
      <c r="C14461" s="309"/>
      <c r="I14461" s="309"/>
      <c r="J14461" s="309"/>
    </row>
    <row r="14462">
      <c r="B14462" s="309"/>
      <c r="C14462" s="309"/>
      <c r="I14462" s="309"/>
      <c r="J14462" s="309"/>
    </row>
    <row r="14463">
      <c r="B14463" s="309"/>
      <c r="C14463" s="309"/>
      <c r="I14463" s="309"/>
      <c r="J14463" s="309"/>
    </row>
    <row r="14464">
      <c r="B14464" s="309"/>
      <c r="C14464" s="309"/>
      <c r="I14464" s="309"/>
      <c r="J14464" s="309"/>
    </row>
    <row r="14465">
      <c r="B14465" s="309"/>
      <c r="C14465" s="309"/>
      <c r="I14465" s="309"/>
      <c r="J14465" s="309"/>
    </row>
    <row r="14466">
      <c r="B14466" s="309"/>
      <c r="C14466" s="309"/>
      <c r="I14466" s="309"/>
      <c r="J14466" s="309"/>
    </row>
    <row r="14467">
      <c r="B14467" s="309"/>
      <c r="C14467" s="309"/>
      <c r="I14467" s="309"/>
      <c r="J14467" s="309"/>
    </row>
    <row r="14468">
      <c r="B14468" s="309"/>
      <c r="C14468" s="309"/>
      <c r="I14468" s="309"/>
      <c r="J14468" s="309"/>
    </row>
    <row r="14469">
      <c r="B14469" s="309"/>
      <c r="C14469" s="309"/>
      <c r="I14469" s="309"/>
      <c r="J14469" s="309"/>
    </row>
    <row r="14470">
      <c r="B14470" s="309"/>
      <c r="C14470" s="309"/>
      <c r="I14470" s="309"/>
      <c r="J14470" s="309"/>
    </row>
    <row r="14471">
      <c r="B14471" s="309"/>
      <c r="C14471" s="309"/>
      <c r="I14471" s="309"/>
      <c r="J14471" s="309"/>
    </row>
    <row r="14472">
      <c r="B14472" s="309"/>
      <c r="C14472" s="309"/>
      <c r="I14472" s="309"/>
      <c r="J14472" s="309"/>
    </row>
    <row r="14473">
      <c r="B14473" s="309"/>
      <c r="C14473" s="309"/>
      <c r="I14473" s="309"/>
      <c r="J14473" s="309"/>
    </row>
    <row r="14474">
      <c r="B14474" s="309"/>
      <c r="C14474" s="309"/>
      <c r="I14474" s="309"/>
      <c r="J14474" s="309"/>
    </row>
    <row r="14475">
      <c r="B14475" s="309"/>
      <c r="C14475" s="309"/>
      <c r="I14475" s="309"/>
      <c r="J14475" s="309"/>
    </row>
    <row r="14476">
      <c r="B14476" s="309"/>
      <c r="C14476" s="309"/>
      <c r="I14476" s="309"/>
      <c r="J14476" s="309"/>
    </row>
    <row r="14477">
      <c r="B14477" s="309"/>
      <c r="C14477" s="309"/>
      <c r="I14477" s="309"/>
      <c r="J14477" s="309"/>
    </row>
    <row r="14478">
      <c r="B14478" s="309"/>
      <c r="C14478" s="309"/>
      <c r="I14478" s="309"/>
      <c r="J14478" s="309"/>
    </row>
    <row r="14479">
      <c r="B14479" s="309"/>
      <c r="C14479" s="309"/>
      <c r="I14479" s="309"/>
      <c r="J14479" s="309"/>
    </row>
    <row r="14480">
      <c r="B14480" s="309"/>
      <c r="C14480" s="309"/>
      <c r="I14480" s="309"/>
      <c r="J14480" s="309"/>
    </row>
    <row r="14481">
      <c r="B14481" s="309"/>
      <c r="C14481" s="309"/>
      <c r="I14481" s="309"/>
      <c r="J14481" s="309"/>
    </row>
    <row r="14482">
      <c r="B14482" s="309"/>
      <c r="C14482" s="309"/>
      <c r="I14482" s="309"/>
      <c r="J14482" s="309"/>
    </row>
    <row r="14483">
      <c r="B14483" s="309"/>
      <c r="C14483" s="309"/>
      <c r="I14483" s="309"/>
      <c r="J14483" s="309"/>
    </row>
    <row r="14484">
      <c r="B14484" s="309"/>
      <c r="C14484" s="309"/>
      <c r="I14484" s="309"/>
      <c r="J14484" s="309"/>
    </row>
    <row r="14485">
      <c r="B14485" s="309"/>
      <c r="C14485" s="309"/>
      <c r="I14485" s="309"/>
      <c r="J14485" s="309"/>
    </row>
    <row r="14486">
      <c r="B14486" s="309"/>
      <c r="C14486" s="309"/>
      <c r="I14486" s="309"/>
      <c r="J14486" s="309"/>
    </row>
    <row r="14487">
      <c r="B14487" s="309"/>
      <c r="C14487" s="309"/>
      <c r="I14487" s="309"/>
      <c r="J14487" s="309"/>
    </row>
    <row r="14488">
      <c r="B14488" s="309"/>
      <c r="C14488" s="309"/>
      <c r="I14488" s="309"/>
      <c r="J14488" s="309"/>
    </row>
    <row r="14489">
      <c r="B14489" s="309"/>
      <c r="C14489" s="309"/>
      <c r="I14489" s="309"/>
      <c r="J14489" s="309"/>
    </row>
    <row r="14490">
      <c r="B14490" s="309"/>
      <c r="C14490" s="309"/>
      <c r="I14490" s="309"/>
      <c r="J14490" s="309"/>
    </row>
    <row r="14491">
      <c r="B14491" s="309"/>
      <c r="C14491" s="309"/>
      <c r="I14491" s="309"/>
      <c r="J14491" s="309"/>
    </row>
    <row r="14492">
      <c r="B14492" s="309"/>
      <c r="C14492" s="309"/>
      <c r="I14492" s="309"/>
      <c r="J14492" s="309"/>
    </row>
    <row r="14493">
      <c r="B14493" s="309"/>
      <c r="C14493" s="309"/>
      <c r="I14493" s="309"/>
      <c r="J14493" s="309"/>
    </row>
    <row r="14494">
      <c r="B14494" s="309"/>
      <c r="C14494" s="309"/>
      <c r="I14494" s="309"/>
      <c r="J14494" s="309"/>
    </row>
    <row r="14495">
      <c r="B14495" s="309"/>
      <c r="C14495" s="309"/>
      <c r="I14495" s="309"/>
      <c r="J14495" s="309"/>
    </row>
    <row r="14496">
      <c r="B14496" s="309"/>
      <c r="C14496" s="309"/>
      <c r="I14496" s="309"/>
      <c r="J14496" s="309"/>
    </row>
    <row r="14497">
      <c r="B14497" s="309"/>
      <c r="C14497" s="309"/>
      <c r="I14497" s="309"/>
      <c r="J14497" s="309"/>
    </row>
    <row r="14498">
      <c r="B14498" s="309"/>
      <c r="C14498" s="309"/>
      <c r="I14498" s="309"/>
      <c r="J14498" s="309"/>
    </row>
    <row r="14499">
      <c r="B14499" s="309"/>
      <c r="C14499" s="309"/>
      <c r="I14499" s="309"/>
      <c r="J14499" s="309"/>
    </row>
    <row r="14500">
      <c r="B14500" s="309"/>
      <c r="C14500" s="309"/>
      <c r="I14500" s="309"/>
      <c r="J14500" s="309"/>
    </row>
    <row r="14501">
      <c r="B14501" s="309"/>
      <c r="C14501" s="309"/>
      <c r="I14501" s="309"/>
      <c r="J14501" s="309"/>
    </row>
    <row r="14502">
      <c r="B14502" s="309"/>
      <c r="C14502" s="309"/>
      <c r="I14502" s="309"/>
      <c r="J14502" s="309"/>
    </row>
    <row r="14503">
      <c r="B14503" s="309"/>
      <c r="C14503" s="309"/>
      <c r="I14503" s="309"/>
      <c r="J14503" s="309"/>
    </row>
    <row r="14504">
      <c r="B14504" s="309"/>
      <c r="C14504" s="309"/>
      <c r="I14504" s="309"/>
      <c r="J14504" s="309"/>
    </row>
    <row r="14505">
      <c r="B14505" s="309"/>
      <c r="C14505" s="309"/>
      <c r="I14505" s="309"/>
      <c r="J14505" s="309"/>
    </row>
    <row r="14506">
      <c r="B14506" s="309"/>
      <c r="C14506" s="309"/>
      <c r="I14506" s="309"/>
      <c r="J14506" s="309"/>
    </row>
    <row r="14507">
      <c r="B14507" s="309"/>
      <c r="C14507" s="309"/>
      <c r="I14507" s="309"/>
      <c r="J14507" s="309"/>
    </row>
    <row r="14508">
      <c r="B14508" s="309"/>
      <c r="C14508" s="309"/>
      <c r="I14508" s="309"/>
      <c r="J14508" s="309"/>
    </row>
    <row r="14509">
      <c r="B14509" s="309"/>
      <c r="C14509" s="309"/>
      <c r="I14509" s="309"/>
      <c r="J14509" s="309"/>
    </row>
    <row r="14510">
      <c r="B14510" s="309"/>
      <c r="C14510" s="309"/>
      <c r="I14510" s="309"/>
      <c r="J14510" s="309"/>
    </row>
    <row r="14511">
      <c r="B14511" s="309"/>
      <c r="C14511" s="309"/>
      <c r="I14511" s="309"/>
      <c r="J14511" s="309"/>
    </row>
    <row r="14512">
      <c r="B14512" s="309"/>
      <c r="C14512" s="309"/>
      <c r="I14512" s="309"/>
      <c r="J14512" s="309"/>
    </row>
    <row r="14513">
      <c r="B14513" s="309"/>
      <c r="C14513" s="309"/>
      <c r="I14513" s="309"/>
      <c r="J14513" s="309"/>
    </row>
    <row r="14514">
      <c r="B14514" s="309"/>
      <c r="C14514" s="309"/>
      <c r="I14514" s="309"/>
      <c r="J14514" s="309"/>
    </row>
    <row r="14515">
      <c r="B14515" s="309"/>
      <c r="C14515" s="309"/>
      <c r="I14515" s="309"/>
      <c r="J14515" s="309"/>
    </row>
    <row r="14516">
      <c r="B14516" s="309"/>
      <c r="C14516" s="309"/>
      <c r="I14516" s="309"/>
      <c r="J14516" s="309"/>
    </row>
    <row r="14517">
      <c r="B14517" s="309"/>
      <c r="C14517" s="309"/>
      <c r="I14517" s="309"/>
      <c r="J14517" s="309"/>
    </row>
    <row r="14518">
      <c r="B14518" s="309"/>
      <c r="C14518" s="309"/>
      <c r="I14518" s="309"/>
      <c r="J14518" s="309"/>
    </row>
    <row r="14519">
      <c r="B14519" s="309"/>
      <c r="C14519" s="309"/>
      <c r="I14519" s="309"/>
      <c r="J14519" s="309"/>
    </row>
    <row r="14520">
      <c r="B14520" s="309"/>
      <c r="C14520" s="309"/>
      <c r="I14520" s="309"/>
      <c r="J14520" s="309"/>
    </row>
    <row r="14521">
      <c r="B14521" s="309"/>
      <c r="C14521" s="309"/>
      <c r="I14521" s="309"/>
      <c r="J14521" s="309"/>
    </row>
    <row r="14522">
      <c r="B14522" s="309"/>
      <c r="C14522" s="309"/>
      <c r="I14522" s="309"/>
      <c r="J14522" s="309"/>
    </row>
    <row r="14523">
      <c r="B14523" s="309"/>
      <c r="C14523" s="309"/>
      <c r="I14523" s="309"/>
      <c r="J14523" s="309"/>
    </row>
    <row r="14524">
      <c r="B14524" s="309"/>
      <c r="C14524" s="309"/>
      <c r="I14524" s="309"/>
      <c r="J14524" s="309"/>
    </row>
    <row r="14525">
      <c r="B14525" s="309"/>
      <c r="C14525" s="309"/>
      <c r="I14525" s="309"/>
      <c r="J14525" s="309"/>
    </row>
    <row r="14526">
      <c r="B14526" s="309"/>
      <c r="C14526" s="309"/>
      <c r="I14526" s="309"/>
      <c r="J14526" s="309"/>
    </row>
    <row r="14527">
      <c r="B14527" s="309"/>
      <c r="C14527" s="309"/>
      <c r="I14527" s="309"/>
      <c r="J14527" s="309"/>
    </row>
    <row r="14528">
      <c r="B14528" s="309"/>
      <c r="C14528" s="309"/>
      <c r="I14528" s="309"/>
      <c r="J14528" s="309"/>
    </row>
    <row r="14529">
      <c r="B14529" s="309"/>
      <c r="C14529" s="309"/>
      <c r="I14529" s="309"/>
      <c r="J14529" s="309"/>
    </row>
    <row r="14530">
      <c r="B14530" s="309"/>
      <c r="C14530" s="309"/>
      <c r="I14530" s="309"/>
      <c r="J14530" s="309"/>
    </row>
    <row r="14531">
      <c r="B14531" s="309"/>
      <c r="C14531" s="309"/>
      <c r="I14531" s="309"/>
      <c r="J14531" s="309"/>
    </row>
    <row r="14532">
      <c r="B14532" s="309"/>
      <c r="C14532" s="309"/>
      <c r="I14532" s="309"/>
      <c r="J14532" s="309"/>
    </row>
    <row r="14533">
      <c r="B14533" s="309"/>
      <c r="C14533" s="309"/>
      <c r="I14533" s="309"/>
      <c r="J14533" s="309"/>
    </row>
    <row r="14534">
      <c r="B14534" s="309"/>
      <c r="C14534" s="309"/>
      <c r="I14534" s="309"/>
      <c r="J14534" s="309"/>
    </row>
    <row r="14535">
      <c r="B14535" s="309"/>
      <c r="C14535" s="309"/>
      <c r="I14535" s="309"/>
      <c r="J14535" s="309"/>
    </row>
    <row r="14536">
      <c r="B14536" s="309"/>
      <c r="C14536" s="309"/>
      <c r="I14536" s="309"/>
      <c r="J14536" s="309"/>
    </row>
    <row r="14537">
      <c r="B14537" s="309"/>
      <c r="C14537" s="309"/>
      <c r="I14537" s="309"/>
      <c r="J14537" s="309"/>
    </row>
    <row r="14538">
      <c r="B14538" s="309"/>
      <c r="C14538" s="309"/>
      <c r="I14538" s="309"/>
      <c r="J14538" s="309"/>
    </row>
    <row r="14539">
      <c r="B14539" s="309"/>
      <c r="C14539" s="309"/>
      <c r="I14539" s="309"/>
      <c r="J14539" s="309"/>
    </row>
    <row r="14540">
      <c r="B14540" s="309"/>
      <c r="C14540" s="309"/>
      <c r="I14540" s="309"/>
      <c r="J14540" s="309"/>
    </row>
    <row r="14541">
      <c r="B14541" s="309"/>
      <c r="C14541" s="309"/>
      <c r="I14541" s="309"/>
      <c r="J14541" s="309"/>
    </row>
    <row r="14542">
      <c r="B14542" s="309"/>
      <c r="C14542" s="309"/>
      <c r="I14542" s="309"/>
      <c r="J14542" s="309"/>
    </row>
    <row r="14543">
      <c r="B14543" s="309"/>
      <c r="C14543" s="309"/>
      <c r="I14543" s="309"/>
      <c r="J14543" s="309"/>
    </row>
    <row r="14544">
      <c r="B14544" s="309"/>
      <c r="C14544" s="309"/>
      <c r="I14544" s="309"/>
      <c r="J14544" s="309"/>
    </row>
    <row r="14545">
      <c r="B14545" s="309"/>
      <c r="C14545" s="309"/>
      <c r="I14545" s="309"/>
      <c r="J14545" s="309"/>
    </row>
    <row r="14546">
      <c r="B14546" s="309"/>
      <c r="C14546" s="309"/>
      <c r="I14546" s="309"/>
      <c r="J14546" s="309"/>
    </row>
    <row r="14547">
      <c r="B14547" s="309"/>
      <c r="C14547" s="309"/>
      <c r="I14547" s="309"/>
      <c r="J14547" s="309"/>
    </row>
    <row r="14548">
      <c r="B14548" s="309"/>
      <c r="C14548" s="309"/>
      <c r="I14548" s="309"/>
      <c r="J14548" s="309"/>
    </row>
    <row r="14549">
      <c r="B14549" s="309"/>
      <c r="C14549" s="309"/>
      <c r="I14549" s="309"/>
      <c r="J14549" s="309"/>
    </row>
    <row r="14550">
      <c r="B14550" s="309"/>
      <c r="C14550" s="309"/>
      <c r="I14550" s="309"/>
      <c r="J14550" s="309"/>
    </row>
    <row r="14551">
      <c r="B14551" s="309"/>
      <c r="C14551" s="309"/>
      <c r="I14551" s="309"/>
      <c r="J14551" s="309"/>
    </row>
    <row r="14552">
      <c r="B14552" s="309"/>
      <c r="C14552" s="309"/>
      <c r="I14552" s="309"/>
      <c r="J14552" s="309"/>
    </row>
    <row r="14553">
      <c r="B14553" s="309"/>
      <c r="C14553" s="309"/>
      <c r="I14553" s="309"/>
      <c r="J14553" s="309"/>
    </row>
    <row r="14554">
      <c r="B14554" s="309"/>
      <c r="C14554" s="309"/>
      <c r="I14554" s="309"/>
      <c r="J14554" s="309"/>
    </row>
    <row r="14555">
      <c r="B14555" s="309"/>
      <c r="C14555" s="309"/>
      <c r="I14555" s="309"/>
      <c r="J14555" s="309"/>
    </row>
    <row r="14556">
      <c r="B14556" s="309"/>
      <c r="C14556" s="309"/>
      <c r="I14556" s="309"/>
      <c r="J14556" s="309"/>
    </row>
    <row r="14557">
      <c r="B14557" s="309"/>
      <c r="C14557" s="309"/>
      <c r="I14557" s="309"/>
      <c r="J14557" s="309"/>
    </row>
    <row r="14558">
      <c r="B14558" s="309"/>
      <c r="C14558" s="309"/>
      <c r="I14558" s="309"/>
      <c r="J14558" s="309"/>
    </row>
    <row r="14559">
      <c r="B14559" s="309"/>
      <c r="C14559" s="309"/>
      <c r="I14559" s="309"/>
      <c r="J14559" s="309"/>
    </row>
    <row r="14560">
      <c r="B14560" s="309"/>
      <c r="C14560" s="309"/>
      <c r="I14560" s="309"/>
      <c r="J14560" s="309"/>
    </row>
    <row r="14561">
      <c r="B14561" s="309"/>
      <c r="C14561" s="309"/>
      <c r="I14561" s="309"/>
      <c r="J14561" s="309"/>
    </row>
    <row r="14562">
      <c r="B14562" s="309"/>
      <c r="C14562" s="309"/>
      <c r="I14562" s="309"/>
      <c r="J14562" s="309"/>
    </row>
    <row r="14563">
      <c r="B14563" s="309"/>
      <c r="C14563" s="309"/>
      <c r="I14563" s="309"/>
      <c r="J14563" s="309"/>
    </row>
    <row r="14564">
      <c r="B14564" s="309"/>
      <c r="C14564" s="309"/>
      <c r="I14564" s="309"/>
      <c r="J14564" s="309"/>
    </row>
    <row r="14565">
      <c r="B14565" s="309"/>
      <c r="C14565" s="309"/>
      <c r="I14565" s="309"/>
      <c r="J14565" s="309"/>
    </row>
    <row r="14566">
      <c r="B14566" s="309"/>
      <c r="C14566" s="309"/>
      <c r="I14566" s="309"/>
      <c r="J14566" s="309"/>
    </row>
    <row r="14567">
      <c r="B14567" s="309"/>
      <c r="C14567" s="309"/>
      <c r="I14567" s="309"/>
      <c r="J14567" s="309"/>
    </row>
    <row r="14568">
      <c r="B14568" s="309"/>
      <c r="C14568" s="309"/>
      <c r="I14568" s="309"/>
      <c r="J14568" s="309"/>
    </row>
    <row r="14569">
      <c r="B14569" s="309"/>
      <c r="C14569" s="309"/>
      <c r="I14569" s="309"/>
      <c r="J14569" s="309"/>
    </row>
    <row r="14570">
      <c r="B14570" s="309"/>
      <c r="C14570" s="309"/>
      <c r="I14570" s="309"/>
      <c r="J14570" s="309"/>
    </row>
    <row r="14571">
      <c r="B14571" s="309"/>
      <c r="C14571" s="309"/>
      <c r="I14571" s="309"/>
      <c r="J14571" s="309"/>
    </row>
    <row r="14572">
      <c r="B14572" s="309"/>
      <c r="C14572" s="309"/>
      <c r="I14572" s="309"/>
      <c r="J14572" s="309"/>
    </row>
    <row r="14573">
      <c r="B14573" s="309"/>
      <c r="C14573" s="309"/>
      <c r="I14573" s="309"/>
      <c r="J14573" s="309"/>
    </row>
    <row r="14574">
      <c r="B14574" s="309"/>
      <c r="C14574" s="309"/>
      <c r="I14574" s="309"/>
      <c r="J14574" s="309"/>
    </row>
    <row r="14575">
      <c r="B14575" s="309"/>
      <c r="C14575" s="309"/>
      <c r="I14575" s="309"/>
      <c r="J14575" s="309"/>
    </row>
    <row r="14576">
      <c r="B14576" s="309"/>
      <c r="C14576" s="309"/>
      <c r="I14576" s="309"/>
      <c r="J14576" s="309"/>
    </row>
    <row r="14577">
      <c r="B14577" s="309"/>
      <c r="C14577" s="309"/>
      <c r="I14577" s="309"/>
      <c r="J14577" s="309"/>
    </row>
    <row r="14578">
      <c r="B14578" s="309"/>
      <c r="C14578" s="309"/>
      <c r="I14578" s="309"/>
      <c r="J14578" s="309"/>
    </row>
    <row r="14579">
      <c r="B14579" s="309"/>
      <c r="C14579" s="309"/>
      <c r="I14579" s="309"/>
      <c r="J14579" s="309"/>
    </row>
    <row r="14580">
      <c r="B14580" s="309"/>
      <c r="C14580" s="309"/>
      <c r="I14580" s="309"/>
      <c r="J14580" s="309"/>
    </row>
    <row r="14581">
      <c r="B14581" s="309"/>
      <c r="C14581" s="309"/>
      <c r="I14581" s="309"/>
      <c r="J14581" s="309"/>
    </row>
    <row r="14582">
      <c r="B14582" s="309"/>
      <c r="C14582" s="309"/>
      <c r="I14582" s="309"/>
      <c r="J14582" s="309"/>
    </row>
    <row r="14583">
      <c r="B14583" s="309"/>
      <c r="C14583" s="309"/>
      <c r="I14583" s="309"/>
      <c r="J14583" s="309"/>
    </row>
    <row r="14584">
      <c r="B14584" s="309"/>
      <c r="C14584" s="309"/>
      <c r="I14584" s="309"/>
      <c r="J14584" s="309"/>
    </row>
    <row r="14585">
      <c r="B14585" s="309"/>
      <c r="C14585" s="309"/>
      <c r="I14585" s="309"/>
      <c r="J14585" s="309"/>
    </row>
    <row r="14586">
      <c r="B14586" s="309"/>
      <c r="C14586" s="309"/>
      <c r="I14586" s="309"/>
      <c r="J14586" s="309"/>
    </row>
    <row r="14587">
      <c r="B14587" s="309"/>
      <c r="C14587" s="309"/>
      <c r="I14587" s="309"/>
      <c r="J14587" s="309"/>
    </row>
    <row r="14588">
      <c r="B14588" s="309"/>
      <c r="C14588" s="309"/>
      <c r="I14588" s="309"/>
      <c r="J14588" s="309"/>
    </row>
    <row r="14589">
      <c r="B14589" s="309"/>
      <c r="C14589" s="309"/>
      <c r="I14589" s="309"/>
      <c r="J14589" s="309"/>
    </row>
    <row r="14590">
      <c r="B14590" s="309"/>
      <c r="C14590" s="309"/>
      <c r="I14590" s="309"/>
      <c r="J14590" s="309"/>
    </row>
    <row r="14591">
      <c r="B14591" s="309"/>
      <c r="C14591" s="309"/>
      <c r="I14591" s="309"/>
      <c r="J14591" s="309"/>
    </row>
    <row r="14592">
      <c r="B14592" s="309"/>
      <c r="C14592" s="309"/>
      <c r="I14592" s="309"/>
      <c r="J14592" s="309"/>
    </row>
    <row r="14593">
      <c r="B14593" s="309"/>
      <c r="C14593" s="309"/>
      <c r="I14593" s="309"/>
      <c r="J14593" s="309"/>
    </row>
    <row r="14594">
      <c r="B14594" s="309"/>
      <c r="C14594" s="309"/>
      <c r="I14594" s="309"/>
      <c r="J14594" s="309"/>
    </row>
    <row r="14595">
      <c r="B14595" s="309"/>
      <c r="C14595" s="309"/>
      <c r="I14595" s="309"/>
      <c r="J14595" s="309"/>
    </row>
    <row r="14596">
      <c r="B14596" s="309"/>
      <c r="C14596" s="309"/>
      <c r="I14596" s="309"/>
      <c r="J14596" s="309"/>
    </row>
    <row r="14597">
      <c r="B14597" s="309"/>
      <c r="C14597" s="309"/>
      <c r="I14597" s="309"/>
      <c r="J14597" s="309"/>
    </row>
    <row r="14598">
      <c r="B14598" s="309"/>
      <c r="C14598" s="309"/>
      <c r="I14598" s="309"/>
      <c r="J14598" s="309"/>
    </row>
    <row r="14599">
      <c r="B14599" s="309"/>
      <c r="C14599" s="309"/>
      <c r="I14599" s="309"/>
      <c r="J14599" s="309"/>
    </row>
    <row r="14600">
      <c r="B14600" s="309"/>
      <c r="C14600" s="309"/>
      <c r="I14600" s="309"/>
      <c r="J14600" s="309"/>
    </row>
    <row r="14601">
      <c r="B14601" s="309"/>
      <c r="C14601" s="309"/>
      <c r="I14601" s="309"/>
      <c r="J14601" s="309"/>
    </row>
    <row r="14602">
      <c r="B14602" s="309"/>
      <c r="C14602" s="309"/>
      <c r="I14602" s="309"/>
      <c r="J14602" s="309"/>
    </row>
    <row r="14603">
      <c r="B14603" s="309"/>
      <c r="C14603" s="309"/>
      <c r="I14603" s="309"/>
      <c r="J14603" s="309"/>
    </row>
    <row r="14604">
      <c r="B14604" s="309"/>
      <c r="C14604" s="309"/>
      <c r="I14604" s="309"/>
      <c r="J14604" s="309"/>
    </row>
    <row r="14605">
      <c r="B14605" s="309"/>
      <c r="C14605" s="309"/>
      <c r="I14605" s="309"/>
      <c r="J14605" s="309"/>
    </row>
    <row r="14606">
      <c r="B14606" s="309"/>
      <c r="C14606" s="309"/>
      <c r="I14606" s="309"/>
      <c r="J14606" s="309"/>
    </row>
    <row r="14607">
      <c r="B14607" s="309"/>
      <c r="C14607" s="309"/>
      <c r="I14607" s="309"/>
      <c r="J14607" s="309"/>
    </row>
    <row r="14608">
      <c r="B14608" s="309"/>
      <c r="C14608" s="309"/>
      <c r="I14608" s="309"/>
      <c r="J14608" s="309"/>
    </row>
    <row r="14609">
      <c r="B14609" s="309"/>
      <c r="C14609" s="309"/>
      <c r="I14609" s="309"/>
      <c r="J14609" s="309"/>
    </row>
    <row r="14610">
      <c r="B14610" s="309"/>
      <c r="C14610" s="309"/>
      <c r="I14610" s="309"/>
      <c r="J14610" s="309"/>
    </row>
    <row r="14611">
      <c r="B14611" s="309"/>
      <c r="C14611" s="309"/>
      <c r="I14611" s="309"/>
      <c r="J14611" s="309"/>
    </row>
    <row r="14612">
      <c r="B14612" s="309"/>
      <c r="C14612" s="309"/>
      <c r="I14612" s="309"/>
      <c r="J14612" s="309"/>
    </row>
    <row r="14613">
      <c r="B14613" s="309"/>
      <c r="C14613" s="309"/>
      <c r="I14613" s="309"/>
      <c r="J14613" s="309"/>
    </row>
    <row r="14614">
      <c r="B14614" s="309"/>
      <c r="C14614" s="309"/>
      <c r="I14614" s="309"/>
      <c r="J14614" s="309"/>
    </row>
    <row r="14615">
      <c r="B14615" s="309"/>
      <c r="C14615" s="309"/>
      <c r="I14615" s="309"/>
      <c r="J14615" s="309"/>
    </row>
    <row r="14616">
      <c r="B14616" s="309"/>
      <c r="C14616" s="309"/>
      <c r="I14616" s="309"/>
      <c r="J14616" s="309"/>
    </row>
    <row r="14617">
      <c r="B14617" s="309"/>
      <c r="C14617" s="309"/>
      <c r="I14617" s="309"/>
      <c r="J14617" s="309"/>
    </row>
    <row r="14618">
      <c r="B14618" s="309"/>
      <c r="C14618" s="309"/>
      <c r="I14618" s="309"/>
      <c r="J14618" s="309"/>
    </row>
    <row r="14619">
      <c r="B14619" s="309"/>
      <c r="C14619" s="309"/>
      <c r="I14619" s="309"/>
      <c r="J14619" s="309"/>
    </row>
    <row r="14620">
      <c r="B14620" s="309"/>
      <c r="C14620" s="309"/>
      <c r="I14620" s="309"/>
      <c r="J14620" s="309"/>
    </row>
    <row r="14621">
      <c r="B14621" s="309"/>
      <c r="C14621" s="309"/>
      <c r="I14621" s="309"/>
      <c r="J14621" s="309"/>
    </row>
    <row r="14622">
      <c r="B14622" s="309"/>
      <c r="C14622" s="309"/>
      <c r="I14622" s="309"/>
      <c r="J14622" s="309"/>
    </row>
    <row r="14623">
      <c r="B14623" s="309"/>
      <c r="C14623" s="309"/>
      <c r="I14623" s="309"/>
      <c r="J14623" s="309"/>
    </row>
    <row r="14624">
      <c r="B14624" s="309"/>
      <c r="C14624" s="309"/>
      <c r="I14624" s="309"/>
      <c r="J14624" s="309"/>
    </row>
    <row r="14625">
      <c r="B14625" s="309"/>
      <c r="C14625" s="309"/>
      <c r="I14625" s="309"/>
      <c r="J14625" s="309"/>
    </row>
    <row r="14626">
      <c r="B14626" s="309"/>
      <c r="C14626" s="309"/>
      <c r="I14626" s="309"/>
      <c r="J14626" s="309"/>
    </row>
    <row r="14627">
      <c r="B14627" s="309"/>
      <c r="C14627" s="309"/>
      <c r="I14627" s="309"/>
      <c r="J14627" s="309"/>
    </row>
    <row r="14628">
      <c r="B14628" s="309"/>
      <c r="C14628" s="309"/>
      <c r="I14628" s="309"/>
      <c r="J14628" s="309"/>
    </row>
    <row r="14629">
      <c r="B14629" s="309"/>
      <c r="C14629" s="309"/>
      <c r="I14629" s="309"/>
      <c r="J14629" s="309"/>
    </row>
    <row r="14630">
      <c r="B14630" s="309"/>
      <c r="C14630" s="309"/>
      <c r="I14630" s="309"/>
      <c r="J14630" s="309"/>
    </row>
    <row r="14631">
      <c r="B14631" s="309"/>
      <c r="C14631" s="309"/>
      <c r="I14631" s="309"/>
      <c r="J14631" s="309"/>
    </row>
    <row r="14632">
      <c r="B14632" s="309"/>
      <c r="C14632" s="309"/>
      <c r="I14632" s="309"/>
      <c r="J14632" s="309"/>
    </row>
    <row r="14633">
      <c r="B14633" s="309"/>
      <c r="C14633" s="309"/>
      <c r="I14633" s="309"/>
      <c r="J14633" s="309"/>
    </row>
    <row r="14634">
      <c r="B14634" s="309"/>
      <c r="C14634" s="309"/>
      <c r="I14634" s="309"/>
      <c r="J14634" s="309"/>
    </row>
    <row r="14635">
      <c r="B14635" s="309"/>
      <c r="C14635" s="309"/>
      <c r="I14635" s="309"/>
      <c r="J14635" s="309"/>
    </row>
    <row r="14636">
      <c r="B14636" s="309"/>
      <c r="C14636" s="309"/>
      <c r="I14636" s="309"/>
      <c r="J14636" s="309"/>
    </row>
    <row r="14637">
      <c r="B14637" s="309"/>
      <c r="C14637" s="309"/>
      <c r="I14637" s="309"/>
      <c r="J14637" s="309"/>
    </row>
    <row r="14638">
      <c r="B14638" s="309"/>
      <c r="C14638" s="309"/>
      <c r="I14638" s="309"/>
      <c r="J14638" s="309"/>
    </row>
    <row r="14639">
      <c r="B14639" s="309"/>
      <c r="C14639" s="309"/>
      <c r="I14639" s="309"/>
      <c r="J14639" s="309"/>
    </row>
    <row r="14640">
      <c r="B14640" s="309"/>
      <c r="C14640" s="309"/>
      <c r="I14640" s="309"/>
      <c r="J14640" s="309"/>
    </row>
    <row r="14641">
      <c r="B14641" s="309"/>
      <c r="C14641" s="309"/>
      <c r="I14641" s="309"/>
      <c r="J14641" s="309"/>
    </row>
    <row r="14642">
      <c r="B14642" s="309"/>
      <c r="C14642" s="309"/>
      <c r="I14642" s="309"/>
      <c r="J14642" s="309"/>
    </row>
    <row r="14643">
      <c r="B14643" s="309"/>
      <c r="C14643" s="309"/>
      <c r="I14643" s="309"/>
      <c r="J14643" s="309"/>
    </row>
    <row r="14644">
      <c r="B14644" s="309"/>
      <c r="C14644" s="309"/>
      <c r="I14644" s="309"/>
      <c r="J14644" s="309"/>
    </row>
    <row r="14645">
      <c r="B14645" s="309"/>
      <c r="C14645" s="309"/>
      <c r="I14645" s="309"/>
      <c r="J14645" s="309"/>
    </row>
    <row r="14646">
      <c r="B14646" s="309"/>
      <c r="C14646" s="309"/>
      <c r="I14646" s="309"/>
      <c r="J14646" s="309"/>
    </row>
    <row r="14647">
      <c r="B14647" s="309"/>
      <c r="C14647" s="309"/>
      <c r="I14647" s="309"/>
      <c r="J14647" s="309"/>
    </row>
    <row r="14648">
      <c r="B14648" s="309"/>
      <c r="C14648" s="309"/>
      <c r="I14648" s="309"/>
      <c r="J14648" s="309"/>
    </row>
    <row r="14649">
      <c r="B14649" s="309"/>
      <c r="C14649" s="309"/>
      <c r="I14649" s="309"/>
      <c r="J14649" s="309"/>
    </row>
    <row r="14650">
      <c r="B14650" s="309"/>
      <c r="C14650" s="309"/>
      <c r="I14650" s="309"/>
      <c r="J14650" s="309"/>
    </row>
    <row r="14651">
      <c r="B14651" s="309"/>
      <c r="C14651" s="309"/>
      <c r="I14651" s="309"/>
      <c r="J14651" s="309"/>
    </row>
    <row r="14652">
      <c r="B14652" s="309"/>
      <c r="C14652" s="309"/>
      <c r="I14652" s="309"/>
      <c r="J14652" s="309"/>
    </row>
    <row r="14653">
      <c r="B14653" s="309"/>
      <c r="C14653" s="309"/>
      <c r="I14653" s="309"/>
      <c r="J14653" s="309"/>
    </row>
    <row r="14654">
      <c r="B14654" s="309"/>
      <c r="C14654" s="309"/>
      <c r="I14654" s="309"/>
      <c r="J14654" s="309"/>
    </row>
    <row r="14655">
      <c r="B14655" s="309"/>
      <c r="C14655" s="309"/>
      <c r="I14655" s="309"/>
      <c r="J14655" s="309"/>
    </row>
    <row r="14656">
      <c r="B14656" s="309"/>
      <c r="C14656" s="309"/>
      <c r="I14656" s="309"/>
      <c r="J14656" s="309"/>
    </row>
    <row r="14657">
      <c r="B14657" s="309"/>
      <c r="C14657" s="309"/>
      <c r="I14657" s="309"/>
      <c r="J14657" s="309"/>
    </row>
    <row r="14658">
      <c r="B14658" s="309"/>
      <c r="C14658" s="309"/>
      <c r="I14658" s="309"/>
      <c r="J14658" s="309"/>
    </row>
    <row r="14659">
      <c r="B14659" s="309"/>
      <c r="C14659" s="309"/>
      <c r="I14659" s="309"/>
      <c r="J14659" s="309"/>
    </row>
    <row r="14660">
      <c r="B14660" s="309"/>
      <c r="C14660" s="309"/>
      <c r="I14660" s="309"/>
      <c r="J14660" s="309"/>
    </row>
    <row r="14661">
      <c r="B14661" s="309"/>
      <c r="C14661" s="309"/>
      <c r="I14661" s="309"/>
      <c r="J14661" s="309"/>
    </row>
    <row r="14662">
      <c r="B14662" s="309"/>
      <c r="C14662" s="309"/>
      <c r="I14662" s="309"/>
      <c r="J14662" s="309"/>
    </row>
    <row r="14663">
      <c r="B14663" s="309"/>
      <c r="C14663" s="309"/>
      <c r="I14663" s="309"/>
      <c r="J14663" s="309"/>
    </row>
    <row r="14664">
      <c r="B14664" s="309"/>
      <c r="C14664" s="309"/>
      <c r="I14664" s="309"/>
      <c r="J14664" s="309"/>
    </row>
    <row r="14665">
      <c r="B14665" s="309"/>
      <c r="C14665" s="309"/>
      <c r="I14665" s="309"/>
      <c r="J14665" s="309"/>
    </row>
    <row r="14666">
      <c r="B14666" s="309"/>
      <c r="C14666" s="309"/>
      <c r="I14666" s="309"/>
      <c r="J14666" s="309"/>
    </row>
    <row r="14667">
      <c r="B14667" s="309"/>
      <c r="C14667" s="309"/>
      <c r="I14667" s="309"/>
      <c r="J14667" s="309"/>
    </row>
    <row r="14668">
      <c r="B14668" s="309"/>
      <c r="C14668" s="309"/>
      <c r="I14668" s="309"/>
      <c r="J14668" s="309"/>
    </row>
    <row r="14669">
      <c r="B14669" s="309"/>
      <c r="C14669" s="309"/>
      <c r="I14669" s="309"/>
      <c r="J14669" s="309"/>
    </row>
    <row r="14670">
      <c r="B14670" s="309"/>
      <c r="C14670" s="309"/>
      <c r="I14670" s="309"/>
      <c r="J14670" s="309"/>
    </row>
    <row r="14671">
      <c r="B14671" s="309"/>
      <c r="C14671" s="309"/>
      <c r="I14671" s="309"/>
      <c r="J14671" s="309"/>
    </row>
    <row r="14672">
      <c r="B14672" s="309"/>
      <c r="C14672" s="309"/>
      <c r="I14672" s="309"/>
      <c r="J14672" s="309"/>
    </row>
    <row r="14673">
      <c r="B14673" s="309"/>
      <c r="C14673" s="309"/>
      <c r="I14673" s="309"/>
      <c r="J14673" s="309"/>
    </row>
    <row r="14674">
      <c r="B14674" s="309"/>
      <c r="C14674" s="309"/>
      <c r="I14674" s="309"/>
      <c r="J14674" s="309"/>
    </row>
    <row r="14675">
      <c r="B14675" s="309"/>
      <c r="C14675" s="309"/>
      <c r="I14675" s="309"/>
      <c r="J14675" s="309"/>
    </row>
    <row r="14676">
      <c r="B14676" s="309"/>
      <c r="C14676" s="309"/>
      <c r="I14676" s="309"/>
      <c r="J14676" s="309"/>
    </row>
    <row r="14677">
      <c r="B14677" s="309"/>
      <c r="C14677" s="309"/>
      <c r="I14677" s="309"/>
      <c r="J14677" s="309"/>
    </row>
    <row r="14678">
      <c r="B14678" s="309"/>
      <c r="C14678" s="309"/>
      <c r="I14678" s="309"/>
      <c r="J14678" s="309"/>
    </row>
    <row r="14679">
      <c r="B14679" s="309"/>
      <c r="C14679" s="309"/>
      <c r="I14679" s="309"/>
      <c r="J14679" s="309"/>
    </row>
    <row r="14680">
      <c r="B14680" s="309"/>
      <c r="C14680" s="309"/>
      <c r="I14680" s="309"/>
      <c r="J14680" s="309"/>
    </row>
    <row r="14681">
      <c r="B14681" s="309"/>
      <c r="C14681" s="309"/>
      <c r="I14681" s="309"/>
      <c r="J14681" s="309"/>
    </row>
    <row r="14682">
      <c r="B14682" s="309"/>
      <c r="C14682" s="309"/>
      <c r="I14682" s="309"/>
      <c r="J14682" s="309"/>
    </row>
    <row r="14683">
      <c r="B14683" s="309"/>
      <c r="C14683" s="309"/>
      <c r="I14683" s="309"/>
      <c r="J14683" s="309"/>
    </row>
    <row r="14684">
      <c r="B14684" s="309"/>
      <c r="C14684" s="309"/>
      <c r="I14684" s="309"/>
      <c r="J14684" s="309"/>
    </row>
    <row r="14685">
      <c r="B14685" s="309"/>
      <c r="C14685" s="309"/>
      <c r="I14685" s="309"/>
      <c r="J14685" s="309"/>
    </row>
    <row r="14686">
      <c r="B14686" s="309"/>
      <c r="C14686" s="309"/>
      <c r="I14686" s="309"/>
      <c r="J14686" s="309"/>
    </row>
    <row r="14687">
      <c r="B14687" s="309"/>
      <c r="C14687" s="309"/>
      <c r="I14687" s="309"/>
      <c r="J14687" s="309"/>
    </row>
    <row r="14688">
      <c r="B14688" s="309"/>
      <c r="C14688" s="309"/>
      <c r="I14688" s="309"/>
      <c r="J14688" s="309"/>
    </row>
    <row r="14689">
      <c r="B14689" s="309"/>
      <c r="C14689" s="309"/>
      <c r="I14689" s="309"/>
      <c r="J14689" s="309"/>
    </row>
    <row r="14690">
      <c r="B14690" s="309"/>
      <c r="C14690" s="309"/>
      <c r="I14690" s="309"/>
      <c r="J14690" s="309"/>
    </row>
    <row r="14691">
      <c r="B14691" s="309"/>
      <c r="C14691" s="309"/>
      <c r="I14691" s="309"/>
      <c r="J14691" s="309"/>
    </row>
    <row r="14692">
      <c r="B14692" s="309"/>
      <c r="C14692" s="309"/>
      <c r="I14692" s="309"/>
      <c r="J14692" s="309"/>
    </row>
    <row r="14693">
      <c r="B14693" s="309"/>
      <c r="C14693" s="309"/>
      <c r="I14693" s="309"/>
      <c r="J14693" s="309"/>
    </row>
    <row r="14694">
      <c r="B14694" s="309"/>
      <c r="C14694" s="309"/>
      <c r="I14694" s="309"/>
      <c r="J14694" s="309"/>
    </row>
    <row r="14695">
      <c r="B14695" s="309"/>
      <c r="C14695" s="309"/>
      <c r="I14695" s="309"/>
      <c r="J14695" s="309"/>
    </row>
    <row r="14696">
      <c r="B14696" s="309"/>
      <c r="C14696" s="309"/>
      <c r="I14696" s="309"/>
      <c r="J14696" s="309"/>
    </row>
    <row r="14697">
      <c r="B14697" s="309"/>
      <c r="C14697" s="309"/>
      <c r="I14697" s="309"/>
      <c r="J14697" s="309"/>
    </row>
    <row r="14698">
      <c r="B14698" s="309"/>
      <c r="C14698" s="309"/>
      <c r="I14698" s="309"/>
      <c r="J14698" s="309"/>
    </row>
    <row r="14699">
      <c r="B14699" s="309"/>
      <c r="C14699" s="309"/>
      <c r="I14699" s="309"/>
      <c r="J14699" s="309"/>
    </row>
    <row r="14700">
      <c r="B14700" s="309"/>
      <c r="C14700" s="309"/>
      <c r="I14700" s="309"/>
      <c r="J14700" s="309"/>
    </row>
    <row r="14701">
      <c r="B14701" s="309"/>
      <c r="C14701" s="309"/>
      <c r="I14701" s="309"/>
      <c r="J14701" s="309"/>
    </row>
    <row r="14702">
      <c r="B14702" s="309"/>
      <c r="C14702" s="309"/>
      <c r="I14702" s="309"/>
      <c r="J14702" s="309"/>
    </row>
    <row r="14703">
      <c r="B14703" s="309"/>
      <c r="C14703" s="309"/>
      <c r="I14703" s="309"/>
      <c r="J14703" s="309"/>
    </row>
    <row r="14704">
      <c r="B14704" s="309"/>
      <c r="C14704" s="309"/>
      <c r="I14704" s="309"/>
      <c r="J14704" s="309"/>
    </row>
    <row r="14705">
      <c r="B14705" s="309"/>
      <c r="C14705" s="309"/>
      <c r="I14705" s="309"/>
      <c r="J14705" s="309"/>
    </row>
    <row r="14706">
      <c r="B14706" s="309"/>
      <c r="C14706" s="309"/>
      <c r="I14706" s="309"/>
      <c r="J14706" s="309"/>
    </row>
    <row r="14707">
      <c r="B14707" s="309"/>
      <c r="C14707" s="309"/>
      <c r="I14707" s="309"/>
      <c r="J14707" s="309"/>
    </row>
    <row r="14708">
      <c r="B14708" s="309"/>
      <c r="C14708" s="309"/>
      <c r="I14708" s="309"/>
      <c r="J14708" s="309"/>
    </row>
    <row r="14709">
      <c r="B14709" s="309"/>
      <c r="C14709" s="309"/>
      <c r="I14709" s="309"/>
      <c r="J14709" s="309"/>
    </row>
    <row r="14710">
      <c r="B14710" s="309"/>
      <c r="C14710" s="309"/>
      <c r="I14710" s="309"/>
      <c r="J14710" s="309"/>
    </row>
    <row r="14711">
      <c r="B14711" s="309"/>
      <c r="C14711" s="309"/>
      <c r="I14711" s="309"/>
      <c r="J14711" s="309"/>
    </row>
    <row r="14712">
      <c r="B14712" s="309"/>
      <c r="C14712" s="309"/>
      <c r="I14712" s="309"/>
      <c r="J14712" s="309"/>
    </row>
    <row r="14713">
      <c r="B14713" s="309"/>
      <c r="C14713" s="309"/>
      <c r="I14713" s="309"/>
      <c r="J14713" s="309"/>
    </row>
    <row r="14714">
      <c r="B14714" s="309"/>
      <c r="C14714" s="309"/>
      <c r="I14714" s="309"/>
      <c r="J14714" s="309"/>
    </row>
    <row r="14715">
      <c r="B14715" s="309"/>
      <c r="C14715" s="309"/>
      <c r="I14715" s="309"/>
      <c r="J14715" s="309"/>
    </row>
    <row r="14716">
      <c r="B14716" s="309"/>
      <c r="C14716" s="309"/>
      <c r="I14716" s="309"/>
      <c r="J14716" s="309"/>
    </row>
    <row r="14717">
      <c r="B14717" s="309"/>
      <c r="C14717" s="309"/>
      <c r="I14717" s="309"/>
      <c r="J14717" s="309"/>
    </row>
    <row r="14718">
      <c r="B14718" s="309"/>
      <c r="C14718" s="309"/>
      <c r="I14718" s="309"/>
      <c r="J14718" s="309"/>
    </row>
    <row r="14719">
      <c r="B14719" s="309"/>
      <c r="C14719" s="309"/>
      <c r="I14719" s="309"/>
      <c r="J14719" s="309"/>
    </row>
    <row r="14720">
      <c r="B14720" s="309"/>
      <c r="C14720" s="309"/>
      <c r="I14720" s="309"/>
      <c r="J14720" s="309"/>
    </row>
    <row r="14721">
      <c r="B14721" s="309"/>
      <c r="C14721" s="309"/>
      <c r="I14721" s="309"/>
      <c r="J14721" s="309"/>
    </row>
    <row r="14722">
      <c r="B14722" s="309"/>
      <c r="C14722" s="309"/>
      <c r="I14722" s="309"/>
      <c r="J14722" s="309"/>
    </row>
    <row r="14723">
      <c r="B14723" s="309"/>
      <c r="C14723" s="309"/>
      <c r="I14723" s="309"/>
      <c r="J14723" s="309"/>
    </row>
    <row r="14724">
      <c r="B14724" s="309"/>
      <c r="C14724" s="309"/>
      <c r="I14724" s="309"/>
      <c r="J14724" s="309"/>
    </row>
    <row r="14725">
      <c r="B14725" s="309"/>
      <c r="C14725" s="309"/>
      <c r="I14725" s="309"/>
      <c r="J14725" s="309"/>
    </row>
    <row r="14726">
      <c r="B14726" s="309"/>
      <c r="C14726" s="309"/>
      <c r="I14726" s="309"/>
      <c r="J14726" s="309"/>
    </row>
    <row r="14727">
      <c r="B14727" s="309"/>
      <c r="C14727" s="309"/>
      <c r="I14727" s="309"/>
      <c r="J14727" s="309"/>
    </row>
    <row r="14728">
      <c r="B14728" s="309"/>
      <c r="C14728" s="309"/>
      <c r="I14728" s="309"/>
      <c r="J14728" s="309"/>
    </row>
    <row r="14729">
      <c r="B14729" s="309"/>
      <c r="C14729" s="309"/>
      <c r="I14729" s="309"/>
      <c r="J14729" s="309"/>
    </row>
    <row r="14730">
      <c r="B14730" s="309"/>
      <c r="C14730" s="309"/>
      <c r="I14730" s="309"/>
      <c r="J14730" s="309"/>
    </row>
    <row r="14731">
      <c r="B14731" s="309"/>
      <c r="C14731" s="309"/>
      <c r="I14731" s="309"/>
      <c r="J14731" s="309"/>
    </row>
    <row r="14732">
      <c r="B14732" s="309"/>
      <c r="C14732" s="309"/>
      <c r="I14732" s="309"/>
      <c r="J14732" s="309"/>
    </row>
    <row r="14733">
      <c r="B14733" s="309"/>
      <c r="C14733" s="309"/>
      <c r="I14733" s="309"/>
      <c r="J14733" s="309"/>
    </row>
    <row r="14734">
      <c r="B14734" s="309"/>
      <c r="C14734" s="309"/>
      <c r="I14734" s="309"/>
      <c r="J14734" s="309"/>
    </row>
    <row r="14735">
      <c r="B14735" s="309"/>
      <c r="C14735" s="309"/>
      <c r="I14735" s="309"/>
      <c r="J14735" s="309"/>
    </row>
    <row r="14736">
      <c r="B14736" s="309"/>
      <c r="C14736" s="309"/>
      <c r="I14736" s="309"/>
      <c r="J14736" s="309"/>
    </row>
    <row r="14737">
      <c r="B14737" s="309"/>
      <c r="C14737" s="309"/>
      <c r="I14737" s="309"/>
      <c r="J14737" s="309"/>
    </row>
    <row r="14738">
      <c r="B14738" s="309"/>
      <c r="C14738" s="309"/>
      <c r="I14738" s="309"/>
      <c r="J14738" s="309"/>
    </row>
    <row r="14739">
      <c r="B14739" s="309"/>
      <c r="C14739" s="309"/>
      <c r="I14739" s="309"/>
      <c r="J14739" s="309"/>
    </row>
    <row r="14740">
      <c r="B14740" s="309"/>
      <c r="C14740" s="309"/>
      <c r="I14740" s="309"/>
      <c r="J14740" s="309"/>
    </row>
    <row r="14741">
      <c r="B14741" s="309"/>
      <c r="C14741" s="309"/>
      <c r="I14741" s="309"/>
      <c r="J14741" s="309"/>
    </row>
    <row r="14742">
      <c r="B14742" s="309"/>
      <c r="C14742" s="309"/>
      <c r="I14742" s="309"/>
      <c r="J14742" s="309"/>
    </row>
    <row r="14743">
      <c r="B14743" s="309"/>
      <c r="C14743" s="309"/>
      <c r="I14743" s="309"/>
      <c r="J14743" s="309"/>
    </row>
    <row r="14744">
      <c r="B14744" s="309"/>
      <c r="C14744" s="309"/>
      <c r="I14744" s="309"/>
      <c r="J14744" s="309"/>
    </row>
    <row r="14745">
      <c r="B14745" s="309"/>
      <c r="C14745" s="309"/>
      <c r="I14745" s="309"/>
      <c r="J14745" s="309"/>
    </row>
    <row r="14746">
      <c r="B14746" s="309"/>
      <c r="C14746" s="309"/>
      <c r="I14746" s="309"/>
      <c r="J14746" s="309"/>
    </row>
    <row r="14747">
      <c r="B14747" s="309"/>
      <c r="C14747" s="309"/>
      <c r="I14747" s="309"/>
      <c r="J14747" s="309"/>
    </row>
    <row r="14748">
      <c r="B14748" s="309"/>
      <c r="C14748" s="309"/>
      <c r="I14748" s="309"/>
      <c r="J14748" s="309"/>
    </row>
    <row r="14749">
      <c r="B14749" s="309"/>
      <c r="C14749" s="309"/>
      <c r="I14749" s="309"/>
      <c r="J14749" s="309"/>
    </row>
    <row r="14750">
      <c r="B14750" s="309"/>
      <c r="C14750" s="309"/>
      <c r="I14750" s="309"/>
      <c r="J14750" s="309"/>
    </row>
    <row r="14751">
      <c r="B14751" s="309"/>
      <c r="C14751" s="309"/>
      <c r="I14751" s="309"/>
      <c r="J14751" s="309"/>
    </row>
    <row r="14752">
      <c r="B14752" s="309"/>
      <c r="C14752" s="309"/>
      <c r="I14752" s="309"/>
      <c r="J14752" s="309"/>
    </row>
    <row r="14753">
      <c r="B14753" s="309"/>
      <c r="C14753" s="309"/>
      <c r="I14753" s="309"/>
      <c r="J14753" s="309"/>
    </row>
    <row r="14754">
      <c r="B14754" s="309"/>
      <c r="C14754" s="309"/>
      <c r="I14754" s="309"/>
      <c r="J14754" s="309"/>
    </row>
    <row r="14755">
      <c r="B14755" s="309"/>
      <c r="C14755" s="309"/>
      <c r="I14755" s="309"/>
      <c r="J14755" s="309"/>
    </row>
    <row r="14756">
      <c r="B14756" s="309"/>
      <c r="C14756" s="309"/>
      <c r="I14756" s="309"/>
      <c r="J14756" s="309"/>
    </row>
    <row r="14757">
      <c r="B14757" s="309"/>
      <c r="C14757" s="309"/>
      <c r="I14757" s="309"/>
      <c r="J14757" s="309"/>
    </row>
    <row r="14758">
      <c r="B14758" s="309"/>
      <c r="C14758" s="309"/>
      <c r="I14758" s="309"/>
      <c r="J14758" s="309"/>
    </row>
    <row r="14759">
      <c r="B14759" s="309"/>
      <c r="C14759" s="309"/>
      <c r="I14759" s="309"/>
      <c r="J14759" s="309"/>
    </row>
    <row r="14760">
      <c r="B14760" s="309"/>
      <c r="C14760" s="309"/>
      <c r="I14760" s="309"/>
      <c r="J14760" s="309"/>
    </row>
    <row r="14761">
      <c r="B14761" s="309"/>
      <c r="C14761" s="309"/>
      <c r="I14761" s="309"/>
      <c r="J14761" s="309"/>
    </row>
    <row r="14762">
      <c r="B14762" s="309"/>
      <c r="C14762" s="309"/>
      <c r="I14762" s="309"/>
      <c r="J14762" s="309"/>
    </row>
    <row r="14763">
      <c r="B14763" s="309"/>
      <c r="C14763" s="309"/>
      <c r="I14763" s="309"/>
      <c r="J14763" s="309"/>
    </row>
    <row r="14764">
      <c r="B14764" s="309"/>
      <c r="C14764" s="309"/>
      <c r="I14764" s="309"/>
      <c r="J14764" s="309"/>
    </row>
    <row r="14765">
      <c r="B14765" s="309"/>
      <c r="C14765" s="309"/>
      <c r="I14765" s="309"/>
      <c r="J14765" s="309"/>
    </row>
    <row r="14766">
      <c r="B14766" s="309"/>
      <c r="C14766" s="309"/>
      <c r="I14766" s="309"/>
      <c r="J14766" s="309"/>
    </row>
    <row r="14767">
      <c r="B14767" s="309"/>
      <c r="C14767" s="309"/>
      <c r="I14767" s="309"/>
      <c r="J14767" s="309"/>
    </row>
    <row r="14768">
      <c r="B14768" s="309"/>
      <c r="C14768" s="309"/>
      <c r="I14768" s="309"/>
      <c r="J14768" s="309"/>
    </row>
    <row r="14769">
      <c r="B14769" s="309"/>
      <c r="C14769" s="309"/>
      <c r="I14769" s="309"/>
      <c r="J14769" s="309"/>
    </row>
    <row r="14770">
      <c r="B14770" s="309"/>
      <c r="C14770" s="309"/>
      <c r="I14770" s="309"/>
      <c r="J14770" s="309"/>
    </row>
    <row r="14771">
      <c r="B14771" s="309"/>
      <c r="C14771" s="309"/>
      <c r="I14771" s="309"/>
      <c r="J14771" s="309"/>
    </row>
    <row r="14772">
      <c r="B14772" s="309"/>
      <c r="C14772" s="309"/>
      <c r="I14772" s="309"/>
      <c r="J14772" s="309"/>
    </row>
    <row r="14773">
      <c r="B14773" s="309"/>
      <c r="C14773" s="309"/>
      <c r="I14773" s="309"/>
      <c r="J14773" s="309"/>
    </row>
    <row r="14774">
      <c r="B14774" s="309"/>
      <c r="C14774" s="309"/>
      <c r="I14774" s="309"/>
      <c r="J14774" s="309"/>
    </row>
    <row r="14775">
      <c r="B14775" s="309"/>
      <c r="C14775" s="309"/>
      <c r="I14775" s="309"/>
      <c r="J14775" s="309"/>
    </row>
    <row r="14776">
      <c r="B14776" s="309"/>
      <c r="C14776" s="309"/>
      <c r="I14776" s="309"/>
      <c r="J14776" s="309"/>
    </row>
    <row r="14777">
      <c r="B14777" s="309"/>
      <c r="C14777" s="309"/>
      <c r="I14777" s="309"/>
      <c r="J14777" s="309"/>
    </row>
    <row r="14778">
      <c r="B14778" s="309"/>
      <c r="C14778" s="309"/>
      <c r="I14778" s="309"/>
      <c r="J14778" s="309"/>
    </row>
    <row r="14779">
      <c r="B14779" s="309"/>
      <c r="C14779" s="309"/>
      <c r="I14779" s="309"/>
      <c r="J14779" s="309"/>
    </row>
    <row r="14780">
      <c r="B14780" s="309"/>
      <c r="C14780" s="309"/>
      <c r="I14780" s="309"/>
      <c r="J14780" s="309"/>
    </row>
    <row r="14781">
      <c r="B14781" s="309"/>
      <c r="C14781" s="309"/>
      <c r="I14781" s="309"/>
      <c r="J14781" s="309"/>
    </row>
    <row r="14782">
      <c r="B14782" s="309"/>
      <c r="C14782" s="309"/>
      <c r="I14782" s="309"/>
      <c r="J14782" s="309"/>
    </row>
    <row r="14783">
      <c r="B14783" s="309"/>
      <c r="C14783" s="309"/>
      <c r="I14783" s="309"/>
      <c r="J14783" s="309"/>
    </row>
    <row r="14784">
      <c r="B14784" s="309"/>
      <c r="C14784" s="309"/>
      <c r="I14784" s="309"/>
      <c r="J14784" s="309"/>
    </row>
    <row r="14785">
      <c r="B14785" s="309"/>
      <c r="C14785" s="309"/>
      <c r="I14785" s="309"/>
      <c r="J14785" s="309"/>
    </row>
    <row r="14786">
      <c r="B14786" s="309"/>
      <c r="C14786" s="309"/>
      <c r="I14786" s="309"/>
      <c r="J14786" s="309"/>
    </row>
    <row r="14787">
      <c r="B14787" s="309"/>
      <c r="C14787" s="309"/>
      <c r="I14787" s="309"/>
      <c r="J14787" s="309"/>
    </row>
    <row r="14788">
      <c r="B14788" s="309"/>
      <c r="C14788" s="309"/>
      <c r="I14788" s="309"/>
      <c r="J14788" s="309"/>
    </row>
    <row r="14789">
      <c r="B14789" s="309"/>
      <c r="C14789" s="309"/>
      <c r="I14789" s="309"/>
      <c r="J14789" s="309"/>
    </row>
    <row r="14790">
      <c r="B14790" s="309"/>
      <c r="C14790" s="309"/>
      <c r="I14790" s="309"/>
      <c r="J14790" s="309"/>
    </row>
    <row r="14791">
      <c r="B14791" s="309"/>
      <c r="C14791" s="309"/>
      <c r="I14791" s="309"/>
      <c r="J14791" s="309"/>
    </row>
    <row r="14792">
      <c r="B14792" s="309"/>
      <c r="C14792" s="309"/>
      <c r="I14792" s="309"/>
      <c r="J14792" s="309"/>
    </row>
    <row r="14793">
      <c r="B14793" s="309"/>
      <c r="C14793" s="309"/>
      <c r="I14793" s="309"/>
      <c r="J14793" s="309"/>
    </row>
    <row r="14794">
      <c r="B14794" s="309"/>
      <c r="C14794" s="309"/>
      <c r="I14794" s="309"/>
      <c r="J14794" s="309"/>
    </row>
    <row r="14795">
      <c r="B14795" s="309"/>
      <c r="C14795" s="309"/>
      <c r="I14795" s="309"/>
      <c r="J14795" s="309"/>
    </row>
    <row r="14796">
      <c r="B14796" s="309"/>
      <c r="C14796" s="309"/>
      <c r="I14796" s="309"/>
      <c r="J14796" s="309"/>
    </row>
    <row r="14797">
      <c r="B14797" s="309"/>
      <c r="C14797" s="309"/>
      <c r="I14797" s="309"/>
      <c r="J14797" s="309"/>
    </row>
    <row r="14798">
      <c r="B14798" s="309"/>
      <c r="C14798" s="309"/>
      <c r="I14798" s="309"/>
      <c r="J14798" s="309"/>
    </row>
    <row r="14799">
      <c r="B14799" s="309"/>
      <c r="C14799" s="309"/>
      <c r="I14799" s="309"/>
      <c r="J14799" s="309"/>
    </row>
    <row r="14800">
      <c r="B14800" s="309"/>
      <c r="C14800" s="309"/>
      <c r="I14800" s="309"/>
      <c r="J14800" s="309"/>
    </row>
    <row r="14801">
      <c r="B14801" s="309"/>
      <c r="C14801" s="309"/>
      <c r="I14801" s="309"/>
      <c r="J14801" s="309"/>
    </row>
    <row r="14802">
      <c r="B14802" s="309"/>
      <c r="C14802" s="309"/>
      <c r="I14802" s="309"/>
      <c r="J14802" s="309"/>
    </row>
    <row r="14803">
      <c r="B14803" s="309"/>
      <c r="C14803" s="309"/>
      <c r="I14803" s="309"/>
      <c r="J14803" s="309"/>
    </row>
    <row r="14804">
      <c r="B14804" s="309"/>
      <c r="C14804" s="309"/>
      <c r="I14804" s="309"/>
      <c r="J14804" s="309"/>
    </row>
    <row r="14805">
      <c r="B14805" s="309"/>
      <c r="C14805" s="309"/>
      <c r="I14805" s="309"/>
      <c r="J14805" s="309"/>
    </row>
    <row r="14806">
      <c r="B14806" s="309"/>
      <c r="C14806" s="309"/>
      <c r="I14806" s="309"/>
      <c r="J14806" s="309"/>
    </row>
    <row r="14807">
      <c r="B14807" s="309"/>
      <c r="C14807" s="309"/>
      <c r="I14807" s="309"/>
      <c r="J14807" s="309"/>
    </row>
    <row r="14808">
      <c r="B14808" s="309"/>
      <c r="C14808" s="309"/>
      <c r="I14808" s="309"/>
      <c r="J14808" s="309"/>
    </row>
    <row r="14809">
      <c r="B14809" s="309"/>
      <c r="C14809" s="309"/>
      <c r="I14809" s="309"/>
      <c r="J14809" s="309"/>
    </row>
    <row r="14810">
      <c r="B14810" s="309"/>
      <c r="C14810" s="309"/>
      <c r="I14810" s="309"/>
      <c r="J14810" s="309"/>
    </row>
    <row r="14811">
      <c r="B14811" s="309"/>
      <c r="C14811" s="309"/>
      <c r="I14811" s="309"/>
      <c r="J14811" s="309"/>
    </row>
    <row r="14812">
      <c r="B14812" s="309"/>
      <c r="C14812" s="309"/>
      <c r="I14812" s="309"/>
      <c r="J14812" s="309"/>
    </row>
    <row r="14813">
      <c r="B14813" s="309"/>
      <c r="C14813" s="309"/>
      <c r="I14813" s="309"/>
      <c r="J14813" s="309"/>
    </row>
    <row r="14814">
      <c r="B14814" s="309"/>
      <c r="C14814" s="309"/>
      <c r="I14814" s="309"/>
      <c r="J14814" s="309"/>
    </row>
    <row r="14815">
      <c r="B14815" s="309"/>
      <c r="C14815" s="309"/>
      <c r="I14815" s="309"/>
      <c r="J14815" s="309"/>
    </row>
    <row r="14816">
      <c r="B14816" s="309"/>
      <c r="C14816" s="309"/>
      <c r="I14816" s="309"/>
      <c r="J14816" s="309"/>
    </row>
    <row r="14817">
      <c r="B14817" s="309"/>
      <c r="C14817" s="309"/>
      <c r="I14817" s="309"/>
      <c r="J14817" s="309"/>
    </row>
    <row r="14818">
      <c r="B14818" s="309"/>
      <c r="C14818" s="309"/>
      <c r="I14818" s="309"/>
      <c r="J14818" s="309"/>
    </row>
    <row r="14819">
      <c r="B14819" s="309"/>
      <c r="C14819" s="309"/>
      <c r="I14819" s="309"/>
      <c r="J14819" s="309"/>
    </row>
    <row r="14820">
      <c r="B14820" s="309"/>
      <c r="C14820" s="309"/>
      <c r="I14820" s="309"/>
      <c r="J14820" s="309"/>
    </row>
    <row r="14821">
      <c r="B14821" s="309"/>
      <c r="C14821" s="309"/>
      <c r="I14821" s="309"/>
      <c r="J14821" s="309"/>
    </row>
    <row r="14822">
      <c r="B14822" s="309"/>
      <c r="C14822" s="309"/>
      <c r="I14822" s="309"/>
      <c r="J14822" s="309"/>
    </row>
    <row r="14823">
      <c r="B14823" s="309"/>
      <c r="C14823" s="309"/>
      <c r="I14823" s="309"/>
      <c r="J14823" s="309"/>
    </row>
    <row r="14824">
      <c r="B14824" s="309"/>
      <c r="C14824" s="309"/>
      <c r="I14824" s="309"/>
      <c r="J14824" s="309"/>
    </row>
    <row r="14825">
      <c r="B14825" s="309"/>
      <c r="C14825" s="309"/>
      <c r="I14825" s="309"/>
      <c r="J14825" s="309"/>
    </row>
    <row r="14826">
      <c r="B14826" s="309"/>
      <c r="C14826" s="309"/>
      <c r="I14826" s="309"/>
      <c r="J14826" s="309"/>
    </row>
    <row r="14827">
      <c r="B14827" s="309"/>
      <c r="C14827" s="309"/>
      <c r="I14827" s="309"/>
      <c r="J14827" s="309"/>
    </row>
    <row r="14828">
      <c r="B14828" s="309"/>
      <c r="C14828" s="309"/>
      <c r="I14828" s="309"/>
      <c r="J14828" s="309"/>
    </row>
    <row r="14829">
      <c r="B14829" s="309"/>
      <c r="C14829" s="309"/>
      <c r="I14829" s="309"/>
      <c r="J14829" s="309"/>
    </row>
    <row r="14830">
      <c r="B14830" s="309"/>
      <c r="C14830" s="309"/>
      <c r="I14830" s="309"/>
      <c r="J14830" s="309"/>
    </row>
    <row r="14831">
      <c r="B14831" s="309"/>
      <c r="C14831" s="309"/>
      <c r="I14831" s="309"/>
      <c r="J14831" s="309"/>
    </row>
    <row r="14832">
      <c r="B14832" s="309"/>
      <c r="C14832" s="309"/>
      <c r="I14832" s="309"/>
      <c r="J14832" s="309"/>
    </row>
    <row r="14833">
      <c r="B14833" s="309"/>
      <c r="C14833" s="309"/>
      <c r="I14833" s="309"/>
      <c r="J14833" s="309"/>
    </row>
    <row r="14834">
      <c r="B14834" s="309"/>
      <c r="C14834" s="309"/>
      <c r="I14834" s="309"/>
      <c r="J14834" s="309"/>
    </row>
    <row r="14835">
      <c r="B14835" s="309"/>
      <c r="C14835" s="309"/>
      <c r="I14835" s="309"/>
      <c r="J14835" s="309"/>
    </row>
    <row r="14836">
      <c r="B14836" s="309"/>
      <c r="C14836" s="309"/>
      <c r="I14836" s="309"/>
      <c r="J14836" s="309"/>
    </row>
    <row r="14837">
      <c r="B14837" s="309"/>
      <c r="C14837" s="309"/>
      <c r="I14837" s="309"/>
      <c r="J14837" s="309"/>
    </row>
    <row r="14838">
      <c r="B14838" s="309"/>
      <c r="C14838" s="309"/>
      <c r="I14838" s="309"/>
      <c r="J14838" s="309"/>
    </row>
    <row r="14839">
      <c r="B14839" s="309"/>
      <c r="C14839" s="309"/>
      <c r="I14839" s="309"/>
      <c r="J14839" s="309"/>
    </row>
    <row r="14840">
      <c r="B14840" s="309"/>
      <c r="C14840" s="309"/>
      <c r="I14840" s="309"/>
      <c r="J14840" s="309"/>
    </row>
    <row r="14841">
      <c r="B14841" s="309"/>
      <c r="C14841" s="309"/>
      <c r="I14841" s="309"/>
      <c r="J14841" s="309"/>
    </row>
    <row r="14842">
      <c r="B14842" s="309"/>
      <c r="C14842" s="309"/>
      <c r="I14842" s="309"/>
      <c r="J14842" s="309"/>
    </row>
    <row r="14843">
      <c r="B14843" s="309"/>
      <c r="C14843" s="309"/>
      <c r="I14843" s="309"/>
      <c r="J14843" s="309"/>
    </row>
    <row r="14844">
      <c r="B14844" s="309"/>
      <c r="C14844" s="309"/>
      <c r="I14844" s="309"/>
      <c r="J14844" s="309"/>
    </row>
    <row r="14845">
      <c r="B14845" s="309"/>
      <c r="C14845" s="309"/>
      <c r="I14845" s="309"/>
      <c r="J14845" s="309"/>
    </row>
    <row r="14846">
      <c r="B14846" s="309"/>
      <c r="C14846" s="309"/>
      <c r="I14846" s="309"/>
      <c r="J14846" s="309"/>
    </row>
    <row r="14847">
      <c r="B14847" s="309"/>
      <c r="C14847" s="309"/>
      <c r="I14847" s="309"/>
      <c r="J14847" s="309"/>
    </row>
    <row r="14848">
      <c r="B14848" s="309"/>
      <c r="C14848" s="309"/>
      <c r="I14848" s="309"/>
      <c r="J14848" s="309"/>
    </row>
    <row r="14849">
      <c r="B14849" s="309"/>
      <c r="C14849" s="309"/>
      <c r="I14849" s="309"/>
      <c r="J14849" s="309"/>
    </row>
    <row r="14850">
      <c r="B14850" s="309"/>
      <c r="C14850" s="309"/>
      <c r="I14850" s="309"/>
      <c r="J14850" s="309"/>
    </row>
    <row r="14851">
      <c r="B14851" s="309"/>
      <c r="C14851" s="309"/>
      <c r="I14851" s="309"/>
      <c r="J14851" s="309"/>
    </row>
    <row r="14852">
      <c r="B14852" s="309"/>
      <c r="C14852" s="309"/>
      <c r="I14852" s="309"/>
      <c r="J14852" s="309"/>
    </row>
    <row r="14853">
      <c r="B14853" s="309"/>
      <c r="C14853" s="309"/>
      <c r="I14853" s="309"/>
      <c r="J14853" s="309"/>
    </row>
    <row r="14854">
      <c r="B14854" s="309"/>
      <c r="C14854" s="309"/>
      <c r="I14854" s="309"/>
      <c r="J14854" s="309"/>
    </row>
    <row r="14855">
      <c r="B14855" s="309"/>
      <c r="C14855" s="309"/>
      <c r="I14855" s="309"/>
      <c r="J14855" s="309"/>
    </row>
    <row r="14856">
      <c r="B14856" s="309"/>
      <c r="C14856" s="309"/>
      <c r="I14856" s="309"/>
      <c r="J14856" s="309"/>
    </row>
    <row r="14857">
      <c r="B14857" s="309"/>
      <c r="C14857" s="309"/>
      <c r="I14857" s="309"/>
      <c r="J14857" s="309"/>
    </row>
    <row r="14858">
      <c r="B14858" s="309"/>
      <c r="C14858" s="309"/>
      <c r="I14858" s="309"/>
      <c r="J14858" s="309"/>
    </row>
    <row r="14859">
      <c r="B14859" s="309"/>
      <c r="C14859" s="309"/>
      <c r="I14859" s="309"/>
      <c r="J14859" s="309"/>
    </row>
    <row r="14860">
      <c r="B14860" s="309"/>
      <c r="C14860" s="309"/>
      <c r="I14860" s="309"/>
      <c r="J14860" s="309"/>
    </row>
    <row r="14861">
      <c r="B14861" s="309"/>
      <c r="C14861" s="309"/>
      <c r="I14861" s="309"/>
      <c r="J14861" s="309"/>
    </row>
    <row r="14862">
      <c r="B14862" s="309"/>
      <c r="C14862" s="309"/>
      <c r="I14862" s="309"/>
      <c r="J14862" s="309"/>
    </row>
    <row r="14863">
      <c r="B14863" s="309"/>
      <c r="C14863" s="309"/>
      <c r="I14863" s="309"/>
      <c r="J14863" s="309"/>
    </row>
    <row r="14864">
      <c r="B14864" s="309"/>
      <c r="C14864" s="309"/>
      <c r="I14864" s="309"/>
      <c r="J14864" s="309"/>
    </row>
    <row r="14865">
      <c r="B14865" s="309"/>
      <c r="C14865" s="309"/>
      <c r="I14865" s="309"/>
      <c r="J14865" s="309"/>
    </row>
    <row r="14866">
      <c r="B14866" s="309"/>
      <c r="C14866" s="309"/>
      <c r="I14866" s="309"/>
      <c r="J14866" s="309"/>
    </row>
    <row r="14867">
      <c r="B14867" s="309"/>
      <c r="C14867" s="309"/>
      <c r="I14867" s="309"/>
      <c r="J14867" s="309"/>
    </row>
    <row r="14868">
      <c r="B14868" s="309"/>
      <c r="C14868" s="309"/>
      <c r="I14868" s="309"/>
      <c r="J14868" s="309"/>
    </row>
    <row r="14869">
      <c r="B14869" s="309"/>
      <c r="C14869" s="309"/>
      <c r="I14869" s="309"/>
      <c r="J14869" s="309"/>
    </row>
    <row r="14870">
      <c r="B14870" s="309"/>
      <c r="C14870" s="309"/>
      <c r="I14870" s="309"/>
      <c r="J14870" s="309"/>
    </row>
    <row r="14871">
      <c r="B14871" s="309"/>
      <c r="C14871" s="309"/>
      <c r="I14871" s="309"/>
      <c r="J14871" s="309"/>
    </row>
    <row r="14872">
      <c r="B14872" s="309"/>
      <c r="C14872" s="309"/>
      <c r="I14872" s="309"/>
      <c r="J14872" s="309"/>
    </row>
    <row r="14873">
      <c r="B14873" s="309"/>
      <c r="C14873" s="309"/>
      <c r="I14873" s="309"/>
      <c r="J14873" s="309"/>
    </row>
    <row r="14874">
      <c r="B14874" s="309"/>
      <c r="C14874" s="309"/>
      <c r="I14874" s="309"/>
      <c r="J14874" s="309"/>
    </row>
    <row r="14875">
      <c r="B14875" s="309"/>
      <c r="C14875" s="309"/>
      <c r="I14875" s="309"/>
      <c r="J14875" s="309"/>
    </row>
    <row r="14876">
      <c r="B14876" s="309"/>
      <c r="C14876" s="309"/>
      <c r="I14876" s="309"/>
      <c r="J14876" s="309"/>
    </row>
    <row r="14877">
      <c r="B14877" s="309"/>
      <c r="C14877" s="309"/>
      <c r="I14877" s="309"/>
      <c r="J14877" s="309"/>
    </row>
    <row r="14878">
      <c r="B14878" s="309"/>
      <c r="C14878" s="309"/>
      <c r="I14878" s="309"/>
      <c r="J14878" s="309"/>
    </row>
    <row r="14879">
      <c r="B14879" s="309"/>
      <c r="C14879" s="309"/>
      <c r="I14879" s="309"/>
      <c r="J14879" s="309"/>
    </row>
    <row r="14880">
      <c r="B14880" s="309"/>
      <c r="C14880" s="309"/>
      <c r="I14880" s="309"/>
      <c r="J14880" s="309"/>
    </row>
    <row r="14881">
      <c r="B14881" s="309"/>
      <c r="C14881" s="309"/>
      <c r="I14881" s="309"/>
      <c r="J14881" s="309"/>
    </row>
    <row r="14882">
      <c r="B14882" s="309"/>
      <c r="C14882" s="309"/>
      <c r="I14882" s="309"/>
      <c r="J14882" s="309"/>
    </row>
    <row r="14883">
      <c r="B14883" s="309"/>
      <c r="C14883" s="309"/>
      <c r="I14883" s="309"/>
      <c r="J14883" s="309"/>
    </row>
    <row r="14884">
      <c r="B14884" s="309"/>
      <c r="C14884" s="309"/>
      <c r="I14884" s="309"/>
      <c r="J14884" s="309"/>
    </row>
    <row r="14885">
      <c r="B14885" s="309"/>
      <c r="C14885" s="309"/>
      <c r="I14885" s="309"/>
      <c r="J14885" s="309"/>
    </row>
    <row r="14886">
      <c r="B14886" s="309"/>
      <c r="C14886" s="309"/>
      <c r="I14886" s="309"/>
      <c r="J14886" s="309"/>
    </row>
    <row r="14887">
      <c r="B14887" s="309"/>
      <c r="C14887" s="309"/>
      <c r="I14887" s="309"/>
      <c r="J14887" s="309"/>
    </row>
    <row r="14888">
      <c r="B14888" s="309"/>
      <c r="C14888" s="309"/>
      <c r="I14888" s="309"/>
      <c r="J14888" s="309"/>
    </row>
    <row r="14889">
      <c r="B14889" s="309"/>
      <c r="C14889" s="309"/>
      <c r="I14889" s="309"/>
      <c r="J14889" s="309"/>
    </row>
    <row r="14890">
      <c r="B14890" s="309"/>
      <c r="C14890" s="309"/>
      <c r="I14890" s="309"/>
      <c r="J14890" s="309"/>
    </row>
    <row r="14891">
      <c r="B14891" s="309"/>
      <c r="C14891" s="309"/>
      <c r="I14891" s="309"/>
      <c r="J14891" s="309"/>
    </row>
    <row r="14892">
      <c r="B14892" s="309"/>
      <c r="C14892" s="309"/>
      <c r="I14892" s="309"/>
      <c r="J14892" s="309"/>
    </row>
    <row r="14893">
      <c r="B14893" s="309"/>
      <c r="C14893" s="309"/>
      <c r="I14893" s="309"/>
      <c r="J14893" s="309"/>
    </row>
    <row r="14894">
      <c r="B14894" s="309"/>
      <c r="C14894" s="309"/>
      <c r="I14894" s="309"/>
      <c r="J14894" s="309"/>
    </row>
    <row r="14895">
      <c r="B14895" s="309"/>
      <c r="C14895" s="309"/>
      <c r="I14895" s="309"/>
      <c r="J14895" s="309"/>
    </row>
    <row r="14896">
      <c r="B14896" s="309"/>
      <c r="C14896" s="309"/>
      <c r="I14896" s="309"/>
      <c r="J14896" s="309"/>
    </row>
    <row r="14897">
      <c r="B14897" s="309"/>
      <c r="C14897" s="309"/>
      <c r="I14897" s="309"/>
      <c r="J14897" s="309"/>
    </row>
    <row r="14898">
      <c r="B14898" s="309"/>
      <c r="C14898" s="309"/>
      <c r="I14898" s="309"/>
      <c r="J14898" s="309"/>
    </row>
    <row r="14899">
      <c r="B14899" s="309"/>
      <c r="C14899" s="309"/>
      <c r="I14899" s="309"/>
      <c r="J14899" s="309"/>
    </row>
    <row r="14900">
      <c r="B14900" s="309"/>
      <c r="C14900" s="309"/>
      <c r="I14900" s="309"/>
      <c r="J14900" s="309"/>
    </row>
    <row r="14901">
      <c r="B14901" s="309"/>
      <c r="C14901" s="309"/>
      <c r="I14901" s="309"/>
      <c r="J14901" s="309"/>
    </row>
    <row r="14902">
      <c r="B14902" s="309"/>
      <c r="C14902" s="309"/>
      <c r="I14902" s="309"/>
      <c r="J14902" s="309"/>
    </row>
    <row r="14903">
      <c r="B14903" s="309"/>
      <c r="C14903" s="309"/>
      <c r="I14903" s="309"/>
      <c r="J14903" s="309"/>
    </row>
    <row r="14904">
      <c r="B14904" s="309"/>
      <c r="C14904" s="309"/>
      <c r="I14904" s="309"/>
      <c r="J14904" s="309"/>
    </row>
    <row r="14905">
      <c r="B14905" s="309"/>
      <c r="C14905" s="309"/>
      <c r="I14905" s="309"/>
      <c r="J14905" s="309"/>
    </row>
    <row r="14906">
      <c r="B14906" s="309"/>
      <c r="C14906" s="309"/>
      <c r="I14906" s="309"/>
      <c r="J14906" s="309"/>
    </row>
    <row r="14907">
      <c r="B14907" s="309"/>
      <c r="C14907" s="309"/>
      <c r="I14907" s="309"/>
      <c r="J14907" s="309"/>
    </row>
    <row r="14908">
      <c r="B14908" s="309"/>
      <c r="C14908" s="309"/>
      <c r="I14908" s="309"/>
      <c r="J14908" s="309"/>
    </row>
    <row r="14909">
      <c r="B14909" s="309"/>
      <c r="C14909" s="309"/>
      <c r="I14909" s="309"/>
      <c r="J14909" s="309"/>
    </row>
    <row r="14910">
      <c r="B14910" s="309"/>
      <c r="C14910" s="309"/>
      <c r="I14910" s="309"/>
      <c r="J14910" s="309"/>
    </row>
    <row r="14911">
      <c r="B14911" s="309"/>
      <c r="C14911" s="309"/>
      <c r="I14911" s="309"/>
      <c r="J14911" s="309"/>
    </row>
    <row r="14912">
      <c r="B14912" s="309"/>
      <c r="C14912" s="309"/>
      <c r="I14912" s="309"/>
      <c r="J14912" s="309"/>
    </row>
    <row r="14913">
      <c r="B14913" s="309"/>
      <c r="C14913" s="309"/>
      <c r="I14913" s="309"/>
      <c r="J14913" s="309"/>
    </row>
    <row r="14914">
      <c r="B14914" s="309"/>
      <c r="C14914" s="309"/>
      <c r="I14914" s="309"/>
      <c r="J14914" s="309"/>
    </row>
    <row r="14915">
      <c r="B14915" s="309"/>
      <c r="C14915" s="309"/>
      <c r="I14915" s="309"/>
      <c r="J14915" s="309"/>
    </row>
    <row r="14916">
      <c r="B14916" s="309"/>
      <c r="C14916" s="309"/>
      <c r="I14916" s="309"/>
      <c r="J14916" s="309"/>
    </row>
    <row r="14917">
      <c r="B14917" s="309"/>
      <c r="C14917" s="309"/>
      <c r="I14917" s="309"/>
      <c r="J14917" s="309"/>
    </row>
    <row r="14918">
      <c r="B14918" s="309"/>
      <c r="C14918" s="309"/>
      <c r="I14918" s="309"/>
      <c r="J14918" s="309"/>
    </row>
    <row r="14919">
      <c r="B14919" s="309"/>
      <c r="C14919" s="309"/>
      <c r="I14919" s="309"/>
      <c r="J14919" s="309"/>
    </row>
    <row r="14920">
      <c r="B14920" s="309"/>
      <c r="C14920" s="309"/>
      <c r="I14920" s="309"/>
      <c r="J14920" s="309"/>
    </row>
    <row r="14921">
      <c r="B14921" s="309"/>
      <c r="C14921" s="309"/>
      <c r="I14921" s="309"/>
      <c r="J14921" s="309"/>
    </row>
    <row r="14922">
      <c r="B14922" s="309"/>
      <c r="C14922" s="309"/>
      <c r="I14922" s="309"/>
      <c r="J14922" s="309"/>
    </row>
    <row r="14923">
      <c r="B14923" s="309"/>
      <c r="C14923" s="309"/>
      <c r="I14923" s="309"/>
      <c r="J14923" s="309"/>
    </row>
    <row r="14924">
      <c r="B14924" s="309"/>
      <c r="C14924" s="309"/>
      <c r="I14924" s="309"/>
      <c r="J14924" s="309"/>
    </row>
    <row r="14925">
      <c r="B14925" s="309"/>
      <c r="C14925" s="309"/>
      <c r="I14925" s="309"/>
      <c r="J14925" s="309"/>
    </row>
    <row r="14926">
      <c r="B14926" s="309"/>
      <c r="C14926" s="309"/>
      <c r="I14926" s="309"/>
      <c r="J14926" s="309"/>
    </row>
    <row r="14927">
      <c r="B14927" s="309"/>
      <c r="C14927" s="309"/>
      <c r="I14927" s="309"/>
      <c r="J14927" s="309"/>
    </row>
    <row r="14928">
      <c r="B14928" s="309"/>
      <c r="C14928" s="309"/>
      <c r="I14928" s="309"/>
      <c r="J14928" s="309"/>
    </row>
    <row r="14929">
      <c r="B14929" s="309"/>
      <c r="C14929" s="309"/>
      <c r="I14929" s="309"/>
      <c r="J14929" s="309"/>
    </row>
    <row r="14930">
      <c r="B14930" s="309"/>
      <c r="C14930" s="309"/>
      <c r="I14930" s="309"/>
      <c r="J14930" s="309"/>
    </row>
    <row r="14931">
      <c r="B14931" s="309"/>
      <c r="C14931" s="309"/>
      <c r="I14931" s="309"/>
      <c r="J14931" s="309"/>
    </row>
    <row r="14932">
      <c r="B14932" s="309"/>
      <c r="C14932" s="309"/>
      <c r="I14932" s="309"/>
      <c r="J14932" s="309"/>
    </row>
    <row r="14933">
      <c r="B14933" s="309"/>
      <c r="C14933" s="309"/>
      <c r="I14933" s="309"/>
      <c r="J14933" s="309"/>
    </row>
    <row r="14934">
      <c r="B14934" s="309"/>
      <c r="C14934" s="309"/>
      <c r="I14934" s="309"/>
      <c r="J14934" s="309"/>
    </row>
    <row r="14935">
      <c r="B14935" s="309"/>
      <c r="C14935" s="309"/>
      <c r="I14935" s="309"/>
      <c r="J14935" s="309"/>
    </row>
    <row r="14936">
      <c r="B14936" s="309"/>
      <c r="C14936" s="309"/>
      <c r="I14936" s="309"/>
      <c r="J14936" s="309"/>
    </row>
    <row r="14937">
      <c r="B14937" s="309"/>
      <c r="C14937" s="309"/>
      <c r="I14937" s="309"/>
      <c r="J14937" s="309"/>
    </row>
    <row r="14938">
      <c r="B14938" s="309"/>
      <c r="C14938" s="309"/>
      <c r="I14938" s="309"/>
      <c r="J14938" s="309"/>
    </row>
    <row r="14939">
      <c r="B14939" s="309"/>
      <c r="C14939" s="309"/>
      <c r="I14939" s="309"/>
      <c r="J14939" s="309"/>
    </row>
    <row r="14940">
      <c r="B14940" s="309"/>
      <c r="C14940" s="309"/>
      <c r="I14940" s="309"/>
      <c r="J14940" s="309"/>
    </row>
    <row r="14941">
      <c r="B14941" s="309"/>
      <c r="C14941" s="309"/>
      <c r="I14941" s="309"/>
      <c r="J14941" s="309"/>
    </row>
    <row r="14942">
      <c r="B14942" s="309"/>
      <c r="C14942" s="309"/>
      <c r="I14942" s="309"/>
      <c r="J14942" s="309"/>
    </row>
    <row r="14943">
      <c r="B14943" s="309"/>
      <c r="C14943" s="309"/>
      <c r="I14943" s="309"/>
      <c r="J14943" s="309"/>
    </row>
    <row r="14944">
      <c r="B14944" s="309"/>
      <c r="C14944" s="309"/>
      <c r="I14944" s="309"/>
      <c r="J14944" s="309"/>
    </row>
    <row r="14945">
      <c r="B14945" s="309"/>
      <c r="C14945" s="309"/>
      <c r="I14945" s="309"/>
      <c r="J14945" s="309"/>
    </row>
    <row r="14946">
      <c r="B14946" s="309"/>
      <c r="C14946" s="309"/>
      <c r="I14946" s="309"/>
      <c r="J14946" s="309"/>
    </row>
    <row r="14947">
      <c r="B14947" s="309"/>
      <c r="C14947" s="309"/>
      <c r="I14947" s="309"/>
      <c r="J14947" s="309"/>
    </row>
    <row r="14948">
      <c r="B14948" s="309"/>
      <c r="C14948" s="309"/>
      <c r="I14948" s="309"/>
      <c r="J14948" s="309"/>
    </row>
    <row r="14949">
      <c r="B14949" s="309"/>
      <c r="C14949" s="309"/>
      <c r="I14949" s="309"/>
      <c r="J14949" s="309"/>
    </row>
    <row r="14950">
      <c r="B14950" s="309"/>
      <c r="C14950" s="309"/>
      <c r="I14950" s="309"/>
      <c r="J14950" s="309"/>
    </row>
    <row r="14951">
      <c r="B14951" s="309"/>
      <c r="C14951" s="309"/>
      <c r="I14951" s="309"/>
      <c r="J14951" s="309"/>
    </row>
    <row r="14952">
      <c r="B14952" s="309"/>
      <c r="C14952" s="309"/>
      <c r="I14952" s="309"/>
      <c r="J14952" s="309"/>
    </row>
    <row r="14953">
      <c r="B14953" s="309"/>
      <c r="C14953" s="309"/>
      <c r="I14953" s="309"/>
      <c r="J14953" s="309"/>
    </row>
    <row r="14954">
      <c r="B14954" s="309"/>
      <c r="C14954" s="309"/>
      <c r="I14954" s="309"/>
      <c r="J14954" s="309"/>
    </row>
    <row r="14955">
      <c r="B14955" s="309"/>
      <c r="C14955" s="309"/>
      <c r="I14955" s="309"/>
      <c r="J14955" s="309"/>
    </row>
    <row r="14956">
      <c r="B14956" s="309"/>
      <c r="C14956" s="309"/>
      <c r="I14956" s="309"/>
      <c r="J14956" s="309"/>
    </row>
    <row r="14957">
      <c r="B14957" s="309"/>
      <c r="C14957" s="309"/>
      <c r="I14957" s="309"/>
      <c r="J14957" s="309"/>
    </row>
    <row r="14958">
      <c r="B14958" s="309"/>
      <c r="C14958" s="309"/>
      <c r="I14958" s="309"/>
      <c r="J14958" s="309"/>
    </row>
    <row r="14959">
      <c r="B14959" s="309"/>
      <c r="C14959" s="309"/>
      <c r="I14959" s="309"/>
      <c r="J14959" s="309"/>
    </row>
    <row r="14960">
      <c r="B14960" s="309"/>
      <c r="C14960" s="309"/>
      <c r="I14960" s="309"/>
      <c r="J14960" s="309"/>
    </row>
    <row r="14961">
      <c r="B14961" s="309"/>
      <c r="C14961" s="309"/>
      <c r="I14961" s="309"/>
      <c r="J14961" s="309"/>
    </row>
    <row r="14962">
      <c r="B14962" s="309"/>
      <c r="C14962" s="309"/>
      <c r="I14962" s="309"/>
      <c r="J14962" s="309"/>
    </row>
    <row r="14963">
      <c r="B14963" s="309"/>
      <c r="C14963" s="309"/>
      <c r="I14963" s="309"/>
      <c r="J14963" s="309"/>
    </row>
    <row r="14964">
      <c r="B14964" s="309"/>
      <c r="C14964" s="309"/>
      <c r="I14964" s="309"/>
      <c r="J14964" s="309"/>
    </row>
    <row r="14965">
      <c r="B14965" s="309"/>
      <c r="C14965" s="309"/>
      <c r="I14965" s="309"/>
      <c r="J14965" s="309"/>
    </row>
    <row r="14966">
      <c r="B14966" s="309"/>
      <c r="C14966" s="309"/>
      <c r="I14966" s="309"/>
      <c r="J14966" s="309"/>
    </row>
    <row r="14967">
      <c r="B14967" s="309"/>
      <c r="C14967" s="309"/>
      <c r="I14967" s="309"/>
      <c r="J14967" s="309"/>
    </row>
    <row r="14968">
      <c r="B14968" s="309"/>
      <c r="C14968" s="309"/>
      <c r="I14968" s="309"/>
      <c r="J14968" s="309"/>
    </row>
    <row r="14969">
      <c r="B14969" s="309"/>
      <c r="C14969" s="309"/>
      <c r="I14969" s="309"/>
      <c r="J14969" s="309"/>
    </row>
    <row r="14970">
      <c r="B14970" s="309"/>
      <c r="C14970" s="309"/>
      <c r="I14970" s="309"/>
      <c r="J14970" s="309"/>
    </row>
    <row r="14971">
      <c r="B14971" s="309"/>
      <c r="C14971" s="309"/>
      <c r="I14971" s="309"/>
      <c r="J14971" s="309"/>
    </row>
    <row r="14972">
      <c r="B14972" s="309"/>
      <c r="C14972" s="309"/>
      <c r="I14972" s="309"/>
      <c r="J14972" s="309"/>
    </row>
    <row r="14973">
      <c r="B14973" s="309"/>
      <c r="C14973" s="309"/>
      <c r="I14973" s="309"/>
      <c r="J14973" s="309"/>
    </row>
    <row r="14974">
      <c r="B14974" s="309"/>
      <c r="C14974" s="309"/>
      <c r="I14974" s="309"/>
      <c r="J14974" s="309"/>
    </row>
    <row r="14975">
      <c r="B14975" s="309"/>
      <c r="C14975" s="309"/>
      <c r="I14975" s="309"/>
      <c r="J14975" s="309"/>
    </row>
    <row r="14976">
      <c r="B14976" s="309"/>
      <c r="C14976" s="309"/>
      <c r="I14976" s="309"/>
      <c r="J14976" s="309"/>
    </row>
    <row r="14977">
      <c r="B14977" s="309"/>
      <c r="C14977" s="309"/>
      <c r="I14977" s="309"/>
      <c r="J14977" s="309"/>
    </row>
    <row r="14978">
      <c r="B14978" s="309"/>
      <c r="C14978" s="309"/>
      <c r="I14978" s="309"/>
      <c r="J14978" s="309"/>
    </row>
    <row r="14979">
      <c r="B14979" s="309"/>
      <c r="C14979" s="309"/>
      <c r="I14979" s="309"/>
      <c r="J14979" s="309"/>
    </row>
    <row r="14980">
      <c r="B14980" s="309"/>
      <c r="C14980" s="309"/>
      <c r="I14980" s="309"/>
      <c r="J14980" s="309"/>
    </row>
    <row r="14981">
      <c r="B14981" s="309"/>
      <c r="C14981" s="309"/>
      <c r="I14981" s="309"/>
      <c r="J14981" s="309"/>
    </row>
    <row r="14982">
      <c r="B14982" s="309"/>
      <c r="C14982" s="309"/>
      <c r="I14982" s="309"/>
      <c r="J14982" s="309"/>
    </row>
    <row r="14983">
      <c r="B14983" s="309"/>
      <c r="C14983" s="309"/>
      <c r="I14983" s="309"/>
      <c r="J14983" s="309"/>
    </row>
    <row r="14984">
      <c r="B14984" s="309"/>
      <c r="C14984" s="309"/>
      <c r="I14984" s="309"/>
      <c r="J14984" s="309"/>
    </row>
    <row r="14985">
      <c r="B14985" s="309"/>
      <c r="C14985" s="309"/>
      <c r="I14985" s="309"/>
      <c r="J14985" s="309"/>
    </row>
    <row r="14986">
      <c r="B14986" s="309"/>
      <c r="C14986" s="309"/>
      <c r="I14986" s="309"/>
      <c r="J14986" s="309"/>
    </row>
    <row r="14987">
      <c r="B14987" s="309"/>
      <c r="C14987" s="309"/>
      <c r="I14987" s="309"/>
      <c r="J14987" s="309"/>
    </row>
    <row r="14988">
      <c r="B14988" s="309"/>
      <c r="C14988" s="309"/>
      <c r="I14988" s="309"/>
      <c r="J14988" s="309"/>
    </row>
    <row r="14989">
      <c r="B14989" s="309"/>
      <c r="C14989" s="309"/>
      <c r="I14989" s="309"/>
      <c r="J14989" s="309"/>
    </row>
    <row r="14990">
      <c r="B14990" s="309"/>
      <c r="C14990" s="309"/>
      <c r="I14990" s="309"/>
      <c r="J14990" s="309"/>
    </row>
    <row r="14991">
      <c r="B14991" s="309"/>
      <c r="C14991" s="309"/>
      <c r="I14991" s="309"/>
      <c r="J14991" s="309"/>
    </row>
    <row r="14992">
      <c r="B14992" s="309"/>
      <c r="C14992" s="309"/>
      <c r="I14992" s="309"/>
      <c r="J14992" s="309"/>
    </row>
    <row r="14993">
      <c r="B14993" s="309"/>
      <c r="C14993" s="309"/>
      <c r="I14993" s="309"/>
      <c r="J14993" s="309"/>
    </row>
    <row r="14994">
      <c r="B14994" s="309"/>
      <c r="C14994" s="309"/>
      <c r="I14994" s="309"/>
      <c r="J14994" s="309"/>
    </row>
    <row r="14995">
      <c r="B14995" s="309"/>
      <c r="C14995" s="309"/>
      <c r="I14995" s="309"/>
      <c r="J14995" s="309"/>
    </row>
    <row r="14996">
      <c r="B14996" s="309"/>
      <c r="C14996" s="309"/>
      <c r="I14996" s="309"/>
      <c r="J14996" s="309"/>
    </row>
    <row r="14997">
      <c r="B14997" s="309"/>
      <c r="C14997" s="309"/>
      <c r="I14997" s="309"/>
      <c r="J14997" s="309"/>
    </row>
    <row r="14998">
      <c r="B14998" s="309"/>
      <c r="C14998" s="309"/>
      <c r="I14998" s="309"/>
      <c r="J14998" s="309"/>
    </row>
    <row r="14999">
      <c r="B14999" s="309"/>
      <c r="C14999" s="309"/>
      <c r="I14999" s="309"/>
      <c r="J14999" s="309"/>
    </row>
    <row r="15000">
      <c r="B15000" s="309"/>
      <c r="C15000" s="309"/>
      <c r="I15000" s="309"/>
      <c r="J15000" s="309"/>
    </row>
    <row r="15001">
      <c r="B15001" s="309"/>
      <c r="C15001" s="309"/>
      <c r="I15001" s="309"/>
      <c r="J15001" s="309"/>
    </row>
    <row r="15002">
      <c r="B15002" s="309"/>
      <c r="C15002" s="309"/>
      <c r="I15002" s="309"/>
      <c r="J15002" s="309"/>
    </row>
    <row r="15003">
      <c r="B15003" s="309"/>
      <c r="C15003" s="309"/>
      <c r="I15003" s="309"/>
      <c r="J15003" s="309"/>
    </row>
    <row r="15004">
      <c r="B15004" s="309"/>
      <c r="C15004" s="309"/>
      <c r="I15004" s="309"/>
      <c r="J15004" s="309"/>
    </row>
    <row r="15005">
      <c r="B15005" s="309"/>
      <c r="C15005" s="309"/>
      <c r="I15005" s="309"/>
      <c r="J15005" s="309"/>
    </row>
    <row r="15006">
      <c r="B15006" s="309"/>
      <c r="C15006" s="309"/>
      <c r="I15006" s="309"/>
      <c r="J15006" s="309"/>
    </row>
    <row r="15007">
      <c r="B15007" s="309"/>
      <c r="C15007" s="309"/>
      <c r="I15007" s="309"/>
      <c r="J15007" s="309"/>
    </row>
    <row r="15008">
      <c r="B15008" s="309"/>
      <c r="C15008" s="309"/>
      <c r="I15008" s="309"/>
      <c r="J15008" s="309"/>
    </row>
    <row r="15009">
      <c r="B15009" s="309"/>
      <c r="C15009" s="309"/>
      <c r="I15009" s="309"/>
      <c r="J15009" s="309"/>
    </row>
    <row r="15010">
      <c r="B15010" s="309"/>
      <c r="C15010" s="309"/>
      <c r="I15010" s="309"/>
      <c r="J15010" s="309"/>
    </row>
    <row r="15011">
      <c r="B15011" s="309"/>
      <c r="C15011" s="309"/>
      <c r="I15011" s="309"/>
      <c r="J15011" s="309"/>
    </row>
    <row r="15012">
      <c r="B15012" s="309"/>
      <c r="C15012" s="309"/>
      <c r="I15012" s="309"/>
      <c r="J15012" s="309"/>
    </row>
    <row r="15013">
      <c r="B15013" s="309"/>
      <c r="C15013" s="309"/>
      <c r="I15013" s="309"/>
      <c r="J15013" s="309"/>
    </row>
    <row r="15014">
      <c r="B15014" s="309"/>
      <c r="C15014" s="309"/>
      <c r="I15014" s="309"/>
      <c r="J15014" s="309"/>
    </row>
    <row r="15015">
      <c r="B15015" s="309"/>
      <c r="C15015" s="309"/>
      <c r="I15015" s="309"/>
      <c r="J15015" s="309"/>
    </row>
    <row r="15016">
      <c r="B15016" s="309"/>
      <c r="C15016" s="309"/>
      <c r="I15016" s="309"/>
      <c r="J15016" s="309"/>
    </row>
    <row r="15017">
      <c r="B15017" s="309"/>
      <c r="C15017" s="309"/>
      <c r="I15017" s="309"/>
      <c r="J15017" s="309"/>
    </row>
    <row r="15018">
      <c r="B15018" s="309"/>
      <c r="C15018" s="309"/>
      <c r="I15018" s="309"/>
      <c r="J15018" s="309"/>
    </row>
    <row r="15019">
      <c r="B15019" s="309"/>
      <c r="C15019" s="309"/>
      <c r="I15019" s="309"/>
      <c r="J15019" s="309"/>
    </row>
    <row r="15020">
      <c r="B15020" s="309"/>
      <c r="C15020" s="309"/>
      <c r="I15020" s="309"/>
      <c r="J15020" s="309"/>
    </row>
    <row r="15021">
      <c r="B15021" s="309"/>
      <c r="C15021" s="309"/>
      <c r="I15021" s="309"/>
      <c r="J15021" s="309"/>
    </row>
    <row r="15022">
      <c r="B15022" s="309"/>
      <c r="C15022" s="309"/>
      <c r="I15022" s="309"/>
      <c r="J15022" s="309"/>
    </row>
    <row r="15023">
      <c r="B15023" s="309"/>
      <c r="C15023" s="309"/>
      <c r="I15023" s="309"/>
      <c r="J15023" s="309"/>
    </row>
    <row r="15024">
      <c r="B15024" s="309"/>
      <c r="C15024" s="309"/>
      <c r="I15024" s="309"/>
      <c r="J15024" s="309"/>
    </row>
    <row r="15025">
      <c r="B15025" s="309"/>
      <c r="C15025" s="309"/>
      <c r="I15025" s="309"/>
      <c r="J15025" s="309"/>
    </row>
    <row r="15026">
      <c r="B15026" s="309"/>
      <c r="C15026" s="309"/>
      <c r="I15026" s="309"/>
      <c r="J15026" s="309"/>
    </row>
    <row r="15027">
      <c r="B15027" s="309"/>
      <c r="C15027" s="309"/>
      <c r="I15027" s="309"/>
      <c r="J15027" s="309"/>
    </row>
    <row r="15028">
      <c r="B15028" s="309"/>
      <c r="C15028" s="309"/>
      <c r="I15028" s="309"/>
      <c r="J15028" s="309"/>
    </row>
    <row r="15029">
      <c r="B15029" s="309"/>
      <c r="C15029" s="309"/>
      <c r="I15029" s="309"/>
      <c r="J15029" s="309"/>
    </row>
    <row r="15030">
      <c r="B15030" s="309"/>
      <c r="C15030" s="309"/>
      <c r="I15030" s="309"/>
      <c r="J15030" s="309"/>
    </row>
    <row r="15031">
      <c r="B15031" s="309"/>
      <c r="C15031" s="309"/>
      <c r="I15031" s="309"/>
      <c r="J15031" s="309"/>
    </row>
    <row r="15032">
      <c r="B15032" s="309"/>
      <c r="C15032" s="309"/>
      <c r="I15032" s="309"/>
      <c r="J15032" s="309"/>
    </row>
    <row r="15033">
      <c r="B15033" s="309"/>
      <c r="C15033" s="309"/>
      <c r="I15033" s="309"/>
      <c r="J15033" s="309"/>
    </row>
    <row r="15034">
      <c r="B15034" s="309"/>
      <c r="C15034" s="309"/>
      <c r="I15034" s="309"/>
      <c r="J15034" s="309"/>
    </row>
    <row r="15035">
      <c r="B15035" s="309"/>
      <c r="C15035" s="309"/>
      <c r="I15035" s="309"/>
      <c r="J15035" s="309"/>
    </row>
    <row r="15036">
      <c r="B15036" s="309"/>
      <c r="C15036" s="309"/>
      <c r="I15036" s="309"/>
      <c r="J15036" s="309"/>
    </row>
    <row r="15037">
      <c r="B15037" s="309"/>
      <c r="C15037" s="309"/>
      <c r="I15037" s="309"/>
      <c r="J15037" s="309"/>
    </row>
    <row r="15038">
      <c r="B15038" s="309"/>
      <c r="C15038" s="309"/>
      <c r="I15038" s="309"/>
      <c r="J15038" s="309"/>
    </row>
    <row r="15039">
      <c r="B15039" s="309"/>
      <c r="C15039" s="309"/>
      <c r="I15039" s="309"/>
      <c r="J15039" s="309"/>
    </row>
    <row r="15040">
      <c r="B15040" s="309"/>
      <c r="C15040" s="309"/>
      <c r="I15040" s="309"/>
      <c r="J15040" s="309"/>
    </row>
    <row r="15041">
      <c r="B15041" s="309"/>
      <c r="C15041" s="309"/>
      <c r="I15041" s="309"/>
      <c r="J15041" s="309"/>
    </row>
    <row r="15042">
      <c r="B15042" s="309"/>
      <c r="C15042" s="309"/>
      <c r="I15042" s="309"/>
      <c r="J15042" s="309"/>
    </row>
    <row r="15043">
      <c r="B15043" s="309"/>
      <c r="C15043" s="309"/>
      <c r="I15043" s="309"/>
      <c r="J15043" s="309"/>
    </row>
    <row r="15044">
      <c r="B15044" s="309"/>
      <c r="C15044" s="309"/>
      <c r="I15044" s="309"/>
      <c r="J15044" s="309"/>
    </row>
    <row r="15045">
      <c r="B15045" s="309"/>
      <c r="C15045" s="309"/>
      <c r="I15045" s="309"/>
      <c r="J15045" s="309"/>
    </row>
    <row r="15046">
      <c r="B15046" s="309"/>
      <c r="C15046" s="309"/>
      <c r="I15046" s="309"/>
      <c r="J15046" s="309"/>
    </row>
    <row r="15047">
      <c r="B15047" s="309"/>
      <c r="C15047" s="309"/>
      <c r="I15047" s="309"/>
      <c r="J15047" s="309"/>
    </row>
    <row r="15048">
      <c r="B15048" s="309"/>
      <c r="C15048" s="309"/>
      <c r="I15048" s="309"/>
      <c r="J15048" s="309"/>
    </row>
    <row r="15049">
      <c r="B15049" s="309"/>
      <c r="C15049" s="309"/>
      <c r="I15049" s="309"/>
      <c r="J15049" s="309"/>
    </row>
    <row r="15050">
      <c r="B15050" s="309"/>
      <c r="C15050" s="309"/>
      <c r="I15050" s="309"/>
      <c r="J15050" s="309"/>
    </row>
    <row r="15051">
      <c r="B15051" s="309"/>
      <c r="C15051" s="309"/>
      <c r="I15051" s="309"/>
      <c r="J15051" s="309"/>
    </row>
    <row r="15052">
      <c r="B15052" s="309"/>
      <c r="C15052" s="309"/>
      <c r="I15052" s="309"/>
      <c r="J15052" s="309"/>
    </row>
    <row r="15053">
      <c r="B15053" s="309"/>
      <c r="C15053" s="309"/>
      <c r="I15053" s="309"/>
      <c r="J15053" s="309"/>
    </row>
    <row r="15054">
      <c r="B15054" s="309"/>
      <c r="C15054" s="309"/>
      <c r="I15054" s="309"/>
      <c r="J15054" s="309"/>
    </row>
    <row r="15055">
      <c r="B15055" s="309"/>
      <c r="C15055" s="309"/>
      <c r="I15055" s="309"/>
      <c r="J15055" s="309"/>
    </row>
    <row r="15056">
      <c r="B15056" s="309"/>
      <c r="C15056" s="309"/>
      <c r="I15056" s="309"/>
      <c r="J15056" s="309"/>
    </row>
    <row r="15057">
      <c r="B15057" s="309"/>
      <c r="C15057" s="309"/>
      <c r="I15057" s="309"/>
      <c r="J15057" s="309"/>
    </row>
    <row r="15058">
      <c r="B15058" s="309"/>
      <c r="C15058" s="309"/>
      <c r="I15058" s="309"/>
      <c r="J15058" s="309"/>
    </row>
    <row r="15059">
      <c r="B15059" s="309"/>
      <c r="C15059" s="309"/>
      <c r="I15059" s="309"/>
      <c r="J15059" s="309"/>
    </row>
    <row r="15060">
      <c r="B15060" s="309"/>
      <c r="C15060" s="309"/>
      <c r="I15060" s="309"/>
      <c r="J15060" s="309"/>
    </row>
    <row r="15061">
      <c r="B15061" s="309"/>
      <c r="C15061" s="309"/>
      <c r="I15061" s="309"/>
      <c r="J15061" s="309"/>
    </row>
    <row r="15062">
      <c r="B15062" s="309"/>
      <c r="C15062" s="309"/>
      <c r="I15062" s="309"/>
      <c r="J15062" s="309"/>
    </row>
    <row r="15063">
      <c r="B15063" s="309"/>
      <c r="C15063" s="309"/>
      <c r="I15063" s="309"/>
      <c r="J15063" s="309"/>
    </row>
    <row r="15064">
      <c r="B15064" s="309"/>
      <c r="C15064" s="309"/>
      <c r="I15064" s="309"/>
      <c r="J15064" s="309"/>
    </row>
    <row r="15065">
      <c r="B15065" s="309"/>
      <c r="C15065" s="309"/>
      <c r="I15065" s="309"/>
      <c r="J15065" s="309"/>
    </row>
    <row r="15066">
      <c r="B15066" s="309"/>
      <c r="C15066" s="309"/>
      <c r="I15066" s="309"/>
      <c r="J15066" s="309"/>
    </row>
    <row r="15067">
      <c r="B15067" s="309"/>
      <c r="C15067" s="309"/>
      <c r="I15067" s="309"/>
      <c r="J15067" s="309"/>
    </row>
    <row r="15068">
      <c r="B15068" s="309"/>
      <c r="C15068" s="309"/>
      <c r="I15068" s="309"/>
      <c r="J15068" s="309"/>
    </row>
    <row r="15069">
      <c r="B15069" s="309"/>
      <c r="C15069" s="309"/>
      <c r="I15069" s="309"/>
      <c r="J15069" s="309"/>
    </row>
    <row r="15070">
      <c r="B15070" s="309"/>
      <c r="C15070" s="309"/>
      <c r="I15070" s="309"/>
      <c r="J15070" s="309"/>
    </row>
    <row r="15071">
      <c r="B15071" s="309"/>
      <c r="C15071" s="309"/>
      <c r="I15071" s="309"/>
      <c r="J15071" s="309"/>
    </row>
    <row r="15072">
      <c r="B15072" s="309"/>
      <c r="C15072" s="309"/>
      <c r="I15072" s="309"/>
      <c r="J15072" s="309"/>
    </row>
    <row r="15073">
      <c r="B15073" s="309"/>
      <c r="C15073" s="309"/>
      <c r="I15073" s="309"/>
      <c r="J15073" s="309"/>
    </row>
    <row r="15074">
      <c r="B15074" s="309"/>
      <c r="C15074" s="309"/>
      <c r="I15074" s="309"/>
      <c r="J15074" s="309"/>
    </row>
    <row r="15075">
      <c r="B15075" s="309"/>
      <c r="C15075" s="309"/>
      <c r="I15075" s="309"/>
      <c r="J15075" s="309"/>
    </row>
    <row r="15076">
      <c r="B15076" s="309"/>
      <c r="C15076" s="309"/>
      <c r="I15076" s="309"/>
      <c r="J15076" s="309"/>
    </row>
    <row r="15077">
      <c r="B15077" s="309"/>
      <c r="C15077" s="309"/>
      <c r="I15077" s="309"/>
      <c r="J15077" s="309"/>
    </row>
    <row r="15078">
      <c r="B15078" s="309"/>
      <c r="C15078" s="309"/>
      <c r="I15078" s="309"/>
      <c r="J15078" s="309"/>
    </row>
    <row r="15079">
      <c r="B15079" s="309"/>
      <c r="C15079" s="309"/>
      <c r="I15079" s="309"/>
      <c r="J15079" s="309"/>
    </row>
    <row r="15080">
      <c r="B15080" s="309"/>
      <c r="C15080" s="309"/>
      <c r="I15080" s="309"/>
      <c r="J15080" s="309"/>
    </row>
    <row r="15081">
      <c r="B15081" s="309"/>
      <c r="C15081" s="309"/>
      <c r="I15081" s="309"/>
      <c r="J15081" s="309"/>
    </row>
    <row r="15082">
      <c r="B15082" s="309"/>
      <c r="C15082" s="309"/>
      <c r="I15082" s="309"/>
      <c r="J15082" s="309"/>
    </row>
    <row r="15083">
      <c r="B15083" s="309"/>
      <c r="C15083" s="309"/>
      <c r="I15083" s="309"/>
      <c r="J15083" s="309"/>
    </row>
    <row r="15084">
      <c r="B15084" s="309"/>
      <c r="C15084" s="309"/>
      <c r="I15084" s="309"/>
      <c r="J15084" s="309"/>
    </row>
    <row r="15085">
      <c r="B15085" s="309"/>
      <c r="C15085" s="309"/>
      <c r="I15085" s="309"/>
      <c r="J15085" s="309"/>
    </row>
    <row r="15086">
      <c r="B15086" s="309"/>
      <c r="C15086" s="309"/>
      <c r="I15086" s="309"/>
      <c r="J15086" s="309"/>
    </row>
    <row r="15087">
      <c r="B15087" s="309"/>
      <c r="C15087" s="309"/>
      <c r="I15087" s="309"/>
      <c r="J15087" s="309"/>
    </row>
    <row r="15088">
      <c r="B15088" s="309"/>
      <c r="C15088" s="309"/>
      <c r="I15088" s="309"/>
      <c r="J15088" s="309"/>
    </row>
    <row r="15089">
      <c r="B15089" s="309"/>
      <c r="C15089" s="309"/>
      <c r="I15089" s="309"/>
      <c r="J15089" s="309"/>
    </row>
    <row r="15090">
      <c r="B15090" s="309"/>
      <c r="C15090" s="309"/>
      <c r="I15090" s="309"/>
      <c r="J15090" s="309"/>
    </row>
    <row r="15091">
      <c r="B15091" s="309"/>
      <c r="C15091" s="309"/>
      <c r="I15091" s="309"/>
      <c r="J15091" s="309"/>
    </row>
    <row r="15092">
      <c r="B15092" s="309"/>
      <c r="C15092" s="309"/>
      <c r="I15092" s="309"/>
      <c r="J15092" s="309"/>
    </row>
    <row r="15093">
      <c r="B15093" s="309"/>
      <c r="C15093" s="309"/>
      <c r="I15093" s="309"/>
      <c r="J15093" s="309"/>
    </row>
    <row r="15094">
      <c r="B15094" s="309"/>
      <c r="C15094" s="309"/>
      <c r="I15094" s="309"/>
      <c r="J15094" s="309"/>
    </row>
    <row r="15095">
      <c r="B15095" s="309"/>
      <c r="C15095" s="309"/>
      <c r="I15095" s="309"/>
      <c r="J15095" s="309"/>
    </row>
    <row r="15096">
      <c r="B15096" s="309"/>
      <c r="C15096" s="309"/>
      <c r="I15096" s="309"/>
      <c r="J15096" s="309"/>
    </row>
    <row r="15097">
      <c r="B15097" s="309"/>
      <c r="C15097" s="309"/>
      <c r="I15097" s="309"/>
      <c r="J15097" s="309"/>
    </row>
    <row r="15098">
      <c r="B15098" s="309"/>
      <c r="C15098" s="309"/>
      <c r="I15098" s="309"/>
      <c r="J15098" s="309"/>
    </row>
    <row r="15099">
      <c r="B15099" s="309"/>
      <c r="C15099" s="309"/>
      <c r="I15099" s="309"/>
      <c r="J15099" s="309"/>
    </row>
    <row r="15100">
      <c r="B15100" s="309"/>
      <c r="C15100" s="309"/>
      <c r="I15100" s="309"/>
      <c r="J15100" s="309"/>
    </row>
    <row r="15101">
      <c r="B15101" s="309"/>
      <c r="C15101" s="309"/>
      <c r="I15101" s="309"/>
      <c r="J15101" s="309"/>
    </row>
    <row r="15102">
      <c r="B15102" s="309"/>
      <c r="C15102" s="309"/>
      <c r="I15102" s="309"/>
      <c r="J15102" s="309"/>
    </row>
    <row r="15103">
      <c r="B15103" s="309"/>
      <c r="C15103" s="309"/>
      <c r="I15103" s="309"/>
      <c r="J15103" s="309"/>
    </row>
    <row r="15104">
      <c r="B15104" s="309"/>
      <c r="C15104" s="309"/>
      <c r="I15104" s="309"/>
      <c r="J15104" s="309"/>
    </row>
    <row r="15105">
      <c r="B15105" s="309"/>
      <c r="C15105" s="309"/>
      <c r="I15105" s="309"/>
      <c r="J15105" s="309"/>
    </row>
    <row r="15106">
      <c r="B15106" s="309"/>
      <c r="C15106" s="309"/>
      <c r="I15106" s="309"/>
      <c r="J15106" s="309"/>
    </row>
    <row r="15107">
      <c r="B15107" s="309"/>
      <c r="C15107" s="309"/>
      <c r="I15107" s="309"/>
      <c r="J15107" s="309"/>
    </row>
    <row r="15108">
      <c r="B15108" s="309"/>
      <c r="C15108" s="309"/>
      <c r="I15108" s="309"/>
      <c r="J15108" s="309"/>
    </row>
    <row r="15109">
      <c r="B15109" s="309"/>
      <c r="C15109" s="309"/>
      <c r="I15109" s="309"/>
      <c r="J15109" s="309"/>
    </row>
    <row r="15110">
      <c r="B15110" s="309"/>
      <c r="C15110" s="309"/>
      <c r="I15110" s="309"/>
      <c r="J15110" s="309"/>
    </row>
    <row r="15111">
      <c r="B15111" s="309"/>
      <c r="C15111" s="309"/>
      <c r="I15111" s="309"/>
      <c r="J15111" s="309"/>
    </row>
    <row r="15112">
      <c r="B15112" s="309"/>
      <c r="C15112" s="309"/>
      <c r="I15112" s="309"/>
      <c r="J15112" s="309"/>
    </row>
    <row r="15113">
      <c r="B15113" s="309"/>
      <c r="C15113" s="309"/>
      <c r="I15113" s="309"/>
      <c r="J15113" s="309"/>
    </row>
    <row r="15114">
      <c r="B15114" s="309"/>
      <c r="C15114" s="309"/>
      <c r="I15114" s="309"/>
      <c r="J15114" s="309"/>
    </row>
    <row r="15115">
      <c r="B15115" s="309"/>
      <c r="C15115" s="309"/>
      <c r="I15115" s="309"/>
      <c r="J15115" s="309"/>
    </row>
    <row r="15116">
      <c r="B15116" s="309"/>
      <c r="C15116" s="309"/>
      <c r="I15116" s="309"/>
      <c r="J15116" s="309"/>
    </row>
    <row r="15117">
      <c r="B15117" s="309"/>
      <c r="C15117" s="309"/>
      <c r="I15117" s="309"/>
      <c r="J15117" s="309"/>
    </row>
    <row r="15118">
      <c r="B15118" s="309"/>
      <c r="C15118" s="309"/>
      <c r="I15118" s="309"/>
      <c r="J15118" s="309"/>
    </row>
    <row r="15119">
      <c r="B15119" s="309"/>
      <c r="C15119" s="309"/>
      <c r="I15119" s="309"/>
      <c r="J15119" s="309"/>
    </row>
    <row r="15120">
      <c r="B15120" s="309"/>
      <c r="C15120" s="309"/>
      <c r="I15120" s="309"/>
      <c r="J15120" s="309"/>
    </row>
    <row r="15121">
      <c r="B15121" s="309"/>
      <c r="C15121" s="309"/>
      <c r="I15121" s="309"/>
      <c r="J15121" s="309"/>
    </row>
    <row r="15122">
      <c r="B15122" s="309"/>
      <c r="C15122" s="309"/>
      <c r="I15122" s="309"/>
      <c r="J15122" s="309"/>
    </row>
    <row r="15123">
      <c r="B15123" s="309"/>
      <c r="C15123" s="309"/>
      <c r="I15123" s="309"/>
      <c r="J15123" s="309"/>
    </row>
    <row r="15124">
      <c r="B15124" s="309"/>
      <c r="C15124" s="309"/>
      <c r="I15124" s="309"/>
      <c r="J15124" s="309"/>
    </row>
    <row r="15125">
      <c r="B15125" s="309"/>
      <c r="C15125" s="309"/>
      <c r="I15125" s="309"/>
      <c r="J15125" s="309"/>
    </row>
    <row r="15126">
      <c r="B15126" s="309"/>
      <c r="C15126" s="309"/>
      <c r="I15126" s="309"/>
      <c r="J15126" s="309"/>
    </row>
    <row r="15127">
      <c r="B15127" s="309"/>
      <c r="C15127" s="309"/>
      <c r="I15127" s="309"/>
      <c r="J15127" s="309"/>
    </row>
    <row r="15128">
      <c r="B15128" s="309"/>
      <c r="C15128" s="309"/>
      <c r="I15128" s="309"/>
      <c r="J15128" s="309"/>
    </row>
    <row r="15129">
      <c r="B15129" s="309"/>
      <c r="C15129" s="309"/>
      <c r="I15129" s="309"/>
      <c r="J15129" s="309"/>
    </row>
    <row r="15130">
      <c r="B15130" s="309"/>
      <c r="C15130" s="309"/>
      <c r="I15130" s="309"/>
      <c r="J15130" s="309"/>
    </row>
    <row r="15131">
      <c r="B15131" s="309"/>
      <c r="C15131" s="309"/>
      <c r="I15131" s="309"/>
      <c r="J15131" s="309"/>
    </row>
    <row r="15132">
      <c r="B15132" s="309"/>
      <c r="C15132" s="309"/>
      <c r="I15132" s="309"/>
      <c r="J15132" s="309"/>
    </row>
    <row r="15133">
      <c r="B15133" s="309"/>
      <c r="C15133" s="309"/>
      <c r="I15133" s="309"/>
      <c r="J15133" s="309"/>
    </row>
    <row r="15134">
      <c r="B15134" s="309"/>
      <c r="C15134" s="309"/>
      <c r="I15134" s="309"/>
      <c r="J15134" s="309"/>
    </row>
    <row r="15135">
      <c r="B15135" s="309"/>
      <c r="C15135" s="309"/>
      <c r="I15135" s="309"/>
      <c r="J15135" s="309"/>
    </row>
    <row r="15136">
      <c r="B15136" s="309"/>
      <c r="C15136" s="309"/>
      <c r="I15136" s="309"/>
      <c r="J15136" s="309"/>
    </row>
    <row r="15137">
      <c r="B15137" s="309"/>
      <c r="C15137" s="309"/>
      <c r="I15137" s="309"/>
      <c r="J15137" s="309"/>
    </row>
    <row r="15138">
      <c r="B15138" s="309"/>
      <c r="C15138" s="309"/>
      <c r="I15138" s="309"/>
      <c r="J15138" s="309"/>
    </row>
    <row r="15139">
      <c r="B15139" s="309"/>
      <c r="C15139" s="309"/>
      <c r="I15139" s="309"/>
      <c r="J15139" s="309"/>
    </row>
    <row r="15140">
      <c r="B15140" s="309"/>
      <c r="C15140" s="309"/>
      <c r="I15140" s="309"/>
      <c r="J15140" s="309"/>
    </row>
    <row r="15141">
      <c r="B15141" s="309"/>
      <c r="C15141" s="309"/>
      <c r="I15141" s="309"/>
      <c r="J15141" s="309"/>
    </row>
    <row r="15142">
      <c r="B15142" s="309"/>
      <c r="C15142" s="309"/>
      <c r="I15142" s="309"/>
      <c r="J15142" s="309"/>
    </row>
    <row r="15143">
      <c r="B15143" s="309"/>
      <c r="C15143" s="309"/>
      <c r="I15143" s="309"/>
      <c r="J15143" s="309"/>
    </row>
    <row r="15144">
      <c r="B15144" s="309"/>
      <c r="C15144" s="309"/>
      <c r="I15144" s="309"/>
      <c r="J15144" s="309"/>
    </row>
    <row r="15145">
      <c r="B15145" s="309"/>
      <c r="C15145" s="309"/>
      <c r="I15145" s="309"/>
      <c r="J15145" s="309"/>
    </row>
    <row r="15146">
      <c r="B15146" s="309"/>
      <c r="C15146" s="309"/>
      <c r="I15146" s="309"/>
      <c r="J15146" s="309"/>
    </row>
    <row r="15147">
      <c r="B15147" s="309"/>
      <c r="C15147" s="309"/>
      <c r="I15147" s="309"/>
      <c r="J15147" s="309"/>
    </row>
    <row r="15148">
      <c r="B15148" s="309"/>
      <c r="C15148" s="309"/>
      <c r="I15148" s="309"/>
      <c r="J15148" s="309"/>
    </row>
    <row r="15149">
      <c r="B15149" s="309"/>
      <c r="C15149" s="309"/>
      <c r="I15149" s="309"/>
      <c r="J15149" s="309"/>
    </row>
    <row r="15150">
      <c r="B15150" s="309"/>
      <c r="C15150" s="309"/>
      <c r="I15150" s="309"/>
      <c r="J15150" s="309"/>
    </row>
    <row r="15151">
      <c r="B15151" s="309"/>
      <c r="C15151" s="309"/>
      <c r="I15151" s="309"/>
      <c r="J15151" s="309"/>
    </row>
    <row r="15152">
      <c r="B15152" s="309"/>
      <c r="C15152" s="309"/>
      <c r="I15152" s="309"/>
      <c r="J15152" s="309"/>
    </row>
    <row r="15153">
      <c r="B15153" s="309"/>
      <c r="C15153" s="309"/>
      <c r="I15153" s="309"/>
      <c r="J15153" s="309"/>
    </row>
    <row r="15154">
      <c r="B15154" s="309"/>
      <c r="C15154" s="309"/>
      <c r="I15154" s="309"/>
      <c r="J15154" s="309"/>
    </row>
    <row r="15155">
      <c r="B15155" s="309"/>
      <c r="C15155" s="309"/>
      <c r="I15155" s="309"/>
      <c r="J15155" s="309"/>
    </row>
    <row r="15156">
      <c r="B15156" s="309"/>
      <c r="C15156" s="309"/>
      <c r="I15156" s="309"/>
      <c r="J15156" s="309"/>
    </row>
    <row r="15157">
      <c r="B15157" s="309"/>
      <c r="C15157" s="309"/>
      <c r="I15157" s="309"/>
      <c r="J15157" s="309"/>
    </row>
    <row r="15158">
      <c r="B15158" s="309"/>
      <c r="C15158" s="309"/>
      <c r="I15158" s="309"/>
      <c r="J15158" s="309"/>
    </row>
    <row r="15159">
      <c r="B15159" s="309"/>
      <c r="C15159" s="309"/>
      <c r="I15159" s="309"/>
      <c r="J15159" s="309"/>
    </row>
    <row r="15160">
      <c r="B15160" s="309"/>
      <c r="C15160" s="309"/>
      <c r="I15160" s="309"/>
      <c r="J15160" s="309"/>
    </row>
    <row r="15161">
      <c r="B15161" s="309"/>
      <c r="C15161" s="309"/>
      <c r="I15161" s="309"/>
      <c r="J15161" s="309"/>
    </row>
    <row r="15162">
      <c r="B15162" s="309"/>
      <c r="C15162" s="309"/>
      <c r="I15162" s="309"/>
      <c r="J15162" s="309"/>
    </row>
    <row r="15163">
      <c r="B15163" s="309"/>
      <c r="C15163" s="309"/>
      <c r="I15163" s="309"/>
      <c r="J15163" s="309"/>
    </row>
    <row r="15164">
      <c r="B15164" s="309"/>
      <c r="C15164" s="309"/>
      <c r="I15164" s="309"/>
      <c r="J15164" s="309"/>
    </row>
    <row r="15165">
      <c r="B15165" s="309"/>
      <c r="C15165" s="309"/>
      <c r="I15165" s="309"/>
      <c r="J15165" s="309"/>
    </row>
    <row r="15166">
      <c r="B15166" s="309"/>
      <c r="C15166" s="309"/>
      <c r="I15166" s="309"/>
      <c r="J15166" s="309"/>
    </row>
    <row r="15167">
      <c r="B15167" s="309"/>
      <c r="C15167" s="309"/>
      <c r="I15167" s="309"/>
      <c r="J15167" s="309"/>
    </row>
    <row r="15168">
      <c r="B15168" s="309"/>
      <c r="C15168" s="309"/>
      <c r="I15168" s="309"/>
      <c r="J15168" s="309"/>
    </row>
    <row r="15169">
      <c r="B15169" s="309"/>
      <c r="C15169" s="309"/>
      <c r="I15169" s="309"/>
      <c r="J15169" s="309"/>
    </row>
    <row r="15170">
      <c r="B15170" s="309"/>
      <c r="C15170" s="309"/>
      <c r="I15170" s="309"/>
      <c r="J15170" s="309"/>
    </row>
    <row r="15171">
      <c r="B15171" s="309"/>
      <c r="C15171" s="309"/>
      <c r="I15171" s="309"/>
      <c r="J15171" s="309"/>
    </row>
    <row r="15172">
      <c r="B15172" s="309"/>
      <c r="C15172" s="309"/>
      <c r="I15172" s="309"/>
      <c r="J15172" s="309"/>
    </row>
    <row r="15173">
      <c r="B15173" s="309"/>
      <c r="C15173" s="309"/>
      <c r="I15173" s="309"/>
      <c r="J15173" s="309"/>
    </row>
    <row r="15174">
      <c r="B15174" s="309"/>
      <c r="C15174" s="309"/>
      <c r="I15174" s="309"/>
      <c r="J15174" s="309"/>
    </row>
    <row r="15175">
      <c r="B15175" s="309"/>
      <c r="C15175" s="309"/>
      <c r="I15175" s="309"/>
      <c r="J15175" s="309"/>
    </row>
    <row r="15176">
      <c r="B15176" s="309"/>
      <c r="C15176" s="309"/>
      <c r="I15176" s="309"/>
      <c r="J15176" s="309"/>
    </row>
    <row r="15177">
      <c r="B15177" s="309"/>
      <c r="C15177" s="309"/>
      <c r="I15177" s="309"/>
      <c r="J15177" s="309"/>
    </row>
    <row r="15178">
      <c r="B15178" s="309"/>
      <c r="C15178" s="309"/>
      <c r="I15178" s="309"/>
      <c r="J15178" s="309"/>
    </row>
    <row r="15179">
      <c r="B15179" s="309"/>
      <c r="C15179" s="309"/>
      <c r="I15179" s="309"/>
      <c r="J15179" s="309"/>
    </row>
    <row r="15180">
      <c r="B15180" s="309"/>
      <c r="C15180" s="309"/>
      <c r="I15180" s="309"/>
      <c r="J15180" s="309"/>
    </row>
    <row r="15181">
      <c r="B15181" s="309"/>
      <c r="C15181" s="309"/>
      <c r="I15181" s="309"/>
      <c r="J15181" s="309"/>
    </row>
    <row r="15182">
      <c r="B15182" s="309"/>
      <c r="C15182" s="309"/>
      <c r="I15182" s="309"/>
      <c r="J15182" s="309"/>
    </row>
    <row r="15183">
      <c r="B15183" s="309"/>
      <c r="C15183" s="309"/>
      <c r="I15183" s="309"/>
      <c r="J15183" s="309"/>
    </row>
    <row r="15184">
      <c r="B15184" s="309"/>
      <c r="C15184" s="309"/>
      <c r="I15184" s="309"/>
      <c r="J15184" s="309"/>
    </row>
    <row r="15185">
      <c r="B15185" s="309"/>
      <c r="C15185" s="309"/>
      <c r="I15185" s="309"/>
      <c r="J15185" s="309"/>
    </row>
    <row r="15186">
      <c r="B15186" s="309"/>
      <c r="C15186" s="309"/>
      <c r="I15186" s="309"/>
      <c r="J15186" s="309"/>
    </row>
    <row r="15187">
      <c r="B15187" s="309"/>
      <c r="C15187" s="309"/>
      <c r="I15187" s="309"/>
      <c r="J15187" s="309"/>
    </row>
    <row r="15188">
      <c r="B15188" s="309"/>
      <c r="C15188" s="309"/>
      <c r="I15188" s="309"/>
      <c r="J15188" s="309"/>
    </row>
    <row r="15189">
      <c r="B15189" s="309"/>
      <c r="C15189" s="309"/>
      <c r="I15189" s="309"/>
      <c r="J15189" s="309"/>
    </row>
    <row r="15190">
      <c r="B15190" s="309"/>
      <c r="C15190" s="309"/>
      <c r="I15190" s="309"/>
      <c r="J15190" s="309"/>
    </row>
    <row r="15191">
      <c r="B15191" s="309"/>
      <c r="C15191" s="309"/>
      <c r="I15191" s="309"/>
      <c r="J15191" s="309"/>
    </row>
    <row r="15192">
      <c r="B15192" s="309"/>
      <c r="C15192" s="309"/>
      <c r="I15192" s="309"/>
      <c r="J15192" s="309"/>
    </row>
    <row r="15193">
      <c r="B15193" s="309"/>
      <c r="C15193" s="309"/>
      <c r="I15193" s="309"/>
      <c r="J15193" s="309"/>
    </row>
    <row r="15194">
      <c r="B15194" s="309"/>
      <c r="C15194" s="309"/>
      <c r="I15194" s="309"/>
      <c r="J15194" s="309"/>
    </row>
    <row r="15195">
      <c r="B15195" s="309"/>
      <c r="C15195" s="309"/>
      <c r="I15195" s="309"/>
      <c r="J15195" s="309"/>
    </row>
    <row r="15196">
      <c r="B15196" s="309"/>
      <c r="C15196" s="309"/>
      <c r="I15196" s="309"/>
      <c r="J15196" s="309"/>
    </row>
    <row r="15197">
      <c r="B15197" s="309"/>
      <c r="C15197" s="309"/>
      <c r="I15197" s="309"/>
      <c r="J15197" s="309"/>
    </row>
    <row r="15198">
      <c r="B15198" s="309"/>
      <c r="C15198" s="309"/>
      <c r="I15198" s="309"/>
      <c r="J15198" s="309"/>
    </row>
    <row r="15199">
      <c r="B15199" s="309"/>
      <c r="C15199" s="309"/>
      <c r="I15199" s="309"/>
      <c r="J15199" s="309"/>
    </row>
    <row r="15200">
      <c r="B15200" s="309"/>
      <c r="C15200" s="309"/>
      <c r="I15200" s="309"/>
      <c r="J15200" s="309"/>
    </row>
    <row r="15201">
      <c r="B15201" s="309"/>
      <c r="C15201" s="309"/>
      <c r="I15201" s="309"/>
      <c r="J15201" s="309"/>
    </row>
    <row r="15202">
      <c r="B15202" s="309"/>
      <c r="C15202" s="309"/>
      <c r="I15202" s="309"/>
      <c r="J15202" s="309"/>
    </row>
    <row r="15203">
      <c r="B15203" s="309"/>
      <c r="C15203" s="309"/>
      <c r="I15203" s="309"/>
      <c r="J15203" s="309"/>
    </row>
    <row r="15204">
      <c r="B15204" s="309"/>
      <c r="C15204" s="309"/>
      <c r="I15204" s="309"/>
      <c r="J15204" s="309"/>
    </row>
    <row r="15205">
      <c r="B15205" s="309"/>
      <c r="C15205" s="309"/>
      <c r="I15205" s="309"/>
      <c r="J15205" s="309"/>
    </row>
    <row r="15206">
      <c r="B15206" s="309"/>
      <c r="C15206" s="309"/>
      <c r="I15206" s="309"/>
      <c r="J15206" s="309"/>
    </row>
    <row r="15207">
      <c r="B15207" s="309"/>
      <c r="C15207" s="309"/>
      <c r="I15207" s="309"/>
      <c r="J15207" s="309"/>
    </row>
    <row r="15208">
      <c r="B15208" s="309"/>
      <c r="C15208" s="309"/>
      <c r="I15208" s="309"/>
      <c r="J15208" s="309"/>
    </row>
    <row r="15209">
      <c r="B15209" s="309"/>
      <c r="C15209" s="309"/>
      <c r="I15209" s="309"/>
      <c r="J15209" s="309"/>
    </row>
    <row r="15210">
      <c r="B15210" s="309"/>
      <c r="C15210" s="309"/>
      <c r="I15210" s="309"/>
      <c r="J15210" s="309"/>
    </row>
    <row r="15211">
      <c r="B15211" s="309"/>
      <c r="C15211" s="309"/>
      <c r="I15211" s="309"/>
      <c r="J15211" s="309"/>
    </row>
    <row r="15212">
      <c r="B15212" s="309"/>
      <c r="C15212" s="309"/>
      <c r="I15212" s="309"/>
      <c r="J15212" s="309"/>
    </row>
    <row r="15213">
      <c r="B15213" s="309"/>
      <c r="C15213" s="309"/>
      <c r="I15213" s="309"/>
      <c r="J15213" s="309"/>
    </row>
    <row r="15214">
      <c r="B15214" s="309"/>
      <c r="C15214" s="309"/>
      <c r="I15214" s="309"/>
      <c r="J15214" s="309"/>
    </row>
    <row r="15215">
      <c r="B15215" s="309"/>
      <c r="C15215" s="309"/>
      <c r="I15215" s="309"/>
      <c r="J15215" s="309"/>
    </row>
    <row r="15216">
      <c r="B15216" s="309"/>
      <c r="C15216" s="309"/>
      <c r="I15216" s="309"/>
      <c r="J15216" s="309"/>
    </row>
    <row r="15217">
      <c r="B15217" s="309"/>
      <c r="C15217" s="309"/>
      <c r="I15217" s="309"/>
      <c r="J15217" s="309"/>
    </row>
    <row r="15218">
      <c r="B15218" s="309"/>
      <c r="C15218" s="309"/>
      <c r="I15218" s="309"/>
      <c r="J15218" s="309"/>
    </row>
    <row r="15219">
      <c r="B15219" s="309"/>
      <c r="C15219" s="309"/>
      <c r="I15219" s="309"/>
      <c r="J15219" s="309"/>
    </row>
    <row r="15220">
      <c r="B15220" s="309"/>
      <c r="C15220" s="309"/>
      <c r="I15220" s="309"/>
      <c r="J15220" s="309"/>
    </row>
    <row r="15221">
      <c r="B15221" s="309"/>
      <c r="C15221" s="309"/>
      <c r="I15221" s="309"/>
      <c r="J15221" s="309"/>
    </row>
    <row r="15222">
      <c r="B15222" s="309"/>
      <c r="C15222" s="309"/>
      <c r="I15222" s="309"/>
      <c r="J15222" s="309"/>
    </row>
    <row r="15223">
      <c r="B15223" s="309"/>
      <c r="C15223" s="309"/>
      <c r="I15223" s="309"/>
      <c r="J15223" s="309"/>
    </row>
    <row r="15224">
      <c r="B15224" s="309"/>
      <c r="C15224" s="309"/>
      <c r="I15224" s="309"/>
      <c r="J15224" s="309"/>
    </row>
    <row r="15225">
      <c r="B15225" s="309"/>
      <c r="C15225" s="309"/>
      <c r="I15225" s="309"/>
      <c r="J15225" s="309"/>
    </row>
    <row r="15226">
      <c r="B15226" s="309"/>
      <c r="C15226" s="309"/>
      <c r="I15226" s="309"/>
      <c r="J15226" s="309"/>
    </row>
    <row r="15227">
      <c r="B15227" s="309"/>
      <c r="C15227" s="309"/>
      <c r="I15227" s="309"/>
      <c r="J15227" s="309"/>
    </row>
    <row r="15228">
      <c r="B15228" s="309"/>
      <c r="C15228" s="309"/>
      <c r="I15228" s="309"/>
      <c r="J15228" s="309"/>
    </row>
    <row r="15229">
      <c r="B15229" s="309"/>
      <c r="C15229" s="309"/>
      <c r="I15229" s="309"/>
      <c r="J15229" s="309"/>
    </row>
    <row r="15230">
      <c r="B15230" s="309"/>
      <c r="C15230" s="309"/>
      <c r="I15230" s="309"/>
      <c r="J15230" s="309"/>
    </row>
    <row r="15231">
      <c r="B15231" s="309"/>
      <c r="C15231" s="309"/>
      <c r="I15231" s="309"/>
      <c r="J15231" s="309"/>
    </row>
    <row r="15232">
      <c r="B15232" s="309"/>
      <c r="C15232" s="309"/>
      <c r="I15232" s="309"/>
      <c r="J15232" s="309"/>
    </row>
    <row r="15233">
      <c r="B15233" s="309"/>
      <c r="C15233" s="309"/>
      <c r="I15233" s="309"/>
      <c r="J15233" s="309"/>
    </row>
    <row r="15234">
      <c r="B15234" s="309"/>
      <c r="C15234" s="309"/>
      <c r="I15234" s="309"/>
      <c r="J15234" s="309"/>
    </row>
    <row r="15235">
      <c r="B15235" s="309"/>
      <c r="C15235" s="309"/>
      <c r="I15235" s="309"/>
      <c r="J15235" s="309"/>
    </row>
    <row r="15236">
      <c r="B15236" s="309"/>
      <c r="C15236" s="309"/>
      <c r="I15236" s="309"/>
      <c r="J15236" s="309"/>
    </row>
    <row r="15237">
      <c r="B15237" s="309"/>
      <c r="C15237" s="309"/>
      <c r="I15237" s="309"/>
      <c r="J15237" s="309"/>
    </row>
    <row r="15238">
      <c r="B15238" s="309"/>
      <c r="C15238" s="309"/>
      <c r="I15238" s="309"/>
      <c r="J15238" s="309"/>
    </row>
    <row r="15239">
      <c r="B15239" s="309"/>
      <c r="C15239" s="309"/>
      <c r="I15239" s="309"/>
      <c r="J15239" s="309"/>
    </row>
    <row r="15240">
      <c r="B15240" s="309"/>
      <c r="C15240" s="309"/>
      <c r="I15240" s="309"/>
      <c r="J15240" s="309"/>
    </row>
    <row r="15241">
      <c r="B15241" s="309"/>
      <c r="C15241" s="309"/>
      <c r="I15241" s="309"/>
      <c r="J15241" s="309"/>
    </row>
    <row r="15242">
      <c r="B15242" s="309"/>
      <c r="C15242" s="309"/>
      <c r="I15242" s="309"/>
      <c r="J15242" s="309"/>
    </row>
    <row r="15243">
      <c r="B15243" s="309"/>
      <c r="C15243" s="309"/>
      <c r="I15243" s="309"/>
      <c r="J15243" s="309"/>
    </row>
    <row r="15244">
      <c r="B15244" s="309"/>
      <c r="C15244" s="309"/>
      <c r="I15244" s="309"/>
      <c r="J15244" s="309"/>
    </row>
    <row r="15245">
      <c r="B15245" s="309"/>
      <c r="C15245" s="309"/>
      <c r="I15245" s="309"/>
      <c r="J15245" s="309"/>
    </row>
    <row r="15246">
      <c r="B15246" s="309"/>
      <c r="C15246" s="309"/>
      <c r="I15246" s="309"/>
      <c r="J15246" s="309"/>
    </row>
    <row r="15247">
      <c r="B15247" s="309"/>
      <c r="C15247" s="309"/>
      <c r="I15247" s="309"/>
      <c r="J15247" s="309"/>
    </row>
    <row r="15248">
      <c r="B15248" s="309"/>
      <c r="C15248" s="309"/>
      <c r="I15248" s="309"/>
      <c r="J15248" s="309"/>
    </row>
    <row r="15249">
      <c r="B15249" s="309"/>
      <c r="C15249" s="309"/>
      <c r="I15249" s="309"/>
      <c r="J15249" s="309"/>
    </row>
    <row r="15250">
      <c r="B15250" s="309"/>
      <c r="C15250" s="309"/>
      <c r="I15250" s="309"/>
      <c r="J15250" s="309"/>
    </row>
    <row r="15251">
      <c r="B15251" s="309"/>
      <c r="C15251" s="309"/>
      <c r="I15251" s="309"/>
      <c r="J15251" s="309"/>
    </row>
    <row r="15252">
      <c r="B15252" s="309"/>
      <c r="C15252" s="309"/>
      <c r="I15252" s="309"/>
      <c r="J15252" s="309"/>
    </row>
    <row r="15253">
      <c r="B15253" s="309"/>
      <c r="C15253" s="309"/>
      <c r="I15253" s="309"/>
      <c r="J15253" s="309"/>
    </row>
    <row r="15254">
      <c r="B15254" s="309"/>
      <c r="C15254" s="309"/>
      <c r="I15254" s="309"/>
      <c r="J15254" s="309"/>
    </row>
    <row r="15255">
      <c r="B15255" s="309"/>
      <c r="C15255" s="309"/>
      <c r="I15255" s="309"/>
      <c r="J15255" s="309"/>
    </row>
    <row r="15256">
      <c r="B15256" s="309"/>
      <c r="C15256" s="309"/>
      <c r="I15256" s="309"/>
      <c r="J15256" s="309"/>
    </row>
    <row r="15257">
      <c r="B15257" s="309"/>
      <c r="C15257" s="309"/>
      <c r="I15257" s="309"/>
      <c r="J15257" s="309"/>
    </row>
    <row r="15258">
      <c r="B15258" s="309"/>
      <c r="C15258" s="309"/>
      <c r="I15258" s="309"/>
      <c r="J15258" s="309"/>
    </row>
    <row r="15259">
      <c r="B15259" s="309"/>
      <c r="C15259" s="309"/>
      <c r="I15259" s="309"/>
      <c r="J15259" s="309"/>
    </row>
    <row r="15260">
      <c r="B15260" s="309"/>
      <c r="C15260" s="309"/>
      <c r="I15260" s="309"/>
      <c r="J15260" s="309"/>
    </row>
    <row r="15261">
      <c r="B15261" s="309"/>
      <c r="C15261" s="309"/>
      <c r="I15261" s="309"/>
      <c r="J15261" s="309"/>
    </row>
    <row r="15262">
      <c r="B15262" s="309"/>
      <c r="C15262" s="309"/>
      <c r="I15262" s="309"/>
      <c r="J15262" s="309"/>
    </row>
    <row r="15263">
      <c r="B15263" s="309"/>
      <c r="C15263" s="309"/>
      <c r="I15263" s="309"/>
      <c r="J15263" s="309"/>
    </row>
    <row r="15264">
      <c r="B15264" s="309"/>
      <c r="C15264" s="309"/>
      <c r="I15264" s="309"/>
      <c r="J15264" s="309"/>
    </row>
    <row r="15265">
      <c r="B15265" s="309"/>
      <c r="C15265" s="309"/>
      <c r="I15265" s="309"/>
      <c r="J15265" s="309"/>
    </row>
    <row r="15266">
      <c r="B15266" s="309"/>
      <c r="C15266" s="309"/>
      <c r="I15266" s="309"/>
      <c r="J15266" s="309"/>
    </row>
    <row r="15267">
      <c r="B15267" s="309"/>
      <c r="C15267" s="309"/>
      <c r="I15267" s="309"/>
      <c r="J15267" s="309"/>
    </row>
    <row r="15268">
      <c r="B15268" s="309"/>
      <c r="C15268" s="309"/>
      <c r="I15268" s="309"/>
      <c r="J15268" s="309"/>
    </row>
    <row r="15269">
      <c r="B15269" s="309"/>
      <c r="C15269" s="309"/>
      <c r="I15269" s="309"/>
      <c r="J15269" s="309"/>
    </row>
    <row r="15270">
      <c r="B15270" s="309"/>
      <c r="C15270" s="309"/>
      <c r="I15270" s="309"/>
      <c r="J15270" s="309"/>
    </row>
    <row r="15271">
      <c r="B15271" s="309"/>
      <c r="C15271" s="309"/>
      <c r="I15271" s="309"/>
      <c r="J15271" s="309"/>
    </row>
    <row r="15272">
      <c r="B15272" s="309"/>
      <c r="C15272" s="309"/>
      <c r="I15272" s="309"/>
      <c r="J15272" s="309"/>
    </row>
    <row r="15273">
      <c r="B15273" s="309"/>
      <c r="C15273" s="309"/>
      <c r="I15273" s="309"/>
      <c r="J15273" s="309"/>
    </row>
    <row r="15274">
      <c r="B15274" s="309"/>
      <c r="C15274" s="309"/>
      <c r="I15274" s="309"/>
      <c r="J15274" s="309"/>
    </row>
    <row r="15275">
      <c r="B15275" s="309"/>
      <c r="C15275" s="309"/>
      <c r="I15275" s="309"/>
      <c r="J15275" s="309"/>
    </row>
    <row r="15276">
      <c r="B15276" s="309"/>
      <c r="C15276" s="309"/>
      <c r="I15276" s="309"/>
      <c r="J15276" s="309"/>
    </row>
    <row r="15277">
      <c r="B15277" s="309"/>
      <c r="C15277" s="309"/>
      <c r="I15277" s="309"/>
      <c r="J15277" s="309"/>
    </row>
    <row r="15278">
      <c r="B15278" s="309"/>
      <c r="C15278" s="309"/>
      <c r="I15278" s="309"/>
      <c r="J15278" s="309"/>
    </row>
    <row r="15279">
      <c r="B15279" s="309"/>
      <c r="C15279" s="309"/>
      <c r="I15279" s="309"/>
      <c r="J15279" s="309"/>
    </row>
    <row r="15280">
      <c r="B15280" s="309"/>
      <c r="C15280" s="309"/>
      <c r="I15280" s="309"/>
      <c r="J15280" s="309"/>
    </row>
    <row r="15281">
      <c r="B15281" s="309"/>
      <c r="C15281" s="309"/>
      <c r="I15281" s="309"/>
      <c r="J15281" s="309"/>
    </row>
    <row r="15282">
      <c r="B15282" s="309"/>
      <c r="C15282" s="309"/>
      <c r="I15282" s="309"/>
      <c r="J15282" s="309"/>
    </row>
    <row r="15283">
      <c r="B15283" s="309"/>
      <c r="C15283" s="309"/>
      <c r="I15283" s="309"/>
      <c r="J15283" s="309"/>
    </row>
    <row r="15284">
      <c r="B15284" s="309"/>
      <c r="C15284" s="309"/>
      <c r="I15284" s="309"/>
      <c r="J15284" s="309"/>
    </row>
    <row r="15285">
      <c r="B15285" s="309"/>
      <c r="C15285" s="309"/>
      <c r="I15285" s="309"/>
      <c r="J15285" s="309"/>
    </row>
    <row r="15286">
      <c r="B15286" s="309"/>
      <c r="C15286" s="309"/>
      <c r="I15286" s="309"/>
      <c r="J15286" s="309"/>
    </row>
    <row r="15287">
      <c r="B15287" s="309"/>
      <c r="C15287" s="309"/>
      <c r="I15287" s="309"/>
      <c r="J15287" s="309"/>
    </row>
    <row r="15288">
      <c r="B15288" s="309"/>
      <c r="C15288" s="309"/>
      <c r="I15288" s="309"/>
      <c r="J15288" s="309"/>
    </row>
    <row r="15289">
      <c r="B15289" s="309"/>
      <c r="C15289" s="309"/>
      <c r="I15289" s="309"/>
      <c r="J15289" s="309"/>
    </row>
    <row r="15290">
      <c r="B15290" s="309"/>
      <c r="C15290" s="309"/>
      <c r="I15290" s="309"/>
      <c r="J15290" s="309"/>
    </row>
    <row r="15291">
      <c r="B15291" s="309"/>
      <c r="C15291" s="309"/>
      <c r="I15291" s="309"/>
      <c r="J15291" s="309"/>
    </row>
    <row r="15292">
      <c r="B15292" s="309"/>
      <c r="C15292" s="309"/>
      <c r="I15292" s="309"/>
      <c r="J15292" s="309"/>
    </row>
    <row r="15293">
      <c r="B15293" s="309"/>
      <c r="C15293" s="309"/>
      <c r="I15293" s="309"/>
      <c r="J15293" s="309"/>
    </row>
    <row r="15294">
      <c r="B15294" s="309"/>
      <c r="C15294" s="309"/>
      <c r="I15294" s="309"/>
      <c r="J15294" s="309"/>
    </row>
    <row r="15295">
      <c r="B15295" s="309"/>
      <c r="C15295" s="309"/>
      <c r="I15295" s="309"/>
      <c r="J15295" s="309"/>
    </row>
    <row r="15296">
      <c r="B15296" s="309"/>
      <c r="C15296" s="309"/>
      <c r="I15296" s="309"/>
      <c r="J15296" s="309"/>
    </row>
    <row r="15297">
      <c r="B15297" s="309"/>
      <c r="C15297" s="309"/>
      <c r="I15297" s="309"/>
      <c r="J15297" s="309"/>
    </row>
    <row r="15298">
      <c r="B15298" s="309"/>
      <c r="C15298" s="309"/>
      <c r="I15298" s="309"/>
      <c r="J15298" s="309"/>
    </row>
    <row r="15299">
      <c r="B15299" s="309"/>
      <c r="C15299" s="309"/>
      <c r="I15299" s="309"/>
      <c r="J15299" s="309"/>
    </row>
    <row r="15300">
      <c r="B15300" s="309"/>
      <c r="C15300" s="309"/>
      <c r="I15300" s="309"/>
      <c r="J15300" s="309"/>
    </row>
    <row r="15301">
      <c r="B15301" s="309"/>
      <c r="C15301" s="309"/>
      <c r="I15301" s="309"/>
      <c r="J15301" s="309"/>
    </row>
    <row r="15302">
      <c r="B15302" s="309"/>
      <c r="C15302" s="309"/>
      <c r="I15302" s="309"/>
      <c r="J15302" s="309"/>
    </row>
    <row r="15303">
      <c r="B15303" s="309"/>
      <c r="C15303" s="309"/>
      <c r="I15303" s="309"/>
      <c r="J15303" s="309"/>
    </row>
    <row r="15304">
      <c r="B15304" s="309"/>
      <c r="C15304" s="309"/>
      <c r="I15304" s="309"/>
      <c r="J15304" s="309"/>
    </row>
    <row r="15305">
      <c r="B15305" s="309"/>
      <c r="C15305" s="309"/>
      <c r="I15305" s="309"/>
      <c r="J15305" s="309"/>
    </row>
    <row r="15306">
      <c r="B15306" s="309"/>
      <c r="C15306" s="309"/>
      <c r="I15306" s="309"/>
      <c r="J15306" s="309"/>
    </row>
    <row r="15307">
      <c r="B15307" s="309"/>
      <c r="C15307" s="309"/>
      <c r="I15307" s="309"/>
      <c r="J15307" s="309"/>
    </row>
    <row r="15308">
      <c r="B15308" s="309"/>
      <c r="C15308" s="309"/>
      <c r="I15308" s="309"/>
      <c r="J15308" s="309"/>
    </row>
    <row r="15309">
      <c r="B15309" s="309"/>
      <c r="C15309" s="309"/>
      <c r="I15309" s="309"/>
      <c r="J15309" s="309"/>
    </row>
    <row r="15310">
      <c r="B15310" s="309"/>
      <c r="C15310" s="309"/>
      <c r="I15310" s="309"/>
      <c r="J15310" s="309"/>
    </row>
    <row r="15311">
      <c r="B15311" s="309"/>
      <c r="C15311" s="309"/>
      <c r="I15311" s="309"/>
      <c r="J15311" s="309"/>
    </row>
    <row r="15312">
      <c r="B15312" s="309"/>
      <c r="C15312" s="309"/>
      <c r="I15312" s="309"/>
      <c r="J15312" s="309"/>
    </row>
    <row r="15313">
      <c r="B15313" s="309"/>
      <c r="C15313" s="309"/>
      <c r="I15313" s="309"/>
      <c r="J15313" s="309"/>
    </row>
    <row r="15314">
      <c r="B15314" s="309"/>
      <c r="C15314" s="309"/>
      <c r="I15314" s="309"/>
      <c r="J15314" s="309"/>
    </row>
    <row r="15315">
      <c r="B15315" s="309"/>
      <c r="C15315" s="309"/>
      <c r="I15315" s="309"/>
      <c r="J15315" s="309"/>
    </row>
    <row r="15316">
      <c r="B15316" s="309"/>
      <c r="C15316" s="309"/>
      <c r="I15316" s="309"/>
      <c r="J15316" s="309"/>
    </row>
    <row r="15317">
      <c r="B15317" s="309"/>
      <c r="C15317" s="309"/>
      <c r="I15317" s="309"/>
      <c r="J15317" s="309"/>
    </row>
    <row r="15318">
      <c r="B15318" s="309"/>
      <c r="C15318" s="309"/>
      <c r="I15318" s="309"/>
      <c r="J15318" s="309"/>
    </row>
    <row r="15319">
      <c r="B15319" s="309"/>
      <c r="C15319" s="309"/>
      <c r="I15319" s="309"/>
      <c r="J15319" s="309"/>
    </row>
    <row r="15320">
      <c r="B15320" s="309"/>
      <c r="C15320" s="309"/>
      <c r="I15320" s="309"/>
      <c r="J15320" s="309"/>
    </row>
    <row r="15321">
      <c r="B15321" s="309"/>
      <c r="C15321" s="309"/>
      <c r="I15321" s="309"/>
      <c r="J15321" s="309"/>
    </row>
    <row r="15322">
      <c r="B15322" s="309"/>
      <c r="C15322" s="309"/>
      <c r="I15322" s="309"/>
      <c r="J15322" s="309"/>
    </row>
    <row r="15323">
      <c r="B15323" s="309"/>
      <c r="C15323" s="309"/>
      <c r="I15323" s="309"/>
      <c r="J15323" s="309"/>
    </row>
    <row r="15324">
      <c r="B15324" s="309"/>
      <c r="C15324" s="309"/>
      <c r="I15324" s="309"/>
      <c r="J15324" s="309"/>
    </row>
    <row r="15325">
      <c r="B15325" s="309"/>
      <c r="C15325" s="309"/>
      <c r="I15325" s="309"/>
      <c r="J15325" s="309"/>
    </row>
    <row r="15326">
      <c r="B15326" s="309"/>
      <c r="C15326" s="309"/>
      <c r="I15326" s="309"/>
      <c r="J15326" s="309"/>
    </row>
    <row r="15327">
      <c r="B15327" s="309"/>
      <c r="C15327" s="309"/>
      <c r="I15327" s="309"/>
      <c r="J15327" s="309"/>
    </row>
    <row r="15328">
      <c r="B15328" s="309"/>
      <c r="C15328" s="309"/>
      <c r="I15328" s="309"/>
      <c r="J15328" s="309"/>
    </row>
    <row r="15329">
      <c r="B15329" s="309"/>
      <c r="C15329" s="309"/>
      <c r="I15329" s="309"/>
      <c r="J15329" s="309"/>
    </row>
    <row r="15330">
      <c r="B15330" s="309"/>
      <c r="C15330" s="309"/>
      <c r="I15330" s="309"/>
      <c r="J15330" s="309"/>
    </row>
    <row r="15331">
      <c r="B15331" s="309"/>
      <c r="C15331" s="309"/>
      <c r="I15331" s="309"/>
      <c r="J15331" s="309"/>
    </row>
    <row r="15332">
      <c r="B15332" s="309"/>
      <c r="C15332" s="309"/>
      <c r="I15332" s="309"/>
      <c r="J15332" s="309"/>
    </row>
    <row r="15333">
      <c r="B15333" s="309"/>
      <c r="C15333" s="309"/>
      <c r="I15333" s="309"/>
      <c r="J15333" s="309"/>
    </row>
    <row r="15334">
      <c r="B15334" s="309"/>
      <c r="C15334" s="309"/>
      <c r="I15334" s="309"/>
      <c r="J15334" s="309"/>
    </row>
    <row r="15335">
      <c r="B15335" s="309"/>
      <c r="C15335" s="309"/>
      <c r="I15335" s="309"/>
      <c r="J15335" s="309"/>
    </row>
    <row r="15336">
      <c r="B15336" s="309"/>
      <c r="C15336" s="309"/>
      <c r="I15336" s="309"/>
      <c r="J15336" s="309"/>
    </row>
    <row r="15337">
      <c r="B15337" s="309"/>
      <c r="C15337" s="309"/>
      <c r="I15337" s="309"/>
      <c r="J15337" s="309"/>
    </row>
    <row r="15338">
      <c r="B15338" s="309"/>
      <c r="C15338" s="309"/>
      <c r="I15338" s="309"/>
      <c r="J15338" s="309"/>
    </row>
    <row r="15339">
      <c r="B15339" s="309"/>
      <c r="C15339" s="309"/>
      <c r="I15339" s="309"/>
      <c r="J15339" s="309"/>
    </row>
    <row r="15340">
      <c r="B15340" s="309"/>
      <c r="C15340" s="309"/>
      <c r="I15340" s="309"/>
      <c r="J15340" s="309"/>
    </row>
    <row r="15341">
      <c r="B15341" s="309"/>
      <c r="C15341" s="309"/>
      <c r="I15341" s="309"/>
      <c r="J15341" s="309"/>
    </row>
    <row r="15342">
      <c r="B15342" s="309"/>
      <c r="C15342" s="309"/>
      <c r="I15342" s="309"/>
      <c r="J15342" s="309"/>
    </row>
    <row r="15343">
      <c r="B15343" s="309"/>
      <c r="C15343" s="309"/>
      <c r="I15343" s="309"/>
      <c r="J15343" s="309"/>
    </row>
    <row r="15344">
      <c r="B15344" s="309"/>
      <c r="C15344" s="309"/>
      <c r="I15344" s="309"/>
      <c r="J15344" s="309"/>
    </row>
    <row r="15345">
      <c r="B15345" s="309"/>
      <c r="C15345" s="309"/>
      <c r="I15345" s="309"/>
      <c r="J15345" s="309"/>
    </row>
    <row r="15346">
      <c r="B15346" s="309"/>
      <c r="C15346" s="309"/>
      <c r="I15346" s="309"/>
      <c r="J15346" s="309"/>
    </row>
    <row r="15347">
      <c r="B15347" s="309"/>
      <c r="C15347" s="309"/>
      <c r="I15347" s="309"/>
      <c r="J15347" s="309"/>
    </row>
    <row r="15348">
      <c r="B15348" s="309"/>
      <c r="C15348" s="309"/>
      <c r="I15348" s="309"/>
      <c r="J15348" s="309"/>
    </row>
    <row r="15349">
      <c r="B15349" s="309"/>
      <c r="C15349" s="309"/>
      <c r="I15349" s="309"/>
      <c r="J15349" s="309"/>
    </row>
    <row r="15350">
      <c r="B15350" s="309"/>
      <c r="C15350" s="309"/>
      <c r="I15350" s="309"/>
      <c r="J15350" s="309"/>
    </row>
    <row r="15351">
      <c r="B15351" s="309"/>
      <c r="C15351" s="309"/>
      <c r="I15351" s="309"/>
      <c r="J15351" s="309"/>
    </row>
    <row r="15352">
      <c r="B15352" s="309"/>
      <c r="C15352" s="309"/>
      <c r="I15352" s="309"/>
      <c r="J15352" s="309"/>
    </row>
    <row r="15353">
      <c r="B15353" s="309"/>
      <c r="C15353" s="309"/>
      <c r="I15353" s="309"/>
      <c r="J15353" s="309"/>
    </row>
    <row r="15354">
      <c r="B15354" s="309"/>
      <c r="C15354" s="309"/>
      <c r="I15354" s="309"/>
      <c r="J15354" s="309"/>
    </row>
    <row r="15355">
      <c r="B15355" s="309"/>
      <c r="C15355" s="309"/>
      <c r="I15355" s="309"/>
      <c r="J15355" s="309"/>
    </row>
    <row r="15356">
      <c r="B15356" s="309"/>
      <c r="C15356" s="309"/>
      <c r="I15356" s="309"/>
      <c r="J15356" s="309"/>
    </row>
    <row r="15357">
      <c r="B15357" s="309"/>
      <c r="C15357" s="309"/>
      <c r="I15357" s="309"/>
      <c r="J15357" s="309"/>
    </row>
    <row r="15358">
      <c r="B15358" s="309"/>
      <c r="C15358" s="309"/>
      <c r="I15358" s="309"/>
      <c r="J15358" s="309"/>
    </row>
    <row r="15359">
      <c r="B15359" s="309"/>
      <c r="C15359" s="309"/>
      <c r="I15359" s="309"/>
      <c r="J15359" s="309"/>
    </row>
    <row r="15360">
      <c r="B15360" s="309"/>
      <c r="C15360" s="309"/>
      <c r="I15360" s="309"/>
      <c r="J15360" s="309"/>
    </row>
    <row r="15361">
      <c r="B15361" s="309"/>
      <c r="C15361" s="309"/>
      <c r="I15361" s="309"/>
      <c r="J15361" s="309"/>
    </row>
    <row r="15362">
      <c r="B15362" s="309"/>
      <c r="C15362" s="309"/>
      <c r="I15362" s="309"/>
      <c r="J15362" s="309"/>
    </row>
    <row r="15363">
      <c r="B15363" s="309"/>
      <c r="C15363" s="309"/>
      <c r="I15363" s="309"/>
      <c r="J15363" s="309"/>
    </row>
    <row r="15364">
      <c r="B15364" s="309"/>
      <c r="C15364" s="309"/>
      <c r="I15364" s="309"/>
      <c r="J15364" s="309"/>
    </row>
    <row r="15365">
      <c r="B15365" s="309"/>
      <c r="C15365" s="309"/>
      <c r="I15365" s="309"/>
      <c r="J15365" s="309"/>
    </row>
    <row r="15366">
      <c r="B15366" s="309"/>
      <c r="C15366" s="309"/>
      <c r="I15366" s="309"/>
      <c r="J15366" s="309"/>
    </row>
    <row r="15367">
      <c r="B15367" s="309"/>
      <c r="C15367" s="309"/>
      <c r="I15367" s="309"/>
      <c r="J15367" s="309"/>
    </row>
    <row r="15368">
      <c r="B15368" s="309"/>
      <c r="C15368" s="309"/>
      <c r="I15368" s="309"/>
      <c r="J15368" s="309"/>
    </row>
    <row r="15369">
      <c r="B15369" s="309"/>
      <c r="C15369" s="309"/>
      <c r="I15369" s="309"/>
      <c r="J15369" s="309"/>
    </row>
    <row r="15370">
      <c r="B15370" s="309"/>
      <c r="C15370" s="309"/>
      <c r="I15370" s="309"/>
      <c r="J15370" s="309"/>
    </row>
    <row r="15371">
      <c r="B15371" s="309"/>
      <c r="C15371" s="309"/>
      <c r="I15371" s="309"/>
      <c r="J15371" s="309"/>
    </row>
    <row r="15372">
      <c r="B15372" s="309"/>
      <c r="C15372" s="309"/>
      <c r="I15372" s="309"/>
      <c r="J15372" s="309"/>
    </row>
    <row r="15373">
      <c r="B15373" s="309"/>
      <c r="C15373" s="309"/>
      <c r="I15373" s="309"/>
      <c r="J15373" s="309"/>
    </row>
    <row r="15374">
      <c r="B15374" s="309"/>
      <c r="C15374" s="309"/>
      <c r="I15374" s="309"/>
      <c r="J15374" s="309"/>
    </row>
    <row r="15375">
      <c r="B15375" s="309"/>
      <c r="C15375" s="309"/>
      <c r="I15375" s="309"/>
      <c r="J15375" s="309"/>
    </row>
    <row r="15376">
      <c r="B15376" s="309"/>
      <c r="C15376" s="309"/>
      <c r="I15376" s="309"/>
      <c r="J15376" s="309"/>
    </row>
    <row r="15377">
      <c r="B15377" s="309"/>
      <c r="C15377" s="309"/>
      <c r="I15377" s="309"/>
      <c r="J15377" s="309"/>
    </row>
    <row r="15378">
      <c r="B15378" s="309"/>
      <c r="C15378" s="309"/>
      <c r="I15378" s="309"/>
      <c r="J15378" s="309"/>
    </row>
    <row r="15379">
      <c r="B15379" s="309"/>
      <c r="C15379" s="309"/>
      <c r="I15379" s="309"/>
      <c r="J15379" s="309"/>
    </row>
    <row r="15380">
      <c r="B15380" s="309"/>
      <c r="C15380" s="309"/>
      <c r="I15380" s="309"/>
      <c r="J15380" s="309"/>
    </row>
    <row r="15381">
      <c r="B15381" s="309"/>
      <c r="C15381" s="309"/>
      <c r="I15381" s="309"/>
      <c r="J15381" s="309"/>
    </row>
    <row r="15382">
      <c r="B15382" s="309"/>
      <c r="C15382" s="309"/>
      <c r="I15382" s="309"/>
      <c r="J15382" s="309"/>
    </row>
    <row r="15383">
      <c r="B15383" s="309"/>
      <c r="C15383" s="309"/>
      <c r="I15383" s="309"/>
      <c r="J15383" s="309"/>
    </row>
    <row r="15384">
      <c r="B15384" s="309"/>
      <c r="C15384" s="309"/>
      <c r="I15384" s="309"/>
      <c r="J15384" s="309"/>
    </row>
    <row r="15385">
      <c r="B15385" s="309"/>
      <c r="C15385" s="309"/>
      <c r="I15385" s="309"/>
      <c r="J15385" s="309"/>
    </row>
    <row r="15386">
      <c r="B15386" s="309"/>
      <c r="C15386" s="309"/>
      <c r="I15386" s="309"/>
      <c r="J15386" s="309"/>
    </row>
    <row r="15387">
      <c r="B15387" s="309"/>
      <c r="C15387" s="309"/>
      <c r="I15387" s="309"/>
      <c r="J15387" s="309"/>
    </row>
    <row r="15388">
      <c r="B15388" s="309"/>
      <c r="C15388" s="309"/>
      <c r="I15388" s="309"/>
      <c r="J15388" s="309"/>
    </row>
    <row r="15389">
      <c r="B15389" s="309"/>
      <c r="C15389" s="309"/>
      <c r="I15389" s="309"/>
      <c r="J15389" s="309"/>
    </row>
    <row r="15390">
      <c r="B15390" s="309"/>
      <c r="C15390" s="309"/>
      <c r="I15390" s="309"/>
      <c r="J15390" s="309"/>
    </row>
    <row r="15391">
      <c r="B15391" s="309"/>
      <c r="C15391" s="309"/>
      <c r="I15391" s="309"/>
      <c r="J15391" s="309"/>
    </row>
    <row r="15392">
      <c r="B15392" s="309"/>
      <c r="C15392" s="309"/>
      <c r="I15392" s="309"/>
      <c r="J15392" s="309"/>
    </row>
    <row r="15393">
      <c r="B15393" s="309"/>
      <c r="C15393" s="309"/>
      <c r="I15393" s="309"/>
      <c r="J15393" s="309"/>
    </row>
    <row r="15394">
      <c r="B15394" s="309"/>
      <c r="C15394" s="309"/>
      <c r="I15394" s="309"/>
      <c r="J15394" s="309"/>
    </row>
    <row r="15395">
      <c r="B15395" s="309"/>
      <c r="C15395" s="309"/>
      <c r="I15395" s="309"/>
      <c r="J15395" s="309"/>
    </row>
    <row r="15396">
      <c r="B15396" s="309"/>
      <c r="C15396" s="309"/>
      <c r="I15396" s="309"/>
      <c r="J15396" s="309"/>
    </row>
    <row r="15397">
      <c r="B15397" s="309"/>
      <c r="C15397" s="309"/>
      <c r="I15397" s="309"/>
      <c r="J15397" s="309"/>
    </row>
    <row r="15398">
      <c r="B15398" s="309"/>
      <c r="C15398" s="309"/>
      <c r="I15398" s="309"/>
      <c r="J15398" s="309"/>
    </row>
    <row r="15399">
      <c r="B15399" s="309"/>
      <c r="C15399" s="309"/>
      <c r="I15399" s="309"/>
      <c r="J15399" s="309"/>
    </row>
    <row r="15400">
      <c r="B15400" s="309"/>
      <c r="C15400" s="309"/>
      <c r="I15400" s="309"/>
      <c r="J15400" s="309"/>
    </row>
    <row r="15401">
      <c r="B15401" s="309"/>
      <c r="C15401" s="309"/>
      <c r="I15401" s="309"/>
      <c r="J15401" s="309"/>
    </row>
    <row r="15402">
      <c r="B15402" s="309"/>
      <c r="C15402" s="309"/>
      <c r="I15402" s="309"/>
      <c r="J15402" s="309"/>
    </row>
    <row r="15403">
      <c r="B15403" s="309"/>
      <c r="C15403" s="309"/>
      <c r="I15403" s="309"/>
      <c r="J15403" s="309"/>
    </row>
    <row r="15404">
      <c r="B15404" s="309"/>
      <c r="C15404" s="309"/>
      <c r="I15404" s="309"/>
      <c r="J15404" s="309"/>
    </row>
    <row r="15405">
      <c r="B15405" s="309"/>
      <c r="C15405" s="309"/>
      <c r="I15405" s="309"/>
      <c r="J15405" s="309"/>
    </row>
    <row r="15406">
      <c r="B15406" s="309"/>
      <c r="C15406" s="309"/>
      <c r="I15406" s="309"/>
      <c r="J15406" s="309"/>
    </row>
    <row r="15407">
      <c r="B15407" s="309"/>
      <c r="C15407" s="309"/>
      <c r="I15407" s="309"/>
      <c r="J15407" s="309"/>
    </row>
    <row r="15408">
      <c r="B15408" s="309"/>
      <c r="C15408" s="309"/>
      <c r="I15408" s="309"/>
      <c r="J15408" s="309"/>
    </row>
    <row r="15409">
      <c r="B15409" s="309"/>
      <c r="C15409" s="309"/>
      <c r="I15409" s="309"/>
      <c r="J15409" s="309"/>
    </row>
    <row r="15410">
      <c r="B15410" s="309"/>
      <c r="C15410" s="309"/>
      <c r="I15410" s="309"/>
      <c r="J15410" s="309"/>
    </row>
    <row r="15411">
      <c r="B15411" s="309"/>
      <c r="C15411" s="309"/>
      <c r="I15411" s="309"/>
      <c r="J15411" s="309"/>
    </row>
    <row r="15412">
      <c r="B15412" s="309"/>
      <c r="C15412" s="309"/>
      <c r="I15412" s="309"/>
      <c r="J15412" s="309"/>
    </row>
    <row r="15413">
      <c r="B15413" s="309"/>
      <c r="C15413" s="309"/>
      <c r="I15413" s="309"/>
      <c r="J15413" s="309"/>
    </row>
    <row r="15414">
      <c r="B15414" s="309"/>
      <c r="C15414" s="309"/>
      <c r="I15414" s="309"/>
      <c r="J15414" s="309"/>
    </row>
    <row r="15415">
      <c r="B15415" s="309"/>
      <c r="C15415" s="309"/>
      <c r="I15415" s="309"/>
      <c r="J15415" s="309"/>
    </row>
    <row r="15416">
      <c r="B15416" s="309"/>
      <c r="C15416" s="309"/>
      <c r="I15416" s="309"/>
      <c r="J15416" s="309"/>
    </row>
    <row r="15417">
      <c r="B15417" s="309"/>
      <c r="C15417" s="309"/>
      <c r="I15417" s="309"/>
      <c r="J15417" s="309"/>
    </row>
    <row r="15418">
      <c r="B15418" s="309"/>
      <c r="C15418" s="309"/>
      <c r="I15418" s="309"/>
      <c r="J15418" s="309"/>
    </row>
    <row r="15419">
      <c r="B15419" s="309"/>
      <c r="C15419" s="309"/>
      <c r="I15419" s="309"/>
      <c r="J15419" s="309"/>
    </row>
    <row r="15420">
      <c r="B15420" s="309"/>
      <c r="C15420" s="309"/>
      <c r="I15420" s="309"/>
      <c r="J15420" s="309"/>
    </row>
    <row r="15421">
      <c r="B15421" s="309"/>
      <c r="C15421" s="309"/>
      <c r="I15421" s="309"/>
      <c r="J15421" s="309"/>
    </row>
    <row r="15422">
      <c r="B15422" s="309"/>
      <c r="C15422" s="309"/>
      <c r="I15422" s="309"/>
      <c r="J15422" s="309"/>
    </row>
    <row r="15423">
      <c r="B15423" s="309"/>
      <c r="C15423" s="309"/>
      <c r="I15423" s="309"/>
      <c r="J15423" s="309"/>
    </row>
    <row r="15424">
      <c r="B15424" s="309"/>
      <c r="C15424" s="309"/>
      <c r="I15424" s="309"/>
      <c r="J15424" s="309"/>
    </row>
    <row r="15425">
      <c r="B15425" s="309"/>
      <c r="C15425" s="309"/>
      <c r="I15425" s="309"/>
      <c r="J15425" s="309"/>
    </row>
    <row r="15426">
      <c r="B15426" s="309"/>
      <c r="C15426" s="309"/>
      <c r="I15426" s="309"/>
      <c r="J15426" s="309"/>
    </row>
    <row r="15427">
      <c r="B15427" s="309"/>
      <c r="C15427" s="309"/>
      <c r="I15427" s="309"/>
      <c r="J15427" s="309"/>
    </row>
    <row r="15428">
      <c r="B15428" s="309"/>
      <c r="C15428" s="309"/>
      <c r="I15428" s="309"/>
      <c r="J15428" s="309"/>
    </row>
    <row r="15429">
      <c r="B15429" s="309"/>
      <c r="C15429" s="309"/>
      <c r="I15429" s="309"/>
      <c r="J15429" s="309"/>
    </row>
    <row r="15430">
      <c r="B15430" s="309"/>
      <c r="C15430" s="309"/>
      <c r="I15430" s="309"/>
      <c r="J15430" s="309"/>
    </row>
    <row r="15431">
      <c r="B15431" s="309"/>
      <c r="C15431" s="309"/>
      <c r="I15431" s="309"/>
      <c r="J15431" s="309"/>
    </row>
    <row r="15432">
      <c r="B15432" s="309"/>
      <c r="C15432" s="309"/>
      <c r="I15432" s="309"/>
      <c r="J15432" s="309"/>
    </row>
    <row r="15433">
      <c r="B15433" s="309"/>
      <c r="C15433" s="309"/>
      <c r="I15433" s="309"/>
      <c r="J15433" s="309"/>
    </row>
    <row r="15434">
      <c r="B15434" s="309"/>
      <c r="C15434" s="309"/>
      <c r="I15434" s="309"/>
      <c r="J15434" s="309"/>
    </row>
    <row r="15435">
      <c r="B15435" s="309"/>
      <c r="C15435" s="309"/>
      <c r="I15435" s="309"/>
      <c r="J15435" s="309"/>
    </row>
    <row r="15436">
      <c r="B15436" s="309"/>
      <c r="C15436" s="309"/>
      <c r="I15436" s="309"/>
      <c r="J15436" s="309"/>
    </row>
    <row r="15437">
      <c r="B15437" s="309"/>
      <c r="C15437" s="309"/>
      <c r="I15437" s="309"/>
      <c r="J15437" s="309"/>
    </row>
    <row r="15438">
      <c r="B15438" s="309"/>
      <c r="C15438" s="309"/>
      <c r="I15438" s="309"/>
      <c r="J15438" s="309"/>
    </row>
    <row r="15439">
      <c r="B15439" s="309"/>
      <c r="C15439" s="309"/>
      <c r="I15439" s="309"/>
      <c r="J15439" s="309"/>
    </row>
    <row r="15440">
      <c r="B15440" s="309"/>
      <c r="C15440" s="309"/>
      <c r="I15440" s="309"/>
      <c r="J15440" s="309"/>
    </row>
    <row r="15441">
      <c r="B15441" s="309"/>
      <c r="C15441" s="309"/>
      <c r="I15441" s="309"/>
      <c r="J15441" s="309"/>
    </row>
    <row r="15442">
      <c r="B15442" s="309"/>
      <c r="C15442" s="309"/>
      <c r="I15442" s="309"/>
      <c r="J15442" s="309"/>
    </row>
    <row r="15443">
      <c r="B15443" s="309"/>
      <c r="C15443" s="309"/>
      <c r="I15443" s="309"/>
      <c r="J15443" s="309"/>
    </row>
    <row r="15444">
      <c r="B15444" s="309"/>
      <c r="C15444" s="309"/>
      <c r="I15444" s="309"/>
      <c r="J15444" s="309"/>
    </row>
    <row r="15445">
      <c r="B15445" s="309"/>
      <c r="C15445" s="309"/>
      <c r="I15445" s="309"/>
      <c r="J15445" s="309"/>
    </row>
    <row r="15446">
      <c r="B15446" s="309"/>
      <c r="C15446" s="309"/>
      <c r="I15446" s="309"/>
      <c r="J15446" s="309"/>
    </row>
    <row r="15447">
      <c r="B15447" s="309"/>
      <c r="C15447" s="309"/>
      <c r="I15447" s="309"/>
      <c r="J15447" s="309"/>
    </row>
    <row r="15448">
      <c r="B15448" s="309"/>
      <c r="C15448" s="309"/>
      <c r="I15448" s="309"/>
      <c r="J15448" s="309"/>
    </row>
    <row r="15449">
      <c r="B15449" s="309"/>
      <c r="C15449" s="309"/>
      <c r="I15449" s="309"/>
      <c r="J15449" s="309"/>
    </row>
    <row r="15450">
      <c r="B15450" s="309"/>
      <c r="C15450" s="309"/>
      <c r="I15450" s="309"/>
      <c r="J15450" s="309"/>
    </row>
    <row r="15451">
      <c r="B15451" s="309"/>
      <c r="C15451" s="309"/>
      <c r="I15451" s="309"/>
      <c r="J15451" s="309"/>
    </row>
    <row r="15452">
      <c r="B15452" s="309"/>
      <c r="C15452" s="309"/>
      <c r="I15452" s="309"/>
      <c r="J15452" s="309"/>
    </row>
    <row r="15453">
      <c r="B15453" s="309"/>
      <c r="C15453" s="309"/>
      <c r="I15453" s="309"/>
      <c r="J15453" s="309"/>
    </row>
    <row r="15454">
      <c r="B15454" s="309"/>
      <c r="C15454" s="309"/>
      <c r="I15454" s="309"/>
      <c r="J15454" s="309"/>
    </row>
    <row r="15455">
      <c r="B15455" s="309"/>
      <c r="C15455" s="309"/>
      <c r="I15455" s="309"/>
      <c r="J15455" s="309"/>
    </row>
    <row r="15456">
      <c r="B15456" s="309"/>
      <c r="C15456" s="309"/>
      <c r="I15456" s="309"/>
      <c r="J15456" s="309"/>
    </row>
    <row r="15457">
      <c r="B15457" s="309"/>
      <c r="C15457" s="309"/>
      <c r="I15457" s="309"/>
      <c r="J15457" s="309"/>
    </row>
    <row r="15458">
      <c r="B15458" s="309"/>
      <c r="C15458" s="309"/>
      <c r="I15458" s="309"/>
      <c r="J15458" s="309"/>
    </row>
    <row r="15459">
      <c r="B15459" s="309"/>
      <c r="C15459" s="309"/>
      <c r="I15459" s="309"/>
      <c r="J15459" s="309"/>
    </row>
    <row r="15460">
      <c r="B15460" s="309"/>
      <c r="C15460" s="309"/>
      <c r="I15460" s="309"/>
      <c r="J15460" s="309"/>
    </row>
    <row r="15461">
      <c r="B15461" s="309"/>
      <c r="C15461" s="309"/>
      <c r="I15461" s="309"/>
      <c r="J15461" s="309"/>
    </row>
    <row r="15462">
      <c r="B15462" s="309"/>
      <c r="C15462" s="309"/>
      <c r="I15462" s="309"/>
      <c r="J15462" s="309"/>
    </row>
    <row r="15463">
      <c r="B15463" s="309"/>
      <c r="C15463" s="309"/>
      <c r="I15463" s="309"/>
      <c r="J15463" s="309"/>
    </row>
    <row r="15464">
      <c r="B15464" s="309"/>
      <c r="C15464" s="309"/>
      <c r="I15464" s="309"/>
      <c r="J15464" s="309"/>
    </row>
    <row r="15465">
      <c r="B15465" s="309"/>
      <c r="C15465" s="309"/>
      <c r="I15465" s="309"/>
      <c r="J15465" s="309"/>
    </row>
    <row r="15466">
      <c r="B15466" s="309"/>
      <c r="C15466" s="309"/>
      <c r="I15466" s="309"/>
      <c r="J15466" s="309"/>
    </row>
    <row r="15467">
      <c r="B15467" s="309"/>
      <c r="C15467" s="309"/>
      <c r="I15467" s="309"/>
      <c r="J15467" s="309"/>
    </row>
    <row r="15468">
      <c r="B15468" s="309"/>
      <c r="C15468" s="309"/>
      <c r="I15468" s="309"/>
      <c r="J15468" s="309"/>
    </row>
    <row r="15469">
      <c r="B15469" s="309"/>
      <c r="C15469" s="309"/>
      <c r="I15469" s="309"/>
      <c r="J15469" s="309"/>
    </row>
    <row r="15470">
      <c r="B15470" s="309"/>
      <c r="C15470" s="309"/>
      <c r="I15470" s="309"/>
      <c r="J15470" s="309"/>
    </row>
    <row r="15471">
      <c r="B15471" s="309"/>
      <c r="C15471" s="309"/>
      <c r="I15471" s="309"/>
      <c r="J15471" s="309"/>
    </row>
    <row r="15472">
      <c r="B15472" s="309"/>
      <c r="C15472" s="309"/>
      <c r="I15472" s="309"/>
      <c r="J15472" s="309"/>
    </row>
    <row r="15473">
      <c r="B15473" s="309"/>
      <c r="C15473" s="309"/>
      <c r="I15473" s="309"/>
      <c r="J15473" s="309"/>
    </row>
    <row r="15474">
      <c r="B15474" s="309"/>
      <c r="C15474" s="309"/>
      <c r="I15474" s="309"/>
      <c r="J15474" s="309"/>
    </row>
    <row r="15475">
      <c r="B15475" s="309"/>
      <c r="C15475" s="309"/>
      <c r="I15475" s="309"/>
      <c r="J15475" s="309"/>
    </row>
    <row r="15476">
      <c r="B15476" s="309"/>
      <c r="C15476" s="309"/>
      <c r="I15476" s="309"/>
      <c r="J15476" s="309"/>
    </row>
    <row r="15477">
      <c r="B15477" s="309"/>
      <c r="C15477" s="309"/>
      <c r="I15477" s="309"/>
      <c r="J15477" s="309"/>
    </row>
    <row r="15478">
      <c r="B15478" s="309"/>
      <c r="C15478" s="309"/>
      <c r="I15478" s="309"/>
      <c r="J15478" s="309"/>
    </row>
    <row r="15479">
      <c r="B15479" s="309"/>
      <c r="C15479" s="309"/>
      <c r="I15479" s="309"/>
      <c r="J15479" s="309"/>
    </row>
    <row r="15480">
      <c r="B15480" s="309"/>
      <c r="C15480" s="309"/>
      <c r="I15480" s="309"/>
      <c r="J15480" s="309"/>
    </row>
    <row r="15481">
      <c r="B15481" s="309"/>
      <c r="C15481" s="309"/>
      <c r="I15481" s="309"/>
      <c r="J15481" s="309"/>
    </row>
    <row r="15482">
      <c r="B15482" s="309"/>
      <c r="C15482" s="309"/>
      <c r="I15482" s="309"/>
      <c r="J15482" s="309"/>
    </row>
    <row r="15483">
      <c r="B15483" s="309"/>
      <c r="C15483" s="309"/>
      <c r="I15483" s="309"/>
      <c r="J15483" s="309"/>
    </row>
    <row r="15484">
      <c r="B15484" s="309"/>
      <c r="C15484" s="309"/>
      <c r="I15484" s="309"/>
      <c r="J15484" s="309"/>
    </row>
    <row r="15485">
      <c r="B15485" s="309"/>
      <c r="C15485" s="309"/>
      <c r="I15485" s="309"/>
      <c r="J15485" s="309"/>
    </row>
    <row r="15486">
      <c r="B15486" s="309"/>
      <c r="C15486" s="309"/>
      <c r="I15486" s="309"/>
      <c r="J15486" s="309"/>
    </row>
    <row r="15487">
      <c r="B15487" s="309"/>
      <c r="C15487" s="309"/>
      <c r="I15487" s="309"/>
      <c r="J15487" s="309"/>
    </row>
    <row r="15488">
      <c r="B15488" s="309"/>
      <c r="C15488" s="309"/>
      <c r="I15488" s="309"/>
      <c r="J15488" s="309"/>
    </row>
    <row r="15489">
      <c r="B15489" s="309"/>
      <c r="C15489" s="309"/>
      <c r="I15489" s="309"/>
      <c r="J15489" s="309"/>
    </row>
    <row r="15490">
      <c r="B15490" s="309"/>
      <c r="C15490" s="309"/>
      <c r="I15490" s="309"/>
      <c r="J15490" s="309"/>
    </row>
    <row r="15491">
      <c r="B15491" s="309"/>
      <c r="C15491" s="309"/>
      <c r="I15491" s="309"/>
      <c r="J15491" s="309"/>
    </row>
    <row r="15492">
      <c r="B15492" s="309"/>
      <c r="C15492" s="309"/>
      <c r="I15492" s="309"/>
      <c r="J15492" s="309"/>
    </row>
    <row r="15493">
      <c r="B15493" s="309"/>
      <c r="C15493" s="309"/>
      <c r="I15493" s="309"/>
      <c r="J15493" s="309"/>
    </row>
    <row r="15494">
      <c r="B15494" s="309"/>
      <c r="C15494" s="309"/>
      <c r="I15494" s="309"/>
      <c r="J15494" s="309"/>
    </row>
    <row r="15495">
      <c r="B15495" s="309"/>
      <c r="C15495" s="309"/>
      <c r="I15495" s="309"/>
      <c r="J15495" s="309"/>
    </row>
    <row r="15496">
      <c r="B15496" s="309"/>
      <c r="C15496" s="309"/>
      <c r="I15496" s="309"/>
      <c r="J15496" s="309"/>
    </row>
    <row r="15497">
      <c r="B15497" s="309"/>
      <c r="C15497" s="309"/>
      <c r="I15497" s="309"/>
      <c r="J15497" s="309"/>
    </row>
    <row r="15498">
      <c r="B15498" s="309"/>
      <c r="C15498" s="309"/>
      <c r="I15498" s="309"/>
      <c r="J15498" s="309"/>
    </row>
    <row r="15499">
      <c r="B15499" s="309"/>
      <c r="C15499" s="309"/>
      <c r="I15499" s="309"/>
      <c r="J15499" s="309"/>
    </row>
    <row r="15500">
      <c r="B15500" s="309"/>
      <c r="C15500" s="309"/>
      <c r="I15500" s="309"/>
      <c r="J15500" s="309"/>
    </row>
    <row r="15501">
      <c r="B15501" s="309"/>
      <c r="C15501" s="309"/>
      <c r="I15501" s="309"/>
      <c r="J15501" s="309"/>
    </row>
    <row r="15502">
      <c r="B15502" s="309"/>
      <c r="C15502" s="309"/>
      <c r="I15502" s="309"/>
      <c r="J15502" s="309"/>
    </row>
    <row r="15503">
      <c r="B15503" s="309"/>
      <c r="C15503" s="309"/>
      <c r="I15503" s="309"/>
      <c r="J15503" s="309"/>
    </row>
    <row r="15504">
      <c r="B15504" s="309"/>
      <c r="C15504" s="309"/>
      <c r="I15504" s="309"/>
      <c r="J15504" s="309"/>
    </row>
    <row r="15505">
      <c r="B15505" s="309"/>
      <c r="C15505" s="309"/>
      <c r="I15505" s="309"/>
      <c r="J15505" s="309"/>
    </row>
    <row r="15506">
      <c r="B15506" s="309"/>
      <c r="C15506" s="309"/>
      <c r="I15506" s="309"/>
      <c r="J15506" s="309"/>
    </row>
    <row r="15507">
      <c r="B15507" s="309"/>
      <c r="C15507" s="309"/>
      <c r="I15507" s="309"/>
      <c r="J15507" s="309"/>
    </row>
    <row r="15508">
      <c r="B15508" s="309"/>
      <c r="C15508" s="309"/>
      <c r="I15508" s="309"/>
      <c r="J15508" s="309"/>
    </row>
    <row r="15509">
      <c r="B15509" s="309"/>
      <c r="C15509" s="309"/>
      <c r="I15509" s="309"/>
      <c r="J15509" s="309"/>
    </row>
    <row r="15510">
      <c r="B15510" s="309"/>
      <c r="C15510" s="309"/>
      <c r="I15510" s="309"/>
      <c r="J15510" s="309"/>
    </row>
    <row r="15511">
      <c r="B15511" s="309"/>
      <c r="C15511" s="309"/>
      <c r="I15511" s="309"/>
      <c r="J15511" s="309"/>
    </row>
    <row r="15512">
      <c r="B15512" s="309"/>
      <c r="C15512" s="309"/>
      <c r="I15512" s="309"/>
      <c r="J15512" s="309"/>
    </row>
    <row r="15513">
      <c r="B15513" s="309"/>
      <c r="C15513" s="309"/>
      <c r="I15513" s="309"/>
      <c r="J15513" s="309"/>
    </row>
    <row r="15514">
      <c r="B15514" s="309"/>
      <c r="C15514" s="309"/>
      <c r="I15514" s="309"/>
      <c r="J15514" s="309"/>
    </row>
    <row r="15515">
      <c r="B15515" s="309"/>
      <c r="C15515" s="309"/>
      <c r="I15515" s="309"/>
      <c r="J15515" s="309"/>
    </row>
    <row r="15516">
      <c r="B15516" s="309"/>
      <c r="C15516" s="309"/>
      <c r="I15516" s="309"/>
      <c r="J15516" s="309"/>
    </row>
    <row r="15517">
      <c r="B15517" s="309"/>
      <c r="C15517" s="309"/>
      <c r="I15517" s="309"/>
      <c r="J15517" s="309"/>
    </row>
    <row r="15518">
      <c r="B15518" s="309"/>
      <c r="C15518" s="309"/>
      <c r="I15518" s="309"/>
      <c r="J15518" s="309"/>
    </row>
    <row r="15519">
      <c r="B15519" s="309"/>
      <c r="C15519" s="309"/>
      <c r="I15519" s="309"/>
      <c r="J15519" s="309"/>
    </row>
    <row r="15520">
      <c r="B15520" s="309"/>
      <c r="C15520" s="309"/>
      <c r="I15520" s="309"/>
      <c r="J15520" s="309"/>
    </row>
    <row r="15521">
      <c r="B15521" s="309"/>
      <c r="C15521" s="309"/>
      <c r="I15521" s="309"/>
      <c r="J15521" s="309"/>
    </row>
    <row r="15522">
      <c r="B15522" s="309"/>
      <c r="C15522" s="309"/>
      <c r="I15522" s="309"/>
      <c r="J15522" s="309"/>
    </row>
    <row r="15523">
      <c r="B15523" s="309"/>
      <c r="C15523" s="309"/>
      <c r="I15523" s="309"/>
      <c r="J15523" s="309"/>
    </row>
    <row r="15524">
      <c r="B15524" s="309"/>
      <c r="C15524" s="309"/>
      <c r="I15524" s="309"/>
      <c r="J15524" s="309"/>
    </row>
    <row r="15525">
      <c r="B15525" s="309"/>
      <c r="C15525" s="309"/>
      <c r="I15525" s="309"/>
      <c r="J15525" s="309"/>
    </row>
    <row r="15526">
      <c r="B15526" s="309"/>
      <c r="C15526" s="309"/>
      <c r="I15526" s="309"/>
      <c r="J15526" s="309"/>
    </row>
    <row r="15527">
      <c r="B15527" s="309"/>
      <c r="C15527" s="309"/>
      <c r="I15527" s="309"/>
      <c r="J15527" s="309"/>
    </row>
    <row r="15528">
      <c r="B15528" s="309"/>
      <c r="C15528" s="309"/>
      <c r="I15528" s="309"/>
      <c r="J15528" s="309"/>
    </row>
    <row r="15529">
      <c r="B15529" s="309"/>
      <c r="C15529" s="309"/>
      <c r="I15529" s="309"/>
      <c r="J15529" s="309"/>
    </row>
    <row r="15530">
      <c r="B15530" s="309"/>
      <c r="C15530" s="309"/>
      <c r="I15530" s="309"/>
      <c r="J15530" s="309"/>
    </row>
    <row r="15531">
      <c r="B15531" s="309"/>
      <c r="C15531" s="309"/>
      <c r="I15531" s="309"/>
      <c r="J15531" s="309"/>
    </row>
    <row r="15532">
      <c r="B15532" s="309"/>
      <c r="C15532" s="309"/>
      <c r="I15532" s="309"/>
      <c r="J15532" s="309"/>
    </row>
    <row r="15533">
      <c r="B15533" s="309"/>
      <c r="C15533" s="309"/>
      <c r="I15533" s="309"/>
      <c r="J15533" s="309"/>
    </row>
    <row r="15534">
      <c r="B15534" s="309"/>
      <c r="C15534" s="309"/>
      <c r="I15534" s="309"/>
      <c r="J15534" s="309"/>
    </row>
    <row r="15535">
      <c r="B15535" s="309"/>
      <c r="C15535" s="309"/>
      <c r="I15535" s="309"/>
      <c r="J15535" s="309"/>
    </row>
    <row r="15536">
      <c r="B15536" s="309"/>
      <c r="C15536" s="309"/>
      <c r="I15536" s="309"/>
      <c r="J15536" s="309"/>
    </row>
    <row r="15537">
      <c r="B15537" s="309"/>
      <c r="C15537" s="309"/>
      <c r="I15537" s="309"/>
      <c r="J15537" s="309"/>
    </row>
    <row r="15538">
      <c r="B15538" s="309"/>
      <c r="C15538" s="309"/>
      <c r="I15538" s="309"/>
      <c r="J15538" s="309"/>
    </row>
    <row r="15539">
      <c r="B15539" s="309"/>
      <c r="C15539" s="309"/>
      <c r="I15539" s="309"/>
      <c r="J15539" s="309"/>
    </row>
    <row r="15540">
      <c r="B15540" s="309"/>
      <c r="C15540" s="309"/>
      <c r="I15540" s="309"/>
      <c r="J15540" s="309"/>
    </row>
    <row r="15541">
      <c r="B15541" s="309"/>
      <c r="C15541" s="309"/>
      <c r="I15541" s="309"/>
      <c r="J15541" s="309"/>
    </row>
    <row r="15542">
      <c r="B15542" s="309"/>
      <c r="C15542" s="309"/>
      <c r="I15542" s="309"/>
      <c r="J15542" s="309"/>
    </row>
    <row r="15543">
      <c r="B15543" s="309"/>
      <c r="C15543" s="309"/>
      <c r="I15543" s="309"/>
      <c r="J15543" s="309"/>
    </row>
    <row r="15544">
      <c r="B15544" s="309"/>
      <c r="C15544" s="309"/>
      <c r="I15544" s="309"/>
      <c r="J15544" s="309"/>
    </row>
    <row r="15545">
      <c r="B15545" s="309"/>
      <c r="C15545" s="309"/>
      <c r="I15545" s="309"/>
      <c r="J15545" s="309"/>
    </row>
    <row r="15546">
      <c r="B15546" s="309"/>
      <c r="C15546" s="309"/>
      <c r="I15546" s="309"/>
      <c r="J15546" s="309"/>
    </row>
    <row r="15547">
      <c r="B15547" s="309"/>
      <c r="C15547" s="309"/>
      <c r="I15547" s="309"/>
      <c r="J15547" s="309"/>
    </row>
    <row r="15548">
      <c r="B15548" s="309"/>
      <c r="C15548" s="309"/>
      <c r="I15548" s="309"/>
      <c r="J15548" s="309"/>
    </row>
    <row r="15549">
      <c r="B15549" s="309"/>
      <c r="C15549" s="309"/>
      <c r="I15549" s="309"/>
      <c r="J15549" s="309"/>
    </row>
    <row r="15550">
      <c r="B15550" s="309"/>
      <c r="C15550" s="309"/>
      <c r="I15550" s="309"/>
      <c r="J15550" s="309"/>
    </row>
    <row r="15551">
      <c r="B15551" s="309"/>
      <c r="C15551" s="309"/>
      <c r="I15551" s="309"/>
      <c r="J15551" s="309"/>
    </row>
    <row r="15552">
      <c r="B15552" s="309"/>
      <c r="C15552" s="309"/>
      <c r="I15552" s="309"/>
      <c r="J15552" s="309"/>
    </row>
    <row r="15553">
      <c r="B15553" s="309"/>
      <c r="C15553" s="309"/>
      <c r="I15553" s="309"/>
      <c r="J15553" s="309"/>
    </row>
    <row r="15554">
      <c r="B15554" s="309"/>
      <c r="C15554" s="309"/>
      <c r="I15554" s="309"/>
      <c r="J15554" s="309"/>
    </row>
    <row r="15555">
      <c r="B15555" s="309"/>
      <c r="C15555" s="309"/>
      <c r="I15555" s="309"/>
      <c r="J15555" s="309"/>
    </row>
    <row r="15556">
      <c r="B15556" s="309"/>
      <c r="C15556" s="309"/>
      <c r="I15556" s="309"/>
      <c r="J15556" s="309"/>
    </row>
    <row r="15557">
      <c r="B15557" s="309"/>
      <c r="C15557" s="309"/>
      <c r="I15557" s="309"/>
      <c r="J15557" s="309"/>
    </row>
    <row r="15558">
      <c r="B15558" s="309"/>
      <c r="C15558" s="309"/>
      <c r="I15558" s="309"/>
      <c r="J15558" s="309"/>
    </row>
    <row r="15559">
      <c r="B15559" s="309"/>
      <c r="C15559" s="309"/>
      <c r="I15559" s="309"/>
      <c r="J15559" s="309"/>
    </row>
    <row r="15560">
      <c r="B15560" s="309"/>
      <c r="C15560" s="309"/>
      <c r="I15560" s="309"/>
      <c r="J15560" s="309"/>
    </row>
    <row r="15561">
      <c r="B15561" s="309"/>
      <c r="C15561" s="309"/>
      <c r="I15561" s="309"/>
      <c r="J15561" s="309"/>
    </row>
    <row r="15562">
      <c r="B15562" s="309"/>
      <c r="C15562" s="309"/>
      <c r="I15562" s="309"/>
      <c r="J15562" s="309"/>
    </row>
    <row r="15563">
      <c r="B15563" s="309"/>
      <c r="C15563" s="309"/>
      <c r="I15563" s="309"/>
      <c r="J15563" s="309"/>
    </row>
    <row r="15564">
      <c r="B15564" s="309"/>
      <c r="C15564" s="309"/>
      <c r="I15564" s="309"/>
      <c r="J15564" s="309"/>
    </row>
    <row r="15565">
      <c r="B15565" s="309"/>
      <c r="C15565" s="309"/>
      <c r="I15565" s="309"/>
      <c r="J15565" s="309"/>
    </row>
    <row r="15566">
      <c r="B15566" s="309"/>
      <c r="C15566" s="309"/>
      <c r="I15566" s="309"/>
      <c r="J15566" s="309"/>
    </row>
    <row r="15567">
      <c r="B15567" s="309"/>
      <c r="C15567" s="309"/>
      <c r="I15567" s="309"/>
      <c r="J15567" s="309"/>
    </row>
    <row r="15568">
      <c r="B15568" s="309"/>
      <c r="C15568" s="309"/>
      <c r="I15568" s="309"/>
      <c r="J15568" s="309"/>
    </row>
    <row r="15569">
      <c r="B15569" s="309"/>
      <c r="C15569" s="309"/>
      <c r="I15569" s="309"/>
      <c r="J15569" s="309"/>
    </row>
    <row r="15570">
      <c r="B15570" s="309"/>
      <c r="C15570" s="309"/>
      <c r="I15570" s="309"/>
      <c r="J15570" s="309"/>
    </row>
    <row r="15571">
      <c r="B15571" s="309"/>
      <c r="C15571" s="309"/>
      <c r="I15571" s="309"/>
      <c r="J15571" s="309"/>
    </row>
    <row r="15572">
      <c r="B15572" s="309"/>
      <c r="C15572" s="309"/>
      <c r="I15572" s="309"/>
      <c r="J15572" s="309"/>
    </row>
    <row r="15573">
      <c r="B15573" s="309"/>
      <c r="C15573" s="309"/>
      <c r="I15573" s="309"/>
      <c r="J15573" s="309"/>
    </row>
    <row r="15574">
      <c r="B15574" s="309"/>
      <c r="C15574" s="309"/>
      <c r="I15574" s="309"/>
      <c r="J15574" s="309"/>
    </row>
    <row r="15575">
      <c r="B15575" s="309"/>
      <c r="C15575" s="309"/>
      <c r="I15575" s="309"/>
      <c r="J15575" s="309"/>
    </row>
    <row r="15576">
      <c r="B15576" s="309"/>
      <c r="C15576" s="309"/>
      <c r="I15576" s="309"/>
      <c r="J15576" s="309"/>
    </row>
    <row r="15577">
      <c r="B15577" s="309"/>
      <c r="C15577" s="309"/>
      <c r="I15577" s="309"/>
      <c r="J15577" s="309"/>
    </row>
    <row r="15578">
      <c r="B15578" s="309"/>
      <c r="C15578" s="309"/>
      <c r="I15578" s="309"/>
      <c r="J15578" s="309"/>
    </row>
    <row r="15579">
      <c r="B15579" s="309"/>
      <c r="C15579" s="309"/>
      <c r="I15579" s="309"/>
      <c r="J15579" s="309"/>
    </row>
    <row r="15580">
      <c r="B15580" s="309"/>
      <c r="C15580" s="309"/>
      <c r="I15580" s="309"/>
      <c r="J15580" s="309"/>
    </row>
    <row r="15581">
      <c r="B15581" s="309"/>
      <c r="C15581" s="309"/>
      <c r="I15581" s="309"/>
      <c r="J15581" s="309"/>
    </row>
    <row r="15582">
      <c r="B15582" s="309"/>
      <c r="C15582" s="309"/>
      <c r="I15582" s="309"/>
      <c r="J15582" s="309"/>
    </row>
    <row r="15583">
      <c r="B15583" s="309"/>
      <c r="C15583" s="309"/>
      <c r="I15583" s="309"/>
      <c r="J15583" s="309"/>
    </row>
    <row r="15584">
      <c r="B15584" s="309"/>
      <c r="C15584" s="309"/>
      <c r="I15584" s="309"/>
      <c r="J15584" s="309"/>
    </row>
    <row r="15585">
      <c r="B15585" s="309"/>
      <c r="C15585" s="309"/>
      <c r="I15585" s="309"/>
      <c r="J15585" s="309"/>
    </row>
    <row r="15586">
      <c r="B15586" s="309"/>
      <c r="C15586" s="309"/>
      <c r="I15586" s="309"/>
      <c r="J15586" s="309"/>
    </row>
    <row r="15587">
      <c r="B15587" s="309"/>
      <c r="C15587" s="309"/>
      <c r="I15587" s="309"/>
      <c r="J15587" s="309"/>
    </row>
    <row r="15588">
      <c r="B15588" s="309"/>
      <c r="C15588" s="309"/>
      <c r="I15588" s="309"/>
      <c r="J15588" s="309"/>
    </row>
    <row r="15589">
      <c r="B15589" s="309"/>
      <c r="C15589" s="309"/>
      <c r="I15589" s="309"/>
      <c r="J15589" s="309"/>
    </row>
    <row r="15590">
      <c r="B15590" s="309"/>
      <c r="C15590" s="309"/>
      <c r="I15590" s="309"/>
      <c r="J15590" s="309"/>
    </row>
    <row r="15591">
      <c r="B15591" s="309"/>
      <c r="C15591" s="309"/>
      <c r="I15591" s="309"/>
      <c r="J15591" s="309"/>
    </row>
    <row r="15592">
      <c r="B15592" s="309"/>
      <c r="C15592" s="309"/>
      <c r="I15592" s="309"/>
      <c r="J15592" s="309"/>
    </row>
    <row r="15593">
      <c r="B15593" s="309"/>
      <c r="C15593" s="309"/>
      <c r="I15593" s="309"/>
      <c r="J15593" s="309"/>
    </row>
    <row r="15594">
      <c r="B15594" s="309"/>
      <c r="C15594" s="309"/>
      <c r="I15594" s="309"/>
      <c r="J15594" s="309"/>
    </row>
    <row r="15595">
      <c r="B15595" s="309"/>
      <c r="C15595" s="309"/>
      <c r="I15595" s="309"/>
      <c r="J15595" s="309"/>
    </row>
    <row r="15596">
      <c r="B15596" s="309"/>
      <c r="C15596" s="309"/>
      <c r="I15596" s="309"/>
      <c r="J15596" s="309"/>
    </row>
    <row r="15597">
      <c r="B15597" s="309"/>
      <c r="C15597" s="309"/>
      <c r="I15597" s="309"/>
      <c r="J15597" s="309"/>
    </row>
    <row r="15598">
      <c r="B15598" s="309"/>
      <c r="C15598" s="309"/>
      <c r="I15598" s="309"/>
      <c r="J15598" s="309"/>
    </row>
    <row r="15599">
      <c r="B15599" s="309"/>
      <c r="C15599" s="309"/>
      <c r="I15599" s="309"/>
      <c r="J15599" s="309"/>
    </row>
    <row r="15600">
      <c r="B15600" s="309"/>
      <c r="C15600" s="309"/>
      <c r="I15600" s="309"/>
      <c r="J15600" s="309"/>
    </row>
    <row r="15601">
      <c r="B15601" s="309"/>
      <c r="C15601" s="309"/>
      <c r="I15601" s="309"/>
      <c r="J15601" s="309"/>
    </row>
    <row r="15602">
      <c r="B15602" s="309"/>
      <c r="C15602" s="309"/>
      <c r="I15602" s="309"/>
      <c r="J15602" s="309"/>
    </row>
    <row r="15603">
      <c r="B15603" s="309"/>
      <c r="C15603" s="309"/>
      <c r="I15603" s="309"/>
      <c r="J15603" s="309"/>
    </row>
    <row r="15604">
      <c r="B15604" s="309"/>
      <c r="C15604" s="309"/>
      <c r="I15604" s="309"/>
      <c r="J15604" s="309"/>
    </row>
    <row r="15605">
      <c r="B15605" s="309"/>
      <c r="C15605" s="309"/>
      <c r="I15605" s="309"/>
      <c r="J15605" s="309"/>
    </row>
    <row r="15606">
      <c r="B15606" s="309"/>
      <c r="C15606" s="309"/>
      <c r="I15606" s="309"/>
      <c r="J15606" s="309"/>
    </row>
    <row r="15607">
      <c r="B15607" s="309"/>
      <c r="C15607" s="309"/>
      <c r="I15607" s="309"/>
      <c r="J15607" s="309"/>
    </row>
    <row r="15608">
      <c r="B15608" s="309"/>
      <c r="C15608" s="309"/>
      <c r="I15608" s="309"/>
      <c r="J15608" s="309"/>
    </row>
    <row r="15609">
      <c r="B15609" s="309"/>
      <c r="C15609" s="309"/>
      <c r="I15609" s="309"/>
      <c r="J15609" s="309"/>
    </row>
    <row r="15610">
      <c r="B15610" s="309"/>
      <c r="C15610" s="309"/>
      <c r="I15610" s="309"/>
      <c r="J15610" s="309"/>
    </row>
    <row r="15611">
      <c r="B15611" s="309"/>
      <c r="C15611" s="309"/>
      <c r="I15611" s="309"/>
      <c r="J15611" s="309"/>
    </row>
    <row r="15612">
      <c r="B15612" s="309"/>
      <c r="C15612" s="309"/>
      <c r="I15612" s="309"/>
      <c r="J15612" s="309"/>
    </row>
    <row r="15613">
      <c r="B15613" s="309"/>
      <c r="C15613" s="309"/>
      <c r="I15613" s="309"/>
      <c r="J15613" s="309"/>
    </row>
    <row r="15614">
      <c r="B15614" s="309"/>
      <c r="C15614" s="309"/>
      <c r="I15614" s="309"/>
      <c r="J15614" s="309"/>
    </row>
    <row r="15615">
      <c r="B15615" s="309"/>
      <c r="C15615" s="309"/>
      <c r="I15615" s="309"/>
      <c r="J15615" s="309"/>
    </row>
    <row r="15616">
      <c r="B15616" s="309"/>
      <c r="C15616" s="309"/>
      <c r="I15616" s="309"/>
      <c r="J15616" s="309"/>
    </row>
    <row r="15617">
      <c r="B15617" s="309"/>
      <c r="C15617" s="309"/>
      <c r="I15617" s="309"/>
      <c r="J15617" s="309"/>
    </row>
    <row r="15618">
      <c r="B15618" s="309"/>
      <c r="C15618" s="309"/>
      <c r="I15618" s="309"/>
      <c r="J15618" s="309"/>
    </row>
    <row r="15619">
      <c r="B15619" s="309"/>
      <c r="C15619" s="309"/>
      <c r="I15619" s="309"/>
      <c r="J15619" s="309"/>
    </row>
    <row r="15620">
      <c r="B15620" s="309"/>
      <c r="C15620" s="309"/>
      <c r="I15620" s="309"/>
      <c r="J15620" s="309"/>
    </row>
    <row r="15621">
      <c r="B15621" s="309"/>
      <c r="C15621" s="309"/>
      <c r="I15621" s="309"/>
      <c r="J15621" s="309"/>
    </row>
    <row r="15622">
      <c r="B15622" s="309"/>
      <c r="C15622" s="309"/>
      <c r="I15622" s="309"/>
      <c r="J15622" s="309"/>
    </row>
    <row r="15623">
      <c r="B15623" s="309"/>
      <c r="C15623" s="309"/>
      <c r="I15623" s="309"/>
      <c r="J15623" s="309"/>
    </row>
    <row r="15624">
      <c r="B15624" s="309"/>
      <c r="C15624" s="309"/>
      <c r="I15624" s="309"/>
      <c r="J15624" s="309"/>
    </row>
    <row r="15625">
      <c r="B15625" s="309"/>
      <c r="C15625" s="309"/>
      <c r="I15625" s="309"/>
      <c r="J15625" s="309"/>
    </row>
    <row r="15626">
      <c r="B15626" s="309"/>
      <c r="C15626" s="309"/>
      <c r="I15626" s="309"/>
      <c r="J15626" s="309"/>
    </row>
    <row r="15627">
      <c r="B15627" s="309"/>
      <c r="C15627" s="309"/>
      <c r="I15627" s="309"/>
      <c r="J15627" s="309"/>
    </row>
    <row r="15628">
      <c r="B15628" s="309"/>
      <c r="C15628" s="309"/>
      <c r="I15628" s="309"/>
      <c r="J15628" s="309"/>
    </row>
    <row r="15629">
      <c r="B15629" s="309"/>
      <c r="C15629" s="309"/>
      <c r="I15629" s="309"/>
      <c r="J15629" s="309"/>
    </row>
    <row r="15630">
      <c r="B15630" s="309"/>
      <c r="C15630" s="309"/>
      <c r="I15630" s="309"/>
      <c r="J15630" s="309"/>
    </row>
    <row r="15631">
      <c r="B15631" s="309"/>
      <c r="C15631" s="309"/>
      <c r="I15631" s="309"/>
      <c r="J15631" s="309"/>
    </row>
    <row r="15632">
      <c r="B15632" s="309"/>
      <c r="C15632" s="309"/>
      <c r="I15632" s="309"/>
      <c r="J15632" s="309"/>
    </row>
    <row r="15633">
      <c r="B15633" s="309"/>
      <c r="C15633" s="309"/>
      <c r="I15633" s="309"/>
      <c r="J15633" s="309"/>
    </row>
    <row r="15634">
      <c r="B15634" s="309"/>
      <c r="C15634" s="309"/>
      <c r="I15634" s="309"/>
      <c r="J15634" s="309"/>
    </row>
    <row r="15635">
      <c r="B15635" s="309"/>
      <c r="C15635" s="309"/>
      <c r="I15635" s="309"/>
      <c r="J15635" s="309"/>
    </row>
    <row r="15636">
      <c r="B15636" s="309"/>
      <c r="C15636" s="309"/>
      <c r="I15636" s="309"/>
      <c r="J15636" s="309"/>
    </row>
    <row r="15637">
      <c r="B15637" s="309"/>
      <c r="C15637" s="309"/>
      <c r="I15637" s="309"/>
      <c r="J15637" s="309"/>
    </row>
    <row r="15638">
      <c r="B15638" s="309"/>
      <c r="C15638" s="309"/>
      <c r="I15638" s="309"/>
      <c r="J15638" s="309"/>
    </row>
    <row r="15639">
      <c r="B15639" s="309"/>
      <c r="C15639" s="309"/>
      <c r="I15639" s="309"/>
      <c r="J15639" s="309"/>
    </row>
    <row r="15640">
      <c r="B15640" s="309"/>
      <c r="C15640" s="309"/>
      <c r="I15640" s="309"/>
      <c r="J15640" s="309"/>
    </row>
    <row r="15641">
      <c r="B15641" s="309"/>
      <c r="C15641" s="309"/>
      <c r="I15641" s="309"/>
      <c r="J15641" s="309"/>
    </row>
    <row r="15642">
      <c r="B15642" s="309"/>
      <c r="C15642" s="309"/>
      <c r="I15642" s="309"/>
      <c r="J15642" s="309"/>
    </row>
    <row r="15643">
      <c r="B15643" s="309"/>
      <c r="C15643" s="309"/>
      <c r="I15643" s="309"/>
      <c r="J15643" s="309"/>
    </row>
    <row r="15644">
      <c r="B15644" s="309"/>
      <c r="C15644" s="309"/>
      <c r="I15644" s="309"/>
      <c r="J15644" s="309"/>
    </row>
    <row r="15645">
      <c r="B15645" s="309"/>
      <c r="C15645" s="309"/>
      <c r="I15645" s="309"/>
      <c r="J15645" s="309"/>
    </row>
    <row r="15646">
      <c r="B15646" s="309"/>
      <c r="C15646" s="309"/>
      <c r="I15646" s="309"/>
      <c r="J15646" s="309"/>
    </row>
    <row r="15647">
      <c r="B15647" s="309"/>
      <c r="C15647" s="309"/>
      <c r="I15647" s="309"/>
      <c r="J15647" s="309"/>
    </row>
    <row r="15648">
      <c r="B15648" s="309"/>
      <c r="C15648" s="309"/>
      <c r="I15648" s="309"/>
      <c r="J15648" s="309"/>
    </row>
    <row r="15649">
      <c r="B15649" s="309"/>
      <c r="C15649" s="309"/>
      <c r="I15649" s="309"/>
      <c r="J15649" s="309"/>
    </row>
    <row r="15650">
      <c r="B15650" s="309"/>
      <c r="C15650" s="309"/>
      <c r="I15650" s="309"/>
      <c r="J15650" s="309"/>
    </row>
    <row r="15651">
      <c r="B15651" s="309"/>
      <c r="C15651" s="309"/>
      <c r="I15651" s="309"/>
      <c r="J15651" s="309"/>
    </row>
    <row r="15652">
      <c r="B15652" s="309"/>
      <c r="C15652" s="309"/>
      <c r="I15652" s="309"/>
      <c r="J15652" s="309"/>
    </row>
    <row r="15653">
      <c r="B15653" s="309"/>
      <c r="C15653" s="309"/>
      <c r="I15653" s="309"/>
      <c r="J15653" s="309"/>
    </row>
    <row r="15654">
      <c r="B15654" s="309"/>
      <c r="C15654" s="309"/>
      <c r="I15654" s="309"/>
      <c r="J15654" s="309"/>
    </row>
    <row r="15655">
      <c r="B15655" s="309"/>
      <c r="C15655" s="309"/>
      <c r="I15655" s="309"/>
      <c r="J15655" s="309"/>
    </row>
    <row r="15656">
      <c r="B15656" s="309"/>
      <c r="C15656" s="309"/>
      <c r="I15656" s="309"/>
      <c r="J15656" s="309"/>
    </row>
    <row r="15657">
      <c r="B15657" s="309"/>
      <c r="C15657" s="309"/>
      <c r="I15657" s="309"/>
      <c r="J15657" s="309"/>
    </row>
    <row r="15658">
      <c r="B15658" s="309"/>
      <c r="C15658" s="309"/>
      <c r="I15658" s="309"/>
      <c r="J15658" s="309"/>
    </row>
    <row r="15659">
      <c r="B15659" s="309"/>
      <c r="C15659" s="309"/>
      <c r="I15659" s="309"/>
      <c r="J15659" s="309"/>
    </row>
    <row r="15660">
      <c r="B15660" s="309"/>
      <c r="C15660" s="309"/>
      <c r="I15660" s="309"/>
      <c r="J15660" s="309"/>
    </row>
    <row r="15661">
      <c r="B15661" s="309"/>
      <c r="C15661" s="309"/>
      <c r="I15661" s="309"/>
      <c r="J15661" s="309"/>
    </row>
    <row r="15662">
      <c r="B15662" s="309"/>
      <c r="C15662" s="309"/>
      <c r="I15662" s="309"/>
      <c r="J15662" s="309"/>
    </row>
    <row r="15663">
      <c r="B15663" s="309"/>
      <c r="C15663" s="309"/>
      <c r="I15663" s="309"/>
      <c r="J15663" s="309"/>
    </row>
    <row r="15664">
      <c r="B15664" s="309"/>
      <c r="C15664" s="309"/>
      <c r="I15664" s="309"/>
      <c r="J15664" s="309"/>
    </row>
    <row r="15665">
      <c r="B15665" s="309"/>
      <c r="C15665" s="309"/>
      <c r="I15665" s="309"/>
      <c r="J15665" s="309"/>
    </row>
    <row r="15666">
      <c r="B15666" s="309"/>
      <c r="C15666" s="309"/>
      <c r="I15666" s="309"/>
      <c r="J15666" s="309"/>
    </row>
    <row r="15667">
      <c r="B15667" s="309"/>
      <c r="C15667" s="309"/>
      <c r="I15667" s="309"/>
      <c r="J15667" s="309"/>
    </row>
    <row r="15668">
      <c r="B15668" s="309"/>
      <c r="C15668" s="309"/>
      <c r="I15668" s="309"/>
      <c r="J15668" s="309"/>
    </row>
    <row r="15669">
      <c r="B15669" s="309"/>
      <c r="C15669" s="309"/>
      <c r="I15669" s="309"/>
      <c r="J15669" s="309"/>
    </row>
    <row r="15670">
      <c r="B15670" s="309"/>
      <c r="C15670" s="309"/>
      <c r="I15670" s="309"/>
      <c r="J15670" s="309"/>
    </row>
    <row r="15671">
      <c r="B15671" s="309"/>
      <c r="C15671" s="309"/>
      <c r="I15671" s="309"/>
      <c r="J15671" s="309"/>
    </row>
    <row r="15672">
      <c r="B15672" s="309"/>
      <c r="C15672" s="309"/>
      <c r="I15672" s="309"/>
      <c r="J15672" s="309"/>
    </row>
    <row r="15673">
      <c r="B15673" s="309"/>
      <c r="C15673" s="309"/>
      <c r="I15673" s="309"/>
      <c r="J15673" s="309"/>
    </row>
    <row r="15674">
      <c r="B15674" s="309"/>
      <c r="C15674" s="309"/>
      <c r="I15674" s="309"/>
      <c r="J15674" s="309"/>
    </row>
    <row r="15675">
      <c r="B15675" s="309"/>
      <c r="C15675" s="309"/>
      <c r="I15675" s="309"/>
      <c r="J15675" s="309"/>
    </row>
    <row r="15676">
      <c r="B15676" s="309"/>
      <c r="C15676" s="309"/>
      <c r="I15676" s="309"/>
      <c r="J15676" s="309"/>
    </row>
    <row r="15677">
      <c r="B15677" s="309"/>
      <c r="C15677" s="309"/>
      <c r="I15677" s="309"/>
      <c r="J15677" s="309"/>
    </row>
    <row r="15678">
      <c r="B15678" s="309"/>
      <c r="C15678" s="309"/>
      <c r="I15678" s="309"/>
      <c r="J15678" s="309"/>
    </row>
    <row r="15679">
      <c r="B15679" s="309"/>
      <c r="C15679" s="309"/>
      <c r="I15679" s="309"/>
      <c r="J15679" s="309"/>
    </row>
    <row r="15680">
      <c r="B15680" s="309"/>
      <c r="C15680" s="309"/>
      <c r="I15680" s="309"/>
      <c r="J15680" s="309"/>
    </row>
    <row r="15681">
      <c r="B15681" s="309"/>
      <c r="C15681" s="309"/>
      <c r="I15681" s="309"/>
      <c r="J15681" s="309"/>
    </row>
    <row r="15682">
      <c r="B15682" s="309"/>
      <c r="C15682" s="309"/>
      <c r="I15682" s="309"/>
      <c r="J15682" s="309"/>
    </row>
    <row r="15683">
      <c r="B15683" s="309"/>
      <c r="C15683" s="309"/>
      <c r="I15683" s="309"/>
      <c r="J15683" s="309"/>
    </row>
    <row r="15684">
      <c r="B15684" s="309"/>
      <c r="C15684" s="309"/>
      <c r="I15684" s="309"/>
      <c r="J15684" s="309"/>
    </row>
    <row r="15685">
      <c r="B15685" s="309"/>
      <c r="C15685" s="309"/>
      <c r="I15685" s="309"/>
      <c r="J15685" s="309"/>
    </row>
    <row r="15686">
      <c r="B15686" s="309"/>
      <c r="C15686" s="309"/>
      <c r="I15686" s="309"/>
      <c r="J15686" s="309"/>
    </row>
    <row r="15687">
      <c r="B15687" s="309"/>
      <c r="C15687" s="309"/>
      <c r="I15687" s="309"/>
      <c r="J15687" s="309"/>
    </row>
    <row r="15688">
      <c r="B15688" s="309"/>
      <c r="C15688" s="309"/>
      <c r="I15688" s="309"/>
      <c r="J15688" s="309"/>
    </row>
    <row r="15689">
      <c r="B15689" s="309"/>
      <c r="C15689" s="309"/>
      <c r="I15689" s="309"/>
      <c r="J15689" s="309"/>
    </row>
    <row r="15690">
      <c r="B15690" s="309"/>
      <c r="C15690" s="309"/>
      <c r="I15690" s="309"/>
      <c r="J15690" s="309"/>
    </row>
    <row r="15691">
      <c r="B15691" s="309"/>
      <c r="C15691" s="309"/>
      <c r="I15691" s="309"/>
      <c r="J15691" s="309"/>
    </row>
    <row r="15692">
      <c r="B15692" s="309"/>
      <c r="C15692" s="309"/>
      <c r="I15692" s="309"/>
      <c r="J15692" s="309"/>
    </row>
    <row r="15693">
      <c r="B15693" s="309"/>
      <c r="C15693" s="309"/>
      <c r="I15693" s="309"/>
      <c r="J15693" s="309"/>
    </row>
    <row r="15694">
      <c r="B15694" s="309"/>
      <c r="C15694" s="309"/>
      <c r="I15694" s="309"/>
      <c r="J15694" s="309"/>
    </row>
    <row r="15695">
      <c r="B15695" s="309"/>
      <c r="C15695" s="309"/>
      <c r="I15695" s="309"/>
      <c r="J15695" s="309"/>
    </row>
    <row r="15696">
      <c r="B15696" s="309"/>
      <c r="C15696" s="309"/>
      <c r="I15696" s="309"/>
      <c r="J15696" s="309"/>
    </row>
    <row r="15697">
      <c r="B15697" s="309"/>
      <c r="C15697" s="309"/>
      <c r="I15697" s="309"/>
      <c r="J15697" s="309"/>
    </row>
    <row r="15698">
      <c r="B15698" s="309"/>
      <c r="C15698" s="309"/>
      <c r="I15698" s="309"/>
      <c r="J15698" s="309"/>
    </row>
    <row r="15699">
      <c r="B15699" s="309"/>
      <c r="C15699" s="309"/>
      <c r="I15699" s="309"/>
      <c r="J15699" s="309"/>
    </row>
    <row r="15700">
      <c r="B15700" s="309"/>
      <c r="C15700" s="309"/>
      <c r="I15700" s="309"/>
      <c r="J15700" s="309"/>
    </row>
    <row r="15701">
      <c r="B15701" s="309"/>
      <c r="C15701" s="309"/>
      <c r="I15701" s="309"/>
      <c r="J15701" s="309"/>
    </row>
    <row r="15702">
      <c r="B15702" s="309"/>
      <c r="C15702" s="309"/>
      <c r="I15702" s="309"/>
      <c r="J15702" s="309"/>
    </row>
    <row r="15703">
      <c r="B15703" s="309"/>
      <c r="C15703" s="309"/>
      <c r="I15703" s="309"/>
      <c r="J15703" s="309"/>
    </row>
    <row r="15704">
      <c r="B15704" s="309"/>
      <c r="C15704" s="309"/>
      <c r="I15704" s="309"/>
      <c r="J15704" s="309"/>
    </row>
    <row r="15705">
      <c r="B15705" s="309"/>
      <c r="C15705" s="309"/>
      <c r="I15705" s="309"/>
      <c r="J15705" s="309"/>
    </row>
    <row r="15706">
      <c r="B15706" s="309"/>
      <c r="C15706" s="309"/>
      <c r="I15706" s="309"/>
      <c r="J15706" s="309"/>
    </row>
    <row r="15707">
      <c r="B15707" s="309"/>
      <c r="C15707" s="309"/>
      <c r="I15707" s="309"/>
      <c r="J15707" s="309"/>
    </row>
    <row r="15708">
      <c r="B15708" s="309"/>
      <c r="C15708" s="309"/>
      <c r="I15708" s="309"/>
      <c r="J15708" s="309"/>
    </row>
    <row r="15709">
      <c r="B15709" s="309"/>
      <c r="C15709" s="309"/>
      <c r="I15709" s="309"/>
      <c r="J15709" s="309"/>
    </row>
    <row r="15710">
      <c r="B15710" s="309"/>
      <c r="C15710" s="309"/>
      <c r="I15710" s="309"/>
      <c r="J15710" s="309"/>
    </row>
    <row r="15711">
      <c r="B15711" s="309"/>
      <c r="C15711" s="309"/>
      <c r="I15711" s="309"/>
      <c r="J15711" s="309"/>
    </row>
    <row r="15712">
      <c r="B15712" s="309"/>
      <c r="C15712" s="309"/>
      <c r="I15712" s="309"/>
      <c r="J15712" s="309"/>
    </row>
    <row r="15713">
      <c r="B15713" s="309"/>
      <c r="C15713" s="309"/>
      <c r="I15713" s="309"/>
      <c r="J15713" s="309"/>
    </row>
    <row r="15714">
      <c r="B15714" s="309"/>
      <c r="C15714" s="309"/>
      <c r="I15714" s="309"/>
      <c r="J15714" s="309"/>
    </row>
    <row r="15715">
      <c r="B15715" s="309"/>
      <c r="C15715" s="309"/>
      <c r="I15715" s="309"/>
      <c r="J15715" s="309"/>
    </row>
    <row r="15716">
      <c r="B15716" s="309"/>
      <c r="C15716" s="309"/>
      <c r="I15716" s="309"/>
      <c r="J15716" s="309"/>
    </row>
    <row r="15717">
      <c r="B15717" s="309"/>
      <c r="C15717" s="309"/>
      <c r="I15717" s="309"/>
      <c r="J15717" s="309"/>
    </row>
    <row r="15718">
      <c r="B15718" s="309"/>
      <c r="C15718" s="309"/>
      <c r="I15718" s="309"/>
      <c r="J15718" s="309"/>
    </row>
    <row r="15719">
      <c r="B15719" s="309"/>
      <c r="C15719" s="309"/>
      <c r="I15719" s="309"/>
      <c r="J15719" s="309"/>
    </row>
    <row r="15720">
      <c r="B15720" s="309"/>
      <c r="C15720" s="309"/>
      <c r="I15720" s="309"/>
      <c r="J15720" s="309"/>
    </row>
    <row r="15721">
      <c r="B15721" s="309"/>
      <c r="C15721" s="309"/>
      <c r="I15721" s="309"/>
      <c r="J15721" s="309"/>
    </row>
    <row r="15722">
      <c r="B15722" s="309"/>
      <c r="C15722" s="309"/>
      <c r="I15722" s="309"/>
      <c r="J15722" s="309"/>
    </row>
    <row r="15723">
      <c r="B15723" s="309"/>
      <c r="C15723" s="309"/>
      <c r="I15723" s="309"/>
      <c r="J15723" s="309"/>
    </row>
    <row r="15724">
      <c r="B15724" s="309"/>
      <c r="C15724" s="309"/>
      <c r="I15724" s="309"/>
      <c r="J15724" s="309"/>
    </row>
    <row r="15725">
      <c r="B15725" s="309"/>
      <c r="C15725" s="309"/>
      <c r="I15725" s="309"/>
      <c r="J15725" s="309"/>
    </row>
    <row r="15726">
      <c r="B15726" s="309"/>
      <c r="C15726" s="309"/>
      <c r="I15726" s="309"/>
      <c r="J15726" s="309"/>
    </row>
    <row r="15727">
      <c r="B15727" s="309"/>
      <c r="C15727" s="309"/>
      <c r="I15727" s="309"/>
      <c r="J15727" s="309"/>
    </row>
    <row r="15728">
      <c r="B15728" s="309"/>
      <c r="C15728" s="309"/>
      <c r="I15728" s="309"/>
      <c r="J15728" s="309"/>
    </row>
    <row r="15729">
      <c r="B15729" s="309"/>
      <c r="C15729" s="309"/>
      <c r="I15729" s="309"/>
      <c r="J15729" s="309"/>
    </row>
    <row r="15730">
      <c r="B15730" s="309"/>
      <c r="C15730" s="309"/>
      <c r="I15730" s="309"/>
      <c r="J15730" s="309"/>
    </row>
    <row r="15731">
      <c r="B15731" s="309"/>
      <c r="C15731" s="309"/>
      <c r="I15731" s="309"/>
      <c r="J15731" s="309"/>
    </row>
    <row r="15732">
      <c r="B15732" s="309"/>
      <c r="C15732" s="309"/>
      <c r="I15732" s="309"/>
      <c r="J15732" s="309"/>
    </row>
    <row r="15733">
      <c r="B15733" s="309"/>
      <c r="C15733" s="309"/>
      <c r="I15733" s="309"/>
      <c r="J15733" s="309"/>
    </row>
    <row r="15734">
      <c r="B15734" s="309"/>
      <c r="C15734" s="309"/>
      <c r="I15734" s="309"/>
      <c r="J15734" s="309"/>
    </row>
    <row r="15735">
      <c r="B15735" s="309"/>
      <c r="C15735" s="309"/>
      <c r="I15735" s="309"/>
      <c r="J15735" s="309"/>
    </row>
    <row r="15736">
      <c r="B15736" s="309"/>
      <c r="C15736" s="309"/>
      <c r="I15736" s="309"/>
      <c r="J15736" s="309"/>
    </row>
    <row r="15737">
      <c r="B15737" s="309"/>
      <c r="C15737" s="309"/>
      <c r="I15737" s="309"/>
      <c r="J15737" s="309"/>
    </row>
    <row r="15738">
      <c r="B15738" s="309"/>
      <c r="C15738" s="309"/>
      <c r="I15738" s="309"/>
      <c r="J15738" s="309"/>
    </row>
    <row r="15739">
      <c r="B15739" s="309"/>
      <c r="C15739" s="309"/>
      <c r="I15739" s="309"/>
      <c r="J15739" s="309"/>
    </row>
    <row r="15740">
      <c r="B15740" s="309"/>
      <c r="C15740" s="309"/>
      <c r="I15740" s="309"/>
      <c r="J15740" s="309"/>
    </row>
    <row r="15741">
      <c r="B15741" s="309"/>
      <c r="C15741" s="309"/>
      <c r="I15741" s="309"/>
      <c r="J15741" s="309"/>
    </row>
    <row r="15742">
      <c r="B15742" s="309"/>
      <c r="C15742" s="309"/>
      <c r="I15742" s="309"/>
      <c r="J15742" s="309"/>
    </row>
    <row r="15743">
      <c r="B15743" s="309"/>
      <c r="C15743" s="309"/>
      <c r="I15743" s="309"/>
      <c r="J15743" s="309"/>
    </row>
    <row r="15744">
      <c r="B15744" s="309"/>
      <c r="C15744" s="309"/>
      <c r="I15744" s="309"/>
      <c r="J15744" s="309"/>
    </row>
    <row r="15745">
      <c r="B15745" s="309"/>
      <c r="C15745" s="309"/>
      <c r="I15745" s="309"/>
      <c r="J15745" s="309"/>
    </row>
    <row r="15746">
      <c r="B15746" s="309"/>
      <c r="C15746" s="309"/>
      <c r="I15746" s="309"/>
      <c r="J15746" s="309"/>
    </row>
    <row r="15747">
      <c r="B15747" s="309"/>
      <c r="C15747" s="309"/>
      <c r="I15747" s="309"/>
      <c r="J15747" s="309"/>
    </row>
    <row r="15748">
      <c r="B15748" s="309"/>
      <c r="C15748" s="309"/>
      <c r="I15748" s="309"/>
      <c r="J15748" s="309"/>
    </row>
    <row r="15749">
      <c r="B15749" s="309"/>
      <c r="C15749" s="309"/>
      <c r="I15749" s="309"/>
      <c r="J15749" s="309"/>
    </row>
    <row r="15750">
      <c r="B15750" s="309"/>
      <c r="C15750" s="309"/>
      <c r="I15750" s="309"/>
      <c r="J15750" s="309"/>
    </row>
    <row r="15751">
      <c r="B15751" s="309"/>
      <c r="C15751" s="309"/>
      <c r="I15751" s="309"/>
      <c r="J15751" s="309"/>
    </row>
    <row r="15752">
      <c r="B15752" s="309"/>
      <c r="C15752" s="309"/>
      <c r="I15752" s="309"/>
      <c r="J15752" s="309"/>
    </row>
    <row r="15753">
      <c r="B15753" s="309"/>
      <c r="C15753" s="309"/>
      <c r="I15753" s="309"/>
      <c r="J15753" s="309"/>
    </row>
    <row r="15754">
      <c r="B15754" s="309"/>
      <c r="C15754" s="309"/>
      <c r="I15754" s="309"/>
      <c r="J15754" s="309"/>
    </row>
    <row r="15755">
      <c r="B15755" s="309"/>
      <c r="C15755" s="309"/>
      <c r="I15755" s="309"/>
      <c r="J15755" s="309"/>
    </row>
    <row r="15756">
      <c r="B15756" s="309"/>
      <c r="C15756" s="309"/>
      <c r="I15756" s="309"/>
      <c r="J15756" s="309"/>
    </row>
    <row r="15757">
      <c r="B15757" s="309"/>
      <c r="C15757" s="309"/>
      <c r="I15757" s="309"/>
      <c r="J15757" s="309"/>
    </row>
    <row r="15758">
      <c r="B15758" s="309"/>
      <c r="C15758" s="309"/>
      <c r="I15758" s="309"/>
      <c r="J15758" s="309"/>
    </row>
    <row r="15759">
      <c r="B15759" s="309"/>
      <c r="C15759" s="309"/>
      <c r="I15759" s="309"/>
      <c r="J15759" s="309"/>
    </row>
    <row r="15760">
      <c r="B15760" s="309"/>
      <c r="C15760" s="309"/>
      <c r="I15760" s="309"/>
      <c r="J15760" s="309"/>
    </row>
    <row r="15761">
      <c r="B15761" s="309"/>
      <c r="C15761" s="309"/>
      <c r="I15761" s="309"/>
      <c r="J15761" s="309"/>
    </row>
    <row r="15762">
      <c r="B15762" s="309"/>
      <c r="C15762" s="309"/>
      <c r="I15762" s="309"/>
      <c r="J15762" s="309"/>
    </row>
    <row r="15763">
      <c r="B15763" s="309"/>
      <c r="C15763" s="309"/>
      <c r="I15763" s="309"/>
      <c r="J15763" s="309"/>
    </row>
    <row r="15764">
      <c r="B15764" s="309"/>
      <c r="C15764" s="309"/>
      <c r="I15764" s="309"/>
      <c r="J15764" s="309"/>
    </row>
    <row r="15765">
      <c r="B15765" s="309"/>
      <c r="C15765" s="309"/>
      <c r="I15765" s="309"/>
      <c r="J15765" s="309"/>
    </row>
    <row r="15766">
      <c r="B15766" s="309"/>
      <c r="C15766" s="309"/>
      <c r="I15766" s="309"/>
      <c r="J15766" s="309"/>
    </row>
    <row r="15767">
      <c r="B15767" s="309"/>
      <c r="C15767" s="309"/>
      <c r="I15767" s="309"/>
      <c r="J15767" s="309"/>
    </row>
    <row r="15768">
      <c r="B15768" s="309"/>
      <c r="C15768" s="309"/>
      <c r="I15768" s="309"/>
      <c r="J15768" s="309"/>
    </row>
    <row r="15769">
      <c r="B15769" s="309"/>
      <c r="C15769" s="309"/>
      <c r="I15769" s="309"/>
      <c r="J15769" s="309"/>
    </row>
    <row r="15770">
      <c r="B15770" s="309"/>
      <c r="C15770" s="309"/>
      <c r="I15770" s="309"/>
      <c r="J15770" s="309"/>
    </row>
    <row r="15771">
      <c r="B15771" s="309"/>
      <c r="C15771" s="309"/>
      <c r="I15771" s="309"/>
      <c r="J15771" s="309"/>
    </row>
    <row r="15772">
      <c r="B15772" s="309"/>
      <c r="C15772" s="309"/>
      <c r="I15772" s="309"/>
      <c r="J15772" s="309"/>
    </row>
    <row r="15773">
      <c r="B15773" s="309"/>
      <c r="C15773" s="309"/>
      <c r="I15773" s="309"/>
      <c r="J15773" s="309"/>
    </row>
    <row r="15774">
      <c r="B15774" s="309"/>
      <c r="C15774" s="309"/>
      <c r="I15774" s="309"/>
      <c r="J15774" s="309"/>
    </row>
    <row r="15775">
      <c r="B15775" s="309"/>
      <c r="C15775" s="309"/>
      <c r="I15775" s="309"/>
      <c r="J15775" s="309"/>
    </row>
    <row r="15776">
      <c r="B15776" s="309"/>
      <c r="C15776" s="309"/>
      <c r="I15776" s="309"/>
      <c r="J15776" s="309"/>
    </row>
    <row r="15777">
      <c r="B15777" s="309"/>
      <c r="C15777" s="309"/>
      <c r="I15777" s="309"/>
      <c r="J15777" s="309"/>
    </row>
    <row r="15778">
      <c r="B15778" s="309"/>
      <c r="C15778" s="309"/>
      <c r="I15778" s="309"/>
      <c r="J15778" s="309"/>
    </row>
    <row r="15779">
      <c r="B15779" s="309"/>
      <c r="C15779" s="309"/>
      <c r="I15779" s="309"/>
      <c r="J15779" s="309"/>
    </row>
    <row r="15780">
      <c r="B15780" s="309"/>
      <c r="C15780" s="309"/>
      <c r="I15780" s="309"/>
      <c r="J15780" s="309"/>
    </row>
    <row r="15781">
      <c r="B15781" s="309"/>
      <c r="C15781" s="309"/>
      <c r="I15781" s="309"/>
      <c r="J15781" s="309"/>
    </row>
    <row r="15782">
      <c r="B15782" s="309"/>
      <c r="C15782" s="309"/>
      <c r="I15782" s="309"/>
      <c r="J15782" s="309"/>
    </row>
    <row r="15783">
      <c r="B15783" s="309"/>
      <c r="C15783" s="309"/>
      <c r="I15783" s="309"/>
      <c r="J15783" s="309"/>
    </row>
    <row r="15784">
      <c r="B15784" s="309"/>
      <c r="C15784" s="309"/>
      <c r="I15784" s="309"/>
      <c r="J15784" s="309"/>
    </row>
    <row r="15785">
      <c r="B15785" s="309"/>
      <c r="C15785" s="309"/>
      <c r="I15785" s="309"/>
      <c r="J15785" s="309"/>
    </row>
    <row r="15786">
      <c r="B15786" s="309"/>
      <c r="C15786" s="309"/>
      <c r="I15786" s="309"/>
      <c r="J15786" s="309"/>
    </row>
    <row r="15787">
      <c r="B15787" s="309"/>
      <c r="C15787" s="309"/>
      <c r="I15787" s="309"/>
      <c r="J15787" s="309"/>
    </row>
    <row r="15788">
      <c r="B15788" s="309"/>
      <c r="C15788" s="309"/>
      <c r="I15788" s="309"/>
      <c r="J15788" s="309"/>
    </row>
    <row r="15789">
      <c r="B15789" s="309"/>
      <c r="C15789" s="309"/>
      <c r="I15789" s="309"/>
      <c r="J15789" s="309"/>
    </row>
    <row r="15790">
      <c r="B15790" s="309"/>
      <c r="C15790" s="309"/>
      <c r="I15790" s="309"/>
      <c r="J15790" s="309"/>
    </row>
    <row r="15791">
      <c r="B15791" s="309"/>
      <c r="C15791" s="309"/>
      <c r="I15791" s="309"/>
      <c r="J15791" s="309"/>
    </row>
    <row r="15792">
      <c r="B15792" s="309"/>
      <c r="C15792" s="309"/>
      <c r="I15792" s="309"/>
      <c r="J15792" s="309"/>
    </row>
    <row r="15793">
      <c r="B15793" s="309"/>
      <c r="C15793" s="309"/>
      <c r="I15793" s="309"/>
      <c r="J15793" s="309"/>
    </row>
    <row r="15794">
      <c r="B15794" s="309"/>
      <c r="C15794" s="309"/>
      <c r="I15794" s="309"/>
      <c r="J15794" s="309"/>
    </row>
    <row r="15795">
      <c r="B15795" s="309"/>
      <c r="C15795" s="309"/>
      <c r="I15795" s="309"/>
      <c r="J15795" s="309"/>
    </row>
    <row r="15796">
      <c r="B15796" s="309"/>
      <c r="C15796" s="309"/>
      <c r="I15796" s="309"/>
      <c r="J15796" s="309"/>
    </row>
    <row r="15797">
      <c r="B15797" s="309"/>
      <c r="C15797" s="309"/>
      <c r="I15797" s="309"/>
      <c r="J15797" s="309"/>
    </row>
    <row r="15798">
      <c r="B15798" s="309"/>
      <c r="C15798" s="309"/>
      <c r="I15798" s="309"/>
      <c r="J15798" s="309"/>
    </row>
    <row r="15799">
      <c r="B15799" s="309"/>
      <c r="C15799" s="309"/>
      <c r="I15799" s="309"/>
      <c r="J15799" s="309"/>
    </row>
    <row r="15800">
      <c r="B15800" s="309"/>
      <c r="C15800" s="309"/>
      <c r="I15800" s="309"/>
      <c r="J15800" s="309"/>
    </row>
    <row r="15801">
      <c r="B15801" s="309"/>
      <c r="C15801" s="309"/>
      <c r="I15801" s="309"/>
      <c r="J15801" s="309"/>
    </row>
    <row r="15802">
      <c r="B15802" s="309"/>
      <c r="C15802" s="309"/>
      <c r="I15802" s="309"/>
      <c r="J15802" s="309"/>
    </row>
    <row r="15803">
      <c r="B15803" s="309"/>
      <c r="C15803" s="309"/>
      <c r="I15803" s="309"/>
      <c r="J15803" s="309"/>
    </row>
    <row r="15804">
      <c r="B15804" s="309"/>
      <c r="C15804" s="309"/>
      <c r="I15804" s="309"/>
      <c r="J15804" s="309"/>
    </row>
    <row r="15805">
      <c r="B15805" s="309"/>
      <c r="C15805" s="309"/>
      <c r="I15805" s="309"/>
      <c r="J15805" s="309"/>
    </row>
    <row r="15806">
      <c r="B15806" s="309"/>
      <c r="C15806" s="309"/>
      <c r="I15806" s="309"/>
      <c r="J15806" s="309"/>
    </row>
    <row r="15807">
      <c r="B15807" s="309"/>
      <c r="C15807" s="309"/>
      <c r="I15807" s="309"/>
      <c r="J15807" s="309"/>
    </row>
    <row r="15808">
      <c r="B15808" s="309"/>
      <c r="C15808" s="309"/>
      <c r="I15808" s="309"/>
      <c r="J15808" s="309"/>
    </row>
    <row r="15809">
      <c r="B15809" s="309"/>
      <c r="C15809" s="309"/>
      <c r="I15809" s="309"/>
      <c r="J15809" s="309"/>
    </row>
    <row r="15810">
      <c r="B15810" s="309"/>
      <c r="C15810" s="309"/>
      <c r="I15810" s="309"/>
      <c r="J15810" s="309"/>
    </row>
    <row r="15811">
      <c r="B15811" s="309"/>
      <c r="C15811" s="309"/>
      <c r="I15811" s="309"/>
      <c r="J15811" s="309"/>
    </row>
    <row r="15812">
      <c r="B15812" s="309"/>
      <c r="C15812" s="309"/>
      <c r="I15812" s="309"/>
      <c r="J15812" s="309"/>
    </row>
    <row r="15813">
      <c r="B15813" s="309"/>
      <c r="C15813" s="309"/>
      <c r="I15813" s="309"/>
      <c r="J15813" s="309"/>
    </row>
    <row r="15814">
      <c r="B15814" s="309"/>
      <c r="C15814" s="309"/>
      <c r="I15814" s="309"/>
      <c r="J15814" s="309"/>
    </row>
    <row r="15815">
      <c r="B15815" s="309"/>
      <c r="C15815" s="309"/>
      <c r="I15815" s="309"/>
      <c r="J15815" s="309"/>
    </row>
    <row r="15816">
      <c r="B15816" s="309"/>
      <c r="C15816" s="309"/>
      <c r="I15816" s="309"/>
      <c r="J15816" s="309"/>
    </row>
    <row r="15817">
      <c r="B15817" s="309"/>
      <c r="C15817" s="309"/>
      <c r="I15817" s="309"/>
      <c r="J15817" s="309"/>
    </row>
    <row r="15818">
      <c r="B15818" s="309"/>
      <c r="C15818" s="309"/>
      <c r="I15818" s="309"/>
      <c r="J15818" s="309"/>
    </row>
    <row r="15819">
      <c r="B15819" s="309"/>
      <c r="C15819" s="309"/>
      <c r="I15819" s="309"/>
      <c r="J15819" s="309"/>
    </row>
    <row r="15820">
      <c r="B15820" s="309"/>
      <c r="C15820" s="309"/>
      <c r="I15820" s="309"/>
      <c r="J15820" s="309"/>
    </row>
    <row r="15821">
      <c r="B15821" s="309"/>
      <c r="C15821" s="309"/>
      <c r="I15821" s="309"/>
      <c r="J15821" s="309"/>
    </row>
    <row r="15822">
      <c r="B15822" s="309"/>
      <c r="C15822" s="309"/>
      <c r="I15822" s="309"/>
      <c r="J15822" s="309"/>
    </row>
    <row r="15823">
      <c r="B15823" s="309"/>
      <c r="C15823" s="309"/>
      <c r="I15823" s="309"/>
      <c r="J15823" s="309"/>
    </row>
    <row r="15824">
      <c r="B15824" s="309"/>
      <c r="C15824" s="309"/>
      <c r="I15824" s="309"/>
      <c r="J15824" s="309"/>
    </row>
    <row r="15825">
      <c r="B15825" s="309"/>
      <c r="C15825" s="309"/>
      <c r="I15825" s="309"/>
      <c r="J15825" s="309"/>
    </row>
    <row r="15826">
      <c r="B15826" s="309"/>
      <c r="C15826" s="309"/>
      <c r="I15826" s="309"/>
      <c r="J15826" s="309"/>
    </row>
    <row r="15827">
      <c r="B15827" s="309"/>
      <c r="C15827" s="309"/>
      <c r="I15827" s="309"/>
      <c r="J15827" s="309"/>
    </row>
    <row r="15828">
      <c r="B15828" s="309"/>
      <c r="C15828" s="309"/>
      <c r="I15828" s="309"/>
      <c r="J15828" s="309"/>
    </row>
    <row r="15829">
      <c r="B15829" s="309"/>
      <c r="C15829" s="309"/>
      <c r="I15829" s="309"/>
      <c r="J15829" s="309"/>
    </row>
    <row r="15830">
      <c r="B15830" s="309"/>
      <c r="C15830" s="309"/>
      <c r="I15830" s="309"/>
      <c r="J15830" s="309"/>
    </row>
    <row r="15831">
      <c r="B15831" s="309"/>
      <c r="C15831" s="309"/>
      <c r="I15831" s="309"/>
      <c r="J15831" s="309"/>
    </row>
    <row r="15832">
      <c r="B15832" s="309"/>
      <c r="C15832" s="309"/>
      <c r="I15832" s="309"/>
      <c r="J15832" s="309"/>
    </row>
    <row r="15833">
      <c r="B15833" s="309"/>
      <c r="C15833" s="309"/>
      <c r="I15833" s="309"/>
      <c r="J15833" s="309"/>
    </row>
    <row r="15834">
      <c r="B15834" s="309"/>
      <c r="C15834" s="309"/>
      <c r="I15834" s="309"/>
      <c r="J15834" s="309"/>
    </row>
    <row r="15835">
      <c r="B15835" s="309"/>
      <c r="C15835" s="309"/>
      <c r="I15835" s="309"/>
      <c r="J15835" s="309"/>
    </row>
    <row r="15836">
      <c r="B15836" s="309"/>
      <c r="C15836" s="309"/>
      <c r="I15836" s="309"/>
      <c r="J15836" s="309"/>
    </row>
    <row r="15837">
      <c r="B15837" s="309"/>
      <c r="C15837" s="309"/>
      <c r="I15837" s="309"/>
      <c r="J15837" s="309"/>
    </row>
    <row r="15838">
      <c r="B15838" s="309"/>
      <c r="C15838" s="309"/>
      <c r="I15838" s="309"/>
      <c r="J15838" s="309"/>
    </row>
    <row r="15839">
      <c r="B15839" s="309"/>
      <c r="C15839" s="309"/>
      <c r="I15839" s="309"/>
      <c r="J15839" s="309"/>
    </row>
    <row r="15840">
      <c r="B15840" s="309"/>
      <c r="C15840" s="309"/>
      <c r="I15840" s="309"/>
      <c r="J15840" s="309"/>
    </row>
    <row r="15841">
      <c r="B15841" s="309"/>
      <c r="C15841" s="309"/>
      <c r="I15841" s="309"/>
      <c r="J15841" s="309"/>
    </row>
    <row r="15842">
      <c r="B15842" s="309"/>
      <c r="C15842" s="309"/>
      <c r="I15842" s="309"/>
      <c r="J15842" s="309"/>
    </row>
    <row r="15843">
      <c r="B15843" s="309"/>
      <c r="C15843" s="309"/>
      <c r="I15843" s="309"/>
      <c r="J15843" s="309"/>
    </row>
    <row r="15844">
      <c r="B15844" s="309"/>
      <c r="C15844" s="309"/>
      <c r="I15844" s="309"/>
      <c r="J15844" s="309"/>
    </row>
    <row r="15845">
      <c r="B15845" s="309"/>
      <c r="C15845" s="309"/>
      <c r="I15845" s="309"/>
      <c r="J15845" s="309"/>
    </row>
    <row r="15846">
      <c r="B15846" s="309"/>
      <c r="C15846" s="309"/>
      <c r="I15846" s="309"/>
      <c r="J15846" s="309"/>
    </row>
    <row r="15847">
      <c r="B15847" s="309"/>
      <c r="C15847" s="309"/>
      <c r="I15847" s="309"/>
      <c r="J15847" s="309"/>
    </row>
    <row r="15848">
      <c r="B15848" s="309"/>
      <c r="C15848" s="309"/>
      <c r="I15848" s="309"/>
      <c r="J15848" s="309"/>
    </row>
    <row r="15849">
      <c r="B15849" s="309"/>
      <c r="C15849" s="309"/>
      <c r="I15849" s="309"/>
      <c r="J15849" s="309"/>
    </row>
    <row r="15850">
      <c r="B15850" s="309"/>
      <c r="C15850" s="309"/>
      <c r="I15850" s="309"/>
      <c r="J15850" s="309"/>
    </row>
    <row r="15851">
      <c r="B15851" s="309"/>
      <c r="C15851" s="309"/>
      <c r="I15851" s="309"/>
      <c r="J15851" s="309"/>
    </row>
    <row r="15852">
      <c r="B15852" s="309"/>
      <c r="C15852" s="309"/>
      <c r="I15852" s="309"/>
      <c r="J15852" s="309"/>
    </row>
    <row r="15853">
      <c r="B15853" s="309"/>
      <c r="C15853" s="309"/>
      <c r="I15853" s="309"/>
      <c r="J15853" s="309"/>
    </row>
    <row r="15854">
      <c r="B15854" s="309"/>
      <c r="C15854" s="309"/>
      <c r="I15854" s="309"/>
      <c r="J15854" s="309"/>
    </row>
    <row r="15855">
      <c r="B15855" s="309"/>
      <c r="C15855" s="309"/>
      <c r="I15855" s="309"/>
      <c r="J15855" s="309"/>
    </row>
    <row r="15856">
      <c r="B15856" s="309"/>
      <c r="C15856" s="309"/>
      <c r="I15856" s="309"/>
      <c r="J15856" s="309"/>
    </row>
    <row r="15857">
      <c r="B15857" s="309"/>
      <c r="C15857" s="309"/>
      <c r="I15857" s="309"/>
      <c r="J15857" s="309"/>
    </row>
    <row r="15858">
      <c r="B15858" s="309"/>
      <c r="C15858" s="309"/>
      <c r="I15858" s="309"/>
      <c r="J15858" s="309"/>
    </row>
    <row r="15859">
      <c r="B15859" s="309"/>
      <c r="C15859" s="309"/>
      <c r="I15859" s="309"/>
      <c r="J15859" s="309"/>
    </row>
    <row r="15860">
      <c r="B15860" s="309"/>
      <c r="C15860" s="309"/>
      <c r="I15860" s="309"/>
      <c r="J15860" s="309"/>
    </row>
    <row r="15861">
      <c r="B15861" s="309"/>
      <c r="C15861" s="309"/>
      <c r="I15861" s="309"/>
      <c r="J15861" s="309"/>
    </row>
    <row r="15862">
      <c r="B15862" s="309"/>
      <c r="C15862" s="309"/>
      <c r="I15862" s="309"/>
      <c r="J15862" s="309"/>
    </row>
    <row r="15863">
      <c r="B15863" s="309"/>
      <c r="C15863" s="309"/>
      <c r="I15863" s="309"/>
      <c r="J15863" s="309"/>
    </row>
    <row r="15864">
      <c r="B15864" s="309"/>
      <c r="C15864" s="309"/>
      <c r="I15864" s="309"/>
      <c r="J15864" s="309"/>
    </row>
    <row r="15865">
      <c r="B15865" s="309"/>
      <c r="C15865" s="309"/>
      <c r="I15865" s="309"/>
      <c r="J15865" s="309"/>
    </row>
    <row r="15866">
      <c r="B15866" s="309"/>
      <c r="C15866" s="309"/>
      <c r="I15866" s="309"/>
      <c r="J15866" s="309"/>
    </row>
    <row r="15867">
      <c r="B15867" s="309"/>
      <c r="C15867" s="309"/>
      <c r="I15867" s="309"/>
      <c r="J15867" s="309"/>
    </row>
    <row r="15868">
      <c r="B15868" s="309"/>
      <c r="C15868" s="309"/>
      <c r="I15868" s="309"/>
      <c r="J15868" s="309"/>
    </row>
    <row r="15869">
      <c r="B15869" s="309"/>
      <c r="C15869" s="309"/>
      <c r="I15869" s="309"/>
      <c r="J15869" s="309"/>
    </row>
    <row r="15870">
      <c r="B15870" s="309"/>
      <c r="C15870" s="309"/>
      <c r="I15870" s="309"/>
      <c r="J15870" s="309"/>
    </row>
    <row r="15871">
      <c r="B15871" s="309"/>
      <c r="C15871" s="309"/>
      <c r="I15871" s="309"/>
      <c r="J15871" s="309"/>
    </row>
    <row r="15872">
      <c r="B15872" s="309"/>
      <c r="C15872" s="309"/>
      <c r="I15872" s="309"/>
      <c r="J15872" s="309"/>
    </row>
    <row r="15873">
      <c r="B15873" s="309"/>
      <c r="C15873" s="309"/>
      <c r="I15873" s="309"/>
      <c r="J15873" s="309"/>
    </row>
    <row r="15874">
      <c r="B15874" s="309"/>
      <c r="C15874" s="309"/>
      <c r="I15874" s="309"/>
      <c r="J15874" s="309"/>
    </row>
    <row r="15875">
      <c r="B15875" s="309"/>
      <c r="C15875" s="309"/>
      <c r="I15875" s="309"/>
      <c r="J15875" s="309"/>
    </row>
    <row r="15876">
      <c r="B15876" s="309"/>
      <c r="C15876" s="309"/>
      <c r="I15876" s="309"/>
      <c r="J15876" s="309"/>
    </row>
    <row r="15877">
      <c r="B15877" s="309"/>
      <c r="C15877" s="309"/>
      <c r="I15877" s="309"/>
      <c r="J15877" s="309"/>
    </row>
    <row r="15878">
      <c r="B15878" s="309"/>
      <c r="C15878" s="309"/>
      <c r="I15878" s="309"/>
      <c r="J15878" s="309"/>
    </row>
    <row r="15879">
      <c r="B15879" s="309"/>
      <c r="C15879" s="309"/>
      <c r="I15879" s="309"/>
      <c r="J15879" s="309"/>
    </row>
    <row r="15880">
      <c r="B15880" s="309"/>
      <c r="C15880" s="309"/>
      <c r="I15880" s="309"/>
      <c r="J15880" s="309"/>
    </row>
    <row r="15881">
      <c r="B15881" s="309"/>
      <c r="C15881" s="309"/>
      <c r="I15881" s="309"/>
      <c r="J15881" s="309"/>
    </row>
    <row r="15882">
      <c r="B15882" s="309"/>
      <c r="C15882" s="309"/>
      <c r="I15882" s="309"/>
      <c r="J15882" s="309"/>
    </row>
    <row r="15883">
      <c r="B15883" s="309"/>
      <c r="C15883" s="309"/>
      <c r="I15883" s="309"/>
      <c r="J15883" s="309"/>
    </row>
    <row r="15884">
      <c r="B15884" s="309"/>
      <c r="C15884" s="309"/>
      <c r="I15884" s="309"/>
      <c r="J15884" s="309"/>
    </row>
    <row r="15885">
      <c r="B15885" s="309"/>
      <c r="C15885" s="309"/>
      <c r="I15885" s="309"/>
      <c r="J15885" s="309"/>
    </row>
    <row r="15886">
      <c r="B15886" s="309"/>
      <c r="C15886" s="309"/>
      <c r="I15886" s="309"/>
      <c r="J15886" s="309"/>
    </row>
    <row r="15887">
      <c r="B15887" s="309"/>
      <c r="C15887" s="309"/>
      <c r="I15887" s="309"/>
      <c r="J15887" s="309"/>
    </row>
    <row r="15888">
      <c r="B15888" s="309"/>
      <c r="C15888" s="309"/>
      <c r="I15888" s="309"/>
      <c r="J15888" s="309"/>
    </row>
    <row r="15889">
      <c r="B15889" s="309"/>
      <c r="C15889" s="309"/>
      <c r="I15889" s="309"/>
      <c r="J15889" s="309"/>
    </row>
    <row r="15890">
      <c r="B15890" s="309"/>
      <c r="C15890" s="309"/>
      <c r="I15890" s="309"/>
      <c r="J15890" s="309"/>
    </row>
    <row r="15891">
      <c r="B15891" s="309"/>
      <c r="C15891" s="309"/>
      <c r="I15891" s="309"/>
      <c r="J15891" s="309"/>
    </row>
    <row r="15892">
      <c r="B15892" s="309"/>
      <c r="C15892" s="309"/>
      <c r="I15892" s="309"/>
      <c r="J15892" s="309"/>
    </row>
    <row r="15893">
      <c r="B15893" s="309"/>
      <c r="C15893" s="309"/>
      <c r="I15893" s="309"/>
      <c r="J15893" s="309"/>
    </row>
    <row r="15894">
      <c r="B15894" s="309"/>
      <c r="C15894" s="309"/>
      <c r="I15894" s="309"/>
      <c r="J15894" s="309"/>
    </row>
    <row r="15895">
      <c r="B15895" s="309"/>
      <c r="C15895" s="309"/>
      <c r="I15895" s="309"/>
      <c r="J15895" s="309"/>
    </row>
    <row r="15896">
      <c r="B15896" s="309"/>
      <c r="C15896" s="309"/>
      <c r="I15896" s="309"/>
      <c r="J15896" s="309"/>
    </row>
    <row r="15897">
      <c r="B15897" s="309"/>
      <c r="C15897" s="309"/>
      <c r="I15897" s="309"/>
      <c r="J15897" s="309"/>
    </row>
    <row r="15898">
      <c r="B15898" s="309"/>
      <c r="C15898" s="309"/>
      <c r="I15898" s="309"/>
      <c r="J15898" s="309"/>
    </row>
    <row r="15899">
      <c r="B15899" s="309"/>
      <c r="C15899" s="309"/>
      <c r="I15899" s="309"/>
      <c r="J15899" s="309"/>
    </row>
    <row r="15900">
      <c r="B15900" s="309"/>
      <c r="C15900" s="309"/>
      <c r="I15900" s="309"/>
      <c r="J15900" s="309"/>
    </row>
    <row r="15901">
      <c r="B15901" s="309"/>
      <c r="C15901" s="309"/>
      <c r="I15901" s="309"/>
      <c r="J15901" s="309"/>
    </row>
    <row r="15902">
      <c r="B15902" s="309"/>
      <c r="C15902" s="309"/>
      <c r="I15902" s="309"/>
      <c r="J15902" s="309"/>
    </row>
    <row r="15903">
      <c r="B15903" s="309"/>
      <c r="C15903" s="309"/>
      <c r="I15903" s="309"/>
      <c r="J15903" s="309"/>
    </row>
    <row r="15904">
      <c r="B15904" s="309"/>
      <c r="C15904" s="309"/>
      <c r="I15904" s="309"/>
      <c r="J15904" s="309"/>
    </row>
    <row r="15905">
      <c r="B15905" s="309"/>
      <c r="C15905" s="309"/>
      <c r="I15905" s="309"/>
      <c r="J15905" s="309"/>
    </row>
    <row r="15906">
      <c r="B15906" s="309"/>
      <c r="C15906" s="309"/>
      <c r="I15906" s="309"/>
      <c r="J15906" s="309"/>
    </row>
    <row r="15907">
      <c r="B15907" s="309"/>
      <c r="C15907" s="309"/>
      <c r="I15907" s="309"/>
      <c r="J15907" s="309"/>
    </row>
    <row r="15908">
      <c r="B15908" s="309"/>
      <c r="C15908" s="309"/>
      <c r="I15908" s="309"/>
      <c r="J15908" s="309"/>
    </row>
    <row r="15909">
      <c r="B15909" s="309"/>
      <c r="C15909" s="309"/>
      <c r="I15909" s="309"/>
      <c r="J15909" s="309"/>
    </row>
    <row r="15910">
      <c r="B15910" s="309"/>
      <c r="C15910" s="309"/>
      <c r="I15910" s="309"/>
      <c r="J15910" s="309"/>
    </row>
    <row r="15911">
      <c r="B15911" s="309"/>
      <c r="C15911" s="309"/>
      <c r="I15911" s="309"/>
      <c r="J15911" s="309"/>
    </row>
    <row r="15912">
      <c r="B15912" s="309"/>
      <c r="C15912" s="309"/>
      <c r="I15912" s="309"/>
      <c r="J15912" s="309"/>
    </row>
    <row r="15913">
      <c r="B15913" s="309"/>
      <c r="C15913" s="309"/>
      <c r="I15913" s="309"/>
      <c r="J15913" s="309"/>
    </row>
    <row r="15914">
      <c r="B15914" s="309"/>
      <c r="C15914" s="309"/>
      <c r="I15914" s="309"/>
      <c r="J15914" s="309"/>
    </row>
    <row r="15915">
      <c r="B15915" s="309"/>
      <c r="C15915" s="309"/>
      <c r="I15915" s="309"/>
      <c r="J15915" s="309"/>
    </row>
    <row r="15916">
      <c r="B15916" s="309"/>
      <c r="C15916" s="309"/>
      <c r="I15916" s="309"/>
      <c r="J15916" s="309"/>
    </row>
    <row r="15917">
      <c r="B15917" s="309"/>
      <c r="C15917" s="309"/>
      <c r="I15917" s="309"/>
      <c r="J15917" s="309"/>
    </row>
    <row r="15918">
      <c r="B15918" s="309"/>
      <c r="C15918" s="309"/>
      <c r="I15918" s="309"/>
      <c r="J15918" s="309"/>
    </row>
    <row r="15919">
      <c r="B15919" s="309"/>
      <c r="C15919" s="309"/>
      <c r="I15919" s="309"/>
      <c r="J15919" s="309"/>
    </row>
    <row r="15920">
      <c r="B15920" s="309"/>
      <c r="C15920" s="309"/>
      <c r="I15920" s="309"/>
      <c r="J15920" s="309"/>
    </row>
    <row r="15921">
      <c r="B15921" s="309"/>
      <c r="C15921" s="309"/>
      <c r="I15921" s="309"/>
      <c r="J15921" s="309"/>
    </row>
    <row r="15922">
      <c r="B15922" s="309"/>
      <c r="C15922" s="309"/>
      <c r="I15922" s="309"/>
      <c r="J15922" s="309"/>
    </row>
    <row r="15923">
      <c r="B15923" s="309"/>
      <c r="C15923" s="309"/>
      <c r="I15923" s="309"/>
      <c r="J15923" s="309"/>
    </row>
    <row r="15924">
      <c r="B15924" s="309"/>
      <c r="C15924" s="309"/>
      <c r="I15924" s="309"/>
      <c r="J15924" s="309"/>
    </row>
    <row r="15925">
      <c r="B15925" s="309"/>
      <c r="C15925" s="309"/>
      <c r="I15925" s="309"/>
      <c r="J15925" s="309"/>
    </row>
    <row r="15926">
      <c r="B15926" s="309"/>
      <c r="C15926" s="309"/>
      <c r="I15926" s="309"/>
      <c r="J15926" s="309"/>
    </row>
    <row r="15927">
      <c r="B15927" s="309"/>
      <c r="C15927" s="309"/>
      <c r="I15927" s="309"/>
      <c r="J15927" s="309"/>
    </row>
    <row r="15928">
      <c r="B15928" s="309"/>
      <c r="C15928" s="309"/>
      <c r="I15928" s="309"/>
      <c r="J15928" s="309"/>
    </row>
    <row r="15929">
      <c r="B15929" s="309"/>
      <c r="C15929" s="309"/>
      <c r="I15929" s="309"/>
      <c r="J15929" s="309"/>
    </row>
    <row r="15930">
      <c r="B15930" s="309"/>
      <c r="C15930" s="309"/>
      <c r="I15930" s="309"/>
      <c r="J15930" s="309"/>
    </row>
    <row r="15931">
      <c r="B15931" s="309"/>
      <c r="C15931" s="309"/>
      <c r="I15931" s="309"/>
      <c r="J15931" s="309"/>
    </row>
    <row r="15932">
      <c r="B15932" s="309"/>
      <c r="C15932" s="309"/>
      <c r="I15932" s="309"/>
      <c r="J15932" s="309"/>
    </row>
    <row r="15933">
      <c r="B15933" s="309"/>
      <c r="C15933" s="309"/>
      <c r="I15933" s="309"/>
      <c r="J15933" s="309"/>
    </row>
    <row r="15934">
      <c r="B15934" s="309"/>
      <c r="C15934" s="309"/>
      <c r="I15934" s="309"/>
      <c r="J15934" s="309"/>
    </row>
    <row r="15935">
      <c r="B15935" s="309"/>
      <c r="C15935" s="309"/>
      <c r="I15935" s="309"/>
      <c r="J15935" s="309"/>
    </row>
    <row r="15936">
      <c r="B15936" s="309"/>
      <c r="C15936" s="309"/>
      <c r="I15936" s="309"/>
      <c r="J15936" s="309"/>
    </row>
    <row r="15937">
      <c r="B15937" s="309"/>
      <c r="C15937" s="309"/>
      <c r="I15937" s="309"/>
      <c r="J15937" s="309"/>
    </row>
    <row r="15938">
      <c r="B15938" s="309"/>
      <c r="C15938" s="309"/>
      <c r="I15938" s="309"/>
      <c r="J15938" s="309"/>
    </row>
    <row r="15939">
      <c r="B15939" s="309"/>
      <c r="C15939" s="309"/>
      <c r="I15939" s="309"/>
      <c r="J15939" s="309"/>
    </row>
    <row r="15940">
      <c r="B15940" s="309"/>
      <c r="C15940" s="309"/>
      <c r="I15940" s="309"/>
      <c r="J15940" s="309"/>
    </row>
    <row r="15941">
      <c r="B15941" s="309"/>
      <c r="C15941" s="309"/>
      <c r="I15941" s="309"/>
      <c r="J15941" s="309"/>
    </row>
    <row r="15942">
      <c r="B15942" s="309"/>
      <c r="C15942" s="309"/>
      <c r="I15942" s="309"/>
      <c r="J15942" s="309"/>
    </row>
    <row r="15943">
      <c r="B15943" s="309"/>
      <c r="C15943" s="309"/>
      <c r="I15943" s="309"/>
      <c r="J15943" s="309"/>
    </row>
    <row r="15944">
      <c r="B15944" s="309"/>
      <c r="C15944" s="309"/>
      <c r="I15944" s="309"/>
      <c r="J15944" s="309"/>
    </row>
    <row r="15945">
      <c r="B15945" s="309"/>
      <c r="C15945" s="309"/>
      <c r="I15945" s="309"/>
      <c r="J15945" s="309"/>
    </row>
    <row r="15946">
      <c r="B15946" s="309"/>
      <c r="C15946" s="309"/>
      <c r="I15946" s="309"/>
      <c r="J15946" s="309"/>
    </row>
    <row r="15947">
      <c r="B15947" s="309"/>
      <c r="C15947" s="309"/>
      <c r="I15947" s="309"/>
      <c r="J15947" s="309"/>
    </row>
    <row r="15948">
      <c r="B15948" s="309"/>
      <c r="C15948" s="309"/>
      <c r="I15948" s="309"/>
      <c r="J15948" s="309"/>
    </row>
    <row r="15949">
      <c r="B15949" s="309"/>
      <c r="C15949" s="309"/>
      <c r="I15949" s="309"/>
      <c r="J15949" s="309"/>
    </row>
    <row r="15950">
      <c r="B15950" s="309"/>
      <c r="C15950" s="309"/>
      <c r="I15950" s="309"/>
      <c r="J15950" s="309"/>
    </row>
    <row r="15951">
      <c r="B15951" s="309"/>
      <c r="C15951" s="309"/>
      <c r="I15951" s="309"/>
      <c r="J15951" s="309"/>
    </row>
    <row r="15952">
      <c r="B15952" s="309"/>
      <c r="C15952" s="309"/>
      <c r="I15952" s="309"/>
      <c r="J15952" s="309"/>
    </row>
    <row r="15953">
      <c r="B15953" s="309"/>
      <c r="C15953" s="309"/>
      <c r="I15953" s="309"/>
      <c r="J15953" s="309"/>
    </row>
    <row r="15954">
      <c r="B15954" s="309"/>
      <c r="C15954" s="309"/>
      <c r="I15954" s="309"/>
      <c r="J15954" s="309"/>
    </row>
    <row r="15955">
      <c r="B15955" s="309"/>
      <c r="C15955" s="309"/>
      <c r="I15955" s="309"/>
      <c r="J15955" s="309"/>
    </row>
    <row r="15956">
      <c r="B15956" s="309"/>
      <c r="C15956" s="309"/>
      <c r="I15956" s="309"/>
      <c r="J15956" s="309"/>
    </row>
    <row r="15957">
      <c r="B15957" s="309"/>
      <c r="C15957" s="309"/>
      <c r="I15957" s="309"/>
      <c r="J15957" s="309"/>
    </row>
    <row r="15958">
      <c r="B15958" s="309"/>
      <c r="C15958" s="309"/>
      <c r="I15958" s="309"/>
      <c r="J15958" s="309"/>
    </row>
    <row r="15959">
      <c r="B15959" s="309"/>
      <c r="C15959" s="309"/>
      <c r="I15959" s="309"/>
      <c r="J15959" s="309"/>
    </row>
    <row r="15960">
      <c r="B15960" s="309"/>
      <c r="C15960" s="309"/>
      <c r="I15960" s="309"/>
      <c r="J15960" s="309"/>
    </row>
    <row r="15961">
      <c r="B15961" s="309"/>
      <c r="C15961" s="309"/>
      <c r="I15961" s="309"/>
      <c r="J15961" s="309"/>
    </row>
    <row r="15962">
      <c r="B15962" s="309"/>
      <c r="C15962" s="309"/>
      <c r="I15962" s="309"/>
      <c r="J15962" s="309"/>
    </row>
    <row r="15963">
      <c r="B15963" s="309"/>
      <c r="C15963" s="309"/>
      <c r="I15963" s="309"/>
      <c r="J15963" s="309"/>
    </row>
    <row r="15964">
      <c r="B15964" s="309"/>
      <c r="C15964" s="309"/>
      <c r="I15964" s="309"/>
      <c r="J15964" s="309"/>
    </row>
    <row r="15965">
      <c r="B15965" s="309"/>
      <c r="C15965" s="309"/>
      <c r="I15965" s="309"/>
      <c r="J15965" s="309"/>
    </row>
    <row r="15966">
      <c r="B15966" s="309"/>
      <c r="C15966" s="309"/>
      <c r="I15966" s="309"/>
      <c r="J15966" s="309"/>
    </row>
    <row r="15967">
      <c r="B15967" s="309"/>
      <c r="C15967" s="309"/>
      <c r="I15967" s="309"/>
      <c r="J15967" s="309"/>
    </row>
    <row r="15968">
      <c r="B15968" s="309"/>
      <c r="C15968" s="309"/>
      <c r="I15968" s="309"/>
      <c r="J15968" s="309"/>
    </row>
    <row r="15969">
      <c r="B15969" s="309"/>
      <c r="C15969" s="309"/>
      <c r="I15969" s="309"/>
      <c r="J15969" s="309"/>
    </row>
    <row r="15970">
      <c r="B15970" s="309"/>
      <c r="C15970" s="309"/>
      <c r="I15970" s="309"/>
      <c r="J15970" s="309"/>
    </row>
    <row r="15971">
      <c r="B15971" s="309"/>
      <c r="C15971" s="309"/>
      <c r="I15971" s="309"/>
      <c r="J15971" s="309"/>
    </row>
    <row r="15972">
      <c r="B15972" s="309"/>
      <c r="C15972" s="309"/>
      <c r="I15972" s="309"/>
      <c r="J15972" s="309"/>
    </row>
    <row r="15973">
      <c r="B15973" s="309"/>
      <c r="C15973" s="309"/>
      <c r="I15973" s="309"/>
      <c r="J15973" s="309"/>
    </row>
    <row r="15974">
      <c r="B15974" s="309"/>
      <c r="C15974" s="309"/>
      <c r="I15974" s="309"/>
      <c r="J15974" s="309"/>
    </row>
    <row r="15975">
      <c r="B15975" s="309"/>
      <c r="C15975" s="309"/>
      <c r="I15975" s="309"/>
      <c r="J15975" s="309"/>
    </row>
    <row r="15976">
      <c r="B15976" s="309"/>
      <c r="C15976" s="309"/>
      <c r="I15976" s="309"/>
      <c r="J15976" s="309"/>
    </row>
    <row r="15977">
      <c r="B15977" s="309"/>
      <c r="C15977" s="309"/>
      <c r="I15977" s="309"/>
      <c r="J15977" s="309"/>
    </row>
    <row r="15978">
      <c r="B15978" s="309"/>
      <c r="C15978" s="309"/>
      <c r="I15978" s="309"/>
      <c r="J15978" s="309"/>
    </row>
    <row r="15979">
      <c r="B15979" s="309"/>
      <c r="C15979" s="309"/>
      <c r="I15979" s="309"/>
      <c r="J15979" s="309"/>
    </row>
    <row r="15980">
      <c r="B15980" s="309"/>
      <c r="C15980" s="309"/>
      <c r="I15980" s="309"/>
      <c r="J15980" s="309"/>
    </row>
    <row r="15981">
      <c r="B15981" s="309"/>
      <c r="C15981" s="309"/>
      <c r="I15981" s="309"/>
      <c r="J15981" s="309"/>
    </row>
    <row r="15982">
      <c r="B15982" s="309"/>
      <c r="C15982" s="309"/>
      <c r="I15982" s="309"/>
      <c r="J15982" s="309"/>
    </row>
    <row r="15983">
      <c r="B15983" s="309"/>
      <c r="C15983" s="309"/>
      <c r="I15983" s="309"/>
      <c r="J15983" s="309"/>
    </row>
    <row r="15984">
      <c r="B15984" s="309"/>
      <c r="C15984" s="309"/>
      <c r="I15984" s="309"/>
      <c r="J15984" s="309"/>
    </row>
    <row r="15985">
      <c r="B15985" s="309"/>
      <c r="C15985" s="309"/>
      <c r="I15985" s="309"/>
      <c r="J15985" s="309"/>
    </row>
    <row r="15986">
      <c r="B15986" s="309"/>
      <c r="C15986" s="309"/>
      <c r="I15986" s="309"/>
      <c r="J15986" s="309"/>
    </row>
    <row r="15987">
      <c r="B15987" s="309"/>
      <c r="C15987" s="309"/>
      <c r="I15987" s="309"/>
      <c r="J15987" s="309"/>
    </row>
    <row r="15988">
      <c r="B15988" s="309"/>
      <c r="C15988" s="309"/>
      <c r="I15988" s="309"/>
      <c r="J15988" s="309"/>
    </row>
    <row r="15989">
      <c r="B15989" s="309"/>
      <c r="C15989" s="309"/>
      <c r="I15989" s="309"/>
      <c r="J15989" s="309"/>
    </row>
    <row r="15990">
      <c r="B15990" s="309"/>
      <c r="C15990" s="309"/>
      <c r="I15990" s="309"/>
      <c r="J15990" s="309"/>
    </row>
    <row r="15991">
      <c r="B15991" s="309"/>
      <c r="C15991" s="309"/>
      <c r="I15991" s="309"/>
      <c r="J15991" s="309"/>
    </row>
    <row r="15992">
      <c r="B15992" s="309"/>
      <c r="C15992" s="309"/>
      <c r="I15992" s="309"/>
      <c r="J15992" s="309"/>
    </row>
    <row r="15993">
      <c r="B15993" s="309"/>
      <c r="C15993" s="309"/>
      <c r="I15993" s="309"/>
      <c r="J15993" s="309"/>
    </row>
    <row r="15994">
      <c r="B15994" s="309"/>
      <c r="C15994" s="309"/>
      <c r="I15994" s="309"/>
      <c r="J15994" s="309"/>
    </row>
    <row r="15995">
      <c r="B15995" s="309"/>
      <c r="C15995" s="309"/>
      <c r="I15995" s="309"/>
      <c r="J15995" s="309"/>
    </row>
    <row r="15996">
      <c r="B15996" s="309"/>
      <c r="C15996" s="309"/>
      <c r="I15996" s="309"/>
      <c r="J15996" s="309"/>
    </row>
    <row r="15997">
      <c r="B15997" s="309"/>
      <c r="C15997" s="309"/>
      <c r="I15997" s="309"/>
      <c r="J15997" s="309"/>
    </row>
    <row r="15998">
      <c r="B15998" s="309"/>
      <c r="C15998" s="309"/>
      <c r="I15998" s="309"/>
      <c r="J15998" s="309"/>
    </row>
    <row r="15999">
      <c r="B15999" s="309"/>
      <c r="C15999" s="309"/>
      <c r="I15999" s="309"/>
      <c r="J15999" s="309"/>
    </row>
    <row r="16000">
      <c r="B16000" s="309"/>
      <c r="C16000" s="309"/>
      <c r="I16000" s="309"/>
      <c r="J16000" s="309"/>
    </row>
    <row r="16001">
      <c r="B16001" s="309"/>
      <c r="C16001" s="309"/>
      <c r="I16001" s="309"/>
      <c r="J16001" s="309"/>
    </row>
    <row r="16002">
      <c r="B16002" s="309"/>
      <c r="C16002" s="309"/>
      <c r="I16002" s="309"/>
      <c r="J16002" s="309"/>
    </row>
    <row r="16003">
      <c r="B16003" s="309"/>
      <c r="C16003" s="309"/>
      <c r="I16003" s="309"/>
      <c r="J16003" s="309"/>
    </row>
    <row r="16004">
      <c r="B16004" s="309"/>
      <c r="C16004" s="309"/>
      <c r="I16004" s="309"/>
      <c r="J16004" s="309"/>
    </row>
    <row r="16005">
      <c r="B16005" s="309"/>
      <c r="C16005" s="309"/>
      <c r="I16005" s="309"/>
      <c r="J16005" s="309"/>
    </row>
    <row r="16006">
      <c r="B16006" s="309"/>
      <c r="C16006" s="309"/>
      <c r="I16006" s="309"/>
      <c r="J16006" s="309"/>
    </row>
    <row r="16007">
      <c r="B16007" s="309"/>
      <c r="C16007" s="309"/>
      <c r="I16007" s="309"/>
      <c r="J16007" s="309"/>
    </row>
    <row r="16008">
      <c r="B16008" s="309"/>
      <c r="C16008" s="309"/>
      <c r="I16008" s="309"/>
      <c r="J16008" s="309"/>
    </row>
    <row r="16009">
      <c r="B16009" s="309"/>
      <c r="C16009" s="309"/>
      <c r="I16009" s="309"/>
      <c r="J16009" s="309"/>
    </row>
    <row r="16010">
      <c r="B16010" s="309"/>
      <c r="C16010" s="309"/>
      <c r="I16010" s="309"/>
      <c r="J16010" s="309"/>
    </row>
    <row r="16011">
      <c r="B16011" s="309"/>
      <c r="C16011" s="309"/>
      <c r="I16011" s="309"/>
      <c r="J16011" s="309"/>
    </row>
    <row r="16012">
      <c r="B16012" s="309"/>
      <c r="C16012" s="309"/>
      <c r="I16012" s="309"/>
      <c r="J16012" s="309"/>
    </row>
    <row r="16013">
      <c r="B16013" s="309"/>
      <c r="C16013" s="309"/>
      <c r="I16013" s="309"/>
      <c r="J16013" s="309"/>
    </row>
    <row r="16014">
      <c r="B16014" s="309"/>
      <c r="C16014" s="309"/>
      <c r="I16014" s="309"/>
      <c r="J16014" s="309"/>
    </row>
    <row r="16015">
      <c r="B16015" s="309"/>
      <c r="C16015" s="309"/>
      <c r="I16015" s="309"/>
      <c r="J16015" s="309"/>
    </row>
    <row r="16016">
      <c r="B16016" s="309"/>
      <c r="C16016" s="309"/>
      <c r="I16016" s="309"/>
      <c r="J16016" s="309"/>
    </row>
    <row r="16017">
      <c r="B16017" s="309"/>
      <c r="C16017" s="309"/>
      <c r="I16017" s="309"/>
      <c r="J16017" s="309"/>
    </row>
    <row r="16018">
      <c r="B16018" s="309"/>
      <c r="C16018" s="309"/>
      <c r="I16018" s="309"/>
      <c r="J16018" s="309"/>
    </row>
    <row r="16019">
      <c r="B16019" s="309"/>
      <c r="C16019" s="309"/>
      <c r="I16019" s="309"/>
      <c r="J16019" s="309"/>
    </row>
    <row r="16020">
      <c r="B16020" s="309"/>
      <c r="C16020" s="309"/>
      <c r="I16020" s="309"/>
      <c r="J16020" s="309"/>
    </row>
    <row r="16021">
      <c r="B16021" s="309"/>
      <c r="C16021" s="309"/>
      <c r="I16021" s="309"/>
      <c r="J16021" s="309"/>
    </row>
    <row r="16022">
      <c r="B16022" s="309"/>
      <c r="C16022" s="309"/>
      <c r="I16022" s="309"/>
      <c r="J16022" s="309"/>
    </row>
    <row r="16023">
      <c r="B16023" s="309"/>
      <c r="C16023" s="309"/>
      <c r="I16023" s="309"/>
      <c r="J16023" s="309"/>
    </row>
    <row r="16024">
      <c r="B16024" s="309"/>
      <c r="C16024" s="309"/>
      <c r="I16024" s="309"/>
      <c r="J16024" s="309"/>
    </row>
    <row r="16025">
      <c r="B16025" s="309"/>
      <c r="C16025" s="309"/>
      <c r="I16025" s="309"/>
      <c r="J16025" s="309"/>
    </row>
    <row r="16026">
      <c r="B16026" s="309"/>
      <c r="C16026" s="309"/>
      <c r="I16026" s="309"/>
      <c r="J16026" s="309"/>
    </row>
    <row r="16027">
      <c r="B16027" s="309"/>
      <c r="C16027" s="309"/>
      <c r="I16027" s="309"/>
      <c r="J16027" s="309"/>
    </row>
    <row r="16028">
      <c r="B16028" s="309"/>
      <c r="C16028" s="309"/>
      <c r="I16028" s="309"/>
      <c r="J16028" s="309"/>
    </row>
    <row r="16029">
      <c r="B16029" s="309"/>
      <c r="C16029" s="309"/>
      <c r="I16029" s="309"/>
      <c r="J16029" s="309"/>
    </row>
    <row r="16030">
      <c r="B16030" s="309"/>
      <c r="C16030" s="309"/>
      <c r="I16030" s="309"/>
      <c r="J16030" s="309"/>
    </row>
    <row r="16031">
      <c r="B16031" s="309"/>
      <c r="C16031" s="309"/>
      <c r="I16031" s="309"/>
      <c r="J16031" s="309"/>
    </row>
    <row r="16032">
      <c r="B16032" s="309"/>
      <c r="C16032" s="309"/>
      <c r="I16032" s="309"/>
      <c r="J16032" s="309"/>
    </row>
    <row r="16033">
      <c r="B16033" s="309"/>
      <c r="C16033" s="309"/>
      <c r="I16033" s="309"/>
      <c r="J16033" s="309"/>
    </row>
    <row r="16034">
      <c r="B16034" s="309"/>
      <c r="C16034" s="309"/>
      <c r="I16034" s="309"/>
      <c r="J16034" s="309"/>
    </row>
    <row r="16035">
      <c r="B16035" s="309"/>
      <c r="C16035" s="309"/>
      <c r="I16035" s="309"/>
      <c r="J16035" s="309"/>
    </row>
    <row r="16036">
      <c r="B16036" s="309"/>
      <c r="C16036" s="309"/>
      <c r="I16036" s="309"/>
      <c r="J16036" s="309"/>
    </row>
    <row r="16037">
      <c r="B16037" s="309"/>
      <c r="C16037" s="309"/>
      <c r="I16037" s="309"/>
      <c r="J16037" s="309"/>
    </row>
    <row r="16038">
      <c r="B16038" s="309"/>
      <c r="C16038" s="309"/>
      <c r="I16038" s="309"/>
      <c r="J16038" s="309"/>
    </row>
    <row r="16039">
      <c r="B16039" s="309"/>
      <c r="C16039" s="309"/>
      <c r="I16039" s="309"/>
      <c r="J16039" s="309"/>
    </row>
    <row r="16040">
      <c r="B16040" s="309"/>
      <c r="C16040" s="309"/>
      <c r="I16040" s="309"/>
      <c r="J16040" s="309"/>
    </row>
    <row r="16041">
      <c r="B16041" s="309"/>
      <c r="C16041" s="309"/>
      <c r="I16041" s="309"/>
      <c r="J16041" s="309"/>
    </row>
    <row r="16042">
      <c r="B16042" s="309"/>
      <c r="C16042" s="309"/>
      <c r="I16042" s="309"/>
      <c r="J16042" s="309"/>
    </row>
    <row r="16043">
      <c r="B16043" s="309"/>
      <c r="C16043" s="309"/>
      <c r="I16043" s="309"/>
      <c r="J16043" s="309"/>
    </row>
    <row r="16044">
      <c r="B16044" s="309"/>
      <c r="C16044" s="309"/>
      <c r="I16044" s="309"/>
      <c r="J16044" s="309"/>
    </row>
    <row r="16045">
      <c r="B16045" s="309"/>
      <c r="C16045" s="309"/>
      <c r="I16045" s="309"/>
      <c r="J16045" s="309"/>
    </row>
    <row r="16046">
      <c r="B16046" s="309"/>
      <c r="C16046" s="309"/>
      <c r="I16046" s="309"/>
      <c r="J16046" s="309"/>
    </row>
    <row r="16047">
      <c r="B16047" s="309"/>
      <c r="C16047" s="309"/>
      <c r="I16047" s="309"/>
      <c r="J16047" s="309"/>
    </row>
    <row r="16048">
      <c r="B16048" s="309"/>
      <c r="C16048" s="309"/>
      <c r="I16048" s="309"/>
      <c r="J16048" s="309"/>
    </row>
    <row r="16049">
      <c r="B16049" s="309"/>
      <c r="C16049" s="309"/>
      <c r="I16049" s="309"/>
      <c r="J16049" s="309"/>
    </row>
    <row r="16050">
      <c r="B16050" s="309"/>
      <c r="C16050" s="309"/>
      <c r="I16050" s="309"/>
      <c r="J16050" s="309"/>
    </row>
    <row r="16051">
      <c r="B16051" s="309"/>
      <c r="C16051" s="309"/>
      <c r="I16051" s="309"/>
      <c r="J16051" s="309"/>
    </row>
    <row r="16052">
      <c r="B16052" s="309"/>
      <c r="C16052" s="309"/>
      <c r="I16052" s="309"/>
      <c r="J16052" s="309"/>
    </row>
    <row r="16053">
      <c r="B16053" s="309"/>
      <c r="C16053" s="309"/>
      <c r="I16053" s="309"/>
      <c r="J16053" s="309"/>
    </row>
    <row r="16054">
      <c r="B16054" s="309"/>
      <c r="C16054" s="309"/>
      <c r="I16054" s="309"/>
      <c r="J16054" s="309"/>
    </row>
    <row r="16055">
      <c r="B16055" s="309"/>
      <c r="C16055" s="309"/>
      <c r="I16055" s="309"/>
      <c r="J16055" s="309"/>
    </row>
    <row r="16056">
      <c r="B16056" s="309"/>
      <c r="C16056" s="309"/>
      <c r="I16056" s="309"/>
      <c r="J16056" s="309"/>
    </row>
    <row r="16057">
      <c r="B16057" s="309"/>
      <c r="C16057" s="309"/>
      <c r="I16057" s="309"/>
      <c r="J16057" s="309"/>
    </row>
    <row r="16058">
      <c r="B16058" s="309"/>
      <c r="C16058" s="309"/>
      <c r="I16058" s="309"/>
      <c r="J16058" s="309"/>
    </row>
    <row r="16059">
      <c r="B16059" s="309"/>
      <c r="C16059" s="309"/>
      <c r="I16059" s="309"/>
      <c r="J16059" s="309"/>
    </row>
    <row r="16060">
      <c r="B16060" s="309"/>
      <c r="C16060" s="309"/>
      <c r="I16060" s="309"/>
      <c r="J16060" s="309"/>
    </row>
    <row r="16061">
      <c r="B16061" s="309"/>
      <c r="C16061" s="309"/>
      <c r="I16061" s="309"/>
      <c r="J16061" s="309"/>
    </row>
    <row r="16062">
      <c r="B16062" s="309"/>
      <c r="C16062" s="309"/>
      <c r="I16062" s="309"/>
      <c r="J16062" s="309"/>
    </row>
    <row r="16063">
      <c r="B16063" s="309"/>
      <c r="C16063" s="309"/>
      <c r="I16063" s="309"/>
      <c r="J16063" s="309"/>
    </row>
    <row r="16064">
      <c r="B16064" s="309"/>
      <c r="C16064" s="309"/>
      <c r="I16064" s="309"/>
      <c r="J16064" s="309"/>
    </row>
    <row r="16065">
      <c r="B16065" s="309"/>
      <c r="C16065" s="309"/>
      <c r="I16065" s="309"/>
      <c r="J16065" s="309"/>
    </row>
    <row r="16066">
      <c r="B16066" s="309"/>
      <c r="C16066" s="309"/>
      <c r="I16066" s="309"/>
      <c r="J16066" s="309"/>
    </row>
    <row r="16067">
      <c r="B16067" s="309"/>
      <c r="C16067" s="309"/>
      <c r="I16067" s="309"/>
      <c r="J16067" s="309"/>
    </row>
    <row r="16068">
      <c r="B16068" s="309"/>
      <c r="C16068" s="309"/>
      <c r="I16068" s="309"/>
      <c r="J16068" s="309"/>
    </row>
    <row r="16069">
      <c r="B16069" s="309"/>
      <c r="C16069" s="309"/>
      <c r="I16069" s="309"/>
      <c r="J16069" s="309"/>
    </row>
    <row r="16070">
      <c r="B16070" s="309"/>
      <c r="C16070" s="309"/>
      <c r="I16070" s="309"/>
      <c r="J16070" s="309"/>
    </row>
    <row r="16071">
      <c r="B16071" s="309"/>
      <c r="C16071" s="309"/>
      <c r="I16071" s="309"/>
      <c r="J16071" s="309"/>
    </row>
    <row r="16072">
      <c r="B16072" s="309"/>
      <c r="C16072" s="309"/>
      <c r="I16072" s="309"/>
      <c r="J16072" s="309"/>
    </row>
    <row r="16073">
      <c r="B16073" s="309"/>
      <c r="C16073" s="309"/>
      <c r="I16073" s="309"/>
      <c r="J16073" s="309"/>
    </row>
    <row r="16074">
      <c r="B16074" s="309"/>
      <c r="C16074" s="309"/>
      <c r="I16074" s="309"/>
      <c r="J16074" s="309"/>
    </row>
    <row r="16075">
      <c r="B16075" s="309"/>
      <c r="C16075" s="309"/>
      <c r="I16075" s="309"/>
      <c r="J16075" s="309"/>
    </row>
    <row r="16076">
      <c r="B16076" s="309"/>
      <c r="C16076" s="309"/>
      <c r="I16076" s="309"/>
      <c r="J16076" s="309"/>
    </row>
    <row r="16077">
      <c r="B16077" s="309"/>
      <c r="C16077" s="309"/>
      <c r="I16077" s="309"/>
      <c r="J16077" s="309"/>
    </row>
    <row r="16078">
      <c r="B16078" s="309"/>
      <c r="C16078" s="309"/>
      <c r="I16078" s="309"/>
      <c r="J16078" s="309"/>
    </row>
    <row r="16079">
      <c r="B16079" s="309"/>
      <c r="C16079" s="309"/>
      <c r="I16079" s="309"/>
      <c r="J16079" s="309"/>
    </row>
    <row r="16080">
      <c r="B16080" s="309"/>
      <c r="C16080" s="309"/>
      <c r="I16080" s="309"/>
      <c r="J16080" s="309"/>
    </row>
    <row r="16081">
      <c r="B16081" s="309"/>
      <c r="C16081" s="309"/>
      <c r="I16081" s="309"/>
      <c r="J16081" s="309"/>
    </row>
    <row r="16082">
      <c r="B16082" s="309"/>
      <c r="C16082" s="309"/>
      <c r="I16082" s="309"/>
      <c r="J16082" s="309"/>
    </row>
    <row r="16083">
      <c r="B16083" s="309"/>
      <c r="C16083" s="309"/>
      <c r="I16083" s="309"/>
      <c r="J16083" s="309"/>
    </row>
    <row r="16084">
      <c r="B16084" s="309"/>
      <c r="C16084" s="309"/>
      <c r="I16084" s="309"/>
      <c r="J16084" s="309"/>
    </row>
    <row r="16085">
      <c r="B16085" s="309"/>
      <c r="C16085" s="309"/>
      <c r="I16085" s="309"/>
      <c r="J16085" s="309"/>
    </row>
    <row r="16086">
      <c r="B16086" s="309"/>
      <c r="C16086" s="309"/>
      <c r="I16086" s="309"/>
      <c r="J16086" s="309"/>
    </row>
    <row r="16087">
      <c r="B16087" s="309"/>
      <c r="C16087" s="309"/>
      <c r="I16087" s="309"/>
      <c r="J16087" s="309"/>
    </row>
    <row r="16088">
      <c r="B16088" s="309"/>
      <c r="C16088" s="309"/>
      <c r="I16088" s="309"/>
      <c r="J16088" s="309"/>
    </row>
    <row r="16089">
      <c r="B16089" s="309"/>
      <c r="C16089" s="309"/>
      <c r="I16089" s="309"/>
      <c r="J16089" s="309"/>
    </row>
    <row r="16090">
      <c r="B16090" s="309"/>
      <c r="C16090" s="309"/>
      <c r="I16090" s="309"/>
      <c r="J16090" s="309"/>
    </row>
    <row r="16091">
      <c r="B16091" s="309"/>
      <c r="C16091" s="309"/>
      <c r="I16091" s="309"/>
      <c r="J16091" s="309"/>
    </row>
    <row r="16092">
      <c r="B16092" s="309"/>
      <c r="C16092" s="309"/>
      <c r="I16092" s="309"/>
      <c r="J16092" s="309"/>
    </row>
    <row r="16093">
      <c r="B16093" s="309"/>
      <c r="C16093" s="309"/>
      <c r="I16093" s="309"/>
      <c r="J16093" s="309"/>
    </row>
    <row r="16094">
      <c r="B16094" s="309"/>
      <c r="C16094" s="309"/>
      <c r="I16094" s="309"/>
      <c r="J16094" s="309"/>
    </row>
    <row r="16095">
      <c r="B16095" s="309"/>
      <c r="C16095" s="309"/>
      <c r="I16095" s="309"/>
      <c r="J16095" s="309"/>
    </row>
    <row r="16096">
      <c r="B16096" s="309"/>
      <c r="C16096" s="309"/>
      <c r="I16096" s="309"/>
      <c r="J16096" s="309"/>
    </row>
    <row r="16097">
      <c r="B16097" s="309"/>
      <c r="C16097" s="309"/>
      <c r="I16097" s="309"/>
      <c r="J16097" s="309"/>
    </row>
    <row r="16098">
      <c r="B16098" s="309"/>
      <c r="C16098" s="309"/>
      <c r="I16098" s="309"/>
      <c r="J16098" s="309"/>
    </row>
    <row r="16099">
      <c r="B16099" s="309"/>
      <c r="C16099" s="309"/>
      <c r="I16099" s="309"/>
      <c r="J16099" s="309"/>
    </row>
    <row r="16100">
      <c r="B16100" s="309"/>
      <c r="C16100" s="309"/>
      <c r="I16100" s="309"/>
      <c r="J16100" s="309"/>
    </row>
    <row r="16101">
      <c r="B16101" s="309"/>
      <c r="C16101" s="309"/>
      <c r="I16101" s="309"/>
      <c r="J16101" s="309"/>
    </row>
    <row r="16102">
      <c r="B16102" s="309"/>
      <c r="C16102" s="309"/>
      <c r="I16102" s="309"/>
      <c r="J16102" s="309"/>
    </row>
    <row r="16103">
      <c r="B16103" s="309"/>
      <c r="C16103" s="309"/>
      <c r="I16103" s="309"/>
      <c r="J16103" s="309"/>
    </row>
    <row r="16104">
      <c r="B16104" s="309"/>
      <c r="C16104" s="309"/>
      <c r="I16104" s="309"/>
      <c r="J16104" s="309"/>
    </row>
    <row r="16105">
      <c r="B16105" s="309"/>
      <c r="C16105" s="309"/>
      <c r="I16105" s="309"/>
      <c r="J16105" s="309"/>
    </row>
    <row r="16106">
      <c r="B16106" s="309"/>
      <c r="C16106" s="309"/>
      <c r="I16106" s="309"/>
      <c r="J16106" s="309"/>
    </row>
    <row r="16107">
      <c r="B16107" s="309"/>
      <c r="C16107" s="309"/>
      <c r="I16107" s="309"/>
      <c r="J16107" s="309"/>
    </row>
    <row r="16108">
      <c r="B16108" s="309"/>
      <c r="C16108" s="309"/>
      <c r="I16108" s="309"/>
      <c r="J16108" s="309"/>
    </row>
    <row r="16109">
      <c r="B16109" s="309"/>
      <c r="C16109" s="309"/>
      <c r="I16109" s="309"/>
      <c r="J16109" s="309"/>
    </row>
    <row r="16110">
      <c r="B16110" s="309"/>
      <c r="C16110" s="309"/>
      <c r="I16110" s="309"/>
      <c r="J16110" s="309"/>
    </row>
    <row r="16111">
      <c r="B16111" s="309"/>
      <c r="C16111" s="309"/>
      <c r="I16111" s="309"/>
      <c r="J16111" s="309"/>
    </row>
    <row r="16112">
      <c r="B16112" s="309"/>
      <c r="C16112" s="309"/>
      <c r="I16112" s="309"/>
      <c r="J16112" s="309"/>
    </row>
    <row r="16113">
      <c r="B16113" s="309"/>
      <c r="C16113" s="309"/>
      <c r="I16113" s="309"/>
      <c r="J16113" s="309"/>
    </row>
    <row r="16114">
      <c r="B16114" s="309"/>
      <c r="C16114" s="309"/>
      <c r="I16114" s="309"/>
      <c r="J16114" s="309"/>
    </row>
    <row r="16115">
      <c r="B16115" s="309"/>
      <c r="C16115" s="309"/>
      <c r="I16115" s="309"/>
      <c r="J16115" s="309"/>
    </row>
    <row r="16116">
      <c r="B16116" s="309"/>
      <c r="C16116" s="309"/>
      <c r="I16116" s="309"/>
      <c r="J16116" s="309"/>
    </row>
    <row r="16117">
      <c r="B16117" s="309"/>
      <c r="C16117" s="309"/>
      <c r="I16117" s="309"/>
      <c r="J16117" s="309"/>
    </row>
    <row r="16118">
      <c r="B16118" s="309"/>
      <c r="C16118" s="309"/>
      <c r="I16118" s="309"/>
      <c r="J16118" s="309"/>
    </row>
    <row r="16119">
      <c r="B16119" s="309"/>
      <c r="C16119" s="309"/>
      <c r="I16119" s="309"/>
      <c r="J16119" s="309"/>
    </row>
    <row r="16120">
      <c r="B16120" s="309"/>
      <c r="C16120" s="309"/>
      <c r="I16120" s="309"/>
      <c r="J16120" s="309"/>
    </row>
    <row r="16121">
      <c r="B16121" s="309"/>
      <c r="C16121" s="309"/>
      <c r="I16121" s="309"/>
      <c r="J16121" s="309"/>
    </row>
    <row r="16122">
      <c r="B16122" s="309"/>
      <c r="C16122" s="309"/>
      <c r="I16122" s="309"/>
      <c r="J16122" s="309"/>
    </row>
    <row r="16123">
      <c r="B16123" s="309"/>
      <c r="C16123" s="309"/>
      <c r="I16123" s="309"/>
      <c r="J16123" s="309"/>
    </row>
    <row r="16124">
      <c r="B16124" s="309"/>
      <c r="C16124" s="309"/>
      <c r="I16124" s="309"/>
      <c r="J16124" s="309"/>
    </row>
    <row r="16125">
      <c r="B16125" s="309"/>
      <c r="C16125" s="309"/>
      <c r="I16125" s="309"/>
      <c r="J16125" s="309"/>
    </row>
    <row r="16126">
      <c r="B16126" s="309"/>
      <c r="C16126" s="309"/>
      <c r="I16126" s="309"/>
      <c r="J16126" s="309"/>
    </row>
    <row r="16127">
      <c r="B16127" s="309"/>
      <c r="C16127" s="309"/>
      <c r="I16127" s="309"/>
      <c r="J16127" s="309"/>
    </row>
    <row r="16128">
      <c r="B16128" s="309"/>
      <c r="C16128" s="309"/>
      <c r="I16128" s="309"/>
      <c r="J16128" s="309"/>
    </row>
    <row r="16129">
      <c r="B16129" s="309"/>
      <c r="C16129" s="309"/>
      <c r="I16129" s="309"/>
      <c r="J16129" s="309"/>
    </row>
    <row r="16130">
      <c r="B16130" s="309"/>
      <c r="C16130" s="309"/>
      <c r="I16130" s="309"/>
      <c r="J16130" s="309"/>
    </row>
    <row r="16131">
      <c r="B16131" s="309"/>
      <c r="C16131" s="309"/>
      <c r="I16131" s="309"/>
      <c r="J16131" s="309"/>
    </row>
    <row r="16132">
      <c r="B16132" s="309"/>
      <c r="C16132" s="309"/>
      <c r="I16132" s="309"/>
      <c r="J16132" s="309"/>
    </row>
    <row r="16133">
      <c r="B16133" s="309"/>
      <c r="C16133" s="309"/>
      <c r="I16133" s="309"/>
      <c r="J16133" s="309"/>
    </row>
    <row r="16134">
      <c r="B16134" s="309"/>
      <c r="C16134" s="309"/>
      <c r="I16134" s="309"/>
      <c r="J16134" s="309"/>
    </row>
    <row r="16135">
      <c r="B16135" s="309"/>
      <c r="C16135" s="309"/>
      <c r="I16135" s="309"/>
      <c r="J16135" s="309"/>
    </row>
    <row r="16136">
      <c r="B16136" s="309"/>
      <c r="C16136" s="309"/>
      <c r="I16136" s="309"/>
      <c r="J16136" s="309"/>
    </row>
    <row r="16137">
      <c r="B16137" s="309"/>
      <c r="C16137" s="309"/>
      <c r="I16137" s="309"/>
      <c r="J16137" s="309"/>
    </row>
    <row r="16138">
      <c r="B16138" s="309"/>
      <c r="C16138" s="309"/>
      <c r="I16138" s="309"/>
      <c r="J16138" s="309"/>
    </row>
    <row r="16139">
      <c r="B16139" s="309"/>
      <c r="C16139" s="309"/>
      <c r="I16139" s="309"/>
      <c r="J16139" s="309"/>
    </row>
    <row r="16140">
      <c r="B16140" s="309"/>
      <c r="C16140" s="309"/>
      <c r="I16140" s="309"/>
      <c r="J16140" s="309"/>
    </row>
    <row r="16141">
      <c r="B16141" s="309"/>
      <c r="C16141" s="309"/>
      <c r="I16141" s="309"/>
      <c r="J16141" s="309"/>
    </row>
    <row r="16142">
      <c r="B16142" s="309"/>
      <c r="C16142" s="309"/>
      <c r="I16142" s="309"/>
      <c r="J16142" s="309"/>
    </row>
    <row r="16143">
      <c r="B16143" s="309"/>
      <c r="C16143" s="309"/>
      <c r="I16143" s="309"/>
      <c r="J16143" s="309"/>
    </row>
    <row r="16144">
      <c r="B16144" s="309"/>
      <c r="C16144" s="309"/>
      <c r="I16144" s="309"/>
      <c r="J16144" s="309"/>
    </row>
    <row r="16145">
      <c r="B16145" s="309"/>
      <c r="C16145" s="309"/>
      <c r="I16145" s="309"/>
      <c r="J16145" s="309"/>
    </row>
    <row r="16146">
      <c r="B16146" s="309"/>
      <c r="C16146" s="309"/>
      <c r="I16146" s="309"/>
      <c r="J16146" s="309"/>
    </row>
    <row r="16147">
      <c r="B16147" s="309"/>
      <c r="C16147" s="309"/>
      <c r="I16147" s="309"/>
      <c r="J16147" s="309"/>
    </row>
    <row r="16148">
      <c r="B16148" s="309"/>
      <c r="C16148" s="309"/>
      <c r="I16148" s="309"/>
      <c r="J16148" s="309"/>
    </row>
    <row r="16149">
      <c r="B16149" s="309"/>
      <c r="C16149" s="309"/>
      <c r="I16149" s="309"/>
      <c r="J16149" s="309"/>
    </row>
    <row r="16150">
      <c r="B16150" s="309"/>
      <c r="C16150" s="309"/>
      <c r="I16150" s="309"/>
      <c r="J16150" s="309"/>
    </row>
    <row r="16151">
      <c r="B16151" s="309"/>
      <c r="C16151" s="309"/>
      <c r="I16151" s="309"/>
      <c r="J16151" s="309"/>
    </row>
    <row r="16152">
      <c r="B16152" s="309"/>
      <c r="C16152" s="309"/>
      <c r="I16152" s="309"/>
      <c r="J16152" s="309"/>
    </row>
    <row r="16153">
      <c r="B16153" s="309"/>
      <c r="C16153" s="309"/>
      <c r="I16153" s="309"/>
      <c r="J16153" s="309"/>
    </row>
    <row r="16154">
      <c r="B16154" s="309"/>
      <c r="C16154" s="309"/>
      <c r="I16154" s="309"/>
      <c r="J16154" s="309"/>
    </row>
    <row r="16155">
      <c r="B16155" s="309"/>
      <c r="C16155" s="309"/>
      <c r="I16155" s="309"/>
      <c r="J16155" s="309"/>
    </row>
    <row r="16156">
      <c r="B16156" s="309"/>
      <c r="C16156" s="309"/>
      <c r="I16156" s="309"/>
      <c r="J16156" s="309"/>
    </row>
    <row r="16157">
      <c r="B16157" s="309"/>
      <c r="C16157" s="309"/>
      <c r="I16157" s="309"/>
      <c r="J16157" s="309"/>
    </row>
    <row r="16158">
      <c r="B16158" s="309"/>
      <c r="C16158" s="309"/>
      <c r="I16158" s="309"/>
      <c r="J16158" s="309"/>
    </row>
    <row r="16159">
      <c r="B16159" s="309"/>
      <c r="C16159" s="309"/>
      <c r="I16159" s="309"/>
      <c r="J16159" s="309"/>
    </row>
    <row r="16160">
      <c r="B16160" s="309"/>
      <c r="C16160" s="309"/>
      <c r="I16160" s="309"/>
      <c r="J16160" s="309"/>
    </row>
    <row r="16161">
      <c r="B16161" s="309"/>
      <c r="C16161" s="309"/>
      <c r="I16161" s="309"/>
      <c r="J16161" s="309"/>
    </row>
    <row r="16162">
      <c r="B16162" s="309"/>
      <c r="C16162" s="309"/>
      <c r="I16162" s="309"/>
      <c r="J16162" s="309"/>
    </row>
    <row r="16163">
      <c r="B16163" s="309"/>
      <c r="C16163" s="309"/>
      <c r="I16163" s="309"/>
      <c r="J16163" s="309"/>
    </row>
    <row r="16164">
      <c r="B16164" s="309"/>
      <c r="C16164" s="309"/>
      <c r="I16164" s="309"/>
      <c r="J16164" s="309"/>
    </row>
    <row r="16165">
      <c r="B16165" s="309"/>
      <c r="C16165" s="309"/>
      <c r="I16165" s="309"/>
      <c r="J16165" s="309"/>
    </row>
    <row r="16166">
      <c r="B16166" s="309"/>
      <c r="C16166" s="309"/>
      <c r="I16166" s="309"/>
      <c r="J16166" s="309"/>
    </row>
    <row r="16167">
      <c r="B16167" s="309"/>
      <c r="C16167" s="309"/>
      <c r="I16167" s="309"/>
      <c r="J16167" s="309"/>
    </row>
    <row r="16168">
      <c r="B16168" s="309"/>
      <c r="C16168" s="309"/>
      <c r="I16168" s="309"/>
      <c r="J16168" s="309"/>
    </row>
    <row r="16169">
      <c r="B16169" s="309"/>
      <c r="C16169" s="309"/>
      <c r="I16169" s="309"/>
      <c r="J16169" s="309"/>
    </row>
    <row r="16170">
      <c r="B16170" s="309"/>
      <c r="C16170" s="309"/>
      <c r="I16170" s="309"/>
      <c r="J16170" s="309"/>
    </row>
    <row r="16171">
      <c r="B16171" s="309"/>
      <c r="C16171" s="309"/>
      <c r="I16171" s="309"/>
      <c r="J16171" s="309"/>
    </row>
    <row r="16172">
      <c r="B16172" s="309"/>
      <c r="C16172" s="309"/>
      <c r="I16172" s="309"/>
      <c r="J16172" s="309"/>
    </row>
    <row r="16173">
      <c r="B16173" s="309"/>
      <c r="C16173" s="309"/>
      <c r="I16173" s="309"/>
      <c r="J16173" s="309"/>
    </row>
    <row r="16174">
      <c r="B16174" s="309"/>
      <c r="C16174" s="309"/>
      <c r="I16174" s="309"/>
      <c r="J16174" s="309"/>
    </row>
    <row r="16175">
      <c r="B16175" s="309"/>
      <c r="C16175" s="309"/>
      <c r="I16175" s="309"/>
      <c r="J16175" s="309"/>
    </row>
    <row r="16176">
      <c r="B16176" s="309"/>
      <c r="C16176" s="309"/>
      <c r="I16176" s="309"/>
      <c r="J16176" s="309"/>
    </row>
    <row r="16177">
      <c r="B16177" s="309"/>
      <c r="C16177" s="309"/>
      <c r="I16177" s="309"/>
      <c r="J16177" s="309"/>
    </row>
    <row r="16178">
      <c r="B16178" s="309"/>
      <c r="C16178" s="309"/>
      <c r="I16178" s="309"/>
      <c r="J16178" s="309"/>
    </row>
    <row r="16179">
      <c r="B16179" s="309"/>
      <c r="C16179" s="309"/>
      <c r="I16179" s="309"/>
      <c r="J16179" s="309"/>
    </row>
    <row r="16180">
      <c r="B16180" s="309"/>
      <c r="C16180" s="309"/>
      <c r="I16180" s="309"/>
      <c r="J16180" s="309"/>
    </row>
    <row r="16181">
      <c r="B16181" s="309"/>
      <c r="C16181" s="309"/>
      <c r="I16181" s="309"/>
      <c r="J16181" s="309"/>
    </row>
    <row r="16182">
      <c r="B16182" s="309"/>
      <c r="C16182" s="309"/>
      <c r="I16182" s="309"/>
      <c r="J16182" s="309"/>
    </row>
    <row r="16183">
      <c r="B16183" s="309"/>
      <c r="C16183" s="309"/>
      <c r="I16183" s="309"/>
      <c r="J16183" s="309"/>
    </row>
    <row r="16184">
      <c r="B16184" s="309"/>
      <c r="C16184" s="309"/>
      <c r="I16184" s="309"/>
      <c r="J16184" s="309"/>
    </row>
    <row r="16185">
      <c r="B16185" s="309"/>
      <c r="C16185" s="309"/>
      <c r="I16185" s="309"/>
      <c r="J16185" s="309"/>
    </row>
    <row r="16186">
      <c r="B16186" s="309"/>
      <c r="C16186" s="309"/>
      <c r="I16186" s="309"/>
      <c r="J16186" s="309"/>
    </row>
    <row r="16187">
      <c r="B16187" s="309"/>
      <c r="C16187" s="309"/>
      <c r="I16187" s="309"/>
      <c r="J16187" s="309"/>
    </row>
    <row r="16188">
      <c r="B16188" s="309"/>
      <c r="C16188" s="309"/>
      <c r="I16188" s="309"/>
      <c r="J16188" s="309"/>
    </row>
    <row r="16189">
      <c r="B16189" s="309"/>
      <c r="C16189" s="309"/>
      <c r="I16189" s="309"/>
      <c r="J16189" s="309"/>
    </row>
    <row r="16190">
      <c r="B16190" s="309"/>
      <c r="C16190" s="309"/>
      <c r="I16190" s="309"/>
      <c r="J16190" s="309"/>
    </row>
    <row r="16191">
      <c r="B16191" s="309"/>
      <c r="C16191" s="309"/>
      <c r="I16191" s="309"/>
      <c r="J16191" s="309"/>
    </row>
    <row r="16192">
      <c r="B16192" s="309"/>
      <c r="C16192" s="309"/>
      <c r="I16192" s="309"/>
      <c r="J16192" s="309"/>
    </row>
    <row r="16193">
      <c r="B16193" s="309"/>
      <c r="C16193" s="309"/>
      <c r="I16193" s="309"/>
      <c r="J16193" s="309"/>
    </row>
    <row r="16194">
      <c r="B16194" s="309"/>
      <c r="C16194" s="309"/>
      <c r="I16194" s="309"/>
      <c r="J16194" s="309"/>
    </row>
    <row r="16195">
      <c r="B16195" s="309"/>
      <c r="C16195" s="309"/>
      <c r="I16195" s="309"/>
      <c r="J16195" s="309"/>
    </row>
    <row r="16196">
      <c r="B16196" s="309"/>
      <c r="C16196" s="309"/>
      <c r="I16196" s="309"/>
      <c r="J16196" s="309"/>
    </row>
    <row r="16197">
      <c r="B16197" s="309"/>
      <c r="C16197" s="309"/>
      <c r="I16197" s="309"/>
      <c r="J16197" s="309"/>
    </row>
    <row r="16198">
      <c r="B16198" s="309"/>
      <c r="C16198" s="309"/>
      <c r="I16198" s="309"/>
      <c r="J16198" s="309"/>
    </row>
    <row r="16199">
      <c r="B16199" s="309"/>
      <c r="C16199" s="309"/>
      <c r="I16199" s="309"/>
      <c r="J16199" s="309"/>
    </row>
    <row r="16200">
      <c r="B16200" s="309"/>
      <c r="C16200" s="309"/>
      <c r="I16200" s="309"/>
      <c r="J16200" s="309"/>
    </row>
    <row r="16201">
      <c r="B16201" s="309"/>
      <c r="C16201" s="309"/>
      <c r="I16201" s="309"/>
      <c r="J16201" s="309"/>
    </row>
    <row r="16202">
      <c r="B16202" s="309"/>
      <c r="C16202" s="309"/>
      <c r="I16202" s="309"/>
      <c r="J16202" s="309"/>
    </row>
    <row r="16203">
      <c r="B16203" s="309"/>
      <c r="C16203" s="309"/>
      <c r="I16203" s="309"/>
      <c r="J16203" s="309"/>
    </row>
    <row r="16204">
      <c r="B16204" s="309"/>
      <c r="C16204" s="309"/>
      <c r="I16204" s="309"/>
      <c r="J16204" s="309"/>
    </row>
    <row r="16205">
      <c r="B16205" s="309"/>
      <c r="C16205" s="309"/>
      <c r="I16205" s="309"/>
      <c r="J16205" s="309"/>
    </row>
    <row r="16206">
      <c r="B16206" s="309"/>
      <c r="C16206" s="309"/>
      <c r="I16206" s="309"/>
      <c r="J16206" s="309"/>
    </row>
    <row r="16207">
      <c r="B16207" s="309"/>
      <c r="C16207" s="309"/>
      <c r="I16207" s="309"/>
      <c r="J16207" s="309"/>
    </row>
    <row r="16208">
      <c r="B16208" s="309"/>
      <c r="C16208" s="309"/>
      <c r="I16208" s="309"/>
      <c r="J16208" s="309"/>
    </row>
    <row r="16209">
      <c r="B16209" s="309"/>
      <c r="C16209" s="309"/>
      <c r="I16209" s="309"/>
      <c r="J16209" s="309"/>
    </row>
    <row r="16210">
      <c r="B16210" s="309"/>
      <c r="C16210" s="309"/>
      <c r="I16210" s="309"/>
      <c r="J16210" s="309"/>
    </row>
    <row r="16211">
      <c r="B16211" s="309"/>
      <c r="C16211" s="309"/>
      <c r="I16211" s="309"/>
      <c r="J16211" s="309"/>
    </row>
    <row r="16212">
      <c r="B16212" s="309"/>
      <c r="C16212" s="309"/>
      <c r="I16212" s="309"/>
      <c r="J16212" s="309"/>
    </row>
    <row r="16213">
      <c r="B16213" s="309"/>
      <c r="C16213" s="309"/>
      <c r="I16213" s="309"/>
      <c r="J16213" s="309"/>
    </row>
    <row r="16214">
      <c r="B16214" s="309"/>
      <c r="C16214" s="309"/>
      <c r="I16214" s="309"/>
      <c r="J16214" s="309"/>
    </row>
    <row r="16215">
      <c r="B16215" s="309"/>
      <c r="C16215" s="309"/>
      <c r="I16215" s="309"/>
      <c r="J16215" s="309"/>
    </row>
    <row r="16216">
      <c r="B16216" s="309"/>
      <c r="C16216" s="309"/>
      <c r="I16216" s="309"/>
      <c r="J16216" s="309"/>
    </row>
    <row r="16217">
      <c r="B16217" s="309"/>
      <c r="C16217" s="309"/>
      <c r="I16217" s="309"/>
      <c r="J16217" s="309"/>
    </row>
    <row r="16218">
      <c r="B16218" s="309"/>
      <c r="C16218" s="309"/>
      <c r="I16218" s="309"/>
      <c r="J16218" s="309"/>
    </row>
    <row r="16219">
      <c r="B16219" s="309"/>
      <c r="C16219" s="309"/>
      <c r="I16219" s="309"/>
      <c r="J16219" s="309"/>
    </row>
    <row r="16220">
      <c r="B16220" s="309"/>
      <c r="C16220" s="309"/>
      <c r="I16220" s="309"/>
      <c r="J16220" s="309"/>
    </row>
    <row r="16221">
      <c r="B16221" s="309"/>
      <c r="C16221" s="309"/>
      <c r="I16221" s="309"/>
      <c r="J16221" s="309"/>
    </row>
    <row r="16222">
      <c r="B16222" s="309"/>
      <c r="C16222" s="309"/>
      <c r="I16222" s="309"/>
      <c r="J16222" s="309"/>
    </row>
    <row r="16223">
      <c r="B16223" s="309"/>
      <c r="C16223" s="309"/>
      <c r="I16223" s="309"/>
      <c r="J16223" s="309"/>
    </row>
    <row r="16224">
      <c r="B16224" s="309"/>
      <c r="C16224" s="309"/>
      <c r="I16224" s="309"/>
      <c r="J16224" s="309"/>
    </row>
    <row r="16225">
      <c r="B16225" s="309"/>
      <c r="C16225" s="309"/>
      <c r="I16225" s="309"/>
      <c r="J16225" s="309"/>
    </row>
    <row r="16226">
      <c r="B16226" s="309"/>
      <c r="C16226" s="309"/>
      <c r="I16226" s="309"/>
      <c r="J16226" s="309"/>
    </row>
    <row r="16227">
      <c r="B16227" s="309"/>
      <c r="C16227" s="309"/>
      <c r="I16227" s="309"/>
      <c r="J16227" s="309"/>
    </row>
    <row r="16228">
      <c r="B16228" s="309"/>
      <c r="C16228" s="309"/>
      <c r="I16228" s="309"/>
      <c r="J16228" s="309"/>
    </row>
    <row r="16229">
      <c r="B16229" s="309"/>
      <c r="C16229" s="309"/>
      <c r="I16229" s="309"/>
      <c r="J16229" s="309"/>
    </row>
    <row r="16230">
      <c r="B16230" s="309"/>
      <c r="C16230" s="309"/>
      <c r="I16230" s="309"/>
      <c r="J16230" s="309"/>
    </row>
    <row r="16231">
      <c r="B16231" s="309"/>
      <c r="C16231" s="309"/>
      <c r="I16231" s="309"/>
      <c r="J16231" s="309"/>
    </row>
    <row r="16232">
      <c r="B16232" s="309"/>
      <c r="C16232" s="309"/>
      <c r="I16232" s="309"/>
      <c r="J16232" s="309"/>
    </row>
    <row r="16233">
      <c r="B16233" s="309"/>
      <c r="C16233" s="309"/>
      <c r="I16233" s="309"/>
      <c r="J16233" s="309"/>
    </row>
    <row r="16234">
      <c r="B16234" s="309"/>
      <c r="C16234" s="309"/>
      <c r="I16234" s="309"/>
      <c r="J16234" s="309"/>
    </row>
    <row r="16235">
      <c r="B16235" s="309"/>
      <c r="C16235" s="309"/>
      <c r="I16235" s="309"/>
      <c r="J16235" s="309"/>
    </row>
    <row r="16236">
      <c r="B16236" s="309"/>
      <c r="C16236" s="309"/>
      <c r="I16236" s="309"/>
      <c r="J16236" s="309"/>
    </row>
    <row r="16237">
      <c r="B16237" s="309"/>
      <c r="C16237" s="309"/>
      <c r="I16237" s="309"/>
      <c r="J16237" s="309"/>
    </row>
    <row r="16238">
      <c r="B16238" s="309"/>
      <c r="C16238" s="309"/>
      <c r="I16238" s="309"/>
      <c r="J16238" s="309"/>
    </row>
    <row r="16239">
      <c r="B16239" s="309"/>
      <c r="C16239" s="309"/>
      <c r="I16239" s="309"/>
      <c r="J16239" s="309"/>
    </row>
    <row r="16240">
      <c r="B16240" s="309"/>
      <c r="C16240" s="309"/>
      <c r="I16240" s="309"/>
      <c r="J16240" s="309"/>
    </row>
    <row r="16241">
      <c r="B16241" s="309"/>
      <c r="C16241" s="309"/>
      <c r="I16241" s="309"/>
      <c r="J16241" s="309"/>
    </row>
    <row r="16242">
      <c r="B16242" s="309"/>
      <c r="C16242" s="309"/>
      <c r="I16242" s="309"/>
      <c r="J16242" s="309"/>
    </row>
    <row r="16243">
      <c r="B16243" s="309"/>
      <c r="C16243" s="309"/>
      <c r="I16243" s="309"/>
      <c r="J16243" s="309"/>
    </row>
    <row r="16244">
      <c r="B16244" s="309"/>
      <c r="C16244" s="309"/>
      <c r="I16244" s="309"/>
      <c r="J16244" s="309"/>
    </row>
    <row r="16245">
      <c r="B16245" s="309"/>
      <c r="C16245" s="309"/>
      <c r="I16245" s="309"/>
      <c r="J16245" s="309"/>
    </row>
    <row r="16246">
      <c r="B16246" s="309"/>
      <c r="C16246" s="309"/>
      <c r="I16246" s="309"/>
      <c r="J16246" s="309"/>
    </row>
    <row r="16247">
      <c r="B16247" s="309"/>
      <c r="C16247" s="309"/>
      <c r="I16247" s="309"/>
      <c r="J16247" s="309"/>
    </row>
    <row r="16248">
      <c r="B16248" s="309"/>
      <c r="C16248" s="309"/>
      <c r="I16248" s="309"/>
      <c r="J16248" s="309"/>
    </row>
    <row r="16249">
      <c r="B16249" s="309"/>
      <c r="C16249" s="309"/>
      <c r="I16249" s="309"/>
      <c r="J16249" s="309"/>
    </row>
    <row r="16250">
      <c r="B16250" s="309"/>
      <c r="C16250" s="309"/>
      <c r="I16250" s="309"/>
      <c r="J16250" s="309"/>
    </row>
    <row r="16251">
      <c r="B16251" s="309"/>
      <c r="C16251" s="309"/>
      <c r="I16251" s="309"/>
      <c r="J16251" s="309"/>
    </row>
    <row r="16252">
      <c r="B16252" s="309"/>
      <c r="C16252" s="309"/>
      <c r="I16252" s="309"/>
      <c r="J16252" s="309"/>
    </row>
    <row r="16253">
      <c r="B16253" s="309"/>
      <c r="C16253" s="309"/>
      <c r="I16253" s="309"/>
      <c r="J16253" s="309"/>
    </row>
    <row r="16254">
      <c r="B16254" s="309"/>
      <c r="C16254" s="309"/>
      <c r="I16254" s="309"/>
      <c r="J16254" s="309"/>
    </row>
    <row r="16255">
      <c r="B16255" s="309"/>
      <c r="C16255" s="309"/>
      <c r="I16255" s="309"/>
      <c r="J16255" s="309"/>
    </row>
    <row r="16256">
      <c r="B16256" s="309"/>
      <c r="C16256" s="309"/>
      <c r="I16256" s="309"/>
      <c r="J16256" s="309"/>
    </row>
    <row r="16257">
      <c r="B16257" s="309"/>
      <c r="C16257" s="309"/>
      <c r="I16257" s="309"/>
      <c r="J16257" s="309"/>
    </row>
    <row r="16258">
      <c r="B16258" s="309"/>
      <c r="C16258" s="309"/>
      <c r="I16258" s="309"/>
      <c r="J16258" s="309"/>
    </row>
    <row r="16259">
      <c r="B16259" s="309"/>
      <c r="C16259" s="309"/>
      <c r="I16259" s="309"/>
      <c r="J16259" s="309"/>
    </row>
    <row r="16260">
      <c r="B16260" s="309"/>
      <c r="C16260" s="309"/>
      <c r="I16260" s="309"/>
      <c r="J16260" s="309"/>
    </row>
    <row r="16261">
      <c r="B16261" s="309"/>
      <c r="C16261" s="309"/>
      <c r="I16261" s="309"/>
      <c r="J16261" s="309"/>
    </row>
    <row r="16262">
      <c r="B16262" s="309"/>
      <c r="C16262" s="309"/>
      <c r="I16262" s="309"/>
      <c r="J16262" s="309"/>
    </row>
    <row r="16263">
      <c r="B16263" s="309"/>
      <c r="C16263" s="309"/>
      <c r="I16263" s="309"/>
      <c r="J16263" s="309"/>
    </row>
    <row r="16264">
      <c r="B16264" s="309"/>
      <c r="C16264" s="309"/>
      <c r="I16264" s="309"/>
      <c r="J16264" s="309"/>
    </row>
    <row r="16265">
      <c r="B16265" s="309"/>
      <c r="C16265" s="309"/>
      <c r="I16265" s="309"/>
      <c r="J16265" s="309"/>
    </row>
    <row r="16266">
      <c r="B16266" s="309"/>
      <c r="C16266" s="309"/>
      <c r="I16266" s="309"/>
      <c r="J16266" s="309"/>
    </row>
    <row r="16267">
      <c r="B16267" s="309"/>
      <c r="C16267" s="309"/>
      <c r="I16267" s="309"/>
      <c r="J16267" s="309"/>
    </row>
    <row r="16268">
      <c r="B16268" s="309"/>
      <c r="C16268" s="309"/>
      <c r="I16268" s="309"/>
      <c r="J16268" s="309"/>
    </row>
    <row r="16269">
      <c r="B16269" s="309"/>
      <c r="C16269" s="309"/>
      <c r="I16269" s="309"/>
      <c r="J16269" s="309"/>
    </row>
    <row r="16270">
      <c r="B16270" s="309"/>
      <c r="C16270" s="309"/>
      <c r="I16270" s="309"/>
      <c r="J16270" s="309"/>
    </row>
    <row r="16271">
      <c r="B16271" s="309"/>
      <c r="C16271" s="309"/>
      <c r="I16271" s="309"/>
      <c r="J16271" s="309"/>
    </row>
    <row r="16272">
      <c r="B16272" s="309"/>
      <c r="C16272" s="309"/>
      <c r="I16272" s="309"/>
      <c r="J16272" s="309"/>
    </row>
    <row r="16273">
      <c r="B16273" s="309"/>
      <c r="C16273" s="309"/>
      <c r="I16273" s="309"/>
      <c r="J16273" s="309"/>
    </row>
    <row r="16274">
      <c r="B16274" s="309"/>
      <c r="C16274" s="309"/>
      <c r="I16274" s="309"/>
      <c r="J16274" s="309"/>
    </row>
    <row r="16275">
      <c r="B16275" s="309"/>
      <c r="C16275" s="309"/>
      <c r="I16275" s="309"/>
      <c r="J16275" s="309"/>
    </row>
    <row r="16276">
      <c r="B16276" s="309"/>
      <c r="C16276" s="309"/>
      <c r="I16276" s="309"/>
      <c r="J16276" s="309"/>
    </row>
    <row r="16277">
      <c r="B16277" s="309"/>
      <c r="C16277" s="309"/>
      <c r="I16277" s="309"/>
      <c r="J16277" s="309"/>
    </row>
    <row r="16278">
      <c r="B16278" s="309"/>
      <c r="C16278" s="309"/>
      <c r="I16278" s="309"/>
      <c r="J16278" s="309"/>
    </row>
    <row r="16279">
      <c r="B16279" s="309"/>
      <c r="C16279" s="309"/>
      <c r="I16279" s="309"/>
      <c r="J16279" s="309"/>
    </row>
    <row r="16280">
      <c r="B16280" s="309"/>
      <c r="C16280" s="309"/>
      <c r="I16280" s="309"/>
      <c r="J16280" s="309"/>
    </row>
    <row r="16281">
      <c r="B16281" s="309"/>
      <c r="C16281" s="309"/>
      <c r="I16281" s="309"/>
      <c r="J16281" s="309"/>
    </row>
    <row r="16282">
      <c r="B16282" s="309"/>
      <c r="C16282" s="309"/>
      <c r="I16282" s="309"/>
      <c r="J16282" s="309"/>
    </row>
    <row r="16283">
      <c r="B16283" s="309"/>
      <c r="C16283" s="309"/>
      <c r="I16283" s="309"/>
      <c r="J16283" s="309"/>
    </row>
    <row r="16284">
      <c r="B16284" s="309"/>
      <c r="C16284" s="309"/>
      <c r="I16284" s="309"/>
      <c r="J16284" s="309"/>
    </row>
    <row r="16285">
      <c r="B16285" s="309"/>
      <c r="C16285" s="309"/>
      <c r="I16285" s="309"/>
      <c r="J16285" s="309"/>
    </row>
    <row r="16286">
      <c r="B16286" s="309"/>
      <c r="C16286" s="309"/>
      <c r="I16286" s="309"/>
      <c r="J16286" s="309"/>
    </row>
    <row r="16287">
      <c r="B16287" s="309"/>
      <c r="C16287" s="309"/>
      <c r="I16287" s="309"/>
      <c r="J16287" s="309"/>
    </row>
    <row r="16288">
      <c r="B16288" s="309"/>
      <c r="C16288" s="309"/>
      <c r="I16288" s="309"/>
      <c r="J16288" s="309"/>
    </row>
    <row r="16289">
      <c r="B16289" s="309"/>
      <c r="C16289" s="309"/>
      <c r="I16289" s="309"/>
      <c r="J16289" s="309"/>
    </row>
    <row r="16290">
      <c r="B16290" s="309"/>
      <c r="C16290" s="309"/>
      <c r="I16290" s="309"/>
      <c r="J16290" s="309"/>
    </row>
    <row r="16291">
      <c r="B16291" s="309"/>
      <c r="C16291" s="309"/>
      <c r="I16291" s="309"/>
      <c r="J16291" s="309"/>
    </row>
    <row r="16292">
      <c r="B16292" s="309"/>
      <c r="C16292" s="309"/>
      <c r="I16292" s="309"/>
      <c r="J16292" s="309"/>
    </row>
    <row r="16293">
      <c r="B16293" s="309"/>
      <c r="C16293" s="309"/>
      <c r="I16293" s="309"/>
      <c r="J16293" s="309"/>
    </row>
    <row r="16294">
      <c r="B16294" s="309"/>
      <c r="C16294" s="309"/>
      <c r="I16294" s="309"/>
      <c r="J16294" s="309"/>
    </row>
    <row r="16295">
      <c r="B16295" s="309"/>
      <c r="C16295" s="309"/>
      <c r="I16295" s="309"/>
      <c r="J16295" s="309"/>
    </row>
    <row r="16296">
      <c r="B16296" s="309"/>
      <c r="C16296" s="309"/>
      <c r="I16296" s="309"/>
      <c r="J16296" s="309"/>
    </row>
    <row r="16297">
      <c r="B16297" s="309"/>
      <c r="C16297" s="309"/>
      <c r="I16297" s="309"/>
      <c r="J16297" s="309"/>
    </row>
    <row r="16298">
      <c r="B16298" s="309"/>
      <c r="C16298" s="309"/>
      <c r="I16298" s="309"/>
      <c r="J16298" s="309"/>
    </row>
    <row r="16299">
      <c r="B16299" s="309"/>
      <c r="C16299" s="309"/>
      <c r="I16299" s="309"/>
      <c r="J16299" s="309"/>
    </row>
    <row r="16300">
      <c r="B16300" s="309"/>
      <c r="C16300" s="309"/>
      <c r="I16300" s="309"/>
      <c r="J16300" s="309"/>
    </row>
    <row r="16301">
      <c r="B16301" s="309"/>
      <c r="C16301" s="309"/>
      <c r="I16301" s="309"/>
      <c r="J16301" s="309"/>
    </row>
    <row r="16302">
      <c r="B16302" s="309"/>
      <c r="C16302" s="309"/>
      <c r="I16302" s="309"/>
      <c r="J16302" s="309"/>
    </row>
    <row r="16303">
      <c r="B16303" s="309"/>
      <c r="C16303" s="309"/>
      <c r="I16303" s="309"/>
      <c r="J16303" s="309"/>
    </row>
    <row r="16304">
      <c r="B16304" s="309"/>
      <c r="C16304" s="309"/>
      <c r="I16304" s="309"/>
      <c r="J16304" s="309"/>
    </row>
    <row r="16305">
      <c r="B16305" s="309"/>
      <c r="C16305" s="309"/>
      <c r="I16305" s="309"/>
      <c r="J16305" s="309"/>
    </row>
    <row r="16306">
      <c r="B16306" s="309"/>
      <c r="C16306" s="309"/>
      <c r="I16306" s="309"/>
      <c r="J16306" s="309"/>
    </row>
    <row r="16307">
      <c r="B16307" s="309"/>
      <c r="C16307" s="309"/>
      <c r="I16307" s="309"/>
      <c r="J16307" s="309"/>
    </row>
    <row r="16308">
      <c r="B16308" s="309"/>
      <c r="C16308" s="309"/>
      <c r="I16308" s="309"/>
      <c r="J16308" s="309"/>
    </row>
    <row r="16309">
      <c r="B16309" s="309"/>
      <c r="C16309" s="309"/>
      <c r="I16309" s="309"/>
      <c r="J16309" s="309"/>
    </row>
    <row r="16310">
      <c r="B16310" s="309"/>
      <c r="C16310" s="309"/>
      <c r="I16310" s="309"/>
      <c r="J16310" s="309"/>
    </row>
    <row r="16311">
      <c r="B16311" s="309"/>
      <c r="C16311" s="309"/>
      <c r="I16311" s="309"/>
      <c r="J16311" s="309"/>
    </row>
    <row r="16312">
      <c r="B16312" s="309"/>
      <c r="C16312" s="309"/>
      <c r="I16312" s="309"/>
      <c r="J16312" s="309"/>
    </row>
    <row r="16313">
      <c r="B16313" s="309"/>
      <c r="C16313" s="309"/>
      <c r="I16313" s="309"/>
      <c r="J16313" s="309"/>
    </row>
    <row r="16314">
      <c r="B16314" s="309"/>
      <c r="C16314" s="309"/>
      <c r="I16314" s="309"/>
      <c r="J16314" s="309"/>
    </row>
    <row r="16315">
      <c r="B16315" s="309"/>
      <c r="C16315" s="309"/>
      <c r="I16315" s="309"/>
      <c r="J16315" s="309"/>
    </row>
    <row r="16316">
      <c r="B16316" s="309"/>
      <c r="C16316" s="309"/>
      <c r="I16316" s="309"/>
      <c r="J16316" s="309"/>
    </row>
    <row r="16317">
      <c r="B16317" s="309"/>
      <c r="C16317" s="309"/>
      <c r="I16317" s="309"/>
      <c r="J16317" s="309"/>
    </row>
    <row r="16318">
      <c r="B16318" s="309"/>
      <c r="C16318" s="309"/>
      <c r="I16318" s="309"/>
      <c r="J16318" s="309"/>
    </row>
    <row r="16319">
      <c r="B16319" s="309"/>
      <c r="C16319" s="309"/>
      <c r="I16319" s="309"/>
      <c r="J16319" s="309"/>
    </row>
    <row r="16320">
      <c r="B16320" s="309"/>
      <c r="C16320" s="309"/>
      <c r="I16320" s="309"/>
      <c r="J16320" s="309"/>
    </row>
    <row r="16321">
      <c r="B16321" s="309"/>
      <c r="C16321" s="309"/>
      <c r="I16321" s="309"/>
      <c r="J16321" s="309"/>
    </row>
    <row r="16322">
      <c r="B16322" s="309"/>
      <c r="C16322" s="309"/>
      <c r="I16322" s="309"/>
      <c r="J16322" s="309"/>
    </row>
    <row r="16323">
      <c r="B16323" s="309"/>
      <c r="C16323" s="309"/>
      <c r="I16323" s="309"/>
      <c r="J16323" s="309"/>
    </row>
    <row r="16324">
      <c r="B16324" s="309"/>
      <c r="C16324" s="309"/>
      <c r="I16324" s="309"/>
      <c r="J16324" s="309"/>
    </row>
    <row r="16325">
      <c r="B16325" s="309"/>
      <c r="C16325" s="309"/>
      <c r="I16325" s="309"/>
      <c r="J16325" s="309"/>
    </row>
    <row r="16326">
      <c r="B16326" s="309"/>
      <c r="C16326" s="309"/>
      <c r="I16326" s="309"/>
      <c r="J16326" s="309"/>
    </row>
    <row r="16327">
      <c r="B16327" s="309"/>
      <c r="C16327" s="309"/>
      <c r="I16327" s="309"/>
      <c r="J16327" s="309"/>
    </row>
    <row r="16328">
      <c r="B16328" s="309"/>
      <c r="C16328" s="309"/>
      <c r="I16328" s="309"/>
      <c r="J16328" s="309"/>
    </row>
    <row r="16329">
      <c r="B16329" s="309"/>
      <c r="C16329" s="309"/>
      <c r="I16329" s="309"/>
      <c r="J16329" s="309"/>
    </row>
    <row r="16330">
      <c r="B16330" s="309"/>
      <c r="C16330" s="309"/>
      <c r="I16330" s="309"/>
      <c r="J16330" s="309"/>
    </row>
    <row r="16331">
      <c r="B16331" s="309"/>
      <c r="C16331" s="309"/>
      <c r="I16331" s="309"/>
      <c r="J16331" s="309"/>
    </row>
    <row r="16332">
      <c r="B16332" s="309"/>
      <c r="C16332" s="309"/>
      <c r="I16332" s="309"/>
      <c r="J16332" s="309"/>
    </row>
    <row r="16333">
      <c r="B16333" s="309"/>
      <c r="C16333" s="309"/>
      <c r="I16333" s="309"/>
      <c r="J16333" s="309"/>
    </row>
    <row r="16334">
      <c r="B16334" s="309"/>
      <c r="C16334" s="309"/>
      <c r="I16334" s="309"/>
      <c r="J16334" s="309"/>
    </row>
    <row r="16335">
      <c r="B16335" s="309"/>
      <c r="C16335" s="309"/>
      <c r="I16335" s="309"/>
      <c r="J16335" s="309"/>
    </row>
    <row r="16336">
      <c r="B16336" s="309"/>
      <c r="C16336" s="309"/>
      <c r="I16336" s="309"/>
      <c r="J16336" s="309"/>
    </row>
    <row r="16337">
      <c r="B16337" s="309"/>
      <c r="C16337" s="309"/>
      <c r="I16337" s="309"/>
      <c r="J16337" s="309"/>
    </row>
    <row r="16338">
      <c r="B16338" s="309"/>
      <c r="C16338" s="309"/>
      <c r="I16338" s="309"/>
      <c r="J16338" s="309"/>
    </row>
    <row r="16339">
      <c r="B16339" s="309"/>
      <c r="C16339" s="309"/>
      <c r="I16339" s="309"/>
      <c r="J16339" s="309"/>
    </row>
    <row r="16340">
      <c r="B16340" s="309"/>
      <c r="C16340" s="309"/>
      <c r="I16340" s="309"/>
      <c r="J16340" s="309"/>
    </row>
    <row r="16341">
      <c r="B16341" s="309"/>
      <c r="C16341" s="309"/>
      <c r="I16341" s="309"/>
      <c r="J16341" s="309"/>
    </row>
    <row r="16342">
      <c r="B16342" s="309"/>
      <c r="C16342" s="309"/>
      <c r="I16342" s="309"/>
      <c r="J16342" s="309"/>
    </row>
    <row r="16343">
      <c r="B16343" s="309"/>
      <c r="C16343" s="309"/>
      <c r="I16343" s="309"/>
      <c r="J16343" s="309"/>
    </row>
    <row r="16344">
      <c r="B16344" s="309"/>
      <c r="C16344" s="309"/>
      <c r="I16344" s="309"/>
      <c r="J16344" s="309"/>
    </row>
    <row r="16345">
      <c r="B16345" s="309"/>
      <c r="C16345" s="309"/>
      <c r="I16345" s="309"/>
      <c r="J16345" s="309"/>
    </row>
    <row r="16346">
      <c r="B16346" s="309"/>
      <c r="C16346" s="309"/>
      <c r="I16346" s="309"/>
      <c r="J16346" s="309"/>
    </row>
    <row r="16347">
      <c r="B16347" s="309"/>
      <c r="C16347" s="309"/>
      <c r="I16347" s="309"/>
      <c r="J16347" s="309"/>
    </row>
    <row r="16348">
      <c r="B16348" s="309"/>
      <c r="C16348" s="309"/>
      <c r="I16348" s="309"/>
      <c r="J16348" s="309"/>
    </row>
    <row r="16349">
      <c r="B16349" s="309"/>
      <c r="C16349" s="309"/>
      <c r="I16349" s="309"/>
      <c r="J16349" s="309"/>
    </row>
    <row r="16350">
      <c r="B16350" s="309"/>
      <c r="C16350" s="309"/>
      <c r="I16350" s="309"/>
      <c r="J16350" s="309"/>
    </row>
    <row r="16351">
      <c r="B16351" s="309"/>
      <c r="C16351" s="309"/>
      <c r="I16351" s="309"/>
      <c r="J16351" s="309"/>
    </row>
    <row r="16352">
      <c r="B16352" s="309"/>
      <c r="C16352" s="309"/>
      <c r="I16352" s="309"/>
      <c r="J16352" s="309"/>
    </row>
    <row r="16353">
      <c r="B16353" s="309"/>
      <c r="C16353" s="309"/>
      <c r="I16353" s="309"/>
      <c r="J16353" s="309"/>
    </row>
    <row r="16354">
      <c r="B16354" s="309"/>
      <c r="C16354" s="309"/>
      <c r="I16354" s="309"/>
      <c r="J16354" s="309"/>
    </row>
    <row r="16355">
      <c r="B16355" s="309"/>
      <c r="C16355" s="309"/>
      <c r="I16355" s="309"/>
      <c r="J16355" s="309"/>
    </row>
    <row r="16356">
      <c r="B16356" s="309"/>
      <c r="C16356" s="309"/>
      <c r="I16356" s="309"/>
      <c r="J16356" s="309"/>
    </row>
    <row r="16357">
      <c r="B16357" s="309"/>
      <c r="C16357" s="309"/>
      <c r="I16357" s="309"/>
      <c r="J16357" s="309"/>
    </row>
    <row r="16358">
      <c r="B16358" s="309"/>
      <c r="C16358" s="309"/>
      <c r="I16358" s="309"/>
      <c r="J16358" s="309"/>
    </row>
    <row r="16359">
      <c r="B16359" s="309"/>
      <c r="C16359" s="309"/>
      <c r="I16359" s="309"/>
      <c r="J16359" s="309"/>
    </row>
    <row r="16360">
      <c r="B16360" s="309"/>
      <c r="C16360" s="309"/>
      <c r="I16360" s="309"/>
      <c r="J16360" s="309"/>
    </row>
    <row r="16361">
      <c r="B16361" s="309"/>
      <c r="C16361" s="309"/>
      <c r="I16361" s="309"/>
      <c r="J16361" s="309"/>
    </row>
    <row r="16362">
      <c r="B16362" s="309"/>
      <c r="C16362" s="309"/>
      <c r="I16362" s="309"/>
      <c r="J16362" s="309"/>
    </row>
    <row r="16363">
      <c r="B16363" s="309"/>
      <c r="C16363" s="309"/>
      <c r="I16363" s="309"/>
      <c r="J16363" s="309"/>
    </row>
    <row r="16364">
      <c r="B16364" s="309"/>
      <c r="C16364" s="309"/>
      <c r="I16364" s="309"/>
      <c r="J16364" s="309"/>
    </row>
    <row r="16365">
      <c r="B16365" s="309"/>
      <c r="C16365" s="309"/>
      <c r="I16365" s="309"/>
      <c r="J16365" s="309"/>
    </row>
    <row r="16366">
      <c r="B16366" s="309"/>
      <c r="C16366" s="309"/>
      <c r="I16366" s="309"/>
      <c r="J16366" s="309"/>
    </row>
    <row r="16367">
      <c r="B16367" s="309"/>
      <c r="C16367" s="309"/>
      <c r="I16367" s="309"/>
      <c r="J16367" s="309"/>
    </row>
    <row r="16368">
      <c r="B16368" s="309"/>
      <c r="C16368" s="309"/>
      <c r="I16368" s="309"/>
      <c r="J16368" s="309"/>
    </row>
    <row r="16369">
      <c r="B16369" s="309"/>
      <c r="C16369" s="309"/>
      <c r="I16369" s="309"/>
      <c r="J16369" s="309"/>
    </row>
    <row r="16370">
      <c r="B16370" s="309"/>
      <c r="C16370" s="309"/>
      <c r="I16370" s="309"/>
      <c r="J16370" s="309"/>
    </row>
    <row r="16371">
      <c r="B16371" s="309"/>
      <c r="C16371" s="309"/>
      <c r="I16371" s="309"/>
      <c r="J16371" s="309"/>
    </row>
    <row r="16372">
      <c r="B16372" s="309"/>
      <c r="C16372" s="309"/>
      <c r="I16372" s="309"/>
      <c r="J16372" s="309"/>
    </row>
    <row r="16373">
      <c r="B16373" s="309"/>
      <c r="C16373" s="309"/>
      <c r="I16373" s="309"/>
      <c r="J16373" s="309"/>
    </row>
    <row r="16374">
      <c r="B16374" s="309"/>
      <c r="C16374" s="309"/>
      <c r="I16374" s="309"/>
      <c r="J16374" s="309"/>
    </row>
    <row r="16375">
      <c r="B16375" s="309"/>
      <c r="C16375" s="309"/>
      <c r="I16375" s="309"/>
      <c r="J16375" s="309"/>
    </row>
    <row r="16376">
      <c r="B16376" s="309"/>
      <c r="C16376" s="309"/>
      <c r="I16376" s="309"/>
      <c r="J16376" s="309"/>
    </row>
    <row r="16377">
      <c r="B16377" s="309"/>
      <c r="C16377" s="309"/>
      <c r="I16377" s="309"/>
      <c r="J16377" s="309"/>
    </row>
    <row r="16378">
      <c r="B16378" s="309"/>
      <c r="C16378" s="309"/>
      <c r="I16378" s="309"/>
      <c r="J16378" s="309"/>
    </row>
    <row r="16379">
      <c r="B16379" s="309"/>
      <c r="C16379" s="309"/>
      <c r="I16379" s="309"/>
      <c r="J16379" s="309"/>
    </row>
    <row r="16380">
      <c r="B16380" s="309"/>
      <c r="C16380" s="309"/>
      <c r="I16380" s="309"/>
      <c r="J16380" s="309"/>
    </row>
    <row r="16381">
      <c r="B16381" s="309"/>
      <c r="C16381" s="309"/>
      <c r="I16381" s="309"/>
      <c r="J16381" s="309"/>
    </row>
    <row r="16382">
      <c r="B16382" s="309"/>
      <c r="C16382" s="309"/>
      <c r="I16382" s="309"/>
      <c r="J16382" s="309"/>
    </row>
    <row r="16383">
      <c r="B16383" s="309"/>
      <c r="C16383" s="309"/>
      <c r="I16383" s="309"/>
      <c r="J16383" s="309"/>
    </row>
    <row r="16384">
      <c r="B16384" s="309"/>
      <c r="C16384" s="309"/>
      <c r="I16384" s="309"/>
      <c r="J16384" s="309"/>
    </row>
    <row r="16385">
      <c r="B16385" s="309"/>
      <c r="C16385" s="309"/>
      <c r="I16385" s="309"/>
      <c r="J16385" s="309"/>
    </row>
    <row r="16386">
      <c r="B16386" s="309"/>
      <c r="C16386" s="309"/>
      <c r="I16386" s="309"/>
      <c r="J16386" s="309"/>
    </row>
    <row r="16387">
      <c r="B16387" s="309"/>
      <c r="C16387" s="309"/>
      <c r="I16387" s="309"/>
      <c r="J16387" s="309"/>
    </row>
    <row r="16388">
      <c r="B16388" s="309"/>
      <c r="C16388" s="309"/>
      <c r="I16388" s="309"/>
      <c r="J16388" s="309"/>
    </row>
    <row r="16389">
      <c r="B16389" s="309"/>
      <c r="C16389" s="309"/>
      <c r="I16389" s="309"/>
      <c r="J16389" s="309"/>
    </row>
    <row r="16390">
      <c r="B16390" s="309"/>
      <c r="C16390" s="309"/>
      <c r="I16390" s="309"/>
      <c r="J16390" s="309"/>
    </row>
    <row r="16391">
      <c r="B16391" s="309"/>
      <c r="C16391" s="309"/>
      <c r="I16391" s="309"/>
      <c r="J16391" s="309"/>
    </row>
    <row r="16392">
      <c r="B16392" s="309"/>
      <c r="C16392" s="309"/>
      <c r="I16392" s="309"/>
      <c r="J16392" s="309"/>
    </row>
    <row r="16393">
      <c r="B16393" s="309"/>
      <c r="C16393" s="309"/>
      <c r="I16393" s="309"/>
      <c r="J16393" s="309"/>
    </row>
    <row r="16394">
      <c r="B16394" s="309"/>
      <c r="C16394" s="309"/>
      <c r="I16394" s="309"/>
      <c r="J16394" s="309"/>
    </row>
    <row r="16395">
      <c r="B16395" s="309"/>
      <c r="C16395" s="309"/>
      <c r="I16395" s="309"/>
      <c r="J16395" s="309"/>
    </row>
    <row r="16396">
      <c r="B16396" s="309"/>
      <c r="C16396" s="309"/>
      <c r="I16396" s="309"/>
      <c r="J16396" s="309"/>
    </row>
    <row r="16397">
      <c r="B16397" s="309"/>
      <c r="C16397" s="309"/>
      <c r="I16397" s="309"/>
      <c r="J16397" s="309"/>
    </row>
    <row r="16398">
      <c r="B16398" s="309"/>
      <c r="C16398" s="309"/>
      <c r="I16398" s="309"/>
      <c r="J16398" s="309"/>
    </row>
    <row r="16399">
      <c r="B16399" s="309"/>
      <c r="C16399" s="309"/>
      <c r="I16399" s="309"/>
      <c r="J16399" s="309"/>
    </row>
    <row r="16400">
      <c r="B16400" s="309"/>
      <c r="C16400" s="309"/>
      <c r="I16400" s="309"/>
      <c r="J16400" s="309"/>
    </row>
    <row r="16401">
      <c r="B16401" s="309"/>
      <c r="C16401" s="309"/>
      <c r="I16401" s="309"/>
      <c r="J16401" s="309"/>
    </row>
    <row r="16402">
      <c r="B16402" s="309"/>
      <c r="C16402" s="309"/>
      <c r="I16402" s="309"/>
      <c r="J16402" s="309"/>
    </row>
    <row r="16403">
      <c r="B16403" s="309"/>
      <c r="C16403" s="309"/>
      <c r="I16403" s="309"/>
      <c r="J16403" s="309"/>
    </row>
    <row r="16404">
      <c r="B16404" s="309"/>
      <c r="C16404" s="309"/>
      <c r="I16404" s="309"/>
      <c r="J16404" s="309"/>
    </row>
    <row r="16405">
      <c r="B16405" s="309"/>
      <c r="C16405" s="309"/>
      <c r="I16405" s="309"/>
      <c r="J16405" s="309"/>
    </row>
    <row r="16406">
      <c r="B16406" s="309"/>
      <c r="C16406" s="309"/>
      <c r="I16406" s="309"/>
      <c r="J16406" s="309"/>
    </row>
    <row r="16407">
      <c r="B16407" s="309"/>
      <c r="C16407" s="309"/>
      <c r="I16407" s="309"/>
      <c r="J16407" s="309"/>
    </row>
    <row r="16408">
      <c r="B16408" s="309"/>
      <c r="C16408" s="309"/>
      <c r="I16408" s="309"/>
      <c r="J16408" s="309"/>
    </row>
    <row r="16409">
      <c r="B16409" s="309"/>
      <c r="C16409" s="309"/>
      <c r="I16409" s="309"/>
      <c r="J16409" s="309"/>
    </row>
    <row r="16410">
      <c r="B16410" s="309"/>
      <c r="C16410" s="309"/>
      <c r="I16410" s="309"/>
      <c r="J16410" s="309"/>
    </row>
    <row r="16411">
      <c r="B16411" s="309"/>
      <c r="C16411" s="309"/>
      <c r="I16411" s="309"/>
      <c r="J16411" s="309"/>
    </row>
    <row r="16412">
      <c r="B16412" s="309"/>
      <c r="C16412" s="309"/>
      <c r="I16412" s="309"/>
      <c r="J16412" s="309"/>
    </row>
    <row r="16413">
      <c r="B16413" s="309"/>
      <c r="C16413" s="309"/>
      <c r="I16413" s="309"/>
      <c r="J16413" s="309"/>
    </row>
    <row r="16414">
      <c r="B16414" s="309"/>
      <c r="C16414" s="309"/>
      <c r="I16414" s="309"/>
      <c r="J16414" s="309"/>
    </row>
    <row r="16415">
      <c r="B16415" s="309"/>
      <c r="C16415" s="309"/>
      <c r="I16415" s="309"/>
      <c r="J16415" s="309"/>
    </row>
    <row r="16416">
      <c r="B16416" s="309"/>
      <c r="C16416" s="309"/>
      <c r="I16416" s="309"/>
      <c r="J16416" s="309"/>
    </row>
    <row r="16417">
      <c r="B16417" s="309"/>
      <c r="C16417" s="309"/>
      <c r="I16417" s="309"/>
      <c r="J16417" s="309"/>
    </row>
    <row r="16418">
      <c r="B16418" s="309"/>
      <c r="C16418" s="309"/>
      <c r="I16418" s="309"/>
      <c r="J16418" s="309"/>
    </row>
    <row r="16419">
      <c r="B16419" s="309"/>
      <c r="C16419" s="309"/>
      <c r="I16419" s="309"/>
      <c r="J16419" s="309"/>
    </row>
    <row r="16420">
      <c r="B16420" s="309"/>
      <c r="C16420" s="309"/>
      <c r="I16420" s="309"/>
      <c r="J16420" s="309"/>
    </row>
    <row r="16421">
      <c r="B16421" s="309"/>
      <c r="C16421" s="309"/>
      <c r="I16421" s="309"/>
      <c r="J16421" s="309"/>
    </row>
    <row r="16422">
      <c r="B16422" s="309"/>
      <c r="C16422" s="309"/>
      <c r="I16422" s="309"/>
      <c r="J16422" s="309"/>
    </row>
    <row r="16423">
      <c r="B16423" s="309"/>
      <c r="C16423" s="309"/>
      <c r="I16423" s="309"/>
      <c r="J16423" s="309"/>
    </row>
    <row r="16424">
      <c r="B16424" s="309"/>
      <c r="C16424" s="309"/>
      <c r="I16424" s="309"/>
      <c r="J16424" s="309"/>
    </row>
    <row r="16425">
      <c r="B16425" s="309"/>
      <c r="C16425" s="309"/>
      <c r="I16425" s="309"/>
      <c r="J16425" s="309"/>
    </row>
    <row r="16426">
      <c r="B16426" s="309"/>
      <c r="C16426" s="309"/>
      <c r="I16426" s="309"/>
      <c r="J16426" s="309"/>
    </row>
    <row r="16427">
      <c r="B16427" s="309"/>
      <c r="C16427" s="309"/>
      <c r="I16427" s="309"/>
      <c r="J16427" s="309"/>
    </row>
    <row r="16428">
      <c r="B16428" s="309"/>
      <c r="C16428" s="309"/>
      <c r="I16428" s="309"/>
      <c r="J16428" s="309"/>
    </row>
    <row r="16429">
      <c r="B16429" s="309"/>
      <c r="C16429" s="309"/>
      <c r="I16429" s="309"/>
      <c r="J16429" s="309"/>
    </row>
    <row r="16430">
      <c r="B16430" s="309"/>
      <c r="C16430" s="309"/>
      <c r="I16430" s="309"/>
      <c r="J16430" s="309"/>
    </row>
    <row r="16431">
      <c r="B16431" s="309"/>
      <c r="C16431" s="309"/>
      <c r="I16431" s="309"/>
      <c r="J16431" s="309"/>
    </row>
    <row r="16432">
      <c r="B16432" s="309"/>
      <c r="C16432" s="309"/>
      <c r="I16432" s="309"/>
      <c r="J16432" s="309"/>
    </row>
    <row r="16433">
      <c r="B16433" s="309"/>
      <c r="C16433" s="309"/>
      <c r="I16433" s="309"/>
      <c r="J16433" s="309"/>
    </row>
    <row r="16434">
      <c r="B16434" s="309"/>
      <c r="C16434" s="309"/>
      <c r="I16434" s="309"/>
      <c r="J16434" s="309"/>
    </row>
    <row r="16435">
      <c r="B16435" s="309"/>
      <c r="C16435" s="309"/>
      <c r="I16435" s="309"/>
      <c r="J16435" s="309"/>
    </row>
    <row r="16436">
      <c r="B16436" s="309"/>
      <c r="C16436" s="309"/>
      <c r="I16436" s="309"/>
      <c r="J16436" s="309"/>
    </row>
    <row r="16437">
      <c r="B16437" s="309"/>
      <c r="C16437" s="309"/>
      <c r="I16437" s="309"/>
      <c r="J16437" s="309"/>
    </row>
    <row r="16438">
      <c r="B16438" s="309"/>
      <c r="C16438" s="309"/>
      <c r="I16438" s="309"/>
      <c r="J16438" s="309"/>
    </row>
    <row r="16439">
      <c r="B16439" s="309"/>
      <c r="C16439" s="309"/>
      <c r="I16439" s="309"/>
      <c r="J16439" s="309"/>
    </row>
    <row r="16440">
      <c r="B16440" s="309"/>
      <c r="C16440" s="309"/>
      <c r="I16440" s="309"/>
      <c r="J16440" s="309"/>
    </row>
    <row r="16441">
      <c r="B16441" s="309"/>
      <c r="C16441" s="309"/>
      <c r="I16441" s="309"/>
      <c r="J16441" s="309"/>
    </row>
    <row r="16442">
      <c r="B16442" s="309"/>
      <c r="C16442" s="309"/>
      <c r="I16442" s="309"/>
      <c r="J16442" s="309"/>
    </row>
    <row r="16443">
      <c r="B16443" s="309"/>
      <c r="C16443" s="309"/>
      <c r="I16443" s="309"/>
      <c r="J16443" s="309"/>
    </row>
    <row r="16444">
      <c r="B16444" s="309"/>
      <c r="C16444" s="309"/>
      <c r="I16444" s="309"/>
      <c r="J16444" s="309"/>
    </row>
    <row r="16445">
      <c r="B16445" s="309"/>
      <c r="C16445" s="309"/>
      <c r="I16445" s="309"/>
      <c r="J16445" s="309"/>
    </row>
    <row r="16446">
      <c r="B16446" s="309"/>
      <c r="C16446" s="309"/>
      <c r="I16446" s="309"/>
      <c r="J16446" s="309"/>
    </row>
    <row r="16447">
      <c r="B16447" s="309"/>
      <c r="C16447" s="309"/>
      <c r="I16447" s="309"/>
      <c r="J16447" s="309"/>
    </row>
    <row r="16448">
      <c r="B16448" s="309"/>
      <c r="C16448" s="309"/>
      <c r="I16448" s="309"/>
      <c r="J16448" s="309"/>
    </row>
    <row r="16449">
      <c r="B16449" s="309"/>
      <c r="C16449" s="309"/>
      <c r="I16449" s="309"/>
      <c r="J16449" s="309"/>
    </row>
    <row r="16450">
      <c r="B16450" s="309"/>
      <c r="C16450" s="309"/>
      <c r="I16450" s="309"/>
      <c r="J16450" s="309"/>
    </row>
    <row r="16451">
      <c r="B16451" s="309"/>
      <c r="C16451" s="309"/>
      <c r="I16451" s="309"/>
      <c r="J16451" s="309"/>
    </row>
    <row r="16452">
      <c r="B16452" s="309"/>
      <c r="C16452" s="309"/>
      <c r="I16452" s="309"/>
      <c r="J16452" s="309"/>
    </row>
    <row r="16453">
      <c r="B16453" s="309"/>
      <c r="C16453" s="309"/>
      <c r="I16453" s="309"/>
      <c r="J16453" s="309"/>
    </row>
    <row r="16454">
      <c r="B16454" s="309"/>
      <c r="C16454" s="309"/>
      <c r="I16454" s="309"/>
      <c r="J16454" s="309"/>
    </row>
    <row r="16455">
      <c r="B16455" s="309"/>
      <c r="C16455" s="309"/>
      <c r="I16455" s="309"/>
      <c r="J16455" s="309"/>
    </row>
    <row r="16456">
      <c r="B16456" s="309"/>
      <c r="C16456" s="309"/>
      <c r="I16456" s="309"/>
      <c r="J16456" s="309"/>
    </row>
    <row r="16457">
      <c r="B16457" s="309"/>
      <c r="C16457" s="309"/>
      <c r="I16457" s="309"/>
      <c r="J16457" s="309"/>
    </row>
    <row r="16458">
      <c r="B16458" s="309"/>
      <c r="C16458" s="309"/>
      <c r="I16458" s="309"/>
      <c r="J16458" s="309"/>
    </row>
    <row r="16459">
      <c r="B16459" s="309"/>
      <c r="C16459" s="309"/>
      <c r="I16459" s="309"/>
      <c r="J16459" s="309"/>
    </row>
    <row r="16460">
      <c r="B16460" s="309"/>
      <c r="C16460" s="309"/>
      <c r="I16460" s="309"/>
      <c r="J16460" s="309"/>
    </row>
    <row r="16461">
      <c r="B16461" s="309"/>
      <c r="C16461" s="309"/>
      <c r="I16461" s="309"/>
      <c r="J16461" s="309"/>
    </row>
    <row r="16462">
      <c r="B16462" s="309"/>
      <c r="C16462" s="309"/>
      <c r="I16462" s="309"/>
      <c r="J16462" s="309"/>
    </row>
    <row r="16463">
      <c r="B16463" s="309"/>
      <c r="C16463" s="309"/>
      <c r="I16463" s="309"/>
      <c r="J16463" s="309"/>
    </row>
    <row r="16464">
      <c r="B16464" s="309"/>
      <c r="C16464" s="309"/>
      <c r="I16464" s="309"/>
      <c r="J16464" s="309"/>
    </row>
    <row r="16465">
      <c r="B16465" s="309"/>
      <c r="C16465" s="309"/>
      <c r="I16465" s="309"/>
      <c r="J16465" s="309"/>
    </row>
    <row r="16466">
      <c r="B16466" s="309"/>
      <c r="C16466" s="309"/>
      <c r="I16466" s="309"/>
      <c r="J16466" s="309"/>
    </row>
    <row r="16467">
      <c r="B16467" s="309"/>
      <c r="C16467" s="309"/>
      <c r="I16467" s="309"/>
      <c r="J16467" s="309"/>
    </row>
    <row r="16468">
      <c r="B16468" s="309"/>
      <c r="C16468" s="309"/>
      <c r="I16468" s="309"/>
      <c r="J16468" s="309"/>
    </row>
    <row r="16469">
      <c r="B16469" s="309"/>
      <c r="C16469" s="309"/>
      <c r="I16469" s="309"/>
      <c r="J16469" s="309"/>
    </row>
    <row r="16470">
      <c r="B16470" s="309"/>
      <c r="C16470" s="309"/>
      <c r="I16470" s="309"/>
      <c r="J16470" s="309"/>
    </row>
    <row r="16471">
      <c r="B16471" s="309"/>
      <c r="C16471" s="309"/>
      <c r="I16471" s="309"/>
      <c r="J16471" s="309"/>
    </row>
    <row r="16472">
      <c r="B16472" s="309"/>
      <c r="C16472" s="309"/>
      <c r="I16472" s="309"/>
      <c r="J16472" s="309"/>
    </row>
    <row r="16473">
      <c r="B16473" s="309"/>
      <c r="C16473" s="309"/>
      <c r="I16473" s="309"/>
      <c r="J16473" s="309"/>
    </row>
    <row r="16474">
      <c r="B16474" s="309"/>
      <c r="C16474" s="309"/>
      <c r="I16474" s="309"/>
      <c r="J16474" s="309"/>
    </row>
    <row r="16475">
      <c r="B16475" s="309"/>
      <c r="C16475" s="309"/>
      <c r="I16475" s="309"/>
      <c r="J16475" s="309"/>
    </row>
    <row r="16476">
      <c r="B16476" s="309"/>
      <c r="C16476" s="309"/>
      <c r="I16476" s="309"/>
      <c r="J16476" s="309"/>
    </row>
    <row r="16477">
      <c r="B16477" s="309"/>
      <c r="C16477" s="309"/>
      <c r="I16477" s="309"/>
      <c r="J16477" s="309"/>
    </row>
    <row r="16478">
      <c r="B16478" s="309"/>
      <c r="C16478" s="309"/>
      <c r="I16478" s="309"/>
      <c r="J16478" s="309"/>
    </row>
    <row r="16479">
      <c r="B16479" s="309"/>
      <c r="C16479" s="309"/>
      <c r="I16479" s="309"/>
      <c r="J16479" s="309"/>
    </row>
    <row r="16480">
      <c r="B16480" s="309"/>
      <c r="C16480" s="309"/>
      <c r="I16480" s="309"/>
      <c r="J16480" s="309"/>
    </row>
    <row r="16481">
      <c r="B16481" s="309"/>
      <c r="C16481" s="309"/>
      <c r="I16481" s="309"/>
      <c r="J16481" s="309"/>
    </row>
    <row r="16482">
      <c r="B16482" s="309"/>
      <c r="C16482" s="309"/>
      <c r="I16482" s="309"/>
      <c r="J16482" s="309"/>
    </row>
    <row r="16483">
      <c r="B16483" s="309"/>
      <c r="C16483" s="309"/>
      <c r="I16483" s="309"/>
      <c r="J16483" s="309"/>
    </row>
    <row r="16484">
      <c r="B16484" s="309"/>
      <c r="C16484" s="309"/>
      <c r="I16484" s="309"/>
      <c r="J16484" s="309"/>
    </row>
    <row r="16485">
      <c r="B16485" s="309"/>
      <c r="C16485" s="309"/>
      <c r="I16485" s="309"/>
      <c r="J16485" s="309"/>
    </row>
    <row r="16486">
      <c r="B16486" s="309"/>
      <c r="C16486" s="309"/>
      <c r="I16486" s="309"/>
      <c r="J16486" s="309"/>
    </row>
    <row r="16487">
      <c r="B16487" s="309"/>
      <c r="C16487" s="309"/>
      <c r="I16487" s="309"/>
      <c r="J16487" s="309"/>
    </row>
    <row r="16488">
      <c r="B16488" s="309"/>
      <c r="C16488" s="309"/>
      <c r="I16488" s="309"/>
      <c r="J16488" s="309"/>
    </row>
    <row r="16489">
      <c r="B16489" s="309"/>
      <c r="C16489" s="309"/>
      <c r="I16489" s="309"/>
      <c r="J16489" s="309"/>
    </row>
    <row r="16490">
      <c r="B16490" s="309"/>
      <c r="C16490" s="309"/>
      <c r="I16490" s="309"/>
      <c r="J16490" s="309"/>
    </row>
    <row r="16491">
      <c r="B16491" s="309"/>
      <c r="C16491" s="309"/>
      <c r="I16491" s="309"/>
      <c r="J16491" s="309"/>
    </row>
    <row r="16492">
      <c r="B16492" s="309"/>
      <c r="C16492" s="309"/>
      <c r="I16492" s="309"/>
      <c r="J16492" s="309"/>
    </row>
    <row r="16493">
      <c r="B16493" s="309"/>
      <c r="C16493" s="309"/>
      <c r="I16493" s="309"/>
      <c r="J16493" s="309"/>
    </row>
    <row r="16494">
      <c r="B16494" s="309"/>
      <c r="C16494" s="309"/>
      <c r="I16494" s="309"/>
      <c r="J16494" s="309"/>
    </row>
    <row r="16495">
      <c r="B16495" s="309"/>
      <c r="C16495" s="309"/>
      <c r="I16495" s="309"/>
      <c r="J16495" s="309"/>
    </row>
    <row r="16496">
      <c r="B16496" s="309"/>
      <c r="C16496" s="309"/>
      <c r="I16496" s="309"/>
      <c r="J16496" s="309"/>
    </row>
    <row r="16497">
      <c r="B16497" s="309"/>
      <c r="C16497" s="309"/>
      <c r="I16497" s="309"/>
      <c r="J16497" s="309"/>
    </row>
    <row r="16498">
      <c r="B16498" s="309"/>
      <c r="C16498" s="309"/>
      <c r="I16498" s="309"/>
      <c r="J16498" s="309"/>
    </row>
    <row r="16499">
      <c r="B16499" s="309"/>
      <c r="C16499" s="309"/>
      <c r="I16499" s="309"/>
      <c r="J16499" s="309"/>
    </row>
    <row r="16500">
      <c r="B16500" s="309"/>
      <c r="C16500" s="309"/>
      <c r="I16500" s="309"/>
      <c r="J16500" s="309"/>
    </row>
    <row r="16501">
      <c r="B16501" s="309"/>
      <c r="C16501" s="309"/>
      <c r="I16501" s="309"/>
      <c r="J16501" s="309"/>
    </row>
    <row r="16502">
      <c r="B16502" s="309"/>
      <c r="C16502" s="309"/>
      <c r="I16502" s="309"/>
      <c r="J16502" s="309"/>
    </row>
    <row r="16503">
      <c r="B16503" s="309"/>
      <c r="C16503" s="309"/>
      <c r="I16503" s="309"/>
      <c r="J16503" s="309"/>
    </row>
    <row r="16504">
      <c r="B16504" s="309"/>
      <c r="C16504" s="309"/>
      <c r="I16504" s="309"/>
      <c r="J16504" s="309"/>
    </row>
    <row r="16505">
      <c r="B16505" s="309"/>
      <c r="C16505" s="309"/>
      <c r="I16505" s="309"/>
      <c r="J16505" s="309"/>
    </row>
    <row r="16506">
      <c r="B16506" s="309"/>
      <c r="C16506" s="309"/>
      <c r="I16506" s="309"/>
      <c r="J16506" s="309"/>
    </row>
    <row r="16507">
      <c r="B16507" s="309"/>
      <c r="C16507" s="309"/>
      <c r="I16507" s="309"/>
      <c r="J16507" s="309"/>
    </row>
    <row r="16508">
      <c r="B16508" s="309"/>
      <c r="C16508" s="309"/>
      <c r="I16508" s="309"/>
      <c r="J16508" s="309"/>
    </row>
    <row r="16509">
      <c r="B16509" s="309"/>
      <c r="C16509" s="309"/>
      <c r="I16509" s="309"/>
      <c r="J16509" s="309"/>
    </row>
    <row r="16510">
      <c r="B16510" s="309"/>
      <c r="C16510" s="309"/>
      <c r="I16510" s="309"/>
      <c r="J16510" s="309"/>
    </row>
    <row r="16511">
      <c r="B16511" s="309"/>
      <c r="C16511" s="309"/>
      <c r="I16511" s="309"/>
      <c r="J16511" s="309"/>
    </row>
    <row r="16512">
      <c r="B16512" s="309"/>
      <c r="C16512" s="309"/>
      <c r="I16512" s="309"/>
      <c r="J16512" s="309"/>
    </row>
    <row r="16513">
      <c r="B16513" s="309"/>
      <c r="C16513" s="309"/>
      <c r="I16513" s="309"/>
      <c r="J16513" s="309"/>
    </row>
    <row r="16514">
      <c r="B16514" s="309"/>
      <c r="C16514" s="309"/>
      <c r="I16514" s="309"/>
      <c r="J16514" s="309"/>
    </row>
    <row r="16515">
      <c r="B16515" s="309"/>
      <c r="C16515" s="309"/>
      <c r="I16515" s="309"/>
      <c r="J16515" s="309"/>
    </row>
    <row r="16516">
      <c r="B16516" s="309"/>
      <c r="C16516" s="309"/>
      <c r="I16516" s="309"/>
      <c r="J16516" s="309"/>
    </row>
    <row r="16517">
      <c r="B16517" s="309"/>
      <c r="C16517" s="309"/>
      <c r="I16517" s="309"/>
      <c r="J16517" s="309"/>
    </row>
    <row r="16518">
      <c r="B16518" s="309"/>
      <c r="C16518" s="309"/>
      <c r="I16518" s="309"/>
      <c r="J16518" s="309"/>
    </row>
    <row r="16519">
      <c r="B16519" s="309"/>
      <c r="C16519" s="309"/>
      <c r="I16519" s="309"/>
      <c r="J16519" s="309"/>
    </row>
    <row r="16520">
      <c r="B16520" s="309"/>
      <c r="C16520" s="309"/>
      <c r="I16520" s="309"/>
      <c r="J16520" s="309"/>
    </row>
    <row r="16521">
      <c r="B16521" s="309"/>
      <c r="C16521" s="309"/>
      <c r="I16521" s="309"/>
      <c r="J16521" s="309"/>
    </row>
    <row r="16522">
      <c r="B16522" s="309"/>
      <c r="C16522" s="309"/>
      <c r="I16522" s="309"/>
      <c r="J16522" s="309"/>
    </row>
    <row r="16523">
      <c r="B16523" s="309"/>
      <c r="C16523" s="309"/>
      <c r="I16523" s="309"/>
      <c r="J16523" s="309"/>
    </row>
    <row r="16524">
      <c r="B16524" s="309"/>
      <c r="C16524" s="309"/>
      <c r="I16524" s="309"/>
      <c r="J16524" s="309"/>
    </row>
    <row r="16525">
      <c r="B16525" s="309"/>
      <c r="C16525" s="309"/>
      <c r="I16525" s="309"/>
      <c r="J16525" s="309"/>
    </row>
    <row r="16526">
      <c r="B16526" s="309"/>
      <c r="C16526" s="309"/>
      <c r="I16526" s="309"/>
      <c r="J16526" s="309"/>
    </row>
    <row r="16527">
      <c r="B16527" s="309"/>
      <c r="C16527" s="309"/>
      <c r="I16527" s="309"/>
      <c r="J16527" s="309"/>
    </row>
    <row r="16528">
      <c r="B16528" s="309"/>
      <c r="C16528" s="309"/>
      <c r="I16528" s="309"/>
      <c r="J16528" s="309"/>
    </row>
    <row r="16529">
      <c r="B16529" s="309"/>
      <c r="C16529" s="309"/>
      <c r="I16529" s="309"/>
      <c r="J16529" s="309"/>
    </row>
    <row r="16530">
      <c r="B16530" s="309"/>
      <c r="C16530" s="309"/>
      <c r="I16530" s="309"/>
      <c r="J16530" s="309"/>
    </row>
    <row r="16531">
      <c r="B16531" s="309"/>
      <c r="C16531" s="309"/>
      <c r="I16531" s="309"/>
      <c r="J16531" s="309"/>
    </row>
    <row r="16532">
      <c r="B16532" s="309"/>
      <c r="C16532" s="309"/>
      <c r="I16532" s="309"/>
      <c r="J16532" s="309"/>
    </row>
    <row r="16533">
      <c r="B16533" s="309"/>
      <c r="C16533" s="309"/>
      <c r="I16533" s="309"/>
      <c r="J16533" s="309"/>
    </row>
    <row r="16534">
      <c r="B16534" s="309"/>
      <c r="C16534" s="309"/>
      <c r="I16534" s="309"/>
      <c r="J16534" s="309"/>
    </row>
    <row r="16535">
      <c r="B16535" s="309"/>
      <c r="C16535" s="309"/>
      <c r="I16535" s="309"/>
      <c r="J16535" s="309"/>
    </row>
    <row r="16536">
      <c r="B16536" s="309"/>
      <c r="C16536" s="309"/>
      <c r="I16536" s="309"/>
      <c r="J16536" s="309"/>
    </row>
    <row r="16537">
      <c r="B16537" s="309"/>
      <c r="C16537" s="309"/>
      <c r="I16537" s="309"/>
      <c r="J16537" s="309"/>
    </row>
    <row r="16538">
      <c r="B16538" s="309"/>
      <c r="C16538" s="309"/>
      <c r="I16538" s="309"/>
      <c r="J16538" s="309"/>
    </row>
    <row r="16539">
      <c r="B16539" s="309"/>
      <c r="C16539" s="309"/>
      <c r="I16539" s="309"/>
      <c r="J16539" s="309"/>
    </row>
    <row r="16540">
      <c r="B16540" s="309"/>
      <c r="C16540" s="309"/>
      <c r="I16540" s="309"/>
      <c r="J16540" s="309"/>
    </row>
    <row r="16541">
      <c r="B16541" s="309"/>
      <c r="C16541" s="309"/>
      <c r="I16541" s="309"/>
      <c r="J16541" s="309"/>
    </row>
    <row r="16542">
      <c r="B16542" s="309"/>
      <c r="C16542" s="309"/>
      <c r="I16542" s="309"/>
      <c r="J16542" s="309"/>
    </row>
    <row r="16543">
      <c r="B16543" s="309"/>
      <c r="C16543" s="309"/>
      <c r="I16543" s="309"/>
      <c r="J16543" s="309"/>
    </row>
    <row r="16544">
      <c r="B16544" s="309"/>
      <c r="C16544" s="309"/>
      <c r="I16544" s="309"/>
      <c r="J16544" s="309"/>
    </row>
    <row r="16545">
      <c r="B16545" s="309"/>
      <c r="C16545" s="309"/>
      <c r="I16545" s="309"/>
      <c r="J16545" s="309"/>
    </row>
    <row r="16546">
      <c r="B16546" s="309"/>
      <c r="C16546" s="309"/>
      <c r="I16546" s="309"/>
      <c r="J16546" s="309"/>
    </row>
    <row r="16547">
      <c r="B16547" s="309"/>
      <c r="C16547" s="309"/>
      <c r="I16547" s="309"/>
      <c r="J16547" s="309"/>
    </row>
    <row r="16548">
      <c r="B16548" s="309"/>
      <c r="C16548" s="309"/>
      <c r="I16548" s="309"/>
      <c r="J16548" s="309"/>
    </row>
    <row r="16549">
      <c r="B16549" s="309"/>
      <c r="C16549" s="309"/>
      <c r="I16549" s="309"/>
      <c r="J16549" s="309"/>
    </row>
    <row r="16550">
      <c r="B16550" s="309"/>
      <c r="C16550" s="309"/>
      <c r="I16550" s="309"/>
      <c r="J16550" s="309"/>
    </row>
    <row r="16551">
      <c r="B16551" s="309"/>
      <c r="C16551" s="309"/>
      <c r="I16551" s="309"/>
      <c r="J16551" s="309"/>
    </row>
    <row r="16552">
      <c r="B16552" s="309"/>
      <c r="C16552" s="309"/>
      <c r="I16552" s="309"/>
      <c r="J16552" s="309"/>
    </row>
    <row r="16553">
      <c r="B16553" s="309"/>
      <c r="C16553" s="309"/>
      <c r="I16553" s="309"/>
      <c r="J16553" s="309"/>
    </row>
    <row r="16554">
      <c r="B16554" s="309"/>
      <c r="C16554" s="309"/>
      <c r="I16554" s="309"/>
      <c r="J16554" s="309"/>
    </row>
    <row r="16555">
      <c r="B16555" s="309"/>
      <c r="C16555" s="309"/>
      <c r="I16555" s="309"/>
      <c r="J16555" s="309"/>
    </row>
    <row r="16556">
      <c r="B16556" s="309"/>
      <c r="C16556" s="309"/>
      <c r="I16556" s="309"/>
      <c r="J16556" s="309"/>
    </row>
    <row r="16557">
      <c r="B16557" s="309"/>
      <c r="C16557" s="309"/>
      <c r="I16557" s="309"/>
      <c r="J16557" s="309"/>
    </row>
    <row r="16558">
      <c r="B16558" s="309"/>
      <c r="C16558" s="309"/>
      <c r="I16558" s="309"/>
      <c r="J16558" s="309"/>
    </row>
    <row r="16559">
      <c r="B16559" s="309"/>
      <c r="C16559" s="309"/>
      <c r="I16559" s="309"/>
      <c r="J16559" s="309"/>
    </row>
    <row r="16560">
      <c r="B16560" s="309"/>
      <c r="C16560" s="309"/>
      <c r="I16560" s="309"/>
      <c r="J16560" s="309"/>
    </row>
    <row r="16561">
      <c r="B16561" s="309"/>
      <c r="C16561" s="309"/>
      <c r="I16561" s="309"/>
      <c r="J16561" s="309"/>
    </row>
    <row r="16562">
      <c r="B16562" s="309"/>
      <c r="C16562" s="309"/>
      <c r="I16562" s="309"/>
      <c r="J16562" s="309"/>
    </row>
    <row r="16563">
      <c r="B16563" s="309"/>
      <c r="C16563" s="309"/>
      <c r="I16563" s="309"/>
      <c r="J16563" s="309"/>
    </row>
    <row r="16564">
      <c r="B16564" s="309"/>
      <c r="C16564" s="309"/>
      <c r="I16564" s="309"/>
      <c r="J16564" s="309"/>
    </row>
    <row r="16565">
      <c r="B16565" s="309"/>
      <c r="C16565" s="309"/>
      <c r="I16565" s="309"/>
      <c r="J16565" s="309"/>
    </row>
    <row r="16566">
      <c r="B16566" s="309"/>
      <c r="C16566" s="309"/>
      <c r="I16566" s="309"/>
      <c r="J16566" s="309"/>
    </row>
    <row r="16567">
      <c r="B16567" s="309"/>
      <c r="C16567" s="309"/>
      <c r="I16567" s="309"/>
      <c r="J16567" s="309"/>
    </row>
    <row r="16568">
      <c r="B16568" s="309"/>
      <c r="C16568" s="309"/>
      <c r="I16568" s="309"/>
      <c r="J16568" s="309"/>
    </row>
    <row r="16569">
      <c r="B16569" s="309"/>
      <c r="C16569" s="309"/>
      <c r="I16569" s="309"/>
      <c r="J16569" s="309"/>
    </row>
    <row r="16570">
      <c r="B16570" s="309"/>
      <c r="C16570" s="309"/>
      <c r="I16570" s="309"/>
      <c r="J16570" s="309"/>
    </row>
    <row r="16571">
      <c r="B16571" s="309"/>
      <c r="C16571" s="309"/>
      <c r="I16571" s="309"/>
      <c r="J16571" s="309"/>
    </row>
    <row r="16572">
      <c r="B16572" s="309"/>
      <c r="C16572" s="309"/>
      <c r="I16572" s="309"/>
      <c r="J16572" s="309"/>
    </row>
    <row r="16573">
      <c r="B16573" s="309"/>
      <c r="C16573" s="309"/>
      <c r="I16573" s="309"/>
      <c r="J16573" s="309"/>
    </row>
    <row r="16574">
      <c r="B16574" s="309"/>
      <c r="C16574" s="309"/>
      <c r="I16574" s="309"/>
      <c r="J16574" s="309"/>
    </row>
    <row r="16575">
      <c r="B16575" s="309"/>
      <c r="C16575" s="309"/>
      <c r="I16575" s="309"/>
      <c r="J16575" s="309"/>
    </row>
    <row r="16576">
      <c r="B16576" s="309"/>
      <c r="C16576" s="309"/>
      <c r="I16576" s="309"/>
      <c r="J16576" s="309"/>
    </row>
    <row r="16577">
      <c r="B16577" s="309"/>
      <c r="C16577" s="309"/>
      <c r="I16577" s="309"/>
      <c r="J16577" s="309"/>
    </row>
    <row r="16578">
      <c r="B16578" s="309"/>
      <c r="C16578" s="309"/>
      <c r="I16578" s="309"/>
      <c r="J16578" s="309"/>
    </row>
    <row r="16579">
      <c r="B16579" s="309"/>
      <c r="C16579" s="309"/>
      <c r="I16579" s="309"/>
      <c r="J16579" s="309"/>
    </row>
    <row r="16580">
      <c r="B16580" s="309"/>
      <c r="C16580" s="309"/>
      <c r="I16580" s="309"/>
      <c r="J16580" s="309"/>
    </row>
    <row r="16581">
      <c r="B16581" s="309"/>
      <c r="C16581" s="309"/>
      <c r="I16581" s="309"/>
      <c r="J16581" s="309"/>
    </row>
    <row r="16582">
      <c r="B16582" s="309"/>
      <c r="C16582" s="309"/>
      <c r="I16582" s="309"/>
      <c r="J16582" s="309"/>
    </row>
    <row r="16583">
      <c r="B16583" s="309"/>
      <c r="C16583" s="309"/>
      <c r="I16583" s="309"/>
      <c r="J16583" s="309"/>
    </row>
    <row r="16584">
      <c r="B16584" s="309"/>
      <c r="C16584" s="309"/>
      <c r="I16584" s="309"/>
      <c r="J16584" s="309"/>
    </row>
    <row r="16585">
      <c r="B16585" s="309"/>
      <c r="C16585" s="309"/>
      <c r="I16585" s="309"/>
      <c r="J16585" s="309"/>
    </row>
    <row r="16586">
      <c r="B16586" s="309"/>
      <c r="C16586" s="309"/>
      <c r="I16586" s="309"/>
      <c r="J16586" s="309"/>
    </row>
    <row r="16587">
      <c r="B16587" s="309"/>
      <c r="C16587" s="309"/>
      <c r="I16587" s="309"/>
      <c r="J16587" s="309"/>
    </row>
    <row r="16588">
      <c r="B16588" s="309"/>
      <c r="C16588" s="309"/>
      <c r="I16588" s="309"/>
      <c r="J16588" s="309"/>
    </row>
    <row r="16589">
      <c r="B16589" s="309"/>
      <c r="C16589" s="309"/>
      <c r="I16589" s="309"/>
      <c r="J16589" s="309"/>
    </row>
    <row r="16590">
      <c r="B16590" s="309"/>
      <c r="C16590" s="309"/>
      <c r="I16590" s="309"/>
      <c r="J16590" s="309"/>
    </row>
    <row r="16591">
      <c r="B16591" s="309"/>
      <c r="C16591" s="309"/>
      <c r="I16591" s="309"/>
      <c r="J16591" s="309"/>
    </row>
    <row r="16592">
      <c r="B16592" s="309"/>
      <c r="C16592" s="309"/>
      <c r="I16592" s="309"/>
      <c r="J16592" s="309"/>
    </row>
    <row r="16593">
      <c r="B16593" s="309"/>
      <c r="C16593" s="309"/>
      <c r="I16593" s="309"/>
      <c r="J16593" s="309"/>
    </row>
    <row r="16594">
      <c r="B16594" s="309"/>
      <c r="C16594" s="309"/>
      <c r="I16594" s="309"/>
      <c r="J16594" s="309"/>
    </row>
    <row r="16595">
      <c r="B16595" s="309"/>
      <c r="C16595" s="309"/>
      <c r="I16595" s="309"/>
      <c r="J16595" s="309"/>
    </row>
    <row r="16596">
      <c r="B16596" s="309"/>
      <c r="C16596" s="309"/>
      <c r="I16596" s="309"/>
      <c r="J16596" s="309"/>
    </row>
    <row r="16597">
      <c r="B16597" s="309"/>
      <c r="C16597" s="309"/>
      <c r="I16597" s="309"/>
      <c r="J16597" s="309"/>
    </row>
    <row r="16598">
      <c r="B16598" s="309"/>
      <c r="C16598" s="309"/>
      <c r="I16598" s="309"/>
      <c r="J16598" s="309"/>
    </row>
    <row r="16599">
      <c r="B16599" s="309"/>
      <c r="C16599" s="309"/>
      <c r="I16599" s="309"/>
      <c r="J16599" s="309"/>
    </row>
    <row r="16600">
      <c r="B16600" s="309"/>
      <c r="C16600" s="309"/>
      <c r="I16600" s="309"/>
      <c r="J16600" s="309"/>
    </row>
    <row r="16601">
      <c r="B16601" s="309"/>
      <c r="C16601" s="309"/>
      <c r="I16601" s="309"/>
      <c r="J16601" s="309"/>
    </row>
    <row r="16602">
      <c r="B16602" s="309"/>
      <c r="C16602" s="309"/>
      <c r="I16602" s="309"/>
      <c r="J16602" s="309"/>
    </row>
    <row r="16603">
      <c r="B16603" s="309"/>
      <c r="C16603" s="309"/>
      <c r="I16603" s="309"/>
      <c r="J16603" s="309"/>
    </row>
    <row r="16604">
      <c r="B16604" s="309"/>
      <c r="C16604" s="309"/>
      <c r="I16604" s="309"/>
      <c r="J16604" s="309"/>
    </row>
    <row r="16605">
      <c r="B16605" s="309"/>
      <c r="C16605" s="309"/>
      <c r="I16605" s="309"/>
      <c r="J16605" s="309"/>
    </row>
    <row r="16606">
      <c r="B16606" s="309"/>
      <c r="C16606" s="309"/>
      <c r="I16606" s="309"/>
      <c r="J16606" s="309"/>
    </row>
    <row r="16607">
      <c r="B16607" s="309"/>
      <c r="C16607" s="309"/>
      <c r="I16607" s="309"/>
      <c r="J16607" s="309"/>
    </row>
    <row r="16608">
      <c r="B16608" s="309"/>
      <c r="C16608" s="309"/>
      <c r="I16608" s="309"/>
      <c r="J16608" s="309"/>
    </row>
    <row r="16609">
      <c r="B16609" s="309"/>
      <c r="C16609" s="309"/>
      <c r="I16609" s="309"/>
      <c r="J16609" s="309"/>
    </row>
    <row r="16610">
      <c r="B16610" s="309"/>
      <c r="C16610" s="309"/>
      <c r="I16610" s="309"/>
      <c r="J16610" s="309"/>
    </row>
    <row r="16611">
      <c r="B16611" s="309"/>
      <c r="C16611" s="309"/>
      <c r="I16611" s="309"/>
      <c r="J16611" s="309"/>
    </row>
    <row r="16612">
      <c r="B16612" s="309"/>
      <c r="C16612" s="309"/>
      <c r="I16612" s="309"/>
      <c r="J16612" s="309"/>
    </row>
    <row r="16613">
      <c r="B16613" s="309"/>
      <c r="C16613" s="309"/>
      <c r="I16613" s="309"/>
      <c r="J16613" s="309"/>
    </row>
    <row r="16614">
      <c r="B16614" s="309"/>
      <c r="C16614" s="309"/>
      <c r="I16614" s="309"/>
      <c r="J16614" s="309"/>
    </row>
    <row r="16615">
      <c r="B16615" s="309"/>
      <c r="C16615" s="309"/>
      <c r="I16615" s="309"/>
      <c r="J16615" s="309"/>
    </row>
    <row r="16616">
      <c r="B16616" s="309"/>
      <c r="C16616" s="309"/>
      <c r="I16616" s="309"/>
      <c r="J16616" s="309"/>
    </row>
    <row r="16617">
      <c r="B16617" s="309"/>
      <c r="C16617" s="309"/>
      <c r="I16617" s="309"/>
      <c r="J16617" s="309"/>
    </row>
    <row r="16618">
      <c r="B16618" s="309"/>
      <c r="C16618" s="309"/>
      <c r="I16618" s="309"/>
      <c r="J16618" s="309"/>
    </row>
    <row r="16619">
      <c r="B16619" s="309"/>
      <c r="C16619" s="309"/>
      <c r="I16619" s="309"/>
      <c r="J16619" s="309"/>
    </row>
    <row r="16620">
      <c r="B16620" s="309"/>
      <c r="C16620" s="309"/>
      <c r="I16620" s="309"/>
      <c r="J16620" s="309"/>
    </row>
    <row r="16621">
      <c r="B16621" s="309"/>
      <c r="C16621" s="309"/>
      <c r="I16621" s="309"/>
      <c r="J16621" s="309"/>
    </row>
    <row r="16622">
      <c r="B16622" s="309"/>
      <c r="C16622" s="309"/>
      <c r="I16622" s="309"/>
      <c r="J16622" s="309"/>
    </row>
    <row r="16623">
      <c r="B16623" s="309"/>
      <c r="C16623" s="309"/>
      <c r="I16623" s="309"/>
      <c r="J16623" s="309"/>
    </row>
    <row r="16624">
      <c r="B16624" s="309"/>
      <c r="C16624" s="309"/>
      <c r="I16624" s="309"/>
      <c r="J16624" s="309"/>
    </row>
    <row r="16625">
      <c r="B16625" s="309"/>
      <c r="C16625" s="309"/>
      <c r="I16625" s="309"/>
      <c r="J16625" s="309"/>
    </row>
    <row r="16626">
      <c r="B16626" s="309"/>
      <c r="C16626" s="309"/>
      <c r="I16626" s="309"/>
      <c r="J16626" s="309"/>
    </row>
    <row r="16627">
      <c r="B16627" s="309"/>
      <c r="C16627" s="309"/>
      <c r="I16627" s="309"/>
      <c r="J16627" s="309"/>
    </row>
    <row r="16628">
      <c r="B16628" s="309"/>
      <c r="C16628" s="309"/>
      <c r="I16628" s="309"/>
      <c r="J16628" s="309"/>
    </row>
    <row r="16629">
      <c r="B16629" s="309"/>
      <c r="C16629" s="309"/>
      <c r="I16629" s="309"/>
      <c r="J16629" s="309"/>
    </row>
    <row r="16630">
      <c r="B16630" s="309"/>
      <c r="C16630" s="309"/>
      <c r="I16630" s="309"/>
      <c r="J16630" s="309"/>
    </row>
    <row r="16631">
      <c r="B16631" s="309"/>
      <c r="C16631" s="309"/>
      <c r="I16631" s="309"/>
      <c r="J16631" s="309"/>
    </row>
    <row r="16632">
      <c r="B16632" s="309"/>
      <c r="C16632" s="309"/>
      <c r="I16632" s="309"/>
      <c r="J16632" s="309"/>
    </row>
    <row r="16633">
      <c r="B16633" s="309"/>
      <c r="C16633" s="309"/>
      <c r="I16633" s="309"/>
      <c r="J16633" s="309"/>
    </row>
    <row r="16634">
      <c r="B16634" s="309"/>
      <c r="C16634" s="309"/>
      <c r="I16634" s="309"/>
      <c r="J16634" s="309"/>
    </row>
    <row r="16635">
      <c r="B16635" s="309"/>
      <c r="C16635" s="309"/>
      <c r="I16635" s="309"/>
      <c r="J16635" s="309"/>
    </row>
    <row r="16636">
      <c r="B16636" s="309"/>
      <c r="C16636" s="309"/>
      <c r="I16636" s="309"/>
      <c r="J16636" s="309"/>
    </row>
    <row r="16637">
      <c r="B16637" s="309"/>
      <c r="C16637" s="309"/>
      <c r="I16637" s="309"/>
      <c r="J16637" s="309"/>
    </row>
    <row r="16638">
      <c r="B16638" s="309"/>
      <c r="C16638" s="309"/>
      <c r="I16638" s="309"/>
      <c r="J16638" s="309"/>
    </row>
    <row r="16639">
      <c r="B16639" s="309"/>
      <c r="C16639" s="309"/>
      <c r="I16639" s="309"/>
      <c r="J16639" s="309"/>
    </row>
    <row r="16640">
      <c r="B16640" s="309"/>
      <c r="C16640" s="309"/>
      <c r="I16640" s="309"/>
      <c r="J16640" s="309"/>
    </row>
    <row r="16641">
      <c r="B16641" s="309"/>
      <c r="C16641" s="309"/>
      <c r="I16641" s="309"/>
      <c r="J16641" s="309"/>
    </row>
    <row r="16642">
      <c r="B16642" s="309"/>
      <c r="C16642" s="309"/>
      <c r="I16642" s="309"/>
      <c r="J16642" s="309"/>
    </row>
    <row r="16643">
      <c r="B16643" s="309"/>
      <c r="C16643" s="309"/>
      <c r="I16643" s="309"/>
      <c r="J16643" s="309"/>
    </row>
    <row r="16644">
      <c r="B16644" s="309"/>
      <c r="C16644" s="309"/>
      <c r="I16644" s="309"/>
      <c r="J16644" s="309"/>
    </row>
    <row r="16645">
      <c r="B16645" s="309"/>
      <c r="C16645" s="309"/>
      <c r="I16645" s="309"/>
      <c r="J16645" s="309"/>
    </row>
    <row r="16646">
      <c r="B16646" s="309"/>
      <c r="C16646" s="309"/>
      <c r="I16646" s="309"/>
      <c r="J16646" s="309"/>
    </row>
    <row r="16647">
      <c r="B16647" s="309"/>
      <c r="C16647" s="309"/>
      <c r="I16647" s="309"/>
      <c r="J16647" s="309"/>
    </row>
    <row r="16648">
      <c r="B16648" s="309"/>
      <c r="C16648" s="309"/>
      <c r="I16648" s="309"/>
      <c r="J16648" s="309"/>
    </row>
    <row r="16649">
      <c r="B16649" s="309"/>
      <c r="C16649" s="309"/>
      <c r="I16649" s="309"/>
      <c r="J16649" s="309"/>
    </row>
    <row r="16650">
      <c r="B16650" s="309"/>
      <c r="C16650" s="309"/>
      <c r="I16650" s="309"/>
      <c r="J16650" s="309"/>
    </row>
    <row r="16651">
      <c r="B16651" s="309"/>
      <c r="C16651" s="309"/>
      <c r="I16651" s="309"/>
      <c r="J16651" s="309"/>
    </row>
    <row r="16652">
      <c r="B16652" s="309"/>
      <c r="C16652" s="309"/>
      <c r="I16652" s="309"/>
      <c r="J16652" s="309"/>
    </row>
    <row r="16653">
      <c r="B16653" s="309"/>
      <c r="C16653" s="309"/>
      <c r="I16653" s="309"/>
      <c r="J16653" s="309"/>
    </row>
    <row r="16654">
      <c r="B16654" s="309"/>
      <c r="C16654" s="309"/>
      <c r="I16654" s="309"/>
      <c r="J16654" s="309"/>
    </row>
    <row r="16655">
      <c r="B16655" s="309"/>
      <c r="C16655" s="309"/>
      <c r="I16655" s="309"/>
      <c r="J16655" s="309"/>
    </row>
    <row r="16656">
      <c r="B16656" s="309"/>
      <c r="C16656" s="309"/>
      <c r="I16656" s="309"/>
      <c r="J16656" s="309"/>
    </row>
    <row r="16657">
      <c r="B16657" s="309"/>
      <c r="C16657" s="309"/>
      <c r="I16657" s="309"/>
      <c r="J16657" s="309"/>
    </row>
    <row r="16658">
      <c r="B16658" s="309"/>
      <c r="C16658" s="309"/>
      <c r="I16658" s="309"/>
      <c r="J16658" s="309"/>
    </row>
    <row r="16659">
      <c r="B16659" s="309"/>
      <c r="C16659" s="309"/>
      <c r="I16659" s="309"/>
      <c r="J16659" s="309"/>
    </row>
    <row r="16660">
      <c r="B16660" s="309"/>
      <c r="C16660" s="309"/>
      <c r="I16660" s="309"/>
      <c r="J16660" s="309"/>
    </row>
    <row r="16661">
      <c r="B16661" s="309"/>
      <c r="C16661" s="309"/>
      <c r="I16661" s="309"/>
      <c r="J16661" s="309"/>
    </row>
    <row r="16662">
      <c r="B16662" s="309"/>
      <c r="C16662" s="309"/>
      <c r="I16662" s="309"/>
      <c r="J16662" s="309"/>
    </row>
    <row r="16663">
      <c r="B16663" s="309"/>
      <c r="C16663" s="309"/>
      <c r="I16663" s="309"/>
      <c r="J16663" s="309"/>
    </row>
    <row r="16664">
      <c r="B16664" s="309"/>
      <c r="C16664" s="309"/>
      <c r="I16664" s="309"/>
      <c r="J16664" s="309"/>
    </row>
    <row r="16665">
      <c r="B16665" s="309"/>
      <c r="C16665" s="309"/>
      <c r="I16665" s="309"/>
      <c r="J16665" s="309"/>
    </row>
    <row r="16666">
      <c r="B16666" s="309"/>
      <c r="C16666" s="309"/>
      <c r="I16666" s="309"/>
      <c r="J16666" s="309"/>
    </row>
    <row r="16667">
      <c r="B16667" s="309"/>
      <c r="C16667" s="309"/>
      <c r="I16667" s="309"/>
      <c r="J16667" s="309"/>
    </row>
    <row r="16668">
      <c r="B16668" s="309"/>
      <c r="C16668" s="309"/>
      <c r="I16668" s="309"/>
      <c r="J16668" s="309"/>
    </row>
    <row r="16669">
      <c r="B16669" s="309"/>
      <c r="C16669" s="309"/>
      <c r="I16669" s="309"/>
      <c r="J16669" s="309"/>
    </row>
    <row r="16670">
      <c r="B16670" s="309"/>
      <c r="C16670" s="309"/>
      <c r="I16670" s="309"/>
      <c r="J16670" s="309"/>
    </row>
    <row r="16671">
      <c r="B16671" s="309"/>
      <c r="C16671" s="309"/>
      <c r="I16671" s="309"/>
      <c r="J16671" s="309"/>
    </row>
    <row r="16672">
      <c r="B16672" s="309"/>
      <c r="C16672" s="309"/>
      <c r="I16672" s="309"/>
      <c r="J16672" s="309"/>
    </row>
    <row r="16673">
      <c r="B16673" s="309"/>
      <c r="C16673" s="309"/>
      <c r="I16673" s="309"/>
      <c r="J16673" s="309"/>
    </row>
    <row r="16674">
      <c r="B16674" s="309"/>
      <c r="C16674" s="309"/>
      <c r="I16674" s="309"/>
      <c r="J16674" s="309"/>
    </row>
    <row r="16675">
      <c r="B16675" s="309"/>
      <c r="C16675" s="309"/>
      <c r="I16675" s="309"/>
      <c r="J16675" s="309"/>
    </row>
    <row r="16676">
      <c r="B16676" s="309"/>
      <c r="C16676" s="309"/>
      <c r="I16676" s="309"/>
      <c r="J16676" s="309"/>
    </row>
    <row r="16677">
      <c r="B16677" s="309"/>
      <c r="C16677" s="309"/>
      <c r="I16677" s="309"/>
      <c r="J16677" s="309"/>
    </row>
    <row r="16678">
      <c r="B16678" s="309"/>
      <c r="C16678" s="309"/>
      <c r="I16678" s="309"/>
      <c r="J16678" s="309"/>
    </row>
    <row r="16679">
      <c r="B16679" s="309"/>
      <c r="C16679" s="309"/>
      <c r="I16679" s="309"/>
      <c r="J16679" s="309"/>
    </row>
    <row r="16680">
      <c r="B16680" s="309"/>
      <c r="C16680" s="309"/>
      <c r="I16680" s="309"/>
      <c r="J16680" s="309"/>
    </row>
    <row r="16681">
      <c r="B16681" s="309"/>
      <c r="C16681" s="309"/>
      <c r="I16681" s="309"/>
      <c r="J16681" s="309"/>
    </row>
    <row r="16682">
      <c r="B16682" s="309"/>
      <c r="C16682" s="309"/>
      <c r="I16682" s="309"/>
      <c r="J16682" s="309"/>
    </row>
    <row r="16683">
      <c r="B16683" s="309"/>
      <c r="C16683" s="309"/>
      <c r="I16683" s="309"/>
      <c r="J16683" s="309"/>
    </row>
    <row r="16684">
      <c r="B16684" s="309"/>
      <c r="C16684" s="309"/>
      <c r="I16684" s="309"/>
      <c r="J16684" s="309"/>
    </row>
    <row r="16685">
      <c r="B16685" s="309"/>
      <c r="C16685" s="309"/>
      <c r="I16685" s="309"/>
      <c r="J16685" s="309"/>
    </row>
    <row r="16686">
      <c r="B16686" s="309"/>
      <c r="C16686" s="309"/>
      <c r="I16686" s="309"/>
      <c r="J16686" s="309"/>
    </row>
    <row r="16687">
      <c r="B16687" s="309"/>
      <c r="C16687" s="309"/>
      <c r="I16687" s="309"/>
      <c r="J16687" s="309"/>
    </row>
    <row r="16688">
      <c r="B16688" s="309"/>
      <c r="C16688" s="309"/>
      <c r="I16688" s="309"/>
      <c r="J16688" s="309"/>
    </row>
    <row r="16689">
      <c r="B16689" s="309"/>
      <c r="C16689" s="309"/>
      <c r="I16689" s="309"/>
      <c r="J16689" s="309"/>
    </row>
    <row r="16690">
      <c r="B16690" s="309"/>
      <c r="C16690" s="309"/>
      <c r="I16690" s="309"/>
      <c r="J16690" s="309"/>
    </row>
    <row r="16691">
      <c r="B16691" s="309"/>
      <c r="C16691" s="309"/>
      <c r="I16691" s="309"/>
      <c r="J16691" s="309"/>
    </row>
    <row r="16692">
      <c r="B16692" s="309"/>
      <c r="C16692" s="309"/>
      <c r="I16692" s="309"/>
      <c r="J16692" s="309"/>
    </row>
    <row r="16693">
      <c r="B16693" s="309"/>
      <c r="C16693" s="309"/>
      <c r="I16693" s="309"/>
      <c r="J16693" s="309"/>
    </row>
    <row r="16694">
      <c r="B16694" s="309"/>
      <c r="C16694" s="309"/>
      <c r="I16694" s="309"/>
      <c r="J16694" s="309"/>
    </row>
    <row r="16695">
      <c r="B16695" s="309"/>
      <c r="C16695" s="309"/>
      <c r="I16695" s="309"/>
      <c r="J16695" s="309"/>
    </row>
    <row r="16696">
      <c r="B16696" s="309"/>
      <c r="C16696" s="309"/>
      <c r="I16696" s="309"/>
      <c r="J16696" s="309"/>
    </row>
    <row r="16697">
      <c r="B16697" s="309"/>
      <c r="C16697" s="309"/>
      <c r="I16697" s="309"/>
      <c r="J16697" s="309"/>
    </row>
    <row r="16698">
      <c r="B16698" s="309"/>
      <c r="C16698" s="309"/>
      <c r="I16698" s="309"/>
      <c r="J16698" s="309"/>
    </row>
    <row r="16699">
      <c r="B16699" s="309"/>
      <c r="C16699" s="309"/>
      <c r="I16699" s="309"/>
      <c r="J16699" s="309"/>
    </row>
    <row r="16700">
      <c r="B16700" s="309"/>
      <c r="C16700" s="309"/>
      <c r="I16700" s="309"/>
      <c r="J16700" s="309"/>
    </row>
    <row r="16701">
      <c r="B16701" s="309"/>
      <c r="C16701" s="309"/>
      <c r="I16701" s="309"/>
      <c r="J16701" s="309"/>
    </row>
    <row r="16702">
      <c r="B16702" s="309"/>
      <c r="C16702" s="309"/>
      <c r="I16702" s="309"/>
      <c r="J16702" s="309"/>
    </row>
    <row r="16703">
      <c r="B16703" s="309"/>
      <c r="C16703" s="309"/>
      <c r="I16703" s="309"/>
      <c r="J16703" s="309"/>
    </row>
    <row r="16704">
      <c r="B16704" s="309"/>
      <c r="C16704" s="309"/>
      <c r="I16704" s="309"/>
      <c r="J16704" s="309"/>
    </row>
    <row r="16705">
      <c r="B16705" s="309"/>
      <c r="C16705" s="309"/>
      <c r="I16705" s="309"/>
      <c r="J16705" s="309"/>
    </row>
    <row r="16706">
      <c r="B16706" s="309"/>
      <c r="C16706" s="309"/>
      <c r="I16706" s="309"/>
      <c r="J16706" s="309"/>
    </row>
    <row r="16707">
      <c r="B16707" s="309"/>
      <c r="C16707" s="309"/>
      <c r="I16707" s="309"/>
      <c r="J16707" s="309"/>
    </row>
    <row r="16708">
      <c r="B16708" s="309"/>
      <c r="C16708" s="309"/>
      <c r="I16708" s="309"/>
      <c r="J16708" s="309"/>
    </row>
    <row r="16709">
      <c r="B16709" s="309"/>
      <c r="C16709" s="309"/>
      <c r="I16709" s="309"/>
      <c r="J16709" s="309"/>
    </row>
    <row r="16710">
      <c r="B16710" s="309"/>
      <c r="C16710" s="309"/>
      <c r="I16710" s="309"/>
      <c r="J16710" s="309"/>
    </row>
    <row r="16711">
      <c r="B16711" s="309"/>
      <c r="C16711" s="309"/>
      <c r="I16711" s="309"/>
      <c r="J16711" s="309"/>
    </row>
    <row r="16712">
      <c r="B16712" s="309"/>
      <c r="C16712" s="309"/>
      <c r="I16712" s="309"/>
      <c r="J16712" s="309"/>
    </row>
    <row r="16713">
      <c r="B16713" s="309"/>
      <c r="C16713" s="309"/>
      <c r="I16713" s="309"/>
      <c r="J16713" s="309"/>
    </row>
    <row r="16714">
      <c r="B16714" s="309"/>
      <c r="C16714" s="309"/>
      <c r="I16714" s="309"/>
      <c r="J16714" s="309"/>
    </row>
    <row r="16715">
      <c r="B16715" s="309"/>
      <c r="C16715" s="309"/>
      <c r="I16715" s="309"/>
      <c r="J16715" s="309"/>
    </row>
    <row r="16716">
      <c r="B16716" s="309"/>
      <c r="C16716" s="309"/>
      <c r="I16716" s="309"/>
      <c r="J16716" s="309"/>
    </row>
    <row r="16717">
      <c r="B16717" s="309"/>
      <c r="C16717" s="309"/>
      <c r="I16717" s="309"/>
      <c r="J16717" s="309"/>
    </row>
    <row r="16718">
      <c r="B16718" s="309"/>
      <c r="C16718" s="309"/>
      <c r="I16718" s="309"/>
      <c r="J16718" s="309"/>
    </row>
    <row r="16719">
      <c r="B16719" s="309"/>
      <c r="C16719" s="309"/>
      <c r="I16719" s="309"/>
      <c r="J16719" s="309"/>
    </row>
    <row r="16720">
      <c r="B16720" s="309"/>
      <c r="C16720" s="309"/>
      <c r="I16720" s="309"/>
      <c r="J16720" s="309"/>
    </row>
    <row r="16721">
      <c r="B16721" s="309"/>
      <c r="C16721" s="309"/>
      <c r="I16721" s="309"/>
      <c r="J16721" s="309"/>
    </row>
    <row r="16722">
      <c r="B16722" s="309"/>
      <c r="C16722" s="309"/>
      <c r="I16722" s="309"/>
      <c r="J16722" s="309"/>
    </row>
    <row r="16723">
      <c r="B16723" s="309"/>
      <c r="C16723" s="309"/>
      <c r="I16723" s="309"/>
      <c r="J16723" s="309"/>
    </row>
    <row r="16724">
      <c r="B16724" s="309"/>
      <c r="C16724" s="309"/>
      <c r="I16724" s="309"/>
      <c r="J16724" s="309"/>
    </row>
    <row r="16725">
      <c r="B16725" s="309"/>
      <c r="C16725" s="309"/>
      <c r="I16725" s="309"/>
      <c r="J16725" s="309"/>
    </row>
    <row r="16726">
      <c r="B16726" s="309"/>
      <c r="C16726" s="309"/>
      <c r="I16726" s="309"/>
      <c r="J16726" s="309"/>
    </row>
    <row r="16727">
      <c r="B16727" s="309"/>
      <c r="C16727" s="309"/>
      <c r="I16727" s="309"/>
      <c r="J16727" s="309"/>
    </row>
    <row r="16728">
      <c r="B16728" s="309"/>
      <c r="C16728" s="309"/>
      <c r="I16728" s="309"/>
      <c r="J16728" s="309"/>
    </row>
    <row r="16729">
      <c r="B16729" s="309"/>
      <c r="C16729" s="309"/>
      <c r="I16729" s="309"/>
      <c r="J16729" s="309"/>
    </row>
    <row r="16730">
      <c r="B16730" s="309"/>
      <c r="C16730" s="309"/>
      <c r="I16730" s="309"/>
      <c r="J16730" s="309"/>
    </row>
    <row r="16731">
      <c r="B16731" s="309"/>
      <c r="C16731" s="309"/>
      <c r="I16731" s="309"/>
      <c r="J16731" s="309"/>
    </row>
    <row r="16732">
      <c r="B16732" s="309"/>
      <c r="C16732" s="309"/>
      <c r="I16732" s="309"/>
      <c r="J16732" s="309"/>
    </row>
    <row r="16733">
      <c r="B16733" s="309"/>
      <c r="C16733" s="309"/>
      <c r="I16733" s="309"/>
      <c r="J16733" s="309"/>
    </row>
    <row r="16734">
      <c r="B16734" s="309"/>
      <c r="C16734" s="309"/>
      <c r="I16734" s="309"/>
      <c r="J16734" s="309"/>
    </row>
    <row r="16735">
      <c r="B16735" s="309"/>
      <c r="C16735" s="309"/>
      <c r="I16735" s="309"/>
      <c r="J16735" s="309"/>
    </row>
    <row r="16736">
      <c r="B16736" s="309"/>
      <c r="C16736" s="309"/>
      <c r="I16736" s="309"/>
      <c r="J16736" s="309"/>
    </row>
    <row r="16737">
      <c r="B16737" s="309"/>
      <c r="C16737" s="309"/>
      <c r="I16737" s="309"/>
      <c r="J16737" s="309"/>
    </row>
    <row r="16738">
      <c r="B16738" s="309"/>
      <c r="C16738" s="309"/>
      <c r="I16738" s="309"/>
      <c r="J16738" s="309"/>
    </row>
    <row r="16739">
      <c r="B16739" s="309"/>
      <c r="C16739" s="309"/>
      <c r="I16739" s="309"/>
      <c r="J16739" s="309"/>
    </row>
    <row r="16740">
      <c r="B16740" s="309"/>
      <c r="C16740" s="309"/>
      <c r="I16740" s="309"/>
      <c r="J16740" s="309"/>
    </row>
    <row r="16741">
      <c r="B16741" s="309"/>
      <c r="C16741" s="309"/>
      <c r="I16741" s="309"/>
      <c r="J16741" s="309"/>
    </row>
    <row r="16742">
      <c r="B16742" s="309"/>
      <c r="C16742" s="309"/>
      <c r="I16742" s="309"/>
      <c r="J16742" s="309"/>
    </row>
    <row r="16743">
      <c r="B16743" s="309"/>
      <c r="C16743" s="309"/>
      <c r="I16743" s="309"/>
      <c r="J16743" s="309"/>
    </row>
    <row r="16744">
      <c r="B16744" s="309"/>
      <c r="C16744" s="309"/>
      <c r="I16744" s="309"/>
      <c r="J16744" s="309"/>
    </row>
    <row r="16745">
      <c r="B16745" s="309"/>
      <c r="C16745" s="309"/>
      <c r="I16745" s="309"/>
      <c r="J16745" s="309"/>
    </row>
    <row r="16746">
      <c r="B16746" s="309"/>
      <c r="C16746" s="309"/>
      <c r="I16746" s="309"/>
      <c r="J16746" s="309"/>
    </row>
    <row r="16747">
      <c r="B16747" s="309"/>
      <c r="C16747" s="309"/>
      <c r="I16747" s="309"/>
      <c r="J16747" s="309"/>
    </row>
    <row r="16748">
      <c r="B16748" s="309"/>
      <c r="C16748" s="309"/>
      <c r="I16748" s="309"/>
      <c r="J16748" s="309"/>
    </row>
    <row r="16749">
      <c r="B16749" s="309"/>
      <c r="C16749" s="309"/>
      <c r="I16749" s="309"/>
      <c r="J16749" s="309"/>
    </row>
    <row r="16750">
      <c r="B16750" s="309"/>
      <c r="C16750" s="309"/>
      <c r="I16750" s="309"/>
      <c r="J16750" s="309"/>
    </row>
    <row r="16751">
      <c r="B16751" s="309"/>
      <c r="C16751" s="309"/>
      <c r="I16751" s="309"/>
      <c r="J16751" s="309"/>
    </row>
    <row r="16752">
      <c r="B16752" s="309"/>
      <c r="C16752" s="309"/>
      <c r="I16752" s="309"/>
      <c r="J16752" s="309"/>
    </row>
    <row r="16753">
      <c r="B16753" s="309"/>
      <c r="C16753" s="309"/>
      <c r="I16753" s="309"/>
      <c r="J16753" s="309"/>
    </row>
    <row r="16754">
      <c r="B16754" s="309"/>
      <c r="C16754" s="309"/>
      <c r="I16754" s="309"/>
      <c r="J16754" s="309"/>
    </row>
    <row r="16755">
      <c r="B16755" s="309"/>
      <c r="C16755" s="309"/>
      <c r="I16755" s="309"/>
      <c r="J16755" s="309"/>
    </row>
    <row r="16756">
      <c r="B16756" s="309"/>
      <c r="C16756" s="309"/>
      <c r="I16756" s="309"/>
      <c r="J16756" s="309"/>
    </row>
    <row r="16757">
      <c r="B16757" s="309"/>
      <c r="C16757" s="309"/>
      <c r="I16757" s="309"/>
      <c r="J16757" s="309"/>
    </row>
    <row r="16758">
      <c r="B16758" s="309"/>
      <c r="C16758" s="309"/>
      <c r="I16758" s="309"/>
      <c r="J16758" s="309"/>
    </row>
    <row r="16759">
      <c r="B16759" s="309"/>
      <c r="C16759" s="309"/>
      <c r="I16759" s="309"/>
      <c r="J16759" s="309"/>
    </row>
    <row r="16760">
      <c r="B16760" s="309"/>
      <c r="C16760" s="309"/>
      <c r="I16760" s="309"/>
      <c r="J16760" s="309"/>
    </row>
    <row r="16761">
      <c r="B16761" s="309"/>
      <c r="C16761" s="309"/>
      <c r="I16761" s="309"/>
      <c r="J16761" s="309"/>
    </row>
    <row r="16762">
      <c r="B16762" s="309"/>
      <c r="C16762" s="309"/>
      <c r="I16762" s="309"/>
      <c r="J16762" s="309"/>
    </row>
    <row r="16763">
      <c r="B16763" s="309"/>
      <c r="C16763" s="309"/>
      <c r="I16763" s="309"/>
      <c r="J16763" s="309"/>
    </row>
    <row r="16764">
      <c r="B16764" s="309"/>
      <c r="C16764" s="309"/>
      <c r="I16764" s="309"/>
      <c r="J16764" s="309"/>
    </row>
    <row r="16765">
      <c r="B16765" s="309"/>
      <c r="C16765" s="309"/>
      <c r="I16765" s="309"/>
      <c r="J16765" s="309"/>
    </row>
    <row r="16766">
      <c r="B16766" s="309"/>
      <c r="C16766" s="309"/>
      <c r="I16766" s="309"/>
      <c r="J16766" s="309"/>
    </row>
    <row r="16767">
      <c r="B16767" s="309"/>
      <c r="C16767" s="309"/>
      <c r="I16767" s="309"/>
      <c r="J16767" s="309"/>
    </row>
    <row r="16768">
      <c r="B16768" s="309"/>
      <c r="C16768" s="309"/>
      <c r="I16768" s="309"/>
      <c r="J16768" s="309"/>
    </row>
    <row r="16769">
      <c r="B16769" s="309"/>
      <c r="C16769" s="309"/>
      <c r="I16769" s="309"/>
      <c r="J16769" s="309"/>
    </row>
    <row r="16770">
      <c r="B16770" s="309"/>
      <c r="C16770" s="309"/>
      <c r="I16770" s="309"/>
      <c r="J16770" s="309"/>
    </row>
    <row r="16771">
      <c r="B16771" s="309"/>
      <c r="C16771" s="309"/>
      <c r="I16771" s="309"/>
      <c r="J16771" s="309"/>
    </row>
    <row r="16772">
      <c r="B16772" s="309"/>
      <c r="C16772" s="309"/>
      <c r="I16772" s="309"/>
      <c r="J16772" s="309"/>
    </row>
    <row r="16773">
      <c r="B16773" s="309"/>
      <c r="C16773" s="309"/>
      <c r="I16773" s="309"/>
      <c r="J16773" s="309"/>
    </row>
    <row r="16774">
      <c r="B16774" s="309"/>
      <c r="C16774" s="309"/>
      <c r="I16774" s="309"/>
      <c r="J16774" s="309"/>
    </row>
    <row r="16775">
      <c r="B16775" s="309"/>
      <c r="C16775" s="309"/>
      <c r="I16775" s="309"/>
      <c r="J16775" s="309"/>
    </row>
    <row r="16776">
      <c r="B16776" s="309"/>
      <c r="C16776" s="309"/>
      <c r="I16776" s="309"/>
      <c r="J16776" s="309"/>
    </row>
    <row r="16777">
      <c r="B16777" s="309"/>
      <c r="C16777" s="309"/>
      <c r="I16777" s="309"/>
      <c r="J16777" s="309"/>
    </row>
    <row r="16778">
      <c r="B16778" s="309"/>
      <c r="C16778" s="309"/>
      <c r="I16778" s="309"/>
      <c r="J16778" s="309"/>
    </row>
    <row r="16779">
      <c r="B16779" s="309"/>
      <c r="C16779" s="309"/>
      <c r="I16779" s="309"/>
      <c r="J16779" s="309"/>
    </row>
    <row r="16780">
      <c r="B16780" s="309"/>
      <c r="C16780" s="309"/>
      <c r="I16780" s="309"/>
      <c r="J16780" s="309"/>
    </row>
    <row r="16781">
      <c r="B16781" s="309"/>
      <c r="C16781" s="309"/>
      <c r="I16781" s="309"/>
      <c r="J16781" s="309"/>
    </row>
    <row r="16782">
      <c r="B16782" s="309"/>
      <c r="C16782" s="309"/>
      <c r="I16782" s="309"/>
      <c r="J16782" s="309"/>
    </row>
    <row r="16783">
      <c r="B16783" s="309"/>
      <c r="C16783" s="309"/>
      <c r="I16783" s="309"/>
      <c r="J16783" s="309"/>
    </row>
    <row r="16784">
      <c r="B16784" s="309"/>
      <c r="C16784" s="309"/>
      <c r="I16784" s="309"/>
      <c r="J16784" s="309"/>
    </row>
    <row r="16785">
      <c r="B16785" s="309"/>
      <c r="C16785" s="309"/>
      <c r="I16785" s="309"/>
      <c r="J16785" s="309"/>
    </row>
    <row r="16786">
      <c r="B16786" s="309"/>
      <c r="C16786" s="309"/>
      <c r="I16786" s="309"/>
      <c r="J16786" s="309"/>
    </row>
    <row r="16787">
      <c r="B16787" s="309"/>
      <c r="C16787" s="309"/>
      <c r="I16787" s="309"/>
      <c r="J16787" s="309"/>
    </row>
    <row r="16788">
      <c r="B16788" s="309"/>
      <c r="C16788" s="309"/>
      <c r="I16788" s="309"/>
      <c r="J16788" s="309"/>
    </row>
    <row r="16789">
      <c r="B16789" s="309"/>
      <c r="C16789" s="309"/>
      <c r="I16789" s="309"/>
      <c r="J16789" s="309"/>
    </row>
    <row r="16790">
      <c r="B16790" s="309"/>
      <c r="C16790" s="309"/>
      <c r="I16790" s="309"/>
      <c r="J16790" s="309"/>
    </row>
    <row r="16791">
      <c r="B16791" s="309"/>
      <c r="C16791" s="309"/>
      <c r="I16791" s="309"/>
      <c r="J16791" s="309"/>
    </row>
    <row r="16792">
      <c r="B16792" s="309"/>
      <c r="C16792" s="309"/>
      <c r="I16792" s="309"/>
      <c r="J16792" s="309"/>
    </row>
    <row r="16793">
      <c r="B16793" s="309"/>
      <c r="C16793" s="309"/>
      <c r="I16793" s="309"/>
      <c r="J16793" s="309"/>
    </row>
    <row r="16794">
      <c r="B16794" s="309"/>
      <c r="C16794" s="309"/>
      <c r="I16794" s="309"/>
      <c r="J16794" s="309"/>
    </row>
    <row r="16795">
      <c r="B16795" s="309"/>
      <c r="C16795" s="309"/>
      <c r="I16795" s="309"/>
      <c r="J16795" s="309"/>
    </row>
    <row r="16796">
      <c r="B16796" s="309"/>
      <c r="C16796" s="309"/>
      <c r="I16796" s="309"/>
      <c r="J16796" s="309"/>
    </row>
    <row r="16797">
      <c r="B16797" s="309"/>
      <c r="C16797" s="309"/>
      <c r="I16797" s="309"/>
      <c r="J16797" s="309"/>
    </row>
    <row r="16798">
      <c r="B16798" s="309"/>
      <c r="C16798" s="309"/>
      <c r="I16798" s="309"/>
      <c r="J16798" s="309"/>
    </row>
    <row r="16799">
      <c r="B16799" s="309"/>
      <c r="C16799" s="309"/>
      <c r="I16799" s="309"/>
      <c r="J16799" s="309"/>
    </row>
    <row r="16800">
      <c r="B16800" s="309"/>
      <c r="C16800" s="309"/>
      <c r="I16800" s="309"/>
      <c r="J16800" s="309"/>
    </row>
    <row r="16801">
      <c r="B16801" s="309"/>
      <c r="C16801" s="309"/>
      <c r="I16801" s="309"/>
      <c r="J16801" s="309"/>
    </row>
    <row r="16802">
      <c r="B16802" s="309"/>
      <c r="C16802" s="309"/>
      <c r="I16802" s="309"/>
      <c r="J16802" s="309"/>
    </row>
    <row r="16803">
      <c r="B16803" s="309"/>
      <c r="C16803" s="309"/>
      <c r="I16803" s="309"/>
      <c r="J16803" s="309"/>
    </row>
    <row r="16804">
      <c r="B16804" s="309"/>
      <c r="C16804" s="309"/>
      <c r="I16804" s="309"/>
      <c r="J16804" s="309"/>
    </row>
    <row r="16805">
      <c r="B16805" s="309"/>
      <c r="C16805" s="309"/>
      <c r="I16805" s="309"/>
      <c r="J16805" s="309"/>
    </row>
    <row r="16806">
      <c r="B16806" s="309"/>
      <c r="C16806" s="309"/>
      <c r="I16806" s="309"/>
      <c r="J16806" s="309"/>
    </row>
    <row r="16807">
      <c r="B16807" s="309"/>
      <c r="C16807" s="309"/>
      <c r="I16807" s="309"/>
      <c r="J16807" s="309"/>
    </row>
    <row r="16808">
      <c r="B16808" s="309"/>
      <c r="C16808" s="309"/>
      <c r="I16808" s="309"/>
      <c r="J16808" s="309"/>
    </row>
    <row r="16809">
      <c r="B16809" s="309"/>
      <c r="C16809" s="309"/>
      <c r="I16809" s="309"/>
      <c r="J16809" s="309"/>
    </row>
    <row r="16810">
      <c r="B16810" s="309"/>
      <c r="C16810" s="309"/>
      <c r="I16810" s="309"/>
      <c r="J16810" s="309"/>
    </row>
    <row r="16811">
      <c r="B16811" s="309"/>
      <c r="C16811" s="309"/>
      <c r="I16811" s="309"/>
      <c r="J16811" s="309"/>
    </row>
    <row r="16812">
      <c r="B16812" s="309"/>
      <c r="C16812" s="309"/>
      <c r="I16812" s="309"/>
      <c r="J16812" s="309"/>
    </row>
    <row r="16813">
      <c r="B16813" s="309"/>
      <c r="C16813" s="309"/>
      <c r="I16813" s="309"/>
      <c r="J16813" s="309"/>
    </row>
    <row r="16814">
      <c r="B16814" s="309"/>
      <c r="C16814" s="309"/>
      <c r="I16814" s="309"/>
      <c r="J16814" s="309"/>
    </row>
    <row r="16815">
      <c r="B16815" s="309"/>
      <c r="C16815" s="309"/>
      <c r="I16815" s="309"/>
      <c r="J16815" s="309"/>
    </row>
    <row r="16816">
      <c r="B16816" s="309"/>
      <c r="C16816" s="309"/>
      <c r="I16816" s="309"/>
      <c r="J16816" s="309"/>
    </row>
    <row r="16817">
      <c r="B16817" s="309"/>
      <c r="C16817" s="309"/>
      <c r="I16817" s="309"/>
      <c r="J16817" s="309"/>
    </row>
    <row r="16818">
      <c r="B16818" s="309"/>
      <c r="C16818" s="309"/>
      <c r="I16818" s="309"/>
      <c r="J16818" s="309"/>
    </row>
    <row r="16819">
      <c r="B16819" s="309"/>
      <c r="C16819" s="309"/>
      <c r="I16819" s="309"/>
      <c r="J16819" s="309"/>
    </row>
    <row r="16820">
      <c r="B16820" s="309"/>
      <c r="C16820" s="309"/>
      <c r="I16820" s="309"/>
      <c r="J16820" s="309"/>
    </row>
    <row r="16821">
      <c r="B16821" s="309"/>
      <c r="C16821" s="309"/>
      <c r="I16821" s="309"/>
      <c r="J16821" s="309"/>
    </row>
    <row r="16822">
      <c r="B16822" s="309"/>
      <c r="C16822" s="309"/>
      <c r="I16822" s="309"/>
      <c r="J16822" s="309"/>
    </row>
    <row r="16823">
      <c r="B16823" s="309"/>
      <c r="C16823" s="309"/>
      <c r="I16823" s="309"/>
      <c r="J16823" s="309"/>
    </row>
    <row r="16824">
      <c r="B16824" s="309"/>
      <c r="C16824" s="309"/>
      <c r="I16824" s="309"/>
      <c r="J16824" s="309"/>
    </row>
    <row r="16825">
      <c r="B16825" s="309"/>
      <c r="C16825" s="309"/>
      <c r="I16825" s="309"/>
      <c r="J16825" s="309"/>
    </row>
    <row r="16826">
      <c r="B16826" s="309"/>
      <c r="C16826" s="309"/>
      <c r="I16826" s="309"/>
      <c r="J16826" s="309"/>
    </row>
    <row r="16827">
      <c r="B16827" s="309"/>
      <c r="C16827" s="309"/>
      <c r="I16827" s="309"/>
      <c r="J16827" s="309"/>
    </row>
    <row r="16828">
      <c r="B16828" s="309"/>
      <c r="C16828" s="309"/>
      <c r="I16828" s="309"/>
      <c r="J16828" s="309"/>
    </row>
    <row r="16829">
      <c r="B16829" s="309"/>
      <c r="C16829" s="309"/>
      <c r="I16829" s="309"/>
      <c r="J16829" s="309"/>
    </row>
    <row r="16830">
      <c r="B16830" s="309"/>
      <c r="C16830" s="309"/>
      <c r="I16830" s="309"/>
      <c r="J16830" s="309"/>
    </row>
    <row r="16831">
      <c r="B16831" s="309"/>
      <c r="C16831" s="309"/>
      <c r="I16831" s="309"/>
      <c r="J16831" s="309"/>
    </row>
    <row r="16832">
      <c r="B16832" s="309"/>
      <c r="C16832" s="309"/>
      <c r="I16832" s="309"/>
      <c r="J16832" s="309"/>
    </row>
    <row r="16833">
      <c r="B16833" s="309"/>
      <c r="C16833" s="309"/>
      <c r="I16833" s="309"/>
      <c r="J16833" s="309"/>
    </row>
    <row r="16834">
      <c r="B16834" s="309"/>
      <c r="C16834" s="309"/>
      <c r="I16834" s="309"/>
      <c r="J16834" s="309"/>
    </row>
    <row r="16835">
      <c r="B16835" s="309"/>
      <c r="C16835" s="309"/>
      <c r="I16835" s="309"/>
      <c r="J16835" s="309"/>
    </row>
    <row r="16836">
      <c r="B16836" s="309"/>
      <c r="C16836" s="309"/>
      <c r="I16836" s="309"/>
      <c r="J16836" s="309"/>
    </row>
    <row r="16837">
      <c r="B16837" s="309"/>
      <c r="C16837" s="309"/>
      <c r="I16837" s="309"/>
      <c r="J16837" s="309"/>
    </row>
    <row r="16838">
      <c r="B16838" s="309"/>
      <c r="C16838" s="309"/>
      <c r="I16838" s="309"/>
      <c r="J16838" s="309"/>
    </row>
    <row r="16839">
      <c r="B16839" s="309"/>
      <c r="C16839" s="309"/>
      <c r="I16839" s="309"/>
      <c r="J16839" s="309"/>
    </row>
    <row r="16840">
      <c r="B16840" s="309"/>
      <c r="C16840" s="309"/>
      <c r="I16840" s="309"/>
      <c r="J16840" s="309"/>
    </row>
    <row r="16841">
      <c r="B16841" s="309"/>
      <c r="C16841" s="309"/>
      <c r="I16841" s="309"/>
      <c r="J16841" s="309"/>
    </row>
    <row r="16842">
      <c r="B16842" s="309"/>
      <c r="C16842" s="309"/>
      <c r="I16842" s="309"/>
      <c r="J16842" s="309"/>
    </row>
    <row r="16843">
      <c r="B16843" s="309"/>
      <c r="C16843" s="309"/>
      <c r="I16843" s="309"/>
      <c r="J16843" s="309"/>
    </row>
    <row r="16844">
      <c r="B16844" s="309"/>
      <c r="C16844" s="309"/>
      <c r="I16844" s="309"/>
      <c r="J16844" s="309"/>
    </row>
    <row r="16845">
      <c r="B16845" s="309"/>
      <c r="C16845" s="309"/>
      <c r="I16845" s="309"/>
      <c r="J16845" s="309"/>
    </row>
    <row r="16846">
      <c r="B16846" s="309"/>
      <c r="C16846" s="309"/>
      <c r="I16846" s="309"/>
      <c r="J16846" s="309"/>
    </row>
    <row r="16847">
      <c r="B16847" s="309"/>
      <c r="C16847" s="309"/>
      <c r="I16847" s="309"/>
      <c r="J16847" s="309"/>
    </row>
    <row r="16848">
      <c r="B16848" s="309"/>
      <c r="C16848" s="309"/>
      <c r="I16848" s="309"/>
      <c r="J16848" s="309"/>
    </row>
    <row r="16849">
      <c r="B16849" s="309"/>
      <c r="C16849" s="309"/>
      <c r="I16849" s="309"/>
      <c r="J16849" s="309"/>
    </row>
    <row r="16850">
      <c r="B16850" s="309"/>
      <c r="C16850" s="309"/>
      <c r="I16850" s="309"/>
      <c r="J16850" s="309"/>
    </row>
    <row r="16851">
      <c r="B16851" s="309"/>
      <c r="C16851" s="309"/>
      <c r="I16851" s="309"/>
      <c r="J16851" s="309"/>
    </row>
    <row r="16852">
      <c r="B16852" s="309"/>
      <c r="C16852" s="309"/>
      <c r="I16852" s="309"/>
      <c r="J16852" s="309"/>
    </row>
    <row r="16853">
      <c r="B16853" s="309"/>
      <c r="C16853" s="309"/>
      <c r="I16853" s="309"/>
      <c r="J16853" s="309"/>
    </row>
    <row r="16854">
      <c r="B16854" s="309"/>
      <c r="C16854" s="309"/>
      <c r="I16854" s="309"/>
      <c r="J16854" s="309"/>
    </row>
    <row r="16855">
      <c r="B16855" s="309"/>
      <c r="C16855" s="309"/>
      <c r="I16855" s="309"/>
      <c r="J16855" s="309"/>
    </row>
    <row r="16856">
      <c r="B16856" s="309"/>
      <c r="C16856" s="309"/>
      <c r="I16856" s="309"/>
      <c r="J16856" s="309"/>
    </row>
    <row r="16857">
      <c r="B16857" s="309"/>
      <c r="C16857" s="309"/>
      <c r="I16857" s="309"/>
      <c r="J16857" s="309"/>
    </row>
    <row r="16858">
      <c r="B16858" s="309"/>
      <c r="C16858" s="309"/>
      <c r="I16858" s="309"/>
      <c r="J16858" s="309"/>
    </row>
    <row r="16859">
      <c r="B16859" s="309"/>
      <c r="C16859" s="309"/>
      <c r="I16859" s="309"/>
      <c r="J16859" s="309"/>
    </row>
    <row r="16860">
      <c r="B16860" s="309"/>
      <c r="C16860" s="309"/>
      <c r="I16860" s="309"/>
      <c r="J16860" s="309"/>
    </row>
    <row r="16861">
      <c r="B16861" s="309"/>
      <c r="C16861" s="309"/>
      <c r="I16861" s="309"/>
      <c r="J16861" s="309"/>
    </row>
    <row r="16862">
      <c r="B16862" s="309"/>
      <c r="C16862" s="309"/>
      <c r="I16862" s="309"/>
      <c r="J16862" s="309"/>
    </row>
    <row r="16863">
      <c r="B16863" s="309"/>
      <c r="C16863" s="309"/>
      <c r="I16863" s="309"/>
      <c r="J16863" s="309"/>
    </row>
    <row r="16864">
      <c r="B16864" s="309"/>
      <c r="C16864" s="309"/>
      <c r="I16864" s="309"/>
      <c r="J16864" s="309"/>
    </row>
    <row r="16865">
      <c r="B16865" s="309"/>
      <c r="C16865" s="309"/>
      <c r="I16865" s="309"/>
      <c r="J16865" s="309"/>
    </row>
    <row r="16866">
      <c r="B16866" s="309"/>
      <c r="C16866" s="309"/>
      <c r="I16866" s="309"/>
      <c r="J16866" s="309"/>
    </row>
    <row r="16867">
      <c r="B16867" s="309"/>
      <c r="C16867" s="309"/>
      <c r="I16867" s="309"/>
      <c r="J16867" s="309"/>
    </row>
    <row r="16868">
      <c r="B16868" s="309"/>
      <c r="C16868" s="309"/>
      <c r="I16868" s="309"/>
      <c r="J16868" s="309"/>
    </row>
    <row r="16869">
      <c r="B16869" s="309"/>
      <c r="C16869" s="309"/>
      <c r="I16869" s="309"/>
      <c r="J16869" s="309"/>
    </row>
    <row r="16870">
      <c r="B16870" s="309"/>
      <c r="C16870" s="309"/>
      <c r="I16870" s="309"/>
      <c r="J16870" s="309"/>
    </row>
    <row r="16871">
      <c r="B16871" s="309"/>
      <c r="C16871" s="309"/>
      <c r="I16871" s="309"/>
      <c r="J16871" s="309"/>
    </row>
    <row r="16872">
      <c r="B16872" s="309"/>
      <c r="C16872" s="309"/>
      <c r="I16872" s="309"/>
      <c r="J16872" s="309"/>
    </row>
    <row r="16873">
      <c r="B16873" s="309"/>
      <c r="C16873" s="309"/>
      <c r="I16873" s="309"/>
      <c r="J16873" s="309"/>
    </row>
    <row r="16874">
      <c r="B16874" s="309"/>
      <c r="C16874" s="309"/>
      <c r="I16874" s="309"/>
      <c r="J16874" s="309"/>
    </row>
    <row r="16875">
      <c r="B16875" s="309"/>
      <c r="C16875" s="309"/>
      <c r="I16875" s="309"/>
      <c r="J16875" s="309"/>
    </row>
    <row r="16876">
      <c r="B16876" s="309"/>
      <c r="C16876" s="309"/>
      <c r="I16876" s="309"/>
      <c r="J16876" s="309"/>
    </row>
    <row r="16877">
      <c r="B16877" s="309"/>
      <c r="C16877" s="309"/>
      <c r="I16877" s="309"/>
      <c r="J16877" s="309"/>
    </row>
    <row r="16878">
      <c r="B16878" s="309"/>
      <c r="C16878" s="309"/>
      <c r="I16878" s="309"/>
      <c r="J16878" s="309"/>
    </row>
    <row r="16879">
      <c r="B16879" s="309"/>
      <c r="C16879" s="309"/>
      <c r="I16879" s="309"/>
      <c r="J16879" s="309"/>
    </row>
    <row r="16880">
      <c r="B16880" s="309"/>
      <c r="C16880" s="309"/>
      <c r="I16880" s="309"/>
      <c r="J16880" s="309"/>
    </row>
    <row r="16881">
      <c r="B16881" s="309"/>
      <c r="C16881" s="309"/>
      <c r="I16881" s="309"/>
      <c r="J16881" s="309"/>
    </row>
    <row r="16882">
      <c r="B16882" s="309"/>
      <c r="C16882" s="309"/>
      <c r="I16882" s="309"/>
      <c r="J16882" s="309"/>
    </row>
    <row r="16883">
      <c r="B16883" s="309"/>
      <c r="C16883" s="309"/>
      <c r="I16883" s="309"/>
      <c r="J16883" s="309"/>
    </row>
    <row r="16884">
      <c r="B16884" s="309"/>
      <c r="C16884" s="309"/>
      <c r="I16884" s="309"/>
      <c r="J16884" s="309"/>
    </row>
    <row r="16885">
      <c r="B16885" s="309"/>
      <c r="C16885" s="309"/>
      <c r="I16885" s="309"/>
      <c r="J16885" s="309"/>
    </row>
    <row r="16886">
      <c r="B16886" s="309"/>
      <c r="C16886" s="309"/>
      <c r="I16886" s="309"/>
      <c r="J16886" s="309"/>
    </row>
    <row r="16887">
      <c r="B16887" s="309"/>
      <c r="C16887" s="309"/>
      <c r="I16887" s="309"/>
      <c r="J16887" s="309"/>
    </row>
    <row r="16888">
      <c r="B16888" s="309"/>
      <c r="C16888" s="309"/>
      <c r="I16888" s="309"/>
      <c r="J16888" s="309"/>
    </row>
    <row r="16889">
      <c r="B16889" s="309"/>
      <c r="C16889" s="309"/>
      <c r="I16889" s="309"/>
      <c r="J16889" s="309"/>
    </row>
    <row r="16890">
      <c r="B16890" s="309"/>
      <c r="C16890" s="309"/>
      <c r="I16890" s="309"/>
      <c r="J16890" s="309"/>
    </row>
    <row r="16891">
      <c r="B16891" s="309"/>
      <c r="C16891" s="309"/>
      <c r="I16891" s="309"/>
      <c r="J16891" s="309"/>
    </row>
    <row r="16892">
      <c r="B16892" s="309"/>
      <c r="C16892" s="309"/>
      <c r="I16892" s="309"/>
      <c r="J16892" s="309"/>
    </row>
    <row r="16893">
      <c r="B16893" s="309"/>
      <c r="C16893" s="309"/>
      <c r="I16893" s="309"/>
      <c r="J16893" s="309"/>
    </row>
    <row r="16894">
      <c r="B16894" s="309"/>
      <c r="C16894" s="309"/>
      <c r="I16894" s="309"/>
      <c r="J16894" s="309"/>
    </row>
    <row r="16895">
      <c r="B16895" s="309"/>
      <c r="C16895" s="309"/>
      <c r="I16895" s="309"/>
      <c r="J16895" s="309"/>
    </row>
    <row r="16896">
      <c r="B16896" s="309"/>
      <c r="C16896" s="309"/>
      <c r="I16896" s="309"/>
      <c r="J16896" s="309"/>
    </row>
    <row r="16897">
      <c r="B16897" s="309"/>
      <c r="C16897" s="309"/>
      <c r="I16897" s="309"/>
      <c r="J16897" s="309"/>
    </row>
    <row r="16898">
      <c r="B16898" s="309"/>
      <c r="C16898" s="309"/>
      <c r="I16898" s="309"/>
      <c r="J16898" s="309"/>
    </row>
    <row r="16899">
      <c r="B16899" s="309"/>
      <c r="C16899" s="309"/>
      <c r="I16899" s="309"/>
      <c r="J16899" s="309"/>
    </row>
    <row r="16900">
      <c r="B16900" s="309"/>
      <c r="C16900" s="309"/>
      <c r="I16900" s="309"/>
      <c r="J16900" s="309"/>
    </row>
    <row r="16901">
      <c r="B16901" s="309"/>
      <c r="C16901" s="309"/>
      <c r="I16901" s="309"/>
      <c r="J16901" s="309"/>
    </row>
    <row r="16902">
      <c r="B16902" s="309"/>
      <c r="C16902" s="309"/>
      <c r="I16902" s="309"/>
      <c r="J16902" s="309"/>
    </row>
    <row r="16903">
      <c r="B16903" s="309"/>
      <c r="C16903" s="309"/>
      <c r="I16903" s="309"/>
      <c r="J16903" s="309"/>
    </row>
    <row r="16904">
      <c r="B16904" s="309"/>
      <c r="C16904" s="309"/>
      <c r="I16904" s="309"/>
      <c r="J16904" s="309"/>
    </row>
    <row r="16905">
      <c r="B16905" s="309"/>
      <c r="C16905" s="309"/>
      <c r="I16905" s="309"/>
      <c r="J16905" s="309"/>
    </row>
    <row r="16906">
      <c r="B16906" s="309"/>
      <c r="C16906" s="309"/>
      <c r="I16906" s="309"/>
      <c r="J16906" s="309"/>
    </row>
    <row r="16907">
      <c r="B16907" s="309"/>
      <c r="C16907" s="309"/>
      <c r="I16907" s="309"/>
      <c r="J16907" s="309"/>
    </row>
    <row r="16908">
      <c r="B16908" s="309"/>
      <c r="C16908" s="309"/>
      <c r="I16908" s="309"/>
      <c r="J16908" s="309"/>
    </row>
    <row r="16909">
      <c r="B16909" s="309"/>
      <c r="C16909" s="309"/>
      <c r="I16909" s="309"/>
      <c r="J16909" s="309"/>
    </row>
    <row r="16910">
      <c r="B16910" s="309"/>
      <c r="C16910" s="309"/>
      <c r="I16910" s="309"/>
      <c r="J16910" s="309"/>
    </row>
    <row r="16911">
      <c r="B16911" s="309"/>
      <c r="C16911" s="309"/>
      <c r="I16911" s="309"/>
      <c r="J16911" s="309"/>
    </row>
    <row r="16912">
      <c r="B16912" s="309"/>
      <c r="C16912" s="309"/>
      <c r="I16912" s="309"/>
      <c r="J16912" s="309"/>
    </row>
    <row r="16913">
      <c r="B16913" s="309"/>
      <c r="C16913" s="309"/>
      <c r="I16913" s="309"/>
      <c r="J16913" s="309"/>
    </row>
    <row r="16914">
      <c r="B16914" s="309"/>
      <c r="C16914" s="309"/>
      <c r="I16914" s="309"/>
      <c r="J16914" s="309"/>
    </row>
    <row r="16915">
      <c r="B16915" s="309"/>
      <c r="C16915" s="309"/>
      <c r="I16915" s="309"/>
      <c r="J16915" s="309"/>
    </row>
    <row r="16916">
      <c r="B16916" s="309"/>
      <c r="C16916" s="309"/>
      <c r="I16916" s="309"/>
      <c r="J16916" s="309"/>
    </row>
    <row r="16917">
      <c r="B16917" s="309"/>
      <c r="C16917" s="309"/>
      <c r="I16917" s="309"/>
      <c r="J16917" s="309"/>
    </row>
    <row r="16918">
      <c r="B16918" s="309"/>
      <c r="C16918" s="309"/>
      <c r="I16918" s="309"/>
      <c r="J16918" s="309"/>
    </row>
    <row r="16919">
      <c r="B16919" s="309"/>
      <c r="C16919" s="309"/>
      <c r="I16919" s="309"/>
      <c r="J16919" s="309"/>
    </row>
    <row r="16920">
      <c r="B16920" s="309"/>
      <c r="C16920" s="309"/>
      <c r="I16920" s="309"/>
      <c r="J16920" s="309"/>
    </row>
    <row r="16921">
      <c r="B16921" s="309"/>
      <c r="C16921" s="309"/>
      <c r="I16921" s="309"/>
      <c r="J16921" s="309"/>
    </row>
    <row r="16922">
      <c r="B16922" s="309"/>
      <c r="C16922" s="309"/>
      <c r="I16922" s="309"/>
      <c r="J16922" s="309"/>
    </row>
    <row r="16923">
      <c r="B16923" s="309"/>
      <c r="C16923" s="309"/>
      <c r="I16923" s="309"/>
      <c r="J16923" s="309"/>
    </row>
    <row r="16924">
      <c r="B16924" s="309"/>
      <c r="C16924" s="309"/>
      <c r="I16924" s="309"/>
      <c r="J16924" s="309"/>
    </row>
    <row r="16925">
      <c r="B16925" s="309"/>
      <c r="C16925" s="309"/>
      <c r="I16925" s="309"/>
      <c r="J16925" s="309"/>
    </row>
    <row r="16926">
      <c r="B16926" s="309"/>
      <c r="C16926" s="309"/>
      <c r="I16926" s="309"/>
      <c r="J16926" s="309"/>
    </row>
    <row r="16927">
      <c r="B16927" s="309"/>
      <c r="C16927" s="309"/>
      <c r="I16927" s="309"/>
      <c r="J16927" s="309"/>
    </row>
    <row r="16928">
      <c r="B16928" s="309"/>
      <c r="C16928" s="309"/>
      <c r="I16928" s="309"/>
      <c r="J16928" s="309"/>
    </row>
    <row r="16929">
      <c r="B16929" s="309"/>
      <c r="C16929" s="309"/>
      <c r="I16929" s="309"/>
      <c r="J16929" s="309"/>
    </row>
    <row r="16930">
      <c r="B16930" s="309"/>
      <c r="C16930" s="309"/>
      <c r="I16930" s="309"/>
      <c r="J16930" s="309"/>
    </row>
    <row r="16931">
      <c r="B16931" s="309"/>
      <c r="C16931" s="309"/>
      <c r="I16931" s="309"/>
      <c r="J16931" s="309"/>
    </row>
    <row r="16932">
      <c r="B16932" s="309"/>
      <c r="C16932" s="309"/>
      <c r="I16932" s="309"/>
      <c r="J16932" s="309"/>
    </row>
    <row r="16933">
      <c r="B16933" s="309"/>
      <c r="C16933" s="309"/>
      <c r="I16933" s="309"/>
      <c r="J16933" s="309"/>
    </row>
    <row r="16934">
      <c r="B16934" s="309"/>
      <c r="C16934" s="309"/>
      <c r="I16934" s="309"/>
      <c r="J16934" s="309"/>
    </row>
    <row r="16935">
      <c r="B16935" s="309"/>
      <c r="C16935" s="309"/>
      <c r="I16935" s="309"/>
      <c r="J16935" s="309"/>
    </row>
    <row r="16936">
      <c r="B16936" s="309"/>
      <c r="C16936" s="309"/>
      <c r="I16936" s="309"/>
      <c r="J16936" s="309"/>
    </row>
    <row r="16937">
      <c r="B16937" s="309"/>
      <c r="C16937" s="309"/>
      <c r="I16937" s="309"/>
      <c r="J16937" s="309"/>
    </row>
    <row r="16938">
      <c r="B16938" s="309"/>
      <c r="C16938" s="309"/>
      <c r="I16938" s="309"/>
      <c r="J16938" s="309"/>
    </row>
    <row r="16939">
      <c r="B16939" s="309"/>
      <c r="C16939" s="309"/>
      <c r="I16939" s="309"/>
      <c r="J16939" s="309"/>
    </row>
    <row r="16940">
      <c r="B16940" s="309"/>
      <c r="C16940" s="309"/>
      <c r="I16940" s="309"/>
      <c r="J16940" s="309"/>
    </row>
    <row r="16941">
      <c r="B16941" s="309"/>
      <c r="C16941" s="309"/>
      <c r="I16941" s="309"/>
      <c r="J16941" s="309"/>
    </row>
    <row r="16942">
      <c r="B16942" s="309"/>
      <c r="C16942" s="309"/>
      <c r="I16942" s="309"/>
      <c r="J16942" s="309"/>
    </row>
    <row r="16943">
      <c r="B16943" s="309"/>
      <c r="C16943" s="309"/>
      <c r="I16943" s="309"/>
      <c r="J16943" s="309"/>
    </row>
    <row r="16944">
      <c r="B16944" s="309"/>
      <c r="C16944" s="309"/>
      <c r="I16944" s="309"/>
      <c r="J16944" s="309"/>
    </row>
    <row r="16945">
      <c r="B16945" s="309"/>
      <c r="C16945" s="309"/>
      <c r="I16945" s="309"/>
      <c r="J16945" s="309"/>
    </row>
    <row r="16946">
      <c r="B16946" s="309"/>
      <c r="C16946" s="309"/>
      <c r="I16946" s="309"/>
      <c r="J16946" s="309"/>
    </row>
    <row r="16947">
      <c r="B16947" s="309"/>
      <c r="C16947" s="309"/>
      <c r="I16947" s="309"/>
      <c r="J16947" s="309"/>
    </row>
    <row r="16948">
      <c r="B16948" s="309"/>
      <c r="C16948" s="309"/>
      <c r="I16948" s="309"/>
      <c r="J16948" s="309"/>
    </row>
    <row r="16949">
      <c r="B16949" s="309"/>
      <c r="C16949" s="309"/>
      <c r="I16949" s="309"/>
      <c r="J16949" s="309"/>
    </row>
    <row r="16950">
      <c r="B16950" s="309"/>
      <c r="C16950" s="309"/>
      <c r="I16950" s="309"/>
      <c r="J16950" s="309"/>
    </row>
    <row r="16951">
      <c r="B16951" s="309"/>
      <c r="C16951" s="309"/>
      <c r="I16951" s="309"/>
      <c r="J16951" s="309"/>
    </row>
    <row r="16952">
      <c r="B16952" s="309"/>
      <c r="C16952" s="309"/>
      <c r="I16952" s="309"/>
      <c r="J16952" s="309"/>
    </row>
    <row r="16953">
      <c r="B16953" s="309"/>
      <c r="C16953" s="309"/>
      <c r="I16953" s="309"/>
      <c r="J16953" s="309"/>
    </row>
    <row r="16954">
      <c r="B16954" s="309"/>
      <c r="C16954" s="309"/>
      <c r="I16954" s="309"/>
      <c r="J16954" s="309"/>
    </row>
    <row r="16955">
      <c r="B16955" s="309"/>
      <c r="C16955" s="309"/>
      <c r="I16955" s="309"/>
      <c r="J16955" s="309"/>
    </row>
    <row r="16956">
      <c r="B16956" s="309"/>
      <c r="C16956" s="309"/>
      <c r="I16956" s="309"/>
      <c r="J16956" s="309"/>
    </row>
    <row r="16957">
      <c r="B16957" s="309"/>
      <c r="C16957" s="309"/>
      <c r="I16957" s="309"/>
      <c r="J16957" s="309"/>
    </row>
    <row r="16958">
      <c r="B16958" s="309"/>
      <c r="C16958" s="309"/>
      <c r="I16958" s="309"/>
      <c r="J16958" s="309"/>
    </row>
    <row r="16959">
      <c r="B16959" s="309"/>
      <c r="C16959" s="309"/>
      <c r="I16959" s="309"/>
      <c r="J16959" s="309"/>
    </row>
    <row r="16960">
      <c r="B16960" s="309"/>
      <c r="C16960" s="309"/>
      <c r="I16960" s="309"/>
      <c r="J16960" s="309"/>
    </row>
    <row r="16961">
      <c r="B16961" s="309"/>
      <c r="C16961" s="309"/>
      <c r="I16961" s="309"/>
      <c r="J16961" s="309"/>
    </row>
    <row r="16962">
      <c r="B16962" s="309"/>
      <c r="C16962" s="309"/>
      <c r="I16962" s="309"/>
      <c r="J16962" s="309"/>
    </row>
    <row r="16963">
      <c r="B16963" s="309"/>
      <c r="C16963" s="309"/>
      <c r="I16963" s="309"/>
      <c r="J16963" s="309"/>
    </row>
    <row r="16964">
      <c r="B16964" s="309"/>
      <c r="C16964" s="309"/>
      <c r="I16964" s="309"/>
      <c r="J16964" s="309"/>
    </row>
    <row r="16965">
      <c r="B16965" s="309"/>
      <c r="C16965" s="309"/>
      <c r="I16965" s="309"/>
      <c r="J16965" s="309"/>
    </row>
    <row r="16966">
      <c r="B16966" s="309"/>
      <c r="C16966" s="309"/>
      <c r="I16966" s="309"/>
      <c r="J16966" s="309"/>
    </row>
    <row r="16967">
      <c r="B16967" s="309"/>
      <c r="C16967" s="309"/>
      <c r="I16967" s="309"/>
      <c r="J16967" s="309"/>
    </row>
    <row r="16968">
      <c r="B16968" s="309"/>
      <c r="C16968" s="309"/>
      <c r="I16968" s="309"/>
      <c r="J16968" s="309"/>
    </row>
    <row r="16969">
      <c r="B16969" s="309"/>
      <c r="C16969" s="309"/>
      <c r="I16969" s="309"/>
      <c r="J16969" s="309"/>
    </row>
    <row r="16970">
      <c r="B16970" s="309"/>
      <c r="C16970" s="309"/>
      <c r="I16970" s="309"/>
      <c r="J16970" s="309"/>
    </row>
    <row r="16971">
      <c r="B16971" s="309"/>
      <c r="C16971" s="309"/>
      <c r="I16971" s="309"/>
      <c r="J16971" s="309"/>
    </row>
    <row r="16972">
      <c r="B16972" s="309"/>
      <c r="C16972" s="309"/>
      <c r="I16972" s="309"/>
      <c r="J16972" s="309"/>
    </row>
    <row r="16973">
      <c r="B16973" s="309"/>
      <c r="C16973" s="309"/>
      <c r="I16973" s="309"/>
      <c r="J16973" s="309"/>
    </row>
    <row r="16974">
      <c r="B16974" s="309"/>
      <c r="C16974" s="309"/>
      <c r="I16974" s="309"/>
      <c r="J16974" s="309"/>
    </row>
    <row r="16975">
      <c r="B16975" s="309"/>
      <c r="C16975" s="309"/>
      <c r="I16975" s="309"/>
      <c r="J16975" s="309"/>
    </row>
    <row r="16976">
      <c r="B16976" s="309"/>
      <c r="C16976" s="309"/>
      <c r="I16976" s="309"/>
      <c r="J16976" s="309"/>
    </row>
    <row r="16977">
      <c r="B16977" s="309"/>
      <c r="C16977" s="309"/>
      <c r="I16977" s="309"/>
      <c r="J16977" s="309"/>
    </row>
    <row r="16978">
      <c r="B16978" s="309"/>
      <c r="C16978" s="309"/>
      <c r="I16978" s="309"/>
      <c r="J16978" s="309"/>
    </row>
    <row r="16979">
      <c r="B16979" s="309"/>
      <c r="C16979" s="309"/>
      <c r="I16979" s="309"/>
      <c r="J16979" s="309"/>
    </row>
    <row r="16980">
      <c r="B16980" s="309"/>
      <c r="C16980" s="309"/>
      <c r="I16980" s="309"/>
      <c r="J16980" s="309"/>
    </row>
    <row r="16981">
      <c r="B16981" s="309"/>
      <c r="C16981" s="309"/>
      <c r="I16981" s="309"/>
      <c r="J16981" s="309"/>
    </row>
    <row r="16982">
      <c r="B16982" s="309"/>
      <c r="C16982" s="309"/>
      <c r="I16982" s="309"/>
      <c r="J16982" s="309"/>
    </row>
    <row r="16983">
      <c r="B16983" s="309"/>
      <c r="C16983" s="309"/>
      <c r="I16983" s="309"/>
      <c r="J16983" s="309"/>
    </row>
    <row r="16984">
      <c r="B16984" s="309"/>
      <c r="C16984" s="309"/>
      <c r="I16984" s="309"/>
      <c r="J16984" s="309"/>
    </row>
    <row r="16985">
      <c r="B16985" s="309"/>
      <c r="C16985" s="309"/>
      <c r="I16985" s="309"/>
      <c r="J16985" s="309"/>
    </row>
    <row r="16986">
      <c r="B16986" s="309"/>
      <c r="C16986" s="309"/>
      <c r="I16986" s="309"/>
      <c r="J16986" s="309"/>
    </row>
    <row r="16987">
      <c r="B16987" s="309"/>
      <c r="C16987" s="309"/>
      <c r="I16987" s="309"/>
      <c r="J16987" s="309"/>
    </row>
    <row r="16988">
      <c r="B16988" s="309"/>
      <c r="C16988" s="309"/>
      <c r="I16988" s="309"/>
      <c r="J16988" s="309"/>
    </row>
    <row r="16989">
      <c r="B16989" s="309"/>
      <c r="C16989" s="309"/>
      <c r="I16989" s="309"/>
      <c r="J16989" s="309"/>
    </row>
    <row r="16990">
      <c r="B16990" s="309"/>
      <c r="C16990" s="309"/>
      <c r="I16990" s="309"/>
      <c r="J16990" s="309"/>
    </row>
    <row r="16991">
      <c r="B16991" s="309"/>
      <c r="C16991" s="309"/>
      <c r="I16991" s="309"/>
      <c r="J16991" s="309"/>
    </row>
    <row r="16992">
      <c r="B16992" s="309"/>
      <c r="C16992" s="309"/>
      <c r="I16992" s="309"/>
      <c r="J16992" s="309"/>
    </row>
    <row r="16993">
      <c r="B16993" s="309"/>
      <c r="C16993" s="309"/>
      <c r="I16993" s="309"/>
      <c r="J16993" s="309"/>
    </row>
    <row r="16994">
      <c r="B16994" s="309"/>
      <c r="C16994" s="309"/>
      <c r="I16994" s="309"/>
      <c r="J16994" s="309"/>
    </row>
    <row r="16995">
      <c r="B16995" s="309"/>
      <c r="C16995" s="309"/>
      <c r="I16995" s="309"/>
      <c r="J16995" s="309"/>
    </row>
    <row r="16996">
      <c r="B16996" s="309"/>
      <c r="C16996" s="309"/>
      <c r="I16996" s="309"/>
      <c r="J16996" s="309"/>
    </row>
    <row r="16997">
      <c r="B16997" s="309"/>
      <c r="C16997" s="309"/>
      <c r="I16997" s="309"/>
      <c r="J16997" s="309"/>
    </row>
    <row r="16998">
      <c r="B16998" s="309"/>
      <c r="C16998" s="309"/>
      <c r="I16998" s="309"/>
      <c r="J16998" s="309"/>
    </row>
    <row r="16999">
      <c r="B16999" s="309"/>
      <c r="C16999" s="309"/>
      <c r="I16999" s="309"/>
      <c r="J16999" s="309"/>
    </row>
    <row r="17000">
      <c r="B17000" s="309"/>
      <c r="C17000" s="309"/>
      <c r="I17000" s="309"/>
      <c r="J17000" s="309"/>
    </row>
    <row r="17001">
      <c r="B17001" s="309"/>
      <c r="C17001" s="309"/>
      <c r="I17001" s="309"/>
      <c r="J17001" s="309"/>
    </row>
    <row r="17002">
      <c r="B17002" s="309"/>
      <c r="C17002" s="309"/>
      <c r="I17002" s="309"/>
      <c r="J17002" s="309"/>
    </row>
    <row r="17003">
      <c r="B17003" s="309"/>
      <c r="C17003" s="309"/>
      <c r="I17003" s="309"/>
      <c r="J17003" s="309"/>
    </row>
    <row r="17004">
      <c r="B17004" s="309"/>
      <c r="C17004" s="309"/>
      <c r="I17004" s="309"/>
      <c r="J17004" s="309"/>
    </row>
    <row r="17005">
      <c r="B17005" s="309"/>
      <c r="C17005" s="309"/>
      <c r="I17005" s="309"/>
      <c r="J17005" s="309"/>
    </row>
    <row r="17006">
      <c r="B17006" s="309"/>
      <c r="C17006" s="309"/>
      <c r="I17006" s="309"/>
      <c r="J17006" s="309"/>
    </row>
    <row r="17007">
      <c r="B17007" s="309"/>
      <c r="C17007" s="309"/>
      <c r="I17007" s="309"/>
      <c r="J17007" s="309"/>
    </row>
    <row r="17008">
      <c r="B17008" s="309"/>
      <c r="C17008" s="309"/>
      <c r="I17008" s="309"/>
      <c r="J17008" s="309"/>
    </row>
    <row r="17009">
      <c r="B17009" s="309"/>
      <c r="C17009" s="309"/>
      <c r="I17009" s="309"/>
      <c r="J17009" s="309"/>
    </row>
    <row r="17010">
      <c r="B17010" s="309"/>
      <c r="C17010" s="309"/>
      <c r="I17010" s="309"/>
      <c r="J17010" s="309"/>
    </row>
    <row r="17011">
      <c r="B17011" s="309"/>
      <c r="C17011" s="309"/>
      <c r="I17011" s="309"/>
      <c r="J17011" s="309"/>
    </row>
    <row r="17012">
      <c r="B17012" s="309"/>
      <c r="C17012" s="309"/>
      <c r="I17012" s="309"/>
      <c r="J17012" s="309"/>
    </row>
    <row r="17013">
      <c r="B17013" s="309"/>
      <c r="C17013" s="309"/>
      <c r="I17013" s="309"/>
      <c r="J17013" s="309"/>
    </row>
    <row r="17014">
      <c r="B17014" s="309"/>
      <c r="C17014" s="309"/>
      <c r="I17014" s="309"/>
      <c r="J17014" s="309"/>
    </row>
    <row r="17015">
      <c r="B17015" s="309"/>
      <c r="C17015" s="309"/>
      <c r="I17015" s="309"/>
      <c r="J17015" s="309"/>
    </row>
    <row r="17016">
      <c r="B17016" s="309"/>
      <c r="C17016" s="309"/>
      <c r="I17016" s="309"/>
      <c r="J17016" s="309"/>
    </row>
    <row r="17017">
      <c r="B17017" s="309"/>
      <c r="C17017" s="309"/>
      <c r="I17017" s="309"/>
      <c r="J17017" s="309"/>
    </row>
    <row r="17018">
      <c r="B17018" s="309"/>
      <c r="C17018" s="309"/>
      <c r="I17018" s="309"/>
      <c r="J17018" s="309"/>
    </row>
    <row r="17019">
      <c r="B17019" s="309"/>
      <c r="C17019" s="309"/>
      <c r="I17019" s="309"/>
      <c r="J17019" s="309"/>
    </row>
    <row r="17020">
      <c r="B17020" s="309"/>
      <c r="C17020" s="309"/>
      <c r="I17020" s="309"/>
      <c r="J17020" s="309"/>
    </row>
    <row r="17021">
      <c r="B17021" s="309"/>
      <c r="C17021" s="309"/>
      <c r="I17021" s="309"/>
      <c r="J17021" s="309"/>
    </row>
    <row r="17022">
      <c r="B17022" s="309"/>
      <c r="C17022" s="309"/>
      <c r="I17022" s="309"/>
      <c r="J17022" s="309"/>
    </row>
    <row r="17023">
      <c r="B17023" s="309"/>
      <c r="C17023" s="309"/>
      <c r="I17023" s="309"/>
      <c r="J17023" s="309"/>
    </row>
    <row r="17024">
      <c r="B17024" s="309"/>
      <c r="C17024" s="309"/>
      <c r="I17024" s="309"/>
      <c r="J17024" s="309"/>
    </row>
    <row r="17025">
      <c r="B17025" s="309"/>
      <c r="C17025" s="309"/>
      <c r="I17025" s="309"/>
      <c r="J17025" s="309"/>
    </row>
    <row r="17026">
      <c r="B17026" s="309"/>
      <c r="C17026" s="309"/>
      <c r="I17026" s="309"/>
      <c r="J17026" s="309"/>
    </row>
    <row r="17027">
      <c r="B17027" s="309"/>
      <c r="C17027" s="309"/>
      <c r="I17027" s="309"/>
      <c r="J17027" s="309"/>
    </row>
    <row r="17028">
      <c r="B17028" s="309"/>
      <c r="C17028" s="309"/>
      <c r="I17028" s="309"/>
      <c r="J17028" s="309"/>
    </row>
    <row r="17029">
      <c r="B17029" s="309"/>
      <c r="C17029" s="309"/>
      <c r="I17029" s="309"/>
      <c r="J17029" s="309"/>
    </row>
    <row r="17030">
      <c r="B17030" s="309"/>
      <c r="C17030" s="309"/>
      <c r="I17030" s="309"/>
      <c r="J17030" s="309"/>
    </row>
    <row r="17031">
      <c r="B17031" s="309"/>
      <c r="C17031" s="309"/>
      <c r="I17031" s="309"/>
      <c r="J17031" s="309"/>
    </row>
    <row r="17032">
      <c r="B17032" s="309"/>
      <c r="C17032" s="309"/>
      <c r="I17032" s="309"/>
      <c r="J17032" s="309"/>
    </row>
    <row r="17033">
      <c r="B17033" s="309"/>
      <c r="C17033" s="309"/>
      <c r="I17033" s="309"/>
      <c r="J17033" s="309"/>
    </row>
    <row r="17034">
      <c r="B17034" s="309"/>
      <c r="C17034" s="309"/>
      <c r="I17034" s="309"/>
      <c r="J17034" s="309"/>
    </row>
    <row r="17035">
      <c r="B17035" s="309"/>
      <c r="C17035" s="309"/>
      <c r="I17035" s="309"/>
      <c r="J17035" s="309"/>
    </row>
    <row r="17036">
      <c r="B17036" s="309"/>
      <c r="C17036" s="309"/>
      <c r="I17036" s="309"/>
      <c r="J17036" s="309"/>
    </row>
    <row r="17037">
      <c r="B17037" s="309"/>
      <c r="C17037" s="309"/>
      <c r="I17037" s="309"/>
      <c r="J17037" s="309"/>
    </row>
    <row r="17038">
      <c r="B17038" s="309"/>
      <c r="C17038" s="309"/>
      <c r="I17038" s="309"/>
      <c r="J17038" s="309"/>
    </row>
    <row r="17039">
      <c r="B17039" s="309"/>
      <c r="C17039" s="309"/>
      <c r="I17039" s="309"/>
      <c r="J17039" s="309"/>
    </row>
    <row r="17040">
      <c r="B17040" s="309"/>
      <c r="C17040" s="309"/>
      <c r="I17040" s="309"/>
      <c r="J17040" s="309"/>
    </row>
    <row r="17041">
      <c r="B17041" s="309"/>
      <c r="C17041" s="309"/>
      <c r="I17041" s="309"/>
      <c r="J17041" s="309"/>
    </row>
    <row r="17042">
      <c r="B17042" s="309"/>
      <c r="C17042" s="309"/>
      <c r="I17042" s="309"/>
      <c r="J17042" s="309"/>
    </row>
    <row r="17043">
      <c r="B17043" s="309"/>
      <c r="C17043" s="309"/>
      <c r="I17043" s="309"/>
      <c r="J17043" s="309"/>
    </row>
    <row r="17044">
      <c r="B17044" s="309"/>
      <c r="C17044" s="309"/>
      <c r="I17044" s="309"/>
      <c r="J17044" s="309"/>
    </row>
    <row r="17045">
      <c r="B17045" s="309"/>
      <c r="C17045" s="309"/>
      <c r="I17045" s="309"/>
      <c r="J17045" s="309"/>
    </row>
    <row r="17046">
      <c r="B17046" s="309"/>
      <c r="C17046" s="309"/>
      <c r="I17046" s="309"/>
      <c r="J17046" s="309"/>
    </row>
    <row r="17047">
      <c r="B17047" s="309"/>
      <c r="C17047" s="309"/>
      <c r="I17047" s="309"/>
      <c r="J17047" s="309"/>
    </row>
    <row r="17048">
      <c r="B17048" s="309"/>
      <c r="C17048" s="309"/>
      <c r="I17048" s="309"/>
      <c r="J17048" s="309"/>
    </row>
    <row r="17049">
      <c r="B17049" s="309"/>
      <c r="C17049" s="309"/>
      <c r="I17049" s="309"/>
      <c r="J17049" s="309"/>
    </row>
    <row r="17050">
      <c r="B17050" s="309"/>
      <c r="C17050" s="309"/>
      <c r="I17050" s="309"/>
      <c r="J17050" s="309"/>
    </row>
    <row r="17051">
      <c r="B17051" s="309"/>
      <c r="C17051" s="309"/>
      <c r="I17051" s="309"/>
      <c r="J17051" s="309"/>
    </row>
    <row r="17052">
      <c r="B17052" s="309"/>
      <c r="C17052" s="309"/>
      <c r="I17052" s="309"/>
      <c r="J17052" s="309"/>
    </row>
    <row r="17053">
      <c r="B17053" s="309"/>
      <c r="C17053" s="309"/>
      <c r="I17053" s="309"/>
      <c r="J17053" s="309"/>
    </row>
    <row r="17054">
      <c r="B17054" s="309"/>
      <c r="C17054" s="309"/>
      <c r="I17054" s="309"/>
      <c r="J17054" s="309"/>
    </row>
    <row r="17055">
      <c r="B17055" s="309"/>
      <c r="C17055" s="309"/>
      <c r="I17055" s="309"/>
      <c r="J17055" s="309"/>
    </row>
    <row r="17056">
      <c r="B17056" s="309"/>
      <c r="C17056" s="309"/>
      <c r="I17056" s="309"/>
      <c r="J17056" s="309"/>
    </row>
    <row r="17057">
      <c r="B17057" s="309"/>
      <c r="C17057" s="309"/>
      <c r="I17057" s="309"/>
      <c r="J17057" s="309"/>
    </row>
    <row r="17058">
      <c r="B17058" s="309"/>
      <c r="C17058" s="309"/>
      <c r="I17058" s="309"/>
      <c r="J17058" s="309"/>
    </row>
    <row r="17059">
      <c r="B17059" s="309"/>
      <c r="C17059" s="309"/>
      <c r="I17059" s="309"/>
      <c r="J17059" s="309"/>
    </row>
    <row r="17060">
      <c r="B17060" s="309"/>
      <c r="C17060" s="309"/>
      <c r="I17060" s="309"/>
      <c r="J17060" s="309"/>
    </row>
    <row r="17061">
      <c r="B17061" s="309"/>
      <c r="C17061" s="309"/>
      <c r="I17061" s="309"/>
      <c r="J17061" s="309"/>
    </row>
    <row r="17062">
      <c r="B17062" s="309"/>
      <c r="C17062" s="309"/>
      <c r="I17062" s="309"/>
      <c r="J17062" s="309"/>
    </row>
    <row r="17063">
      <c r="B17063" s="309"/>
      <c r="C17063" s="309"/>
      <c r="I17063" s="309"/>
      <c r="J17063" s="309"/>
    </row>
    <row r="17064">
      <c r="B17064" s="309"/>
      <c r="C17064" s="309"/>
      <c r="I17064" s="309"/>
      <c r="J17064" s="309"/>
    </row>
    <row r="17065">
      <c r="B17065" s="309"/>
      <c r="C17065" s="309"/>
      <c r="I17065" s="309"/>
      <c r="J17065" s="309"/>
    </row>
    <row r="17066">
      <c r="B17066" s="309"/>
      <c r="C17066" s="309"/>
      <c r="I17066" s="309"/>
      <c r="J17066" s="309"/>
    </row>
    <row r="17067">
      <c r="B17067" s="309"/>
      <c r="C17067" s="309"/>
      <c r="I17067" s="309"/>
      <c r="J17067" s="309"/>
    </row>
    <row r="17068">
      <c r="B17068" s="309"/>
      <c r="C17068" s="309"/>
      <c r="I17068" s="309"/>
      <c r="J17068" s="309"/>
    </row>
    <row r="17069">
      <c r="B17069" s="309"/>
      <c r="C17069" s="309"/>
      <c r="I17069" s="309"/>
      <c r="J17069" s="309"/>
    </row>
    <row r="17070">
      <c r="B17070" s="309"/>
      <c r="C17070" s="309"/>
      <c r="I17070" s="309"/>
      <c r="J17070" s="309"/>
    </row>
    <row r="17071">
      <c r="B17071" s="309"/>
      <c r="C17071" s="309"/>
      <c r="I17071" s="309"/>
      <c r="J17071" s="309"/>
    </row>
    <row r="17072">
      <c r="B17072" s="309"/>
      <c r="C17072" s="309"/>
      <c r="I17072" s="309"/>
      <c r="J17072" s="309"/>
    </row>
    <row r="17073">
      <c r="B17073" s="309"/>
      <c r="C17073" s="309"/>
      <c r="I17073" s="309"/>
      <c r="J17073" s="309"/>
    </row>
    <row r="17074">
      <c r="B17074" s="309"/>
      <c r="C17074" s="309"/>
      <c r="I17074" s="309"/>
      <c r="J17074" s="309"/>
    </row>
    <row r="17075">
      <c r="B17075" s="309"/>
      <c r="C17075" s="309"/>
      <c r="I17075" s="309"/>
      <c r="J17075" s="309"/>
    </row>
    <row r="17076">
      <c r="B17076" s="309"/>
      <c r="C17076" s="309"/>
      <c r="I17076" s="309"/>
      <c r="J17076" s="309"/>
    </row>
    <row r="17077">
      <c r="B17077" s="309"/>
      <c r="C17077" s="309"/>
      <c r="I17077" s="309"/>
      <c r="J17077" s="309"/>
    </row>
    <row r="17078">
      <c r="B17078" s="309"/>
      <c r="C17078" s="309"/>
      <c r="I17078" s="309"/>
      <c r="J17078" s="309"/>
    </row>
    <row r="17079">
      <c r="B17079" s="309"/>
      <c r="C17079" s="309"/>
      <c r="I17079" s="309"/>
      <c r="J17079" s="309"/>
    </row>
    <row r="17080">
      <c r="B17080" s="309"/>
      <c r="C17080" s="309"/>
      <c r="I17080" s="309"/>
      <c r="J17080" s="309"/>
    </row>
    <row r="17081">
      <c r="B17081" s="309"/>
      <c r="C17081" s="309"/>
      <c r="I17081" s="309"/>
      <c r="J17081" s="309"/>
    </row>
    <row r="17082">
      <c r="B17082" s="309"/>
      <c r="C17082" s="309"/>
      <c r="I17082" s="309"/>
      <c r="J17082" s="309"/>
    </row>
    <row r="17083">
      <c r="B17083" s="309"/>
      <c r="C17083" s="309"/>
      <c r="I17083" s="309"/>
      <c r="J17083" s="309"/>
    </row>
    <row r="17084">
      <c r="B17084" s="309"/>
      <c r="C17084" s="309"/>
      <c r="I17084" s="309"/>
      <c r="J17084" s="309"/>
    </row>
    <row r="17085">
      <c r="B17085" s="309"/>
      <c r="C17085" s="309"/>
      <c r="I17085" s="309"/>
      <c r="J17085" s="309"/>
    </row>
    <row r="17086">
      <c r="B17086" s="309"/>
      <c r="C17086" s="309"/>
      <c r="I17086" s="309"/>
      <c r="J17086" s="309"/>
    </row>
    <row r="17087">
      <c r="B17087" s="309"/>
      <c r="C17087" s="309"/>
      <c r="I17087" s="309"/>
      <c r="J17087" s="309"/>
    </row>
    <row r="17088">
      <c r="B17088" s="309"/>
      <c r="C17088" s="309"/>
      <c r="I17088" s="309"/>
      <c r="J17088" s="309"/>
    </row>
    <row r="17089">
      <c r="B17089" s="309"/>
      <c r="C17089" s="309"/>
      <c r="I17089" s="309"/>
      <c r="J17089" s="309"/>
    </row>
    <row r="17090">
      <c r="B17090" s="309"/>
      <c r="C17090" s="309"/>
      <c r="I17090" s="309"/>
      <c r="J17090" s="309"/>
    </row>
    <row r="17091">
      <c r="B17091" s="309"/>
      <c r="C17091" s="309"/>
      <c r="I17091" s="309"/>
      <c r="J17091" s="309"/>
    </row>
    <row r="17092">
      <c r="B17092" s="309"/>
      <c r="C17092" s="309"/>
      <c r="I17092" s="309"/>
      <c r="J17092" s="309"/>
    </row>
    <row r="17093">
      <c r="B17093" s="309"/>
      <c r="C17093" s="309"/>
      <c r="I17093" s="309"/>
      <c r="J17093" s="309"/>
    </row>
    <row r="17094">
      <c r="B17094" s="309"/>
      <c r="C17094" s="309"/>
      <c r="I17094" s="309"/>
      <c r="J17094" s="309"/>
    </row>
    <row r="17095">
      <c r="B17095" s="309"/>
      <c r="C17095" s="309"/>
      <c r="I17095" s="309"/>
      <c r="J17095" s="309"/>
    </row>
    <row r="17096">
      <c r="B17096" s="309"/>
      <c r="C17096" s="309"/>
      <c r="I17096" s="309"/>
      <c r="J17096" s="309"/>
    </row>
    <row r="17097">
      <c r="B17097" s="309"/>
      <c r="C17097" s="309"/>
      <c r="I17097" s="309"/>
      <c r="J17097" s="309"/>
    </row>
    <row r="17098">
      <c r="B17098" s="309"/>
      <c r="C17098" s="309"/>
      <c r="I17098" s="309"/>
      <c r="J17098" s="309"/>
    </row>
    <row r="17099">
      <c r="B17099" s="309"/>
      <c r="C17099" s="309"/>
      <c r="I17099" s="309"/>
      <c r="J17099" s="309"/>
    </row>
    <row r="17100">
      <c r="B17100" s="309"/>
      <c r="C17100" s="309"/>
      <c r="I17100" s="309"/>
      <c r="J17100" s="309"/>
    </row>
    <row r="17101">
      <c r="B17101" s="309"/>
      <c r="C17101" s="309"/>
      <c r="I17101" s="309"/>
      <c r="J17101" s="309"/>
    </row>
    <row r="17102">
      <c r="B17102" s="309"/>
      <c r="C17102" s="309"/>
      <c r="I17102" s="309"/>
      <c r="J17102" s="309"/>
    </row>
    <row r="17103">
      <c r="B17103" s="309"/>
      <c r="C17103" s="309"/>
      <c r="I17103" s="309"/>
      <c r="J17103" s="309"/>
    </row>
    <row r="17104">
      <c r="B17104" s="309"/>
      <c r="C17104" s="309"/>
      <c r="I17104" s="309"/>
      <c r="J17104" s="309"/>
    </row>
    <row r="17105">
      <c r="B17105" s="309"/>
      <c r="C17105" s="309"/>
      <c r="I17105" s="309"/>
      <c r="J17105" s="309"/>
    </row>
    <row r="17106">
      <c r="B17106" s="309"/>
      <c r="C17106" s="309"/>
      <c r="I17106" s="309"/>
      <c r="J17106" s="309"/>
    </row>
    <row r="17107">
      <c r="B17107" s="309"/>
      <c r="C17107" s="309"/>
      <c r="I17107" s="309"/>
      <c r="J17107" s="309"/>
    </row>
    <row r="17108">
      <c r="B17108" s="309"/>
      <c r="C17108" s="309"/>
      <c r="I17108" s="309"/>
      <c r="J17108" s="309"/>
    </row>
    <row r="17109">
      <c r="B17109" s="309"/>
      <c r="C17109" s="309"/>
      <c r="I17109" s="309"/>
      <c r="J17109" s="309"/>
    </row>
    <row r="17110">
      <c r="B17110" s="309"/>
      <c r="C17110" s="309"/>
      <c r="I17110" s="309"/>
      <c r="J17110" s="309"/>
    </row>
    <row r="17111">
      <c r="B17111" s="309"/>
      <c r="C17111" s="309"/>
      <c r="I17111" s="309"/>
      <c r="J17111" s="309"/>
    </row>
    <row r="17112">
      <c r="B17112" s="309"/>
      <c r="C17112" s="309"/>
      <c r="I17112" s="309"/>
      <c r="J17112" s="309"/>
    </row>
    <row r="17113">
      <c r="B17113" s="309"/>
      <c r="C17113" s="309"/>
      <c r="I17113" s="309"/>
      <c r="J17113" s="309"/>
    </row>
    <row r="17114">
      <c r="B17114" s="309"/>
      <c r="C17114" s="309"/>
      <c r="I17114" s="309"/>
      <c r="J17114" s="309"/>
    </row>
    <row r="17115">
      <c r="B17115" s="309"/>
      <c r="C17115" s="309"/>
      <c r="I17115" s="309"/>
      <c r="J17115" s="309"/>
    </row>
    <row r="17116">
      <c r="B17116" s="309"/>
      <c r="C17116" s="309"/>
      <c r="I17116" s="309"/>
      <c r="J17116" s="309"/>
    </row>
    <row r="17117">
      <c r="B17117" s="309"/>
      <c r="C17117" s="309"/>
      <c r="I17117" s="309"/>
      <c r="J17117" s="309"/>
    </row>
    <row r="17118">
      <c r="B17118" s="309"/>
      <c r="C17118" s="309"/>
      <c r="I17118" s="309"/>
      <c r="J17118" s="309"/>
    </row>
    <row r="17119">
      <c r="B17119" s="309"/>
      <c r="C17119" s="309"/>
      <c r="I17119" s="309"/>
      <c r="J17119" s="309"/>
    </row>
    <row r="17120">
      <c r="B17120" s="309"/>
      <c r="C17120" s="309"/>
      <c r="I17120" s="309"/>
      <c r="J17120" s="309"/>
    </row>
    <row r="17121">
      <c r="B17121" s="309"/>
      <c r="C17121" s="309"/>
      <c r="I17121" s="309"/>
      <c r="J17121" s="309"/>
    </row>
    <row r="17122">
      <c r="B17122" s="309"/>
      <c r="C17122" s="309"/>
      <c r="I17122" s="309"/>
      <c r="J17122" s="309"/>
    </row>
    <row r="17123">
      <c r="B17123" s="309"/>
      <c r="C17123" s="309"/>
      <c r="I17123" s="309"/>
      <c r="J17123" s="309"/>
    </row>
    <row r="17124">
      <c r="B17124" s="309"/>
      <c r="C17124" s="309"/>
      <c r="I17124" s="309"/>
      <c r="J17124" s="309"/>
    </row>
    <row r="17125">
      <c r="B17125" s="309"/>
      <c r="C17125" s="309"/>
      <c r="I17125" s="309"/>
      <c r="J17125" s="309"/>
    </row>
    <row r="17126">
      <c r="B17126" s="309"/>
      <c r="C17126" s="309"/>
      <c r="I17126" s="309"/>
      <c r="J17126" s="309"/>
    </row>
    <row r="17127">
      <c r="B17127" s="309"/>
      <c r="C17127" s="309"/>
      <c r="I17127" s="309"/>
      <c r="J17127" s="309"/>
    </row>
    <row r="17128">
      <c r="B17128" s="309"/>
      <c r="C17128" s="309"/>
      <c r="I17128" s="309"/>
      <c r="J17128" s="309"/>
    </row>
    <row r="17129">
      <c r="B17129" s="309"/>
      <c r="C17129" s="309"/>
      <c r="I17129" s="309"/>
      <c r="J17129" s="309"/>
    </row>
    <row r="17130">
      <c r="B17130" s="309"/>
      <c r="C17130" s="309"/>
      <c r="I17130" s="309"/>
      <c r="J17130" s="309"/>
    </row>
    <row r="17131">
      <c r="B17131" s="309"/>
      <c r="C17131" s="309"/>
      <c r="I17131" s="309"/>
      <c r="J17131" s="309"/>
    </row>
    <row r="17132">
      <c r="B17132" s="309"/>
      <c r="C17132" s="309"/>
      <c r="I17132" s="309"/>
      <c r="J17132" s="309"/>
    </row>
    <row r="17133">
      <c r="B17133" s="309"/>
      <c r="C17133" s="309"/>
      <c r="I17133" s="309"/>
      <c r="J17133" s="309"/>
    </row>
    <row r="17134">
      <c r="B17134" s="309"/>
      <c r="C17134" s="309"/>
      <c r="I17134" s="309"/>
      <c r="J17134" s="309"/>
    </row>
    <row r="17135">
      <c r="B17135" s="309"/>
      <c r="C17135" s="309"/>
      <c r="I17135" s="309"/>
      <c r="J17135" s="309"/>
    </row>
    <row r="17136">
      <c r="B17136" s="309"/>
      <c r="C17136" s="309"/>
      <c r="I17136" s="309"/>
      <c r="J17136" s="309"/>
    </row>
    <row r="17137">
      <c r="B17137" s="309"/>
      <c r="C17137" s="309"/>
      <c r="I17137" s="309"/>
      <c r="J17137" s="309"/>
    </row>
    <row r="17138">
      <c r="B17138" s="309"/>
      <c r="C17138" s="309"/>
      <c r="I17138" s="309"/>
      <c r="J17138" s="309"/>
    </row>
    <row r="17139">
      <c r="B17139" s="309"/>
      <c r="C17139" s="309"/>
      <c r="I17139" s="309"/>
      <c r="J17139" s="309"/>
    </row>
    <row r="17140">
      <c r="B17140" s="309"/>
      <c r="C17140" s="309"/>
      <c r="I17140" s="309"/>
      <c r="J17140" s="309"/>
    </row>
    <row r="17141">
      <c r="B17141" s="309"/>
      <c r="C17141" s="309"/>
      <c r="I17141" s="309"/>
      <c r="J17141" s="309"/>
    </row>
    <row r="17142">
      <c r="B17142" s="309"/>
      <c r="C17142" s="309"/>
      <c r="I17142" s="309"/>
      <c r="J17142" s="309"/>
    </row>
    <row r="17143">
      <c r="B17143" s="309"/>
      <c r="C17143" s="309"/>
      <c r="I17143" s="309"/>
      <c r="J17143" s="309"/>
    </row>
    <row r="17144">
      <c r="B17144" s="309"/>
      <c r="C17144" s="309"/>
      <c r="I17144" s="309"/>
      <c r="J17144" s="309"/>
    </row>
    <row r="17145">
      <c r="B17145" s="309"/>
      <c r="C17145" s="309"/>
      <c r="I17145" s="309"/>
      <c r="J17145" s="309"/>
    </row>
    <row r="17146">
      <c r="B17146" s="309"/>
      <c r="C17146" s="309"/>
      <c r="I17146" s="309"/>
      <c r="J17146" s="309"/>
    </row>
    <row r="17147">
      <c r="B17147" s="309"/>
      <c r="C17147" s="309"/>
      <c r="I17147" s="309"/>
      <c r="J17147" s="309"/>
    </row>
    <row r="17148">
      <c r="B17148" s="309"/>
      <c r="C17148" s="309"/>
      <c r="I17148" s="309"/>
      <c r="J17148" s="309"/>
    </row>
    <row r="17149">
      <c r="B17149" s="309"/>
      <c r="C17149" s="309"/>
      <c r="I17149" s="309"/>
      <c r="J17149" s="309"/>
    </row>
    <row r="17150">
      <c r="B17150" s="309"/>
      <c r="C17150" s="309"/>
      <c r="I17150" s="309"/>
      <c r="J17150" s="309"/>
    </row>
    <row r="17151">
      <c r="B17151" s="309"/>
      <c r="C17151" s="309"/>
      <c r="I17151" s="309"/>
      <c r="J17151" s="309"/>
    </row>
    <row r="17152">
      <c r="B17152" s="309"/>
      <c r="C17152" s="309"/>
      <c r="I17152" s="309"/>
      <c r="J17152" s="309"/>
    </row>
    <row r="17153">
      <c r="B17153" s="309"/>
      <c r="C17153" s="309"/>
      <c r="I17153" s="309"/>
      <c r="J17153" s="309"/>
    </row>
    <row r="17154">
      <c r="B17154" s="309"/>
      <c r="C17154" s="309"/>
      <c r="I17154" s="309"/>
      <c r="J17154" s="309"/>
    </row>
    <row r="17155">
      <c r="B17155" s="309"/>
      <c r="C17155" s="309"/>
      <c r="I17155" s="309"/>
      <c r="J17155" s="309"/>
    </row>
    <row r="17156">
      <c r="B17156" s="309"/>
      <c r="C17156" s="309"/>
      <c r="I17156" s="309"/>
      <c r="J17156" s="309"/>
    </row>
    <row r="17157">
      <c r="B17157" s="309"/>
      <c r="C17157" s="309"/>
      <c r="I17157" s="309"/>
      <c r="J17157" s="309"/>
    </row>
    <row r="17158">
      <c r="B17158" s="309"/>
      <c r="C17158" s="309"/>
      <c r="I17158" s="309"/>
      <c r="J17158" s="309"/>
    </row>
    <row r="17159">
      <c r="B17159" s="309"/>
      <c r="C17159" s="309"/>
      <c r="I17159" s="309"/>
      <c r="J17159" s="309"/>
    </row>
    <row r="17160">
      <c r="B17160" s="309"/>
      <c r="C17160" s="309"/>
      <c r="I17160" s="309"/>
      <c r="J17160" s="309"/>
    </row>
    <row r="17161">
      <c r="B17161" s="309"/>
      <c r="C17161" s="309"/>
      <c r="I17161" s="309"/>
      <c r="J17161" s="309"/>
    </row>
    <row r="17162">
      <c r="B17162" s="309"/>
      <c r="C17162" s="309"/>
      <c r="I17162" s="309"/>
      <c r="J17162" s="309"/>
    </row>
    <row r="17163">
      <c r="B17163" s="309"/>
      <c r="C17163" s="309"/>
      <c r="I17163" s="309"/>
      <c r="J17163" s="309"/>
    </row>
    <row r="17164">
      <c r="B17164" s="309"/>
      <c r="C17164" s="309"/>
      <c r="I17164" s="309"/>
      <c r="J17164" s="309"/>
    </row>
    <row r="17165">
      <c r="B17165" s="309"/>
      <c r="C17165" s="309"/>
      <c r="I17165" s="309"/>
      <c r="J17165" s="309"/>
    </row>
    <row r="17166">
      <c r="B17166" s="309"/>
      <c r="C17166" s="309"/>
      <c r="I17166" s="309"/>
      <c r="J17166" s="309"/>
    </row>
    <row r="17167">
      <c r="B17167" s="309"/>
      <c r="C17167" s="309"/>
      <c r="I17167" s="309"/>
      <c r="J17167" s="309"/>
    </row>
    <row r="17168">
      <c r="B17168" s="309"/>
      <c r="C17168" s="309"/>
      <c r="I17168" s="309"/>
      <c r="J17168" s="309"/>
    </row>
    <row r="17169">
      <c r="B17169" s="309"/>
      <c r="C17169" s="309"/>
      <c r="I17169" s="309"/>
      <c r="J17169" s="309"/>
    </row>
    <row r="17170">
      <c r="B17170" s="309"/>
      <c r="C17170" s="309"/>
      <c r="I17170" s="309"/>
      <c r="J17170" s="309"/>
    </row>
    <row r="17171">
      <c r="B17171" s="309"/>
      <c r="C17171" s="309"/>
      <c r="I17171" s="309"/>
      <c r="J17171" s="309"/>
    </row>
    <row r="17172">
      <c r="B17172" s="309"/>
      <c r="C17172" s="309"/>
      <c r="I17172" s="309"/>
      <c r="J17172" s="309"/>
    </row>
    <row r="17173">
      <c r="B17173" s="309"/>
      <c r="C17173" s="309"/>
      <c r="I17173" s="309"/>
      <c r="J17173" s="309"/>
    </row>
    <row r="17174">
      <c r="B17174" s="309"/>
      <c r="C17174" s="309"/>
      <c r="I17174" s="309"/>
      <c r="J17174" s="309"/>
    </row>
    <row r="17175">
      <c r="B17175" s="309"/>
      <c r="C17175" s="309"/>
      <c r="I17175" s="309"/>
      <c r="J17175" s="309"/>
    </row>
    <row r="17176">
      <c r="B17176" s="309"/>
      <c r="C17176" s="309"/>
      <c r="I17176" s="309"/>
      <c r="J17176" s="309"/>
    </row>
    <row r="17177">
      <c r="B17177" s="309"/>
      <c r="C17177" s="309"/>
      <c r="I17177" s="309"/>
      <c r="J17177" s="309"/>
    </row>
    <row r="17178">
      <c r="B17178" s="309"/>
      <c r="C17178" s="309"/>
      <c r="I17178" s="309"/>
      <c r="J17178" s="309"/>
    </row>
    <row r="17179">
      <c r="B17179" s="309"/>
      <c r="C17179" s="309"/>
      <c r="I17179" s="309"/>
      <c r="J17179" s="309"/>
    </row>
    <row r="17180">
      <c r="B17180" s="309"/>
      <c r="C17180" s="309"/>
      <c r="I17180" s="309"/>
      <c r="J17180" s="309"/>
    </row>
    <row r="17181">
      <c r="B17181" s="309"/>
      <c r="C17181" s="309"/>
      <c r="I17181" s="309"/>
      <c r="J17181" s="309"/>
    </row>
    <row r="17182">
      <c r="B17182" s="309"/>
      <c r="C17182" s="309"/>
      <c r="I17182" s="309"/>
      <c r="J17182" s="309"/>
    </row>
    <row r="17183">
      <c r="B17183" s="309"/>
      <c r="C17183" s="309"/>
      <c r="I17183" s="309"/>
      <c r="J17183" s="309"/>
    </row>
    <row r="17184">
      <c r="B17184" s="309"/>
      <c r="C17184" s="309"/>
      <c r="I17184" s="309"/>
      <c r="J17184" s="309"/>
    </row>
    <row r="17185">
      <c r="B17185" s="309"/>
      <c r="C17185" s="309"/>
      <c r="I17185" s="309"/>
      <c r="J17185" s="309"/>
    </row>
    <row r="17186">
      <c r="B17186" s="309"/>
      <c r="C17186" s="309"/>
      <c r="I17186" s="309"/>
      <c r="J17186" s="309"/>
    </row>
    <row r="17187">
      <c r="B17187" s="309"/>
      <c r="C17187" s="309"/>
      <c r="I17187" s="309"/>
      <c r="J17187" s="309"/>
    </row>
    <row r="17188">
      <c r="B17188" s="309"/>
      <c r="C17188" s="309"/>
      <c r="I17188" s="309"/>
      <c r="J17188" s="309"/>
    </row>
    <row r="17189">
      <c r="B17189" s="309"/>
      <c r="C17189" s="309"/>
      <c r="I17189" s="309"/>
      <c r="J17189" s="309"/>
    </row>
    <row r="17190">
      <c r="B17190" s="309"/>
      <c r="C17190" s="309"/>
      <c r="I17190" s="309"/>
      <c r="J17190" s="309"/>
    </row>
    <row r="17191">
      <c r="B17191" s="309"/>
      <c r="C17191" s="309"/>
      <c r="I17191" s="309"/>
      <c r="J17191" s="309"/>
    </row>
    <row r="17192">
      <c r="B17192" s="309"/>
      <c r="C17192" s="309"/>
      <c r="I17192" s="309"/>
      <c r="J17192" s="309"/>
    </row>
    <row r="17193">
      <c r="B17193" s="309"/>
      <c r="C17193" s="309"/>
      <c r="I17193" s="309"/>
      <c r="J17193" s="309"/>
    </row>
    <row r="17194">
      <c r="B17194" s="309"/>
      <c r="C17194" s="309"/>
      <c r="I17194" s="309"/>
      <c r="J17194" s="309"/>
    </row>
    <row r="17195">
      <c r="B17195" s="309"/>
      <c r="C17195" s="309"/>
      <c r="I17195" s="309"/>
      <c r="J17195" s="309"/>
    </row>
    <row r="17196">
      <c r="B17196" s="309"/>
      <c r="C17196" s="309"/>
      <c r="I17196" s="309"/>
      <c r="J17196" s="309"/>
    </row>
    <row r="17197">
      <c r="B17197" s="309"/>
      <c r="C17197" s="309"/>
      <c r="I17197" s="309"/>
      <c r="J17197" s="309"/>
    </row>
    <row r="17198">
      <c r="B17198" s="309"/>
      <c r="C17198" s="309"/>
      <c r="I17198" s="309"/>
      <c r="J17198" s="309"/>
    </row>
    <row r="17199">
      <c r="B17199" s="309"/>
      <c r="C17199" s="309"/>
      <c r="I17199" s="309"/>
      <c r="J17199" s="309"/>
    </row>
    <row r="17200">
      <c r="B17200" s="309"/>
      <c r="C17200" s="309"/>
      <c r="I17200" s="309"/>
      <c r="J17200" s="309"/>
    </row>
    <row r="17201">
      <c r="B17201" s="309"/>
      <c r="C17201" s="309"/>
      <c r="I17201" s="309"/>
      <c r="J17201" s="309"/>
    </row>
    <row r="17202">
      <c r="B17202" s="309"/>
      <c r="C17202" s="309"/>
      <c r="I17202" s="309"/>
      <c r="J17202" s="309"/>
    </row>
    <row r="17203">
      <c r="B17203" s="309"/>
      <c r="C17203" s="309"/>
      <c r="I17203" s="309"/>
      <c r="J17203" s="309"/>
    </row>
    <row r="17204">
      <c r="B17204" s="309"/>
      <c r="C17204" s="309"/>
      <c r="I17204" s="309"/>
      <c r="J17204" s="309"/>
    </row>
    <row r="17205">
      <c r="B17205" s="309"/>
      <c r="C17205" s="309"/>
      <c r="I17205" s="309"/>
      <c r="J17205" s="309"/>
    </row>
    <row r="17206">
      <c r="B17206" s="309"/>
      <c r="C17206" s="309"/>
      <c r="I17206" s="309"/>
      <c r="J17206" s="309"/>
    </row>
    <row r="17207">
      <c r="B17207" s="309"/>
      <c r="C17207" s="309"/>
      <c r="I17207" s="309"/>
      <c r="J17207" s="309"/>
    </row>
    <row r="17208">
      <c r="B17208" s="309"/>
      <c r="C17208" s="309"/>
      <c r="I17208" s="309"/>
      <c r="J17208" s="309"/>
    </row>
    <row r="17209">
      <c r="B17209" s="309"/>
      <c r="C17209" s="309"/>
      <c r="I17209" s="309"/>
      <c r="J17209" s="309"/>
    </row>
    <row r="17210">
      <c r="B17210" s="309"/>
      <c r="C17210" s="309"/>
      <c r="I17210" s="309"/>
      <c r="J17210" s="309"/>
    </row>
    <row r="17211">
      <c r="B17211" s="309"/>
      <c r="C17211" s="309"/>
      <c r="I17211" s="309"/>
      <c r="J17211" s="309"/>
    </row>
    <row r="17212">
      <c r="B17212" s="309"/>
      <c r="C17212" s="309"/>
      <c r="I17212" s="309"/>
      <c r="J17212" s="309"/>
    </row>
    <row r="17213">
      <c r="B17213" s="309"/>
      <c r="C17213" s="309"/>
      <c r="I17213" s="309"/>
      <c r="J17213" s="309"/>
    </row>
    <row r="17214">
      <c r="B17214" s="309"/>
      <c r="C17214" s="309"/>
      <c r="I17214" s="309"/>
      <c r="J17214" s="309"/>
    </row>
    <row r="17215">
      <c r="B17215" s="309"/>
      <c r="C17215" s="309"/>
      <c r="I17215" s="309"/>
      <c r="J17215" s="309"/>
    </row>
    <row r="17216">
      <c r="B17216" s="309"/>
      <c r="C17216" s="309"/>
      <c r="I17216" s="309"/>
      <c r="J17216" s="309"/>
    </row>
    <row r="17217">
      <c r="B17217" s="309"/>
      <c r="C17217" s="309"/>
      <c r="I17217" s="309"/>
      <c r="J17217" s="309"/>
    </row>
    <row r="17218">
      <c r="B17218" s="309"/>
      <c r="C17218" s="309"/>
      <c r="I17218" s="309"/>
      <c r="J17218" s="309"/>
    </row>
    <row r="17219">
      <c r="B17219" s="309"/>
      <c r="C17219" s="309"/>
      <c r="I17219" s="309"/>
      <c r="J17219" s="309"/>
    </row>
    <row r="17220">
      <c r="B17220" s="309"/>
      <c r="C17220" s="309"/>
      <c r="I17220" s="309"/>
      <c r="J17220" s="309"/>
    </row>
    <row r="17221">
      <c r="B17221" s="309"/>
      <c r="C17221" s="309"/>
      <c r="I17221" s="309"/>
      <c r="J17221" s="309"/>
    </row>
    <row r="17222">
      <c r="B17222" s="309"/>
      <c r="C17222" s="309"/>
      <c r="I17222" s="309"/>
      <c r="J17222" s="309"/>
    </row>
    <row r="17223">
      <c r="B17223" s="309"/>
      <c r="C17223" s="309"/>
      <c r="I17223" s="309"/>
      <c r="J17223" s="309"/>
    </row>
    <row r="17224">
      <c r="B17224" s="309"/>
      <c r="C17224" s="309"/>
      <c r="I17224" s="309"/>
      <c r="J17224" s="309"/>
    </row>
    <row r="17225">
      <c r="B17225" s="309"/>
      <c r="C17225" s="309"/>
      <c r="I17225" s="309"/>
      <c r="J17225" s="309"/>
    </row>
    <row r="17226">
      <c r="B17226" s="309"/>
      <c r="C17226" s="309"/>
      <c r="I17226" s="309"/>
      <c r="J17226" s="309"/>
    </row>
    <row r="17227">
      <c r="B17227" s="309"/>
      <c r="C17227" s="309"/>
      <c r="I17227" s="309"/>
      <c r="J17227" s="309"/>
    </row>
    <row r="17228">
      <c r="B17228" s="309"/>
      <c r="C17228" s="309"/>
      <c r="I17228" s="309"/>
      <c r="J17228" s="309"/>
    </row>
    <row r="17229">
      <c r="B17229" s="309"/>
      <c r="C17229" s="309"/>
      <c r="I17229" s="309"/>
      <c r="J17229" s="309"/>
    </row>
    <row r="17230">
      <c r="B17230" s="309"/>
      <c r="C17230" s="309"/>
      <c r="I17230" s="309"/>
      <c r="J17230" s="309"/>
    </row>
    <row r="17231">
      <c r="B17231" s="309"/>
      <c r="C17231" s="309"/>
      <c r="I17231" s="309"/>
      <c r="J17231" s="309"/>
    </row>
    <row r="17232">
      <c r="B17232" s="309"/>
      <c r="C17232" s="309"/>
      <c r="I17232" s="309"/>
      <c r="J17232" s="309"/>
    </row>
    <row r="17233">
      <c r="B17233" s="309"/>
      <c r="C17233" s="309"/>
      <c r="I17233" s="309"/>
      <c r="J17233" s="309"/>
    </row>
    <row r="17234">
      <c r="B17234" s="309"/>
      <c r="C17234" s="309"/>
      <c r="I17234" s="309"/>
      <c r="J17234" s="309"/>
    </row>
    <row r="17235">
      <c r="B17235" s="309"/>
      <c r="C17235" s="309"/>
      <c r="I17235" s="309"/>
      <c r="J17235" s="309"/>
    </row>
    <row r="17236">
      <c r="B17236" s="309"/>
      <c r="C17236" s="309"/>
      <c r="I17236" s="309"/>
      <c r="J17236" s="309"/>
    </row>
    <row r="17237">
      <c r="B17237" s="309"/>
      <c r="C17237" s="309"/>
      <c r="I17237" s="309"/>
      <c r="J17237" s="309"/>
    </row>
    <row r="17238">
      <c r="B17238" s="309"/>
      <c r="C17238" s="309"/>
      <c r="I17238" s="309"/>
      <c r="J17238" s="309"/>
    </row>
    <row r="17239">
      <c r="B17239" s="309"/>
      <c r="C17239" s="309"/>
      <c r="I17239" s="309"/>
      <c r="J17239" s="309"/>
    </row>
    <row r="17240">
      <c r="B17240" s="309"/>
      <c r="C17240" s="309"/>
      <c r="I17240" s="309"/>
      <c r="J17240" s="309"/>
    </row>
    <row r="17241">
      <c r="B17241" s="309"/>
      <c r="C17241" s="309"/>
      <c r="I17241" s="309"/>
      <c r="J17241" s="309"/>
    </row>
    <row r="17242">
      <c r="B17242" s="309"/>
      <c r="C17242" s="309"/>
      <c r="I17242" s="309"/>
      <c r="J17242" s="309"/>
    </row>
    <row r="17243">
      <c r="B17243" s="309"/>
      <c r="C17243" s="309"/>
      <c r="I17243" s="309"/>
      <c r="J17243" s="309"/>
    </row>
    <row r="17244">
      <c r="B17244" s="309"/>
      <c r="C17244" s="309"/>
      <c r="I17244" s="309"/>
      <c r="J17244" s="309"/>
    </row>
    <row r="17245">
      <c r="B17245" s="309"/>
      <c r="C17245" s="309"/>
      <c r="I17245" s="309"/>
      <c r="J17245" s="309"/>
    </row>
    <row r="17246">
      <c r="B17246" s="309"/>
      <c r="C17246" s="309"/>
      <c r="I17246" s="309"/>
      <c r="J17246" s="309"/>
    </row>
    <row r="17247">
      <c r="B17247" s="309"/>
      <c r="C17247" s="309"/>
      <c r="I17247" s="309"/>
      <c r="J17247" s="309"/>
    </row>
    <row r="17248">
      <c r="B17248" s="309"/>
      <c r="C17248" s="309"/>
      <c r="I17248" s="309"/>
      <c r="J17248" s="309"/>
    </row>
    <row r="17249">
      <c r="B17249" s="309"/>
      <c r="C17249" s="309"/>
      <c r="I17249" s="309"/>
      <c r="J17249" s="309"/>
    </row>
    <row r="17250">
      <c r="B17250" s="309"/>
      <c r="C17250" s="309"/>
      <c r="I17250" s="309"/>
      <c r="J17250" s="309"/>
    </row>
    <row r="17251">
      <c r="B17251" s="309"/>
      <c r="C17251" s="309"/>
      <c r="I17251" s="309"/>
      <c r="J17251" s="309"/>
    </row>
    <row r="17252">
      <c r="B17252" s="309"/>
      <c r="C17252" s="309"/>
      <c r="I17252" s="309"/>
      <c r="J17252" s="309"/>
    </row>
    <row r="17253">
      <c r="B17253" s="309"/>
      <c r="C17253" s="309"/>
      <c r="I17253" s="309"/>
      <c r="J17253" s="309"/>
    </row>
    <row r="17254">
      <c r="B17254" s="309"/>
      <c r="C17254" s="309"/>
      <c r="I17254" s="309"/>
      <c r="J17254" s="309"/>
    </row>
    <row r="17255">
      <c r="B17255" s="309"/>
      <c r="C17255" s="309"/>
      <c r="I17255" s="309"/>
      <c r="J17255" s="309"/>
    </row>
    <row r="17256">
      <c r="B17256" s="309"/>
      <c r="C17256" s="309"/>
      <c r="I17256" s="309"/>
      <c r="J17256" s="309"/>
    </row>
    <row r="17257">
      <c r="B17257" s="309"/>
      <c r="C17257" s="309"/>
      <c r="I17257" s="309"/>
      <c r="J17257" s="309"/>
    </row>
    <row r="17258">
      <c r="B17258" s="309"/>
      <c r="C17258" s="309"/>
      <c r="I17258" s="309"/>
      <c r="J17258" s="309"/>
    </row>
    <row r="17259">
      <c r="B17259" s="309"/>
      <c r="C17259" s="309"/>
      <c r="I17259" s="309"/>
      <c r="J17259" s="309"/>
    </row>
    <row r="17260">
      <c r="B17260" s="309"/>
      <c r="C17260" s="309"/>
      <c r="I17260" s="309"/>
      <c r="J17260" s="309"/>
    </row>
    <row r="17261">
      <c r="B17261" s="309"/>
      <c r="C17261" s="309"/>
      <c r="I17261" s="309"/>
      <c r="J17261" s="309"/>
    </row>
    <row r="17262">
      <c r="B17262" s="309"/>
      <c r="C17262" s="309"/>
      <c r="I17262" s="309"/>
      <c r="J17262" s="309"/>
    </row>
    <row r="17263">
      <c r="B17263" s="309"/>
      <c r="C17263" s="309"/>
      <c r="I17263" s="309"/>
      <c r="J17263" s="309"/>
    </row>
    <row r="17264">
      <c r="B17264" s="309"/>
      <c r="C17264" s="309"/>
      <c r="I17264" s="309"/>
      <c r="J17264" s="309"/>
    </row>
    <row r="17265">
      <c r="B17265" s="309"/>
      <c r="C17265" s="309"/>
      <c r="I17265" s="309"/>
      <c r="J17265" s="309"/>
    </row>
    <row r="17266">
      <c r="B17266" s="309"/>
      <c r="C17266" s="309"/>
      <c r="I17266" s="309"/>
      <c r="J17266" s="309"/>
    </row>
    <row r="17267">
      <c r="B17267" s="309"/>
      <c r="C17267" s="309"/>
      <c r="I17267" s="309"/>
      <c r="J17267" s="309"/>
    </row>
    <row r="17268">
      <c r="B17268" s="309"/>
      <c r="C17268" s="309"/>
      <c r="I17268" s="309"/>
      <c r="J17268" s="309"/>
    </row>
    <row r="17269">
      <c r="B17269" s="309"/>
      <c r="C17269" s="309"/>
      <c r="I17269" s="309"/>
      <c r="J17269" s="309"/>
    </row>
    <row r="17270">
      <c r="B17270" s="309"/>
      <c r="C17270" s="309"/>
      <c r="I17270" s="309"/>
      <c r="J17270" s="309"/>
    </row>
    <row r="17271">
      <c r="B17271" s="309"/>
      <c r="C17271" s="309"/>
      <c r="I17271" s="309"/>
      <c r="J17271" s="309"/>
    </row>
    <row r="17272">
      <c r="B17272" s="309"/>
      <c r="C17272" s="309"/>
      <c r="I17272" s="309"/>
      <c r="J17272" s="309"/>
    </row>
    <row r="17273">
      <c r="B17273" s="309"/>
      <c r="C17273" s="309"/>
      <c r="I17273" s="309"/>
      <c r="J17273" s="309"/>
    </row>
    <row r="17274">
      <c r="B17274" s="309"/>
      <c r="C17274" s="309"/>
      <c r="I17274" s="309"/>
      <c r="J17274" s="309"/>
    </row>
    <row r="17275">
      <c r="B17275" s="309"/>
      <c r="C17275" s="309"/>
      <c r="I17275" s="309"/>
      <c r="J17275" s="309"/>
    </row>
    <row r="17276">
      <c r="B17276" s="309"/>
      <c r="C17276" s="309"/>
      <c r="I17276" s="309"/>
      <c r="J17276" s="309"/>
    </row>
    <row r="17277">
      <c r="B17277" s="309"/>
      <c r="C17277" s="309"/>
      <c r="I17277" s="309"/>
      <c r="J17277" s="309"/>
    </row>
    <row r="17278">
      <c r="B17278" s="309"/>
      <c r="C17278" s="309"/>
      <c r="I17278" s="309"/>
      <c r="J17278" s="309"/>
    </row>
    <row r="17279">
      <c r="B17279" s="309"/>
      <c r="C17279" s="309"/>
      <c r="I17279" s="309"/>
      <c r="J17279" s="309"/>
    </row>
    <row r="17280">
      <c r="B17280" s="309"/>
      <c r="C17280" s="309"/>
      <c r="I17280" s="309"/>
      <c r="J17280" s="309"/>
    </row>
    <row r="17281">
      <c r="B17281" s="309"/>
      <c r="C17281" s="309"/>
      <c r="I17281" s="309"/>
      <c r="J17281" s="309"/>
    </row>
    <row r="17282">
      <c r="B17282" s="309"/>
      <c r="C17282" s="309"/>
      <c r="I17282" s="309"/>
      <c r="J17282" s="309"/>
    </row>
    <row r="17283">
      <c r="B17283" s="309"/>
      <c r="C17283" s="309"/>
      <c r="I17283" s="309"/>
      <c r="J17283" s="309"/>
    </row>
    <row r="17284">
      <c r="B17284" s="309"/>
      <c r="C17284" s="309"/>
      <c r="I17284" s="309"/>
      <c r="J17284" s="309"/>
    </row>
    <row r="17285">
      <c r="B17285" s="309"/>
      <c r="C17285" s="309"/>
      <c r="I17285" s="309"/>
      <c r="J17285" s="309"/>
    </row>
    <row r="17286">
      <c r="B17286" s="309"/>
      <c r="C17286" s="309"/>
      <c r="I17286" s="309"/>
      <c r="J17286" s="309"/>
    </row>
    <row r="17287">
      <c r="B17287" s="309"/>
      <c r="C17287" s="309"/>
      <c r="I17287" s="309"/>
      <c r="J17287" s="309"/>
    </row>
    <row r="17288">
      <c r="B17288" s="309"/>
      <c r="C17288" s="309"/>
      <c r="I17288" s="309"/>
      <c r="J17288" s="309"/>
    </row>
    <row r="17289">
      <c r="B17289" s="309"/>
      <c r="C17289" s="309"/>
      <c r="I17289" s="309"/>
      <c r="J17289" s="309"/>
    </row>
    <row r="17290">
      <c r="B17290" s="309"/>
      <c r="C17290" s="309"/>
      <c r="I17290" s="309"/>
      <c r="J17290" s="309"/>
    </row>
    <row r="17291">
      <c r="B17291" s="309"/>
      <c r="C17291" s="309"/>
      <c r="I17291" s="309"/>
      <c r="J17291" s="309"/>
    </row>
    <row r="17292">
      <c r="B17292" s="309"/>
      <c r="C17292" s="309"/>
      <c r="I17292" s="309"/>
      <c r="J17292" s="309"/>
    </row>
    <row r="17293">
      <c r="B17293" s="309"/>
      <c r="C17293" s="309"/>
      <c r="I17293" s="309"/>
      <c r="J17293" s="309"/>
    </row>
    <row r="17294">
      <c r="B17294" s="309"/>
      <c r="C17294" s="309"/>
      <c r="I17294" s="309"/>
      <c r="J17294" s="309"/>
    </row>
    <row r="17295">
      <c r="B17295" s="309"/>
      <c r="C17295" s="309"/>
      <c r="I17295" s="309"/>
      <c r="J17295" s="309"/>
    </row>
    <row r="17296">
      <c r="B17296" s="309"/>
      <c r="C17296" s="309"/>
      <c r="I17296" s="309"/>
      <c r="J17296" s="309"/>
    </row>
    <row r="17297">
      <c r="B17297" s="309"/>
      <c r="C17297" s="309"/>
      <c r="I17297" s="309"/>
      <c r="J17297" s="309"/>
    </row>
    <row r="17298">
      <c r="B17298" s="309"/>
      <c r="C17298" s="309"/>
      <c r="I17298" s="309"/>
      <c r="J17298" s="309"/>
    </row>
    <row r="17299">
      <c r="B17299" s="309"/>
      <c r="C17299" s="309"/>
      <c r="I17299" s="309"/>
      <c r="J17299" s="309"/>
    </row>
    <row r="17300">
      <c r="B17300" s="309"/>
      <c r="C17300" s="309"/>
      <c r="I17300" s="309"/>
      <c r="J17300" s="309"/>
    </row>
    <row r="17301">
      <c r="B17301" s="309"/>
      <c r="C17301" s="309"/>
      <c r="I17301" s="309"/>
      <c r="J17301" s="309"/>
    </row>
    <row r="17302">
      <c r="B17302" s="309"/>
      <c r="C17302" s="309"/>
      <c r="I17302" s="309"/>
      <c r="J17302" s="309"/>
    </row>
    <row r="17303">
      <c r="B17303" s="309"/>
      <c r="C17303" s="309"/>
      <c r="I17303" s="309"/>
      <c r="J17303" s="309"/>
    </row>
    <row r="17304">
      <c r="B17304" s="309"/>
      <c r="C17304" s="309"/>
      <c r="I17304" s="309"/>
      <c r="J17304" s="309"/>
    </row>
    <row r="17305">
      <c r="B17305" s="309"/>
      <c r="C17305" s="309"/>
      <c r="I17305" s="309"/>
      <c r="J17305" s="309"/>
    </row>
    <row r="17306">
      <c r="B17306" s="309"/>
      <c r="C17306" s="309"/>
      <c r="I17306" s="309"/>
      <c r="J17306" s="309"/>
    </row>
    <row r="17307">
      <c r="B17307" s="309"/>
      <c r="C17307" s="309"/>
      <c r="I17307" s="309"/>
      <c r="J17307" s="309"/>
    </row>
    <row r="17308">
      <c r="B17308" s="309"/>
      <c r="C17308" s="309"/>
      <c r="I17308" s="309"/>
      <c r="J17308" s="309"/>
    </row>
    <row r="17309">
      <c r="B17309" s="309"/>
      <c r="C17309" s="309"/>
      <c r="I17309" s="309"/>
      <c r="J17309" s="309"/>
    </row>
    <row r="17310">
      <c r="B17310" s="309"/>
      <c r="C17310" s="309"/>
      <c r="I17310" s="309"/>
      <c r="J17310" s="309"/>
    </row>
    <row r="17311">
      <c r="B17311" s="309"/>
      <c r="C17311" s="309"/>
      <c r="I17311" s="309"/>
      <c r="J17311" s="309"/>
    </row>
    <row r="17312">
      <c r="B17312" s="309"/>
      <c r="C17312" s="309"/>
      <c r="I17312" s="309"/>
      <c r="J17312" s="309"/>
    </row>
    <row r="17313">
      <c r="B17313" s="309"/>
      <c r="C17313" s="309"/>
      <c r="I17313" s="309"/>
      <c r="J17313" s="309"/>
    </row>
    <row r="17314">
      <c r="B17314" s="309"/>
      <c r="C17314" s="309"/>
      <c r="I17314" s="309"/>
      <c r="J17314" s="309"/>
    </row>
    <row r="17315">
      <c r="B17315" s="309"/>
      <c r="C17315" s="309"/>
      <c r="I17315" s="309"/>
      <c r="J17315" s="309"/>
    </row>
    <row r="17316">
      <c r="B17316" s="309"/>
      <c r="C17316" s="309"/>
      <c r="I17316" s="309"/>
      <c r="J17316" s="309"/>
    </row>
    <row r="17317">
      <c r="B17317" s="309"/>
      <c r="C17317" s="309"/>
      <c r="I17317" s="309"/>
      <c r="J17317" s="309"/>
    </row>
    <row r="17318">
      <c r="B17318" s="309"/>
      <c r="C17318" s="309"/>
      <c r="I17318" s="309"/>
      <c r="J17318" s="309"/>
    </row>
    <row r="17319">
      <c r="B17319" s="309"/>
      <c r="C17319" s="309"/>
      <c r="I17319" s="309"/>
      <c r="J17319" s="309"/>
    </row>
    <row r="17320">
      <c r="B17320" s="309"/>
      <c r="C17320" s="309"/>
      <c r="I17320" s="309"/>
      <c r="J17320" s="309"/>
    </row>
    <row r="17321">
      <c r="B17321" s="309"/>
      <c r="C17321" s="309"/>
      <c r="I17321" s="309"/>
      <c r="J17321" s="309"/>
    </row>
    <row r="17322">
      <c r="B17322" s="309"/>
      <c r="C17322" s="309"/>
      <c r="I17322" s="309"/>
      <c r="J17322" s="309"/>
    </row>
    <row r="17323">
      <c r="B17323" s="309"/>
      <c r="C17323" s="309"/>
      <c r="I17323" s="309"/>
      <c r="J17323" s="309"/>
    </row>
    <row r="17324">
      <c r="B17324" s="309"/>
      <c r="C17324" s="309"/>
      <c r="I17324" s="309"/>
      <c r="J17324" s="309"/>
    </row>
    <row r="17325">
      <c r="B17325" s="309"/>
      <c r="C17325" s="309"/>
      <c r="I17325" s="309"/>
      <c r="J17325" s="309"/>
    </row>
    <row r="17326">
      <c r="B17326" s="309"/>
      <c r="C17326" s="309"/>
      <c r="I17326" s="309"/>
      <c r="J17326" s="309"/>
    </row>
    <row r="17327">
      <c r="B17327" s="309"/>
      <c r="C17327" s="309"/>
      <c r="I17327" s="309"/>
      <c r="J17327" s="309"/>
    </row>
    <row r="17328">
      <c r="B17328" s="309"/>
      <c r="C17328" s="309"/>
      <c r="I17328" s="309"/>
      <c r="J17328" s="309"/>
    </row>
    <row r="17329">
      <c r="B17329" s="309"/>
      <c r="C17329" s="309"/>
      <c r="I17329" s="309"/>
      <c r="J17329" s="309"/>
    </row>
    <row r="17330">
      <c r="B17330" s="309"/>
      <c r="C17330" s="309"/>
      <c r="I17330" s="309"/>
      <c r="J17330" s="309"/>
    </row>
    <row r="17331">
      <c r="B17331" s="309"/>
      <c r="C17331" s="309"/>
      <c r="I17331" s="309"/>
      <c r="J17331" s="309"/>
    </row>
    <row r="17332">
      <c r="B17332" s="309"/>
      <c r="C17332" s="309"/>
      <c r="I17332" s="309"/>
      <c r="J17332" s="309"/>
    </row>
    <row r="17333">
      <c r="B17333" s="309"/>
      <c r="C17333" s="309"/>
      <c r="I17333" s="309"/>
      <c r="J17333" s="309"/>
    </row>
    <row r="17334">
      <c r="B17334" s="309"/>
      <c r="C17334" s="309"/>
      <c r="I17334" s="309"/>
      <c r="J17334" s="309"/>
    </row>
    <row r="17335">
      <c r="B17335" s="309"/>
      <c r="C17335" s="309"/>
      <c r="I17335" s="309"/>
      <c r="J17335" s="309"/>
    </row>
    <row r="17336">
      <c r="B17336" s="309"/>
      <c r="C17336" s="309"/>
      <c r="I17336" s="309"/>
      <c r="J17336" s="309"/>
    </row>
    <row r="17337">
      <c r="B17337" s="309"/>
      <c r="C17337" s="309"/>
      <c r="I17337" s="309"/>
      <c r="J17337" s="309"/>
    </row>
    <row r="17338">
      <c r="B17338" s="309"/>
      <c r="C17338" s="309"/>
      <c r="I17338" s="309"/>
      <c r="J17338" s="309"/>
    </row>
    <row r="17339">
      <c r="B17339" s="309"/>
      <c r="C17339" s="309"/>
      <c r="I17339" s="309"/>
      <c r="J17339" s="309"/>
    </row>
    <row r="17340">
      <c r="B17340" s="309"/>
      <c r="C17340" s="309"/>
      <c r="I17340" s="309"/>
      <c r="J17340" s="309"/>
    </row>
    <row r="17341">
      <c r="B17341" s="309"/>
      <c r="C17341" s="309"/>
      <c r="I17341" s="309"/>
      <c r="J17341" s="309"/>
    </row>
    <row r="17342">
      <c r="B17342" s="309"/>
      <c r="C17342" s="309"/>
      <c r="I17342" s="309"/>
      <c r="J17342" s="309"/>
    </row>
    <row r="17343">
      <c r="B17343" s="309"/>
      <c r="C17343" s="309"/>
      <c r="I17343" s="309"/>
      <c r="J17343" s="309"/>
    </row>
    <row r="17344">
      <c r="B17344" s="309"/>
      <c r="C17344" s="309"/>
      <c r="I17344" s="309"/>
      <c r="J17344" s="309"/>
    </row>
    <row r="17345">
      <c r="B17345" s="309"/>
      <c r="C17345" s="309"/>
      <c r="I17345" s="309"/>
      <c r="J17345" s="309"/>
    </row>
    <row r="17346">
      <c r="B17346" s="309"/>
      <c r="C17346" s="309"/>
      <c r="I17346" s="309"/>
      <c r="J17346" s="309"/>
    </row>
    <row r="17347">
      <c r="B17347" s="309"/>
      <c r="C17347" s="309"/>
      <c r="I17347" s="309"/>
      <c r="J17347" s="309"/>
    </row>
    <row r="17348">
      <c r="B17348" s="309"/>
      <c r="C17348" s="309"/>
      <c r="I17348" s="309"/>
      <c r="J17348" s="309"/>
    </row>
    <row r="17349">
      <c r="B17349" s="309"/>
      <c r="C17349" s="309"/>
      <c r="I17349" s="309"/>
      <c r="J17349" s="309"/>
    </row>
    <row r="17350">
      <c r="B17350" s="309"/>
      <c r="C17350" s="309"/>
      <c r="I17350" s="309"/>
      <c r="J17350" s="309"/>
    </row>
    <row r="17351">
      <c r="B17351" s="309"/>
      <c r="C17351" s="309"/>
      <c r="I17351" s="309"/>
      <c r="J17351" s="309"/>
    </row>
    <row r="17352">
      <c r="B17352" s="309"/>
      <c r="C17352" s="309"/>
      <c r="I17352" s="309"/>
      <c r="J17352" s="309"/>
    </row>
    <row r="17353">
      <c r="B17353" s="309"/>
      <c r="C17353" s="309"/>
      <c r="I17353" s="309"/>
      <c r="J17353" s="309"/>
    </row>
    <row r="17354">
      <c r="B17354" s="309"/>
      <c r="C17354" s="309"/>
      <c r="I17354" s="309"/>
      <c r="J17354" s="309"/>
    </row>
    <row r="17355">
      <c r="B17355" s="309"/>
      <c r="C17355" s="309"/>
      <c r="I17355" s="309"/>
      <c r="J17355" s="309"/>
    </row>
    <row r="17356">
      <c r="B17356" s="309"/>
      <c r="C17356" s="309"/>
      <c r="I17356" s="309"/>
      <c r="J17356" s="309"/>
    </row>
    <row r="17357">
      <c r="B17357" s="309"/>
      <c r="C17357" s="309"/>
      <c r="I17357" s="309"/>
      <c r="J17357" s="309"/>
    </row>
    <row r="17358">
      <c r="B17358" s="309"/>
      <c r="C17358" s="309"/>
      <c r="I17358" s="309"/>
      <c r="J17358" s="309"/>
    </row>
    <row r="17359">
      <c r="B17359" s="309"/>
      <c r="C17359" s="309"/>
      <c r="I17359" s="309"/>
      <c r="J17359" s="309"/>
    </row>
    <row r="17360">
      <c r="B17360" s="309"/>
      <c r="C17360" s="309"/>
      <c r="I17360" s="309"/>
      <c r="J17360" s="309"/>
    </row>
    <row r="17361">
      <c r="B17361" s="309"/>
      <c r="C17361" s="309"/>
      <c r="I17361" s="309"/>
      <c r="J17361" s="309"/>
    </row>
    <row r="17362">
      <c r="B17362" s="309"/>
      <c r="C17362" s="309"/>
      <c r="I17362" s="309"/>
      <c r="J17362" s="309"/>
    </row>
    <row r="17363">
      <c r="B17363" s="309"/>
      <c r="C17363" s="309"/>
      <c r="I17363" s="309"/>
      <c r="J17363" s="309"/>
    </row>
    <row r="17364">
      <c r="B17364" s="309"/>
      <c r="C17364" s="309"/>
      <c r="I17364" s="309"/>
      <c r="J17364" s="309"/>
    </row>
    <row r="17365">
      <c r="B17365" s="309"/>
      <c r="C17365" s="309"/>
      <c r="I17365" s="309"/>
      <c r="J17365" s="309"/>
    </row>
    <row r="17366">
      <c r="B17366" s="309"/>
      <c r="C17366" s="309"/>
      <c r="I17366" s="309"/>
      <c r="J17366" s="309"/>
    </row>
    <row r="17367">
      <c r="B17367" s="309"/>
      <c r="C17367" s="309"/>
      <c r="I17367" s="309"/>
      <c r="J17367" s="309"/>
    </row>
    <row r="17368">
      <c r="B17368" s="309"/>
      <c r="C17368" s="309"/>
      <c r="I17368" s="309"/>
      <c r="J17368" s="309"/>
    </row>
    <row r="17369">
      <c r="B17369" s="309"/>
      <c r="C17369" s="309"/>
      <c r="I17369" s="309"/>
      <c r="J17369" s="309"/>
    </row>
    <row r="17370">
      <c r="B17370" s="309"/>
      <c r="C17370" s="309"/>
      <c r="I17370" s="309"/>
      <c r="J17370" s="309"/>
    </row>
    <row r="17371">
      <c r="B17371" s="309"/>
      <c r="C17371" s="309"/>
      <c r="I17371" s="309"/>
      <c r="J17371" s="309"/>
    </row>
    <row r="17372">
      <c r="B17372" s="309"/>
      <c r="C17372" s="309"/>
      <c r="I17372" s="309"/>
      <c r="J17372" s="309"/>
    </row>
    <row r="17373">
      <c r="B17373" s="309"/>
      <c r="C17373" s="309"/>
      <c r="I17373" s="309"/>
      <c r="J17373" s="309"/>
    </row>
    <row r="17374">
      <c r="B17374" s="309"/>
      <c r="C17374" s="309"/>
      <c r="I17374" s="309"/>
      <c r="J17374" s="309"/>
    </row>
    <row r="17375">
      <c r="B17375" s="309"/>
      <c r="C17375" s="309"/>
      <c r="I17375" s="309"/>
      <c r="J17375" s="309"/>
    </row>
    <row r="17376">
      <c r="B17376" s="309"/>
      <c r="C17376" s="309"/>
      <c r="I17376" s="309"/>
      <c r="J17376" s="309"/>
    </row>
    <row r="17377">
      <c r="B17377" s="309"/>
      <c r="C17377" s="309"/>
      <c r="I17377" s="309"/>
      <c r="J17377" s="309"/>
    </row>
    <row r="17378">
      <c r="B17378" s="309"/>
      <c r="C17378" s="309"/>
      <c r="I17378" s="309"/>
      <c r="J17378" s="309"/>
    </row>
    <row r="17379">
      <c r="B17379" s="309"/>
      <c r="C17379" s="309"/>
      <c r="I17379" s="309"/>
      <c r="J17379" s="309"/>
    </row>
    <row r="17380">
      <c r="B17380" s="309"/>
      <c r="C17380" s="309"/>
      <c r="I17380" s="309"/>
      <c r="J17380" s="309"/>
    </row>
    <row r="17381">
      <c r="B17381" s="309"/>
      <c r="C17381" s="309"/>
      <c r="I17381" s="309"/>
      <c r="J17381" s="309"/>
    </row>
    <row r="17382">
      <c r="B17382" s="309"/>
      <c r="C17382" s="309"/>
      <c r="I17382" s="309"/>
      <c r="J17382" s="309"/>
    </row>
    <row r="17383">
      <c r="B17383" s="309"/>
      <c r="C17383" s="309"/>
      <c r="I17383" s="309"/>
      <c r="J17383" s="309"/>
    </row>
    <row r="17384">
      <c r="B17384" s="309"/>
      <c r="C17384" s="309"/>
      <c r="I17384" s="309"/>
      <c r="J17384" s="309"/>
    </row>
    <row r="17385">
      <c r="B17385" s="309"/>
      <c r="C17385" s="309"/>
      <c r="I17385" s="309"/>
      <c r="J17385" s="309"/>
    </row>
    <row r="17386">
      <c r="B17386" s="309"/>
      <c r="C17386" s="309"/>
      <c r="I17386" s="309"/>
      <c r="J17386" s="309"/>
    </row>
    <row r="17387">
      <c r="B17387" s="309"/>
      <c r="C17387" s="309"/>
      <c r="I17387" s="309"/>
      <c r="J17387" s="309"/>
    </row>
    <row r="17388">
      <c r="B17388" s="309"/>
      <c r="C17388" s="309"/>
      <c r="I17388" s="309"/>
      <c r="J17388" s="309"/>
    </row>
    <row r="17389">
      <c r="B17389" s="309"/>
      <c r="C17389" s="309"/>
      <c r="I17389" s="309"/>
      <c r="J17389" s="309"/>
    </row>
    <row r="17390">
      <c r="B17390" s="309"/>
      <c r="C17390" s="309"/>
      <c r="I17390" s="309"/>
      <c r="J17390" s="309"/>
    </row>
    <row r="17391">
      <c r="B17391" s="309"/>
      <c r="C17391" s="309"/>
      <c r="I17391" s="309"/>
      <c r="J17391" s="309"/>
    </row>
    <row r="17392">
      <c r="B17392" s="309"/>
      <c r="C17392" s="309"/>
      <c r="I17392" s="309"/>
      <c r="J17392" s="309"/>
    </row>
    <row r="17393">
      <c r="B17393" s="309"/>
      <c r="C17393" s="309"/>
      <c r="I17393" s="309"/>
      <c r="J17393" s="309"/>
    </row>
    <row r="17394">
      <c r="B17394" s="309"/>
      <c r="C17394" s="309"/>
      <c r="I17394" s="309"/>
      <c r="J17394" s="309"/>
    </row>
    <row r="17395">
      <c r="B17395" s="309"/>
      <c r="C17395" s="309"/>
      <c r="I17395" s="309"/>
      <c r="J17395" s="309"/>
    </row>
    <row r="17396">
      <c r="B17396" s="309"/>
      <c r="C17396" s="309"/>
      <c r="I17396" s="309"/>
      <c r="J17396" s="309"/>
    </row>
    <row r="17397">
      <c r="B17397" s="309"/>
      <c r="C17397" s="309"/>
      <c r="I17397" s="309"/>
      <c r="J17397" s="309"/>
    </row>
    <row r="17398">
      <c r="B17398" s="309"/>
      <c r="C17398" s="309"/>
      <c r="I17398" s="309"/>
      <c r="J17398" s="309"/>
    </row>
    <row r="17399">
      <c r="B17399" s="309"/>
      <c r="C17399" s="309"/>
      <c r="I17399" s="309"/>
      <c r="J17399" s="309"/>
    </row>
    <row r="17400">
      <c r="B17400" s="309"/>
      <c r="C17400" s="309"/>
      <c r="I17400" s="309"/>
      <c r="J17400" s="309"/>
    </row>
    <row r="17401">
      <c r="B17401" s="309"/>
      <c r="C17401" s="309"/>
      <c r="I17401" s="309"/>
      <c r="J17401" s="309"/>
    </row>
    <row r="17402">
      <c r="B17402" s="309"/>
      <c r="C17402" s="309"/>
      <c r="I17402" s="309"/>
      <c r="J17402" s="309"/>
    </row>
    <row r="17403">
      <c r="B17403" s="309"/>
      <c r="C17403" s="309"/>
      <c r="I17403" s="309"/>
      <c r="J17403" s="309"/>
    </row>
    <row r="17404">
      <c r="B17404" s="309"/>
      <c r="C17404" s="309"/>
      <c r="I17404" s="309"/>
      <c r="J17404" s="309"/>
    </row>
    <row r="17405">
      <c r="B17405" s="309"/>
      <c r="C17405" s="309"/>
      <c r="I17405" s="309"/>
      <c r="J17405" s="309"/>
    </row>
    <row r="17406">
      <c r="B17406" s="309"/>
      <c r="C17406" s="309"/>
      <c r="I17406" s="309"/>
      <c r="J17406" s="309"/>
    </row>
    <row r="17407">
      <c r="B17407" s="309"/>
      <c r="C17407" s="309"/>
      <c r="I17407" s="309"/>
      <c r="J17407" s="309"/>
    </row>
    <row r="17408">
      <c r="B17408" s="309"/>
      <c r="C17408" s="309"/>
      <c r="I17408" s="309"/>
      <c r="J17408" s="309"/>
    </row>
    <row r="17409">
      <c r="B17409" s="309"/>
      <c r="C17409" s="309"/>
      <c r="I17409" s="309"/>
      <c r="J17409" s="309"/>
    </row>
    <row r="17410">
      <c r="B17410" s="309"/>
      <c r="C17410" s="309"/>
      <c r="I17410" s="309"/>
      <c r="J17410" s="309"/>
    </row>
    <row r="17411">
      <c r="B17411" s="309"/>
      <c r="C17411" s="309"/>
      <c r="I17411" s="309"/>
      <c r="J17411" s="309"/>
    </row>
    <row r="17412">
      <c r="B17412" s="309"/>
      <c r="C17412" s="309"/>
      <c r="I17412" s="309"/>
      <c r="J17412" s="309"/>
    </row>
    <row r="17413">
      <c r="B17413" s="309"/>
      <c r="C17413" s="309"/>
      <c r="I17413" s="309"/>
      <c r="J17413" s="309"/>
    </row>
    <row r="17414">
      <c r="B17414" s="309"/>
      <c r="C17414" s="309"/>
      <c r="I17414" s="309"/>
      <c r="J17414" s="309"/>
    </row>
    <row r="17415">
      <c r="B17415" s="309"/>
      <c r="C17415" s="309"/>
      <c r="I17415" s="309"/>
      <c r="J17415" s="309"/>
    </row>
    <row r="17416">
      <c r="B17416" s="309"/>
      <c r="C17416" s="309"/>
      <c r="I17416" s="309"/>
      <c r="J17416" s="309"/>
    </row>
    <row r="17417">
      <c r="B17417" s="309"/>
      <c r="C17417" s="309"/>
      <c r="I17417" s="309"/>
      <c r="J17417" s="309"/>
    </row>
    <row r="17418">
      <c r="B17418" s="309"/>
      <c r="C17418" s="309"/>
      <c r="I17418" s="309"/>
      <c r="J17418" s="309"/>
    </row>
    <row r="17419">
      <c r="B17419" s="309"/>
      <c r="C17419" s="309"/>
      <c r="I17419" s="309"/>
      <c r="J17419" s="309"/>
    </row>
    <row r="17420">
      <c r="B17420" s="309"/>
      <c r="C17420" s="309"/>
      <c r="I17420" s="309"/>
      <c r="J17420" s="309"/>
    </row>
    <row r="17421">
      <c r="B17421" s="309"/>
      <c r="C17421" s="309"/>
      <c r="I17421" s="309"/>
      <c r="J17421" s="309"/>
    </row>
    <row r="17422">
      <c r="B17422" s="309"/>
      <c r="C17422" s="309"/>
      <c r="I17422" s="309"/>
      <c r="J17422" s="309"/>
    </row>
    <row r="17423">
      <c r="B17423" s="309"/>
      <c r="C17423" s="309"/>
      <c r="I17423" s="309"/>
      <c r="J17423" s="309"/>
    </row>
    <row r="17424">
      <c r="B17424" s="309"/>
      <c r="C17424" s="309"/>
      <c r="I17424" s="309"/>
      <c r="J17424" s="309"/>
    </row>
    <row r="17425">
      <c r="B17425" s="309"/>
      <c r="C17425" s="309"/>
      <c r="I17425" s="309"/>
      <c r="J17425" s="309"/>
    </row>
    <row r="17426">
      <c r="B17426" s="309"/>
      <c r="C17426" s="309"/>
      <c r="I17426" s="309"/>
      <c r="J17426" s="309"/>
    </row>
    <row r="17427">
      <c r="B17427" s="309"/>
      <c r="C17427" s="309"/>
      <c r="I17427" s="309"/>
      <c r="J17427" s="309"/>
    </row>
    <row r="17428">
      <c r="B17428" s="309"/>
      <c r="C17428" s="309"/>
      <c r="I17428" s="309"/>
      <c r="J17428" s="309"/>
    </row>
    <row r="17429">
      <c r="B17429" s="309"/>
      <c r="C17429" s="309"/>
      <c r="I17429" s="309"/>
      <c r="J17429" s="309"/>
    </row>
    <row r="17430">
      <c r="B17430" s="309"/>
      <c r="C17430" s="309"/>
      <c r="I17430" s="309"/>
      <c r="J17430" s="309"/>
    </row>
    <row r="17431">
      <c r="B17431" s="309"/>
      <c r="C17431" s="309"/>
      <c r="I17431" s="309"/>
      <c r="J17431" s="309"/>
    </row>
    <row r="17432">
      <c r="B17432" s="309"/>
      <c r="C17432" s="309"/>
      <c r="I17432" s="309"/>
      <c r="J17432" s="309"/>
    </row>
    <row r="17433">
      <c r="B17433" s="309"/>
      <c r="C17433" s="309"/>
      <c r="I17433" s="309"/>
      <c r="J17433" s="309"/>
    </row>
    <row r="17434">
      <c r="B17434" s="309"/>
      <c r="C17434" s="309"/>
      <c r="I17434" s="309"/>
      <c r="J17434" s="309"/>
    </row>
    <row r="17435">
      <c r="B17435" s="309"/>
      <c r="C17435" s="309"/>
      <c r="I17435" s="309"/>
      <c r="J17435" s="309"/>
    </row>
    <row r="17436">
      <c r="B17436" s="309"/>
      <c r="C17436" s="309"/>
      <c r="I17436" s="309"/>
      <c r="J17436" s="309"/>
    </row>
    <row r="17437">
      <c r="B17437" s="309"/>
      <c r="C17437" s="309"/>
      <c r="I17437" s="309"/>
      <c r="J17437" s="309"/>
    </row>
    <row r="17438">
      <c r="B17438" s="309"/>
      <c r="C17438" s="309"/>
      <c r="I17438" s="309"/>
      <c r="J17438" s="309"/>
    </row>
    <row r="17439">
      <c r="B17439" s="309"/>
      <c r="C17439" s="309"/>
      <c r="I17439" s="309"/>
      <c r="J17439" s="309"/>
    </row>
    <row r="17440">
      <c r="B17440" s="309"/>
      <c r="C17440" s="309"/>
      <c r="I17440" s="309"/>
      <c r="J17440" s="309"/>
    </row>
    <row r="17441">
      <c r="B17441" s="309"/>
      <c r="C17441" s="309"/>
      <c r="I17441" s="309"/>
      <c r="J17441" s="309"/>
    </row>
    <row r="17442">
      <c r="B17442" s="309"/>
      <c r="C17442" s="309"/>
      <c r="I17442" s="309"/>
      <c r="J17442" s="309"/>
    </row>
    <row r="17443">
      <c r="B17443" s="309"/>
      <c r="C17443" s="309"/>
      <c r="I17443" s="309"/>
      <c r="J17443" s="309"/>
    </row>
    <row r="17444">
      <c r="B17444" s="309"/>
      <c r="C17444" s="309"/>
      <c r="I17444" s="309"/>
      <c r="J17444" s="309"/>
    </row>
    <row r="17445">
      <c r="B17445" s="309"/>
      <c r="C17445" s="309"/>
      <c r="I17445" s="309"/>
      <c r="J17445" s="309"/>
    </row>
    <row r="17446">
      <c r="B17446" s="309"/>
      <c r="C17446" s="309"/>
      <c r="I17446" s="309"/>
      <c r="J17446" s="309"/>
    </row>
    <row r="17447">
      <c r="B17447" s="309"/>
      <c r="C17447" s="309"/>
      <c r="I17447" s="309"/>
      <c r="J17447" s="309"/>
    </row>
    <row r="17448">
      <c r="B17448" s="309"/>
      <c r="C17448" s="309"/>
      <c r="I17448" s="309"/>
      <c r="J17448" s="309"/>
    </row>
    <row r="17449">
      <c r="B17449" s="309"/>
      <c r="C17449" s="309"/>
      <c r="I17449" s="309"/>
      <c r="J17449" s="309"/>
    </row>
    <row r="17450">
      <c r="B17450" s="309"/>
      <c r="C17450" s="309"/>
      <c r="I17450" s="309"/>
      <c r="J17450" s="309"/>
    </row>
    <row r="17451">
      <c r="B17451" s="309"/>
      <c r="C17451" s="309"/>
      <c r="I17451" s="309"/>
      <c r="J17451" s="309"/>
    </row>
    <row r="17452">
      <c r="B17452" s="309"/>
      <c r="C17452" s="309"/>
      <c r="I17452" s="309"/>
      <c r="J17452" s="309"/>
    </row>
    <row r="17453">
      <c r="B17453" s="309"/>
      <c r="C17453" s="309"/>
      <c r="I17453" s="309"/>
      <c r="J17453" s="309"/>
    </row>
    <row r="17454">
      <c r="B17454" s="309"/>
      <c r="C17454" s="309"/>
      <c r="I17454" s="309"/>
      <c r="J17454" s="309"/>
    </row>
    <row r="17455">
      <c r="B17455" s="309"/>
      <c r="C17455" s="309"/>
      <c r="I17455" s="309"/>
      <c r="J17455" s="309"/>
    </row>
    <row r="17456">
      <c r="B17456" s="309"/>
      <c r="C17456" s="309"/>
      <c r="I17456" s="309"/>
      <c r="J17456" s="309"/>
    </row>
    <row r="17457">
      <c r="B17457" s="309"/>
      <c r="C17457" s="309"/>
      <c r="I17457" s="309"/>
      <c r="J17457" s="309"/>
    </row>
    <row r="17458">
      <c r="B17458" s="309"/>
      <c r="C17458" s="309"/>
      <c r="I17458" s="309"/>
      <c r="J17458" s="309"/>
    </row>
    <row r="17459">
      <c r="B17459" s="309"/>
      <c r="C17459" s="309"/>
      <c r="I17459" s="309"/>
      <c r="J17459" s="309"/>
    </row>
    <row r="17460">
      <c r="B17460" s="309"/>
      <c r="C17460" s="309"/>
      <c r="I17460" s="309"/>
      <c r="J17460" s="309"/>
    </row>
    <row r="17461">
      <c r="B17461" s="309"/>
      <c r="C17461" s="309"/>
      <c r="I17461" s="309"/>
      <c r="J17461" s="309"/>
    </row>
    <row r="17462">
      <c r="B17462" s="309"/>
      <c r="C17462" s="309"/>
      <c r="I17462" s="309"/>
      <c r="J17462" s="309"/>
    </row>
    <row r="17463">
      <c r="B17463" s="309"/>
      <c r="C17463" s="309"/>
      <c r="I17463" s="309"/>
      <c r="J17463" s="309"/>
    </row>
    <row r="17464">
      <c r="B17464" s="309"/>
      <c r="C17464" s="309"/>
      <c r="I17464" s="309"/>
      <c r="J17464" s="309"/>
    </row>
    <row r="17465">
      <c r="B17465" s="309"/>
      <c r="C17465" s="309"/>
      <c r="I17465" s="309"/>
      <c r="J17465" s="309"/>
    </row>
    <row r="17466">
      <c r="B17466" s="309"/>
      <c r="C17466" s="309"/>
      <c r="I17466" s="309"/>
      <c r="J17466" s="309"/>
    </row>
    <row r="17467">
      <c r="B17467" s="309"/>
      <c r="C17467" s="309"/>
      <c r="I17467" s="309"/>
      <c r="J17467" s="309"/>
    </row>
    <row r="17468">
      <c r="B17468" s="309"/>
      <c r="C17468" s="309"/>
      <c r="I17468" s="309"/>
      <c r="J17468" s="309"/>
    </row>
    <row r="17469">
      <c r="B17469" s="309"/>
      <c r="C17469" s="309"/>
      <c r="I17469" s="309"/>
      <c r="J17469" s="309"/>
    </row>
    <row r="17470">
      <c r="B17470" s="309"/>
      <c r="C17470" s="309"/>
      <c r="I17470" s="309"/>
      <c r="J17470" s="309"/>
    </row>
    <row r="17471">
      <c r="B17471" s="309"/>
      <c r="C17471" s="309"/>
      <c r="I17471" s="309"/>
      <c r="J17471" s="309"/>
    </row>
    <row r="17472">
      <c r="B17472" s="309"/>
      <c r="C17472" s="309"/>
      <c r="I17472" s="309"/>
      <c r="J17472" s="309"/>
    </row>
    <row r="17473">
      <c r="B17473" s="309"/>
      <c r="C17473" s="309"/>
      <c r="I17473" s="309"/>
      <c r="J17473" s="309"/>
    </row>
    <row r="17474">
      <c r="B17474" s="309"/>
      <c r="C17474" s="309"/>
      <c r="I17474" s="309"/>
      <c r="J17474" s="309"/>
    </row>
    <row r="17475">
      <c r="B17475" s="309"/>
      <c r="C17475" s="309"/>
      <c r="I17475" s="309"/>
      <c r="J17475" s="309"/>
    </row>
    <row r="17476">
      <c r="B17476" s="309"/>
      <c r="C17476" s="309"/>
      <c r="I17476" s="309"/>
      <c r="J17476" s="309"/>
    </row>
    <row r="17477">
      <c r="B17477" s="309"/>
      <c r="C17477" s="309"/>
      <c r="I17477" s="309"/>
      <c r="J17477" s="309"/>
    </row>
    <row r="17478">
      <c r="B17478" s="309"/>
      <c r="C17478" s="309"/>
      <c r="I17478" s="309"/>
      <c r="J17478" s="309"/>
    </row>
    <row r="17479">
      <c r="B17479" s="309"/>
      <c r="C17479" s="309"/>
      <c r="I17479" s="309"/>
      <c r="J17479" s="309"/>
    </row>
    <row r="17480">
      <c r="B17480" s="309"/>
      <c r="C17480" s="309"/>
      <c r="I17480" s="309"/>
      <c r="J17480" s="309"/>
    </row>
    <row r="17481">
      <c r="B17481" s="309"/>
      <c r="C17481" s="309"/>
      <c r="I17481" s="309"/>
      <c r="J17481" s="309"/>
    </row>
    <row r="17482">
      <c r="B17482" s="309"/>
      <c r="C17482" s="309"/>
      <c r="I17482" s="309"/>
      <c r="J17482" s="309"/>
    </row>
    <row r="17483">
      <c r="B17483" s="309"/>
      <c r="C17483" s="309"/>
      <c r="I17483" s="309"/>
      <c r="J17483" s="309"/>
    </row>
    <row r="17484">
      <c r="B17484" s="309"/>
      <c r="C17484" s="309"/>
      <c r="I17484" s="309"/>
      <c r="J17484" s="309"/>
    </row>
    <row r="17485">
      <c r="B17485" s="309"/>
      <c r="C17485" s="309"/>
      <c r="I17485" s="309"/>
      <c r="J17485" s="309"/>
    </row>
    <row r="17486">
      <c r="B17486" s="309"/>
      <c r="C17486" s="309"/>
      <c r="I17486" s="309"/>
      <c r="J17486" s="309"/>
    </row>
    <row r="17487">
      <c r="B17487" s="309"/>
      <c r="C17487" s="309"/>
      <c r="I17487" s="309"/>
      <c r="J17487" s="309"/>
    </row>
    <row r="17488">
      <c r="B17488" s="309"/>
      <c r="C17488" s="309"/>
      <c r="I17488" s="309"/>
      <c r="J17488" s="309"/>
    </row>
    <row r="17489">
      <c r="B17489" s="309"/>
      <c r="C17489" s="309"/>
      <c r="I17489" s="309"/>
      <c r="J17489" s="309"/>
    </row>
    <row r="17490">
      <c r="B17490" s="309"/>
      <c r="C17490" s="309"/>
      <c r="I17490" s="309"/>
      <c r="J17490" s="309"/>
    </row>
    <row r="17491">
      <c r="B17491" s="309"/>
      <c r="C17491" s="309"/>
      <c r="I17491" s="309"/>
      <c r="J17491" s="309"/>
    </row>
    <row r="17492">
      <c r="B17492" s="309"/>
      <c r="C17492" s="309"/>
      <c r="I17492" s="309"/>
      <c r="J17492" s="309"/>
    </row>
    <row r="17493">
      <c r="B17493" s="309"/>
      <c r="C17493" s="309"/>
      <c r="I17493" s="309"/>
      <c r="J17493" s="309"/>
    </row>
    <row r="17494">
      <c r="B17494" s="309"/>
      <c r="C17494" s="309"/>
      <c r="I17494" s="309"/>
      <c r="J17494" s="309"/>
    </row>
    <row r="17495">
      <c r="B17495" s="309"/>
      <c r="C17495" s="309"/>
      <c r="I17495" s="309"/>
      <c r="J17495" s="309"/>
    </row>
    <row r="17496">
      <c r="B17496" s="309"/>
      <c r="C17496" s="309"/>
      <c r="I17496" s="309"/>
      <c r="J17496" s="309"/>
    </row>
    <row r="17497">
      <c r="B17497" s="309"/>
      <c r="C17497" s="309"/>
      <c r="I17497" s="309"/>
      <c r="J17497" s="309"/>
    </row>
    <row r="17498">
      <c r="B17498" s="309"/>
      <c r="C17498" s="309"/>
      <c r="I17498" s="309"/>
      <c r="J17498" s="309"/>
    </row>
    <row r="17499">
      <c r="B17499" s="309"/>
      <c r="C17499" s="309"/>
      <c r="I17499" s="309"/>
      <c r="J17499" s="309"/>
    </row>
    <row r="17500">
      <c r="B17500" s="309"/>
      <c r="C17500" s="309"/>
      <c r="I17500" s="309"/>
      <c r="J17500" s="309"/>
    </row>
    <row r="17501">
      <c r="B17501" s="309"/>
      <c r="C17501" s="309"/>
      <c r="I17501" s="309"/>
      <c r="J17501" s="309"/>
    </row>
    <row r="17502">
      <c r="B17502" s="309"/>
      <c r="C17502" s="309"/>
      <c r="I17502" s="309"/>
      <c r="J17502" s="309"/>
    </row>
    <row r="17503">
      <c r="B17503" s="309"/>
      <c r="C17503" s="309"/>
      <c r="I17503" s="309"/>
      <c r="J17503" s="309"/>
    </row>
    <row r="17504">
      <c r="B17504" s="309"/>
      <c r="C17504" s="309"/>
      <c r="I17504" s="309"/>
      <c r="J17504" s="309"/>
    </row>
    <row r="17505">
      <c r="B17505" s="309"/>
      <c r="C17505" s="309"/>
      <c r="I17505" s="309"/>
      <c r="J17505" s="309"/>
    </row>
    <row r="17506">
      <c r="B17506" s="309"/>
      <c r="C17506" s="309"/>
      <c r="I17506" s="309"/>
      <c r="J17506" s="309"/>
    </row>
    <row r="17507">
      <c r="B17507" s="309"/>
      <c r="C17507" s="309"/>
      <c r="I17507" s="309"/>
      <c r="J17507" s="309"/>
    </row>
    <row r="17508">
      <c r="B17508" s="309"/>
      <c r="C17508" s="309"/>
      <c r="I17508" s="309"/>
      <c r="J17508" s="309"/>
    </row>
    <row r="17509">
      <c r="B17509" s="309"/>
      <c r="C17509" s="309"/>
      <c r="I17509" s="309"/>
      <c r="J17509" s="309"/>
    </row>
    <row r="17510">
      <c r="B17510" s="309"/>
      <c r="C17510" s="309"/>
      <c r="I17510" s="309"/>
      <c r="J17510" s="309"/>
    </row>
    <row r="17511">
      <c r="B17511" s="309"/>
      <c r="C17511" s="309"/>
      <c r="I17511" s="309"/>
      <c r="J17511" s="309"/>
    </row>
    <row r="17512">
      <c r="B17512" s="309"/>
      <c r="C17512" s="309"/>
      <c r="I17512" s="309"/>
      <c r="J17512" s="309"/>
    </row>
    <row r="17513">
      <c r="B17513" s="309"/>
      <c r="C17513" s="309"/>
      <c r="I17513" s="309"/>
      <c r="J17513" s="309"/>
    </row>
    <row r="17514">
      <c r="B17514" s="309"/>
      <c r="C17514" s="309"/>
      <c r="I17514" s="309"/>
      <c r="J17514" s="309"/>
    </row>
    <row r="17515">
      <c r="B17515" s="309"/>
      <c r="C17515" s="309"/>
      <c r="I17515" s="309"/>
      <c r="J17515" s="309"/>
    </row>
    <row r="17516">
      <c r="B17516" s="309"/>
      <c r="C17516" s="309"/>
      <c r="I17516" s="309"/>
      <c r="J17516" s="309"/>
    </row>
    <row r="17517">
      <c r="B17517" s="309"/>
      <c r="C17517" s="309"/>
      <c r="I17517" s="309"/>
      <c r="J17517" s="309"/>
    </row>
    <row r="17518">
      <c r="B17518" s="309"/>
      <c r="C17518" s="309"/>
      <c r="I17518" s="309"/>
      <c r="J17518" s="309"/>
    </row>
    <row r="17519">
      <c r="B17519" s="309"/>
      <c r="C17519" s="309"/>
      <c r="I17519" s="309"/>
      <c r="J17519" s="309"/>
    </row>
    <row r="17520">
      <c r="B17520" s="309"/>
      <c r="C17520" s="309"/>
      <c r="I17520" s="309"/>
      <c r="J17520" s="309"/>
    </row>
    <row r="17521">
      <c r="B17521" s="309"/>
      <c r="C17521" s="309"/>
      <c r="I17521" s="309"/>
      <c r="J17521" s="309"/>
    </row>
    <row r="17522">
      <c r="B17522" s="309"/>
      <c r="C17522" s="309"/>
      <c r="I17522" s="309"/>
      <c r="J17522" s="309"/>
    </row>
    <row r="17523">
      <c r="B17523" s="309"/>
      <c r="C17523" s="309"/>
      <c r="I17523" s="309"/>
      <c r="J17523" s="309"/>
    </row>
    <row r="17524">
      <c r="B17524" s="309"/>
      <c r="C17524" s="309"/>
      <c r="I17524" s="309"/>
      <c r="J17524" s="309"/>
    </row>
    <row r="17525">
      <c r="B17525" s="309"/>
      <c r="C17525" s="309"/>
      <c r="I17525" s="309"/>
      <c r="J17525" s="309"/>
    </row>
    <row r="17526">
      <c r="B17526" s="309"/>
      <c r="C17526" s="309"/>
      <c r="I17526" s="309"/>
      <c r="J17526" s="309"/>
    </row>
    <row r="17527">
      <c r="B17527" s="309"/>
      <c r="C17527" s="309"/>
      <c r="I17527" s="309"/>
      <c r="J17527" s="309"/>
    </row>
    <row r="17528">
      <c r="B17528" s="309"/>
      <c r="C17528" s="309"/>
      <c r="I17528" s="309"/>
      <c r="J17528" s="309"/>
    </row>
    <row r="17529">
      <c r="B17529" s="309"/>
      <c r="C17529" s="309"/>
      <c r="I17529" s="309"/>
      <c r="J17529" s="309"/>
    </row>
    <row r="17530">
      <c r="B17530" s="309"/>
      <c r="C17530" s="309"/>
      <c r="I17530" s="309"/>
      <c r="J17530" s="309"/>
    </row>
    <row r="17531">
      <c r="B17531" s="309"/>
      <c r="C17531" s="309"/>
      <c r="I17531" s="309"/>
      <c r="J17531" s="309"/>
    </row>
    <row r="17532">
      <c r="B17532" s="309"/>
      <c r="C17532" s="309"/>
      <c r="I17532" s="309"/>
      <c r="J17532" s="309"/>
    </row>
    <row r="17533">
      <c r="B17533" s="309"/>
      <c r="C17533" s="309"/>
      <c r="I17533" s="309"/>
      <c r="J17533" s="309"/>
    </row>
    <row r="17534">
      <c r="B17534" s="309"/>
      <c r="C17534" s="309"/>
      <c r="I17534" s="309"/>
      <c r="J17534" s="309"/>
    </row>
    <row r="17535">
      <c r="B17535" s="309"/>
      <c r="C17535" s="309"/>
      <c r="I17535" s="309"/>
      <c r="J17535" s="309"/>
    </row>
    <row r="17536">
      <c r="B17536" s="309"/>
      <c r="C17536" s="309"/>
      <c r="I17536" s="309"/>
      <c r="J17536" s="309"/>
    </row>
    <row r="17537">
      <c r="B17537" s="309"/>
      <c r="C17537" s="309"/>
      <c r="I17537" s="309"/>
      <c r="J17537" s="309"/>
    </row>
    <row r="17538">
      <c r="B17538" s="309"/>
      <c r="C17538" s="309"/>
      <c r="I17538" s="309"/>
      <c r="J17538" s="309"/>
    </row>
    <row r="17539">
      <c r="B17539" s="309"/>
      <c r="C17539" s="309"/>
      <c r="I17539" s="309"/>
      <c r="J17539" s="309"/>
    </row>
    <row r="17540">
      <c r="B17540" s="309"/>
      <c r="C17540" s="309"/>
      <c r="I17540" s="309"/>
      <c r="J17540" s="309"/>
    </row>
    <row r="17541">
      <c r="B17541" s="309"/>
      <c r="C17541" s="309"/>
      <c r="I17541" s="309"/>
      <c r="J17541" s="309"/>
    </row>
    <row r="17542">
      <c r="B17542" s="309"/>
      <c r="C17542" s="309"/>
      <c r="I17542" s="309"/>
      <c r="J17542" s="309"/>
    </row>
    <row r="17543">
      <c r="B17543" s="309"/>
      <c r="C17543" s="309"/>
      <c r="I17543" s="309"/>
      <c r="J17543" s="309"/>
    </row>
    <row r="17544">
      <c r="B17544" s="309"/>
      <c r="C17544" s="309"/>
      <c r="I17544" s="309"/>
      <c r="J17544" s="309"/>
    </row>
    <row r="17545">
      <c r="B17545" s="309"/>
      <c r="C17545" s="309"/>
      <c r="I17545" s="309"/>
      <c r="J17545" s="309"/>
    </row>
    <row r="17546">
      <c r="B17546" s="309"/>
      <c r="C17546" s="309"/>
      <c r="I17546" s="309"/>
      <c r="J17546" s="309"/>
    </row>
    <row r="17547">
      <c r="B17547" s="309"/>
      <c r="C17547" s="309"/>
      <c r="I17547" s="309"/>
      <c r="J17547" s="309"/>
    </row>
    <row r="17548">
      <c r="B17548" s="309"/>
      <c r="C17548" s="309"/>
      <c r="I17548" s="309"/>
      <c r="J17548" s="309"/>
    </row>
    <row r="17549">
      <c r="B17549" s="309"/>
      <c r="C17549" s="309"/>
      <c r="I17549" s="309"/>
      <c r="J17549" s="309"/>
    </row>
    <row r="17550">
      <c r="B17550" s="309"/>
      <c r="C17550" s="309"/>
      <c r="I17550" s="309"/>
      <c r="J17550" s="309"/>
    </row>
    <row r="17551">
      <c r="B17551" s="309"/>
      <c r="C17551" s="309"/>
      <c r="I17551" s="309"/>
      <c r="J17551" s="309"/>
    </row>
    <row r="17552">
      <c r="B17552" s="309"/>
      <c r="C17552" s="309"/>
      <c r="I17552" s="309"/>
      <c r="J17552" s="309"/>
    </row>
    <row r="17553">
      <c r="B17553" s="309"/>
      <c r="C17553" s="309"/>
      <c r="I17553" s="309"/>
      <c r="J17553" s="309"/>
    </row>
    <row r="17554">
      <c r="B17554" s="309"/>
      <c r="C17554" s="309"/>
      <c r="I17554" s="309"/>
      <c r="J17554" s="309"/>
    </row>
    <row r="17555">
      <c r="B17555" s="309"/>
      <c r="C17555" s="309"/>
      <c r="I17555" s="309"/>
      <c r="J17555" s="309"/>
    </row>
    <row r="17556">
      <c r="B17556" s="309"/>
      <c r="C17556" s="309"/>
      <c r="I17556" s="309"/>
      <c r="J17556" s="309"/>
    </row>
    <row r="17557">
      <c r="B17557" s="309"/>
      <c r="C17557" s="309"/>
      <c r="I17557" s="309"/>
      <c r="J17557" s="309"/>
    </row>
    <row r="17558">
      <c r="B17558" s="309"/>
      <c r="C17558" s="309"/>
      <c r="I17558" s="309"/>
      <c r="J17558" s="309"/>
    </row>
    <row r="17559">
      <c r="B17559" s="309"/>
      <c r="C17559" s="309"/>
      <c r="I17559" s="309"/>
      <c r="J17559" s="309"/>
    </row>
    <row r="17560">
      <c r="B17560" s="309"/>
      <c r="C17560" s="309"/>
      <c r="I17560" s="309"/>
      <c r="J17560" s="309"/>
    </row>
    <row r="17561">
      <c r="B17561" s="309"/>
      <c r="C17561" s="309"/>
      <c r="I17561" s="309"/>
      <c r="J17561" s="309"/>
    </row>
    <row r="17562">
      <c r="B17562" s="309"/>
      <c r="C17562" s="309"/>
      <c r="I17562" s="309"/>
      <c r="J17562" s="309"/>
    </row>
    <row r="17563">
      <c r="B17563" s="309"/>
      <c r="C17563" s="309"/>
      <c r="I17563" s="309"/>
      <c r="J17563" s="309"/>
    </row>
    <row r="17564">
      <c r="B17564" s="309"/>
      <c r="C17564" s="309"/>
      <c r="I17564" s="309"/>
      <c r="J17564" s="309"/>
    </row>
    <row r="17565">
      <c r="B17565" s="309"/>
      <c r="C17565" s="309"/>
      <c r="I17565" s="309"/>
      <c r="J17565" s="309"/>
    </row>
    <row r="17566">
      <c r="B17566" s="309"/>
      <c r="C17566" s="309"/>
      <c r="I17566" s="309"/>
      <c r="J17566" s="309"/>
    </row>
    <row r="17567">
      <c r="B17567" s="309"/>
      <c r="C17567" s="309"/>
      <c r="I17567" s="309"/>
      <c r="J17567" s="309"/>
    </row>
    <row r="17568">
      <c r="B17568" s="309"/>
      <c r="C17568" s="309"/>
      <c r="I17568" s="309"/>
      <c r="J17568" s="309"/>
    </row>
    <row r="17569">
      <c r="B17569" s="309"/>
      <c r="C17569" s="309"/>
      <c r="I17569" s="309"/>
      <c r="J17569" s="309"/>
    </row>
    <row r="17570">
      <c r="B17570" s="309"/>
      <c r="C17570" s="309"/>
      <c r="I17570" s="309"/>
      <c r="J17570" s="309"/>
    </row>
    <row r="17571">
      <c r="B17571" s="309"/>
      <c r="C17571" s="309"/>
      <c r="I17571" s="309"/>
      <c r="J17571" s="309"/>
    </row>
    <row r="17572">
      <c r="B17572" s="309"/>
      <c r="C17572" s="309"/>
      <c r="I17572" s="309"/>
      <c r="J17572" s="309"/>
    </row>
    <row r="17573">
      <c r="B17573" s="309"/>
      <c r="C17573" s="309"/>
      <c r="I17573" s="309"/>
      <c r="J17573" s="309"/>
    </row>
    <row r="17574">
      <c r="B17574" s="309"/>
      <c r="C17574" s="309"/>
      <c r="I17574" s="309"/>
      <c r="J17574" s="309"/>
    </row>
    <row r="17575">
      <c r="B17575" s="309"/>
      <c r="C17575" s="309"/>
      <c r="I17575" s="309"/>
      <c r="J17575" s="309"/>
    </row>
    <row r="17576">
      <c r="B17576" s="309"/>
      <c r="C17576" s="309"/>
      <c r="I17576" s="309"/>
      <c r="J17576" s="309"/>
    </row>
    <row r="17577">
      <c r="B17577" s="309"/>
      <c r="C17577" s="309"/>
      <c r="I17577" s="309"/>
      <c r="J17577" s="309"/>
    </row>
    <row r="17578">
      <c r="B17578" s="309"/>
      <c r="C17578" s="309"/>
      <c r="I17578" s="309"/>
      <c r="J17578" s="309"/>
    </row>
    <row r="17579">
      <c r="B17579" s="309"/>
      <c r="C17579" s="309"/>
      <c r="I17579" s="309"/>
      <c r="J17579" s="309"/>
    </row>
    <row r="17580">
      <c r="B17580" s="309"/>
      <c r="C17580" s="309"/>
      <c r="I17580" s="309"/>
      <c r="J17580" s="309"/>
    </row>
    <row r="17581">
      <c r="B17581" s="309"/>
      <c r="C17581" s="309"/>
      <c r="I17581" s="309"/>
      <c r="J17581" s="309"/>
    </row>
    <row r="17582">
      <c r="B17582" s="309"/>
      <c r="C17582" s="309"/>
      <c r="I17582" s="309"/>
      <c r="J17582" s="309"/>
    </row>
    <row r="17583">
      <c r="B17583" s="309"/>
      <c r="C17583" s="309"/>
      <c r="I17583" s="309"/>
      <c r="J17583" s="309"/>
    </row>
    <row r="17584">
      <c r="B17584" s="309"/>
      <c r="C17584" s="309"/>
      <c r="I17584" s="309"/>
      <c r="J17584" s="309"/>
    </row>
    <row r="17585">
      <c r="B17585" s="309"/>
      <c r="C17585" s="309"/>
      <c r="I17585" s="309"/>
      <c r="J17585" s="309"/>
    </row>
    <row r="17586">
      <c r="B17586" s="309"/>
      <c r="C17586" s="309"/>
      <c r="I17586" s="309"/>
      <c r="J17586" s="309"/>
    </row>
    <row r="17587">
      <c r="B17587" s="309"/>
      <c r="C17587" s="309"/>
      <c r="I17587" s="309"/>
      <c r="J17587" s="309"/>
    </row>
    <row r="17588">
      <c r="B17588" s="309"/>
      <c r="C17588" s="309"/>
      <c r="I17588" s="309"/>
      <c r="J17588" s="309"/>
    </row>
    <row r="17589">
      <c r="B17589" s="309"/>
      <c r="C17589" s="309"/>
      <c r="I17589" s="309"/>
      <c r="J17589" s="309"/>
    </row>
    <row r="17590">
      <c r="B17590" s="309"/>
      <c r="C17590" s="309"/>
      <c r="I17590" s="309"/>
      <c r="J17590" s="309"/>
    </row>
    <row r="17591">
      <c r="B17591" s="309"/>
      <c r="C17591" s="309"/>
      <c r="I17591" s="309"/>
      <c r="J17591" s="309"/>
    </row>
    <row r="17592">
      <c r="B17592" s="309"/>
      <c r="C17592" s="309"/>
      <c r="I17592" s="309"/>
      <c r="J17592" s="309"/>
    </row>
    <row r="17593">
      <c r="B17593" s="309"/>
      <c r="C17593" s="309"/>
      <c r="I17593" s="309"/>
      <c r="J17593" s="309"/>
    </row>
    <row r="17594">
      <c r="B17594" s="309"/>
      <c r="C17594" s="309"/>
      <c r="I17594" s="309"/>
      <c r="J17594" s="309"/>
    </row>
    <row r="17595">
      <c r="B17595" s="309"/>
      <c r="C17595" s="309"/>
      <c r="I17595" s="309"/>
      <c r="J17595" s="309"/>
    </row>
    <row r="17596">
      <c r="B17596" s="309"/>
      <c r="C17596" s="309"/>
      <c r="I17596" s="309"/>
      <c r="J17596" s="309"/>
    </row>
    <row r="17597">
      <c r="B17597" s="309"/>
      <c r="C17597" s="309"/>
      <c r="I17597" s="309"/>
      <c r="J17597" s="309"/>
    </row>
    <row r="17598">
      <c r="B17598" s="309"/>
      <c r="C17598" s="309"/>
      <c r="I17598" s="309"/>
      <c r="J17598" s="309"/>
    </row>
    <row r="17599">
      <c r="B17599" s="309"/>
      <c r="C17599" s="309"/>
      <c r="I17599" s="309"/>
      <c r="J17599" s="309"/>
    </row>
    <row r="17600">
      <c r="B17600" s="309"/>
      <c r="C17600" s="309"/>
      <c r="I17600" s="309"/>
      <c r="J17600" s="309"/>
    </row>
    <row r="17601">
      <c r="B17601" s="309"/>
      <c r="C17601" s="309"/>
      <c r="I17601" s="309"/>
      <c r="J17601" s="309"/>
    </row>
    <row r="17602">
      <c r="B17602" s="309"/>
      <c r="C17602" s="309"/>
      <c r="I17602" s="309"/>
      <c r="J17602" s="309"/>
    </row>
    <row r="17603">
      <c r="B17603" s="309"/>
      <c r="C17603" s="309"/>
      <c r="I17603" s="309"/>
      <c r="J17603" s="309"/>
    </row>
    <row r="17604">
      <c r="B17604" s="309"/>
      <c r="C17604" s="309"/>
      <c r="I17604" s="309"/>
      <c r="J17604" s="309"/>
    </row>
    <row r="17605">
      <c r="B17605" s="309"/>
      <c r="C17605" s="309"/>
      <c r="I17605" s="309"/>
      <c r="J17605" s="309"/>
    </row>
    <row r="17606">
      <c r="B17606" s="309"/>
      <c r="C17606" s="309"/>
      <c r="I17606" s="309"/>
      <c r="J17606" s="309"/>
    </row>
    <row r="17607">
      <c r="B17607" s="309"/>
      <c r="C17607" s="309"/>
      <c r="I17607" s="309"/>
      <c r="J17607" s="309"/>
    </row>
    <row r="17608">
      <c r="B17608" s="309"/>
      <c r="C17608" s="309"/>
      <c r="I17608" s="309"/>
      <c r="J17608" s="309"/>
    </row>
    <row r="17609">
      <c r="B17609" s="309"/>
      <c r="C17609" s="309"/>
      <c r="I17609" s="309"/>
      <c r="J17609" s="309"/>
    </row>
    <row r="17610">
      <c r="B17610" s="309"/>
      <c r="C17610" s="309"/>
      <c r="I17610" s="309"/>
      <c r="J17610" s="309"/>
    </row>
    <row r="17611">
      <c r="B17611" s="309"/>
      <c r="C17611" s="309"/>
      <c r="I17611" s="309"/>
      <c r="J17611" s="309"/>
    </row>
    <row r="17612">
      <c r="B17612" s="309"/>
      <c r="C17612" s="309"/>
      <c r="I17612" s="309"/>
      <c r="J17612" s="309"/>
    </row>
    <row r="17613">
      <c r="B17613" s="309"/>
      <c r="C17613" s="309"/>
      <c r="I17613" s="309"/>
      <c r="J17613" s="309"/>
    </row>
    <row r="17614">
      <c r="B17614" s="309"/>
      <c r="C17614" s="309"/>
      <c r="I17614" s="309"/>
      <c r="J17614" s="309"/>
    </row>
    <row r="17615">
      <c r="B17615" s="309"/>
      <c r="C17615" s="309"/>
      <c r="I17615" s="309"/>
      <c r="J17615" s="309"/>
    </row>
    <row r="17616">
      <c r="B17616" s="309"/>
      <c r="C17616" s="309"/>
      <c r="I17616" s="309"/>
      <c r="J17616" s="309"/>
    </row>
    <row r="17617">
      <c r="B17617" s="309"/>
      <c r="C17617" s="309"/>
      <c r="I17617" s="309"/>
      <c r="J17617" s="309"/>
    </row>
    <row r="17618">
      <c r="B17618" s="309"/>
      <c r="C17618" s="309"/>
      <c r="I17618" s="309"/>
      <c r="J17618" s="309"/>
    </row>
    <row r="17619">
      <c r="B17619" s="309"/>
      <c r="C17619" s="309"/>
      <c r="I17619" s="309"/>
      <c r="J17619" s="309"/>
    </row>
    <row r="17620">
      <c r="B17620" s="309"/>
      <c r="C17620" s="309"/>
      <c r="I17620" s="309"/>
      <c r="J17620" s="309"/>
    </row>
    <row r="17621">
      <c r="B17621" s="309"/>
      <c r="C17621" s="309"/>
      <c r="I17621" s="309"/>
      <c r="J17621" s="309"/>
    </row>
    <row r="17622">
      <c r="B17622" s="309"/>
      <c r="C17622" s="309"/>
      <c r="I17622" s="309"/>
      <c r="J17622" s="309"/>
    </row>
    <row r="17623">
      <c r="B17623" s="309"/>
      <c r="C17623" s="309"/>
      <c r="I17623" s="309"/>
      <c r="J17623" s="309"/>
    </row>
    <row r="17624">
      <c r="B17624" s="309"/>
      <c r="C17624" s="309"/>
      <c r="I17624" s="309"/>
      <c r="J17624" s="309"/>
    </row>
    <row r="17625">
      <c r="B17625" s="309"/>
      <c r="C17625" s="309"/>
      <c r="I17625" s="309"/>
      <c r="J17625" s="309"/>
    </row>
    <row r="17626">
      <c r="B17626" s="309"/>
      <c r="C17626" s="309"/>
      <c r="I17626" s="309"/>
      <c r="J17626" s="309"/>
    </row>
    <row r="17627">
      <c r="B17627" s="309"/>
      <c r="C17627" s="309"/>
      <c r="I17627" s="309"/>
      <c r="J17627" s="309"/>
    </row>
    <row r="17628">
      <c r="B17628" s="309"/>
      <c r="C17628" s="309"/>
      <c r="I17628" s="309"/>
      <c r="J17628" s="309"/>
    </row>
    <row r="17629">
      <c r="B17629" s="309"/>
      <c r="C17629" s="309"/>
      <c r="I17629" s="309"/>
      <c r="J17629" s="309"/>
    </row>
    <row r="17630">
      <c r="B17630" s="309"/>
      <c r="C17630" s="309"/>
      <c r="I17630" s="309"/>
      <c r="J17630" s="309"/>
    </row>
    <row r="17631">
      <c r="B17631" s="309"/>
      <c r="C17631" s="309"/>
      <c r="I17631" s="309"/>
      <c r="J17631" s="309"/>
    </row>
    <row r="17632">
      <c r="B17632" s="309"/>
      <c r="C17632" s="309"/>
      <c r="I17632" s="309"/>
      <c r="J17632" s="309"/>
    </row>
    <row r="17633">
      <c r="B17633" s="309"/>
      <c r="C17633" s="309"/>
      <c r="I17633" s="309"/>
      <c r="J17633" s="309"/>
    </row>
    <row r="17634">
      <c r="B17634" s="309"/>
      <c r="C17634" s="309"/>
      <c r="I17634" s="309"/>
      <c r="J17634" s="309"/>
    </row>
    <row r="17635">
      <c r="B17635" s="309"/>
      <c r="C17635" s="309"/>
      <c r="I17635" s="309"/>
      <c r="J17635" s="309"/>
    </row>
    <row r="17636">
      <c r="B17636" s="309"/>
      <c r="C17636" s="309"/>
      <c r="I17636" s="309"/>
      <c r="J17636" s="309"/>
    </row>
    <row r="17637">
      <c r="B17637" s="309"/>
      <c r="C17637" s="309"/>
      <c r="I17637" s="309"/>
      <c r="J17637" s="309"/>
    </row>
    <row r="17638">
      <c r="B17638" s="309"/>
      <c r="C17638" s="309"/>
      <c r="I17638" s="309"/>
      <c r="J17638" s="309"/>
    </row>
    <row r="17639">
      <c r="B17639" s="309"/>
      <c r="C17639" s="309"/>
      <c r="I17639" s="309"/>
      <c r="J17639" s="309"/>
    </row>
    <row r="17640">
      <c r="B17640" s="309"/>
      <c r="C17640" s="309"/>
      <c r="I17640" s="309"/>
      <c r="J17640" s="309"/>
    </row>
    <row r="17641">
      <c r="B17641" s="309"/>
      <c r="C17641" s="309"/>
      <c r="I17641" s="309"/>
      <c r="J17641" s="309"/>
    </row>
    <row r="17642">
      <c r="B17642" s="309"/>
      <c r="C17642" s="309"/>
      <c r="I17642" s="309"/>
      <c r="J17642" s="309"/>
    </row>
    <row r="17643">
      <c r="B17643" s="309"/>
      <c r="C17643" s="309"/>
      <c r="I17643" s="309"/>
      <c r="J17643" s="309"/>
    </row>
    <row r="17644">
      <c r="B17644" s="309"/>
      <c r="C17644" s="309"/>
      <c r="I17644" s="309"/>
      <c r="J17644" s="309"/>
    </row>
    <row r="17645">
      <c r="B17645" s="309"/>
      <c r="C17645" s="309"/>
      <c r="I17645" s="309"/>
      <c r="J17645" s="309"/>
    </row>
    <row r="17646">
      <c r="B17646" s="309"/>
      <c r="C17646" s="309"/>
      <c r="I17646" s="309"/>
      <c r="J17646" s="309"/>
    </row>
    <row r="17647">
      <c r="B17647" s="309"/>
      <c r="C17647" s="309"/>
      <c r="I17647" s="309"/>
      <c r="J17647" s="309"/>
    </row>
    <row r="17648">
      <c r="B17648" s="309"/>
      <c r="C17648" s="309"/>
      <c r="I17648" s="309"/>
      <c r="J17648" s="309"/>
    </row>
    <row r="17649">
      <c r="B17649" s="309"/>
      <c r="C17649" s="309"/>
      <c r="I17649" s="309"/>
      <c r="J17649" s="309"/>
    </row>
    <row r="17650">
      <c r="B17650" s="309"/>
      <c r="C17650" s="309"/>
      <c r="I17650" s="309"/>
      <c r="J17650" s="309"/>
    </row>
    <row r="17651">
      <c r="B17651" s="309"/>
      <c r="C17651" s="309"/>
      <c r="I17651" s="309"/>
      <c r="J17651" s="309"/>
    </row>
    <row r="17652">
      <c r="B17652" s="309"/>
      <c r="C17652" s="309"/>
      <c r="I17652" s="309"/>
      <c r="J17652" s="309"/>
    </row>
    <row r="17653">
      <c r="B17653" s="309"/>
      <c r="C17653" s="309"/>
      <c r="I17653" s="309"/>
      <c r="J17653" s="309"/>
    </row>
    <row r="17654">
      <c r="B17654" s="309"/>
      <c r="C17654" s="309"/>
      <c r="I17654" s="309"/>
      <c r="J17654" s="309"/>
    </row>
    <row r="17655">
      <c r="B17655" s="309"/>
      <c r="C17655" s="309"/>
      <c r="I17655" s="309"/>
      <c r="J17655" s="309"/>
    </row>
    <row r="17656">
      <c r="B17656" s="309"/>
      <c r="C17656" s="309"/>
      <c r="I17656" s="309"/>
      <c r="J17656" s="309"/>
    </row>
    <row r="17657">
      <c r="B17657" s="309"/>
      <c r="C17657" s="309"/>
      <c r="I17657" s="309"/>
      <c r="J17657" s="309"/>
    </row>
    <row r="17658">
      <c r="B17658" s="309"/>
      <c r="C17658" s="309"/>
      <c r="I17658" s="309"/>
      <c r="J17658" s="309"/>
    </row>
    <row r="17659">
      <c r="B17659" s="309"/>
      <c r="C17659" s="309"/>
      <c r="I17659" s="309"/>
      <c r="J17659" s="309"/>
    </row>
    <row r="17660">
      <c r="B17660" s="309"/>
      <c r="C17660" s="309"/>
      <c r="I17660" s="309"/>
      <c r="J17660" s="309"/>
    </row>
    <row r="17661">
      <c r="B17661" s="309"/>
      <c r="C17661" s="309"/>
      <c r="I17661" s="309"/>
      <c r="J17661" s="309"/>
    </row>
    <row r="17662">
      <c r="B17662" s="309"/>
      <c r="C17662" s="309"/>
      <c r="I17662" s="309"/>
      <c r="J17662" s="309"/>
    </row>
    <row r="17663">
      <c r="B17663" s="309"/>
      <c r="C17663" s="309"/>
      <c r="I17663" s="309"/>
      <c r="J17663" s="309"/>
    </row>
    <row r="17664">
      <c r="B17664" s="309"/>
      <c r="C17664" s="309"/>
      <c r="I17664" s="309"/>
      <c r="J17664" s="309"/>
    </row>
    <row r="17665">
      <c r="B17665" s="309"/>
      <c r="C17665" s="309"/>
      <c r="I17665" s="309"/>
      <c r="J17665" s="309"/>
    </row>
    <row r="17666">
      <c r="B17666" s="309"/>
      <c r="C17666" s="309"/>
      <c r="I17666" s="309"/>
      <c r="J17666" s="309"/>
    </row>
    <row r="17667">
      <c r="B17667" s="309"/>
      <c r="C17667" s="309"/>
      <c r="I17667" s="309"/>
      <c r="J17667" s="309"/>
    </row>
    <row r="17668">
      <c r="B17668" s="309"/>
      <c r="C17668" s="309"/>
      <c r="I17668" s="309"/>
      <c r="J17668" s="309"/>
    </row>
    <row r="17669">
      <c r="B17669" s="309"/>
      <c r="C17669" s="309"/>
      <c r="I17669" s="309"/>
      <c r="J17669" s="309"/>
    </row>
    <row r="17670">
      <c r="B17670" s="309"/>
      <c r="C17670" s="309"/>
      <c r="I17670" s="309"/>
      <c r="J17670" s="309"/>
    </row>
    <row r="17671">
      <c r="B17671" s="309"/>
      <c r="C17671" s="309"/>
      <c r="I17671" s="309"/>
      <c r="J17671" s="309"/>
    </row>
    <row r="17672">
      <c r="B17672" s="309"/>
      <c r="C17672" s="309"/>
      <c r="I17672" s="309"/>
      <c r="J17672" s="309"/>
    </row>
    <row r="17673">
      <c r="B17673" s="309"/>
      <c r="C17673" s="309"/>
      <c r="I17673" s="309"/>
      <c r="J17673" s="309"/>
    </row>
    <row r="17674">
      <c r="B17674" s="309"/>
      <c r="C17674" s="309"/>
      <c r="I17674" s="309"/>
      <c r="J17674" s="309"/>
    </row>
    <row r="17675">
      <c r="B17675" s="309"/>
      <c r="C17675" s="309"/>
      <c r="I17675" s="309"/>
      <c r="J17675" s="309"/>
    </row>
    <row r="17676">
      <c r="B17676" s="309"/>
      <c r="C17676" s="309"/>
      <c r="I17676" s="309"/>
      <c r="J17676" s="309"/>
    </row>
    <row r="17677">
      <c r="B17677" s="309"/>
      <c r="C17677" s="309"/>
      <c r="I17677" s="309"/>
      <c r="J17677" s="309"/>
    </row>
    <row r="17678">
      <c r="B17678" s="309"/>
      <c r="C17678" s="309"/>
      <c r="I17678" s="309"/>
      <c r="J17678" s="309"/>
    </row>
    <row r="17679">
      <c r="B17679" s="309"/>
      <c r="C17679" s="309"/>
      <c r="I17679" s="309"/>
      <c r="J17679" s="309"/>
    </row>
    <row r="17680">
      <c r="B17680" s="309"/>
      <c r="C17680" s="309"/>
      <c r="I17680" s="309"/>
      <c r="J17680" s="309"/>
    </row>
    <row r="17681">
      <c r="B17681" s="309"/>
      <c r="C17681" s="309"/>
      <c r="I17681" s="309"/>
      <c r="J17681" s="309"/>
    </row>
    <row r="17682">
      <c r="B17682" s="309"/>
      <c r="C17682" s="309"/>
      <c r="I17682" s="309"/>
      <c r="J17682" s="309"/>
    </row>
    <row r="17683">
      <c r="B17683" s="309"/>
      <c r="C17683" s="309"/>
      <c r="I17683" s="309"/>
      <c r="J17683" s="309"/>
    </row>
    <row r="17684">
      <c r="B17684" s="309"/>
      <c r="C17684" s="309"/>
      <c r="I17684" s="309"/>
      <c r="J17684" s="309"/>
    </row>
    <row r="17685">
      <c r="B17685" s="309"/>
      <c r="C17685" s="309"/>
      <c r="I17685" s="309"/>
      <c r="J17685" s="309"/>
    </row>
    <row r="17686">
      <c r="B17686" s="309"/>
      <c r="C17686" s="309"/>
      <c r="I17686" s="309"/>
      <c r="J17686" s="309"/>
    </row>
    <row r="17687">
      <c r="B17687" s="309"/>
      <c r="C17687" s="309"/>
      <c r="I17687" s="309"/>
      <c r="J17687" s="309"/>
    </row>
    <row r="17688">
      <c r="B17688" s="309"/>
      <c r="C17688" s="309"/>
      <c r="I17688" s="309"/>
      <c r="J17688" s="309"/>
    </row>
    <row r="17689">
      <c r="B17689" s="309"/>
      <c r="C17689" s="309"/>
      <c r="I17689" s="309"/>
      <c r="J17689" s="309"/>
    </row>
    <row r="17690">
      <c r="B17690" s="309"/>
      <c r="C17690" s="309"/>
      <c r="I17690" s="309"/>
      <c r="J17690" s="309"/>
    </row>
    <row r="17691">
      <c r="B17691" s="309"/>
      <c r="C17691" s="309"/>
      <c r="I17691" s="309"/>
      <c r="J17691" s="309"/>
    </row>
    <row r="17692">
      <c r="B17692" s="309"/>
      <c r="C17692" s="309"/>
      <c r="I17692" s="309"/>
      <c r="J17692" s="309"/>
    </row>
    <row r="17693">
      <c r="B17693" s="309"/>
      <c r="C17693" s="309"/>
      <c r="I17693" s="309"/>
      <c r="J17693" s="309"/>
    </row>
    <row r="17694">
      <c r="B17694" s="309"/>
      <c r="C17694" s="309"/>
      <c r="I17694" s="309"/>
      <c r="J17694" s="309"/>
    </row>
    <row r="17695">
      <c r="B17695" s="309"/>
      <c r="C17695" s="309"/>
      <c r="I17695" s="309"/>
      <c r="J17695" s="309"/>
    </row>
    <row r="17696">
      <c r="B17696" s="309"/>
      <c r="C17696" s="309"/>
      <c r="I17696" s="309"/>
      <c r="J17696" s="309"/>
    </row>
    <row r="17697">
      <c r="B17697" s="309"/>
      <c r="C17697" s="309"/>
      <c r="I17697" s="309"/>
      <c r="J17697" s="309"/>
    </row>
    <row r="17698">
      <c r="B17698" s="309"/>
      <c r="C17698" s="309"/>
      <c r="I17698" s="309"/>
      <c r="J17698" s="309"/>
    </row>
    <row r="17699">
      <c r="B17699" s="309"/>
      <c r="C17699" s="309"/>
      <c r="I17699" s="309"/>
      <c r="J17699" s="309"/>
    </row>
    <row r="17700">
      <c r="B17700" s="309"/>
      <c r="C17700" s="309"/>
      <c r="I17700" s="309"/>
      <c r="J17700" s="309"/>
    </row>
    <row r="17701">
      <c r="B17701" s="309"/>
      <c r="C17701" s="309"/>
      <c r="I17701" s="309"/>
      <c r="J17701" s="309"/>
    </row>
    <row r="17702">
      <c r="B17702" s="309"/>
      <c r="C17702" s="309"/>
      <c r="I17702" s="309"/>
      <c r="J17702" s="309"/>
    </row>
    <row r="17703">
      <c r="B17703" s="309"/>
      <c r="C17703" s="309"/>
      <c r="I17703" s="309"/>
      <c r="J17703" s="309"/>
    </row>
    <row r="17704">
      <c r="B17704" s="309"/>
      <c r="C17704" s="309"/>
      <c r="I17704" s="309"/>
      <c r="J17704" s="309"/>
    </row>
    <row r="17705">
      <c r="B17705" s="309"/>
      <c r="C17705" s="309"/>
      <c r="I17705" s="309"/>
      <c r="J17705" s="309"/>
    </row>
    <row r="17706">
      <c r="B17706" s="309"/>
      <c r="C17706" s="309"/>
      <c r="I17706" s="309"/>
      <c r="J17706" s="309"/>
    </row>
    <row r="17707">
      <c r="B17707" s="309"/>
      <c r="C17707" s="309"/>
      <c r="I17707" s="309"/>
      <c r="J17707" s="309"/>
    </row>
    <row r="17708">
      <c r="B17708" s="309"/>
      <c r="C17708" s="309"/>
      <c r="I17708" s="309"/>
      <c r="J17708" s="309"/>
    </row>
    <row r="17709">
      <c r="B17709" s="309"/>
      <c r="C17709" s="309"/>
      <c r="I17709" s="309"/>
      <c r="J17709" s="309"/>
    </row>
    <row r="17710">
      <c r="B17710" s="309"/>
      <c r="C17710" s="309"/>
      <c r="I17710" s="309"/>
      <c r="J17710" s="309"/>
    </row>
    <row r="17711">
      <c r="B17711" s="309"/>
      <c r="C17711" s="309"/>
      <c r="I17711" s="309"/>
      <c r="J17711" s="309"/>
    </row>
    <row r="17712">
      <c r="B17712" s="309"/>
      <c r="C17712" s="309"/>
      <c r="I17712" s="309"/>
      <c r="J17712" s="309"/>
    </row>
    <row r="17713">
      <c r="B17713" s="309"/>
      <c r="C17713" s="309"/>
      <c r="I17713" s="309"/>
      <c r="J17713" s="309"/>
    </row>
    <row r="17714">
      <c r="B17714" s="309"/>
      <c r="C17714" s="309"/>
      <c r="I17714" s="309"/>
      <c r="J17714" s="309"/>
    </row>
    <row r="17715">
      <c r="B17715" s="309"/>
      <c r="C17715" s="309"/>
      <c r="I17715" s="309"/>
      <c r="J17715" s="309"/>
    </row>
    <row r="17716">
      <c r="B17716" s="309"/>
      <c r="C17716" s="309"/>
      <c r="I17716" s="309"/>
      <c r="J17716" s="309"/>
    </row>
    <row r="17717">
      <c r="B17717" s="309"/>
      <c r="C17717" s="309"/>
      <c r="I17717" s="309"/>
      <c r="J17717" s="309"/>
    </row>
    <row r="17718">
      <c r="B17718" s="309"/>
      <c r="C17718" s="309"/>
      <c r="I17718" s="309"/>
      <c r="J17718" s="309"/>
    </row>
    <row r="17719">
      <c r="B17719" s="309"/>
      <c r="C17719" s="309"/>
      <c r="I17719" s="309"/>
      <c r="J17719" s="309"/>
    </row>
    <row r="17720">
      <c r="B17720" s="309"/>
      <c r="C17720" s="309"/>
      <c r="I17720" s="309"/>
      <c r="J17720" s="309"/>
    </row>
    <row r="17721">
      <c r="B17721" s="309"/>
      <c r="C17721" s="309"/>
      <c r="I17721" s="309"/>
      <c r="J17721" s="309"/>
    </row>
    <row r="17722">
      <c r="B17722" s="309"/>
      <c r="C17722" s="309"/>
      <c r="I17722" s="309"/>
      <c r="J17722" s="309"/>
    </row>
    <row r="17723">
      <c r="B17723" s="309"/>
      <c r="C17723" s="309"/>
      <c r="I17723" s="309"/>
      <c r="J17723" s="309"/>
    </row>
    <row r="17724">
      <c r="B17724" s="309"/>
      <c r="C17724" s="309"/>
      <c r="I17724" s="309"/>
      <c r="J17724" s="309"/>
    </row>
    <row r="17725">
      <c r="B17725" s="309"/>
      <c r="C17725" s="309"/>
      <c r="I17725" s="309"/>
      <c r="J17725" s="309"/>
    </row>
    <row r="17726">
      <c r="B17726" s="309"/>
      <c r="C17726" s="309"/>
      <c r="I17726" s="309"/>
      <c r="J17726" s="309"/>
    </row>
    <row r="17727">
      <c r="B17727" s="309"/>
      <c r="C17727" s="309"/>
      <c r="I17727" s="309"/>
      <c r="J17727" s="309"/>
    </row>
    <row r="17728">
      <c r="B17728" s="309"/>
      <c r="C17728" s="309"/>
      <c r="I17728" s="309"/>
      <c r="J17728" s="309"/>
    </row>
    <row r="17729">
      <c r="B17729" s="309"/>
      <c r="C17729" s="309"/>
      <c r="I17729" s="309"/>
      <c r="J17729" s="309"/>
    </row>
    <row r="17730">
      <c r="B17730" s="309"/>
      <c r="C17730" s="309"/>
      <c r="I17730" s="309"/>
      <c r="J17730" s="309"/>
    </row>
    <row r="17731">
      <c r="B17731" s="309"/>
      <c r="C17731" s="309"/>
      <c r="I17731" s="309"/>
      <c r="J17731" s="309"/>
    </row>
    <row r="17732">
      <c r="B17732" s="309"/>
      <c r="C17732" s="309"/>
      <c r="I17732" s="309"/>
      <c r="J17732" s="309"/>
    </row>
    <row r="17733">
      <c r="B17733" s="309"/>
      <c r="C17733" s="309"/>
      <c r="I17733" s="309"/>
      <c r="J17733" s="309"/>
    </row>
    <row r="17734">
      <c r="B17734" s="309"/>
      <c r="C17734" s="309"/>
      <c r="I17734" s="309"/>
      <c r="J17734" s="309"/>
    </row>
    <row r="17735">
      <c r="B17735" s="309"/>
      <c r="C17735" s="309"/>
      <c r="I17735" s="309"/>
      <c r="J17735" s="309"/>
    </row>
    <row r="17736">
      <c r="B17736" s="309"/>
      <c r="C17736" s="309"/>
      <c r="I17736" s="309"/>
      <c r="J17736" s="309"/>
    </row>
    <row r="17737">
      <c r="B17737" s="309"/>
      <c r="C17737" s="309"/>
      <c r="I17737" s="309"/>
      <c r="J17737" s="309"/>
    </row>
    <row r="17738">
      <c r="B17738" s="309"/>
      <c r="C17738" s="309"/>
      <c r="I17738" s="309"/>
      <c r="J17738" s="309"/>
    </row>
    <row r="17739">
      <c r="B17739" s="309"/>
      <c r="C17739" s="309"/>
      <c r="I17739" s="309"/>
      <c r="J17739" s="309"/>
    </row>
    <row r="17740">
      <c r="B17740" s="309"/>
      <c r="C17740" s="309"/>
      <c r="I17740" s="309"/>
      <c r="J17740" s="309"/>
    </row>
    <row r="17741">
      <c r="B17741" s="309"/>
      <c r="C17741" s="309"/>
      <c r="I17741" s="309"/>
      <c r="J17741" s="309"/>
    </row>
    <row r="17742">
      <c r="B17742" s="309"/>
      <c r="C17742" s="309"/>
      <c r="I17742" s="309"/>
      <c r="J17742" s="309"/>
    </row>
    <row r="17743">
      <c r="B17743" s="309"/>
      <c r="C17743" s="309"/>
      <c r="I17743" s="309"/>
      <c r="J17743" s="309"/>
    </row>
    <row r="17744">
      <c r="B17744" s="309"/>
      <c r="C17744" s="309"/>
      <c r="I17744" s="309"/>
      <c r="J17744" s="309"/>
    </row>
    <row r="17745">
      <c r="B17745" s="309"/>
      <c r="C17745" s="309"/>
      <c r="I17745" s="309"/>
      <c r="J17745" s="309"/>
    </row>
    <row r="17746">
      <c r="B17746" s="309"/>
      <c r="C17746" s="309"/>
      <c r="I17746" s="309"/>
      <c r="J17746" s="309"/>
    </row>
    <row r="17747">
      <c r="B17747" s="309"/>
      <c r="C17747" s="309"/>
      <c r="I17747" s="309"/>
      <c r="J17747" s="309"/>
    </row>
    <row r="17748">
      <c r="B17748" s="309"/>
      <c r="C17748" s="309"/>
      <c r="I17748" s="309"/>
      <c r="J17748" s="309"/>
    </row>
    <row r="17749">
      <c r="B17749" s="309"/>
      <c r="C17749" s="309"/>
      <c r="I17749" s="309"/>
      <c r="J17749" s="309"/>
    </row>
    <row r="17750">
      <c r="B17750" s="309"/>
      <c r="C17750" s="309"/>
      <c r="I17750" s="309"/>
      <c r="J17750" s="309"/>
    </row>
    <row r="17751">
      <c r="B17751" s="309"/>
      <c r="C17751" s="309"/>
      <c r="I17751" s="309"/>
      <c r="J17751" s="309"/>
    </row>
    <row r="17752">
      <c r="B17752" s="309"/>
      <c r="C17752" s="309"/>
      <c r="I17752" s="309"/>
      <c r="J17752" s="309"/>
    </row>
    <row r="17753">
      <c r="B17753" s="309"/>
      <c r="C17753" s="309"/>
      <c r="I17753" s="309"/>
      <c r="J17753" s="309"/>
    </row>
    <row r="17754">
      <c r="B17754" s="309"/>
      <c r="C17754" s="309"/>
      <c r="I17754" s="309"/>
      <c r="J17754" s="309"/>
    </row>
    <row r="17755">
      <c r="B17755" s="309"/>
      <c r="C17755" s="309"/>
      <c r="I17755" s="309"/>
      <c r="J17755" s="309"/>
    </row>
    <row r="17756">
      <c r="B17756" s="309"/>
      <c r="C17756" s="309"/>
      <c r="I17756" s="309"/>
      <c r="J17756" s="309"/>
    </row>
    <row r="17757">
      <c r="B17757" s="309"/>
      <c r="C17757" s="309"/>
      <c r="I17757" s="309"/>
      <c r="J17757" s="309"/>
    </row>
    <row r="17758">
      <c r="B17758" s="309"/>
      <c r="C17758" s="309"/>
      <c r="I17758" s="309"/>
      <c r="J17758" s="309"/>
    </row>
    <row r="17759">
      <c r="B17759" s="309"/>
      <c r="C17759" s="309"/>
      <c r="I17759" s="309"/>
      <c r="J17759" s="309"/>
    </row>
    <row r="17760">
      <c r="B17760" s="309"/>
      <c r="C17760" s="309"/>
      <c r="I17760" s="309"/>
      <c r="J17760" s="309"/>
    </row>
    <row r="17761">
      <c r="B17761" s="309"/>
      <c r="C17761" s="309"/>
      <c r="I17761" s="309"/>
      <c r="J17761" s="309"/>
    </row>
    <row r="17762">
      <c r="B17762" s="309"/>
      <c r="C17762" s="309"/>
      <c r="I17762" s="309"/>
      <c r="J17762" s="309"/>
    </row>
    <row r="17763">
      <c r="B17763" s="309"/>
      <c r="C17763" s="309"/>
      <c r="I17763" s="309"/>
      <c r="J17763" s="309"/>
    </row>
    <row r="17764">
      <c r="B17764" s="309"/>
      <c r="C17764" s="309"/>
      <c r="I17764" s="309"/>
      <c r="J17764" s="309"/>
    </row>
    <row r="17765">
      <c r="B17765" s="309"/>
      <c r="C17765" s="309"/>
      <c r="I17765" s="309"/>
      <c r="J17765" s="309"/>
    </row>
    <row r="17766">
      <c r="B17766" s="309"/>
      <c r="C17766" s="309"/>
      <c r="I17766" s="309"/>
      <c r="J17766" s="309"/>
    </row>
    <row r="17767">
      <c r="B17767" s="309"/>
      <c r="C17767" s="309"/>
      <c r="I17767" s="309"/>
      <c r="J17767" s="309"/>
    </row>
    <row r="17768">
      <c r="B17768" s="309"/>
      <c r="C17768" s="309"/>
      <c r="I17768" s="309"/>
      <c r="J17768" s="309"/>
    </row>
    <row r="17769">
      <c r="B17769" s="309"/>
      <c r="C17769" s="309"/>
      <c r="I17769" s="309"/>
      <c r="J17769" s="309"/>
    </row>
    <row r="17770">
      <c r="B17770" s="309"/>
      <c r="C17770" s="309"/>
      <c r="I17770" s="309"/>
      <c r="J17770" s="309"/>
    </row>
    <row r="17771">
      <c r="B17771" s="309"/>
      <c r="C17771" s="309"/>
      <c r="I17771" s="309"/>
      <c r="J17771" s="309"/>
    </row>
    <row r="17772">
      <c r="B17772" s="309"/>
      <c r="C17772" s="309"/>
      <c r="I17772" s="309"/>
      <c r="J17772" s="309"/>
    </row>
    <row r="17773">
      <c r="B17773" s="309"/>
      <c r="C17773" s="309"/>
      <c r="I17773" s="309"/>
      <c r="J17773" s="309"/>
    </row>
    <row r="17774">
      <c r="B17774" s="309"/>
      <c r="C17774" s="309"/>
      <c r="I17774" s="309"/>
      <c r="J17774" s="309"/>
    </row>
    <row r="17775">
      <c r="B17775" s="309"/>
      <c r="C17775" s="309"/>
      <c r="I17775" s="309"/>
      <c r="J17775" s="309"/>
    </row>
    <row r="17776">
      <c r="B17776" s="309"/>
      <c r="C17776" s="309"/>
      <c r="I17776" s="309"/>
      <c r="J17776" s="309"/>
    </row>
    <row r="17777">
      <c r="B17777" s="309"/>
      <c r="C17777" s="309"/>
      <c r="I17777" s="309"/>
      <c r="J17777" s="309"/>
    </row>
    <row r="17778">
      <c r="B17778" s="309"/>
      <c r="C17778" s="309"/>
      <c r="I17778" s="309"/>
      <c r="J17778" s="309"/>
    </row>
    <row r="17779">
      <c r="B17779" s="309"/>
      <c r="C17779" s="309"/>
      <c r="I17779" s="309"/>
      <c r="J17779" s="309"/>
    </row>
    <row r="17780">
      <c r="B17780" s="309"/>
      <c r="C17780" s="309"/>
      <c r="I17780" s="309"/>
      <c r="J17780" s="309"/>
    </row>
    <row r="17781">
      <c r="B17781" s="309"/>
      <c r="C17781" s="309"/>
      <c r="I17781" s="309"/>
      <c r="J17781" s="309"/>
    </row>
    <row r="17782">
      <c r="B17782" s="309"/>
      <c r="C17782" s="309"/>
      <c r="I17782" s="309"/>
      <c r="J17782" s="309"/>
    </row>
    <row r="17783">
      <c r="B17783" s="309"/>
      <c r="C17783" s="309"/>
      <c r="I17783" s="309"/>
      <c r="J17783" s="309"/>
    </row>
    <row r="17784">
      <c r="B17784" s="309"/>
      <c r="C17784" s="309"/>
      <c r="I17784" s="309"/>
      <c r="J17784" s="309"/>
    </row>
    <row r="17785">
      <c r="B17785" s="309"/>
      <c r="C17785" s="309"/>
      <c r="I17785" s="309"/>
      <c r="J17785" s="309"/>
    </row>
    <row r="17786">
      <c r="B17786" s="309"/>
      <c r="C17786" s="309"/>
      <c r="I17786" s="309"/>
      <c r="J17786" s="309"/>
    </row>
    <row r="17787">
      <c r="B17787" s="309"/>
      <c r="C17787" s="309"/>
      <c r="I17787" s="309"/>
      <c r="J17787" s="309"/>
    </row>
    <row r="17788">
      <c r="B17788" s="309"/>
      <c r="C17788" s="309"/>
      <c r="I17788" s="309"/>
      <c r="J17788" s="309"/>
    </row>
    <row r="17789">
      <c r="B17789" s="309"/>
      <c r="C17789" s="309"/>
      <c r="I17789" s="309"/>
      <c r="J17789" s="309"/>
    </row>
    <row r="17790">
      <c r="B17790" s="309"/>
      <c r="C17790" s="309"/>
      <c r="I17790" s="309"/>
      <c r="J17790" s="309"/>
    </row>
    <row r="17791">
      <c r="B17791" s="309"/>
      <c r="C17791" s="309"/>
      <c r="I17791" s="309"/>
      <c r="J17791" s="309"/>
    </row>
    <row r="17792">
      <c r="B17792" s="309"/>
      <c r="C17792" s="309"/>
      <c r="I17792" s="309"/>
      <c r="J17792" s="309"/>
    </row>
    <row r="17793">
      <c r="B17793" s="309"/>
      <c r="C17793" s="309"/>
      <c r="I17793" s="309"/>
      <c r="J17793" s="309"/>
    </row>
    <row r="17794">
      <c r="B17794" s="309"/>
      <c r="C17794" s="309"/>
      <c r="I17794" s="309"/>
      <c r="J17794" s="309"/>
    </row>
    <row r="17795">
      <c r="B17795" s="309"/>
      <c r="C17795" s="309"/>
      <c r="I17795" s="309"/>
      <c r="J17795" s="309"/>
    </row>
    <row r="17796">
      <c r="B17796" s="309"/>
      <c r="C17796" s="309"/>
      <c r="I17796" s="309"/>
      <c r="J17796" s="309"/>
    </row>
    <row r="17797">
      <c r="B17797" s="309"/>
      <c r="C17797" s="309"/>
      <c r="I17797" s="309"/>
      <c r="J17797" s="309"/>
    </row>
    <row r="17798">
      <c r="B17798" s="309"/>
      <c r="C17798" s="309"/>
      <c r="I17798" s="309"/>
      <c r="J17798" s="309"/>
    </row>
    <row r="17799">
      <c r="B17799" s="309"/>
      <c r="C17799" s="309"/>
      <c r="I17799" s="309"/>
      <c r="J17799" s="309"/>
    </row>
    <row r="17800">
      <c r="B17800" s="309"/>
      <c r="C17800" s="309"/>
      <c r="I17800" s="309"/>
      <c r="J17800" s="309"/>
    </row>
    <row r="17801">
      <c r="B17801" s="309"/>
      <c r="C17801" s="309"/>
      <c r="I17801" s="309"/>
      <c r="J17801" s="309"/>
    </row>
    <row r="17802">
      <c r="B17802" s="309"/>
      <c r="C17802" s="309"/>
      <c r="I17802" s="309"/>
      <c r="J17802" s="309"/>
    </row>
    <row r="17803">
      <c r="B17803" s="309"/>
      <c r="C17803" s="309"/>
      <c r="I17803" s="309"/>
      <c r="J17803" s="309"/>
    </row>
    <row r="17804">
      <c r="B17804" s="309"/>
      <c r="C17804" s="309"/>
      <c r="I17804" s="309"/>
      <c r="J17804" s="309"/>
    </row>
    <row r="17805">
      <c r="B17805" s="309"/>
      <c r="C17805" s="309"/>
      <c r="I17805" s="309"/>
      <c r="J17805" s="309"/>
    </row>
    <row r="17806">
      <c r="B17806" s="309"/>
      <c r="C17806" s="309"/>
      <c r="I17806" s="309"/>
      <c r="J17806" s="309"/>
    </row>
    <row r="17807">
      <c r="B17807" s="309"/>
      <c r="C17807" s="309"/>
      <c r="I17807" s="309"/>
      <c r="J17807" s="309"/>
    </row>
    <row r="17808">
      <c r="B17808" s="309"/>
      <c r="C17808" s="309"/>
      <c r="I17808" s="309"/>
      <c r="J17808" s="309"/>
    </row>
    <row r="17809">
      <c r="B17809" s="309"/>
      <c r="C17809" s="309"/>
      <c r="I17809" s="309"/>
      <c r="J17809" s="309"/>
    </row>
    <row r="17810">
      <c r="B17810" s="309"/>
      <c r="C17810" s="309"/>
      <c r="I17810" s="309"/>
      <c r="J17810" s="309"/>
    </row>
    <row r="17811">
      <c r="B17811" s="309"/>
      <c r="C17811" s="309"/>
      <c r="I17811" s="309"/>
      <c r="J17811" s="309"/>
    </row>
    <row r="17812">
      <c r="B17812" s="309"/>
      <c r="C17812" s="309"/>
      <c r="I17812" s="309"/>
      <c r="J17812" s="309"/>
    </row>
    <row r="17813">
      <c r="B17813" s="309"/>
      <c r="C17813" s="309"/>
      <c r="I17813" s="309"/>
      <c r="J17813" s="309"/>
    </row>
    <row r="17814">
      <c r="B17814" s="309"/>
      <c r="C17814" s="309"/>
      <c r="I17814" s="309"/>
      <c r="J17814" s="309"/>
    </row>
    <row r="17815">
      <c r="B17815" s="309"/>
      <c r="C17815" s="309"/>
      <c r="I17815" s="309"/>
      <c r="J17815" s="309"/>
    </row>
    <row r="17816">
      <c r="B17816" s="309"/>
      <c r="C17816" s="309"/>
      <c r="I17816" s="309"/>
      <c r="J17816" s="309"/>
    </row>
    <row r="17817">
      <c r="B17817" s="309"/>
      <c r="C17817" s="309"/>
      <c r="I17817" s="309"/>
      <c r="J17817" s="309"/>
    </row>
    <row r="17818">
      <c r="B17818" s="309"/>
      <c r="C17818" s="309"/>
      <c r="I17818" s="309"/>
      <c r="J17818" s="309"/>
    </row>
    <row r="17819">
      <c r="B17819" s="309"/>
      <c r="C17819" s="309"/>
      <c r="I17819" s="309"/>
      <c r="J17819" s="309"/>
    </row>
    <row r="17820">
      <c r="B17820" s="309"/>
      <c r="C17820" s="309"/>
      <c r="I17820" s="309"/>
      <c r="J17820" s="309"/>
    </row>
    <row r="17821">
      <c r="B17821" s="309"/>
      <c r="C17821" s="309"/>
      <c r="I17821" s="309"/>
      <c r="J17821" s="309"/>
    </row>
    <row r="17822">
      <c r="B17822" s="309"/>
      <c r="C17822" s="309"/>
      <c r="I17822" s="309"/>
      <c r="J17822" s="309"/>
    </row>
    <row r="17823">
      <c r="B17823" s="309"/>
      <c r="C17823" s="309"/>
      <c r="I17823" s="309"/>
      <c r="J17823" s="309"/>
    </row>
    <row r="17824">
      <c r="B17824" s="309"/>
      <c r="C17824" s="309"/>
      <c r="I17824" s="309"/>
      <c r="J17824" s="309"/>
    </row>
    <row r="17825">
      <c r="B17825" s="309"/>
      <c r="C17825" s="309"/>
      <c r="I17825" s="309"/>
      <c r="J17825" s="309"/>
    </row>
    <row r="17826">
      <c r="B17826" s="309"/>
      <c r="C17826" s="309"/>
      <c r="I17826" s="309"/>
      <c r="J17826" s="309"/>
    </row>
    <row r="17827">
      <c r="B17827" s="309"/>
      <c r="C17827" s="309"/>
      <c r="I17827" s="309"/>
      <c r="J17827" s="309"/>
    </row>
    <row r="17828">
      <c r="B17828" s="309"/>
      <c r="C17828" s="309"/>
      <c r="I17828" s="309"/>
      <c r="J17828" s="309"/>
    </row>
    <row r="17829">
      <c r="B17829" s="309"/>
      <c r="C17829" s="309"/>
      <c r="I17829" s="309"/>
      <c r="J17829" s="309"/>
    </row>
    <row r="17830">
      <c r="B17830" s="309"/>
      <c r="C17830" s="309"/>
      <c r="I17830" s="309"/>
      <c r="J17830" s="309"/>
    </row>
    <row r="17831">
      <c r="B17831" s="309"/>
      <c r="C17831" s="309"/>
      <c r="I17831" s="309"/>
      <c r="J17831" s="309"/>
    </row>
    <row r="17832">
      <c r="B17832" s="309"/>
      <c r="C17832" s="309"/>
      <c r="I17832" s="309"/>
      <c r="J17832" s="309"/>
    </row>
    <row r="17833">
      <c r="B17833" s="309"/>
      <c r="C17833" s="309"/>
      <c r="I17833" s="309"/>
      <c r="J17833" s="309"/>
    </row>
    <row r="17834">
      <c r="B17834" s="309"/>
      <c r="C17834" s="309"/>
      <c r="I17834" s="309"/>
      <c r="J17834" s="309"/>
    </row>
    <row r="17835">
      <c r="B17835" s="309"/>
      <c r="C17835" s="309"/>
      <c r="I17835" s="309"/>
      <c r="J17835" s="309"/>
    </row>
    <row r="17836">
      <c r="B17836" s="309"/>
      <c r="C17836" s="309"/>
      <c r="I17836" s="309"/>
      <c r="J17836" s="309"/>
    </row>
    <row r="17837">
      <c r="B17837" s="309"/>
      <c r="C17837" s="309"/>
      <c r="I17837" s="309"/>
      <c r="J17837" s="309"/>
    </row>
    <row r="17838">
      <c r="B17838" s="309"/>
      <c r="C17838" s="309"/>
      <c r="I17838" s="309"/>
      <c r="J17838" s="309"/>
    </row>
    <row r="17839">
      <c r="B17839" s="309"/>
      <c r="C17839" s="309"/>
      <c r="I17839" s="309"/>
      <c r="J17839" s="309"/>
    </row>
    <row r="17840">
      <c r="B17840" s="309"/>
      <c r="C17840" s="309"/>
      <c r="I17840" s="309"/>
      <c r="J17840" s="309"/>
    </row>
    <row r="17841">
      <c r="B17841" s="309"/>
      <c r="C17841" s="309"/>
      <c r="I17841" s="309"/>
      <c r="J17841" s="309"/>
    </row>
    <row r="17842">
      <c r="B17842" s="309"/>
      <c r="C17842" s="309"/>
      <c r="I17842" s="309"/>
      <c r="J17842" s="309"/>
    </row>
    <row r="17843">
      <c r="B17843" s="309"/>
      <c r="C17843" s="309"/>
      <c r="I17843" s="309"/>
      <c r="J17843" s="309"/>
    </row>
    <row r="17844">
      <c r="B17844" s="309"/>
      <c r="C17844" s="309"/>
      <c r="I17844" s="309"/>
      <c r="J17844" s="309"/>
    </row>
    <row r="17845">
      <c r="B17845" s="309"/>
      <c r="C17845" s="309"/>
      <c r="I17845" s="309"/>
      <c r="J17845" s="309"/>
    </row>
    <row r="17846">
      <c r="B17846" s="309"/>
      <c r="C17846" s="309"/>
      <c r="I17846" s="309"/>
      <c r="J17846" s="309"/>
    </row>
    <row r="17847">
      <c r="B17847" s="309"/>
      <c r="C17847" s="309"/>
      <c r="I17847" s="309"/>
      <c r="J17847" s="309"/>
    </row>
    <row r="17848">
      <c r="B17848" s="309"/>
      <c r="C17848" s="309"/>
      <c r="I17848" s="309"/>
      <c r="J17848" s="309"/>
    </row>
    <row r="17849">
      <c r="B17849" s="309"/>
      <c r="C17849" s="309"/>
      <c r="I17849" s="309"/>
      <c r="J17849" s="309"/>
    </row>
    <row r="17850">
      <c r="B17850" s="309"/>
      <c r="C17850" s="309"/>
      <c r="I17850" s="309"/>
      <c r="J17850" s="309"/>
    </row>
    <row r="17851">
      <c r="B17851" s="309"/>
      <c r="C17851" s="309"/>
      <c r="I17851" s="309"/>
      <c r="J17851" s="309"/>
    </row>
    <row r="17852">
      <c r="B17852" s="309"/>
      <c r="C17852" s="309"/>
      <c r="I17852" s="309"/>
      <c r="J17852" s="309"/>
    </row>
    <row r="17853">
      <c r="B17853" s="309"/>
      <c r="C17853" s="309"/>
      <c r="I17853" s="309"/>
      <c r="J17853" s="309"/>
    </row>
    <row r="17854">
      <c r="B17854" s="309"/>
      <c r="C17854" s="309"/>
      <c r="I17854" s="309"/>
      <c r="J17854" s="309"/>
    </row>
    <row r="17855">
      <c r="B17855" s="309"/>
      <c r="C17855" s="309"/>
      <c r="I17855" s="309"/>
      <c r="J17855" s="309"/>
    </row>
    <row r="17856">
      <c r="B17856" s="309"/>
      <c r="C17856" s="309"/>
      <c r="I17856" s="309"/>
      <c r="J17856" s="309"/>
    </row>
    <row r="17857">
      <c r="B17857" s="309"/>
      <c r="C17857" s="309"/>
      <c r="I17857" s="309"/>
      <c r="J17857" s="309"/>
    </row>
    <row r="17858">
      <c r="B17858" s="309"/>
      <c r="C17858" s="309"/>
      <c r="I17858" s="309"/>
      <c r="J17858" s="309"/>
    </row>
    <row r="17859">
      <c r="B17859" s="309"/>
      <c r="C17859" s="309"/>
      <c r="I17859" s="309"/>
      <c r="J17859" s="309"/>
    </row>
    <row r="17860">
      <c r="B17860" s="309"/>
      <c r="C17860" s="309"/>
      <c r="I17860" s="309"/>
      <c r="J17860" s="309"/>
    </row>
    <row r="17861">
      <c r="B17861" s="309"/>
      <c r="C17861" s="309"/>
      <c r="I17861" s="309"/>
      <c r="J17861" s="309"/>
    </row>
    <row r="17862">
      <c r="B17862" s="309"/>
      <c r="C17862" s="309"/>
      <c r="I17862" s="309"/>
      <c r="J17862" s="309"/>
    </row>
    <row r="17863">
      <c r="B17863" s="309"/>
      <c r="C17863" s="309"/>
      <c r="I17863" s="309"/>
      <c r="J17863" s="309"/>
    </row>
    <row r="17864">
      <c r="B17864" s="309"/>
      <c r="C17864" s="309"/>
      <c r="I17864" s="309"/>
      <c r="J17864" s="309"/>
    </row>
    <row r="17865">
      <c r="B17865" s="309"/>
      <c r="C17865" s="309"/>
      <c r="I17865" s="309"/>
      <c r="J17865" s="309"/>
    </row>
    <row r="17866">
      <c r="B17866" s="309"/>
      <c r="C17866" s="309"/>
      <c r="I17866" s="309"/>
      <c r="J17866" s="309"/>
    </row>
    <row r="17867">
      <c r="B17867" s="309"/>
      <c r="C17867" s="309"/>
      <c r="I17867" s="309"/>
      <c r="J17867" s="309"/>
    </row>
    <row r="17868">
      <c r="B17868" s="309"/>
      <c r="C17868" s="309"/>
      <c r="I17868" s="309"/>
      <c r="J17868" s="309"/>
    </row>
    <row r="17869">
      <c r="B17869" s="309"/>
      <c r="C17869" s="309"/>
      <c r="I17869" s="309"/>
      <c r="J17869" s="309"/>
    </row>
    <row r="17870">
      <c r="B17870" s="309"/>
      <c r="C17870" s="309"/>
      <c r="I17870" s="309"/>
      <c r="J17870" s="309"/>
    </row>
    <row r="17871">
      <c r="B17871" s="309"/>
      <c r="C17871" s="309"/>
      <c r="I17871" s="309"/>
      <c r="J17871" s="309"/>
    </row>
    <row r="17872">
      <c r="B17872" s="309"/>
      <c r="C17872" s="309"/>
      <c r="I17872" s="309"/>
      <c r="J17872" s="309"/>
    </row>
    <row r="17873">
      <c r="B17873" s="309"/>
      <c r="C17873" s="309"/>
      <c r="I17873" s="309"/>
      <c r="J17873" s="309"/>
    </row>
    <row r="17874">
      <c r="B17874" s="309"/>
      <c r="C17874" s="309"/>
      <c r="I17874" s="309"/>
      <c r="J17874" s="309"/>
    </row>
    <row r="17875">
      <c r="B17875" s="309"/>
      <c r="C17875" s="309"/>
      <c r="I17875" s="309"/>
      <c r="J17875" s="309"/>
    </row>
    <row r="17876">
      <c r="B17876" s="309"/>
      <c r="C17876" s="309"/>
      <c r="I17876" s="309"/>
      <c r="J17876" s="309"/>
    </row>
    <row r="17877">
      <c r="B17877" s="309"/>
      <c r="C17877" s="309"/>
      <c r="I17877" s="309"/>
      <c r="J17877" s="309"/>
    </row>
    <row r="17878">
      <c r="B17878" s="309"/>
      <c r="C17878" s="309"/>
      <c r="I17878" s="309"/>
      <c r="J17878" s="309"/>
    </row>
    <row r="17879">
      <c r="B17879" s="309"/>
      <c r="C17879" s="309"/>
      <c r="I17879" s="309"/>
      <c r="J17879" s="309"/>
    </row>
    <row r="17880">
      <c r="B17880" s="309"/>
      <c r="C17880" s="309"/>
      <c r="I17880" s="309"/>
      <c r="J17880" s="309"/>
    </row>
    <row r="17881">
      <c r="B17881" s="309"/>
      <c r="C17881" s="309"/>
      <c r="I17881" s="309"/>
      <c r="J17881" s="309"/>
    </row>
    <row r="17882">
      <c r="B17882" s="309"/>
      <c r="C17882" s="309"/>
      <c r="I17882" s="309"/>
      <c r="J17882" s="309"/>
    </row>
    <row r="17883">
      <c r="B17883" s="309"/>
      <c r="C17883" s="309"/>
      <c r="I17883" s="309"/>
      <c r="J17883" s="309"/>
    </row>
    <row r="17884">
      <c r="B17884" s="309"/>
      <c r="C17884" s="309"/>
      <c r="I17884" s="309"/>
      <c r="J17884" s="309"/>
    </row>
    <row r="17885">
      <c r="B17885" s="309"/>
      <c r="C17885" s="309"/>
      <c r="I17885" s="309"/>
      <c r="J17885" s="309"/>
    </row>
    <row r="17886">
      <c r="B17886" s="309"/>
      <c r="C17886" s="309"/>
      <c r="I17886" s="309"/>
      <c r="J17886" s="309"/>
    </row>
    <row r="17887">
      <c r="B17887" s="309"/>
      <c r="C17887" s="309"/>
      <c r="I17887" s="309"/>
      <c r="J17887" s="309"/>
    </row>
    <row r="17888">
      <c r="B17888" s="309"/>
      <c r="C17888" s="309"/>
      <c r="I17888" s="309"/>
      <c r="J17888" s="309"/>
    </row>
    <row r="17889">
      <c r="B17889" s="309"/>
      <c r="C17889" s="309"/>
      <c r="I17889" s="309"/>
      <c r="J17889" s="309"/>
    </row>
    <row r="17890">
      <c r="B17890" s="309"/>
      <c r="C17890" s="309"/>
      <c r="I17890" s="309"/>
      <c r="J17890" s="309"/>
    </row>
    <row r="17891">
      <c r="B17891" s="309"/>
      <c r="C17891" s="309"/>
      <c r="I17891" s="309"/>
      <c r="J17891" s="309"/>
    </row>
    <row r="17892">
      <c r="B17892" s="309"/>
      <c r="C17892" s="309"/>
      <c r="I17892" s="309"/>
      <c r="J17892" s="309"/>
    </row>
    <row r="17893">
      <c r="B17893" s="309"/>
      <c r="C17893" s="309"/>
      <c r="I17893" s="309"/>
      <c r="J17893" s="309"/>
    </row>
    <row r="17894">
      <c r="B17894" s="309"/>
      <c r="C17894" s="309"/>
      <c r="I17894" s="309"/>
      <c r="J17894" s="309"/>
    </row>
    <row r="17895">
      <c r="B17895" s="309"/>
      <c r="C17895" s="309"/>
      <c r="I17895" s="309"/>
      <c r="J17895" s="309"/>
    </row>
    <row r="17896">
      <c r="B17896" s="309"/>
      <c r="C17896" s="309"/>
      <c r="I17896" s="309"/>
      <c r="J17896" s="309"/>
    </row>
    <row r="17897">
      <c r="B17897" s="309"/>
      <c r="C17897" s="309"/>
      <c r="I17897" s="309"/>
      <c r="J17897" s="309"/>
    </row>
    <row r="17898">
      <c r="B17898" s="309"/>
      <c r="C17898" s="309"/>
      <c r="I17898" s="309"/>
      <c r="J17898" s="309"/>
    </row>
    <row r="17899">
      <c r="B17899" s="309"/>
      <c r="C17899" s="309"/>
      <c r="I17899" s="309"/>
      <c r="J17899" s="309"/>
    </row>
    <row r="17900">
      <c r="B17900" s="309"/>
      <c r="C17900" s="309"/>
      <c r="I17900" s="309"/>
      <c r="J17900" s="309"/>
    </row>
    <row r="17901">
      <c r="B17901" s="309"/>
      <c r="C17901" s="309"/>
      <c r="I17901" s="309"/>
      <c r="J17901" s="309"/>
    </row>
    <row r="17902">
      <c r="B17902" s="309"/>
      <c r="C17902" s="309"/>
      <c r="I17902" s="309"/>
      <c r="J17902" s="309"/>
    </row>
    <row r="17903">
      <c r="B17903" s="309"/>
      <c r="C17903" s="309"/>
      <c r="I17903" s="309"/>
      <c r="J17903" s="309"/>
    </row>
    <row r="17904">
      <c r="B17904" s="309"/>
      <c r="C17904" s="309"/>
      <c r="I17904" s="309"/>
      <c r="J17904" s="309"/>
    </row>
    <row r="17905">
      <c r="B17905" s="309"/>
      <c r="C17905" s="309"/>
      <c r="I17905" s="309"/>
      <c r="J17905" s="309"/>
    </row>
    <row r="17906">
      <c r="B17906" s="309"/>
      <c r="C17906" s="309"/>
      <c r="I17906" s="309"/>
      <c r="J17906" s="309"/>
    </row>
    <row r="17907">
      <c r="B17907" s="309"/>
      <c r="C17907" s="309"/>
      <c r="I17907" s="309"/>
      <c r="J17907" s="309"/>
    </row>
    <row r="17908">
      <c r="B17908" s="309"/>
      <c r="C17908" s="309"/>
      <c r="I17908" s="309"/>
      <c r="J17908" s="309"/>
    </row>
    <row r="17909">
      <c r="B17909" s="309"/>
      <c r="C17909" s="309"/>
      <c r="I17909" s="309"/>
      <c r="J17909" s="309"/>
    </row>
    <row r="17910">
      <c r="B17910" s="309"/>
      <c r="C17910" s="309"/>
      <c r="I17910" s="309"/>
      <c r="J17910" s="309"/>
    </row>
    <row r="17911">
      <c r="B17911" s="309"/>
      <c r="C17911" s="309"/>
      <c r="I17911" s="309"/>
      <c r="J17911" s="309"/>
    </row>
    <row r="17912">
      <c r="B17912" s="309"/>
      <c r="C17912" s="309"/>
      <c r="I17912" s="309"/>
      <c r="J17912" s="309"/>
    </row>
    <row r="17913">
      <c r="B17913" s="309"/>
      <c r="C17913" s="309"/>
      <c r="I17913" s="309"/>
      <c r="J17913" s="309"/>
    </row>
    <row r="17914">
      <c r="B17914" s="309"/>
      <c r="C17914" s="309"/>
      <c r="I17914" s="309"/>
      <c r="J17914" s="309"/>
    </row>
    <row r="17915">
      <c r="B17915" s="309"/>
      <c r="C17915" s="309"/>
      <c r="I17915" s="309"/>
      <c r="J17915" s="309"/>
    </row>
    <row r="17916">
      <c r="B17916" s="309"/>
      <c r="C17916" s="309"/>
      <c r="I17916" s="309"/>
      <c r="J17916" s="309"/>
    </row>
    <row r="17917">
      <c r="B17917" s="309"/>
      <c r="C17917" s="309"/>
      <c r="I17917" s="309"/>
      <c r="J17917" s="309"/>
    </row>
    <row r="17918">
      <c r="B17918" s="309"/>
      <c r="C17918" s="309"/>
      <c r="I17918" s="309"/>
      <c r="J17918" s="309"/>
    </row>
    <row r="17919">
      <c r="B17919" s="309"/>
      <c r="C17919" s="309"/>
      <c r="I17919" s="309"/>
      <c r="J17919" s="309"/>
    </row>
    <row r="17920">
      <c r="B17920" s="309"/>
      <c r="C17920" s="309"/>
      <c r="I17920" s="309"/>
      <c r="J17920" s="309"/>
    </row>
    <row r="17921">
      <c r="B17921" s="309"/>
      <c r="C17921" s="309"/>
      <c r="I17921" s="309"/>
      <c r="J17921" s="309"/>
    </row>
    <row r="17922">
      <c r="B17922" s="309"/>
      <c r="C17922" s="309"/>
      <c r="I17922" s="309"/>
      <c r="J17922" s="309"/>
    </row>
    <row r="17923">
      <c r="B17923" s="309"/>
      <c r="C17923" s="309"/>
      <c r="I17923" s="309"/>
      <c r="J17923" s="309"/>
    </row>
    <row r="17924">
      <c r="B17924" s="309"/>
      <c r="C17924" s="309"/>
      <c r="I17924" s="309"/>
      <c r="J17924" s="309"/>
    </row>
    <row r="17925">
      <c r="B17925" s="309"/>
      <c r="C17925" s="309"/>
      <c r="I17925" s="309"/>
      <c r="J17925" s="309"/>
    </row>
    <row r="17926">
      <c r="B17926" s="309"/>
      <c r="C17926" s="309"/>
      <c r="I17926" s="309"/>
      <c r="J17926" s="309"/>
    </row>
    <row r="17927">
      <c r="B17927" s="309"/>
      <c r="C17927" s="309"/>
      <c r="I17927" s="309"/>
      <c r="J17927" s="309"/>
    </row>
    <row r="17928">
      <c r="B17928" s="309"/>
      <c r="C17928" s="309"/>
      <c r="I17928" s="309"/>
      <c r="J17928" s="309"/>
    </row>
    <row r="17929">
      <c r="B17929" s="309"/>
      <c r="C17929" s="309"/>
      <c r="I17929" s="309"/>
      <c r="J17929" s="309"/>
    </row>
    <row r="17930">
      <c r="B17930" s="309"/>
      <c r="C17930" s="309"/>
      <c r="I17930" s="309"/>
      <c r="J17930" s="309"/>
    </row>
    <row r="17931">
      <c r="B17931" s="309"/>
      <c r="C17931" s="309"/>
      <c r="I17931" s="309"/>
      <c r="J17931" s="309"/>
    </row>
    <row r="17932">
      <c r="B17932" s="309"/>
      <c r="C17932" s="309"/>
      <c r="I17932" s="309"/>
      <c r="J17932" s="309"/>
    </row>
    <row r="17933">
      <c r="B17933" s="309"/>
      <c r="C17933" s="309"/>
      <c r="I17933" s="309"/>
      <c r="J17933" s="309"/>
    </row>
    <row r="17934">
      <c r="B17934" s="309"/>
      <c r="C17934" s="309"/>
      <c r="I17934" s="309"/>
      <c r="J17934" s="309"/>
    </row>
    <row r="17935">
      <c r="B17935" s="309"/>
      <c r="C17935" s="309"/>
      <c r="I17935" s="309"/>
      <c r="J17935" s="309"/>
    </row>
    <row r="17936">
      <c r="B17936" s="309"/>
      <c r="C17936" s="309"/>
      <c r="I17936" s="309"/>
      <c r="J17936" s="309"/>
    </row>
    <row r="17937">
      <c r="B17937" s="309"/>
      <c r="C17937" s="309"/>
      <c r="I17937" s="309"/>
      <c r="J17937" s="309"/>
    </row>
    <row r="17938">
      <c r="B17938" s="309"/>
      <c r="C17938" s="309"/>
      <c r="I17938" s="309"/>
      <c r="J17938" s="309"/>
    </row>
    <row r="17939">
      <c r="B17939" s="309"/>
      <c r="C17939" s="309"/>
      <c r="I17939" s="309"/>
      <c r="J17939" s="309"/>
    </row>
    <row r="17940">
      <c r="B17940" s="309"/>
      <c r="C17940" s="309"/>
      <c r="I17940" s="309"/>
      <c r="J17940" s="309"/>
    </row>
    <row r="17941">
      <c r="B17941" s="309"/>
      <c r="C17941" s="309"/>
      <c r="I17941" s="309"/>
      <c r="J17941" s="309"/>
    </row>
    <row r="17942">
      <c r="B17942" s="309"/>
      <c r="C17942" s="309"/>
      <c r="I17942" s="309"/>
      <c r="J17942" s="309"/>
    </row>
    <row r="17943">
      <c r="B17943" s="309"/>
      <c r="C17943" s="309"/>
      <c r="I17943" s="309"/>
      <c r="J17943" s="309"/>
    </row>
    <row r="17944">
      <c r="B17944" s="309"/>
      <c r="C17944" s="309"/>
      <c r="I17944" s="309"/>
      <c r="J17944" s="309"/>
    </row>
    <row r="17945">
      <c r="B17945" s="309"/>
      <c r="C17945" s="309"/>
      <c r="I17945" s="309"/>
      <c r="J17945" s="309"/>
    </row>
    <row r="17946">
      <c r="B17946" s="309"/>
      <c r="C17946" s="309"/>
      <c r="I17946" s="309"/>
      <c r="J17946" s="309"/>
    </row>
    <row r="17947">
      <c r="B17947" s="309"/>
      <c r="C17947" s="309"/>
      <c r="I17947" s="309"/>
      <c r="J17947" s="309"/>
    </row>
    <row r="17948">
      <c r="B17948" s="309"/>
      <c r="C17948" s="309"/>
      <c r="I17948" s="309"/>
      <c r="J17948" s="309"/>
    </row>
    <row r="17949">
      <c r="B17949" s="309"/>
      <c r="C17949" s="309"/>
      <c r="I17949" s="309"/>
      <c r="J17949" s="309"/>
    </row>
    <row r="17950">
      <c r="B17950" s="309"/>
      <c r="C17950" s="309"/>
      <c r="I17950" s="309"/>
      <c r="J17950" s="309"/>
    </row>
    <row r="17951">
      <c r="B17951" s="309"/>
      <c r="C17951" s="309"/>
      <c r="I17951" s="309"/>
      <c r="J17951" s="309"/>
    </row>
    <row r="17952">
      <c r="B17952" s="309"/>
      <c r="C17952" s="309"/>
      <c r="I17952" s="309"/>
      <c r="J17952" s="309"/>
    </row>
    <row r="17953">
      <c r="B17953" s="309"/>
      <c r="C17953" s="309"/>
      <c r="I17953" s="309"/>
      <c r="J17953" s="309"/>
    </row>
    <row r="17954">
      <c r="B17954" s="309"/>
      <c r="C17954" s="309"/>
      <c r="I17954" s="309"/>
      <c r="J17954" s="309"/>
    </row>
    <row r="17955">
      <c r="B17955" s="309"/>
      <c r="C17955" s="309"/>
      <c r="I17955" s="309"/>
      <c r="J17955" s="309"/>
    </row>
    <row r="17956">
      <c r="B17956" s="309"/>
      <c r="C17956" s="309"/>
      <c r="I17956" s="309"/>
      <c r="J17956" s="309"/>
    </row>
    <row r="17957">
      <c r="B17957" s="309"/>
      <c r="C17957" s="309"/>
      <c r="I17957" s="309"/>
      <c r="J17957" s="309"/>
    </row>
    <row r="17958">
      <c r="B17958" s="309"/>
      <c r="C17958" s="309"/>
      <c r="I17958" s="309"/>
      <c r="J17958" s="309"/>
    </row>
    <row r="17959">
      <c r="B17959" s="309"/>
      <c r="C17959" s="309"/>
      <c r="I17959" s="309"/>
      <c r="J17959" s="309"/>
    </row>
    <row r="17960">
      <c r="B17960" s="309"/>
      <c r="C17960" s="309"/>
      <c r="I17960" s="309"/>
      <c r="J17960" s="309"/>
    </row>
    <row r="17961">
      <c r="B17961" s="309"/>
      <c r="C17961" s="309"/>
      <c r="I17961" s="309"/>
      <c r="J17961" s="309"/>
    </row>
    <row r="17962">
      <c r="B17962" s="309"/>
      <c r="C17962" s="309"/>
      <c r="I17962" s="309"/>
      <c r="J17962" s="309"/>
    </row>
    <row r="17963">
      <c r="B17963" s="309"/>
      <c r="C17963" s="309"/>
      <c r="I17963" s="309"/>
      <c r="J17963" s="309"/>
    </row>
    <row r="17964">
      <c r="B17964" s="309"/>
      <c r="C17964" s="309"/>
      <c r="I17964" s="309"/>
      <c r="J17964" s="309"/>
    </row>
    <row r="17965">
      <c r="B17965" s="309"/>
      <c r="C17965" s="309"/>
      <c r="I17965" s="309"/>
      <c r="J17965" s="309"/>
    </row>
    <row r="17966">
      <c r="B17966" s="309"/>
      <c r="C17966" s="309"/>
      <c r="I17966" s="309"/>
      <c r="J17966" s="309"/>
    </row>
    <row r="17967">
      <c r="B17967" s="309"/>
      <c r="C17967" s="309"/>
      <c r="I17967" s="309"/>
      <c r="J17967" s="309"/>
    </row>
    <row r="17968">
      <c r="B17968" s="309"/>
      <c r="C17968" s="309"/>
      <c r="I17968" s="309"/>
      <c r="J17968" s="309"/>
    </row>
    <row r="17969">
      <c r="B17969" s="309"/>
      <c r="C17969" s="309"/>
      <c r="I17969" s="309"/>
      <c r="J17969" s="309"/>
    </row>
    <row r="17970">
      <c r="B17970" s="309"/>
      <c r="C17970" s="309"/>
      <c r="I17970" s="309"/>
      <c r="J17970" s="309"/>
    </row>
    <row r="17971">
      <c r="B17971" s="309"/>
      <c r="C17971" s="309"/>
      <c r="I17971" s="309"/>
      <c r="J17971" s="309"/>
    </row>
    <row r="17972">
      <c r="B17972" s="309"/>
      <c r="C17972" s="309"/>
      <c r="I17972" s="309"/>
      <c r="J17972" s="309"/>
    </row>
    <row r="17973">
      <c r="B17973" s="309"/>
      <c r="C17973" s="309"/>
      <c r="I17973" s="309"/>
      <c r="J17973" s="309"/>
    </row>
    <row r="17974">
      <c r="B17974" s="309"/>
      <c r="C17974" s="309"/>
      <c r="I17974" s="309"/>
      <c r="J17974" s="309"/>
    </row>
    <row r="17975">
      <c r="B17975" s="309"/>
      <c r="C17975" s="309"/>
      <c r="I17975" s="309"/>
      <c r="J17975" s="309"/>
    </row>
    <row r="17976">
      <c r="B17976" s="309"/>
      <c r="C17976" s="309"/>
      <c r="I17976" s="309"/>
      <c r="J17976" s="309"/>
    </row>
    <row r="17977">
      <c r="B17977" s="309"/>
      <c r="C17977" s="309"/>
      <c r="I17977" s="309"/>
      <c r="J17977" s="309"/>
    </row>
    <row r="17978">
      <c r="B17978" s="309"/>
      <c r="C17978" s="309"/>
      <c r="I17978" s="309"/>
      <c r="J17978" s="309"/>
    </row>
    <row r="17979">
      <c r="B17979" s="309"/>
      <c r="C17979" s="309"/>
      <c r="I17979" s="309"/>
      <c r="J17979" s="309"/>
    </row>
    <row r="17980">
      <c r="B17980" s="309"/>
      <c r="C17980" s="309"/>
      <c r="I17980" s="309"/>
      <c r="J17980" s="309"/>
    </row>
    <row r="17981">
      <c r="B17981" s="309"/>
      <c r="C17981" s="309"/>
      <c r="I17981" s="309"/>
      <c r="J17981" s="309"/>
    </row>
    <row r="17982">
      <c r="B17982" s="309"/>
      <c r="C17982" s="309"/>
      <c r="I17982" s="309"/>
      <c r="J17982" s="309"/>
    </row>
    <row r="17983">
      <c r="B17983" s="309"/>
      <c r="C17983" s="309"/>
      <c r="I17983" s="309"/>
      <c r="J17983" s="309"/>
    </row>
    <row r="17984">
      <c r="B17984" s="309"/>
      <c r="C17984" s="309"/>
      <c r="I17984" s="309"/>
      <c r="J17984" s="309"/>
    </row>
    <row r="17985">
      <c r="B17985" s="309"/>
      <c r="C17985" s="309"/>
      <c r="I17985" s="309"/>
      <c r="J17985" s="309"/>
    </row>
    <row r="17986">
      <c r="B17986" s="309"/>
      <c r="C17986" s="309"/>
      <c r="I17986" s="309"/>
      <c r="J17986" s="309"/>
    </row>
    <row r="17987">
      <c r="B17987" s="309"/>
      <c r="C17987" s="309"/>
      <c r="I17987" s="309"/>
      <c r="J17987" s="309"/>
    </row>
    <row r="17988">
      <c r="B17988" s="309"/>
      <c r="C17988" s="309"/>
      <c r="I17988" s="309"/>
      <c r="J17988" s="309"/>
    </row>
    <row r="17989">
      <c r="B17989" s="309"/>
      <c r="C17989" s="309"/>
      <c r="I17989" s="309"/>
      <c r="J17989" s="309"/>
    </row>
    <row r="17990">
      <c r="B17990" s="309"/>
      <c r="C17990" s="309"/>
      <c r="I17990" s="309"/>
      <c r="J17990" s="309"/>
    </row>
    <row r="17991">
      <c r="B17991" s="309"/>
      <c r="C17991" s="309"/>
      <c r="I17991" s="309"/>
      <c r="J17991" s="309"/>
    </row>
    <row r="17992">
      <c r="B17992" s="309"/>
      <c r="C17992" s="309"/>
      <c r="I17992" s="309"/>
      <c r="J17992" s="309"/>
    </row>
    <row r="17993">
      <c r="B17993" s="309"/>
      <c r="C17993" s="309"/>
      <c r="I17993" s="309"/>
      <c r="J17993" s="309"/>
    </row>
    <row r="17994">
      <c r="B17994" s="309"/>
      <c r="C17994" s="309"/>
      <c r="I17994" s="309"/>
      <c r="J17994" s="309"/>
    </row>
    <row r="17995">
      <c r="B17995" s="309"/>
      <c r="C17995" s="309"/>
      <c r="I17995" s="309"/>
      <c r="J17995" s="309"/>
    </row>
    <row r="17996">
      <c r="B17996" s="309"/>
      <c r="C17996" s="309"/>
      <c r="I17996" s="309"/>
      <c r="J17996" s="309"/>
    </row>
    <row r="17997">
      <c r="B17997" s="309"/>
      <c r="C17997" s="309"/>
      <c r="I17997" s="309"/>
      <c r="J17997" s="309"/>
    </row>
    <row r="17998">
      <c r="B17998" s="309"/>
      <c r="C17998" s="309"/>
      <c r="I17998" s="309"/>
      <c r="J17998" s="309"/>
    </row>
    <row r="17999">
      <c r="B17999" s="309"/>
      <c r="C17999" s="309"/>
      <c r="I17999" s="309"/>
      <c r="J17999" s="309"/>
    </row>
    <row r="18000">
      <c r="B18000" s="309"/>
      <c r="C18000" s="309"/>
      <c r="I18000" s="309"/>
      <c r="J18000" s="309"/>
    </row>
    <row r="18001">
      <c r="B18001" s="309"/>
      <c r="C18001" s="309"/>
      <c r="I18001" s="309"/>
      <c r="J18001" s="309"/>
    </row>
    <row r="18002">
      <c r="B18002" s="309"/>
      <c r="C18002" s="309"/>
      <c r="I18002" s="309"/>
      <c r="J18002" s="309"/>
    </row>
    <row r="18003">
      <c r="B18003" s="309"/>
      <c r="C18003" s="309"/>
      <c r="I18003" s="309"/>
      <c r="J18003" s="309"/>
    </row>
    <row r="18004">
      <c r="B18004" s="309"/>
      <c r="C18004" s="309"/>
      <c r="I18004" s="309"/>
      <c r="J18004" s="309"/>
    </row>
    <row r="18005">
      <c r="B18005" s="309"/>
      <c r="C18005" s="309"/>
      <c r="I18005" s="309"/>
      <c r="J18005" s="309"/>
    </row>
    <row r="18006">
      <c r="B18006" s="309"/>
      <c r="C18006" s="309"/>
      <c r="I18006" s="309"/>
      <c r="J18006" s="309"/>
    </row>
    <row r="18007">
      <c r="B18007" s="309"/>
      <c r="C18007" s="309"/>
      <c r="I18007" s="309"/>
      <c r="J18007" s="309"/>
    </row>
    <row r="18008">
      <c r="B18008" s="309"/>
      <c r="C18008" s="309"/>
      <c r="I18008" s="309"/>
      <c r="J18008" s="309"/>
    </row>
    <row r="18009">
      <c r="B18009" s="309"/>
      <c r="C18009" s="309"/>
      <c r="I18009" s="309"/>
      <c r="J18009" s="309"/>
    </row>
    <row r="18010">
      <c r="B18010" s="309"/>
      <c r="C18010" s="309"/>
      <c r="I18010" s="309"/>
      <c r="J18010" s="309"/>
    </row>
    <row r="18011">
      <c r="B18011" s="309"/>
      <c r="C18011" s="309"/>
      <c r="I18011" s="309"/>
      <c r="J18011" s="309"/>
    </row>
    <row r="18012">
      <c r="B18012" s="309"/>
      <c r="C18012" s="309"/>
      <c r="I18012" s="309"/>
      <c r="J18012" s="309"/>
    </row>
    <row r="18013">
      <c r="B18013" s="309"/>
      <c r="C18013" s="309"/>
      <c r="I18013" s="309"/>
      <c r="J18013" s="309"/>
    </row>
    <row r="18014">
      <c r="B18014" s="309"/>
      <c r="C18014" s="309"/>
      <c r="I18014" s="309"/>
      <c r="J18014" s="309"/>
    </row>
    <row r="18015">
      <c r="B18015" s="309"/>
      <c r="C18015" s="309"/>
      <c r="I18015" s="309"/>
      <c r="J18015" s="309"/>
    </row>
    <row r="18016">
      <c r="B18016" s="309"/>
      <c r="C18016" s="309"/>
      <c r="I18016" s="309"/>
      <c r="J18016" s="309"/>
    </row>
    <row r="18017">
      <c r="B18017" s="309"/>
      <c r="C18017" s="309"/>
      <c r="I18017" s="309"/>
      <c r="J18017" s="309"/>
    </row>
    <row r="18018">
      <c r="B18018" s="309"/>
      <c r="C18018" s="309"/>
      <c r="I18018" s="309"/>
      <c r="J18018" s="309"/>
    </row>
    <row r="18019">
      <c r="B18019" s="309"/>
      <c r="C18019" s="309"/>
      <c r="I18019" s="309"/>
      <c r="J18019" s="309"/>
    </row>
    <row r="18020">
      <c r="B18020" s="309"/>
      <c r="C18020" s="309"/>
      <c r="I18020" s="309"/>
      <c r="J18020" s="309"/>
    </row>
    <row r="18021">
      <c r="B18021" s="309"/>
      <c r="C18021" s="309"/>
      <c r="I18021" s="309"/>
      <c r="J18021" s="309"/>
    </row>
    <row r="18022">
      <c r="B18022" s="309"/>
      <c r="C18022" s="309"/>
      <c r="I18022" s="309"/>
      <c r="J18022" s="309"/>
    </row>
    <row r="18023">
      <c r="B18023" s="309"/>
      <c r="C18023" s="309"/>
      <c r="I18023" s="309"/>
      <c r="J18023" s="309"/>
    </row>
    <row r="18024">
      <c r="B18024" s="309"/>
      <c r="C18024" s="309"/>
      <c r="I18024" s="309"/>
      <c r="J18024" s="309"/>
    </row>
    <row r="18025">
      <c r="B18025" s="309"/>
      <c r="C18025" s="309"/>
      <c r="I18025" s="309"/>
      <c r="J18025" s="309"/>
    </row>
    <row r="18026">
      <c r="B18026" s="309"/>
      <c r="C18026" s="309"/>
      <c r="I18026" s="309"/>
      <c r="J18026" s="309"/>
    </row>
    <row r="18027">
      <c r="B18027" s="309"/>
      <c r="C18027" s="309"/>
      <c r="I18027" s="309"/>
      <c r="J18027" s="309"/>
    </row>
    <row r="18028">
      <c r="B18028" s="309"/>
      <c r="C18028" s="309"/>
      <c r="I18028" s="309"/>
      <c r="J18028" s="309"/>
    </row>
    <row r="18029">
      <c r="B18029" s="309"/>
      <c r="C18029" s="309"/>
      <c r="I18029" s="309"/>
      <c r="J18029" s="309"/>
    </row>
    <row r="18030">
      <c r="B18030" s="309"/>
      <c r="C18030" s="309"/>
      <c r="I18030" s="309"/>
      <c r="J18030" s="309"/>
    </row>
    <row r="18031">
      <c r="B18031" s="309"/>
      <c r="C18031" s="309"/>
      <c r="I18031" s="309"/>
      <c r="J18031" s="309"/>
    </row>
    <row r="18032">
      <c r="B18032" s="309"/>
      <c r="C18032" s="309"/>
      <c r="I18032" s="309"/>
      <c r="J18032" s="309"/>
    </row>
    <row r="18033">
      <c r="B18033" s="309"/>
      <c r="C18033" s="309"/>
      <c r="I18033" s="309"/>
      <c r="J18033" s="309"/>
    </row>
    <row r="18034">
      <c r="B18034" s="309"/>
      <c r="C18034" s="309"/>
      <c r="I18034" s="309"/>
      <c r="J18034" s="309"/>
    </row>
    <row r="18035">
      <c r="B18035" s="309"/>
      <c r="C18035" s="309"/>
      <c r="I18035" s="309"/>
      <c r="J18035" s="309"/>
    </row>
    <row r="18036">
      <c r="B18036" s="309"/>
      <c r="C18036" s="309"/>
      <c r="I18036" s="309"/>
      <c r="J18036" s="309"/>
    </row>
    <row r="18037">
      <c r="B18037" s="309"/>
      <c r="C18037" s="309"/>
      <c r="I18037" s="309"/>
      <c r="J18037" s="309"/>
    </row>
    <row r="18038">
      <c r="B18038" s="309"/>
      <c r="C18038" s="309"/>
      <c r="I18038" s="309"/>
      <c r="J18038" s="309"/>
    </row>
    <row r="18039">
      <c r="B18039" s="309"/>
      <c r="C18039" s="309"/>
      <c r="I18039" s="309"/>
      <c r="J18039" s="309"/>
    </row>
    <row r="18040">
      <c r="B18040" s="309"/>
      <c r="C18040" s="309"/>
      <c r="I18040" s="309"/>
      <c r="J18040" s="309"/>
    </row>
    <row r="18041">
      <c r="B18041" s="309"/>
      <c r="C18041" s="309"/>
      <c r="I18041" s="309"/>
      <c r="J18041" s="309"/>
    </row>
    <row r="18042">
      <c r="B18042" s="309"/>
      <c r="C18042" s="309"/>
      <c r="I18042" s="309"/>
      <c r="J18042" s="309"/>
    </row>
    <row r="18043">
      <c r="B18043" s="309"/>
      <c r="C18043" s="309"/>
      <c r="I18043" s="309"/>
      <c r="J18043" s="309"/>
    </row>
    <row r="18044">
      <c r="B18044" s="309"/>
      <c r="C18044" s="309"/>
      <c r="I18044" s="309"/>
      <c r="J18044" s="309"/>
    </row>
    <row r="18045">
      <c r="B18045" s="309"/>
      <c r="C18045" s="309"/>
      <c r="I18045" s="309"/>
      <c r="J18045" s="309"/>
    </row>
    <row r="18046">
      <c r="B18046" s="309"/>
      <c r="C18046" s="309"/>
      <c r="I18046" s="309"/>
      <c r="J18046" s="309"/>
    </row>
    <row r="18047">
      <c r="B18047" s="309"/>
      <c r="C18047" s="309"/>
      <c r="I18047" s="309"/>
      <c r="J18047" s="309"/>
    </row>
    <row r="18048">
      <c r="B18048" s="309"/>
      <c r="C18048" s="309"/>
      <c r="I18048" s="309"/>
      <c r="J18048" s="309"/>
    </row>
    <row r="18049">
      <c r="B18049" s="309"/>
      <c r="C18049" s="309"/>
      <c r="I18049" s="309"/>
      <c r="J18049" s="309"/>
    </row>
    <row r="18050">
      <c r="B18050" s="309"/>
      <c r="C18050" s="309"/>
      <c r="I18050" s="309"/>
      <c r="J18050" s="309"/>
    </row>
    <row r="18051">
      <c r="B18051" s="309"/>
      <c r="C18051" s="309"/>
      <c r="I18051" s="309"/>
      <c r="J18051" s="309"/>
    </row>
    <row r="18052">
      <c r="B18052" s="309"/>
      <c r="C18052" s="309"/>
      <c r="I18052" s="309"/>
      <c r="J18052" s="309"/>
    </row>
    <row r="18053">
      <c r="B18053" s="309"/>
      <c r="C18053" s="309"/>
      <c r="I18053" s="309"/>
      <c r="J18053" s="309"/>
    </row>
    <row r="18054">
      <c r="B18054" s="309"/>
      <c r="C18054" s="309"/>
      <c r="I18054" s="309"/>
      <c r="J18054" s="309"/>
    </row>
    <row r="18055">
      <c r="B18055" s="309"/>
      <c r="C18055" s="309"/>
      <c r="I18055" s="309"/>
      <c r="J18055" s="309"/>
    </row>
    <row r="18056">
      <c r="B18056" s="309"/>
      <c r="C18056" s="309"/>
      <c r="I18056" s="309"/>
      <c r="J18056" s="309"/>
    </row>
    <row r="18057">
      <c r="B18057" s="309"/>
      <c r="C18057" s="309"/>
      <c r="I18057" s="309"/>
      <c r="J18057" s="309"/>
    </row>
    <row r="18058">
      <c r="B18058" s="309"/>
      <c r="C18058" s="309"/>
      <c r="I18058" s="309"/>
      <c r="J18058" s="309"/>
    </row>
    <row r="18059">
      <c r="B18059" s="309"/>
      <c r="C18059" s="309"/>
      <c r="I18059" s="309"/>
      <c r="J18059" s="309"/>
    </row>
    <row r="18060">
      <c r="B18060" s="309"/>
      <c r="C18060" s="309"/>
      <c r="I18060" s="309"/>
      <c r="J18060" s="309"/>
    </row>
    <row r="18061">
      <c r="B18061" s="309"/>
      <c r="C18061" s="309"/>
      <c r="I18061" s="309"/>
      <c r="J18061" s="309"/>
    </row>
    <row r="18062">
      <c r="B18062" s="309"/>
      <c r="C18062" s="309"/>
      <c r="I18062" s="309"/>
      <c r="J18062" s="309"/>
    </row>
    <row r="18063">
      <c r="B18063" s="309"/>
      <c r="C18063" s="309"/>
      <c r="I18063" s="309"/>
      <c r="J18063" s="309"/>
    </row>
    <row r="18064">
      <c r="B18064" s="309"/>
      <c r="C18064" s="309"/>
      <c r="I18064" s="309"/>
      <c r="J18064" s="309"/>
    </row>
    <row r="18065">
      <c r="B18065" s="309"/>
      <c r="C18065" s="309"/>
      <c r="I18065" s="309"/>
      <c r="J18065" s="309"/>
    </row>
    <row r="18066">
      <c r="B18066" s="309"/>
      <c r="C18066" s="309"/>
      <c r="I18066" s="309"/>
      <c r="J18066" s="309"/>
    </row>
    <row r="18067">
      <c r="B18067" s="309"/>
      <c r="C18067" s="309"/>
      <c r="I18067" s="309"/>
      <c r="J18067" s="309"/>
    </row>
    <row r="18068">
      <c r="B18068" s="309"/>
      <c r="C18068" s="309"/>
      <c r="I18068" s="309"/>
      <c r="J18068" s="309"/>
    </row>
    <row r="18069">
      <c r="B18069" s="309"/>
      <c r="C18069" s="309"/>
      <c r="I18069" s="309"/>
      <c r="J18069" s="309"/>
    </row>
    <row r="18070">
      <c r="B18070" s="309"/>
      <c r="C18070" s="309"/>
      <c r="I18070" s="309"/>
      <c r="J18070" s="309"/>
    </row>
    <row r="18071">
      <c r="B18071" s="309"/>
      <c r="C18071" s="309"/>
      <c r="I18071" s="309"/>
      <c r="J18071" s="309"/>
    </row>
    <row r="18072">
      <c r="B18072" s="309"/>
      <c r="C18072" s="309"/>
      <c r="I18072" s="309"/>
      <c r="J18072" s="309"/>
    </row>
    <row r="18073">
      <c r="B18073" s="309"/>
      <c r="C18073" s="309"/>
      <c r="I18073" s="309"/>
      <c r="J18073" s="309"/>
    </row>
    <row r="18074">
      <c r="B18074" s="309"/>
      <c r="C18074" s="309"/>
      <c r="I18074" s="309"/>
      <c r="J18074" s="309"/>
    </row>
    <row r="18075">
      <c r="B18075" s="309"/>
      <c r="C18075" s="309"/>
      <c r="I18075" s="309"/>
      <c r="J18075" s="309"/>
    </row>
    <row r="18076">
      <c r="B18076" s="309"/>
      <c r="C18076" s="309"/>
      <c r="I18076" s="309"/>
      <c r="J18076" s="309"/>
    </row>
    <row r="18077">
      <c r="B18077" s="309"/>
      <c r="C18077" s="309"/>
      <c r="I18077" s="309"/>
      <c r="J18077" s="309"/>
    </row>
    <row r="18078">
      <c r="B18078" s="309"/>
      <c r="C18078" s="309"/>
      <c r="I18078" s="309"/>
      <c r="J18078" s="309"/>
    </row>
    <row r="18079">
      <c r="B18079" s="309"/>
      <c r="C18079" s="309"/>
      <c r="I18079" s="309"/>
      <c r="J18079" s="309"/>
    </row>
    <row r="18080">
      <c r="B18080" s="309"/>
      <c r="C18080" s="309"/>
      <c r="I18080" s="309"/>
      <c r="J18080" s="309"/>
    </row>
    <row r="18081">
      <c r="B18081" s="309"/>
      <c r="C18081" s="309"/>
      <c r="I18081" s="309"/>
      <c r="J18081" s="309"/>
    </row>
    <row r="18082">
      <c r="B18082" s="309"/>
      <c r="C18082" s="309"/>
      <c r="I18082" s="309"/>
      <c r="J18082" s="309"/>
    </row>
    <row r="18083">
      <c r="B18083" s="309"/>
      <c r="C18083" s="309"/>
      <c r="I18083" s="309"/>
      <c r="J18083" s="309"/>
    </row>
    <row r="18084">
      <c r="B18084" s="309"/>
      <c r="C18084" s="309"/>
      <c r="I18084" s="309"/>
      <c r="J18084" s="309"/>
    </row>
    <row r="18085">
      <c r="B18085" s="309"/>
      <c r="C18085" s="309"/>
      <c r="I18085" s="309"/>
      <c r="J18085" s="309"/>
    </row>
    <row r="18086">
      <c r="B18086" s="309"/>
      <c r="C18086" s="309"/>
      <c r="I18086" s="309"/>
      <c r="J18086" s="309"/>
    </row>
    <row r="18087">
      <c r="B18087" s="309"/>
      <c r="C18087" s="309"/>
      <c r="I18087" s="309"/>
      <c r="J18087" s="309"/>
    </row>
    <row r="18088">
      <c r="B18088" s="309"/>
      <c r="C18088" s="309"/>
      <c r="I18088" s="309"/>
      <c r="J18088" s="309"/>
    </row>
    <row r="18089">
      <c r="B18089" s="309"/>
      <c r="C18089" s="309"/>
      <c r="I18089" s="309"/>
      <c r="J18089" s="309"/>
    </row>
    <row r="18090">
      <c r="B18090" s="309"/>
      <c r="C18090" s="309"/>
      <c r="I18090" s="309"/>
      <c r="J18090" s="309"/>
    </row>
    <row r="18091">
      <c r="B18091" s="309"/>
      <c r="C18091" s="309"/>
      <c r="I18091" s="309"/>
      <c r="J18091" s="309"/>
    </row>
    <row r="18092">
      <c r="B18092" s="309"/>
      <c r="C18092" s="309"/>
      <c r="I18092" s="309"/>
      <c r="J18092" s="309"/>
    </row>
    <row r="18093">
      <c r="B18093" s="309"/>
      <c r="C18093" s="309"/>
      <c r="I18093" s="309"/>
      <c r="J18093" s="309"/>
    </row>
    <row r="18094">
      <c r="B18094" s="309"/>
      <c r="C18094" s="309"/>
      <c r="I18094" s="309"/>
      <c r="J18094" s="309"/>
    </row>
    <row r="18095">
      <c r="B18095" s="309"/>
      <c r="C18095" s="309"/>
      <c r="I18095" s="309"/>
      <c r="J18095" s="309"/>
    </row>
    <row r="18096">
      <c r="B18096" s="309"/>
      <c r="C18096" s="309"/>
      <c r="I18096" s="309"/>
      <c r="J18096" s="309"/>
    </row>
    <row r="18097">
      <c r="B18097" s="309"/>
      <c r="C18097" s="309"/>
      <c r="I18097" s="309"/>
      <c r="J18097" s="309"/>
    </row>
    <row r="18098">
      <c r="B18098" s="309"/>
      <c r="C18098" s="309"/>
      <c r="I18098" s="309"/>
      <c r="J18098" s="309"/>
    </row>
    <row r="18099">
      <c r="B18099" s="309"/>
      <c r="C18099" s="309"/>
      <c r="I18099" s="309"/>
      <c r="J18099" s="309"/>
    </row>
    <row r="18100">
      <c r="B18100" s="309"/>
      <c r="C18100" s="309"/>
      <c r="I18100" s="309"/>
      <c r="J18100" s="309"/>
    </row>
    <row r="18101">
      <c r="B18101" s="309"/>
      <c r="C18101" s="309"/>
      <c r="I18101" s="309"/>
      <c r="J18101" s="309"/>
    </row>
    <row r="18102">
      <c r="B18102" s="309"/>
      <c r="C18102" s="309"/>
      <c r="I18102" s="309"/>
      <c r="J18102" s="309"/>
    </row>
    <row r="18103">
      <c r="B18103" s="309"/>
      <c r="C18103" s="309"/>
      <c r="I18103" s="309"/>
      <c r="J18103" s="309"/>
    </row>
    <row r="18104">
      <c r="B18104" s="309"/>
      <c r="C18104" s="309"/>
      <c r="I18104" s="309"/>
      <c r="J18104" s="309"/>
    </row>
    <row r="18105">
      <c r="B18105" s="309"/>
      <c r="C18105" s="309"/>
      <c r="I18105" s="309"/>
      <c r="J18105" s="309"/>
    </row>
    <row r="18106">
      <c r="B18106" s="309"/>
      <c r="C18106" s="309"/>
      <c r="I18106" s="309"/>
      <c r="J18106" s="309"/>
    </row>
    <row r="18107">
      <c r="B18107" s="309"/>
      <c r="C18107" s="309"/>
      <c r="I18107" s="309"/>
      <c r="J18107" s="309"/>
    </row>
    <row r="18108">
      <c r="B18108" s="309"/>
      <c r="C18108" s="309"/>
      <c r="I18108" s="309"/>
      <c r="J18108" s="309"/>
    </row>
    <row r="18109">
      <c r="B18109" s="309"/>
      <c r="C18109" s="309"/>
      <c r="I18109" s="309"/>
      <c r="J18109" s="309"/>
    </row>
    <row r="18110">
      <c r="B18110" s="309"/>
      <c r="C18110" s="309"/>
      <c r="I18110" s="309"/>
      <c r="J18110" s="309"/>
    </row>
    <row r="18111">
      <c r="B18111" s="309"/>
      <c r="C18111" s="309"/>
      <c r="I18111" s="309"/>
      <c r="J18111" s="309"/>
    </row>
    <row r="18112">
      <c r="B18112" s="309"/>
      <c r="C18112" s="309"/>
      <c r="I18112" s="309"/>
      <c r="J18112" s="309"/>
    </row>
    <row r="18113">
      <c r="B18113" s="309"/>
      <c r="C18113" s="309"/>
      <c r="I18113" s="309"/>
      <c r="J18113" s="309"/>
    </row>
    <row r="18114">
      <c r="B18114" s="309"/>
      <c r="C18114" s="309"/>
      <c r="I18114" s="309"/>
      <c r="J18114" s="309"/>
    </row>
    <row r="18115">
      <c r="B18115" s="309"/>
      <c r="C18115" s="309"/>
      <c r="I18115" s="309"/>
      <c r="J18115" s="309"/>
    </row>
    <row r="18116">
      <c r="B18116" s="309"/>
      <c r="C18116" s="309"/>
      <c r="I18116" s="309"/>
      <c r="J18116" s="309"/>
    </row>
    <row r="18117">
      <c r="B18117" s="309"/>
      <c r="C18117" s="309"/>
      <c r="I18117" s="309"/>
      <c r="J18117" s="309"/>
    </row>
    <row r="18118">
      <c r="B18118" s="309"/>
      <c r="C18118" s="309"/>
      <c r="I18118" s="309"/>
      <c r="J18118" s="309"/>
    </row>
    <row r="18119">
      <c r="B18119" s="309"/>
      <c r="C18119" s="309"/>
      <c r="I18119" s="309"/>
      <c r="J18119" s="309"/>
    </row>
    <row r="18120">
      <c r="B18120" s="309"/>
      <c r="C18120" s="309"/>
      <c r="I18120" s="309"/>
      <c r="J18120" s="309"/>
    </row>
    <row r="18121">
      <c r="B18121" s="309"/>
      <c r="C18121" s="309"/>
      <c r="I18121" s="309"/>
      <c r="J18121" s="309"/>
    </row>
    <row r="18122">
      <c r="B18122" s="309"/>
      <c r="C18122" s="309"/>
      <c r="I18122" s="309"/>
      <c r="J18122" s="309"/>
    </row>
    <row r="18123">
      <c r="B18123" s="309"/>
      <c r="C18123" s="309"/>
      <c r="I18123" s="309"/>
      <c r="J18123" s="309"/>
    </row>
    <row r="18124">
      <c r="B18124" s="309"/>
      <c r="C18124" s="309"/>
      <c r="I18124" s="309"/>
      <c r="J18124" s="309"/>
    </row>
    <row r="18125">
      <c r="B18125" s="309"/>
      <c r="C18125" s="309"/>
      <c r="I18125" s="309"/>
      <c r="J18125" s="309"/>
    </row>
    <row r="18126">
      <c r="B18126" s="309"/>
      <c r="C18126" s="309"/>
      <c r="I18126" s="309"/>
      <c r="J18126" s="309"/>
    </row>
    <row r="18127">
      <c r="B18127" s="309"/>
      <c r="C18127" s="309"/>
      <c r="I18127" s="309"/>
      <c r="J18127" s="309"/>
    </row>
    <row r="18128">
      <c r="B18128" s="309"/>
      <c r="C18128" s="309"/>
      <c r="I18128" s="309"/>
      <c r="J18128" s="309"/>
    </row>
    <row r="18129">
      <c r="B18129" s="309"/>
      <c r="C18129" s="309"/>
      <c r="I18129" s="309"/>
      <c r="J18129" s="309"/>
    </row>
    <row r="18130">
      <c r="B18130" s="309"/>
      <c r="C18130" s="309"/>
      <c r="I18130" s="309"/>
      <c r="J18130" s="309"/>
    </row>
    <row r="18131">
      <c r="B18131" s="309"/>
      <c r="C18131" s="309"/>
      <c r="I18131" s="309"/>
      <c r="J18131" s="309"/>
    </row>
    <row r="18132">
      <c r="B18132" s="309"/>
      <c r="C18132" s="309"/>
      <c r="I18132" s="309"/>
      <c r="J18132" s="309"/>
    </row>
    <row r="18133">
      <c r="B18133" s="309"/>
      <c r="C18133" s="309"/>
      <c r="I18133" s="309"/>
      <c r="J18133" s="309"/>
    </row>
    <row r="18134">
      <c r="B18134" s="309"/>
      <c r="C18134" s="309"/>
      <c r="I18134" s="309"/>
      <c r="J18134" s="309"/>
    </row>
    <row r="18135">
      <c r="B18135" s="309"/>
      <c r="C18135" s="309"/>
      <c r="I18135" s="309"/>
      <c r="J18135" s="309"/>
    </row>
    <row r="18136">
      <c r="B18136" s="309"/>
      <c r="C18136" s="309"/>
      <c r="I18136" s="309"/>
      <c r="J18136" s="309"/>
    </row>
    <row r="18137">
      <c r="B18137" s="309"/>
      <c r="C18137" s="309"/>
      <c r="I18137" s="309"/>
      <c r="J18137" s="309"/>
    </row>
    <row r="18138">
      <c r="B18138" s="309"/>
      <c r="C18138" s="309"/>
      <c r="I18138" s="309"/>
      <c r="J18138" s="309"/>
    </row>
    <row r="18139">
      <c r="B18139" s="309"/>
      <c r="C18139" s="309"/>
      <c r="I18139" s="309"/>
      <c r="J18139" s="309"/>
    </row>
    <row r="18140">
      <c r="B18140" s="309"/>
      <c r="C18140" s="309"/>
      <c r="I18140" s="309"/>
      <c r="J18140" s="309"/>
    </row>
    <row r="18141">
      <c r="B18141" s="309"/>
      <c r="C18141" s="309"/>
      <c r="I18141" s="309"/>
      <c r="J18141" s="309"/>
    </row>
    <row r="18142">
      <c r="B18142" s="309"/>
      <c r="C18142" s="309"/>
      <c r="I18142" s="309"/>
      <c r="J18142" s="309"/>
    </row>
    <row r="18143">
      <c r="B18143" s="309"/>
      <c r="C18143" s="309"/>
      <c r="I18143" s="309"/>
      <c r="J18143" s="309"/>
    </row>
    <row r="18144">
      <c r="B18144" s="309"/>
      <c r="C18144" s="309"/>
      <c r="I18144" s="309"/>
      <c r="J18144" s="309"/>
    </row>
    <row r="18145">
      <c r="B18145" s="309"/>
      <c r="C18145" s="309"/>
      <c r="I18145" s="309"/>
      <c r="J18145" s="309"/>
    </row>
    <row r="18146">
      <c r="B18146" s="309"/>
      <c r="C18146" s="309"/>
      <c r="I18146" s="309"/>
      <c r="J18146" s="309"/>
    </row>
    <row r="18147">
      <c r="B18147" s="309"/>
      <c r="C18147" s="309"/>
      <c r="I18147" s="309"/>
      <c r="J18147" s="309"/>
    </row>
    <row r="18148">
      <c r="B18148" s="309"/>
      <c r="C18148" s="309"/>
      <c r="I18148" s="309"/>
      <c r="J18148" s="309"/>
    </row>
    <row r="18149">
      <c r="B18149" s="309"/>
      <c r="C18149" s="309"/>
      <c r="I18149" s="309"/>
      <c r="J18149" s="309"/>
    </row>
    <row r="18150">
      <c r="B18150" s="309"/>
      <c r="C18150" s="309"/>
      <c r="I18150" s="309"/>
      <c r="J18150" s="309"/>
    </row>
    <row r="18151">
      <c r="B18151" s="309"/>
      <c r="C18151" s="309"/>
      <c r="I18151" s="309"/>
      <c r="J18151" s="309"/>
    </row>
    <row r="18152">
      <c r="B18152" s="309"/>
      <c r="C18152" s="309"/>
      <c r="I18152" s="309"/>
      <c r="J18152" s="309"/>
    </row>
    <row r="18153">
      <c r="B18153" s="309"/>
      <c r="C18153" s="309"/>
      <c r="I18153" s="309"/>
      <c r="J18153" s="309"/>
    </row>
    <row r="18154">
      <c r="B18154" s="309"/>
      <c r="C18154" s="309"/>
      <c r="I18154" s="309"/>
      <c r="J18154" s="309"/>
    </row>
    <row r="18155">
      <c r="B18155" s="309"/>
      <c r="C18155" s="309"/>
      <c r="I18155" s="309"/>
      <c r="J18155" s="309"/>
    </row>
    <row r="18156">
      <c r="B18156" s="309"/>
      <c r="C18156" s="309"/>
      <c r="I18156" s="309"/>
      <c r="J18156" s="309"/>
    </row>
    <row r="18157">
      <c r="B18157" s="309"/>
      <c r="C18157" s="309"/>
      <c r="I18157" s="309"/>
      <c r="J18157" s="309"/>
    </row>
    <row r="18158">
      <c r="B18158" s="309"/>
      <c r="C18158" s="309"/>
      <c r="I18158" s="309"/>
      <c r="J18158" s="309"/>
    </row>
    <row r="18159">
      <c r="B18159" s="309"/>
      <c r="C18159" s="309"/>
      <c r="I18159" s="309"/>
      <c r="J18159" s="309"/>
    </row>
    <row r="18160">
      <c r="B18160" s="309"/>
      <c r="C18160" s="309"/>
      <c r="I18160" s="309"/>
      <c r="J18160" s="309"/>
    </row>
    <row r="18161">
      <c r="B18161" s="309"/>
      <c r="C18161" s="309"/>
      <c r="I18161" s="309"/>
      <c r="J18161" s="309"/>
    </row>
    <row r="18162">
      <c r="B18162" s="309"/>
      <c r="C18162" s="309"/>
      <c r="I18162" s="309"/>
      <c r="J18162" s="309"/>
    </row>
    <row r="18163">
      <c r="B18163" s="309"/>
      <c r="C18163" s="309"/>
      <c r="I18163" s="309"/>
      <c r="J18163" s="309"/>
    </row>
    <row r="18164">
      <c r="B18164" s="309"/>
      <c r="C18164" s="309"/>
      <c r="I18164" s="309"/>
      <c r="J18164" s="309"/>
    </row>
    <row r="18165">
      <c r="B18165" s="309"/>
      <c r="C18165" s="309"/>
      <c r="I18165" s="309"/>
      <c r="J18165" s="309"/>
    </row>
    <row r="18166">
      <c r="B18166" s="309"/>
      <c r="C18166" s="309"/>
      <c r="I18166" s="309"/>
      <c r="J18166" s="309"/>
    </row>
    <row r="18167">
      <c r="B18167" s="309"/>
      <c r="C18167" s="309"/>
      <c r="I18167" s="309"/>
      <c r="J18167" s="309"/>
    </row>
    <row r="18168">
      <c r="B18168" s="309"/>
      <c r="C18168" s="309"/>
      <c r="I18168" s="309"/>
      <c r="J18168" s="309"/>
    </row>
    <row r="18169">
      <c r="B18169" s="309"/>
      <c r="C18169" s="309"/>
      <c r="I18169" s="309"/>
      <c r="J18169" s="309"/>
    </row>
    <row r="18170">
      <c r="B18170" s="309"/>
      <c r="C18170" s="309"/>
      <c r="I18170" s="309"/>
      <c r="J18170" s="309"/>
    </row>
    <row r="18171">
      <c r="B18171" s="309"/>
      <c r="C18171" s="309"/>
      <c r="I18171" s="309"/>
      <c r="J18171" s="309"/>
    </row>
    <row r="18172">
      <c r="B18172" s="309"/>
      <c r="C18172" s="309"/>
      <c r="I18172" s="309"/>
      <c r="J18172" s="309"/>
    </row>
    <row r="18173">
      <c r="B18173" s="309"/>
      <c r="C18173" s="309"/>
      <c r="I18173" s="309"/>
      <c r="J18173" s="309"/>
    </row>
    <row r="18174">
      <c r="B18174" s="309"/>
      <c r="C18174" s="309"/>
      <c r="I18174" s="309"/>
      <c r="J18174" s="309"/>
    </row>
    <row r="18175">
      <c r="B18175" s="309"/>
      <c r="C18175" s="309"/>
      <c r="I18175" s="309"/>
      <c r="J18175" s="309"/>
    </row>
    <row r="18176">
      <c r="B18176" s="309"/>
      <c r="C18176" s="309"/>
      <c r="I18176" s="309"/>
      <c r="J18176" s="309"/>
    </row>
    <row r="18177">
      <c r="B18177" s="309"/>
      <c r="C18177" s="309"/>
      <c r="I18177" s="309"/>
      <c r="J18177" s="309"/>
    </row>
    <row r="18178">
      <c r="B18178" s="309"/>
      <c r="C18178" s="309"/>
      <c r="I18178" s="309"/>
      <c r="J18178" s="309"/>
    </row>
    <row r="18179">
      <c r="B18179" s="309"/>
      <c r="C18179" s="309"/>
      <c r="I18179" s="309"/>
      <c r="J18179" s="309"/>
    </row>
    <row r="18180">
      <c r="B18180" s="309"/>
      <c r="C18180" s="309"/>
      <c r="I18180" s="309"/>
      <c r="J18180" s="309"/>
    </row>
    <row r="18181">
      <c r="B18181" s="309"/>
      <c r="C18181" s="309"/>
      <c r="I18181" s="309"/>
      <c r="J18181" s="309"/>
    </row>
    <row r="18182">
      <c r="B18182" s="309"/>
      <c r="C18182" s="309"/>
      <c r="I18182" s="309"/>
      <c r="J18182" s="309"/>
    </row>
    <row r="18183">
      <c r="B18183" s="309"/>
      <c r="C18183" s="309"/>
      <c r="I18183" s="309"/>
      <c r="J18183" s="309"/>
    </row>
    <row r="18184">
      <c r="B18184" s="309"/>
      <c r="C18184" s="309"/>
      <c r="I18184" s="309"/>
      <c r="J18184" s="309"/>
    </row>
    <row r="18185">
      <c r="B18185" s="309"/>
      <c r="C18185" s="309"/>
      <c r="I18185" s="309"/>
      <c r="J18185" s="309"/>
    </row>
    <row r="18186">
      <c r="B18186" s="309"/>
      <c r="C18186" s="309"/>
      <c r="I18186" s="309"/>
      <c r="J18186" s="309"/>
    </row>
    <row r="18187">
      <c r="B18187" s="309"/>
      <c r="C18187" s="309"/>
      <c r="I18187" s="309"/>
      <c r="J18187" s="309"/>
    </row>
    <row r="18188">
      <c r="B18188" s="309"/>
      <c r="C18188" s="309"/>
      <c r="I18188" s="309"/>
      <c r="J18188" s="309"/>
    </row>
    <row r="18189">
      <c r="B18189" s="309"/>
      <c r="C18189" s="309"/>
      <c r="I18189" s="309"/>
      <c r="J18189" s="309"/>
    </row>
    <row r="18190">
      <c r="B18190" s="309"/>
      <c r="C18190" s="309"/>
      <c r="I18190" s="309"/>
      <c r="J18190" s="309"/>
    </row>
    <row r="18191">
      <c r="B18191" s="309"/>
      <c r="C18191" s="309"/>
      <c r="I18191" s="309"/>
      <c r="J18191" s="309"/>
    </row>
    <row r="18192">
      <c r="B18192" s="309"/>
      <c r="C18192" s="309"/>
      <c r="I18192" s="309"/>
      <c r="J18192" s="309"/>
    </row>
    <row r="18193">
      <c r="B18193" s="309"/>
      <c r="C18193" s="309"/>
      <c r="I18193" s="309"/>
      <c r="J18193" s="309"/>
    </row>
    <row r="18194">
      <c r="B18194" s="309"/>
      <c r="C18194" s="309"/>
      <c r="I18194" s="309"/>
      <c r="J18194" s="309"/>
    </row>
    <row r="18195">
      <c r="B18195" s="309"/>
      <c r="C18195" s="309"/>
      <c r="I18195" s="309"/>
      <c r="J18195" s="309"/>
    </row>
    <row r="18196">
      <c r="B18196" s="309"/>
      <c r="C18196" s="309"/>
      <c r="I18196" s="309"/>
      <c r="J18196" s="309"/>
    </row>
    <row r="18197">
      <c r="B18197" s="309"/>
      <c r="C18197" s="309"/>
      <c r="I18197" s="309"/>
      <c r="J18197" s="309"/>
    </row>
    <row r="18198">
      <c r="B18198" s="309"/>
      <c r="C18198" s="309"/>
      <c r="I18198" s="309"/>
      <c r="J18198" s="309"/>
    </row>
    <row r="18199">
      <c r="B18199" s="309"/>
      <c r="C18199" s="309"/>
      <c r="I18199" s="309"/>
      <c r="J18199" s="309"/>
    </row>
    <row r="18200">
      <c r="B18200" s="309"/>
      <c r="C18200" s="309"/>
      <c r="I18200" s="309"/>
      <c r="J18200" s="309"/>
    </row>
    <row r="18201">
      <c r="B18201" s="309"/>
      <c r="C18201" s="309"/>
      <c r="I18201" s="309"/>
      <c r="J18201" s="309"/>
    </row>
    <row r="18202">
      <c r="B18202" s="309"/>
      <c r="C18202" s="309"/>
      <c r="I18202" s="309"/>
      <c r="J18202" s="309"/>
    </row>
    <row r="18203">
      <c r="B18203" s="309"/>
      <c r="C18203" s="309"/>
      <c r="I18203" s="309"/>
      <c r="J18203" s="309"/>
    </row>
    <row r="18204">
      <c r="B18204" s="309"/>
      <c r="C18204" s="309"/>
      <c r="I18204" s="309"/>
      <c r="J18204" s="309"/>
    </row>
    <row r="18205">
      <c r="B18205" s="309"/>
      <c r="C18205" s="309"/>
      <c r="I18205" s="309"/>
      <c r="J18205" s="309"/>
    </row>
    <row r="18206">
      <c r="B18206" s="309"/>
      <c r="C18206" s="309"/>
      <c r="I18206" s="309"/>
      <c r="J18206" s="309"/>
    </row>
    <row r="18207">
      <c r="B18207" s="309"/>
      <c r="C18207" s="309"/>
      <c r="I18207" s="309"/>
      <c r="J18207" s="309"/>
    </row>
    <row r="18208">
      <c r="B18208" s="309"/>
      <c r="C18208" s="309"/>
      <c r="I18208" s="309"/>
      <c r="J18208" s="309"/>
    </row>
    <row r="18209">
      <c r="B18209" s="309"/>
      <c r="C18209" s="309"/>
      <c r="I18209" s="309"/>
      <c r="J18209" s="309"/>
    </row>
    <row r="18210">
      <c r="B18210" s="309"/>
      <c r="C18210" s="309"/>
      <c r="I18210" s="309"/>
      <c r="J18210" s="309"/>
    </row>
    <row r="18211">
      <c r="B18211" s="309"/>
      <c r="C18211" s="309"/>
      <c r="I18211" s="309"/>
      <c r="J18211" s="309"/>
    </row>
    <row r="18212">
      <c r="B18212" s="309"/>
      <c r="C18212" s="309"/>
      <c r="I18212" s="309"/>
      <c r="J18212" s="309"/>
    </row>
    <row r="18213">
      <c r="B18213" s="309"/>
      <c r="C18213" s="309"/>
      <c r="I18213" s="309"/>
      <c r="J18213" s="309"/>
    </row>
    <row r="18214">
      <c r="B18214" s="309"/>
      <c r="C18214" s="309"/>
      <c r="I18214" s="309"/>
      <c r="J18214" s="309"/>
    </row>
    <row r="18215">
      <c r="B18215" s="309"/>
      <c r="C18215" s="309"/>
      <c r="I18215" s="309"/>
      <c r="J18215" s="309"/>
    </row>
    <row r="18216">
      <c r="B18216" s="309"/>
      <c r="C18216" s="309"/>
      <c r="I18216" s="309"/>
      <c r="J18216" s="309"/>
    </row>
    <row r="18217">
      <c r="B18217" s="309"/>
      <c r="C18217" s="309"/>
      <c r="I18217" s="309"/>
      <c r="J18217" s="309"/>
    </row>
    <row r="18218">
      <c r="B18218" s="309"/>
      <c r="C18218" s="309"/>
      <c r="I18218" s="309"/>
      <c r="J18218" s="309"/>
    </row>
    <row r="18219">
      <c r="B18219" s="309"/>
      <c r="C18219" s="309"/>
      <c r="I18219" s="309"/>
      <c r="J18219" s="309"/>
    </row>
    <row r="18220">
      <c r="B18220" s="309"/>
      <c r="C18220" s="309"/>
      <c r="I18220" s="309"/>
      <c r="J18220" s="309"/>
    </row>
    <row r="18221">
      <c r="B18221" s="309"/>
      <c r="C18221" s="309"/>
      <c r="I18221" s="309"/>
      <c r="J18221" s="309"/>
    </row>
    <row r="18222">
      <c r="B18222" s="309"/>
      <c r="C18222" s="309"/>
      <c r="I18222" s="309"/>
      <c r="J18222" s="309"/>
    </row>
    <row r="18223">
      <c r="B18223" s="309"/>
      <c r="C18223" s="309"/>
      <c r="I18223" s="309"/>
      <c r="J18223" s="309"/>
    </row>
    <row r="18224">
      <c r="B18224" s="309"/>
      <c r="C18224" s="309"/>
      <c r="I18224" s="309"/>
      <c r="J18224" s="309"/>
    </row>
    <row r="18225">
      <c r="B18225" s="309"/>
      <c r="C18225" s="309"/>
      <c r="I18225" s="309"/>
      <c r="J18225" s="309"/>
    </row>
    <row r="18226">
      <c r="B18226" s="309"/>
      <c r="C18226" s="309"/>
      <c r="I18226" s="309"/>
      <c r="J18226" s="309"/>
    </row>
    <row r="18227">
      <c r="B18227" s="309"/>
      <c r="C18227" s="309"/>
      <c r="I18227" s="309"/>
      <c r="J18227" s="309"/>
    </row>
    <row r="18228">
      <c r="B18228" s="309"/>
      <c r="C18228" s="309"/>
      <c r="I18228" s="309"/>
      <c r="J18228" s="309"/>
    </row>
    <row r="18229">
      <c r="B18229" s="309"/>
      <c r="C18229" s="309"/>
      <c r="I18229" s="309"/>
      <c r="J18229" s="309"/>
    </row>
    <row r="18230">
      <c r="B18230" s="309"/>
      <c r="C18230" s="309"/>
      <c r="I18230" s="309"/>
      <c r="J18230" s="309"/>
    </row>
    <row r="18231">
      <c r="B18231" s="309"/>
      <c r="C18231" s="309"/>
      <c r="I18231" s="309"/>
      <c r="J18231" s="309"/>
    </row>
    <row r="18232">
      <c r="B18232" s="309"/>
      <c r="C18232" s="309"/>
      <c r="I18232" s="309"/>
      <c r="J18232" s="309"/>
    </row>
    <row r="18233">
      <c r="B18233" s="309"/>
      <c r="C18233" s="309"/>
      <c r="I18233" s="309"/>
      <c r="J18233" s="309"/>
    </row>
    <row r="18234">
      <c r="B18234" s="309"/>
      <c r="C18234" s="309"/>
      <c r="I18234" s="309"/>
      <c r="J18234" s="309"/>
    </row>
    <row r="18235">
      <c r="B18235" s="309"/>
      <c r="C18235" s="309"/>
      <c r="I18235" s="309"/>
      <c r="J18235" s="309"/>
    </row>
    <row r="18236">
      <c r="B18236" s="309"/>
      <c r="C18236" s="309"/>
      <c r="I18236" s="309"/>
      <c r="J18236" s="309"/>
    </row>
    <row r="18237">
      <c r="B18237" s="309"/>
      <c r="C18237" s="309"/>
      <c r="I18237" s="309"/>
      <c r="J18237" s="309"/>
    </row>
    <row r="18238">
      <c r="B18238" s="309"/>
      <c r="C18238" s="309"/>
      <c r="I18238" s="309"/>
      <c r="J18238" s="309"/>
    </row>
    <row r="18239">
      <c r="B18239" s="309"/>
      <c r="C18239" s="309"/>
      <c r="I18239" s="309"/>
      <c r="J18239" s="309"/>
    </row>
    <row r="18240">
      <c r="B18240" s="309"/>
      <c r="C18240" s="309"/>
      <c r="I18240" s="309"/>
      <c r="J18240" s="309"/>
    </row>
    <row r="18241">
      <c r="B18241" s="309"/>
      <c r="C18241" s="309"/>
      <c r="I18241" s="309"/>
      <c r="J18241" s="309"/>
    </row>
    <row r="18242">
      <c r="B18242" s="309"/>
      <c r="C18242" s="309"/>
      <c r="I18242" s="309"/>
      <c r="J18242" s="309"/>
    </row>
    <row r="18243">
      <c r="B18243" s="309"/>
      <c r="C18243" s="309"/>
      <c r="I18243" s="309"/>
      <c r="J18243" s="309"/>
    </row>
    <row r="18244">
      <c r="B18244" s="309"/>
      <c r="C18244" s="309"/>
      <c r="I18244" s="309"/>
      <c r="J18244" s="309"/>
    </row>
    <row r="18245">
      <c r="B18245" s="309"/>
      <c r="C18245" s="309"/>
      <c r="I18245" s="309"/>
      <c r="J18245" s="309"/>
    </row>
    <row r="18246">
      <c r="B18246" s="309"/>
      <c r="C18246" s="309"/>
      <c r="I18246" s="309"/>
      <c r="J18246" s="309"/>
    </row>
    <row r="18247">
      <c r="B18247" s="309"/>
      <c r="C18247" s="309"/>
      <c r="I18247" s="309"/>
      <c r="J18247" s="309"/>
    </row>
    <row r="18248">
      <c r="B18248" s="309"/>
      <c r="C18248" s="309"/>
      <c r="I18248" s="309"/>
      <c r="J18248" s="309"/>
    </row>
    <row r="18249">
      <c r="B18249" s="309"/>
      <c r="C18249" s="309"/>
      <c r="I18249" s="309"/>
      <c r="J18249" s="309"/>
    </row>
    <row r="18250">
      <c r="B18250" s="309"/>
      <c r="C18250" s="309"/>
      <c r="I18250" s="309"/>
      <c r="J18250" s="309"/>
    </row>
    <row r="18251">
      <c r="B18251" s="309"/>
      <c r="C18251" s="309"/>
      <c r="I18251" s="309"/>
      <c r="J18251" s="309"/>
    </row>
    <row r="18252">
      <c r="B18252" s="309"/>
      <c r="C18252" s="309"/>
      <c r="I18252" s="309"/>
      <c r="J18252" s="309"/>
    </row>
    <row r="18253">
      <c r="B18253" s="309"/>
      <c r="C18253" s="309"/>
      <c r="I18253" s="309"/>
      <c r="J18253" s="309"/>
    </row>
    <row r="18254">
      <c r="B18254" s="309"/>
      <c r="C18254" s="309"/>
      <c r="I18254" s="309"/>
      <c r="J18254" s="309"/>
    </row>
    <row r="18255">
      <c r="B18255" s="309"/>
      <c r="C18255" s="309"/>
      <c r="I18255" s="309"/>
      <c r="J18255" s="309"/>
    </row>
    <row r="18256">
      <c r="B18256" s="309"/>
      <c r="C18256" s="309"/>
      <c r="I18256" s="309"/>
      <c r="J18256" s="309"/>
    </row>
    <row r="18257">
      <c r="B18257" s="309"/>
      <c r="C18257" s="309"/>
      <c r="I18257" s="309"/>
      <c r="J18257" s="309"/>
    </row>
    <row r="18258">
      <c r="B18258" s="309"/>
      <c r="C18258" s="309"/>
      <c r="I18258" s="309"/>
      <c r="J18258" s="309"/>
    </row>
    <row r="18259">
      <c r="B18259" s="309"/>
      <c r="C18259" s="309"/>
      <c r="I18259" s="309"/>
      <c r="J18259" s="309"/>
    </row>
    <row r="18260">
      <c r="B18260" s="309"/>
      <c r="C18260" s="309"/>
      <c r="I18260" s="309"/>
      <c r="J18260" s="309"/>
    </row>
    <row r="18261">
      <c r="B18261" s="309"/>
      <c r="C18261" s="309"/>
      <c r="I18261" s="309"/>
      <c r="J18261" s="309"/>
    </row>
    <row r="18262">
      <c r="B18262" s="309"/>
      <c r="C18262" s="309"/>
      <c r="I18262" s="309"/>
      <c r="J18262" s="309"/>
    </row>
    <row r="18263">
      <c r="B18263" s="309"/>
      <c r="C18263" s="309"/>
      <c r="I18263" s="309"/>
      <c r="J18263" s="309"/>
    </row>
    <row r="18264">
      <c r="B18264" s="309"/>
      <c r="C18264" s="309"/>
      <c r="I18264" s="309"/>
      <c r="J18264" s="309"/>
    </row>
    <row r="18265">
      <c r="B18265" s="309"/>
      <c r="C18265" s="309"/>
      <c r="I18265" s="309"/>
      <c r="J18265" s="309"/>
    </row>
    <row r="18266">
      <c r="B18266" s="309"/>
      <c r="C18266" s="309"/>
      <c r="I18266" s="309"/>
      <c r="J18266" s="309"/>
    </row>
    <row r="18267">
      <c r="B18267" s="309"/>
      <c r="C18267" s="309"/>
      <c r="I18267" s="309"/>
      <c r="J18267" s="309"/>
    </row>
    <row r="18268">
      <c r="B18268" s="309"/>
      <c r="C18268" s="309"/>
      <c r="I18268" s="309"/>
      <c r="J18268" s="309"/>
    </row>
    <row r="18269">
      <c r="B18269" s="309"/>
      <c r="C18269" s="309"/>
      <c r="I18269" s="309"/>
      <c r="J18269" s="309"/>
    </row>
    <row r="18270">
      <c r="B18270" s="309"/>
      <c r="C18270" s="309"/>
      <c r="I18270" s="309"/>
      <c r="J18270" s="309"/>
    </row>
    <row r="18271">
      <c r="B18271" s="309"/>
      <c r="C18271" s="309"/>
      <c r="I18271" s="309"/>
      <c r="J18271" s="309"/>
    </row>
    <row r="18272">
      <c r="B18272" s="309"/>
      <c r="C18272" s="309"/>
      <c r="I18272" s="309"/>
      <c r="J18272" s="309"/>
    </row>
    <row r="18273">
      <c r="B18273" s="309"/>
      <c r="C18273" s="309"/>
      <c r="I18273" s="309"/>
      <c r="J18273" s="309"/>
    </row>
    <row r="18274">
      <c r="B18274" s="309"/>
      <c r="C18274" s="309"/>
      <c r="I18274" s="309"/>
      <c r="J18274" s="309"/>
    </row>
    <row r="18275">
      <c r="B18275" s="309"/>
      <c r="C18275" s="309"/>
      <c r="I18275" s="309"/>
      <c r="J18275" s="309"/>
    </row>
    <row r="18276">
      <c r="B18276" s="309"/>
      <c r="C18276" s="309"/>
      <c r="I18276" s="309"/>
      <c r="J18276" s="309"/>
    </row>
    <row r="18277">
      <c r="B18277" s="309"/>
      <c r="C18277" s="309"/>
      <c r="I18277" s="309"/>
      <c r="J18277" s="309"/>
    </row>
    <row r="18278">
      <c r="B18278" s="309"/>
      <c r="C18278" s="309"/>
      <c r="I18278" s="309"/>
      <c r="J18278" s="309"/>
    </row>
    <row r="18279">
      <c r="B18279" s="309"/>
      <c r="C18279" s="309"/>
      <c r="I18279" s="309"/>
      <c r="J18279" s="309"/>
    </row>
    <row r="18280">
      <c r="B18280" s="309"/>
      <c r="C18280" s="309"/>
      <c r="I18280" s="309"/>
      <c r="J18280" s="309"/>
    </row>
    <row r="18281">
      <c r="B18281" s="309"/>
      <c r="C18281" s="309"/>
      <c r="I18281" s="309"/>
      <c r="J18281" s="309"/>
    </row>
    <row r="18282">
      <c r="B18282" s="309"/>
      <c r="C18282" s="309"/>
      <c r="I18282" s="309"/>
      <c r="J18282" s="309"/>
    </row>
    <row r="18283">
      <c r="B18283" s="309"/>
      <c r="C18283" s="309"/>
      <c r="I18283" s="309"/>
      <c r="J18283" s="309"/>
    </row>
    <row r="18284">
      <c r="B18284" s="309"/>
      <c r="C18284" s="309"/>
      <c r="I18284" s="309"/>
      <c r="J18284" s="309"/>
    </row>
    <row r="18285">
      <c r="B18285" s="309"/>
      <c r="C18285" s="309"/>
      <c r="I18285" s="309"/>
      <c r="J18285" s="309"/>
    </row>
    <row r="18286">
      <c r="B18286" s="309"/>
      <c r="C18286" s="309"/>
      <c r="I18286" s="309"/>
      <c r="J18286" s="309"/>
    </row>
    <row r="18287">
      <c r="B18287" s="309"/>
      <c r="C18287" s="309"/>
      <c r="I18287" s="309"/>
      <c r="J18287" s="309"/>
    </row>
    <row r="18288">
      <c r="B18288" s="309"/>
      <c r="C18288" s="309"/>
      <c r="I18288" s="309"/>
      <c r="J18288" s="309"/>
    </row>
    <row r="18289">
      <c r="B18289" s="309"/>
      <c r="C18289" s="309"/>
      <c r="I18289" s="309"/>
      <c r="J18289" s="309"/>
    </row>
    <row r="18290">
      <c r="B18290" s="309"/>
      <c r="C18290" s="309"/>
      <c r="I18290" s="309"/>
      <c r="J18290" s="309"/>
    </row>
    <row r="18291">
      <c r="B18291" s="309"/>
      <c r="C18291" s="309"/>
      <c r="I18291" s="309"/>
      <c r="J18291" s="309"/>
    </row>
    <row r="18292">
      <c r="B18292" s="309"/>
      <c r="C18292" s="309"/>
      <c r="I18292" s="309"/>
      <c r="J18292" s="309"/>
    </row>
    <row r="18293">
      <c r="B18293" s="309"/>
      <c r="C18293" s="309"/>
      <c r="I18293" s="309"/>
      <c r="J18293" s="309"/>
    </row>
    <row r="18294">
      <c r="B18294" s="309"/>
      <c r="C18294" s="309"/>
      <c r="I18294" s="309"/>
      <c r="J18294" s="309"/>
    </row>
    <row r="18295">
      <c r="B18295" s="309"/>
      <c r="C18295" s="309"/>
      <c r="I18295" s="309"/>
      <c r="J18295" s="309"/>
    </row>
    <row r="18296">
      <c r="B18296" s="309"/>
      <c r="C18296" s="309"/>
      <c r="I18296" s="309"/>
      <c r="J18296" s="309"/>
    </row>
    <row r="18297">
      <c r="B18297" s="309"/>
      <c r="C18297" s="309"/>
      <c r="I18297" s="309"/>
      <c r="J18297" s="309"/>
    </row>
    <row r="18298">
      <c r="B18298" s="309"/>
      <c r="C18298" s="309"/>
      <c r="I18298" s="309"/>
      <c r="J18298" s="309"/>
    </row>
    <row r="18299">
      <c r="B18299" s="309"/>
      <c r="C18299" s="309"/>
      <c r="I18299" s="309"/>
      <c r="J18299" s="309"/>
    </row>
    <row r="18300">
      <c r="B18300" s="309"/>
      <c r="C18300" s="309"/>
      <c r="I18300" s="309"/>
      <c r="J18300" s="309"/>
    </row>
    <row r="18301">
      <c r="B18301" s="309"/>
      <c r="C18301" s="309"/>
      <c r="I18301" s="309"/>
      <c r="J18301" s="309"/>
    </row>
    <row r="18302">
      <c r="B18302" s="309"/>
      <c r="C18302" s="309"/>
      <c r="I18302" s="309"/>
      <c r="J18302" s="309"/>
    </row>
    <row r="18303">
      <c r="B18303" s="309"/>
      <c r="C18303" s="309"/>
      <c r="I18303" s="309"/>
      <c r="J18303" s="309"/>
    </row>
    <row r="18304">
      <c r="B18304" s="309"/>
      <c r="C18304" s="309"/>
      <c r="I18304" s="309"/>
      <c r="J18304" s="309"/>
    </row>
    <row r="18305">
      <c r="B18305" s="309"/>
      <c r="C18305" s="309"/>
      <c r="I18305" s="309"/>
      <c r="J18305" s="309"/>
    </row>
    <row r="18306">
      <c r="B18306" s="309"/>
      <c r="C18306" s="309"/>
      <c r="I18306" s="309"/>
      <c r="J18306" s="309"/>
    </row>
    <row r="18307">
      <c r="B18307" s="309"/>
      <c r="C18307" s="309"/>
      <c r="I18307" s="309"/>
      <c r="J18307" s="309"/>
    </row>
    <row r="18308">
      <c r="B18308" s="309"/>
      <c r="C18308" s="309"/>
      <c r="I18308" s="309"/>
      <c r="J18308" s="309"/>
    </row>
    <row r="18309">
      <c r="B18309" s="309"/>
      <c r="C18309" s="309"/>
      <c r="I18309" s="309"/>
      <c r="J18309" s="309"/>
    </row>
    <row r="18310">
      <c r="B18310" s="309"/>
      <c r="C18310" s="309"/>
      <c r="I18310" s="309"/>
      <c r="J18310" s="309"/>
    </row>
    <row r="18311">
      <c r="B18311" s="309"/>
      <c r="C18311" s="309"/>
      <c r="I18311" s="309"/>
      <c r="J18311" s="309"/>
    </row>
    <row r="18312">
      <c r="B18312" s="309"/>
      <c r="C18312" s="309"/>
      <c r="I18312" s="309"/>
      <c r="J18312" s="309"/>
    </row>
    <row r="18313">
      <c r="B18313" s="309"/>
      <c r="C18313" s="309"/>
      <c r="I18313" s="309"/>
      <c r="J18313" s="309"/>
    </row>
    <row r="18314">
      <c r="B18314" s="309"/>
      <c r="C18314" s="309"/>
      <c r="I18314" s="309"/>
      <c r="J18314" s="309"/>
    </row>
    <row r="18315">
      <c r="B18315" s="309"/>
      <c r="C18315" s="309"/>
      <c r="I18315" s="309"/>
      <c r="J18315" s="309"/>
    </row>
    <row r="18316">
      <c r="B18316" s="309"/>
      <c r="C18316" s="309"/>
      <c r="I18316" s="309"/>
      <c r="J18316" s="309"/>
    </row>
    <row r="18317">
      <c r="B18317" s="309"/>
      <c r="C18317" s="309"/>
      <c r="I18317" s="309"/>
      <c r="J18317" s="309"/>
    </row>
    <row r="18318">
      <c r="B18318" s="309"/>
      <c r="C18318" s="309"/>
      <c r="I18318" s="309"/>
      <c r="J18318" s="309"/>
    </row>
    <row r="18319">
      <c r="B18319" s="309"/>
      <c r="C18319" s="309"/>
      <c r="I18319" s="309"/>
      <c r="J18319" s="309"/>
    </row>
    <row r="18320">
      <c r="B18320" s="309"/>
      <c r="C18320" s="309"/>
      <c r="I18320" s="309"/>
      <c r="J18320" s="309"/>
    </row>
    <row r="18321">
      <c r="B18321" s="309"/>
      <c r="C18321" s="309"/>
      <c r="I18321" s="309"/>
      <c r="J18321" s="309"/>
    </row>
    <row r="18322">
      <c r="B18322" s="309"/>
      <c r="C18322" s="309"/>
      <c r="I18322" s="309"/>
      <c r="J18322" s="309"/>
    </row>
    <row r="18323">
      <c r="B18323" s="309"/>
      <c r="C18323" s="309"/>
      <c r="I18323" s="309"/>
      <c r="J18323" s="309"/>
    </row>
    <row r="18324">
      <c r="B18324" s="309"/>
      <c r="C18324" s="309"/>
      <c r="I18324" s="309"/>
      <c r="J18324" s="309"/>
    </row>
    <row r="18325">
      <c r="B18325" s="309"/>
      <c r="C18325" s="309"/>
      <c r="I18325" s="309"/>
      <c r="J18325" s="309"/>
    </row>
    <row r="18326">
      <c r="B18326" s="309"/>
      <c r="C18326" s="309"/>
      <c r="I18326" s="309"/>
      <c r="J18326" s="309"/>
    </row>
    <row r="18327">
      <c r="B18327" s="309"/>
      <c r="C18327" s="309"/>
      <c r="I18327" s="309"/>
      <c r="J18327" s="309"/>
    </row>
    <row r="18328">
      <c r="B18328" s="309"/>
      <c r="C18328" s="309"/>
      <c r="I18328" s="309"/>
      <c r="J18328" s="309"/>
    </row>
    <row r="18329">
      <c r="B18329" s="309"/>
      <c r="C18329" s="309"/>
      <c r="I18329" s="309"/>
      <c r="J18329" s="309"/>
    </row>
    <row r="18330">
      <c r="B18330" s="309"/>
      <c r="C18330" s="309"/>
      <c r="I18330" s="309"/>
      <c r="J18330" s="309"/>
    </row>
    <row r="18331">
      <c r="B18331" s="309"/>
      <c r="C18331" s="309"/>
      <c r="I18331" s="309"/>
      <c r="J18331" s="309"/>
    </row>
    <row r="18332">
      <c r="B18332" s="309"/>
      <c r="C18332" s="309"/>
      <c r="I18332" s="309"/>
      <c r="J18332" s="309"/>
    </row>
    <row r="18333">
      <c r="B18333" s="309"/>
      <c r="C18333" s="309"/>
      <c r="I18333" s="309"/>
      <c r="J18333" s="309"/>
    </row>
    <row r="18334">
      <c r="B18334" s="309"/>
      <c r="C18334" s="309"/>
      <c r="I18334" s="309"/>
      <c r="J18334" s="309"/>
    </row>
    <row r="18335">
      <c r="B18335" s="309"/>
      <c r="C18335" s="309"/>
      <c r="I18335" s="309"/>
      <c r="J18335" s="309"/>
    </row>
    <row r="18336">
      <c r="B18336" s="309"/>
      <c r="C18336" s="309"/>
      <c r="I18336" s="309"/>
      <c r="J18336" s="309"/>
    </row>
    <row r="18337">
      <c r="B18337" s="309"/>
      <c r="C18337" s="309"/>
      <c r="I18337" s="309"/>
      <c r="J18337" s="309"/>
    </row>
    <row r="18338">
      <c r="B18338" s="309"/>
      <c r="C18338" s="309"/>
      <c r="I18338" s="309"/>
      <c r="J18338" s="309"/>
    </row>
    <row r="18339">
      <c r="B18339" s="309"/>
      <c r="C18339" s="309"/>
      <c r="I18339" s="309"/>
      <c r="J18339" s="309"/>
    </row>
    <row r="18340">
      <c r="B18340" s="309"/>
      <c r="C18340" s="309"/>
      <c r="I18340" s="309"/>
      <c r="J18340" s="309"/>
    </row>
    <row r="18341">
      <c r="B18341" s="309"/>
      <c r="C18341" s="309"/>
      <c r="I18341" s="309"/>
      <c r="J18341" s="309"/>
    </row>
    <row r="18342">
      <c r="B18342" s="309"/>
      <c r="C18342" s="309"/>
      <c r="I18342" s="309"/>
      <c r="J18342" s="309"/>
    </row>
    <row r="18343">
      <c r="B18343" s="309"/>
      <c r="C18343" s="309"/>
      <c r="I18343" s="309"/>
      <c r="J18343" s="309"/>
    </row>
    <row r="18344">
      <c r="B18344" s="309"/>
      <c r="C18344" s="309"/>
      <c r="I18344" s="309"/>
      <c r="J18344" s="309"/>
    </row>
    <row r="18345">
      <c r="B18345" s="309"/>
      <c r="C18345" s="309"/>
      <c r="I18345" s="309"/>
      <c r="J18345" s="309"/>
    </row>
    <row r="18346">
      <c r="B18346" s="309"/>
      <c r="C18346" s="309"/>
      <c r="I18346" s="309"/>
      <c r="J18346" s="309"/>
    </row>
    <row r="18347">
      <c r="B18347" s="309"/>
      <c r="C18347" s="309"/>
      <c r="I18347" s="309"/>
      <c r="J18347" s="309"/>
    </row>
    <row r="18348">
      <c r="B18348" s="309"/>
      <c r="C18348" s="309"/>
      <c r="I18348" s="309"/>
      <c r="J18348" s="309"/>
    </row>
    <row r="18349">
      <c r="B18349" s="309"/>
      <c r="C18349" s="309"/>
      <c r="I18349" s="309"/>
      <c r="J18349" s="309"/>
    </row>
    <row r="18350">
      <c r="B18350" s="309"/>
      <c r="C18350" s="309"/>
      <c r="I18350" s="309"/>
      <c r="J18350" s="309"/>
    </row>
    <row r="18351">
      <c r="B18351" s="309"/>
      <c r="C18351" s="309"/>
      <c r="I18351" s="309"/>
      <c r="J18351" s="309"/>
    </row>
    <row r="18352">
      <c r="B18352" s="309"/>
      <c r="C18352" s="309"/>
      <c r="I18352" s="309"/>
      <c r="J18352" s="309"/>
    </row>
    <row r="18353">
      <c r="B18353" s="309"/>
      <c r="C18353" s="309"/>
      <c r="I18353" s="309"/>
      <c r="J18353" s="309"/>
    </row>
    <row r="18354">
      <c r="B18354" s="309"/>
      <c r="C18354" s="309"/>
      <c r="I18354" s="309"/>
      <c r="J18354" s="309"/>
    </row>
    <row r="18355">
      <c r="B18355" s="309"/>
      <c r="C18355" s="309"/>
      <c r="I18355" s="309"/>
      <c r="J18355" s="309"/>
    </row>
    <row r="18356">
      <c r="B18356" s="309"/>
      <c r="C18356" s="309"/>
      <c r="I18356" s="309"/>
      <c r="J18356" s="309"/>
    </row>
    <row r="18357">
      <c r="B18357" s="309"/>
      <c r="C18357" s="309"/>
      <c r="I18357" s="309"/>
      <c r="J18357" s="309"/>
    </row>
    <row r="18358">
      <c r="B18358" s="309"/>
      <c r="C18358" s="309"/>
      <c r="I18358" s="309"/>
      <c r="J18358" s="309"/>
    </row>
    <row r="18359">
      <c r="B18359" s="309"/>
      <c r="C18359" s="309"/>
      <c r="I18359" s="309"/>
      <c r="J18359" s="309"/>
    </row>
    <row r="18360">
      <c r="B18360" s="309"/>
      <c r="C18360" s="309"/>
      <c r="I18360" s="309"/>
      <c r="J18360" s="309"/>
    </row>
    <row r="18361">
      <c r="B18361" s="309"/>
      <c r="C18361" s="309"/>
      <c r="I18361" s="309"/>
      <c r="J18361" s="309"/>
    </row>
    <row r="18362">
      <c r="B18362" s="309"/>
      <c r="C18362" s="309"/>
      <c r="I18362" s="309"/>
      <c r="J18362" s="309"/>
    </row>
    <row r="18363">
      <c r="B18363" s="309"/>
      <c r="C18363" s="309"/>
      <c r="I18363" s="309"/>
      <c r="J18363" s="309"/>
    </row>
    <row r="18364">
      <c r="B18364" s="309"/>
      <c r="C18364" s="309"/>
      <c r="I18364" s="309"/>
      <c r="J18364" s="309"/>
    </row>
    <row r="18365">
      <c r="B18365" s="309"/>
      <c r="C18365" s="309"/>
      <c r="I18365" s="309"/>
      <c r="J18365" s="309"/>
    </row>
    <row r="18366">
      <c r="B18366" s="309"/>
      <c r="C18366" s="309"/>
      <c r="I18366" s="309"/>
      <c r="J18366" s="309"/>
    </row>
    <row r="18367">
      <c r="B18367" s="309"/>
      <c r="C18367" s="309"/>
      <c r="I18367" s="309"/>
      <c r="J18367" s="309"/>
    </row>
    <row r="18368">
      <c r="B18368" s="309"/>
      <c r="C18368" s="309"/>
      <c r="I18368" s="309"/>
      <c r="J18368" s="309"/>
    </row>
    <row r="18369">
      <c r="B18369" s="309"/>
      <c r="C18369" s="309"/>
      <c r="I18369" s="309"/>
      <c r="J18369" s="309"/>
    </row>
    <row r="18370">
      <c r="B18370" s="309"/>
      <c r="C18370" s="309"/>
      <c r="I18370" s="309"/>
      <c r="J18370" s="309"/>
    </row>
    <row r="18371">
      <c r="B18371" s="309"/>
      <c r="C18371" s="309"/>
      <c r="I18371" s="309"/>
      <c r="J18371" s="309"/>
    </row>
    <row r="18372">
      <c r="B18372" s="309"/>
      <c r="C18372" s="309"/>
      <c r="I18372" s="309"/>
      <c r="J18372" s="309"/>
    </row>
    <row r="18373">
      <c r="B18373" s="309"/>
      <c r="C18373" s="309"/>
      <c r="I18373" s="309"/>
      <c r="J18373" s="309"/>
    </row>
    <row r="18374">
      <c r="B18374" s="309"/>
      <c r="C18374" s="309"/>
      <c r="I18374" s="309"/>
      <c r="J18374" s="309"/>
    </row>
    <row r="18375">
      <c r="B18375" s="309"/>
      <c r="C18375" s="309"/>
      <c r="I18375" s="309"/>
      <c r="J18375" s="309"/>
    </row>
    <row r="18376">
      <c r="B18376" s="309"/>
      <c r="C18376" s="309"/>
      <c r="I18376" s="309"/>
      <c r="J18376" s="309"/>
    </row>
    <row r="18377">
      <c r="B18377" s="309"/>
      <c r="C18377" s="309"/>
      <c r="I18377" s="309"/>
      <c r="J18377" s="309"/>
    </row>
    <row r="18378">
      <c r="B18378" s="309"/>
      <c r="C18378" s="309"/>
      <c r="I18378" s="309"/>
      <c r="J18378" s="309"/>
    </row>
    <row r="18379">
      <c r="B18379" s="309"/>
      <c r="C18379" s="309"/>
      <c r="I18379" s="309"/>
      <c r="J18379" s="309"/>
    </row>
    <row r="18380">
      <c r="B18380" s="309"/>
      <c r="C18380" s="309"/>
      <c r="I18380" s="309"/>
      <c r="J18380" s="309"/>
    </row>
    <row r="18381">
      <c r="B18381" s="309"/>
      <c r="C18381" s="309"/>
      <c r="I18381" s="309"/>
      <c r="J18381" s="309"/>
    </row>
    <row r="18382">
      <c r="B18382" s="309"/>
      <c r="C18382" s="309"/>
      <c r="I18382" s="309"/>
      <c r="J18382" s="309"/>
    </row>
    <row r="18383">
      <c r="B18383" s="309"/>
      <c r="C18383" s="309"/>
      <c r="I18383" s="309"/>
      <c r="J18383" s="309"/>
    </row>
    <row r="18384">
      <c r="B18384" s="309"/>
      <c r="C18384" s="309"/>
      <c r="I18384" s="309"/>
      <c r="J18384" s="309"/>
    </row>
    <row r="18385">
      <c r="B18385" s="309"/>
      <c r="C18385" s="309"/>
      <c r="I18385" s="309"/>
      <c r="J18385" s="309"/>
    </row>
    <row r="18386">
      <c r="B18386" s="309"/>
      <c r="C18386" s="309"/>
      <c r="I18386" s="309"/>
      <c r="J18386" s="309"/>
    </row>
    <row r="18387">
      <c r="B18387" s="309"/>
      <c r="C18387" s="309"/>
      <c r="I18387" s="309"/>
      <c r="J18387" s="309"/>
    </row>
    <row r="18388">
      <c r="B18388" s="309"/>
      <c r="C18388" s="309"/>
      <c r="I18388" s="309"/>
      <c r="J18388" s="309"/>
    </row>
    <row r="18389">
      <c r="B18389" s="309"/>
      <c r="C18389" s="309"/>
      <c r="I18389" s="309"/>
      <c r="J18389" s="309"/>
    </row>
    <row r="18390">
      <c r="B18390" s="309"/>
      <c r="C18390" s="309"/>
      <c r="I18390" s="309"/>
      <c r="J18390" s="309"/>
    </row>
    <row r="18391">
      <c r="B18391" s="309"/>
      <c r="C18391" s="309"/>
      <c r="I18391" s="309"/>
      <c r="J18391" s="309"/>
    </row>
    <row r="18392">
      <c r="B18392" s="309"/>
      <c r="C18392" s="309"/>
      <c r="I18392" s="309"/>
      <c r="J18392" s="309"/>
    </row>
    <row r="18393">
      <c r="B18393" s="309"/>
      <c r="C18393" s="309"/>
      <c r="I18393" s="309"/>
      <c r="J18393" s="309"/>
    </row>
    <row r="18394">
      <c r="B18394" s="309"/>
      <c r="C18394" s="309"/>
      <c r="I18394" s="309"/>
      <c r="J18394" s="309"/>
    </row>
    <row r="18395">
      <c r="B18395" s="309"/>
      <c r="C18395" s="309"/>
      <c r="I18395" s="309"/>
      <c r="J18395" s="309"/>
    </row>
    <row r="18396">
      <c r="B18396" s="309"/>
      <c r="C18396" s="309"/>
      <c r="I18396" s="309"/>
      <c r="J18396" s="309"/>
    </row>
    <row r="18397">
      <c r="B18397" s="309"/>
      <c r="C18397" s="309"/>
      <c r="I18397" s="309"/>
      <c r="J18397" s="309"/>
    </row>
    <row r="18398">
      <c r="B18398" s="309"/>
      <c r="C18398" s="309"/>
      <c r="I18398" s="309"/>
      <c r="J18398" s="309"/>
    </row>
    <row r="18399">
      <c r="B18399" s="309"/>
      <c r="C18399" s="309"/>
      <c r="I18399" s="309"/>
      <c r="J18399" s="309"/>
    </row>
    <row r="18400">
      <c r="B18400" s="309"/>
      <c r="C18400" s="309"/>
      <c r="I18400" s="309"/>
      <c r="J18400" s="309"/>
    </row>
    <row r="18401">
      <c r="B18401" s="309"/>
      <c r="C18401" s="309"/>
      <c r="I18401" s="309"/>
      <c r="J18401" s="309"/>
    </row>
    <row r="18402">
      <c r="B18402" s="309"/>
      <c r="C18402" s="309"/>
      <c r="I18402" s="309"/>
      <c r="J18402" s="309"/>
    </row>
    <row r="18403">
      <c r="B18403" s="309"/>
      <c r="C18403" s="309"/>
      <c r="I18403" s="309"/>
      <c r="J18403" s="309"/>
    </row>
    <row r="18404">
      <c r="B18404" s="309"/>
      <c r="C18404" s="309"/>
      <c r="I18404" s="309"/>
      <c r="J18404" s="309"/>
    </row>
    <row r="18405">
      <c r="B18405" s="309"/>
      <c r="C18405" s="309"/>
      <c r="I18405" s="309"/>
      <c r="J18405" s="309"/>
    </row>
    <row r="18406">
      <c r="B18406" s="309"/>
      <c r="C18406" s="309"/>
      <c r="I18406" s="309"/>
      <c r="J18406" s="309"/>
    </row>
    <row r="18407">
      <c r="B18407" s="309"/>
      <c r="C18407" s="309"/>
      <c r="I18407" s="309"/>
      <c r="J18407" s="309"/>
    </row>
    <row r="18408">
      <c r="B18408" s="309"/>
      <c r="C18408" s="309"/>
      <c r="I18408" s="309"/>
      <c r="J18408" s="309"/>
    </row>
    <row r="18409">
      <c r="B18409" s="309"/>
      <c r="C18409" s="309"/>
      <c r="I18409" s="309"/>
      <c r="J18409" s="309"/>
    </row>
    <row r="18410">
      <c r="B18410" s="309"/>
      <c r="C18410" s="309"/>
      <c r="I18410" s="309"/>
      <c r="J18410" s="309"/>
    </row>
    <row r="18411">
      <c r="B18411" s="309"/>
      <c r="C18411" s="309"/>
      <c r="I18411" s="309"/>
      <c r="J18411" s="309"/>
    </row>
    <row r="18412">
      <c r="B18412" s="309"/>
      <c r="C18412" s="309"/>
      <c r="I18412" s="309"/>
      <c r="J18412" s="309"/>
    </row>
    <row r="18413">
      <c r="B18413" s="309"/>
      <c r="C18413" s="309"/>
      <c r="I18413" s="309"/>
      <c r="J18413" s="309"/>
    </row>
    <row r="18414">
      <c r="B18414" s="309"/>
      <c r="C18414" s="309"/>
      <c r="I18414" s="309"/>
      <c r="J18414" s="309"/>
    </row>
    <row r="18415">
      <c r="B18415" s="309"/>
      <c r="C18415" s="309"/>
      <c r="I18415" s="309"/>
      <c r="J18415" s="309"/>
    </row>
    <row r="18416">
      <c r="B18416" s="309"/>
      <c r="C18416" s="309"/>
      <c r="I18416" s="309"/>
      <c r="J18416" s="309"/>
    </row>
    <row r="18417">
      <c r="B18417" s="309"/>
      <c r="C18417" s="309"/>
      <c r="I18417" s="309"/>
      <c r="J18417" s="309"/>
    </row>
    <row r="18418">
      <c r="B18418" s="309"/>
      <c r="C18418" s="309"/>
      <c r="I18418" s="309"/>
      <c r="J18418" s="309"/>
    </row>
    <row r="18419">
      <c r="B18419" s="309"/>
      <c r="C18419" s="309"/>
      <c r="I18419" s="309"/>
      <c r="J18419" s="309"/>
    </row>
    <row r="18420">
      <c r="B18420" s="309"/>
      <c r="C18420" s="309"/>
      <c r="I18420" s="309"/>
      <c r="J18420" s="309"/>
    </row>
    <row r="18421">
      <c r="B18421" s="309"/>
      <c r="C18421" s="309"/>
      <c r="I18421" s="309"/>
      <c r="J18421" s="309"/>
    </row>
    <row r="18422">
      <c r="B18422" s="309"/>
      <c r="C18422" s="309"/>
      <c r="I18422" s="309"/>
      <c r="J18422" s="309"/>
    </row>
    <row r="18423">
      <c r="B18423" s="309"/>
      <c r="C18423" s="309"/>
      <c r="I18423" s="309"/>
      <c r="J18423" s="309"/>
    </row>
    <row r="18424">
      <c r="B18424" s="309"/>
      <c r="C18424" s="309"/>
      <c r="I18424" s="309"/>
      <c r="J18424" s="309"/>
    </row>
    <row r="18425">
      <c r="B18425" s="309"/>
      <c r="C18425" s="309"/>
      <c r="I18425" s="309"/>
      <c r="J18425" s="309"/>
    </row>
    <row r="18426">
      <c r="B18426" s="309"/>
      <c r="C18426" s="309"/>
      <c r="I18426" s="309"/>
      <c r="J18426" s="309"/>
    </row>
    <row r="18427">
      <c r="B18427" s="309"/>
      <c r="C18427" s="309"/>
      <c r="I18427" s="309"/>
      <c r="J18427" s="309"/>
    </row>
    <row r="18428">
      <c r="B18428" s="309"/>
      <c r="C18428" s="309"/>
      <c r="I18428" s="309"/>
      <c r="J18428" s="309"/>
    </row>
    <row r="18429">
      <c r="B18429" s="309"/>
      <c r="C18429" s="309"/>
      <c r="I18429" s="309"/>
      <c r="J18429" s="309"/>
    </row>
    <row r="18430">
      <c r="B18430" s="309"/>
      <c r="C18430" s="309"/>
      <c r="I18430" s="309"/>
      <c r="J18430" s="309"/>
    </row>
    <row r="18431">
      <c r="B18431" s="309"/>
      <c r="C18431" s="309"/>
      <c r="I18431" s="309"/>
      <c r="J18431" s="309"/>
    </row>
    <row r="18432">
      <c r="B18432" s="309"/>
      <c r="C18432" s="309"/>
      <c r="I18432" s="309"/>
      <c r="J18432" s="309"/>
    </row>
    <row r="18433">
      <c r="B18433" s="309"/>
      <c r="C18433" s="309"/>
      <c r="I18433" s="309"/>
      <c r="J18433" s="309"/>
    </row>
    <row r="18434">
      <c r="B18434" s="309"/>
      <c r="C18434" s="309"/>
      <c r="I18434" s="309"/>
      <c r="J18434" s="309"/>
    </row>
    <row r="18435">
      <c r="B18435" s="309"/>
      <c r="C18435" s="309"/>
      <c r="I18435" s="309"/>
      <c r="J18435" s="309"/>
    </row>
    <row r="18436">
      <c r="B18436" s="309"/>
      <c r="C18436" s="309"/>
      <c r="I18436" s="309"/>
      <c r="J18436" s="309"/>
    </row>
    <row r="18437">
      <c r="B18437" s="309"/>
      <c r="C18437" s="309"/>
      <c r="I18437" s="309"/>
      <c r="J18437" s="309"/>
    </row>
    <row r="18438">
      <c r="B18438" s="309"/>
      <c r="C18438" s="309"/>
      <c r="I18438" s="309"/>
      <c r="J18438" s="309"/>
    </row>
    <row r="18439">
      <c r="B18439" s="309"/>
      <c r="C18439" s="309"/>
      <c r="I18439" s="309"/>
      <c r="J18439" s="309"/>
    </row>
    <row r="18440">
      <c r="B18440" s="309"/>
      <c r="C18440" s="309"/>
      <c r="I18440" s="309"/>
      <c r="J18440" s="309"/>
    </row>
    <row r="18441">
      <c r="B18441" s="309"/>
      <c r="C18441" s="309"/>
      <c r="I18441" s="309"/>
      <c r="J18441" s="309"/>
    </row>
    <row r="18442">
      <c r="B18442" s="309"/>
      <c r="C18442" s="309"/>
      <c r="I18442" s="309"/>
      <c r="J18442" s="309"/>
    </row>
    <row r="18443">
      <c r="B18443" s="309"/>
      <c r="C18443" s="309"/>
      <c r="I18443" s="309"/>
      <c r="J18443" s="309"/>
    </row>
    <row r="18444">
      <c r="B18444" s="309"/>
      <c r="C18444" s="309"/>
      <c r="I18444" s="309"/>
      <c r="J18444" s="309"/>
    </row>
    <row r="18445">
      <c r="B18445" s="309"/>
      <c r="C18445" s="309"/>
      <c r="I18445" s="309"/>
      <c r="J18445" s="309"/>
    </row>
    <row r="18446">
      <c r="B18446" s="309"/>
      <c r="C18446" s="309"/>
      <c r="I18446" s="309"/>
      <c r="J18446" s="309"/>
    </row>
    <row r="18447">
      <c r="B18447" s="309"/>
      <c r="C18447" s="309"/>
      <c r="I18447" s="309"/>
      <c r="J18447" s="309"/>
    </row>
    <row r="18448">
      <c r="B18448" s="309"/>
      <c r="C18448" s="309"/>
      <c r="I18448" s="309"/>
      <c r="J18448" s="309"/>
    </row>
    <row r="18449">
      <c r="B18449" s="309"/>
      <c r="C18449" s="309"/>
      <c r="I18449" s="309"/>
      <c r="J18449" s="309"/>
    </row>
    <row r="18450">
      <c r="B18450" s="309"/>
      <c r="C18450" s="309"/>
      <c r="I18450" s="309"/>
      <c r="J18450" s="309"/>
    </row>
    <row r="18451">
      <c r="B18451" s="309"/>
      <c r="C18451" s="309"/>
      <c r="I18451" s="309"/>
      <c r="J18451" s="309"/>
    </row>
    <row r="18452">
      <c r="B18452" s="309"/>
      <c r="C18452" s="309"/>
      <c r="I18452" s="309"/>
      <c r="J18452" s="309"/>
    </row>
    <row r="18453">
      <c r="B18453" s="309"/>
      <c r="C18453" s="309"/>
      <c r="I18453" s="309"/>
      <c r="J18453" s="309"/>
    </row>
    <row r="18454">
      <c r="B18454" s="309"/>
      <c r="C18454" s="309"/>
      <c r="I18454" s="309"/>
      <c r="J18454" s="309"/>
    </row>
    <row r="18455">
      <c r="B18455" s="309"/>
      <c r="C18455" s="309"/>
      <c r="I18455" s="309"/>
      <c r="J18455" s="309"/>
    </row>
    <row r="18456">
      <c r="B18456" s="309"/>
      <c r="C18456" s="309"/>
      <c r="I18456" s="309"/>
      <c r="J18456" s="309"/>
    </row>
    <row r="18457">
      <c r="B18457" s="309"/>
      <c r="C18457" s="309"/>
      <c r="I18457" s="309"/>
      <c r="J18457" s="309"/>
    </row>
    <row r="18458">
      <c r="B18458" s="309"/>
      <c r="C18458" s="309"/>
      <c r="I18458" s="309"/>
      <c r="J18458" s="309"/>
    </row>
    <row r="18459">
      <c r="B18459" s="309"/>
      <c r="C18459" s="309"/>
      <c r="I18459" s="309"/>
      <c r="J18459" s="309"/>
    </row>
    <row r="18460">
      <c r="B18460" s="309"/>
      <c r="C18460" s="309"/>
      <c r="I18460" s="309"/>
      <c r="J18460" s="309"/>
    </row>
    <row r="18461">
      <c r="B18461" s="309"/>
      <c r="C18461" s="309"/>
      <c r="I18461" s="309"/>
      <c r="J18461" s="309"/>
    </row>
    <row r="18462">
      <c r="B18462" s="309"/>
      <c r="C18462" s="309"/>
      <c r="I18462" s="309"/>
      <c r="J18462" s="309"/>
    </row>
    <row r="18463">
      <c r="B18463" s="309"/>
      <c r="C18463" s="309"/>
      <c r="I18463" s="309"/>
      <c r="J18463" s="309"/>
    </row>
    <row r="18464">
      <c r="B18464" s="309"/>
      <c r="C18464" s="309"/>
      <c r="I18464" s="309"/>
      <c r="J18464" s="309"/>
    </row>
    <row r="18465">
      <c r="B18465" s="309"/>
      <c r="C18465" s="309"/>
      <c r="I18465" s="309"/>
      <c r="J18465" s="309"/>
    </row>
    <row r="18466">
      <c r="B18466" s="309"/>
      <c r="C18466" s="309"/>
      <c r="I18466" s="309"/>
      <c r="J18466" s="309"/>
    </row>
    <row r="18467">
      <c r="B18467" s="309"/>
      <c r="C18467" s="309"/>
      <c r="I18467" s="309"/>
      <c r="J18467" s="309"/>
    </row>
    <row r="18468">
      <c r="B18468" s="309"/>
      <c r="C18468" s="309"/>
      <c r="I18468" s="309"/>
      <c r="J18468" s="309"/>
    </row>
    <row r="18469">
      <c r="B18469" s="309"/>
      <c r="C18469" s="309"/>
      <c r="I18469" s="309"/>
      <c r="J18469" s="309"/>
    </row>
    <row r="18470">
      <c r="B18470" s="309"/>
      <c r="C18470" s="309"/>
      <c r="I18470" s="309"/>
      <c r="J18470" s="309"/>
    </row>
    <row r="18471">
      <c r="B18471" s="309"/>
      <c r="C18471" s="309"/>
      <c r="I18471" s="309"/>
      <c r="J18471" s="309"/>
    </row>
    <row r="18472">
      <c r="B18472" s="309"/>
      <c r="C18472" s="309"/>
      <c r="I18472" s="309"/>
      <c r="J18472" s="309"/>
    </row>
    <row r="18473">
      <c r="B18473" s="309"/>
      <c r="C18473" s="309"/>
      <c r="I18473" s="309"/>
      <c r="J18473" s="309"/>
    </row>
    <row r="18474">
      <c r="B18474" s="309"/>
      <c r="C18474" s="309"/>
      <c r="I18474" s="309"/>
      <c r="J18474" s="309"/>
    </row>
    <row r="18475">
      <c r="B18475" s="309"/>
      <c r="C18475" s="309"/>
      <c r="I18475" s="309"/>
      <c r="J18475" s="309"/>
    </row>
    <row r="18476">
      <c r="B18476" s="309"/>
      <c r="C18476" s="309"/>
      <c r="I18476" s="309"/>
      <c r="J18476" s="309"/>
    </row>
    <row r="18477">
      <c r="B18477" s="309"/>
      <c r="C18477" s="309"/>
      <c r="I18477" s="309"/>
      <c r="J18477" s="309"/>
    </row>
    <row r="18478">
      <c r="B18478" s="309"/>
      <c r="C18478" s="309"/>
      <c r="I18478" s="309"/>
      <c r="J18478" s="309"/>
    </row>
    <row r="18479">
      <c r="B18479" s="309"/>
      <c r="C18479" s="309"/>
      <c r="I18479" s="309"/>
      <c r="J18479" s="309"/>
    </row>
    <row r="18480">
      <c r="B18480" s="309"/>
      <c r="C18480" s="309"/>
      <c r="I18480" s="309"/>
      <c r="J18480" s="309"/>
    </row>
    <row r="18481">
      <c r="B18481" s="309"/>
      <c r="C18481" s="309"/>
      <c r="I18481" s="309"/>
      <c r="J18481" s="309"/>
    </row>
    <row r="18482">
      <c r="B18482" s="309"/>
      <c r="C18482" s="309"/>
      <c r="I18482" s="309"/>
      <c r="J18482" s="309"/>
    </row>
    <row r="18483">
      <c r="B18483" s="309"/>
      <c r="C18483" s="309"/>
      <c r="I18483" s="309"/>
      <c r="J18483" s="309"/>
    </row>
    <row r="18484">
      <c r="B18484" s="309"/>
      <c r="C18484" s="309"/>
      <c r="I18484" s="309"/>
      <c r="J18484" s="309"/>
    </row>
    <row r="18485">
      <c r="B18485" s="309"/>
      <c r="C18485" s="309"/>
      <c r="I18485" s="309"/>
      <c r="J18485" s="309"/>
    </row>
    <row r="18486">
      <c r="B18486" s="309"/>
      <c r="C18486" s="309"/>
      <c r="I18486" s="309"/>
      <c r="J18486" s="309"/>
    </row>
    <row r="18487">
      <c r="B18487" s="309"/>
      <c r="C18487" s="309"/>
      <c r="I18487" s="309"/>
      <c r="J18487" s="309"/>
    </row>
    <row r="18488">
      <c r="B18488" s="309"/>
      <c r="C18488" s="309"/>
      <c r="I18488" s="309"/>
      <c r="J18488" s="309"/>
    </row>
    <row r="18489">
      <c r="B18489" s="309"/>
      <c r="C18489" s="309"/>
      <c r="I18489" s="309"/>
      <c r="J18489" s="309"/>
    </row>
    <row r="18490">
      <c r="B18490" s="309"/>
      <c r="C18490" s="309"/>
      <c r="I18490" s="309"/>
      <c r="J18490" s="309"/>
    </row>
    <row r="18491">
      <c r="B18491" s="309"/>
      <c r="C18491" s="309"/>
      <c r="I18491" s="309"/>
      <c r="J18491" s="309"/>
    </row>
    <row r="18492">
      <c r="B18492" s="309"/>
      <c r="C18492" s="309"/>
      <c r="I18492" s="309"/>
      <c r="J18492" s="309"/>
    </row>
    <row r="18493">
      <c r="B18493" s="309"/>
      <c r="C18493" s="309"/>
      <c r="I18493" s="309"/>
      <c r="J18493" s="309"/>
    </row>
    <row r="18494">
      <c r="B18494" s="309"/>
      <c r="C18494" s="309"/>
      <c r="I18494" s="309"/>
      <c r="J18494" s="309"/>
    </row>
    <row r="18495">
      <c r="B18495" s="309"/>
      <c r="C18495" s="309"/>
      <c r="I18495" s="309"/>
      <c r="J18495" s="309"/>
    </row>
    <row r="18496">
      <c r="B18496" s="309"/>
      <c r="C18496" s="309"/>
      <c r="I18496" s="309"/>
      <c r="J18496" s="309"/>
    </row>
    <row r="18497">
      <c r="B18497" s="309"/>
      <c r="C18497" s="309"/>
      <c r="I18497" s="309"/>
      <c r="J18497" s="309"/>
    </row>
    <row r="18498">
      <c r="B18498" s="309"/>
      <c r="C18498" s="309"/>
      <c r="I18498" s="309"/>
      <c r="J18498" s="309"/>
    </row>
    <row r="18499">
      <c r="B18499" s="309"/>
      <c r="C18499" s="309"/>
      <c r="I18499" s="309"/>
      <c r="J18499" s="309"/>
    </row>
    <row r="18500">
      <c r="B18500" s="309"/>
      <c r="C18500" s="309"/>
      <c r="I18500" s="309"/>
      <c r="J18500" s="309"/>
    </row>
    <row r="18501">
      <c r="B18501" s="309"/>
      <c r="C18501" s="309"/>
      <c r="I18501" s="309"/>
      <c r="J18501" s="309"/>
    </row>
    <row r="18502">
      <c r="B18502" s="309"/>
      <c r="C18502" s="309"/>
      <c r="I18502" s="309"/>
      <c r="J18502" s="309"/>
    </row>
    <row r="18503">
      <c r="B18503" s="309"/>
      <c r="C18503" s="309"/>
      <c r="I18503" s="309"/>
      <c r="J18503" s="309"/>
    </row>
    <row r="18504">
      <c r="B18504" s="309"/>
      <c r="C18504" s="309"/>
      <c r="I18504" s="309"/>
      <c r="J18504" s="309"/>
    </row>
    <row r="18505">
      <c r="B18505" s="309"/>
      <c r="C18505" s="309"/>
      <c r="I18505" s="309"/>
      <c r="J18505" s="309"/>
    </row>
    <row r="18506">
      <c r="B18506" s="309"/>
      <c r="C18506" s="309"/>
      <c r="I18506" s="309"/>
      <c r="J18506" s="309"/>
    </row>
    <row r="18507">
      <c r="B18507" s="309"/>
      <c r="C18507" s="309"/>
      <c r="I18507" s="309"/>
      <c r="J18507" s="309"/>
    </row>
    <row r="18508">
      <c r="B18508" s="309"/>
      <c r="C18508" s="309"/>
      <c r="I18508" s="309"/>
      <c r="J18508" s="309"/>
    </row>
    <row r="18509">
      <c r="B18509" s="309"/>
      <c r="C18509" s="309"/>
      <c r="I18509" s="309"/>
      <c r="J18509" s="309"/>
    </row>
    <row r="18510">
      <c r="B18510" s="309"/>
      <c r="C18510" s="309"/>
      <c r="I18510" s="309"/>
      <c r="J18510" s="309"/>
    </row>
    <row r="18511">
      <c r="B18511" s="309"/>
      <c r="C18511" s="309"/>
      <c r="I18511" s="309"/>
      <c r="J18511" s="309"/>
    </row>
    <row r="18512">
      <c r="B18512" s="309"/>
      <c r="C18512" s="309"/>
      <c r="I18512" s="309"/>
      <c r="J18512" s="309"/>
    </row>
    <row r="18513">
      <c r="B18513" s="309"/>
      <c r="C18513" s="309"/>
      <c r="I18513" s="309"/>
      <c r="J18513" s="309"/>
    </row>
    <row r="18514">
      <c r="B18514" s="309"/>
      <c r="C18514" s="309"/>
      <c r="I18514" s="309"/>
      <c r="J18514" s="309"/>
    </row>
    <row r="18515">
      <c r="B18515" s="309"/>
      <c r="C18515" s="309"/>
      <c r="I18515" s="309"/>
      <c r="J18515" s="309"/>
    </row>
    <row r="18516">
      <c r="B18516" s="309"/>
      <c r="C18516" s="309"/>
      <c r="I18516" s="309"/>
      <c r="J18516" s="309"/>
    </row>
    <row r="18517">
      <c r="B18517" s="309"/>
      <c r="C18517" s="309"/>
      <c r="I18517" s="309"/>
      <c r="J18517" s="309"/>
    </row>
    <row r="18518">
      <c r="B18518" s="309"/>
      <c r="C18518" s="309"/>
      <c r="I18518" s="309"/>
      <c r="J18518" s="309"/>
    </row>
    <row r="18519">
      <c r="B18519" s="309"/>
      <c r="C18519" s="309"/>
      <c r="I18519" s="309"/>
      <c r="J18519" s="309"/>
    </row>
    <row r="18520">
      <c r="B18520" s="309"/>
      <c r="C18520" s="309"/>
      <c r="I18520" s="309"/>
      <c r="J18520" s="309"/>
    </row>
    <row r="18521">
      <c r="B18521" s="309"/>
      <c r="C18521" s="309"/>
      <c r="I18521" s="309"/>
      <c r="J18521" s="309"/>
    </row>
    <row r="18522">
      <c r="B18522" s="309"/>
      <c r="C18522" s="309"/>
      <c r="I18522" s="309"/>
      <c r="J18522" s="309"/>
    </row>
    <row r="18523">
      <c r="B18523" s="309"/>
      <c r="C18523" s="309"/>
      <c r="I18523" s="309"/>
      <c r="J18523" s="309"/>
    </row>
    <row r="18524">
      <c r="B18524" s="309"/>
      <c r="C18524" s="309"/>
      <c r="I18524" s="309"/>
      <c r="J18524" s="309"/>
    </row>
    <row r="18525">
      <c r="B18525" s="309"/>
      <c r="C18525" s="309"/>
      <c r="I18525" s="309"/>
      <c r="J18525" s="309"/>
    </row>
    <row r="18526">
      <c r="B18526" s="309"/>
      <c r="C18526" s="309"/>
      <c r="I18526" s="309"/>
      <c r="J18526" s="309"/>
    </row>
    <row r="18527">
      <c r="B18527" s="309"/>
      <c r="C18527" s="309"/>
      <c r="I18527" s="309"/>
      <c r="J18527" s="309"/>
    </row>
    <row r="18528">
      <c r="B18528" s="309"/>
      <c r="C18528" s="309"/>
      <c r="I18528" s="309"/>
      <c r="J18528" s="309"/>
    </row>
    <row r="18529">
      <c r="B18529" s="309"/>
      <c r="C18529" s="309"/>
      <c r="I18529" s="309"/>
      <c r="J18529" s="309"/>
    </row>
    <row r="18530">
      <c r="B18530" s="309"/>
      <c r="C18530" s="309"/>
      <c r="I18530" s="309"/>
      <c r="J18530" s="309"/>
    </row>
    <row r="18531">
      <c r="B18531" s="309"/>
      <c r="C18531" s="309"/>
      <c r="I18531" s="309"/>
      <c r="J18531" s="309"/>
    </row>
    <row r="18532">
      <c r="B18532" s="309"/>
      <c r="C18532" s="309"/>
      <c r="I18532" s="309"/>
      <c r="J18532" s="309"/>
    </row>
    <row r="18533">
      <c r="B18533" s="309"/>
      <c r="C18533" s="309"/>
      <c r="I18533" s="309"/>
      <c r="J18533" s="309"/>
    </row>
    <row r="18534">
      <c r="B18534" s="309"/>
      <c r="C18534" s="309"/>
      <c r="I18534" s="309"/>
      <c r="J18534" s="309"/>
    </row>
    <row r="18535">
      <c r="B18535" s="309"/>
      <c r="C18535" s="309"/>
      <c r="I18535" s="309"/>
      <c r="J18535" s="309"/>
    </row>
    <row r="18536">
      <c r="B18536" s="309"/>
      <c r="C18536" s="309"/>
      <c r="I18536" s="309"/>
      <c r="J18536" s="309"/>
    </row>
    <row r="18537">
      <c r="B18537" s="309"/>
      <c r="C18537" s="309"/>
      <c r="I18537" s="309"/>
      <c r="J18537" s="309"/>
    </row>
    <row r="18538">
      <c r="B18538" s="309"/>
      <c r="C18538" s="309"/>
      <c r="I18538" s="309"/>
      <c r="J18538" s="309"/>
    </row>
    <row r="18539">
      <c r="B18539" s="309"/>
      <c r="C18539" s="309"/>
      <c r="I18539" s="309"/>
      <c r="J18539" s="309"/>
    </row>
    <row r="18540">
      <c r="B18540" s="309"/>
      <c r="C18540" s="309"/>
      <c r="I18540" s="309"/>
      <c r="J18540" s="309"/>
    </row>
    <row r="18541">
      <c r="B18541" s="309"/>
      <c r="C18541" s="309"/>
      <c r="I18541" s="309"/>
      <c r="J18541" s="309"/>
    </row>
    <row r="18542">
      <c r="B18542" s="309"/>
      <c r="C18542" s="309"/>
      <c r="I18542" s="309"/>
      <c r="J18542" s="309"/>
    </row>
    <row r="18543">
      <c r="B18543" s="309"/>
      <c r="C18543" s="309"/>
      <c r="I18543" s="309"/>
      <c r="J18543" s="309"/>
    </row>
    <row r="18544">
      <c r="B18544" s="309"/>
      <c r="C18544" s="309"/>
      <c r="I18544" s="309"/>
      <c r="J18544" s="309"/>
    </row>
    <row r="18545">
      <c r="B18545" s="309"/>
      <c r="C18545" s="309"/>
      <c r="I18545" s="309"/>
      <c r="J18545" s="309"/>
    </row>
    <row r="18546">
      <c r="B18546" s="309"/>
      <c r="C18546" s="309"/>
      <c r="I18546" s="309"/>
      <c r="J18546" s="309"/>
    </row>
    <row r="18547">
      <c r="B18547" s="309"/>
      <c r="C18547" s="309"/>
      <c r="I18547" s="309"/>
      <c r="J18547" s="309"/>
    </row>
    <row r="18548">
      <c r="B18548" s="309"/>
      <c r="C18548" s="309"/>
      <c r="I18548" s="309"/>
      <c r="J18548" s="309"/>
    </row>
    <row r="18549">
      <c r="B18549" s="309"/>
      <c r="C18549" s="309"/>
      <c r="I18549" s="309"/>
      <c r="J18549" s="309"/>
    </row>
    <row r="18550">
      <c r="B18550" s="309"/>
      <c r="C18550" s="309"/>
      <c r="I18550" s="309"/>
      <c r="J18550" s="309"/>
    </row>
    <row r="18551">
      <c r="B18551" s="309"/>
      <c r="C18551" s="309"/>
      <c r="I18551" s="309"/>
      <c r="J18551" s="309"/>
    </row>
    <row r="18552">
      <c r="B18552" s="309"/>
      <c r="C18552" s="309"/>
      <c r="I18552" s="309"/>
      <c r="J18552" s="309"/>
    </row>
    <row r="18553">
      <c r="B18553" s="309"/>
      <c r="C18553" s="309"/>
      <c r="I18553" s="309"/>
      <c r="J18553" s="309"/>
    </row>
    <row r="18554">
      <c r="B18554" s="309"/>
      <c r="C18554" s="309"/>
      <c r="I18554" s="309"/>
      <c r="J18554" s="309"/>
    </row>
    <row r="18555">
      <c r="B18555" s="309"/>
      <c r="C18555" s="309"/>
      <c r="I18555" s="309"/>
      <c r="J18555" s="309"/>
    </row>
    <row r="18556">
      <c r="B18556" s="309"/>
      <c r="C18556" s="309"/>
      <c r="I18556" s="309"/>
      <c r="J18556" s="309"/>
    </row>
    <row r="18557">
      <c r="B18557" s="309"/>
      <c r="C18557" s="309"/>
      <c r="I18557" s="309"/>
      <c r="J18557" s="309"/>
    </row>
    <row r="18558">
      <c r="B18558" s="309"/>
      <c r="C18558" s="309"/>
      <c r="I18558" s="309"/>
      <c r="J18558" s="309"/>
    </row>
    <row r="18559">
      <c r="B18559" s="309"/>
      <c r="C18559" s="309"/>
      <c r="I18559" s="309"/>
      <c r="J18559" s="309"/>
    </row>
    <row r="18560">
      <c r="B18560" s="309"/>
      <c r="C18560" s="309"/>
      <c r="I18560" s="309"/>
      <c r="J18560" s="309"/>
    </row>
    <row r="18561">
      <c r="B18561" s="309"/>
      <c r="C18561" s="309"/>
      <c r="I18561" s="309"/>
      <c r="J18561" s="309"/>
    </row>
    <row r="18562">
      <c r="B18562" s="309"/>
      <c r="C18562" s="309"/>
      <c r="I18562" s="309"/>
      <c r="J18562" s="309"/>
    </row>
    <row r="18563">
      <c r="B18563" s="309"/>
      <c r="C18563" s="309"/>
      <c r="I18563" s="309"/>
      <c r="J18563" s="309"/>
    </row>
    <row r="18564">
      <c r="B18564" s="309"/>
      <c r="C18564" s="309"/>
      <c r="I18564" s="309"/>
      <c r="J18564" s="309"/>
    </row>
    <row r="18565">
      <c r="B18565" s="309"/>
      <c r="C18565" s="309"/>
      <c r="I18565" s="309"/>
      <c r="J18565" s="309"/>
    </row>
    <row r="18566">
      <c r="B18566" s="309"/>
      <c r="C18566" s="309"/>
      <c r="I18566" s="309"/>
      <c r="J18566" s="309"/>
    </row>
    <row r="18567">
      <c r="B18567" s="309"/>
      <c r="C18567" s="309"/>
      <c r="I18567" s="309"/>
      <c r="J18567" s="309"/>
    </row>
    <row r="18568">
      <c r="B18568" s="309"/>
      <c r="C18568" s="309"/>
      <c r="I18568" s="309"/>
      <c r="J18568" s="309"/>
    </row>
    <row r="18569">
      <c r="B18569" s="309"/>
      <c r="C18569" s="309"/>
      <c r="I18569" s="309"/>
      <c r="J18569" s="309"/>
    </row>
    <row r="18570">
      <c r="B18570" s="309"/>
      <c r="C18570" s="309"/>
      <c r="I18570" s="309"/>
      <c r="J18570" s="309"/>
    </row>
    <row r="18571">
      <c r="B18571" s="309"/>
      <c r="C18571" s="309"/>
      <c r="I18571" s="309"/>
      <c r="J18571" s="309"/>
    </row>
    <row r="18572">
      <c r="B18572" s="309"/>
      <c r="C18572" s="309"/>
      <c r="I18572" s="309"/>
      <c r="J18572" s="309"/>
    </row>
    <row r="18573">
      <c r="B18573" s="309"/>
      <c r="C18573" s="309"/>
      <c r="I18573" s="309"/>
      <c r="J18573" s="309"/>
    </row>
    <row r="18574">
      <c r="B18574" s="309"/>
      <c r="C18574" s="309"/>
      <c r="I18574" s="309"/>
      <c r="J18574" s="309"/>
    </row>
    <row r="18575">
      <c r="B18575" s="309"/>
      <c r="C18575" s="309"/>
      <c r="I18575" s="309"/>
      <c r="J18575" s="309"/>
    </row>
    <row r="18576">
      <c r="B18576" s="309"/>
      <c r="C18576" s="309"/>
      <c r="I18576" s="309"/>
      <c r="J18576" s="309"/>
    </row>
    <row r="18577">
      <c r="B18577" s="309"/>
      <c r="C18577" s="309"/>
      <c r="I18577" s="309"/>
      <c r="J18577" s="309"/>
    </row>
    <row r="18578">
      <c r="B18578" s="309"/>
      <c r="C18578" s="309"/>
      <c r="I18578" s="309"/>
      <c r="J18578" s="309"/>
    </row>
    <row r="18579">
      <c r="B18579" s="309"/>
      <c r="C18579" s="309"/>
      <c r="I18579" s="309"/>
      <c r="J18579" s="309"/>
    </row>
    <row r="18580">
      <c r="B18580" s="309"/>
      <c r="C18580" s="309"/>
      <c r="I18580" s="309"/>
      <c r="J18580" s="309"/>
    </row>
    <row r="18581">
      <c r="B18581" s="309"/>
      <c r="C18581" s="309"/>
      <c r="I18581" s="309"/>
      <c r="J18581" s="309"/>
    </row>
    <row r="18582">
      <c r="B18582" s="309"/>
      <c r="C18582" s="309"/>
      <c r="I18582" s="309"/>
      <c r="J18582" s="309"/>
    </row>
    <row r="18583">
      <c r="B18583" s="309"/>
      <c r="C18583" s="309"/>
      <c r="I18583" s="309"/>
      <c r="J18583" s="309"/>
    </row>
    <row r="18584">
      <c r="B18584" s="309"/>
      <c r="C18584" s="309"/>
      <c r="I18584" s="309"/>
      <c r="J18584" s="309"/>
    </row>
    <row r="18585">
      <c r="B18585" s="309"/>
      <c r="C18585" s="309"/>
      <c r="I18585" s="309"/>
      <c r="J18585" s="309"/>
    </row>
    <row r="18586">
      <c r="B18586" s="309"/>
      <c r="C18586" s="309"/>
      <c r="I18586" s="309"/>
      <c r="J18586" s="309"/>
    </row>
    <row r="18587">
      <c r="B18587" s="309"/>
      <c r="C18587" s="309"/>
      <c r="I18587" s="309"/>
      <c r="J18587" s="309"/>
    </row>
    <row r="18588">
      <c r="B18588" s="309"/>
      <c r="C18588" s="309"/>
      <c r="I18588" s="309"/>
      <c r="J18588" s="309"/>
    </row>
    <row r="18589">
      <c r="B18589" s="309"/>
      <c r="C18589" s="309"/>
      <c r="I18589" s="309"/>
      <c r="J18589" s="309"/>
    </row>
    <row r="18590">
      <c r="B18590" s="309"/>
      <c r="C18590" s="309"/>
      <c r="I18590" s="309"/>
      <c r="J18590" s="309"/>
    </row>
    <row r="18591">
      <c r="B18591" s="309"/>
      <c r="C18591" s="309"/>
      <c r="I18591" s="309"/>
      <c r="J18591" s="309"/>
    </row>
    <row r="18592">
      <c r="B18592" s="309"/>
      <c r="C18592" s="309"/>
      <c r="I18592" s="309"/>
      <c r="J18592" s="309"/>
    </row>
    <row r="18593">
      <c r="B18593" s="309"/>
      <c r="C18593" s="309"/>
      <c r="I18593" s="309"/>
      <c r="J18593" s="309"/>
    </row>
    <row r="18594">
      <c r="B18594" s="309"/>
      <c r="C18594" s="309"/>
      <c r="I18594" s="309"/>
      <c r="J18594" s="309"/>
    </row>
    <row r="18595">
      <c r="B18595" s="309"/>
      <c r="C18595" s="309"/>
      <c r="I18595" s="309"/>
      <c r="J18595" s="309"/>
    </row>
    <row r="18596">
      <c r="B18596" s="309"/>
      <c r="C18596" s="309"/>
      <c r="I18596" s="309"/>
      <c r="J18596" s="309"/>
    </row>
    <row r="18597">
      <c r="B18597" s="309"/>
      <c r="C18597" s="309"/>
      <c r="I18597" s="309"/>
      <c r="J18597" s="309"/>
    </row>
    <row r="18598">
      <c r="B18598" s="309"/>
      <c r="C18598" s="309"/>
      <c r="I18598" s="309"/>
      <c r="J18598" s="309"/>
    </row>
    <row r="18599">
      <c r="B18599" s="309"/>
      <c r="C18599" s="309"/>
      <c r="I18599" s="309"/>
      <c r="J18599" s="309"/>
    </row>
    <row r="18600">
      <c r="B18600" s="309"/>
      <c r="C18600" s="309"/>
      <c r="I18600" s="309"/>
      <c r="J18600" s="309"/>
    </row>
    <row r="18601">
      <c r="B18601" s="309"/>
      <c r="C18601" s="309"/>
      <c r="I18601" s="309"/>
      <c r="J18601" s="309"/>
    </row>
    <row r="18602">
      <c r="B18602" s="309"/>
      <c r="C18602" s="309"/>
      <c r="I18602" s="309"/>
      <c r="J18602" s="309"/>
    </row>
    <row r="18603">
      <c r="B18603" s="309"/>
      <c r="C18603" s="309"/>
      <c r="I18603" s="309"/>
      <c r="J18603" s="309"/>
    </row>
    <row r="18604">
      <c r="B18604" s="309"/>
      <c r="C18604" s="309"/>
      <c r="I18604" s="309"/>
      <c r="J18604" s="309"/>
    </row>
    <row r="18605">
      <c r="B18605" s="309"/>
      <c r="C18605" s="309"/>
      <c r="I18605" s="309"/>
      <c r="J18605" s="309"/>
    </row>
    <row r="18606">
      <c r="B18606" s="309"/>
      <c r="C18606" s="309"/>
      <c r="I18606" s="309"/>
      <c r="J18606" s="309"/>
    </row>
    <row r="18607">
      <c r="B18607" s="309"/>
      <c r="C18607" s="309"/>
      <c r="I18607" s="309"/>
      <c r="J18607" s="309"/>
    </row>
    <row r="18608">
      <c r="B18608" s="309"/>
      <c r="C18608" s="309"/>
      <c r="I18608" s="309"/>
      <c r="J18608" s="309"/>
    </row>
    <row r="18609">
      <c r="B18609" s="309"/>
      <c r="C18609" s="309"/>
      <c r="I18609" s="309"/>
      <c r="J18609" s="309"/>
    </row>
    <row r="18610">
      <c r="B18610" s="309"/>
      <c r="C18610" s="309"/>
      <c r="I18610" s="309"/>
      <c r="J18610" s="309"/>
    </row>
    <row r="18611">
      <c r="B18611" s="309"/>
      <c r="C18611" s="309"/>
      <c r="I18611" s="309"/>
      <c r="J18611" s="309"/>
    </row>
    <row r="18612">
      <c r="B18612" s="309"/>
      <c r="C18612" s="309"/>
      <c r="I18612" s="309"/>
      <c r="J18612" s="309"/>
    </row>
    <row r="18613">
      <c r="B18613" s="309"/>
      <c r="C18613" s="309"/>
      <c r="I18613" s="309"/>
      <c r="J18613" s="309"/>
    </row>
    <row r="18614">
      <c r="B18614" s="309"/>
      <c r="C18614" s="309"/>
      <c r="I18614" s="309"/>
      <c r="J18614" s="309"/>
    </row>
    <row r="18615">
      <c r="B18615" s="309"/>
      <c r="C18615" s="309"/>
      <c r="I18615" s="309"/>
      <c r="J18615" s="309"/>
    </row>
    <row r="18616">
      <c r="B18616" s="309"/>
      <c r="C18616" s="309"/>
      <c r="I18616" s="309"/>
      <c r="J18616" s="309"/>
    </row>
    <row r="18617">
      <c r="B18617" s="309"/>
      <c r="C18617" s="309"/>
      <c r="I18617" s="309"/>
      <c r="J18617" s="309"/>
    </row>
    <row r="18618">
      <c r="B18618" s="309"/>
      <c r="C18618" s="309"/>
      <c r="I18618" s="309"/>
      <c r="J18618" s="309"/>
    </row>
    <row r="18619">
      <c r="B18619" s="309"/>
      <c r="C18619" s="309"/>
      <c r="I18619" s="309"/>
      <c r="J18619" s="309"/>
    </row>
    <row r="18620">
      <c r="B18620" s="309"/>
      <c r="C18620" s="309"/>
      <c r="I18620" s="309"/>
      <c r="J18620" s="309"/>
    </row>
    <row r="18621">
      <c r="B18621" s="309"/>
      <c r="C18621" s="309"/>
      <c r="I18621" s="309"/>
      <c r="J18621" s="309"/>
    </row>
    <row r="18622">
      <c r="B18622" s="309"/>
      <c r="C18622" s="309"/>
      <c r="I18622" s="309"/>
      <c r="J18622" s="309"/>
    </row>
    <row r="18623">
      <c r="B18623" s="309"/>
      <c r="C18623" s="309"/>
      <c r="I18623" s="309"/>
      <c r="J18623" s="309"/>
    </row>
    <row r="18624">
      <c r="B18624" s="309"/>
      <c r="C18624" s="309"/>
      <c r="I18624" s="309"/>
      <c r="J18624" s="309"/>
    </row>
    <row r="18625">
      <c r="B18625" s="309"/>
      <c r="C18625" s="309"/>
      <c r="I18625" s="309"/>
      <c r="J18625" s="309"/>
    </row>
    <row r="18626">
      <c r="B18626" s="309"/>
      <c r="C18626" s="309"/>
      <c r="I18626" s="309"/>
      <c r="J18626" s="309"/>
    </row>
    <row r="18627">
      <c r="B18627" s="309"/>
      <c r="C18627" s="309"/>
      <c r="I18627" s="309"/>
      <c r="J18627" s="309"/>
    </row>
    <row r="18628">
      <c r="B18628" s="309"/>
      <c r="C18628" s="309"/>
      <c r="I18628" s="309"/>
      <c r="J18628" s="309"/>
    </row>
    <row r="18629">
      <c r="B18629" s="309"/>
      <c r="C18629" s="309"/>
      <c r="I18629" s="309"/>
      <c r="J18629" s="309"/>
    </row>
    <row r="18630">
      <c r="B18630" s="309"/>
      <c r="C18630" s="309"/>
      <c r="I18630" s="309"/>
      <c r="J18630" s="309"/>
    </row>
    <row r="18631">
      <c r="B18631" s="309"/>
      <c r="C18631" s="309"/>
      <c r="I18631" s="309"/>
      <c r="J18631" s="309"/>
    </row>
    <row r="18632">
      <c r="B18632" s="309"/>
      <c r="C18632" s="309"/>
      <c r="I18632" s="309"/>
      <c r="J18632" s="309"/>
    </row>
    <row r="18633">
      <c r="B18633" s="309"/>
      <c r="C18633" s="309"/>
      <c r="I18633" s="309"/>
      <c r="J18633" s="309"/>
    </row>
    <row r="18634">
      <c r="B18634" s="309"/>
      <c r="C18634" s="309"/>
      <c r="I18634" s="309"/>
      <c r="J18634" s="309"/>
    </row>
    <row r="18635">
      <c r="B18635" s="309"/>
      <c r="C18635" s="309"/>
      <c r="I18635" s="309"/>
      <c r="J18635" s="309"/>
    </row>
    <row r="18636">
      <c r="B18636" s="309"/>
      <c r="C18636" s="309"/>
      <c r="I18636" s="309"/>
      <c r="J18636" s="309"/>
    </row>
    <row r="18637">
      <c r="B18637" s="309"/>
      <c r="C18637" s="309"/>
      <c r="I18637" s="309"/>
      <c r="J18637" s="309"/>
    </row>
    <row r="18638">
      <c r="B18638" s="309"/>
      <c r="C18638" s="309"/>
      <c r="I18638" s="309"/>
      <c r="J18638" s="309"/>
    </row>
    <row r="18639">
      <c r="B18639" s="309"/>
      <c r="C18639" s="309"/>
      <c r="I18639" s="309"/>
      <c r="J18639" s="309"/>
    </row>
    <row r="18640">
      <c r="B18640" s="309"/>
      <c r="C18640" s="309"/>
      <c r="I18640" s="309"/>
      <c r="J18640" s="309"/>
    </row>
    <row r="18641">
      <c r="B18641" s="309"/>
      <c r="C18641" s="309"/>
      <c r="I18641" s="309"/>
      <c r="J18641" s="309"/>
    </row>
    <row r="18642">
      <c r="B18642" s="309"/>
      <c r="C18642" s="309"/>
      <c r="I18642" s="309"/>
      <c r="J18642" s="309"/>
    </row>
    <row r="18643">
      <c r="B18643" s="309"/>
      <c r="C18643" s="309"/>
      <c r="I18643" s="309"/>
      <c r="J18643" s="309"/>
    </row>
    <row r="18644">
      <c r="B18644" s="309"/>
      <c r="C18644" s="309"/>
      <c r="I18644" s="309"/>
      <c r="J18644" s="309"/>
    </row>
    <row r="18645">
      <c r="B18645" s="309"/>
      <c r="C18645" s="309"/>
      <c r="I18645" s="309"/>
      <c r="J18645" s="309"/>
    </row>
    <row r="18646">
      <c r="B18646" s="309"/>
      <c r="C18646" s="309"/>
      <c r="I18646" s="309"/>
      <c r="J18646" s="309"/>
    </row>
    <row r="18647">
      <c r="B18647" s="309"/>
      <c r="C18647" s="309"/>
      <c r="I18647" s="309"/>
      <c r="J18647" s="309"/>
    </row>
    <row r="18648">
      <c r="B18648" s="309"/>
      <c r="C18648" s="309"/>
      <c r="I18648" s="309"/>
      <c r="J18648" s="309"/>
    </row>
    <row r="18649">
      <c r="B18649" s="309"/>
      <c r="C18649" s="309"/>
      <c r="I18649" s="309"/>
      <c r="J18649" s="309"/>
    </row>
    <row r="18650">
      <c r="B18650" s="309"/>
      <c r="C18650" s="309"/>
      <c r="I18650" s="309"/>
      <c r="J18650" s="309"/>
    </row>
    <row r="18651">
      <c r="B18651" s="309"/>
      <c r="C18651" s="309"/>
      <c r="I18651" s="309"/>
      <c r="J18651" s="309"/>
    </row>
    <row r="18652">
      <c r="B18652" s="309"/>
      <c r="C18652" s="309"/>
      <c r="I18652" s="309"/>
      <c r="J18652" s="309"/>
    </row>
    <row r="18653">
      <c r="B18653" s="309"/>
      <c r="C18653" s="309"/>
      <c r="I18653" s="309"/>
      <c r="J18653" s="309"/>
    </row>
    <row r="18654">
      <c r="B18654" s="309"/>
      <c r="C18654" s="309"/>
      <c r="I18654" s="309"/>
      <c r="J18654" s="309"/>
    </row>
    <row r="18655">
      <c r="B18655" s="309"/>
      <c r="C18655" s="309"/>
      <c r="I18655" s="309"/>
      <c r="J18655" s="309"/>
    </row>
    <row r="18656">
      <c r="B18656" s="309"/>
      <c r="C18656" s="309"/>
      <c r="I18656" s="309"/>
      <c r="J18656" s="309"/>
    </row>
    <row r="18657">
      <c r="B18657" s="309"/>
      <c r="C18657" s="309"/>
      <c r="I18657" s="309"/>
      <c r="J18657" s="309"/>
    </row>
    <row r="18658">
      <c r="B18658" s="309"/>
      <c r="C18658" s="309"/>
      <c r="I18658" s="309"/>
      <c r="J18658" s="309"/>
    </row>
    <row r="18659">
      <c r="B18659" s="309"/>
      <c r="C18659" s="309"/>
      <c r="I18659" s="309"/>
      <c r="J18659" s="309"/>
    </row>
    <row r="18660">
      <c r="B18660" s="309"/>
      <c r="C18660" s="309"/>
      <c r="I18660" s="309"/>
      <c r="J18660" s="309"/>
    </row>
    <row r="18661">
      <c r="B18661" s="309"/>
      <c r="C18661" s="309"/>
      <c r="I18661" s="309"/>
      <c r="J18661" s="309"/>
    </row>
    <row r="18662">
      <c r="B18662" s="309"/>
      <c r="C18662" s="309"/>
      <c r="I18662" s="309"/>
      <c r="J18662" s="309"/>
    </row>
    <row r="18663">
      <c r="B18663" s="309"/>
      <c r="C18663" s="309"/>
      <c r="I18663" s="309"/>
      <c r="J18663" s="309"/>
    </row>
    <row r="18664">
      <c r="B18664" s="309"/>
      <c r="C18664" s="309"/>
      <c r="I18664" s="309"/>
      <c r="J18664" s="309"/>
    </row>
    <row r="18665">
      <c r="B18665" s="309"/>
      <c r="C18665" s="309"/>
      <c r="I18665" s="309"/>
      <c r="J18665" s="309"/>
    </row>
    <row r="18666">
      <c r="B18666" s="309"/>
      <c r="C18666" s="309"/>
      <c r="I18666" s="309"/>
      <c r="J18666" s="309"/>
    </row>
    <row r="18667">
      <c r="B18667" s="309"/>
      <c r="C18667" s="309"/>
      <c r="I18667" s="309"/>
      <c r="J18667" s="309"/>
    </row>
    <row r="18668">
      <c r="B18668" s="309"/>
      <c r="C18668" s="309"/>
      <c r="I18668" s="309"/>
      <c r="J18668" s="309"/>
    </row>
    <row r="18669">
      <c r="B18669" s="309"/>
      <c r="C18669" s="309"/>
      <c r="I18669" s="309"/>
      <c r="J18669" s="309"/>
    </row>
    <row r="18670">
      <c r="B18670" s="309"/>
      <c r="C18670" s="309"/>
      <c r="I18670" s="309"/>
      <c r="J18670" s="309"/>
    </row>
    <row r="18671">
      <c r="B18671" s="309"/>
      <c r="C18671" s="309"/>
      <c r="I18671" s="309"/>
      <c r="J18671" s="309"/>
    </row>
    <row r="18672">
      <c r="B18672" s="309"/>
      <c r="C18672" s="309"/>
      <c r="I18672" s="309"/>
      <c r="J18672" s="309"/>
    </row>
    <row r="18673">
      <c r="B18673" s="309"/>
      <c r="C18673" s="309"/>
      <c r="I18673" s="309"/>
      <c r="J18673" s="309"/>
    </row>
    <row r="18674">
      <c r="B18674" s="309"/>
      <c r="C18674" s="309"/>
      <c r="I18674" s="309"/>
      <c r="J18674" s="309"/>
    </row>
    <row r="18675">
      <c r="B18675" s="309"/>
      <c r="C18675" s="309"/>
      <c r="I18675" s="309"/>
      <c r="J18675" s="309"/>
    </row>
    <row r="18676">
      <c r="B18676" s="309"/>
      <c r="C18676" s="309"/>
      <c r="I18676" s="309"/>
      <c r="J18676" s="309"/>
    </row>
    <row r="18677">
      <c r="B18677" s="309"/>
      <c r="C18677" s="309"/>
      <c r="I18677" s="309"/>
      <c r="J18677" s="309"/>
    </row>
    <row r="18678">
      <c r="B18678" s="309"/>
      <c r="C18678" s="309"/>
      <c r="I18678" s="309"/>
      <c r="J18678" s="309"/>
    </row>
    <row r="18679">
      <c r="B18679" s="309"/>
      <c r="C18679" s="309"/>
      <c r="I18679" s="309"/>
      <c r="J18679" s="309"/>
    </row>
    <row r="18680">
      <c r="B18680" s="309"/>
      <c r="C18680" s="309"/>
      <c r="I18680" s="309"/>
      <c r="J18680" s="309"/>
    </row>
    <row r="18681">
      <c r="B18681" s="309"/>
      <c r="C18681" s="309"/>
      <c r="I18681" s="309"/>
      <c r="J18681" s="309"/>
    </row>
    <row r="18682">
      <c r="B18682" s="309"/>
      <c r="C18682" s="309"/>
      <c r="I18682" s="309"/>
      <c r="J18682" s="309"/>
    </row>
    <row r="18683">
      <c r="B18683" s="309"/>
      <c r="C18683" s="309"/>
      <c r="I18683" s="309"/>
      <c r="J18683" s="309"/>
    </row>
    <row r="18684">
      <c r="B18684" s="309"/>
      <c r="C18684" s="309"/>
      <c r="I18684" s="309"/>
      <c r="J18684" s="309"/>
    </row>
    <row r="18685">
      <c r="B18685" s="309"/>
      <c r="C18685" s="309"/>
      <c r="I18685" s="309"/>
      <c r="J18685" s="309"/>
    </row>
    <row r="18686">
      <c r="B18686" s="309"/>
      <c r="C18686" s="309"/>
      <c r="I18686" s="309"/>
      <c r="J18686" s="309"/>
    </row>
    <row r="18687">
      <c r="B18687" s="309"/>
      <c r="C18687" s="309"/>
      <c r="I18687" s="309"/>
      <c r="J18687" s="309"/>
    </row>
    <row r="18688">
      <c r="B18688" s="309"/>
      <c r="C18688" s="309"/>
      <c r="I18688" s="309"/>
      <c r="J18688" s="309"/>
    </row>
    <row r="18689">
      <c r="B18689" s="309"/>
      <c r="C18689" s="309"/>
      <c r="I18689" s="309"/>
      <c r="J18689" s="309"/>
    </row>
    <row r="18690">
      <c r="B18690" s="309"/>
      <c r="C18690" s="309"/>
      <c r="I18690" s="309"/>
      <c r="J18690" s="309"/>
    </row>
    <row r="18691">
      <c r="B18691" s="309"/>
      <c r="C18691" s="309"/>
      <c r="I18691" s="309"/>
      <c r="J18691" s="309"/>
    </row>
    <row r="18692">
      <c r="B18692" s="309"/>
      <c r="C18692" s="309"/>
      <c r="I18692" s="309"/>
      <c r="J18692" s="309"/>
    </row>
    <row r="18693">
      <c r="B18693" s="309"/>
      <c r="C18693" s="309"/>
      <c r="I18693" s="309"/>
      <c r="J18693" s="309"/>
    </row>
    <row r="18694">
      <c r="B18694" s="309"/>
      <c r="C18694" s="309"/>
      <c r="I18694" s="309"/>
      <c r="J18694" s="309"/>
    </row>
    <row r="18695">
      <c r="B18695" s="309"/>
      <c r="C18695" s="309"/>
      <c r="I18695" s="309"/>
      <c r="J18695" s="309"/>
    </row>
    <row r="18696">
      <c r="B18696" s="309"/>
      <c r="C18696" s="309"/>
      <c r="I18696" s="309"/>
      <c r="J18696" s="309"/>
    </row>
    <row r="18697">
      <c r="B18697" s="309"/>
      <c r="C18697" s="309"/>
      <c r="I18697" s="309"/>
      <c r="J18697" s="309"/>
    </row>
    <row r="18698">
      <c r="B18698" s="309"/>
      <c r="C18698" s="309"/>
      <c r="I18698" s="309"/>
      <c r="J18698" s="309"/>
    </row>
    <row r="18699">
      <c r="B18699" s="309"/>
      <c r="C18699" s="309"/>
      <c r="I18699" s="309"/>
      <c r="J18699" s="309"/>
    </row>
    <row r="18700">
      <c r="B18700" s="309"/>
      <c r="C18700" s="309"/>
      <c r="I18700" s="309"/>
      <c r="J18700" s="309"/>
    </row>
    <row r="18701">
      <c r="B18701" s="309"/>
      <c r="C18701" s="309"/>
      <c r="I18701" s="309"/>
      <c r="J18701" s="309"/>
    </row>
    <row r="18702">
      <c r="B18702" s="309"/>
      <c r="C18702" s="309"/>
      <c r="I18702" s="309"/>
      <c r="J18702" s="309"/>
    </row>
    <row r="18703">
      <c r="B18703" s="309"/>
      <c r="C18703" s="309"/>
      <c r="I18703" s="309"/>
      <c r="J18703" s="309"/>
    </row>
    <row r="18704">
      <c r="B18704" s="309"/>
      <c r="C18704" s="309"/>
      <c r="I18704" s="309"/>
      <c r="J18704" s="309"/>
    </row>
    <row r="18705">
      <c r="B18705" s="309"/>
      <c r="C18705" s="309"/>
      <c r="I18705" s="309"/>
      <c r="J18705" s="309"/>
    </row>
    <row r="18706">
      <c r="B18706" s="309"/>
      <c r="C18706" s="309"/>
      <c r="I18706" s="309"/>
      <c r="J18706" s="309"/>
    </row>
    <row r="18707">
      <c r="B18707" s="309"/>
      <c r="C18707" s="309"/>
      <c r="I18707" s="309"/>
      <c r="J18707" s="309"/>
    </row>
    <row r="18708">
      <c r="B18708" s="309"/>
      <c r="C18708" s="309"/>
      <c r="I18708" s="309"/>
      <c r="J18708" s="309"/>
    </row>
    <row r="18709">
      <c r="B18709" s="309"/>
      <c r="C18709" s="309"/>
      <c r="I18709" s="309"/>
      <c r="J18709" s="309"/>
    </row>
    <row r="18710">
      <c r="B18710" s="309"/>
      <c r="C18710" s="309"/>
      <c r="I18710" s="309"/>
      <c r="J18710" s="309"/>
    </row>
    <row r="18711">
      <c r="B18711" s="309"/>
      <c r="C18711" s="309"/>
      <c r="I18711" s="309"/>
      <c r="J18711" s="309"/>
    </row>
    <row r="18712">
      <c r="B18712" s="309"/>
      <c r="C18712" s="309"/>
      <c r="I18712" s="309"/>
      <c r="J18712" s="309"/>
    </row>
    <row r="18713">
      <c r="B18713" s="309"/>
      <c r="C18713" s="309"/>
      <c r="I18713" s="309"/>
      <c r="J18713" s="309"/>
    </row>
    <row r="18714">
      <c r="B18714" s="309"/>
      <c r="C18714" s="309"/>
      <c r="I18714" s="309"/>
      <c r="J18714" s="309"/>
    </row>
    <row r="18715">
      <c r="B18715" s="309"/>
      <c r="C18715" s="309"/>
      <c r="I18715" s="309"/>
      <c r="J18715" s="309"/>
    </row>
    <row r="18716">
      <c r="B18716" s="309"/>
      <c r="C18716" s="309"/>
      <c r="I18716" s="309"/>
      <c r="J18716" s="309"/>
    </row>
    <row r="18717">
      <c r="B18717" s="309"/>
      <c r="C18717" s="309"/>
      <c r="I18717" s="309"/>
      <c r="J18717" s="309"/>
    </row>
    <row r="18718">
      <c r="B18718" s="309"/>
      <c r="C18718" s="309"/>
      <c r="I18718" s="309"/>
      <c r="J18718" s="309"/>
    </row>
    <row r="18719">
      <c r="B18719" s="309"/>
      <c r="C18719" s="309"/>
      <c r="I18719" s="309"/>
      <c r="J18719" s="309"/>
    </row>
    <row r="18720">
      <c r="B18720" s="309"/>
      <c r="C18720" s="309"/>
      <c r="I18720" s="309"/>
      <c r="J18720" s="309"/>
    </row>
    <row r="18721">
      <c r="B18721" s="309"/>
      <c r="C18721" s="309"/>
      <c r="I18721" s="309"/>
      <c r="J18721" s="309"/>
    </row>
    <row r="18722">
      <c r="B18722" s="309"/>
      <c r="C18722" s="309"/>
      <c r="I18722" s="309"/>
      <c r="J18722" s="309"/>
    </row>
    <row r="18723">
      <c r="B18723" s="309"/>
      <c r="C18723" s="309"/>
      <c r="I18723" s="309"/>
      <c r="J18723" s="309"/>
    </row>
    <row r="18724">
      <c r="B18724" s="309"/>
      <c r="C18724" s="309"/>
      <c r="I18724" s="309"/>
      <c r="J18724" s="309"/>
    </row>
    <row r="18725">
      <c r="B18725" s="309"/>
      <c r="C18725" s="309"/>
      <c r="I18725" s="309"/>
      <c r="J18725" s="309"/>
    </row>
    <row r="18726">
      <c r="B18726" s="309"/>
      <c r="C18726" s="309"/>
      <c r="I18726" s="309"/>
      <c r="J18726" s="309"/>
    </row>
    <row r="18727">
      <c r="B18727" s="309"/>
      <c r="C18727" s="309"/>
      <c r="I18727" s="309"/>
      <c r="J18727" s="309"/>
    </row>
    <row r="18728">
      <c r="B18728" s="309"/>
      <c r="C18728" s="309"/>
      <c r="I18728" s="309"/>
      <c r="J18728" s="309"/>
    </row>
    <row r="18729">
      <c r="B18729" s="309"/>
      <c r="C18729" s="309"/>
      <c r="I18729" s="309"/>
      <c r="J18729" s="309"/>
    </row>
    <row r="18730">
      <c r="B18730" s="309"/>
      <c r="C18730" s="309"/>
      <c r="I18730" s="309"/>
      <c r="J18730" s="309"/>
    </row>
    <row r="18731">
      <c r="B18731" s="309"/>
      <c r="C18731" s="309"/>
      <c r="I18731" s="309"/>
      <c r="J18731" s="309"/>
    </row>
    <row r="18732">
      <c r="B18732" s="309"/>
      <c r="C18732" s="309"/>
      <c r="I18732" s="309"/>
      <c r="J18732" s="309"/>
    </row>
    <row r="18733">
      <c r="B18733" s="309"/>
      <c r="C18733" s="309"/>
      <c r="I18733" s="309"/>
      <c r="J18733" s="309"/>
    </row>
    <row r="18734">
      <c r="B18734" s="309"/>
      <c r="C18734" s="309"/>
      <c r="I18734" s="309"/>
      <c r="J18734" s="309"/>
    </row>
    <row r="18735">
      <c r="B18735" s="309"/>
      <c r="C18735" s="309"/>
      <c r="I18735" s="309"/>
      <c r="J18735" s="309"/>
    </row>
    <row r="18736">
      <c r="B18736" s="309"/>
      <c r="C18736" s="309"/>
      <c r="I18736" s="309"/>
      <c r="J18736" s="309"/>
    </row>
    <row r="18737">
      <c r="B18737" s="309"/>
      <c r="C18737" s="309"/>
      <c r="I18737" s="309"/>
      <c r="J18737" s="309"/>
    </row>
    <row r="18738">
      <c r="B18738" s="309"/>
      <c r="C18738" s="309"/>
      <c r="I18738" s="309"/>
      <c r="J18738" s="309"/>
    </row>
    <row r="18739">
      <c r="B18739" s="309"/>
      <c r="C18739" s="309"/>
      <c r="I18739" s="309"/>
      <c r="J18739" s="309"/>
    </row>
    <row r="18740">
      <c r="B18740" s="309"/>
      <c r="C18740" s="309"/>
      <c r="I18740" s="309"/>
      <c r="J18740" s="309"/>
    </row>
    <row r="18741">
      <c r="B18741" s="309"/>
      <c r="C18741" s="309"/>
      <c r="I18741" s="309"/>
      <c r="J18741" s="309"/>
    </row>
    <row r="18742">
      <c r="B18742" s="309"/>
      <c r="C18742" s="309"/>
      <c r="I18742" s="309"/>
      <c r="J18742" s="309"/>
    </row>
    <row r="18743">
      <c r="B18743" s="309"/>
      <c r="C18743" s="309"/>
      <c r="I18743" s="309"/>
      <c r="J18743" s="309"/>
    </row>
    <row r="18744">
      <c r="B18744" s="309"/>
      <c r="C18744" s="309"/>
      <c r="I18744" s="309"/>
      <c r="J18744" s="309"/>
    </row>
    <row r="18745">
      <c r="B18745" s="309"/>
      <c r="C18745" s="309"/>
      <c r="I18745" s="309"/>
      <c r="J18745" s="309"/>
    </row>
    <row r="18746">
      <c r="B18746" s="309"/>
      <c r="C18746" s="309"/>
      <c r="I18746" s="309"/>
      <c r="J18746" s="309"/>
    </row>
    <row r="18747">
      <c r="B18747" s="309"/>
      <c r="C18747" s="309"/>
      <c r="I18747" s="309"/>
      <c r="J18747" s="309"/>
    </row>
    <row r="18748">
      <c r="B18748" s="309"/>
      <c r="C18748" s="309"/>
      <c r="I18748" s="309"/>
      <c r="J18748" s="309"/>
    </row>
    <row r="18749">
      <c r="B18749" s="309"/>
      <c r="C18749" s="309"/>
      <c r="I18749" s="309"/>
      <c r="J18749" s="309"/>
    </row>
    <row r="18750">
      <c r="B18750" s="309"/>
      <c r="C18750" s="309"/>
      <c r="I18750" s="309"/>
      <c r="J18750" s="309"/>
    </row>
    <row r="18751">
      <c r="B18751" s="309"/>
      <c r="C18751" s="309"/>
      <c r="I18751" s="309"/>
      <c r="J18751" s="309"/>
    </row>
    <row r="18752">
      <c r="B18752" s="309"/>
      <c r="C18752" s="309"/>
      <c r="I18752" s="309"/>
      <c r="J18752" s="309"/>
    </row>
    <row r="18753">
      <c r="B18753" s="309"/>
      <c r="C18753" s="309"/>
      <c r="I18753" s="309"/>
      <c r="J18753" s="309"/>
    </row>
    <row r="18754">
      <c r="B18754" s="309"/>
      <c r="C18754" s="309"/>
      <c r="I18754" s="309"/>
      <c r="J18754" s="309"/>
    </row>
    <row r="18755">
      <c r="B18755" s="309"/>
      <c r="C18755" s="309"/>
      <c r="I18755" s="309"/>
      <c r="J18755" s="309"/>
    </row>
    <row r="18756">
      <c r="B18756" s="309"/>
      <c r="C18756" s="309"/>
      <c r="I18756" s="309"/>
      <c r="J18756" s="309"/>
    </row>
    <row r="18757">
      <c r="B18757" s="309"/>
      <c r="C18757" s="309"/>
      <c r="I18757" s="309"/>
      <c r="J18757" s="309"/>
    </row>
    <row r="18758">
      <c r="B18758" s="309"/>
      <c r="C18758" s="309"/>
      <c r="I18758" s="309"/>
      <c r="J18758" s="309"/>
    </row>
    <row r="18759">
      <c r="B18759" s="309"/>
      <c r="C18759" s="309"/>
      <c r="I18759" s="309"/>
      <c r="J18759" s="309"/>
    </row>
    <row r="18760">
      <c r="B18760" s="309"/>
      <c r="C18760" s="309"/>
      <c r="I18760" s="309"/>
      <c r="J18760" s="309"/>
    </row>
    <row r="18761">
      <c r="B18761" s="309"/>
      <c r="C18761" s="309"/>
      <c r="I18761" s="309"/>
      <c r="J18761" s="309"/>
    </row>
    <row r="18762">
      <c r="B18762" s="309"/>
      <c r="C18762" s="309"/>
      <c r="I18762" s="309"/>
      <c r="J18762" s="309"/>
    </row>
    <row r="18763">
      <c r="B18763" s="309"/>
      <c r="C18763" s="309"/>
      <c r="I18763" s="309"/>
      <c r="J18763" s="309"/>
    </row>
    <row r="18764">
      <c r="B18764" s="309"/>
      <c r="C18764" s="309"/>
      <c r="I18764" s="309"/>
      <c r="J18764" s="309"/>
    </row>
    <row r="18765">
      <c r="B18765" s="309"/>
      <c r="C18765" s="309"/>
      <c r="I18765" s="309"/>
      <c r="J18765" s="309"/>
    </row>
    <row r="18766">
      <c r="B18766" s="309"/>
      <c r="C18766" s="309"/>
      <c r="I18766" s="309"/>
      <c r="J18766" s="309"/>
    </row>
    <row r="18767">
      <c r="B18767" s="309"/>
      <c r="C18767" s="309"/>
      <c r="I18767" s="309"/>
      <c r="J18767" s="309"/>
    </row>
    <row r="18768">
      <c r="B18768" s="309"/>
      <c r="C18768" s="309"/>
      <c r="I18768" s="309"/>
      <c r="J18768" s="309"/>
    </row>
    <row r="18769">
      <c r="B18769" s="309"/>
      <c r="C18769" s="309"/>
      <c r="I18769" s="309"/>
      <c r="J18769" s="309"/>
    </row>
    <row r="18770">
      <c r="B18770" s="309"/>
      <c r="C18770" s="309"/>
      <c r="I18770" s="309"/>
      <c r="J18770" s="309"/>
    </row>
    <row r="18771">
      <c r="B18771" s="309"/>
      <c r="C18771" s="309"/>
      <c r="I18771" s="309"/>
      <c r="J18771" s="309"/>
    </row>
    <row r="18772">
      <c r="B18772" s="309"/>
      <c r="C18772" s="309"/>
      <c r="I18772" s="309"/>
      <c r="J18772" s="309"/>
    </row>
    <row r="18773">
      <c r="B18773" s="309"/>
      <c r="C18773" s="309"/>
      <c r="I18773" s="309"/>
      <c r="J18773" s="309"/>
    </row>
    <row r="18774">
      <c r="B18774" s="309"/>
      <c r="C18774" s="309"/>
      <c r="I18774" s="309"/>
      <c r="J18774" s="309"/>
    </row>
    <row r="18775">
      <c r="B18775" s="309"/>
      <c r="C18775" s="309"/>
      <c r="I18775" s="309"/>
      <c r="J18775" s="309"/>
    </row>
    <row r="18776">
      <c r="B18776" s="309"/>
      <c r="C18776" s="309"/>
      <c r="I18776" s="309"/>
      <c r="J18776" s="309"/>
    </row>
    <row r="18777">
      <c r="B18777" s="309"/>
      <c r="C18777" s="309"/>
      <c r="I18777" s="309"/>
      <c r="J18777" s="309"/>
    </row>
    <row r="18778">
      <c r="B18778" s="309"/>
      <c r="C18778" s="309"/>
      <c r="I18778" s="309"/>
      <c r="J18778" s="309"/>
    </row>
    <row r="18779">
      <c r="B18779" s="309"/>
      <c r="C18779" s="309"/>
      <c r="I18779" s="309"/>
      <c r="J18779" s="309"/>
    </row>
    <row r="18780">
      <c r="B18780" s="309"/>
      <c r="C18780" s="309"/>
      <c r="I18780" s="309"/>
      <c r="J18780" s="309"/>
    </row>
    <row r="18781">
      <c r="B18781" s="309"/>
      <c r="C18781" s="309"/>
      <c r="I18781" s="309"/>
      <c r="J18781" s="309"/>
    </row>
    <row r="18782">
      <c r="B18782" s="309"/>
      <c r="C18782" s="309"/>
      <c r="I18782" s="309"/>
      <c r="J18782" s="309"/>
    </row>
    <row r="18783">
      <c r="B18783" s="309"/>
      <c r="C18783" s="309"/>
      <c r="I18783" s="309"/>
      <c r="J18783" s="309"/>
    </row>
    <row r="18784">
      <c r="B18784" s="309"/>
      <c r="C18784" s="309"/>
      <c r="I18784" s="309"/>
      <c r="J18784" s="309"/>
    </row>
    <row r="18785">
      <c r="B18785" s="309"/>
      <c r="C18785" s="309"/>
      <c r="I18785" s="309"/>
      <c r="J18785" s="309"/>
    </row>
    <row r="18786">
      <c r="B18786" s="309"/>
      <c r="C18786" s="309"/>
      <c r="I18786" s="309"/>
      <c r="J18786" s="309"/>
    </row>
    <row r="18787">
      <c r="B18787" s="309"/>
      <c r="C18787" s="309"/>
      <c r="I18787" s="309"/>
      <c r="J18787" s="309"/>
    </row>
    <row r="18788">
      <c r="B18788" s="309"/>
      <c r="C18788" s="309"/>
      <c r="I18788" s="309"/>
      <c r="J18788" s="309"/>
    </row>
    <row r="18789">
      <c r="B18789" s="309"/>
      <c r="C18789" s="309"/>
      <c r="I18789" s="309"/>
      <c r="J18789" s="309"/>
    </row>
    <row r="18790">
      <c r="B18790" s="309"/>
      <c r="C18790" s="309"/>
      <c r="I18790" s="309"/>
      <c r="J18790" s="309"/>
    </row>
    <row r="18791">
      <c r="B18791" s="309"/>
      <c r="C18791" s="309"/>
      <c r="I18791" s="309"/>
      <c r="J18791" s="309"/>
    </row>
    <row r="18792">
      <c r="B18792" s="309"/>
      <c r="C18792" s="309"/>
      <c r="I18792" s="309"/>
      <c r="J18792" s="309"/>
    </row>
    <row r="18793">
      <c r="B18793" s="309"/>
      <c r="C18793" s="309"/>
      <c r="I18793" s="309"/>
      <c r="J18793" s="309"/>
    </row>
    <row r="18794">
      <c r="B18794" s="309"/>
      <c r="C18794" s="309"/>
      <c r="I18794" s="309"/>
      <c r="J18794" s="309"/>
    </row>
    <row r="18795">
      <c r="B18795" s="309"/>
      <c r="C18795" s="309"/>
      <c r="I18795" s="309"/>
      <c r="J18795" s="309"/>
    </row>
    <row r="18796">
      <c r="B18796" s="309"/>
      <c r="C18796" s="309"/>
      <c r="I18796" s="309"/>
      <c r="J18796" s="309"/>
    </row>
    <row r="18797">
      <c r="B18797" s="309"/>
      <c r="C18797" s="309"/>
      <c r="I18797" s="309"/>
      <c r="J18797" s="309"/>
    </row>
    <row r="18798">
      <c r="B18798" s="309"/>
      <c r="C18798" s="309"/>
      <c r="I18798" s="309"/>
      <c r="J18798" s="309"/>
    </row>
    <row r="18799">
      <c r="B18799" s="309"/>
      <c r="C18799" s="309"/>
      <c r="I18799" s="309"/>
      <c r="J18799" s="309"/>
    </row>
    <row r="18800">
      <c r="B18800" s="309"/>
      <c r="C18800" s="309"/>
      <c r="I18800" s="309"/>
      <c r="J18800" s="309"/>
    </row>
    <row r="18801">
      <c r="B18801" s="309"/>
      <c r="C18801" s="309"/>
      <c r="I18801" s="309"/>
      <c r="J18801" s="309"/>
    </row>
    <row r="18802">
      <c r="B18802" s="309"/>
      <c r="C18802" s="309"/>
      <c r="I18802" s="309"/>
      <c r="J18802" s="309"/>
    </row>
    <row r="18803">
      <c r="B18803" s="309"/>
      <c r="C18803" s="309"/>
      <c r="I18803" s="309"/>
      <c r="J18803" s="309"/>
    </row>
    <row r="18804">
      <c r="B18804" s="309"/>
      <c r="C18804" s="309"/>
      <c r="I18804" s="309"/>
      <c r="J18804" s="309"/>
    </row>
    <row r="18805">
      <c r="B18805" s="309"/>
      <c r="C18805" s="309"/>
      <c r="I18805" s="309"/>
      <c r="J18805" s="309"/>
    </row>
    <row r="18806">
      <c r="B18806" s="309"/>
      <c r="C18806" s="309"/>
      <c r="I18806" s="309"/>
      <c r="J18806" s="309"/>
    </row>
    <row r="18807">
      <c r="B18807" s="309"/>
      <c r="C18807" s="309"/>
      <c r="I18807" s="309"/>
      <c r="J18807" s="309"/>
    </row>
    <row r="18808">
      <c r="B18808" s="309"/>
      <c r="C18808" s="309"/>
      <c r="I18808" s="309"/>
      <c r="J18808" s="309"/>
    </row>
    <row r="18809">
      <c r="B18809" s="309"/>
      <c r="C18809" s="309"/>
      <c r="I18809" s="309"/>
      <c r="J18809" s="309"/>
    </row>
    <row r="18810">
      <c r="B18810" s="309"/>
      <c r="C18810" s="309"/>
      <c r="I18810" s="309"/>
      <c r="J18810" s="309"/>
    </row>
    <row r="18811">
      <c r="B18811" s="309"/>
      <c r="C18811" s="309"/>
      <c r="I18811" s="309"/>
      <c r="J18811" s="309"/>
    </row>
    <row r="18812">
      <c r="B18812" s="309"/>
      <c r="C18812" s="309"/>
      <c r="I18812" s="309"/>
      <c r="J18812" s="309"/>
    </row>
    <row r="18813">
      <c r="B18813" s="309"/>
      <c r="C18813" s="309"/>
      <c r="I18813" s="309"/>
      <c r="J18813" s="309"/>
    </row>
    <row r="18814">
      <c r="B18814" s="309"/>
      <c r="C18814" s="309"/>
      <c r="I18814" s="309"/>
      <c r="J18814" s="309"/>
    </row>
    <row r="18815">
      <c r="B18815" s="309"/>
      <c r="C18815" s="309"/>
      <c r="I18815" s="309"/>
      <c r="J18815" s="309"/>
    </row>
    <row r="18816">
      <c r="B18816" s="309"/>
      <c r="C18816" s="309"/>
      <c r="I18816" s="309"/>
      <c r="J18816" s="309"/>
    </row>
    <row r="18817">
      <c r="B18817" s="309"/>
      <c r="C18817" s="309"/>
      <c r="I18817" s="309"/>
      <c r="J18817" s="309"/>
    </row>
    <row r="18818">
      <c r="B18818" s="309"/>
      <c r="C18818" s="309"/>
      <c r="I18818" s="309"/>
      <c r="J18818" s="309"/>
    </row>
    <row r="18819">
      <c r="B18819" s="309"/>
      <c r="C18819" s="309"/>
      <c r="I18819" s="309"/>
      <c r="J18819" s="309"/>
    </row>
    <row r="18820">
      <c r="B18820" s="309"/>
      <c r="C18820" s="309"/>
      <c r="I18820" s="309"/>
      <c r="J18820" s="309"/>
    </row>
    <row r="18821">
      <c r="B18821" s="309"/>
      <c r="C18821" s="309"/>
      <c r="I18821" s="309"/>
      <c r="J18821" s="309"/>
    </row>
    <row r="18822">
      <c r="B18822" s="309"/>
      <c r="C18822" s="309"/>
      <c r="I18822" s="309"/>
      <c r="J18822" s="309"/>
    </row>
    <row r="18823">
      <c r="B18823" s="309"/>
      <c r="C18823" s="309"/>
      <c r="I18823" s="309"/>
      <c r="J18823" s="309"/>
    </row>
    <row r="18824">
      <c r="B18824" s="309"/>
      <c r="C18824" s="309"/>
      <c r="I18824" s="309"/>
      <c r="J18824" s="309"/>
    </row>
    <row r="18825">
      <c r="B18825" s="309"/>
      <c r="C18825" s="309"/>
      <c r="I18825" s="309"/>
      <c r="J18825" s="309"/>
    </row>
    <row r="18826">
      <c r="B18826" s="309"/>
      <c r="C18826" s="309"/>
      <c r="I18826" s="309"/>
      <c r="J18826" s="309"/>
    </row>
    <row r="18827">
      <c r="B18827" s="309"/>
      <c r="C18827" s="309"/>
      <c r="I18827" s="309"/>
      <c r="J18827" s="309"/>
    </row>
    <row r="18828">
      <c r="B18828" s="309"/>
      <c r="C18828" s="309"/>
      <c r="I18828" s="309"/>
      <c r="J18828" s="309"/>
    </row>
    <row r="18829">
      <c r="B18829" s="309"/>
      <c r="C18829" s="309"/>
      <c r="I18829" s="309"/>
      <c r="J18829" s="309"/>
    </row>
    <row r="18830">
      <c r="B18830" s="309"/>
      <c r="C18830" s="309"/>
      <c r="I18830" s="309"/>
      <c r="J18830" s="309"/>
    </row>
    <row r="18831">
      <c r="B18831" s="309"/>
      <c r="C18831" s="309"/>
      <c r="I18831" s="309"/>
      <c r="J18831" s="309"/>
    </row>
    <row r="18832">
      <c r="B18832" s="309"/>
      <c r="C18832" s="309"/>
      <c r="I18832" s="309"/>
      <c r="J18832" s="309"/>
    </row>
    <row r="18833">
      <c r="B18833" s="309"/>
      <c r="C18833" s="309"/>
      <c r="I18833" s="309"/>
      <c r="J18833" s="309"/>
    </row>
    <row r="18834">
      <c r="B18834" s="309"/>
      <c r="C18834" s="309"/>
      <c r="I18834" s="309"/>
      <c r="J18834" s="309"/>
    </row>
    <row r="18835">
      <c r="B18835" s="309"/>
      <c r="C18835" s="309"/>
      <c r="I18835" s="309"/>
      <c r="J18835" s="309"/>
    </row>
    <row r="18836">
      <c r="B18836" s="309"/>
      <c r="C18836" s="309"/>
      <c r="I18836" s="309"/>
      <c r="J18836" s="309"/>
    </row>
    <row r="18837">
      <c r="B18837" s="309"/>
      <c r="C18837" s="309"/>
      <c r="I18837" s="309"/>
      <c r="J18837" s="309"/>
    </row>
    <row r="18838">
      <c r="B18838" s="309"/>
      <c r="C18838" s="309"/>
      <c r="I18838" s="309"/>
      <c r="J18838" s="309"/>
    </row>
    <row r="18839">
      <c r="B18839" s="309"/>
      <c r="C18839" s="309"/>
      <c r="I18839" s="309"/>
      <c r="J18839" s="309"/>
    </row>
    <row r="18840">
      <c r="B18840" s="309"/>
      <c r="C18840" s="309"/>
      <c r="I18840" s="309"/>
      <c r="J18840" s="309"/>
    </row>
    <row r="18841">
      <c r="B18841" s="309"/>
      <c r="C18841" s="309"/>
      <c r="I18841" s="309"/>
      <c r="J18841" s="309"/>
    </row>
    <row r="18842">
      <c r="B18842" s="309"/>
      <c r="C18842" s="309"/>
      <c r="I18842" s="309"/>
      <c r="J18842" s="309"/>
    </row>
    <row r="18843">
      <c r="B18843" s="309"/>
      <c r="C18843" s="309"/>
      <c r="I18843" s="309"/>
      <c r="J18843" s="309"/>
    </row>
    <row r="18844">
      <c r="B18844" s="309"/>
      <c r="C18844" s="309"/>
      <c r="I18844" s="309"/>
      <c r="J18844" s="309"/>
    </row>
    <row r="18845">
      <c r="B18845" s="309"/>
      <c r="C18845" s="309"/>
      <c r="I18845" s="309"/>
      <c r="J18845" s="309"/>
    </row>
    <row r="18846">
      <c r="B18846" s="309"/>
      <c r="C18846" s="309"/>
      <c r="I18846" s="309"/>
      <c r="J18846" s="309"/>
    </row>
    <row r="18847">
      <c r="B18847" s="309"/>
      <c r="C18847" s="309"/>
      <c r="I18847" s="309"/>
      <c r="J18847" s="309"/>
    </row>
    <row r="18848">
      <c r="B18848" s="309"/>
      <c r="C18848" s="309"/>
      <c r="I18848" s="309"/>
      <c r="J18848" s="309"/>
    </row>
    <row r="18849">
      <c r="B18849" s="309"/>
      <c r="C18849" s="309"/>
      <c r="I18849" s="309"/>
      <c r="J18849" s="309"/>
    </row>
    <row r="18850">
      <c r="B18850" s="309"/>
      <c r="C18850" s="309"/>
      <c r="I18850" s="309"/>
      <c r="J18850" s="309"/>
    </row>
    <row r="18851">
      <c r="B18851" s="309"/>
      <c r="C18851" s="309"/>
      <c r="I18851" s="309"/>
      <c r="J18851" s="309"/>
    </row>
    <row r="18852">
      <c r="B18852" s="309"/>
      <c r="C18852" s="309"/>
      <c r="I18852" s="309"/>
      <c r="J18852" s="309"/>
    </row>
    <row r="18853">
      <c r="B18853" s="309"/>
      <c r="C18853" s="309"/>
      <c r="I18853" s="309"/>
      <c r="J18853" s="309"/>
    </row>
    <row r="18854">
      <c r="B18854" s="309"/>
      <c r="C18854" s="309"/>
      <c r="I18854" s="309"/>
      <c r="J18854" s="309"/>
    </row>
    <row r="18855">
      <c r="B18855" s="309"/>
      <c r="C18855" s="309"/>
      <c r="I18855" s="309"/>
      <c r="J18855" s="309"/>
    </row>
    <row r="18856">
      <c r="B18856" s="309"/>
      <c r="C18856" s="309"/>
      <c r="I18856" s="309"/>
      <c r="J18856" s="309"/>
    </row>
    <row r="18857">
      <c r="B18857" s="309"/>
      <c r="C18857" s="309"/>
      <c r="I18857" s="309"/>
      <c r="J18857" s="309"/>
    </row>
    <row r="18858">
      <c r="B18858" s="309"/>
      <c r="C18858" s="309"/>
      <c r="I18858" s="309"/>
      <c r="J18858" s="309"/>
    </row>
    <row r="18859">
      <c r="B18859" s="309"/>
      <c r="C18859" s="309"/>
      <c r="I18859" s="309"/>
      <c r="J18859" s="309"/>
    </row>
    <row r="18860">
      <c r="B18860" s="309"/>
      <c r="C18860" s="309"/>
      <c r="I18860" s="309"/>
      <c r="J18860" s="309"/>
    </row>
    <row r="18861">
      <c r="B18861" s="309"/>
      <c r="C18861" s="309"/>
      <c r="I18861" s="309"/>
      <c r="J18861" s="309"/>
    </row>
    <row r="18862">
      <c r="B18862" s="309"/>
      <c r="C18862" s="309"/>
      <c r="I18862" s="309"/>
      <c r="J18862" s="309"/>
    </row>
    <row r="18863">
      <c r="B18863" s="309"/>
      <c r="C18863" s="309"/>
      <c r="I18863" s="309"/>
      <c r="J18863" s="309"/>
    </row>
    <row r="18864">
      <c r="B18864" s="309"/>
      <c r="C18864" s="309"/>
      <c r="I18864" s="309"/>
      <c r="J18864" s="309"/>
    </row>
    <row r="18865">
      <c r="B18865" s="309"/>
      <c r="C18865" s="309"/>
      <c r="I18865" s="309"/>
      <c r="J18865" s="309"/>
    </row>
    <row r="18866">
      <c r="B18866" s="309"/>
      <c r="C18866" s="309"/>
      <c r="I18866" s="309"/>
      <c r="J18866" s="309"/>
    </row>
    <row r="18867">
      <c r="B18867" s="309"/>
      <c r="C18867" s="309"/>
      <c r="I18867" s="309"/>
      <c r="J18867" s="309"/>
    </row>
    <row r="18868">
      <c r="B18868" s="309"/>
      <c r="C18868" s="309"/>
      <c r="I18868" s="309"/>
      <c r="J18868" s="309"/>
    </row>
    <row r="18869">
      <c r="B18869" s="309"/>
      <c r="C18869" s="309"/>
      <c r="I18869" s="309"/>
      <c r="J18869" s="309"/>
    </row>
    <row r="18870">
      <c r="B18870" s="309"/>
      <c r="C18870" s="309"/>
      <c r="I18870" s="309"/>
      <c r="J18870" s="309"/>
    </row>
    <row r="18871">
      <c r="B18871" s="309"/>
      <c r="C18871" s="309"/>
      <c r="I18871" s="309"/>
      <c r="J18871" s="309"/>
    </row>
    <row r="18872">
      <c r="B18872" s="309"/>
      <c r="C18872" s="309"/>
      <c r="I18872" s="309"/>
      <c r="J18872" s="309"/>
    </row>
    <row r="18873">
      <c r="B18873" s="309"/>
      <c r="C18873" s="309"/>
      <c r="I18873" s="309"/>
      <c r="J18873" s="309"/>
    </row>
    <row r="18874">
      <c r="B18874" s="309"/>
      <c r="C18874" s="309"/>
      <c r="I18874" s="309"/>
      <c r="J18874" s="309"/>
    </row>
    <row r="18875">
      <c r="B18875" s="309"/>
      <c r="C18875" s="309"/>
      <c r="I18875" s="309"/>
      <c r="J18875" s="309"/>
    </row>
    <row r="18876">
      <c r="B18876" s="309"/>
      <c r="C18876" s="309"/>
      <c r="I18876" s="309"/>
      <c r="J18876" s="309"/>
    </row>
    <row r="18877">
      <c r="B18877" s="309"/>
      <c r="C18877" s="309"/>
      <c r="I18877" s="309"/>
      <c r="J18877" s="309"/>
    </row>
    <row r="18878">
      <c r="B18878" s="309"/>
      <c r="C18878" s="309"/>
      <c r="I18878" s="309"/>
      <c r="J18878" s="309"/>
    </row>
    <row r="18879">
      <c r="B18879" s="309"/>
      <c r="C18879" s="309"/>
      <c r="I18879" s="309"/>
      <c r="J18879" s="309"/>
    </row>
    <row r="18880">
      <c r="B18880" s="309"/>
      <c r="C18880" s="309"/>
      <c r="I18880" s="309"/>
      <c r="J18880" s="309"/>
    </row>
    <row r="18881">
      <c r="B18881" s="309"/>
      <c r="C18881" s="309"/>
      <c r="I18881" s="309"/>
      <c r="J18881" s="309"/>
    </row>
    <row r="18882">
      <c r="B18882" s="309"/>
      <c r="C18882" s="309"/>
      <c r="I18882" s="309"/>
      <c r="J18882" s="309"/>
    </row>
    <row r="18883">
      <c r="B18883" s="309"/>
      <c r="C18883" s="309"/>
      <c r="I18883" s="309"/>
      <c r="J18883" s="309"/>
    </row>
    <row r="18884">
      <c r="B18884" s="309"/>
      <c r="C18884" s="309"/>
      <c r="I18884" s="309"/>
      <c r="J18884" s="309"/>
    </row>
    <row r="18885">
      <c r="B18885" s="309"/>
      <c r="C18885" s="309"/>
      <c r="I18885" s="309"/>
      <c r="J18885" s="309"/>
    </row>
    <row r="18886">
      <c r="B18886" s="309"/>
      <c r="C18886" s="309"/>
      <c r="I18886" s="309"/>
      <c r="J18886" s="309"/>
    </row>
    <row r="18887">
      <c r="B18887" s="309"/>
      <c r="C18887" s="309"/>
      <c r="I18887" s="309"/>
      <c r="J18887" s="309"/>
    </row>
    <row r="18888">
      <c r="B18888" s="309"/>
      <c r="C18888" s="309"/>
      <c r="I18888" s="309"/>
      <c r="J18888" s="309"/>
    </row>
    <row r="18889">
      <c r="B18889" s="309"/>
      <c r="C18889" s="309"/>
      <c r="I18889" s="309"/>
      <c r="J18889" s="309"/>
    </row>
    <row r="18890">
      <c r="B18890" s="309"/>
      <c r="C18890" s="309"/>
      <c r="I18890" s="309"/>
      <c r="J18890" s="309"/>
    </row>
    <row r="18891">
      <c r="B18891" s="309"/>
      <c r="C18891" s="309"/>
      <c r="I18891" s="309"/>
      <c r="J18891" s="309"/>
    </row>
    <row r="18892">
      <c r="B18892" s="309"/>
      <c r="C18892" s="309"/>
      <c r="I18892" s="309"/>
      <c r="J18892" s="309"/>
    </row>
    <row r="18893">
      <c r="B18893" s="309"/>
      <c r="C18893" s="309"/>
      <c r="I18893" s="309"/>
      <c r="J18893" s="309"/>
    </row>
    <row r="18894">
      <c r="B18894" s="309"/>
      <c r="C18894" s="309"/>
      <c r="I18894" s="309"/>
      <c r="J18894" s="309"/>
    </row>
    <row r="18895">
      <c r="B18895" s="309"/>
      <c r="C18895" s="309"/>
      <c r="I18895" s="309"/>
      <c r="J18895" s="309"/>
    </row>
    <row r="18896">
      <c r="B18896" s="309"/>
      <c r="C18896" s="309"/>
      <c r="I18896" s="309"/>
      <c r="J18896" s="309"/>
    </row>
    <row r="18897">
      <c r="B18897" s="309"/>
      <c r="C18897" s="309"/>
      <c r="I18897" s="309"/>
      <c r="J18897" s="309"/>
    </row>
    <row r="18898">
      <c r="B18898" s="309"/>
      <c r="C18898" s="309"/>
      <c r="I18898" s="309"/>
      <c r="J18898" s="309"/>
    </row>
    <row r="18899">
      <c r="B18899" s="309"/>
      <c r="C18899" s="309"/>
      <c r="I18899" s="309"/>
      <c r="J18899" s="309"/>
    </row>
    <row r="18900">
      <c r="B18900" s="309"/>
      <c r="C18900" s="309"/>
      <c r="I18900" s="309"/>
      <c r="J18900" s="309"/>
    </row>
    <row r="18901">
      <c r="B18901" s="309"/>
      <c r="C18901" s="309"/>
      <c r="I18901" s="309"/>
      <c r="J18901" s="309"/>
    </row>
    <row r="18902">
      <c r="B18902" s="309"/>
      <c r="C18902" s="309"/>
      <c r="I18902" s="309"/>
      <c r="J18902" s="309"/>
    </row>
    <row r="18903">
      <c r="B18903" s="309"/>
      <c r="C18903" s="309"/>
      <c r="I18903" s="309"/>
      <c r="J18903" s="309"/>
    </row>
    <row r="18904">
      <c r="B18904" s="309"/>
      <c r="C18904" s="309"/>
      <c r="I18904" s="309"/>
      <c r="J18904" s="309"/>
    </row>
    <row r="18905">
      <c r="B18905" s="309"/>
      <c r="C18905" s="309"/>
      <c r="I18905" s="309"/>
      <c r="J18905" s="309"/>
    </row>
    <row r="18906">
      <c r="B18906" s="309"/>
      <c r="C18906" s="309"/>
      <c r="I18906" s="309"/>
      <c r="J18906" s="309"/>
    </row>
    <row r="18907">
      <c r="B18907" s="309"/>
      <c r="C18907" s="309"/>
      <c r="I18907" s="309"/>
      <c r="J18907" s="309"/>
    </row>
    <row r="18908">
      <c r="B18908" s="309"/>
      <c r="C18908" s="309"/>
      <c r="I18908" s="309"/>
      <c r="J18908" s="309"/>
    </row>
    <row r="18909">
      <c r="B18909" s="309"/>
      <c r="C18909" s="309"/>
      <c r="I18909" s="309"/>
      <c r="J18909" s="309"/>
    </row>
    <row r="18910">
      <c r="B18910" s="309"/>
      <c r="C18910" s="309"/>
      <c r="I18910" s="309"/>
      <c r="J18910" s="309"/>
    </row>
    <row r="18911">
      <c r="B18911" s="309"/>
      <c r="C18911" s="309"/>
      <c r="I18911" s="309"/>
      <c r="J18911" s="309"/>
    </row>
    <row r="18912">
      <c r="B18912" s="309"/>
      <c r="C18912" s="309"/>
      <c r="I18912" s="309"/>
      <c r="J18912" s="309"/>
    </row>
    <row r="18913">
      <c r="B18913" s="309"/>
      <c r="C18913" s="309"/>
      <c r="I18913" s="309"/>
      <c r="J18913" s="309"/>
    </row>
    <row r="18914">
      <c r="B18914" s="309"/>
      <c r="C18914" s="309"/>
      <c r="I18914" s="309"/>
      <c r="J18914" s="309"/>
    </row>
    <row r="18915">
      <c r="B18915" s="309"/>
      <c r="C18915" s="309"/>
      <c r="I18915" s="309"/>
      <c r="J18915" s="309"/>
    </row>
    <row r="18916">
      <c r="B18916" s="309"/>
      <c r="C18916" s="309"/>
      <c r="I18916" s="309"/>
      <c r="J18916" s="309"/>
    </row>
    <row r="18917">
      <c r="B18917" s="309"/>
      <c r="C18917" s="309"/>
      <c r="I18917" s="309"/>
      <c r="J18917" s="309"/>
    </row>
    <row r="18918">
      <c r="B18918" s="309"/>
      <c r="C18918" s="309"/>
      <c r="I18918" s="309"/>
      <c r="J18918" s="309"/>
    </row>
    <row r="18919">
      <c r="B18919" s="309"/>
      <c r="C18919" s="309"/>
      <c r="I18919" s="309"/>
      <c r="J18919" s="309"/>
    </row>
    <row r="18920">
      <c r="B18920" s="309"/>
      <c r="C18920" s="309"/>
      <c r="I18920" s="309"/>
      <c r="J18920" s="309"/>
    </row>
    <row r="18921">
      <c r="B18921" s="309"/>
      <c r="C18921" s="309"/>
      <c r="I18921" s="309"/>
      <c r="J18921" s="309"/>
    </row>
    <row r="18922">
      <c r="B18922" s="309"/>
      <c r="C18922" s="309"/>
      <c r="I18922" s="309"/>
      <c r="J18922" s="309"/>
    </row>
    <row r="18923">
      <c r="B18923" s="309"/>
      <c r="C18923" s="309"/>
      <c r="I18923" s="309"/>
      <c r="J18923" s="309"/>
    </row>
    <row r="18924">
      <c r="B18924" s="309"/>
      <c r="C18924" s="309"/>
      <c r="I18924" s="309"/>
      <c r="J18924" s="309"/>
    </row>
    <row r="18925">
      <c r="B18925" s="309"/>
      <c r="C18925" s="309"/>
      <c r="I18925" s="309"/>
      <c r="J18925" s="309"/>
    </row>
    <row r="18926">
      <c r="B18926" s="309"/>
      <c r="C18926" s="309"/>
      <c r="I18926" s="309"/>
      <c r="J18926" s="309"/>
    </row>
    <row r="18927">
      <c r="B18927" s="309"/>
      <c r="C18927" s="309"/>
      <c r="I18927" s="309"/>
      <c r="J18927" s="309"/>
    </row>
    <row r="18928">
      <c r="B18928" s="309"/>
      <c r="C18928" s="309"/>
      <c r="I18928" s="309"/>
      <c r="J18928" s="309"/>
    </row>
    <row r="18929">
      <c r="B18929" s="309"/>
      <c r="C18929" s="309"/>
      <c r="I18929" s="309"/>
      <c r="J18929" s="309"/>
    </row>
    <row r="18930">
      <c r="B18930" s="309"/>
      <c r="C18930" s="309"/>
      <c r="I18930" s="309"/>
      <c r="J18930" s="309"/>
    </row>
    <row r="18931">
      <c r="B18931" s="309"/>
      <c r="C18931" s="309"/>
      <c r="I18931" s="309"/>
      <c r="J18931" s="309"/>
    </row>
    <row r="18932">
      <c r="B18932" s="309"/>
      <c r="C18932" s="309"/>
      <c r="I18932" s="309"/>
      <c r="J18932" s="309"/>
    </row>
    <row r="18933">
      <c r="B18933" s="309"/>
      <c r="C18933" s="309"/>
      <c r="I18933" s="309"/>
      <c r="J18933" s="309"/>
    </row>
    <row r="18934">
      <c r="B18934" s="309"/>
      <c r="C18934" s="309"/>
      <c r="I18934" s="309"/>
      <c r="J18934" s="309"/>
    </row>
    <row r="18935">
      <c r="B18935" s="309"/>
      <c r="C18935" s="309"/>
      <c r="I18935" s="309"/>
      <c r="J18935" s="309"/>
    </row>
    <row r="18936">
      <c r="B18936" s="309"/>
      <c r="C18936" s="309"/>
      <c r="I18936" s="309"/>
      <c r="J18936" s="309"/>
    </row>
    <row r="18937">
      <c r="B18937" s="309"/>
      <c r="C18937" s="309"/>
      <c r="I18937" s="309"/>
      <c r="J18937" s="309"/>
    </row>
    <row r="18938">
      <c r="B18938" s="309"/>
      <c r="C18938" s="309"/>
      <c r="I18938" s="309"/>
      <c r="J18938" s="309"/>
    </row>
    <row r="18939">
      <c r="B18939" s="309"/>
      <c r="C18939" s="309"/>
      <c r="I18939" s="309"/>
      <c r="J18939" s="309"/>
    </row>
    <row r="18940">
      <c r="B18940" s="309"/>
      <c r="C18940" s="309"/>
      <c r="I18940" s="309"/>
      <c r="J18940" s="309"/>
    </row>
    <row r="18941">
      <c r="B18941" s="309"/>
      <c r="C18941" s="309"/>
      <c r="I18941" s="309"/>
      <c r="J18941" s="309"/>
    </row>
    <row r="18942">
      <c r="B18942" s="309"/>
      <c r="C18942" s="309"/>
      <c r="I18942" s="309"/>
      <c r="J18942" s="309"/>
    </row>
    <row r="18943">
      <c r="B18943" s="309"/>
      <c r="C18943" s="309"/>
      <c r="I18943" s="309"/>
      <c r="J18943" s="309"/>
    </row>
    <row r="18944">
      <c r="B18944" s="309"/>
      <c r="C18944" s="309"/>
      <c r="I18944" s="309"/>
      <c r="J18944" s="309"/>
    </row>
    <row r="18945">
      <c r="B18945" s="309"/>
      <c r="C18945" s="309"/>
      <c r="I18945" s="309"/>
      <c r="J18945" s="309"/>
    </row>
    <row r="18946">
      <c r="B18946" s="309"/>
      <c r="C18946" s="309"/>
      <c r="I18946" s="309"/>
      <c r="J18946" s="309"/>
    </row>
    <row r="18947">
      <c r="B18947" s="309"/>
      <c r="C18947" s="309"/>
      <c r="I18947" s="309"/>
      <c r="J18947" s="309"/>
    </row>
    <row r="18948">
      <c r="B18948" s="309"/>
      <c r="C18948" s="309"/>
      <c r="I18948" s="309"/>
      <c r="J18948" s="309"/>
    </row>
    <row r="18949">
      <c r="B18949" s="309"/>
      <c r="C18949" s="309"/>
      <c r="I18949" s="309"/>
      <c r="J18949" s="309"/>
    </row>
    <row r="18950">
      <c r="B18950" s="309"/>
      <c r="C18950" s="309"/>
      <c r="I18950" s="309"/>
      <c r="J18950" s="309"/>
    </row>
    <row r="18951">
      <c r="B18951" s="309"/>
      <c r="C18951" s="309"/>
      <c r="I18951" s="309"/>
      <c r="J18951" s="309"/>
    </row>
    <row r="18952">
      <c r="B18952" s="309"/>
      <c r="C18952" s="309"/>
      <c r="I18952" s="309"/>
      <c r="J18952" s="309"/>
    </row>
    <row r="18953">
      <c r="B18953" s="309"/>
      <c r="C18953" s="309"/>
      <c r="I18953" s="309"/>
      <c r="J18953" s="309"/>
    </row>
    <row r="18954">
      <c r="B18954" s="309"/>
      <c r="C18954" s="309"/>
      <c r="I18954" s="309"/>
      <c r="J18954" s="309"/>
    </row>
    <row r="18955">
      <c r="B18955" s="309"/>
      <c r="C18955" s="309"/>
      <c r="I18955" s="309"/>
      <c r="J18955" s="309"/>
    </row>
    <row r="18956">
      <c r="B18956" s="309"/>
      <c r="C18956" s="309"/>
      <c r="I18956" s="309"/>
      <c r="J18956" s="309"/>
    </row>
    <row r="18957">
      <c r="B18957" s="309"/>
      <c r="C18957" s="309"/>
      <c r="I18957" s="309"/>
      <c r="J18957" s="309"/>
    </row>
    <row r="18958">
      <c r="B18958" s="309"/>
      <c r="C18958" s="309"/>
      <c r="I18958" s="309"/>
      <c r="J18958" s="309"/>
    </row>
    <row r="18959">
      <c r="B18959" s="309"/>
      <c r="C18959" s="309"/>
      <c r="I18959" s="309"/>
      <c r="J18959" s="309"/>
    </row>
    <row r="18960">
      <c r="B18960" s="309"/>
      <c r="C18960" s="309"/>
      <c r="I18960" s="309"/>
      <c r="J18960" s="309"/>
    </row>
    <row r="18961">
      <c r="B18961" s="309"/>
      <c r="C18961" s="309"/>
      <c r="I18961" s="309"/>
      <c r="J18961" s="309"/>
    </row>
    <row r="18962">
      <c r="B18962" s="309"/>
      <c r="C18962" s="309"/>
      <c r="I18962" s="309"/>
      <c r="J18962" s="309"/>
    </row>
    <row r="18963">
      <c r="B18963" s="309"/>
      <c r="C18963" s="309"/>
      <c r="I18963" s="309"/>
      <c r="J18963" s="309"/>
    </row>
    <row r="18964">
      <c r="B18964" s="309"/>
      <c r="C18964" s="309"/>
      <c r="I18964" s="309"/>
      <c r="J18964" s="309"/>
    </row>
    <row r="18965">
      <c r="B18965" s="309"/>
      <c r="C18965" s="309"/>
      <c r="I18965" s="309"/>
      <c r="J18965" s="309"/>
    </row>
    <row r="18966">
      <c r="B18966" s="309"/>
      <c r="C18966" s="309"/>
      <c r="I18966" s="309"/>
      <c r="J18966" s="309"/>
    </row>
    <row r="18967">
      <c r="B18967" s="309"/>
      <c r="C18967" s="309"/>
      <c r="I18967" s="309"/>
      <c r="J18967" s="309"/>
    </row>
    <row r="18968">
      <c r="B18968" s="309"/>
      <c r="C18968" s="309"/>
      <c r="I18968" s="309"/>
      <c r="J18968" s="309"/>
    </row>
    <row r="18969">
      <c r="B18969" s="309"/>
      <c r="C18969" s="309"/>
      <c r="I18969" s="309"/>
      <c r="J18969" s="309"/>
    </row>
    <row r="18970">
      <c r="B18970" s="309"/>
      <c r="C18970" s="309"/>
      <c r="I18970" s="309"/>
      <c r="J18970" s="309"/>
    </row>
    <row r="18971">
      <c r="B18971" s="309"/>
      <c r="C18971" s="309"/>
      <c r="I18971" s="309"/>
      <c r="J18971" s="309"/>
    </row>
    <row r="18972">
      <c r="B18972" s="309"/>
      <c r="C18972" s="309"/>
      <c r="I18972" s="309"/>
      <c r="J18972" s="309"/>
    </row>
    <row r="18973">
      <c r="B18973" s="309"/>
      <c r="C18973" s="309"/>
      <c r="I18973" s="309"/>
      <c r="J18973" s="309"/>
    </row>
    <row r="18974">
      <c r="B18974" s="309"/>
      <c r="C18974" s="309"/>
      <c r="I18974" s="309"/>
      <c r="J18974" s="309"/>
    </row>
    <row r="18975">
      <c r="B18975" s="309"/>
      <c r="C18975" s="309"/>
      <c r="I18975" s="309"/>
      <c r="J18975" s="309"/>
    </row>
    <row r="18976">
      <c r="B18976" s="309"/>
      <c r="C18976" s="309"/>
      <c r="I18976" s="309"/>
      <c r="J18976" s="309"/>
    </row>
    <row r="18977">
      <c r="B18977" s="309"/>
      <c r="C18977" s="309"/>
      <c r="I18977" s="309"/>
      <c r="J18977" s="309"/>
    </row>
    <row r="18978">
      <c r="B18978" s="309"/>
      <c r="C18978" s="309"/>
      <c r="I18978" s="309"/>
      <c r="J18978" s="309"/>
    </row>
    <row r="18979">
      <c r="B18979" s="309"/>
      <c r="C18979" s="309"/>
      <c r="I18979" s="309"/>
      <c r="J18979" s="309"/>
    </row>
    <row r="18980">
      <c r="B18980" s="309"/>
      <c r="C18980" s="309"/>
      <c r="I18980" s="309"/>
      <c r="J18980" s="309"/>
    </row>
    <row r="18981">
      <c r="B18981" s="309"/>
      <c r="C18981" s="309"/>
      <c r="I18981" s="309"/>
      <c r="J18981" s="309"/>
    </row>
    <row r="18982">
      <c r="B18982" s="309"/>
      <c r="C18982" s="309"/>
      <c r="I18982" s="309"/>
      <c r="J18982" s="309"/>
    </row>
    <row r="18983">
      <c r="B18983" s="309"/>
      <c r="C18983" s="309"/>
      <c r="I18983" s="309"/>
      <c r="J18983" s="309"/>
    </row>
    <row r="18984">
      <c r="B18984" s="309"/>
      <c r="C18984" s="309"/>
      <c r="I18984" s="309"/>
      <c r="J18984" s="309"/>
    </row>
    <row r="18985">
      <c r="B18985" s="309"/>
      <c r="C18985" s="309"/>
      <c r="I18985" s="309"/>
      <c r="J18985" s="309"/>
    </row>
    <row r="18986">
      <c r="B18986" s="309"/>
      <c r="C18986" s="309"/>
      <c r="I18986" s="309"/>
      <c r="J18986" s="309"/>
    </row>
    <row r="18987">
      <c r="B18987" s="309"/>
      <c r="C18987" s="309"/>
      <c r="I18987" s="309"/>
      <c r="J18987" s="309"/>
    </row>
    <row r="18988">
      <c r="B18988" s="309"/>
      <c r="C18988" s="309"/>
      <c r="I18988" s="309"/>
      <c r="J18988" s="309"/>
    </row>
    <row r="18989">
      <c r="B18989" s="309"/>
      <c r="C18989" s="309"/>
      <c r="I18989" s="309"/>
      <c r="J18989" s="309"/>
    </row>
    <row r="18990">
      <c r="B18990" s="309"/>
      <c r="C18990" s="309"/>
      <c r="I18990" s="309"/>
      <c r="J18990" s="309"/>
    </row>
    <row r="18991">
      <c r="B18991" s="309"/>
      <c r="C18991" s="309"/>
      <c r="I18991" s="309"/>
      <c r="J18991" s="309"/>
    </row>
    <row r="18992">
      <c r="B18992" s="309"/>
      <c r="C18992" s="309"/>
      <c r="I18992" s="309"/>
      <c r="J18992" s="309"/>
    </row>
    <row r="18993">
      <c r="B18993" s="309"/>
      <c r="C18993" s="309"/>
      <c r="I18993" s="309"/>
      <c r="J18993" s="309"/>
    </row>
    <row r="18994">
      <c r="B18994" s="309"/>
      <c r="C18994" s="309"/>
      <c r="I18994" s="309"/>
      <c r="J18994" s="309"/>
    </row>
    <row r="18995">
      <c r="B18995" s="309"/>
      <c r="C18995" s="309"/>
      <c r="I18995" s="309"/>
      <c r="J18995" s="309"/>
    </row>
    <row r="18996">
      <c r="B18996" s="309"/>
      <c r="C18996" s="309"/>
      <c r="I18996" s="309"/>
      <c r="J18996" s="309"/>
    </row>
    <row r="18997">
      <c r="B18997" s="309"/>
      <c r="C18997" s="309"/>
      <c r="I18997" s="309"/>
      <c r="J18997" s="309"/>
    </row>
    <row r="18998">
      <c r="B18998" s="309"/>
      <c r="C18998" s="309"/>
      <c r="I18998" s="309"/>
      <c r="J18998" s="309"/>
    </row>
    <row r="18999">
      <c r="B18999" s="309"/>
      <c r="C18999" s="309"/>
      <c r="I18999" s="309"/>
      <c r="J18999" s="309"/>
    </row>
    <row r="19000">
      <c r="B19000" s="309"/>
      <c r="C19000" s="309"/>
      <c r="I19000" s="309"/>
      <c r="J19000" s="309"/>
    </row>
    <row r="19001">
      <c r="B19001" s="309"/>
      <c r="C19001" s="309"/>
      <c r="I19001" s="309"/>
      <c r="J19001" s="309"/>
    </row>
    <row r="19002">
      <c r="B19002" s="309"/>
      <c r="C19002" s="309"/>
      <c r="I19002" s="309"/>
      <c r="J19002" s="309"/>
    </row>
    <row r="19003">
      <c r="B19003" s="309"/>
      <c r="C19003" s="309"/>
      <c r="I19003" s="309"/>
      <c r="J19003" s="309"/>
    </row>
    <row r="19004">
      <c r="B19004" s="309"/>
      <c r="C19004" s="309"/>
      <c r="I19004" s="309"/>
      <c r="J19004" s="309"/>
    </row>
    <row r="19005">
      <c r="B19005" s="309"/>
      <c r="C19005" s="309"/>
      <c r="I19005" s="309"/>
      <c r="J19005" s="309"/>
    </row>
    <row r="19006">
      <c r="B19006" s="309"/>
      <c r="C19006" s="309"/>
      <c r="I19006" s="309"/>
      <c r="J19006" s="309"/>
    </row>
    <row r="19007">
      <c r="B19007" s="309"/>
      <c r="C19007" s="309"/>
      <c r="I19007" s="309"/>
      <c r="J19007" s="309"/>
    </row>
    <row r="19008">
      <c r="B19008" s="309"/>
      <c r="C19008" s="309"/>
      <c r="I19008" s="309"/>
      <c r="J19008" s="309"/>
    </row>
    <row r="19009">
      <c r="B19009" s="309"/>
      <c r="C19009" s="309"/>
      <c r="I19009" s="309"/>
      <c r="J19009" s="309"/>
    </row>
    <row r="19010">
      <c r="B19010" s="309"/>
      <c r="C19010" s="309"/>
      <c r="I19010" s="309"/>
      <c r="J19010" s="309"/>
    </row>
    <row r="19011">
      <c r="B19011" s="309"/>
      <c r="C19011" s="309"/>
      <c r="I19011" s="309"/>
      <c r="J19011" s="309"/>
    </row>
    <row r="19012">
      <c r="B19012" s="309"/>
      <c r="C19012" s="309"/>
      <c r="I19012" s="309"/>
      <c r="J19012" s="309"/>
    </row>
    <row r="19013">
      <c r="B19013" s="309"/>
      <c r="C19013" s="309"/>
      <c r="I19013" s="309"/>
      <c r="J19013" s="309"/>
    </row>
    <row r="19014">
      <c r="B19014" s="309"/>
      <c r="C19014" s="309"/>
      <c r="I19014" s="309"/>
      <c r="J19014" s="309"/>
    </row>
    <row r="19015">
      <c r="B19015" s="309"/>
      <c r="C19015" s="309"/>
      <c r="I19015" s="309"/>
      <c r="J19015" s="309"/>
    </row>
    <row r="19016">
      <c r="B19016" s="309"/>
      <c r="C19016" s="309"/>
      <c r="I19016" s="309"/>
      <c r="J19016" s="309"/>
    </row>
    <row r="19017">
      <c r="B19017" s="309"/>
      <c r="C19017" s="309"/>
      <c r="I19017" s="309"/>
      <c r="J19017" s="309"/>
    </row>
    <row r="19018">
      <c r="B19018" s="309"/>
      <c r="C19018" s="309"/>
      <c r="I19018" s="309"/>
      <c r="J19018" s="309"/>
    </row>
    <row r="19019">
      <c r="B19019" s="309"/>
      <c r="C19019" s="309"/>
      <c r="I19019" s="309"/>
      <c r="J19019" s="309"/>
    </row>
    <row r="19020">
      <c r="B19020" s="309"/>
      <c r="C19020" s="309"/>
      <c r="I19020" s="309"/>
      <c r="J19020" s="309"/>
    </row>
    <row r="19021">
      <c r="B19021" s="309"/>
      <c r="C19021" s="309"/>
      <c r="I19021" s="309"/>
      <c r="J19021" s="309"/>
    </row>
    <row r="19022">
      <c r="B19022" s="309"/>
      <c r="C19022" s="309"/>
      <c r="I19022" s="309"/>
      <c r="J19022" s="309"/>
    </row>
    <row r="19023">
      <c r="B19023" s="309"/>
      <c r="C19023" s="309"/>
      <c r="I19023" s="309"/>
      <c r="J19023" s="309"/>
    </row>
    <row r="19024">
      <c r="B19024" s="309"/>
      <c r="C19024" s="309"/>
      <c r="I19024" s="309"/>
      <c r="J19024" s="309"/>
    </row>
    <row r="19025">
      <c r="B19025" s="309"/>
      <c r="C19025" s="309"/>
      <c r="I19025" s="309"/>
      <c r="J19025" s="309"/>
    </row>
    <row r="19026">
      <c r="B19026" s="309"/>
      <c r="C19026" s="309"/>
      <c r="I19026" s="309"/>
      <c r="J19026" s="309"/>
    </row>
    <row r="19027">
      <c r="B19027" s="309"/>
      <c r="C19027" s="309"/>
      <c r="I19027" s="309"/>
      <c r="J19027" s="309"/>
    </row>
    <row r="19028">
      <c r="B19028" s="309"/>
      <c r="C19028" s="309"/>
      <c r="I19028" s="309"/>
      <c r="J19028" s="309"/>
    </row>
    <row r="19029">
      <c r="B19029" s="309"/>
      <c r="C19029" s="309"/>
      <c r="I19029" s="309"/>
      <c r="J19029" s="309"/>
    </row>
    <row r="19030">
      <c r="B19030" s="309"/>
      <c r="C19030" s="309"/>
      <c r="I19030" s="309"/>
      <c r="J19030" s="309"/>
    </row>
    <row r="19031">
      <c r="B19031" s="309"/>
      <c r="C19031" s="309"/>
      <c r="I19031" s="309"/>
      <c r="J19031" s="309"/>
    </row>
    <row r="19032">
      <c r="B19032" s="309"/>
      <c r="C19032" s="309"/>
      <c r="I19032" s="309"/>
      <c r="J19032" s="309"/>
    </row>
    <row r="19033">
      <c r="B19033" s="309"/>
      <c r="C19033" s="309"/>
      <c r="I19033" s="309"/>
      <c r="J19033" s="309"/>
    </row>
    <row r="19034">
      <c r="B19034" s="309"/>
      <c r="C19034" s="309"/>
      <c r="I19034" s="309"/>
      <c r="J19034" s="309"/>
    </row>
    <row r="19035">
      <c r="B19035" s="309"/>
      <c r="C19035" s="309"/>
      <c r="I19035" s="309"/>
      <c r="J19035" s="309"/>
    </row>
    <row r="19036">
      <c r="B19036" s="309"/>
      <c r="C19036" s="309"/>
      <c r="I19036" s="309"/>
      <c r="J19036" s="309"/>
    </row>
    <row r="19037">
      <c r="B19037" s="309"/>
      <c r="C19037" s="309"/>
      <c r="I19037" s="309"/>
      <c r="J19037" s="309"/>
    </row>
    <row r="19038">
      <c r="B19038" s="309"/>
      <c r="C19038" s="309"/>
      <c r="I19038" s="309"/>
      <c r="J19038" s="309"/>
    </row>
    <row r="19039">
      <c r="B19039" s="309"/>
      <c r="C19039" s="309"/>
      <c r="I19039" s="309"/>
      <c r="J19039" s="309"/>
    </row>
    <row r="19040">
      <c r="B19040" s="309"/>
      <c r="C19040" s="309"/>
      <c r="I19040" s="309"/>
      <c r="J19040" s="309"/>
    </row>
    <row r="19041">
      <c r="B19041" s="309"/>
      <c r="C19041" s="309"/>
      <c r="I19041" s="309"/>
      <c r="J19041" s="309"/>
    </row>
    <row r="19042">
      <c r="B19042" s="309"/>
      <c r="C19042" s="309"/>
      <c r="I19042" s="309"/>
      <c r="J19042" s="309"/>
    </row>
    <row r="19043">
      <c r="B19043" s="309"/>
      <c r="C19043" s="309"/>
      <c r="I19043" s="309"/>
      <c r="J19043" s="309"/>
    </row>
    <row r="19044">
      <c r="B19044" s="309"/>
      <c r="C19044" s="309"/>
      <c r="I19044" s="309"/>
      <c r="J19044" s="309"/>
    </row>
    <row r="19045">
      <c r="B19045" s="309"/>
      <c r="C19045" s="309"/>
      <c r="I19045" s="309"/>
      <c r="J19045" s="309"/>
    </row>
    <row r="19046">
      <c r="B19046" s="309"/>
      <c r="C19046" s="309"/>
      <c r="I19046" s="309"/>
      <c r="J19046" s="309"/>
    </row>
    <row r="19047">
      <c r="B19047" s="309"/>
      <c r="C19047" s="309"/>
      <c r="I19047" s="309"/>
      <c r="J19047" s="309"/>
    </row>
    <row r="19048">
      <c r="B19048" s="309"/>
      <c r="C19048" s="309"/>
      <c r="I19048" s="309"/>
      <c r="J19048" s="309"/>
    </row>
    <row r="19049">
      <c r="B19049" s="309"/>
      <c r="C19049" s="309"/>
      <c r="I19049" s="309"/>
      <c r="J19049" s="309"/>
    </row>
    <row r="19050">
      <c r="B19050" s="309"/>
      <c r="C19050" s="309"/>
      <c r="I19050" s="309"/>
      <c r="J19050" s="309"/>
    </row>
    <row r="19051">
      <c r="B19051" s="309"/>
      <c r="C19051" s="309"/>
      <c r="I19051" s="309"/>
      <c r="J19051" s="309"/>
    </row>
    <row r="19052">
      <c r="B19052" s="309"/>
      <c r="C19052" s="309"/>
      <c r="I19052" s="309"/>
      <c r="J19052" s="309"/>
    </row>
    <row r="19053">
      <c r="B19053" s="309"/>
      <c r="C19053" s="309"/>
      <c r="I19053" s="309"/>
      <c r="J19053" s="309"/>
    </row>
    <row r="19054">
      <c r="B19054" s="309"/>
      <c r="C19054" s="309"/>
      <c r="I19054" s="309"/>
      <c r="J19054" s="309"/>
    </row>
    <row r="19055">
      <c r="B19055" s="309"/>
      <c r="C19055" s="309"/>
      <c r="I19055" s="309"/>
      <c r="J19055" s="309"/>
    </row>
    <row r="19056">
      <c r="B19056" s="309"/>
      <c r="C19056" s="309"/>
      <c r="I19056" s="309"/>
      <c r="J19056" s="309"/>
    </row>
    <row r="19057">
      <c r="B19057" s="309"/>
      <c r="C19057" s="309"/>
      <c r="I19057" s="309"/>
      <c r="J19057" s="309"/>
    </row>
    <row r="19058">
      <c r="B19058" s="309"/>
      <c r="C19058" s="309"/>
      <c r="I19058" s="309"/>
      <c r="J19058" s="309"/>
    </row>
    <row r="19059">
      <c r="B19059" s="309"/>
      <c r="C19059" s="309"/>
      <c r="I19059" s="309"/>
      <c r="J19059" s="309"/>
    </row>
    <row r="19060">
      <c r="B19060" s="309"/>
      <c r="C19060" s="309"/>
      <c r="I19060" s="309"/>
      <c r="J19060" s="309"/>
    </row>
    <row r="19061">
      <c r="B19061" s="309"/>
      <c r="C19061" s="309"/>
      <c r="I19061" s="309"/>
      <c r="J19061" s="309"/>
    </row>
    <row r="19062">
      <c r="B19062" s="309"/>
      <c r="C19062" s="309"/>
      <c r="I19062" s="309"/>
      <c r="J19062" s="309"/>
    </row>
    <row r="19063">
      <c r="B19063" s="309"/>
      <c r="C19063" s="309"/>
      <c r="I19063" s="309"/>
      <c r="J19063" s="309"/>
    </row>
    <row r="19064">
      <c r="B19064" s="309"/>
      <c r="C19064" s="309"/>
      <c r="I19064" s="309"/>
      <c r="J19064" s="309"/>
    </row>
    <row r="19065">
      <c r="B19065" s="309"/>
      <c r="C19065" s="309"/>
      <c r="I19065" s="309"/>
      <c r="J19065" s="309"/>
    </row>
    <row r="19066">
      <c r="B19066" s="309"/>
      <c r="C19066" s="309"/>
      <c r="I19066" s="309"/>
      <c r="J19066" s="309"/>
    </row>
    <row r="19067">
      <c r="B19067" s="309"/>
      <c r="C19067" s="309"/>
      <c r="I19067" s="309"/>
      <c r="J19067" s="309"/>
    </row>
    <row r="19068">
      <c r="B19068" s="309"/>
      <c r="C19068" s="309"/>
      <c r="I19068" s="309"/>
      <c r="J19068" s="309"/>
    </row>
    <row r="19069">
      <c r="B19069" s="309"/>
      <c r="C19069" s="309"/>
      <c r="I19069" s="309"/>
      <c r="J19069" s="309"/>
    </row>
    <row r="19070">
      <c r="B19070" s="309"/>
      <c r="C19070" s="309"/>
      <c r="I19070" s="309"/>
      <c r="J19070" s="309"/>
    </row>
    <row r="19071">
      <c r="B19071" s="309"/>
      <c r="C19071" s="309"/>
      <c r="I19071" s="309"/>
      <c r="J19071" s="309"/>
    </row>
    <row r="19072">
      <c r="B19072" s="309"/>
      <c r="C19072" s="309"/>
      <c r="I19072" s="309"/>
      <c r="J19072" s="309"/>
    </row>
    <row r="19073">
      <c r="B19073" s="309"/>
      <c r="C19073" s="309"/>
      <c r="I19073" s="309"/>
      <c r="J19073" s="309"/>
    </row>
    <row r="19074">
      <c r="B19074" s="309"/>
      <c r="C19074" s="309"/>
      <c r="I19074" s="309"/>
      <c r="J19074" s="309"/>
    </row>
    <row r="19075">
      <c r="B19075" s="309"/>
      <c r="C19075" s="309"/>
      <c r="I19075" s="309"/>
      <c r="J19075" s="309"/>
    </row>
    <row r="19076">
      <c r="B19076" s="309"/>
      <c r="C19076" s="309"/>
      <c r="I19076" s="309"/>
      <c r="J19076" s="309"/>
    </row>
    <row r="19077">
      <c r="B19077" s="309"/>
      <c r="C19077" s="309"/>
      <c r="I19077" s="309"/>
      <c r="J19077" s="309"/>
    </row>
    <row r="19078">
      <c r="B19078" s="309"/>
      <c r="C19078" s="309"/>
      <c r="I19078" s="309"/>
      <c r="J19078" s="309"/>
    </row>
    <row r="19079">
      <c r="B19079" s="309"/>
      <c r="C19079" s="309"/>
      <c r="I19079" s="309"/>
      <c r="J19079" s="309"/>
    </row>
    <row r="19080">
      <c r="B19080" s="309"/>
      <c r="C19080" s="309"/>
      <c r="I19080" s="309"/>
      <c r="J19080" s="309"/>
    </row>
    <row r="19081">
      <c r="B19081" s="309"/>
      <c r="C19081" s="309"/>
      <c r="I19081" s="309"/>
      <c r="J19081" s="309"/>
    </row>
    <row r="19082">
      <c r="B19082" s="309"/>
      <c r="C19082" s="309"/>
      <c r="I19082" s="309"/>
      <c r="J19082" s="309"/>
    </row>
    <row r="19083">
      <c r="B19083" s="309"/>
      <c r="C19083" s="309"/>
      <c r="I19083" s="309"/>
      <c r="J19083" s="309"/>
    </row>
    <row r="19084">
      <c r="B19084" s="309"/>
      <c r="C19084" s="309"/>
      <c r="I19084" s="309"/>
      <c r="J19084" s="309"/>
    </row>
    <row r="19085">
      <c r="B19085" s="309"/>
      <c r="C19085" s="309"/>
      <c r="I19085" s="309"/>
      <c r="J19085" s="309"/>
    </row>
    <row r="19086">
      <c r="B19086" s="309"/>
      <c r="C19086" s="309"/>
      <c r="I19086" s="309"/>
      <c r="J19086" s="309"/>
    </row>
    <row r="19087">
      <c r="B19087" s="309"/>
      <c r="C19087" s="309"/>
      <c r="I19087" s="309"/>
      <c r="J19087" s="309"/>
    </row>
    <row r="19088">
      <c r="B19088" s="309"/>
      <c r="C19088" s="309"/>
      <c r="I19088" s="309"/>
      <c r="J19088" s="309"/>
    </row>
    <row r="19089">
      <c r="B19089" s="309"/>
      <c r="C19089" s="309"/>
      <c r="I19089" s="309"/>
      <c r="J19089" s="309"/>
    </row>
    <row r="19090">
      <c r="B19090" s="309"/>
      <c r="C19090" s="309"/>
      <c r="I19090" s="309"/>
      <c r="J19090" s="309"/>
    </row>
    <row r="19091">
      <c r="B19091" s="309"/>
      <c r="C19091" s="309"/>
      <c r="I19091" s="309"/>
      <c r="J19091" s="309"/>
    </row>
    <row r="19092">
      <c r="B19092" s="309"/>
      <c r="C19092" s="309"/>
      <c r="I19092" s="309"/>
      <c r="J19092" s="309"/>
    </row>
    <row r="19093">
      <c r="B19093" s="309"/>
      <c r="C19093" s="309"/>
      <c r="I19093" s="309"/>
      <c r="J19093" s="309"/>
    </row>
    <row r="19094">
      <c r="B19094" s="309"/>
      <c r="C19094" s="309"/>
      <c r="I19094" s="309"/>
      <c r="J19094" s="309"/>
    </row>
    <row r="19095">
      <c r="B19095" s="309"/>
      <c r="C19095" s="309"/>
      <c r="I19095" s="309"/>
      <c r="J19095" s="309"/>
    </row>
    <row r="19096">
      <c r="B19096" s="309"/>
      <c r="C19096" s="309"/>
      <c r="I19096" s="309"/>
      <c r="J19096" s="309"/>
    </row>
    <row r="19097">
      <c r="B19097" s="309"/>
      <c r="C19097" s="309"/>
      <c r="I19097" s="309"/>
      <c r="J19097" s="309"/>
    </row>
    <row r="19098">
      <c r="B19098" s="309"/>
      <c r="C19098" s="309"/>
      <c r="I19098" s="309"/>
      <c r="J19098" s="309"/>
    </row>
    <row r="19099">
      <c r="B19099" s="309"/>
      <c r="C19099" s="309"/>
      <c r="I19099" s="309"/>
      <c r="J19099" s="309"/>
    </row>
    <row r="19100">
      <c r="B19100" s="309"/>
      <c r="C19100" s="309"/>
      <c r="I19100" s="309"/>
      <c r="J19100" s="309"/>
    </row>
    <row r="19101">
      <c r="B19101" s="309"/>
      <c r="C19101" s="309"/>
      <c r="I19101" s="309"/>
      <c r="J19101" s="309"/>
    </row>
    <row r="19102">
      <c r="B19102" s="309"/>
      <c r="C19102" s="309"/>
      <c r="I19102" s="309"/>
      <c r="J19102" s="309"/>
    </row>
    <row r="19103">
      <c r="B19103" s="309"/>
      <c r="C19103" s="309"/>
      <c r="I19103" s="309"/>
      <c r="J19103" s="309"/>
    </row>
    <row r="19104">
      <c r="B19104" s="309"/>
      <c r="C19104" s="309"/>
      <c r="I19104" s="309"/>
      <c r="J19104" s="309"/>
    </row>
    <row r="19105">
      <c r="B19105" s="309"/>
      <c r="C19105" s="309"/>
      <c r="I19105" s="309"/>
      <c r="J19105" s="309"/>
    </row>
    <row r="19106">
      <c r="B19106" s="309"/>
      <c r="C19106" s="309"/>
      <c r="I19106" s="309"/>
      <c r="J19106" s="309"/>
    </row>
    <row r="19107">
      <c r="B19107" s="309"/>
      <c r="C19107" s="309"/>
      <c r="I19107" s="309"/>
      <c r="J19107" s="309"/>
    </row>
    <row r="19108">
      <c r="B19108" s="309"/>
      <c r="C19108" s="309"/>
      <c r="I19108" s="309"/>
      <c r="J19108" s="309"/>
    </row>
    <row r="19109">
      <c r="B19109" s="309"/>
      <c r="C19109" s="309"/>
      <c r="I19109" s="309"/>
      <c r="J19109" s="309"/>
    </row>
    <row r="19110">
      <c r="B19110" s="309"/>
      <c r="C19110" s="309"/>
      <c r="I19110" s="309"/>
      <c r="J19110" s="309"/>
    </row>
    <row r="19111">
      <c r="B19111" s="309"/>
      <c r="C19111" s="309"/>
      <c r="I19111" s="309"/>
      <c r="J19111" s="309"/>
    </row>
    <row r="19112">
      <c r="B19112" s="309"/>
      <c r="C19112" s="309"/>
      <c r="I19112" s="309"/>
      <c r="J19112" s="309"/>
    </row>
    <row r="19113">
      <c r="B19113" s="309"/>
      <c r="C19113" s="309"/>
      <c r="I19113" s="309"/>
      <c r="J19113" s="309"/>
    </row>
    <row r="19114">
      <c r="B19114" s="309"/>
      <c r="C19114" s="309"/>
      <c r="I19114" s="309"/>
      <c r="J19114" s="309"/>
    </row>
    <row r="19115">
      <c r="B19115" s="309"/>
      <c r="C19115" s="309"/>
      <c r="I19115" s="309"/>
      <c r="J19115" s="309"/>
    </row>
    <row r="19116">
      <c r="B19116" s="309"/>
      <c r="C19116" s="309"/>
      <c r="I19116" s="309"/>
      <c r="J19116" s="309"/>
    </row>
    <row r="19117">
      <c r="B19117" s="309"/>
      <c r="C19117" s="309"/>
      <c r="I19117" s="309"/>
      <c r="J19117" s="309"/>
    </row>
    <row r="19118">
      <c r="B19118" s="309"/>
      <c r="C19118" s="309"/>
      <c r="I19118" s="309"/>
      <c r="J19118" s="309"/>
    </row>
    <row r="19119">
      <c r="B19119" s="309"/>
      <c r="C19119" s="309"/>
      <c r="I19119" s="309"/>
      <c r="J19119" s="309"/>
    </row>
    <row r="19120">
      <c r="B19120" s="309"/>
      <c r="C19120" s="309"/>
      <c r="I19120" s="309"/>
      <c r="J19120" s="309"/>
    </row>
    <row r="19121">
      <c r="B19121" s="309"/>
      <c r="C19121" s="309"/>
      <c r="I19121" s="309"/>
      <c r="J19121" s="309"/>
    </row>
    <row r="19122">
      <c r="B19122" s="309"/>
      <c r="C19122" s="309"/>
      <c r="I19122" s="309"/>
      <c r="J19122" s="309"/>
    </row>
    <row r="19123">
      <c r="B19123" s="309"/>
      <c r="C19123" s="309"/>
      <c r="I19123" s="309"/>
      <c r="J19123" s="309"/>
    </row>
    <row r="19124">
      <c r="B19124" s="309"/>
      <c r="C19124" s="309"/>
      <c r="I19124" s="309"/>
      <c r="J19124" s="309"/>
    </row>
    <row r="19125">
      <c r="B19125" s="309"/>
      <c r="C19125" s="309"/>
      <c r="I19125" s="309"/>
      <c r="J19125" s="309"/>
    </row>
    <row r="19126">
      <c r="B19126" s="309"/>
      <c r="C19126" s="309"/>
      <c r="I19126" s="309"/>
      <c r="J19126" s="309"/>
    </row>
    <row r="19127">
      <c r="B19127" s="309"/>
      <c r="C19127" s="309"/>
      <c r="I19127" s="309"/>
      <c r="J19127" s="309"/>
    </row>
    <row r="19128">
      <c r="B19128" s="309"/>
      <c r="C19128" s="309"/>
      <c r="I19128" s="309"/>
      <c r="J19128" s="309"/>
    </row>
    <row r="19129">
      <c r="B19129" s="309"/>
      <c r="C19129" s="309"/>
      <c r="I19129" s="309"/>
      <c r="J19129" s="309"/>
    </row>
    <row r="19130">
      <c r="B19130" s="309"/>
      <c r="C19130" s="309"/>
      <c r="I19130" s="309"/>
      <c r="J19130" s="309"/>
    </row>
    <row r="19131">
      <c r="B19131" s="309"/>
      <c r="C19131" s="309"/>
      <c r="I19131" s="309"/>
      <c r="J19131" s="309"/>
    </row>
    <row r="19132">
      <c r="B19132" s="309"/>
      <c r="C19132" s="309"/>
      <c r="I19132" s="309"/>
      <c r="J19132" s="309"/>
    </row>
    <row r="19133">
      <c r="B19133" s="309"/>
      <c r="C19133" s="309"/>
      <c r="I19133" s="309"/>
      <c r="J19133" s="309"/>
    </row>
    <row r="19134">
      <c r="B19134" s="309"/>
      <c r="C19134" s="309"/>
      <c r="I19134" s="309"/>
      <c r="J19134" s="309"/>
    </row>
    <row r="19135">
      <c r="B19135" s="309"/>
      <c r="C19135" s="309"/>
      <c r="I19135" s="309"/>
      <c r="J19135" s="309"/>
    </row>
    <row r="19136">
      <c r="B19136" s="309"/>
      <c r="C19136" s="309"/>
      <c r="I19136" s="309"/>
      <c r="J19136" s="309"/>
    </row>
    <row r="19137">
      <c r="B19137" s="309"/>
      <c r="C19137" s="309"/>
      <c r="I19137" s="309"/>
      <c r="J19137" s="309"/>
    </row>
    <row r="19138">
      <c r="B19138" s="309"/>
      <c r="C19138" s="309"/>
      <c r="I19138" s="309"/>
      <c r="J19138" s="309"/>
    </row>
    <row r="19139">
      <c r="B19139" s="309"/>
      <c r="C19139" s="309"/>
      <c r="I19139" s="309"/>
      <c r="J19139" s="309"/>
    </row>
    <row r="19140">
      <c r="B19140" s="309"/>
      <c r="C19140" s="309"/>
      <c r="I19140" s="309"/>
      <c r="J19140" s="309"/>
    </row>
    <row r="19141">
      <c r="B19141" s="309"/>
      <c r="C19141" s="309"/>
      <c r="I19141" s="309"/>
      <c r="J19141" s="309"/>
    </row>
    <row r="19142">
      <c r="B19142" s="309"/>
      <c r="C19142" s="309"/>
      <c r="I19142" s="309"/>
      <c r="J19142" s="309"/>
    </row>
    <row r="19143">
      <c r="B19143" s="309"/>
      <c r="C19143" s="309"/>
      <c r="I19143" s="309"/>
      <c r="J19143" s="309"/>
    </row>
    <row r="19144">
      <c r="B19144" s="309"/>
      <c r="C19144" s="309"/>
      <c r="I19144" s="309"/>
      <c r="J19144" s="309"/>
    </row>
    <row r="19145">
      <c r="B19145" s="309"/>
      <c r="C19145" s="309"/>
      <c r="I19145" s="309"/>
      <c r="J19145" s="309"/>
    </row>
    <row r="19146">
      <c r="B19146" s="309"/>
      <c r="C19146" s="309"/>
      <c r="I19146" s="309"/>
      <c r="J19146" s="309"/>
    </row>
    <row r="19147">
      <c r="B19147" s="309"/>
      <c r="C19147" s="309"/>
      <c r="I19147" s="309"/>
      <c r="J19147" s="309"/>
    </row>
    <row r="19148">
      <c r="B19148" s="309"/>
      <c r="C19148" s="309"/>
      <c r="I19148" s="309"/>
      <c r="J19148" s="309"/>
    </row>
    <row r="19149">
      <c r="B19149" s="309"/>
      <c r="C19149" s="309"/>
      <c r="I19149" s="309"/>
      <c r="J19149" s="309"/>
    </row>
    <row r="19150">
      <c r="B19150" s="309"/>
      <c r="C19150" s="309"/>
      <c r="I19150" s="309"/>
      <c r="J19150" s="309"/>
    </row>
    <row r="19151">
      <c r="B19151" s="309"/>
      <c r="C19151" s="309"/>
      <c r="I19151" s="309"/>
      <c r="J19151" s="309"/>
    </row>
    <row r="19152">
      <c r="B19152" s="309"/>
      <c r="C19152" s="309"/>
      <c r="I19152" s="309"/>
      <c r="J19152" s="309"/>
    </row>
    <row r="19153">
      <c r="B19153" s="309"/>
      <c r="C19153" s="309"/>
      <c r="I19153" s="309"/>
      <c r="J19153" s="309"/>
    </row>
    <row r="19154">
      <c r="B19154" s="309"/>
      <c r="C19154" s="309"/>
      <c r="I19154" s="309"/>
      <c r="J19154" s="309"/>
    </row>
    <row r="19155">
      <c r="B19155" s="309"/>
      <c r="C19155" s="309"/>
      <c r="I19155" s="309"/>
      <c r="J19155" s="309"/>
    </row>
    <row r="19156">
      <c r="B19156" s="309"/>
      <c r="C19156" s="309"/>
      <c r="I19156" s="309"/>
      <c r="J19156" s="309"/>
    </row>
    <row r="19157">
      <c r="B19157" s="309"/>
      <c r="C19157" s="309"/>
      <c r="I19157" s="309"/>
      <c r="J19157" s="309"/>
    </row>
    <row r="19158">
      <c r="B19158" s="309"/>
      <c r="C19158" s="309"/>
      <c r="I19158" s="309"/>
      <c r="J19158" s="309"/>
    </row>
    <row r="19159">
      <c r="B19159" s="309"/>
      <c r="C19159" s="309"/>
      <c r="I19159" s="309"/>
      <c r="J19159" s="309"/>
    </row>
    <row r="19160">
      <c r="B19160" s="309"/>
      <c r="C19160" s="309"/>
      <c r="I19160" s="309"/>
      <c r="J19160" s="309"/>
    </row>
    <row r="19161">
      <c r="B19161" s="309"/>
      <c r="C19161" s="309"/>
      <c r="I19161" s="309"/>
      <c r="J19161" s="309"/>
    </row>
    <row r="19162">
      <c r="B19162" s="309"/>
      <c r="C19162" s="309"/>
      <c r="I19162" s="309"/>
      <c r="J19162" s="309"/>
    </row>
    <row r="19163">
      <c r="B19163" s="309"/>
      <c r="C19163" s="309"/>
      <c r="I19163" s="309"/>
      <c r="J19163" s="309"/>
    </row>
    <row r="19164">
      <c r="B19164" s="309"/>
      <c r="C19164" s="309"/>
      <c r="I19164" s="309"/>
      <c r="J19164" s="309"/>
    </row>
    <row r="19165">
      <c r="B19165" s="309"/>
      <c r="C19165" s="309"/>
      <c r="I19165" s="309"/>
      <c r="J19165" s="309"/>
    </row>
    <row r="19166">
      <c r="B19166" s="309"/>
      <c r="C19166" s="309"/>
      <c r="I19166" s="309"/>
      <c r="J19166" s="309"/>
    </row>
    <row r="19167">
      <c r="B19167" s="309"/>
      <c r="C19167" s="309"/>
      <c r="I19167" s="309"/>
      <c r="J19167" s="309"/>
    </row>
    <row r="19168">
      <c r="B19168" s="309"/>
      <c r="C19168" s="309"/>
      <c r="I19168" s="309"/>
      <c r="J19168" s="309"/>
    </row>
    <row r="19169">
      <c r="B19169" s="309"/>
      <c r="C19169" s="309"/>
      <c r="I19169" s="309"/>
      <c r="J19169" s="309"/>
    </row>
    <row r="19170">
      <c r="B19170" s="309"/>
      <c r="C19170" s="309"/>
      <c r="I19170" s="309"/>
      <c r="J19170" s="309"/>
    </row>
    <row r="19171">
      <c r="B19171" s="309"/>
      <c r="C19171" s="309"/>
      <c r="I19171" s="309"/>
      <c r="J19171" s="309"/>
    </row>
    <row r="19172">
      <c r="B19172" s="309"/>
      <c r="C19172" s="309"/>
      <c r="I19172" s="309"/>
      <c r="J19172" s="309"/>
    </row>
    <row r="19173">
      <c r="B19173" s="309"/>
      <c r="C19173" s="309"/>
      <c r="I19173" s="309"/>
      <c r="J19173" s="309"/>
    </row>
    <row r="19174">
      <c r="B19174" s="309"/>
      <c r="C19174" s="309"/>
      <c r="I19174" s="309"/>
      <c r="J19174" s="309"/>
    </row>
    <row r="19175">
      <c r="B19175" s="309"/>
      <c r="C19175" s="309"/>
      <c r="I19175" s="309"/>
      <c r="J19175" s="309"/>
    </row>
    <row r="19176">
      <c r="B19176" s="309"/>
      <c r="C19176" s="309"/>
      <c r="I19176" s="309"/>
      <c r="J19176" s="309"/>
    </row>
    <row r="19177">
      <c r="B19177" s="309"/>
      <c r="C19177" s="309"/>
      <c r="I19177" s="309"/>
      <c r="J19177" s="309"/>
    </row>
    <row r="19178">
      <c r="B19178" s="309"/>
      <c r="C19178" s="309"/>
      <c r="I19178" s="309"/>
      <c r="J19178" s="309"/>
    </row>
    <row r="19179">
      <c r="B19179" s="309"/>
      <c r="C19179" s="309"/>
      <c r="I19179" s="309"/>
      <c r="J19179" s="309"/>
    </row>
    <row r="19180">
      <c r="B19180" s="309"/>
      <c r="C19180" s="309"/>
      <c r="I19180" s="309"/>
      <c r="J19180" s="309"/>
    </row>
    <row r="19181">
      <c r="B19181" s="309"/>
      <c r="C19181" s="309"/>
      <c r="I19181" s="309"/>
      <c r="J19181" s="309"/>
    </row>
    <row r="19182">
      <c r="B19182" s="309"/>
      <c r="C19182" s="309"/>
      <c r="I19182" s="309"/>
      <c r="J19182" s="309"/>
    </row>
    <row r="19183">
      <c r="B19183" s="309"/>
      <c r="C19183" s="309"/>
      <c r="I19183" s="309"/>
      <c r="J19183" s="309"/>
    </row>
    <row r="19184">
      <c r="B19184" s="309"/>
      <c r="C19184" s="309"/>
      <c r="I19184" s="309"/>
      <c r="J19184" s="309"/>
    </row>
    <row r="19185">
      <c r="B19185" s="309"/>
      <c r="C19185" s="309"/>
      <c r="I19185" s="309"/>
      <c r="J19185" s="309"/>
    </row>
    <row r="19186">
      <c r="B19186" s="309"/>
      <c r="C19186" s="309"/>
      <c r="I19186" s="309"/>
      <c r="J19186" s="309"/>
    </row>
    <row r="19187">
      <c r="B19187" s="309"/>
      <c r="C19187" s="309"/>
      <c r="I19187" s="309"/>
      <c r="J19187" s="309"/>
    </row>
    <row r="19188">
      <c r="B19188" s="309"/>
      <c r="C19188" s="309"/>
      <c r="I19188" s="309"/>
      <c r="J19188" s="309"/>
    </row>
    <row r="19189">
      <c r="B19189" s="309"/>
      <c r="C19189" s="309"/>
      <c r="I19189" s="309"/>
      <c r="J19189" s="309"/>
    </row>
    <row r="19190">
      <c r="B19190" s="309"/>
      <c r="C19190" s="309"/>
      <c r="I19190" s="309"/>
      <c r="J19190" s="309"/>
    </row>
    <row r="19191">
      <c r="B19191" s="309"/>
      <c r="C19191" s="309"/>
      <c r="I19191" s="309"/>
      <c r="J19191" s="309"/>
    </row>
    <row r="19192">
      <c r="B19192" s="309"/>
      <c r="C19192" s="309"/>
      <c r="I19192" s="309"/>
      <c r="J19192" s="309"/>
    </row>
    <row r="19193">
      <c r="B19193" s="309"/>
      <c r="C19193" s="309"/>
      <c r="I19193" s="309"/>
      <c r="J19193" s="309"/>
    </row>
    <row r="19194">
      <c r="B19194" s="309"/>
      <c r="C19194" s="309"/>
      <c r="I19194" s="309"/>
      <c r="J19194" s="309"/>
    </row>
    <row r="19195">
      <c r="B19195" s="309"/>
      <c r="C19195" s="309"/>
      <c r="I19195" s="309"/>
      <c r="J19195" s="309"/>
    </row>
    <row r="19196">
      <c r="B19196" s="309"/>
      <c r="C19196" s="309"/>
      <c r="I19196" s="309"/>
      <c r="J19196" s="309"/>
    </row>
    <row r="19197">
      <c r="B19197" s="309"/>
      <c r="C19197" s="309"/>
      <c r="I19197" s="309"/>
      <c r="J19197" s="309"/>
    </row>
    <row r="19198">
      <c r="B19198" s="309"/>
      <c r="C19198" s="309"/>
      <c r="I19198" s="309"/>
      <c r="J19198" s="309"/>
    </row>
    <row r="19199">
      <c r="B19199" s="309"/>
      <c r="C19199" s="309"/>
      <c r="I19199" s="309"/>
      <c r="J19199" s="309"/>
    </row>
    <row r="19200">
      <c r="B19200" s="309"/>
      <c r="C19200" s="309"/>
      <c r="I19200" s="309"/>
      <c r="J19200" s="309"/>
    </row>
    <row r="19201">
      <c r="B19201" s="309"/>
      <c r="C19201" s="309"/>
      <c r="I19201" s="309"/>
      <c r="J19201" s="309"/>
    </row>
    <row r="19202">
      <c r="B19202" s="309"/>
      <c r="C19202" s="309"/>
      <c r="I19202" s="309"/>
      <c r="J19202" s="309"/>
    </row>
    <row r="19203">
      <c r="B19203" s="309"/>
      <c r="C19203" s="309"/>
      <c r="I19203" s="309"/>
      <c r="J19203" s="309"/>
    </row>
    <row r="19204">
      <c r="B19204" s="309"/>
      <c r="C19204" s="309"/>
      <c r="I19204" s="309"/>
      <c r="J19204" s="309"/>
    </row>
    <row r="19205">
      <c r="B19205" s="309"/>
      <c r="C19205" s="309"/>
      <c r="I19205" s="309"/>
      <c r="J19205" s="309"/>
    </row>
    <row r="19206">
      <c r="B19206" s="309"/>
      <c r="C19206" s="309"/>
      <c r="I19206" s="309"/>
      <c r="J19206" s="309"/>
    </row>
    <row r="19207">
      <c r="B19207" s="309"/>
      <c r="C19207" s="309"/>
      <c r="I19207" s="309"/>
      <c r="J19207" s="309"/>
    </row>
    <row r="19208">
      <c r="B19208" s="309"/>
      <c r="C19208" s="309"/>
      <c r="I19208" s="309"/>
      <c r="J19208" s="309"/>
    </row>
    <row r="19209">
      <c r="B19209" s="309"/>
      <c r="C19209" s="309"/>
      <c r="I19209" s="309"/>
      <c r="J19209" s="309"/>
    </row>
    <row r="19210">
      <c r="B19210" s="309"/>
      <c r="C19210" s="309"/>
      <c r="I19210" s="309"/>
      <c r="J19210" s="309"/>
    </row>
    <row r="19211">
      <c r="B19211" s="309"/>
      <c r="C19211" s="309"/>
      <c r="I19211" s="309"/>
      <c r="J19211" s="309"/>
    </row>
    <row r="19212">
      <c r="B19212" s="309"/>
      <c r="C19212" s="309"/>
      <c r="I19212" s="309"/>
      <c r="J19212" s="309"/>
    </row>
    <row r="19213">
      <c r="B19213" s="309"/>
      <c r="C19213" s="309"/>
      <c r="I19213" s="309"/>
      <c r="J19213" s="309"/>
    </row>
    <row r="19214">
      <c r="B19214" s="309"/>
      <c r="C19214" s="309"/>
      <c r="I19214" s="309"/>
      <c r="J19214" s="309"/>
    </row>
    <row r="19215">
      <c r="B19215" s="309"/>
      <c r="C19215" s="309"/>
      <c r="I19215" s="309"/>
      <c r="J19215" s="309"/>
    </row>
    <row r="19216">
      <c r="B19216" s="309"/>
      <c r="C19216" s="309"/>
      <c r="I19216" s="309"/>
      <c r="J19216" s="309"/>
    </row>
    <row r="19217">
      <c r="B19217" s="309"/>
      <c r="C19217" s="309"/>
      <c r="I19217" s="309"/>
      <c r="J19217" s="309"/>
    </row>
    <row r="19218">
      <c r="B19218" s="309"/>
      <c r="C19218" s="309"/>
      <c r="I19218" s="309"/>
      <c r="J19218" s="309"/>
    </row>
    <row r="19219">
      <c r="B19219" s="309"/>
      <c r="C19219" s="309"/>
      <c r="I19219" s="309"/>
      <c r="J19219" s="309"/>
    </row>
    <row r="19220">
      <c r="B19220" s="309"/>
      <c r="C19220" s="309"/>
      <c r="I19220" s="309"/>
      <c r="J19220" s="309"/>
    </row>
    <row r="19221">
      <c r="B19221" s="309"/>
      <c r="C19221" s="309"/>
      <c r="I19221" s="309"/>
      <c r="J19221" s="309"/>
    </row>
    <row r="19222">
      <c r="B19222" s="309"/>
      <c r="C19222" s="309"/>
      <c r="I19222" s="309"/>
      <c r="J19222" s="309"/>
    </row>
    <row r="19223">
      <c r="B19223" s="309"/>
      <c r="C19223" s="309"/>
      <c r="I19223" s="309"/>
      <c r="J19223" s="309"/>
    </row>
    <row r="19224">
      <c r="B19224" s="309"/>
      <c r="C19224" s="309"/>
      <c r="I19224" s="309"/>
      <c r="J19224" s="309"/>
    </row>
    <row r="19225">
      <c r="B19225" s="309"/>
      <c r="C19225" s="309"/>
      <c r="I19225" s="309"/>
      <c r="J19225" s="309"/>
    </row>
    <row r="19226">
      <c r="B19226" s="309"/>
      <c r="C19226" s="309"/>
      <c r="I19226" s="309"/>
      <c r="J19226" s="309"/>
    </row>
    <row r="19227">
      <c r="B19227" s="309"/>
      <c r="C19227" s="309"/>
      <c r="I19227" s="309"/>
      <c r="J19227" s="309"/>
    </row>
    <row r="19228">
      <c r="B19228" s="309"/>
      <c r="C19228" s="309"/>
      <c r="I19228" s="309"/>
      <c r="J19228" s="309"/>
    </row>
    <row r="19229">
      <c r="B19229" s="309"/>
      <c r="C19229" s="309"/>
      <c r="I19229" s="309"/>
      <c r="J19229" s="309"/>
    </row>
    <row r="19230">
      <c r="B19230" s="309"/>
      <c r="C19230" s="309"/>
      <c r="I19230" s="309"/>
      <c r="J19230" s="309"/>
    </row>
    <row r="19231">
      <c r="B19231" s="309"/>
      <c r="C19231" s="309"/>
      <c r="I19231" s="309"/>
      <c r="J19231" s="309"/>
    </row>
    <row r="19232">
      <c r="B19232" s="309"/>
      <c r="C19232" s="309"/>
      <c r="I19232" s="309"/>
      <c r="J19232" s="309"/>
    </row>
    <row r="19233">
      <c r="B19233" s="309"/>
      <c r="C19233" s="309"/>
      <c r="I19233" s="309"/>
      <c r="J19233" s="309"/>
    </row>
    <row r="19234">
      <c r="B19234" s="309"/>
      <c r="C19234" s="309"/>
      <c r="I19234" s="309"/>
      <c r="J19234" s="309"/>
    </row>
    <row r="19235">
      <c r="B19235" s="309"/>
      <c r="C19235" s="309"/>
      <c r="I19235" s="309"/>
      <c r="J19235" s="309"/>
    </row>
    <row r="19236">
      <c r="B19236" s="309"/>
      <c r="C19236" s="309"/>
      <c r="I19236" s="309"/>
      <c r="J19236" s="309"/>
    </row>
    <row r="19237">
      <c r="B19237" s="309"/>
      <c r="C19237" s="309"/>
      <c r="I19237" s="309"/>
      <c r="J19237" s="309"/>
    </row>
    <row r="19238">
      <c r="B19238" s="309"/>
      <c r="C19238" s="309"/>
      <c r="I19238" s="309"/>
      <c r="J19238" s="309"/>
    </row>
    <row r="19239">
      <c r="B19239" s="309"/>
      <c r="C19239" s="309"/>
      <c r="I19239" s="309"/>
      <c r="J19239" s="309"/>
    </row>
    <row r="19240">
      <c r="B19240" s="309"/>
      <c r="C19240" s="309"/>
      <c r="I19240" s="309"/>
      <c r="J19240" s="309"/>
    </row>
    <row r="19241">
      <c r="B19241" s="309"/>
      <c r="C19241" s="309"/>
      <c r="I19241" s="309"/>
      <c r="J19241" s="309"/>
    </row>
    <row r="19242">
      <c r="B19242" s="309"/>
      <c r="C19242" s="309"/>
      <c r="I19242" s="309"/>
      <c r="J19242" s="309"/>
    </row>
    <row r="19243">
      <c r="B19243" s="309"/>
      <c r="C19243" s="309"/>
      <c r="I19243" s="309"/>
      <c r="J19243" s="309"/>
    </row>
    <row r="19244">
      <c r="B19244" s="309"/>
      <c r="C19244" s="309"/>
      <c r="I19244" s="309"/>
      <c r="J19244" s="309"/>
    </row>
    <row r="19245">
      <c r="B19245" s="309"/>
      <c r="C19245" s="309"/>
      <c r="I19245" s="309"/>
      <c r="J19245" s="309"/>
    </row>
    <row r="19246">
      <c r="B19246" s="309"/>
      <c r="C19246" s="309"/>
      <c r="I19246" s="309"/>
      <c r="J19246" s="309"/>
    </row>
    <row r="19247">
      <c r="B19247" s="309"/>
      <c r="C19247" s="309"/>
      <c r="I19247" s="309"/>
      <c r="J19247" s="309"/>
    </row>
    <row r="19248">
      <c r="B19248" s="309"/>
      <c r="C19248" s="309"/>
      <c r="I19248" s="309"/>
      <c r="J19248" s="309"/>
    </row>
    <row r="19249">
      <c r="B19249" s="309"/>
      <c r="C19249" s="309"/>
      <c r="I19249" s="309"/>
      <c r="J19249" s="309"/>
    </row>
    <row r="19250">
      <c r="B19250" s="309"/>
      <c r="C19250" s="309"/>
      <c r="I19250" s="309"/>
      <c r="J19250" s="309"/>
    </row>
    <row r="19251">
      <c r="B19251" s="309"/>
      <c r="C19251" s="309"/>
      <c r="I19251" s="309"/>
      <c r="J19251" s="309"/>
    </row>
    <row r="19252">
      <c r="B19252" s="309"/>
      <c r="C19252" s="309"/>
      <c r="I19252" s="309"/>
      <c r="J19252" s="309"/>
    </row>
    <row r="19253">
      <c r="B19253" s="309"/>
      <c r="C19253" s="309"/>
      <c r="I19253" s="309"/>
      <c r="J19253" s="309"/>
    </row>
    <row r="19254">
      <c r="B19254" s="309"/>
      <c r="C19254" s="309"/>
      <c r="I19254" s="309"/>
      <c r="J19254" s="309"/>
    </row>
    <row r="19255">
      <c r="B19255" s="309"/>
      <c r="C19255" s="309"/>
      <c r="I19255" s="309"/>
      <c r="J19255" s="309"/>
    </row>
    <row r="19256">
      <c r="B19256" s="309"/>
      <c r="C19256" s="309"/>
      <c r="I19256" s="309"/>
      <c r="J19256" s="309"/>
    </row>
    <row r="19257">
      <c r="B19257" s="309"/>
      <c r="C19257" s="309"/>
      <c r="I19257" s="309"/>
      <c r="J19257" s="309"/>
    </row>
    <row r="19258">
      <c r="B19258" s="309"/>
      <c r="C19258" s="309"/>
      <c r="I19258" s="309"/>
      <c r="J19258" s="309"/>
    </row>
    <row r="19259">
      <c r="B19259" s="309"/>
      <c r="C19259" s="309"/>
      <c r="I19259" s="309"/>
      <c r="J19259" s="309"/>
    </row>
    <row r="19260">
      <c r="B19260" s="309"/>
      <c r="C19260" s="309"/>
      <c r="I19260" s="309"/>
      <c r="J19260" s="309"/>
    </row>
    <row r="19261">
      <c r="B19261" s="309"/>
      <c r="C19261" s="309"/>
      <c r="I19261" s="309"/>
      <c r="J19261" s="309"/>
    </row>
    <row r="19262">
      <c r="B19262" s="309"/>
      <c r="C19262" s="309"/>
      <c r="I19262" s="309"/>
      <c r="J19262" s="309"/>
    </row>
    <row r="19263">
      <c r="B19263" s="309"/>
      <c r="C19263" s="309"/>
      <c r="I19263" s="309"/>
      <c r="J19263" s="309"/>
    </row>
    <row r="19264">
      <c r="B19264" s="309"/>
      <c r="C19264" s="309"/>
      <c r="I19264" s="309"/>
      <c r="J19264" s="309"/>
    </row>
    <row r="19265">
      <c r="B19265" s="309"/>
      <c r="C19265" s="309"/>
      <c r="I19265" s="309"/>
      <c r="J19265" s="309"/>
    </row>
    <row r="19266">
      <c r="B19266" s="309"/>
      <c r="C19266" s="309"/>
      <c r="I19266" s="309"/>
      <c r="J19266" s="309"/>
    </row>
    <row r="19267">
      <c r="B19267" s="309"/>
      <c r="C19267" s="309"/>
      <c r="I19267" s="309"/>
      <c r="J19267" s="309"/>
    </row>
    <row r="19268">
      <c r="B19268" s="309"/>
      <c r="C19268" s="309"/>
      <c r="I19268" s="309"/>
      <c r="J19268" s="309"/>
    </row>
    <row r="19269">
      <c r="B19269" s="309"/>
      <c r="C19269" s="309"/>
      <c r="I19269" s="309"/>
      <c r="J19269" s="309"/>
    </row>
    <row r="19270">
      <c r="B19270" s="309"/>
      <c r="C19270" s="309"/>
      <c r="I19270" s="309"/>
      <c r="J19270" s="309"/>
    </row>
    <row r="19271">
      <c r="B19271" s="309"/>
      <c r="C19271" s="309"/>
      <c r="I19271" s="309"/>
      <c r="J19271" s="309"/>
    </row>
    <row r="19272">
      <c r="B19272" s="309"/>
      <c r="C19272" s="309"/>
      <c r="I19272" s="309"/>
      <c r="J19272" s="309"/>
    </row>
    <row r="19273">
      <c r="B19273" s="309"/>
      <c r="C19273" s="309"/>
      <c r="I19273" s="309"/>
      <c r="J19273" s="309"/>
    </row>
    <row r="19274">
      <c r="B19274" s="309"/>
      <c r="C19274" s="309"/>
      <c r="I19274" s="309"/>
      <c r="J19274" s="309"/>
    </row>
    <row r="19275">
      <c r="B19275" s="309"/>
      <c r="C19275" s="309"/>
      <c r="I19275" s="309"/>
      <c r="J19275" s="309"/>
    </row>
    <row r="19276">
      <c r="B19276" s="309"/>
      <c r="C19276" s="309"/>
      <c r="I19276" s="309"/>
      <c r="J19276" s="309"/>
    </row>
    <row r="19277">
      <c r="B19277" s="309"/>
      <c r="C19277" s="309"/>
      <c r="I19277" s="309"/>
      <c r="J19277" s="309"/>
    </row>
    <row r="19278">
      <c r="B19278" s="309"/>
      <c r="C19278" s="309"/>
      <c r="I19278" s="309"/>
      <c r="J19278" s="309"/>
    </row>
    <row r="19279">
      <c r="B19279" s="309"/>
      <c r="C19279" s="309"/>
      <c r="I19279" s="309"/>
      <c r="J19279" s="309"/>
    </row>
    <row r="19280">
      <c r="B19280" s="309"/>
      <c r="C19280" s="309"/>
      <c r="I19280" s="309"/>
      <c r="J19280" s="309"/>
    </row>
    <row r="19281">
      <c r="B19281" s="309"/>
      <c r="C19281" s="309"/>
      <c r="I19281" s="309"/>
      <c r="J19281" s="309"/>
    </row>
    <row r="19282">
      <c r="B19282" s="309"/>
      <c r="C19282" s="309"/>
      <c r="I19282" s="309"/>
      <c r="J19282" s="309"/>
    </row>
    <row r="19283">
      <c r="B19283" s="309"/>
      <c r="C19283" s="309"/>
      <c r="I19283" s="309"/>
      <c r="J19283" s="309"/>
    </row>
    <row r="19284">
      <c r="B19284" s="309"/>
      <c r="C19284" s="309"/>
      <c r="I19284" s="309"/>
      <c r="J19284" s="309"/>
    </row>
    <row r="19285">
      <c r="B19285" s="309"/>
      <c r="C19285" s="309"/>
      <c r="I19285" s="309"/>
      <c r="J19285" s="309"/>
    </row>
    <row r="19286">
      <c r="B19286" s="309"/>
      <c r="C19286" s="309"/>
      <c r="I19286" s="309"/>
      <c r="J19286" s="309"/>
    </row>
    <row r="19287">
      <c r="B19287" s="309"/>
      <c r="C19287" s="309"/>
      <c r="I19287" s="309"/>
      <c r="J19287" s="309"/>
    </row>
    <row r="19288">
      <c r="B19288" s="309"/>
      <c r="C19288" s="309"/>
      <c r="I19288" s="309"/>
      <c r="J19288" s="309"/>
    </row>
    <row r="19289">
      <c r="B19289" s="309"/>
      <c r="C19289" s="309"/>
      <c r="I19289" s="309"/>
      <c r="J19289" s="309"/>
    </row>
    <row r="19290">
      <c r="B19290" s="309"/>
      <c r="C19290" s="309"/>
      <c r="I19290" s="309"/>
      <c r="J19290" s="309"/>
    </row>
    <row r="19291">
      <c r="B19291" s="309"/>
      <c r="C19291" s="309"/>
      <c r="I19291" s="309"/>
      <c r="J19291" s="309"/>
    </row>
    <row r="19292">
      <c r="B19292" s="309"/>
      <c r="C19292" s="309"/>
      <c r="I19292" s="309"/>
      <c r="J19292" s="309"/>
    </row>
    <row r="19293">
      <c r="B19293" s="309"/>
      <c r="C19293" s="309"/>
      <c r="I19293" s="309"/>
      <c r="J19293" s="309"/>
    </row>
    <row r="19294">
      <c r="B19294" s="309"/>
      <c r="C19294" s="309"/>
      <c r="I19294" s="309"/>
      <c r="J19294" s="309"/>
    </row>
    <row r="19295">
      <c r="B19295" s="309"/>
      <c r="C19295" s="309"/>
      <c r="I19295" s="309"/>
      <c r="J19295" s="309"/>
    </row>
    <row r="19296">
      <c r="B19296" s="309"/>
      <c r="C19296" s="309"/>
      <c r="I19296" s="309"/>
      <c r="J19296" s="309"/>
    </row>
    <row r="19297">
      <c r="B19297" s="309"/>
      <c r="C19297" s="309"/>
      <c r="I19297" s="309"/>
      <c r="J19297" s="309"/>
    </row>
    <row r="19298">
      <c r="B19298" s="309"/>
      <c r="C19298" s="309"/>
      <c r="I19298" s="309"/>
      <c r="J19298" s="309"/>
    </row>
    <row r="19299">
      <c r="B19299" s="309"/>
      <c r="C19299" s="309"/>
      <c r="I19299" s="309"/>
      <c r="J19299" s="309"/>
    </row>
    <row r="19300">
      <c r="B19300" s="309"/>
      <c r="C19300" s="309"/>
      <c r="I19300" s="309"/>
      <c r="J19300" s="309"/>
    </row>
    <row r="19301">
      <c r="B19301" s="309"/>
      <c r="C19301" s="309"/>
      <c r="I19301" s="309"/>
      <c r="J19301" s="309"/>
    </row>
    <row r="19302">
      <c r="B19302" s="309"/>
      <c r="C19302" s="309"/>
      <c r="I19302" s="309"/>
      <c r="J19302" s="309"/>
    </row>
    <row r="19303">
      <c r="B19303" s="309"/>
      <c r="C19303" s="309"/>
      <c r="I19303" s="309"/>
      <c r="J19303" s="309"/>
    </row>
    <row r="19304">
      <c r="B19304" s="309"/>
      <c r="C19304" s="309"/>
      <c r="I19304" s="309"/>
      <c r="J19304" s="309"/>
    </row>
    <row r="19305">
      <c r="B19305" s="309"/>
      <c r="C19305" s="309"/>
      <c r="I19305" s="309"/>
      <c r="J19305" s="309"/>
    </row>
    <row r="19306">
      <c r="B19306" s="309"/>
      <c r="C19306" s="309"/>
      <c r="I19306" s="309"/>
      <c r="J19306" s="309"/>
    </row>
    <row r="19307">
      <c r="B19307" s="309"/>
      <c r="C19307" s="309"/>
      <c r="I19307" s="309"/>
      <c r="J19307" s="309"/>
    </row>
    <row r="19308">
      <c r="B19308" s="309"/>
      <c r="C19308" s="309"/>
      <c r="I19308" s="309"/>
      <c r="J19308" s="309"/>
    </row>
    <row r="19309">
      <c r="B19309" s="309"/>
      <c r="C19309" s="309"/>
      <c r="I19309" s="309"/>
      <c r="J19309" s="309"/>
    </row>
    <row r="19310">
      <c r="B19310" s="309"/>
      <c r="C19310" s="309"/>
      <c r="I19310" s="309"/>
      <c r="J19310" s="309"/>
    </row>
    <row r="19311">
      <c r="B19311" s="309"/>
      <c r="C19311" s="309"/>
      <c r="I19311" s="309"/>
      <c r="J19311" s="309"/>
    </row>
    <row r="19312">
      <c r="B19312" s="309"/>
      <c r="C19312" s="309"/>
      <c r="I19312" s="309"/>
      <c r="J19312" s="309"/>
    </row>
    <row r="19313">
      <c r="B19313" s="309"/>
      <c r="C19313" s="309"/>
      <c r="I19313" s="309"/>
      <c r="J19313" s="309"/>
    </row>
    <row r="19314">
      <c r="B19314" s="309"/>
      <c r="C19314" s="309"/>
      <c r="I19314" s="309"/>
      <c r="J19314" s="309"/>
    </row>
    <row r="19315">
      <c r="B19315" s="309"/>
      <c r="C19315" s="309"/>
      <c r="I19315" s="309"/>
      <c r="J19315" s="309"/>
    </row>
    <row r="19316">
      <c r="B19316" s="309"/>
      <c r="C19316" s="309"/>
      <c r="I19316" s="309"/>
      <c r="J19316" s="309"/>
    </row>
    <row r="19317">
      <c r="B19317" s="309"/>
      <c r="C19317" s="309"/>
      <c r="I19317" s="309"/>
      <c r="J19317" s="309"/>
    </row>
    <row r="19318">
      <c r="B19318" s="309"/>
      <c r="C19318" s="309"/>
      <c r="I19318" s="309"/>
      <c r="J19318" s="309"/>
    </row>
    <row r="19319">
      <c r="B19319" s="309"/>
      <c r="C19319" s="309"/>
      <c r="I19319" s="309"/>
      <c r="J19319" s="309"/>
    </row>
    <row r="19320">
      <c r="B19320" s="309"/>
      <c r="C19320" s="309"/>
      <c r="I19320" s="309"/>
      <c r="J19320" s="309"/>
    </row>
    <row r="19321">
      <c r="B19321" s="309"/>
      <c r="C19321" s="309"/>
      <c r="I19321" s="309"/>
      <c r="J19321" s="309"/>
    </row>
    <row r="19322">
      <c r="B19322" s="309"/>
      <c r="C19322" s="309"/>
      <c r="I19322" s="309"/>
      <c r="J19322" s="309"/>
    </row>
    <row r="19323">
      <c r="B19323" s="309"/>
      <c r="C19323" s="309"/>
      <c r="I19323" s="309"/>
      <c r="J19323" s="309"/>
    </row>
    <row r="19324">
      <c r="B19324" s="309"/>
      <c r="C19324" s="309"/>
      <c r="I19324" s="309"/>
      <c r="J19324" s="309"/>
    </row>
    <row r="19325">
      <c r="B19325" s="309"/>
      <c r="C19325" s="309"/>
      <c r="I19325" s="309"/>
      <c r="J19325" s="309"/>
    </row>
    <row r="19326">
      <c r="B19326" s="309"/>
      <c r="C19326" s="309"/>
      <c r="I19326" s="309"/>
      <c r="J19326" s="309"/>
    </row>
    <row r="19327">
      <c r="B19327" s="309"/>
      <c r="C19327" s="309"/>
      <c r="I19327" s="309"/>
      <c r="J19327" s="309"/>
    </row>
    <row r="19328">
      <c r="B19328" s="309"/>
      <c r="C19328" s="309"/>
      <c r="I19328" s="309"/>
      <c r="J19328" s="309"/>
    </row>
    <row r="19329">
      <c r="B19329" s="309"/>
      <c r="C19329" s="309"/>
      <c r="I19329" s="309"/>
      <c r="J19329" s="309"/>
    </row>
    <row r="19330">
      <c r="B19330" s="309"/>
      <c r="C19330" s="309"/>
      <c r="I19330" s="309"/>
      <c r="J19330" s="309"/>
    </row>
    <row r="19331">
      <c r="B19331" s="309"/>
      <c r="C19331" s="309"/>
      <c r="I19331" s="309"/>
      <c r="J19331" s="309"/>
    </row>
    <row r="19332">
      <c r="B19332" s="309"/>
      <c r="C19332" s="309"/>
      <c r="I19332" s="309"/>
      <c r="J19332" s="309"/>
    </row>
    <row r="19333">
      <c r="B19333" s="309"/>
      <c r="C19333" s="309"/>
      <c r="I19333" s="309"/>
      <c r="J19333" s="309"/>
    </row>
    <row r="19334">
      <c r="B19334" s="309"/>
      <c r="C19334" s="309"/>
      <c r="I19334" s="309"/>
      <c r="J19334" s="309"/>
    </row>
    <row r="19335">
      <c r="B19335" s="309"/>
      <c r="C19335" s="309"/>
      <c r="I19335" s="309"/>
      <c r="J19335" s="309"/>
    </row>
    <row r="19336">
      <c r="B19336" s="309"/>
      <c r="C19336" s="309"/>
      <c r="I19336" s="309"/>
      <c r="J19336" s="309"/>
    </row>
    <row r="19337">
      <c r="B19337" s="309"/>
      <c r="C19337" s="309"/>
      <c r="I19337" s="309"/>
      <c r="J19337" s="309"/>
    </row>
    <row r="19338">
      <c r="B19338" s="309"/>
      <c r="C19338" s="309"/>
      <c r="I19338" s="309"/>
      <c r="J19338" s="309"/>
    </row>
    <row r="19339">
      <c r="B19339" s="309"/>
      <c r="C19339" s="309"/>
      <c r="I19339" s="309"/>
      <c r="J19339" s="309"/>
    </row>
    <row r="19340">
      <c r="B19340" s="309"/>
      <c r="C19340" s="309"/>
      <c r="I19340" s="309"/>
      <c r="J19340" s="309"/>
    </row>
    <row r="19341">
      <c r="B19341" s="309"/>
      <c r="C19341" s="309"/>
      <c r="I19341" s="309"/>
      <c r="J19341" s="309"/>
    </row>
    <row r="19342">
      <c r="B19342" s="309"/>
      <c r="C19342" s="309"/>
      <c r="I19342" s="309"/>
      <c r="J19342" s="309"/>
    </row>
    <row r="19343">
      <c r="B19343" s="309"/>
      <c r="C19343" s="309"/>
      <c r="I19343" s="309"/>
      <c r="J19343" s="309"/>
    </row>
    <row r="19344">
      <c r="B19344" s="309"/>
      <c r="C19344" s="309"/>
      <c r="I19344" s="309"/>
      <c r="J19344" s="309"/>
    </row>
    <row r="19345">
      <c r="B19345" s="309"/>
      <c r="C19345" s="309"/>
      <c r="I19345" s="309"/>
      <c r="J19345" s="309"/>
    </row>
    <row r="19346">
      <c r="B19346" s="309"/>
      <c r="C19346" s="309"/>
      <c r="I19346" s="309"/>
      <c r="J19346" s="309"/>
    </row>
    <row r="19347">
      <c r="B19347" s="309"/>
      <c r="C19347" s="309"/>
      <c r="I19347" s="309"/>
      <c r="J19347" s="309"/>
    </row>
    <row r="19348">
      <c r="B19348" s="309"/>
      <c r="C19348" s="309"/>
      <c r="I19348" s="309"/>
      <c r="J19348" s="309"/>
    </row>
    <row r="19349">
      <c r="B19349" s="309"/>
      <c r="C19349" s="309"/>
      <c r="I19349" s="309"/>
      <c r="J19349" s="309"/>
    </row>
    <row r="19350">
      <c r="B19350" s="309"/>
      <c r="C19350" s="309"/>
      <c r="I19350" s="309"/>
      <c r="J19350" s="309"/>
    </row>
    <row r="19351">
      <c r="B19351" s="309"/>
      <c r="C19351" s="309"/>
      <c r="I19351" s="309"/>
      <c r="J19351" s="309"/>
    </row>
    <row r="19352">
      <c r="B19352" s="309"/>
      <c r="C19352" s="309"/>
      <c r="I19352" s="309"/>
      <c r="J19352" s="309"/>
    </row>
    <row r="19353">
      <c r="B19353" s="309"/>
      <c r="C19353" s="309"/>
      <c r="I19353" s="309"/>
      <c r="J19353" s="309"/>
    </row>
    <row r="19354">
      <c r="B19354" s="309"/>
      <c r="C19354" s="309"/>
      <c r="I19354" s="309"/>
      <c r="J19354" s="309"/>
    </row>
    <row r="19355">
      <c r="B19355" s="309"/>
      <c r="C19355" s="309"/>
      <c r="I19355" s="309"/>
      <c r="J19355" s="309"/>
    </row>
    <row r="19356">
      <c r="B19356" s="309"/>
      <c r="C19356" s="309"/>
      <c r="I19356" s="309"/>
      <c r="J19356" s="309"/>
    </row>
    <row r="19357">
      <c r="B19357" s="309"/>
      <c r="C19357" s="309"/>
      <c r="I19357" s="309"/>
      <c r="J19357" s="309"/>
    </row>
    <row r="19358">
      <c r="B19358" s="309"/>
      <c r="C19358" s="309"/>
      <c r="I19358" s="309"/>
      <c r="J19358" s="309"/>
    </row>
    <row r="19359">
      <c r="B19359" s="309"/>
      <c r="C19359" s="309"/>
      <c r="I19359" s="309"/>
      <c r="J19359" s="309"/>
    </row>
    <row r="19360">
      <c r="B19360" s="309"/>
      <c r="C19360" s="309"/>
      <c r="I19360" s="309"/>
      <c r="J19360" s="309"/>
    </row>
    <row r="19361">
      <c r="B19361" s="309"/>
      <c r="C19361" s="309"/>
      <c r="I19361" s="309"/>
      <c r="J19361" s="309"/>
    </row>
    <row r="19362">
      <c r="B19362" s="309"/>
      <c r="C19362" s="309"/>
      <c r="I19362" s="309"/>
      <c r="J19362" s="309"/>
    </row>
    <row r="19363">
      <c r="B19363" s="309"/>
      <c r="C19363" s="309"/>
      <c r="I19363" s="309"/>
      <c r="J19363" s="309"/>
    </row>
    <row r="19364">
      <c r="B19364" s="309"/>
      <c r="C19364" s="309"/>
      <c r="I19364" s="309"/>
      <c r="J19364" s="309"/>
    </row>
    <row r="19365">
      <c r="B19365" s="309"/>
      <c r="C19365" s="309"/>
      <c r="I19365" s="309"/>
      <c r="J19365" s="309"/>
    </row>
    <row r="19366">
      <c r="B19366" s="309"/>
      <c r="C19366" s="309"/>
      <c r="I19366" s="309"/>
      <c r="J19366" s="309"/>
    </row>
    <row r="19367">
      <c r="B19367" s="309"/>
      <c r="C19367" s="309"/>
      <c r="I19367" s="309"/>
      <c r="J19367" s="309"/>
    </row>
    <row r="19368">
      <c r="B19368" s="309"/>
      <c r="C19368" s="309"/>
      <c r="I19368" s="309"/>
      <c r="J19368" s="309"/>
    </row>
    <row r="19369">
      <c r="B19369" s="309"/>
      <c r="C19369" s="309"/>
      <c r="I19369" s="309"/>
      <c r="J19369" s="309"/>
    </row>
    <row r="19370">
      <c r="B19370" s="309"/>
      <c r="C19370" s="309"/>
      <c r="I19370" s="309"/>
      <c r="J19370" s="309"/>
    </row>
    <row r="19371">
      <c r="B19371" s="309"/>
      <c r="C19371" s="309"/>
      <c r="I19371" s="309"/>
      <c r="J19371" s="309"/>
    </row>
    <row r="19372">
      <c r="B19372" s="309"/>
      <c r="C19372" s="309"/>
      <c r="I19372" s="309"/>
      <c r="J19372" s="309"/>
    </row>
    <row r="19373">
      <c r="B19373" s="309"/>
      <c r="C19373" s="309"/>
      <c r="I19373" s="309"/>
      <c r="J19373" s="309"/>
    </row>
    <row r="19374">
      <c r="B19374" s="309"/>
      <c r="C19374" s="309"/>
      <c r="I19374" s="309"/>
      <c r="J19374" s="309"/>
    </row>
    <row r="19375">
      <c r="B19375" s="309"/>
      <c r="C19375" s="309"/>
      <c r="I19375" s="309"/>
      <c r="J19375" s="309"/>
    </row>
    <row r="19376">
      <c r="B19376" s="309"/>
      <c r="C19376" s="309"/>
      <c r="I19376" s="309"/>
      <c r="J19376" s="309"/>
    </row>
    <row r="19377">
      <c r="B19377" s="309"/>
      <c r="C19377" s="309"/>
      <c r="I19377" s="309"/>
      <c r="J19377" s="309"/>
    </row>
    <row r="19378">
      <c r="B19378" s="309"/>
      <c r="C19378" s="309"/>
      <c r="I19378" s="309"/>
      <c r="J19378" s="309"/>
    </row>
    <row r="19379">
      <c r="B19379" s="309"/>
      <c r="C19379" s="309"/>
      <c r="I19379" s="309"/>
      <c r="J19379" s="309"/>
    </row>
    <row r="19380">
      <c r="B19380" s="309"/>
      <c r="C19380" s="309"/>
      <c r="I19380" s="309"/>
      <c r="J19380" s="309"/>
    </row>
    <row r="19381">
      <c r="B19381" s="309"/>
      <c r="C19381" s="309"/>
      <c r="I19381" s="309"/>
      <c r="J19381" s="309"/>
    </row>
    <row r="19382">
      <c r="B19382" s="309"/>
      <c r="C19382" s="309"/>
      <c r="I19382" s="309"/>
      <c r="J19382" s="309"/>
    </row>
    <row r="19383">
      <c r="B19383" s="309"/>
      <c r="C19383" s="309"/>
      <c r="I19383" s="309"/>
      <c r="J19383" s="309"/>
    </row>
    <row r="19384">
      <c r="B19384" s="309"/>
      <c r="C19384" s="309"/>
      <c r="I19384" s="309"/>
      <c r="J19384" s="309"/>
    </row>
    <row r="19385">
      <c r="B19385" s="309"/>
      <c r="C19385" s="309"/>
      <c r="I19385" s="309"/>
      <c r="J19385" s="309"/>
    </row>
    <row r="19386">
      <c r="B19386" s="309"/>
      <c r="C19386" s="309"/>
      <c r="I19386" s="309"/>
      <c r="J19386" s="309"/>
    </row>
    <row r="19387">
      <c r="B19387" s="309"/>
      <c r="C19387" s="309"/>
      <c r="I19387" s="309"/>
      <c r="J19387" s="309"/>
    </row>
    <row r="19388">
      <c r="B19388" s="309"/>
      <c r="C19388" s="309"/>
      <c r="I19388" s="309"/>
      <c r="J19388" s="309"/>
    </row>
    <row r="19389">
      <c r="B19389" s="309"/>
      <c r="C19389" s="309"/>
      <c r="I19389" s="309"/>
      <c r="J19389" s="309"/>
    </row>
    <row r="19390">
      <c r="B19390" s="309"/>
      <c r="C19390" s="309"/>
      <c r="I19390" s="309"/>
      <c r="J19390" s="309"/>
    </row>
    <row r="19391">
      <c r="B19391" s="309"/>
      <c r="C19391" s="309"/>
      <c r="I19391" s="309"/>
      <c r="J19391" s="309"/>
    </row>
    <row r="19392">
      <c r="B19392" s="309"/>
      <c r="C19392" s="309"/>
      <c r="I19392" s="309"/>
      <c r="J19392" s="309"/>
    </row>
    <row r="19393">
      <c r="B19393" s="309"/>
      <c r="C19393" s="309"/>
      <c r="I19393" s="309"/>
      <c r="J19393" s="309"/>
    </row>
    <row r="19394">
      <c r="B19394" s="309"/>
      <c r="C19394" s="309"/>
      <c r="I19394" s="309"/>
      <c r="J19394" s="309"/>
    </row>
    <row r="19395">
      <c r="B19395" s="309"/>
      <c r="C19395" s="309"/>
      <c r="I19395" s="309"/>
      <c r="J19395" s="309"/>
    </row>
    <row r="19396">
      <c r="B19396" s="309"/>
      <c r="C19396" s="309"/>
      <c r="I19396" s="309"/>
      <c r="J19396" s="309"/>
    </row>
    <row r="19397">
      <c r="B19397" s="309"/>
      <c r="C19397" s="309"/>
      <c r="I19397" s="309"/>
      <c r="J19397" s="309"/>
    </row>
    <row r="19398">
      <c r="B19398" s="309"/>
      <c r="C19398" s="309"/>
      <c r="I19398" s="309"/>
      <c r="J19398" s="309"/>
    </row>
    <row r="19399">
      <c r="B19399" s="309"/>
      <c r="C19399" s="309"/>
      <c r="I19399" s="309"/>
      <c r="J19399" s="309"/>
    </row>
    <row r="19400">
      <c r="B19400" s="309"/>
      <c r="C19400" s="309"/>
      <c r="I19400" s="309"/>
      <c r="J19400" s="309"/>
    </row>
    <row r="19401">
      <c r="B19401" s="309"/>
      <c r="C19401" s="309"/>
      <c r="I19401" s="309"/>
      <c r="J19401" s="309"/>
    </row>
    <row r="19402">
      <c r="B19402" s="309"/>
      <c r="C19402" s="309"/>
      <c r="I19402" s="309"/>
      <c r="J19402" s="309"/>
    </row>
    <row r="19403">
      <c r="B19403" s="309"/>
      <c r="C19403" s="309"/>
      <c r="I19403" s="309"/>
      <c r="J19403" s="309"/>
    </row>
    <row r="19404">
      <c r="B19404" s="309"/>
      <c r="C19404" s="309"/>
      <c r="I19404" s="309"/>
      <c r="J19404" s="309"/>
    </row>
    <row r="19405">
      <c r="B19405" s="309"/>
      <c r="C19405" s="309"/>
      <c r="I19405" s="309"/>
      <c r="J19405" s="309"/>
    </row>
    <row r="19406">
      <c r="B19406" s="309"/>
      <c r="C19406" s="309"/>
      <c r="I19406" s="309"/>
      <c r="J19406" s="309"/>
    </row>
    <row r="19407">
      <c r="B19407" s="309"/>
      <c r="C19407" s="309"/>
      <c r="I19407" s="309"/>
      <c r="J19407" s="309"/>
    </row>
    <row r="19408">
      <c r="B19408" s="309"/>
      <c r="C19408" s="309"/>
      <c r="I19408" s="309"/>
      <c r="J19408" s="309"/>
    </row>
    <row r="19409">
      <c r="B19409" s="309"/>
      <c r="C19409" s="309"/>
      <c r="I19409" s="309"/>
      <c r="J19409" s="309"/>
    </row>
    <row r="19410">
      <c r="B19410" s="309"/>
      <c r="C19410" s="309"/>
      <c r="I19410" s="309"/>
      <c r="J19410" s="309"/>
    </row>
    <row r="19411">
      <c r="B19411" s="309"/>
      <c r="C19411" s="309"/>
      <c r="I19411" s="309"/>
      <c r="J19411" s="309"/>
    </row>
    <row r="19412">
      <c r="B19412" s="309"/>
      <c r="C19412" s="309"/>
      <c r="I19412" s="309"/>
      <c r="J19412" s="309"/>
    </row>
    <row r="19413">
      <c r="B19413" s="309"/>
      <c r="C19413" s="309"/>
      <c r="I19413" s="309"/>
      <c r="J19413" s="309"/>
    </row>
    <row r="19414">
      <c r="B19414" s="309"/>
      <c r="C19414" s="309"/>
      <c r="I19414" s="309"/>
      <c r="J19414" s="309"/>
    </row>
    <row r="19415">
      <c r="B19415" s="309"/>
      <c r="C19415" s="309"/>
      <c r="I19415" s="309"/>
      <c r="J19415" s="309"/>
    </row>
    <row r="19416">
      <c r="B19416" s="309"/>
      <c r="C19416" s="309"/>
      <c r="I19416" s="309"/>
      <c r="J19416" s="309"/>
    </row>
    <row r="19417">
      <c r="B19417" s="309"/>
      <c r="C19417" s="309"/>
      <c r="I19417" s="309"/>
      <c r="J19417" s="309"/>
    </row>
    <row r="19418">
      <c r="B19418" s="309"/>
      <c r="C19418" s="309"/>
      <c r="I19418" s="309"/>
      <c r="J19418" s="309"/>
    </row>
    <row r="19419">
      <c r="B19419" s="309"/>
      <c r="C19419" s="309"/>
      <c r="I19419" s="309"/>
      <c r="J19419" s="309"/>
    </row>
    <row r="19420">
      <c r="B19420" s="309"/>
      <c r="C19420" s="309"/>
      <c r="I19420" s="309"/>
      <c r="J19420" s="309"/>
    </row>
    <row r="19421">
      <c r="B19421" s="309"/>
      <c r="C19421" s="309"/>
      <c r="I19421" s="309"/>
      <c r="J19421" s="309"/>
    </row>
    <row r="19422">
      <c r="B19422" s="309"/>
      <c r="C19422" s="309"/>
      <c r="I19422" s="309"/>
      <c r="J19422" s="309"/>
    </row>
    <row r="19423">
      <c r="B19423" s="309"/>
      <c r="C19423" s="309"/>
      <c r="I19423" s="309"/>
      <c r="J19423" s="309"/>
    </row>
    <row r="19424">
      <c r="B19424" s="309"/>
      <c r="C19424" s="309"/>
      <c r="I19424" s="309"/>
      <c r="J19424" s="309"/>
    </row>
    <row r="19425">
      <c r="B19425" s="309"/>
      <c r="C19425" s="309"/>
      <c r="I19425" s="309"/>
      <c r="J19425" s="309"/>
    </row>
    <row r="19426">
      <c r="B19426" s="309"/>
      <c r="C19426" s="309"/>
      <c r="I19426" s="309"/>
      <c r="J19426" s="309"/>
    </row>
    <row r="19427">
      <c r="B19427" s="309"/>
      <c r="C19427" s="309"/>
      <c r="I19427" s="309"/>
      <c r="J19427" s="309"/>
    </row>
    <row r="19428">
      <c r="B19428" s="309"/>
      <c r="C19428" s="309"/>
      <c r="I19428" s="309"/>
      <c r="J19428" s="309"/>
    </row>
    <row r="19429">
      <c r="B19429" s="309"/>
      <c r="C19429" s="309"/>
      <c r="I19429" s="309"/>
      <c r="J19429" s="309"/>
    </row>
    <row r="19430">
      <c r="B19430" s="309"/>
      <c r="C19430" s="309"/>
      <c r="I19430" s="309"/>
      <c r="J19430" s="309"/>
    </row>
    <row r="19431">
      <c r="B19431" s="309"/>
      <c r="C19431" s="309"/>
      <c r="I19431" s="309"/>
      <c r="J19431" s="309"/>
    </row>
    <row r="19432">
      <c r="B19432" s="309"/>
      <c r="C19432" s="309"/>
      <c r="I19432" s="309"/>
      <c r="J19432" s="309"/>
    </row>
    <row r="19433">
      <c r="B19433" s="309"/>
      <c r="C19433" s="309"/>
      <c r="I19433" s="309"/>
      <c r="J19433" s="309"/>
    </row>
    <row r="19434">
      <c r="B19434" s="309"/>
      <c r="C19434" s="309"/>
      <c r="I19434" s="309"/>
      <c r="J19434" s="309"/>
    </row>
    <row r="19435">
      <c r="B19435" s="309"/>
      <c r="C19435" s="309"/>
      <c r="I19435" s="309"/>
      <c r="J19435" s="309"/>
    </row>
    <row r="19436">
      <c r="B19436" s="309"/>
      <c r="C19436" s="309"/>
      <c r="I19436" s="309"/>
      <c r="J19436" s="309"/>
    </row>
    <row r="19437">
      <c r="B19437" s="309"/>
      <c r="C19437" s="309"/>
      <c r="I19437" s="309"/>
      <c r="J19437" s="309"/>
    </row>
    <row r="19438">
      <c r="B19438" s="309"/>
      <c r="C19438" s="309"/>
      <c r="I19438" s="309"/>
      <c r="J19438" s="309"/>
    </row>
    <row r="19439">
      <c r="B19439" s="309"/>
      <c r="C19439" s="309"/>
      <c r="I19439" s="309"/>
      <c r="J19439" s="309"/>
    </row>
    <row r="19440">
      <c r="B19440" s="309"/>
      <c r="C19440" s="309"/>
      <c r="I19440" s="309"/>
      <c r="J19440" s="309"/>
    </row>
    <row r="19441">
      <c r="B19441" s="309"/>
      <c r="C19441" s="309"/>
      <c r="I19441" s="309"/>
      <c r="J19441" s="309"/>
    </row>
    <row r="19442">
      <c r="B19442" s="309"/>
      <c r="C19442" s="309"/>
      <c r="I19442" s="309"/>
      <c r="J19442" s="309"/>
    </row>
    <row r="19443">
      <c r="B19443" s="309"/>
      <c r="C19443" s="309"/>
      <c r="I19443" s="309"/>
      <c r="J19443" s="309"/>
    </row>
    <row r="19444">
      <c r="B19444" s="309"/>
      <c r="C19444" s="309"/>
      <c r="I19444" s="309"/>
      <c r="J19444" s="309"/>
    </row>
    <row r="19445">
      <c r="B19445" s="309"/>
      <c r="C19445" s="309"/>
      <c r="I19445" s="309"/>
      <c r="J19445" s="309"/>
    </row>
    <row r="19446">
      <c r="B19446" s="309"/>
      <c r="C19446" s="309"/>
      <c r="I19446" s="309"/>
      <c r="J19446" s="309"/>
    </row>
    <row r="19447">
      <c r="B19447" s="309"/>
      <c r="C19447" s="309"/>
      <c r="I19447" s="309"/>
      <c r="J19447" s="309"/>
    </row>
    <row r="19448">
      <c r="B19448" s="309"/>
      <c r="C19448" s="309"/>
      <c r="I19448" s="309"/>
      <c r="J19448" s="309"/>
    </row>
    <row r="19449">
      <c r="B19449" s="309"/>
      <c r="C19449" s="309"/>
      <c r="I19449" s="309"/>
      <c r="J19449" s="309"/>
    </row>
    <row r="19450">
      <c r="B19450" s="309"/>
      <c r="C19450" s="309"/>
      <c r="I19450" s="309"/>
      <c r="J19450" s="309"/>
    </row>
    <row r="19451">
      <c r="B19451" s="309"/>
      <c r="C19451" s="309"/>
      <c r="I19451" s="309"/>
      <c r="J19451" s="309"/>
    </row>
    <row r="19452">
      <c r="B19452" s="309"/>
      <c r="C19452" s="309"/>
      <c r="I19452" s="309"/>
      <c r="J19452" s="309"/>
    </row>
    <row r="19453">
      <c r="B19453" s="309"/>
      <c r="C19453" s="309"/>
      <c r="I19453" s="309"/>
      <c r="J19453" s="309"/>
    </row>
    <row r="19454">
      <c r="B19454" s="309"/>
      <c r="C19454" s="309"/>
      <c r="I19454" s="309"/>
      <c r="J19454" s="309"/>
    </row>
    <row r="19455">
      <c r="B19455" s="309"/>
      <c r="C19455" s="309"/>
      <c r="I19455" s="309"/>
      <c r="J19455" s="309"/>
    </row>
    <row r="19456">
      <c r="B19456" s="309"/>
      <c r="C19456" s="309"/>
      <c r="I19456" s="309"/>
      <c r="J19456" s="309"/>
    </row>
    <row r="19457">
      <c r="B19457" s="309"/>
      <c r="C19457" s="309"/>
      <c r="I19457" s="309"/>
      <c r="J19457" s="309"/>
    </row>
    <row r="19458">
      <c r="B19458" s="309"/>
      <c r="C19458" s="309"/>
      <c r="I19458" s="309"/>
      <c r="J19458" s="309"/>
    </row>
    <row r="19459">
      <c r="B19459" s="309"/>
      <c r="C19459" s="309"/>
      <c r="I19459" s="309"/>
      <c r="J19459" s="309"/>
    </row>
    <row r="19460">
      <c r="B19460" s="309"/>
      <c r="C19460" s="309"/>
      <c r="I19460" s="309"/>
      <c r="J19460" s="309"/>
    </row>
    <row r="19461">
      <c r="B19461" s="309"/>
      <c r="C19461" s="309"/>
      <c r="I19461" s="309"/>
      <c r="J19461" s="309"/>
    </row>
    <row r="19462">
      <c r="B19462" s="309"/>
      <c r="C19462" s="309"/>
      <c r="I19462" s="309"/>
      <c r="J19462" s="309"/>
    </row>
    <row r="19463">
      <c r="B19463" s="309"/>
      <c r="C19463" s="309"/>
      <c r="I19463" s="309"/>
      <c r="J19463" s="309"/>
    </row>
    <row r="19464">
      <c r="B19464" s="309"/>
      <c r="C19464" s="309"/>
      <c r="I19464" s="309"/>
      <c r="J19464" s="309"/>
    </row>
    <row r="19465">
      <c r="B19465" s="309"/>
      <c r="C19465" s="309"/>
      <c r="I19465" s="309"/>
      <c r="J19465" s="309"/>
    </row>
    <row r="19466">
      <c r="B19466" s="309"/>
      <c r="C19466" s="309"/>
      <c r="I19466" s="309"/>
      <c r="J19466" s="309"/>
    </row>
    <row r="19467">
      <c r="B19467" s="309"/>
      <c r="C19467" s="309"/>
      <c r="I19467" s="309"/>
      <c r="J19467" s="309"/>
    </row>
    <row r="19468">
      <c r="B19468" s="309"/>
      <c r="C19468" s="309"/>
      <c r="I19468" s="309"/>
      <c r="J19468" s="309"/>
    </row>
    <row r="19469">
      <c r="B19469" s="309"/>
      <c r="C19469" s="309"/>
      <c r="I19469" s="309"/>
      <c r="J19469" s="309"/>
    </row>
    <row r="19470">
      <c r="B19470" s="309"/>
      <c r="C19470" s="309"/>
      <c r="I19470" s="309"/>
      <c r="J19470" s="309"/>
    </row>
    <row r="19471">
      <c r="B19471" s="309"/>
      <c r="C19471" s="309"/>
      <c r="I19471" s="309"/>
      <c r="J19471" s="309"/>
    </row>
    <row r="19472">
      <c r="B19472" s="309"/>
      <c r="C19472" s="309"/>
      <c r="I19472" s="309"/>
      <c r="J19472" s="309"/>
    </row>
    <row r="19473">
      <c r="B19473" s="309"/>
      <c r="C19473" s="309"/>
      <c r="I19473" s="309"/>
      <c r="J19473" s="309"/>
    </row>
    <row r="19474">
      <c r="B19474" s="309"/>
      <c r="C19474" s="309"/>
      <c r="I19474" s="309"/>
      <c r="J19474" s="309"/>
    </row>
    <row r="19475">
      <c r="B19475" s="309"/>
      <c r="C19475" s="309"/>
      <c r="I19475" s="309"/>
      <c r="J19475" s="309"/>
    </row>
    <row r="19476">
      <c r="B19476" s="309"/>
      <c r="C19476" s="309"/>
      <c r="I19476" s="309"/>
      <c r="J19476" s="309"/>
    </row>
    <row r="19477">
      <c r="B19477" s="309"/>
      <c r="C19477" s="309"/>
      <c r="I19477" s="309"/>
      <c r="J19477" s="309"/>
    </row>
    <row r="19478">
      <c r="B19478" s="309"/>
      <c r="C19478" s="309"/>
      <c r="I19478" s="309"/>
      <c r="J19478" s="309"/>
    </row>
    <row r="19479">
      <c r="B19479" s="309"/>
      <c r="C19479" s="309"/>
      <c r="I19479" s="309"/>
      <c r="J19479" s="309"/>
    </row>
    <row r="19480">
      <c r="B19480" s="309"/>
      <c r="C19480" s="309"/>
      <c r="I19480" s="309"/>
      <c r="J19480" s="309"/>
    </row>
    <row r="19481">
      <c r="B19481" s="309"/>
      <c r="C19481" s="309"/>
      <c r="I19481" s="309"/>
      <c r="J19481" s="309"/>
    </row>
    <row r="19482">
      <c r="B19482" s="309"/>
      <c r="C19482" s="309"/>
      <c r="I19482" s="309"/>
      <c r="J19482" s="309"/>
    </row>
    <row r="19483">
      <c r="B19483" s="309"/>
      <c r="C19483" s="309"/>
      <c r="I19483" s="309"/>
      <c r="J19483" s="309"/>
    </row>
    <row r="19484">
      <c r="B19484" s="309"/>
      <c r="C19484" s="309"/>
      <c r="I19484" s="309"/>
      <c r="J19484" s="309"/>
    </row>
    <row r="19485">
      <c r="B19485" s="309"/>
      <c r="C19485" s="309"/>
      <c r="I19485" s="309"/>
      <c r="J19485" s="309"/>
    </row>
    <row r="19486">
      <c r="B19486" s="309"/>
      <c r="C19486" s="309"/>
      <c r="I19486" s="309"/>
      <c r="J19486" s="309"/>
    </row>
    <row r="19487">
      <c r="B19487" s="309"/>
      <c r="C19487" s="309"/>
      <c r="I19487" s="309"/>
      <c r="J19487" s="309"/>
    </row>
    <row r="19488">
      <c r="B19488" s="309"/>
      <c r="C19488" s="309"/>
      <c r="I19488" s="309"/>
      <c r="J19488" s="309"/>
    </row>
    <row r="19489">
      <c r="B19489" s="309"/>
      <c r="C19489" s="309"/>
      <c r="I19489" s="309"/>
      <c r="J19489" s="309"/>
    </row>
    <row r="19490">
      <c r="B19490" s="309"/>
      <c r="C19490" s="309"/>
      <c r="I19490" s="309"/>
      <c r="J19490" s="309"/>
    </row>
    <row r="19491">
      <c r="B19491" s="309"/>
      <c r="C19491" s="309"/>
      <c r="I19491" s="309"/>
      <c r="J19491" s="309"/>
    </row>
    <row r="19492">
      <c r="B19492" s="309"/>
      <c r="C19492" s="309"/>
      <c r="I19492" s="309"/>
      <c r="J19492" s="309"/>
    </row>
    <row r="19493">
      <c r="B19493" s="309"/>
      <c r="C19493" s="309"/>
      <c r="I19493" s="309"/>
      <c r="J19493" s="309"/>
    </row>
    <row r="19494">
      <c r="B19494" s="309"/>
      <c r="C19494" s="309"/>
      <c r="I19494" s="309"/>
      <c r="J19494" s="309"/>
    </row>
    <row r="19495">
      <c r="B19495" s="309"/>
      <c r="C19495" s="309"/>
      <c r="I19495" s="309"/>
      <c r="J19495" s="309"/>
    </row>
    <row r="19496">
      <c r="B19496" s="309"/>
      <c r="C19496" s="309"/>
      <c r="I19496" s="309"/>
      <c r="J19496" s="309"/>
    </row>
    <row r="19497">
      <c r="B19497" s="309"/>
      <c r="C19497" s="309"/>
      <c r="I19497" s="309"/>
      <c r="J19497" s="309"/>
    </row>
    <row r="19498">
      <c r="B19498" s="309"/>
      <c r="C19498" s="309"/>
      <c r="I19498" s="309"/>
      <c r="J19498" s="309"/>
    </row>
    <row r="19499">
      <c r="B19499" s="309"/>
      <c r="C19499" s="309"/>
      <c r="I19499" s="309"/>
      <c r="J19499" s="309"/>
    </row>
    <row r="19500">
      <c r="B19500" s="309"/>
      <c r="C19500" s="309"/>
      <c r="I19500" s="309"/>
      <c r="J19500" s="309"/>
    </row>
    <row r="19501">
      <c r="B19501" s="309"/>
      <c r="C19501" s="309"/>
      <c r="I19501" s="309"/>
      <c r="J19501" s="309"/>
    </row>
    <row r="19502">
      <c r="B19502" s="309"/>
      <c r="C19502" s="309"/>
      <c r="I19502" s="309"/>
      <c r="J19502" s="309"/>
    </row>
    <row r="19503">
      <c r="B19503" s="309"/>
      <c r="C19503" s="309"/>
      <c r="I19503" s="309"/>
      <c r="J19503" s="309"/>
    </row>
    <row r="19504">
      <c r="B19504" s="309"/>
      <c r="C19504" s="309"/>
      <c r="I19504" s="309"/>
      <c r="J19504" s="309"/>
    </row>
    <row r="19505">
      <c r="B19505" s="309"/>
      <c r="C19505" s="309"/>
      <c r="I19505" s="309"/>
      <c r="J19505" s="309"/>
    </row>
    <row r="19506">
      <c r="B19506" s="309"/>
      <c r="C19506" s="309"/>
      <c r="I19506" s="309"/>
      <c r="J19506" s="309"/>
    </row>
    <row r="19507">
      <c r="B19507" s="309"/>
      <c r="C19507" s="309"/>
      <c r="I19507" s="309"/>
      <c r="J19507" s="309"/>
    </row>
    <row r="19508">
      <c r="B19508" s="309"/>
      <c r="C19508" s="309"/>
      <c r="I19508" s="309"/>
      <c r="J19508" s="309"/>
    </row>
    <row r="19509">
      <c r="B19509" s="309"/>
      <c r="C19509" s="309"/>
      <c r="I19509" s="309"/>
      <c r="J19509" s="309"/>
    </row>
    <row r="19510">
      <c r="B19510" s="309"/>
      <c r="C19510" s="309"/>
      <c r="I19510" s="309"/>
      <c r="J19510" s="309"/>
    </row>
    <row r="19511">
      <c r="B19511" s="309"/>
      <c r="C19511" s="309"/>
      <c r="I19511" s="309"/>
      <c r="J19511" s="309"/>
    </row>
    <row r="19512">
      <c r="B19512" s="309"/>
      <c r="C19512" s="309"/>
      <c r="I19512" s="309"/>
      <c r="J19512" s="309"/>
    </row>
    <row r="19513">
      <c r="B19513" s="309"/>
      <c r="C19513" s="309"/>
      <c r="I19513" s="309"/>
      <c r="J19513" s="309"/>
    </row>
    <row r="19514">
      <c r="B19514" s="309"/>
      <c r="C19514" s="309"/>
      <c r="I19514" s="309"/>
      <c r="J19514" s="309"/>
    </row>
    <row r="19515">
      <c r="B19515" s="309"/>
      <c r="C19515" s="309"/>
      <c r="I19515" s="309"/>
      <c r="J19515" s="309"/>
    </row>
    <row r="19516">
      <c r="B19516" s="309"/>
      <c r="C19516" s="309"/>
      <c r="I19516" s="309"/>
      <c r="J19516" s="309"/>
    </row>
    <row r="19517">
      <c r="B19517" s="309"/>
      <c r="C19517" s="309"/>
      <c r="I19517" s="309"/>
      <c r="J19517" s="309"/>
    </row>
    <row r="19518">
      <c r="B19518" s="309"/>
      <c r="C19518" s="309"/>
      <c r="I19518" s="309"/>
      <c r="J19518" s="309"/>
    </row>
    <row r="19519">
      <c r="B19519" s="309"/>
      <c r="C19519" s="309"/>
      <c r="I19519" s="309"/>
      <c r="J19519" s="309"/>
    </row>
    <row r="19520">
      <c r="B19520" s="309"/>
      <c r="C19520" s="309"/>
      <c r="I19520" s="309"/>
      <c r="J19520" s="309"/>
    </row>
    <row r="19521">
      <c r="B19521" s="309"/>
      <c r="C19521" s="309"/>
      <c r="I19521" s="309"/>
      <c r="J19521" s="309"/>
    </row>
    <row r="19522">
      <c r="B19522" s="309"/>
      <c r="C19522" s="309"/>
      <c r="I19522" s="309"/>
      <c r="J19522" s="309"/>
    </row>
    <row r="19523">
      <c r="B19523" s="309"/>
      <c r="C19523" s="309"/>
      <c r="I19523" s="309"/>
      <c r="J19523" s="309"/>
    </row>
    <row r="19524">
      <c r="B19524" s="309"/>
      <c r="C19524" s="309"/>
      <c r="I19524" s="309"/>
      <c r="J19524" s="309"/>
    </row>
    <row r="19525">
      <c r="B19525" s="309"/>
      <c r="C19525" s="309"/>
      <c r="I19525" s="309"/>
      <c r="J19525" s="309"/>
    </row>
    <row r="19526">
      <c r="B19526" s="309"/>
      <c r="C19526" s="309"/>
      <c r="I19526" s="309"/>
      <c r="J19526" s="309"/>
    </row>
    <row r="19527">
      <c r="B19527" s="309"/>
      <c r="C19527" s="309"/>
      <c r="I19527" s="309"/>
      <c r="J19527" s="309"/>
    </row>
    <row r="19528">
      <c r="B19528" s="309"/>
      <c r="C19528" s="309"/>
      <c r="I19528" s="309"/>
      <c r="J19528" s="309"/>
    </row>
    <row r="19529">
      <c r="B19529" s="309"/>
      <c r="C19529" s="309"/>
      <c r="I19529" s="309"/>
      <c r="J19529" s="309"/>
    </row>
    <row r="19530">
      <c r="B19530" s="309"/>
      <c r="C19530" s="309"/>
      <c r="I19530" s="309"/>
      <c r="J19530" s="309"/>
    </row>
    <row r="19531">
      <c r="B19531" s="309"/>
      <c r="C19531" s="309"/>
      <c r="I19531" s="309"/>
      <c r="J19531" s="309"/>
    </row>
    <row r="19532">
      <c r="B19532" s="309"/>
      <c r="C19532" s="309"/>
      <c r="I19532" s="309"/>
      <c r="J19532" s="309"/>
    </row>
    <row r="19533">
      <c r="B19533" s="309"/>
      <c r="C19533" s="309"/>
      <c r="I19533" s="309"/>
      <c r="J19533" s="309"/>
    </row>
    <row r="19534">
      <c r="B19534" s="309"/>
      <c r="C19534" s="309"/>
      <c r="I19534" s="309"/>
      <c r="J19534" s="309"/>
    </row>
    <row r="19535">
      <c r="B19535" s="309"/>
      <c r="C19535" s="309"/>
      <c r="I19535" s="309"/>
      <c r="J19535" s="309"/>
    </row>
    <row r="19536">
      <c r="B19536" s="309"/>
      <c r="C19536" s="309"/>
      <c r="I19536" s="309"/>
      <c r="J19536" s="309"/>
    </row>
    <row r="19537">
      <c r="B19537" s="309"/>
      <c r="C19537" s="309"/>
      <c r="I19537" s="309"/>
      <c r="J19537" s="309"/>
    </row>
    <row r="19538">
      <c r="B19538" s="309"/>
      <c r="C19538" s="309"/>
      <c r="I19538" s="309"/>
      <c r="J19538" s="309"/>
    </row>
    <row r="19539">
      <c r="B19539" s="309"/>
      <c r="C19539" s="309"/>
      <c r="I19539" s="309"/>
      <c r="J19539" s="309"/>
    </row>
    <row r="19540">
      <c r="B19540" s="309"/>
      <c r="C19540" s="309"/>
      <c r="I19540" s="309"/>
      <c r="J19540" s="309"/>
    </row>
    <row r="19541">
      <c r="B19541" s="309"/>
      <c r="C19541" s="309"/>
      <c r="I19541" s="309"/>
      <c r="J19541" s="309"/>
    </row>
    <row r="19542">
      <c r="B19542" s="309"/>
      <c r="C19542" s="309"/>
      <c r="I19542" s="309"/>
      <c r="J19542" s="309"/>
    </row>
    <row r="19543">
      <c r="B19543" s="309"/>
      <c r="C19543" s="309"/>
      <c r="I19543" s="309"/>
      <c r="J19543" s="309"/>
    </row>
    <row r="19544">
      <c r="B19544" s="309"/>
      <c r="C19544" s="309"/>
      <c r="I19544" s="309"/>
      <c r="J19544" s="309"/>
    </row>
    <row r="19545">
      <c r="B19545" s="309"/>
      <c r="C19545" s="309"/>
      <c r="I19545" s="309"/>
      <c r="J19545" s="309"/>
    </row>
    <row r="19546">
      <c r="B19546" s="309"/>
      <c r="C19546" s="309"/>
      <c r="I19546" s="309"/>
      <c r="J19546" s="309"/>
    </row>
    <row r="19547">
      <c r="B19547" s="309"/>
      <c r="C19547" s="309"/>
      <c r="I19547" s="309"/>
      <c r="J19547" s="309"/>
    </row>
    <row r="19548">
      <c r="B19548" s="309"/>
      <c r="C19548" s="309"/>
      <c r="I19548" s="309"/>
      <c r="J19548" s="309"/>
    </row>
    <row r="19549">
      <c r="B19549" s="309"/>
      <c r="C19549" s="309"/>
      <c r="I19549" s="309"/>
      <c r="J19549" s="309"/>
    </row>
    <row r="19550">
      <c r="B19550" s="309"/>
      <c r="C19550" s="309"/>
      <c r="I19550" s="309"/>
      <c r="J19550" s="309"/>
    </row>
    <row r="19551">
      <c r="B19551" s="309"/>
      <c r="C19551" s="309"/>
      <c r="I19551" s="309"/>
      <c r="J19551" s="309"/>
    </row>
    <row r="19552">
      <c r="B19552" s="309"/>
      <c r="C19552" s="309"/>
      <c r="I19552" s="309"/>
      <c r="J19552" s="309"/>
    </row>
    <row r="19553">
      <c r="B19553" s="309"/>
      <c r="C19553" s="309"/>
      <c r="I19553" s="309"/>
      <c r="J19553" s="309"/>
    </row>
    <row r="19554">
      <c r="B19554" s="309"/>
      <c r="C19554" s="309"/>
      <c r="I19554" s="309"/>
      <c r="J19554" s="309"/>
    </row>
    <row r="19555">
      <c r="B19555" s="309"/>
      <c r="C19555" s="309"/>
      <c r="I19555" s="309"/>
      <c r="J19555" s="309"/>
    </row>
    <row r="19556">
      <c r="B19556" s="309"/>
      <c r="C19556" s="309"/>
      <c r="I19556" s="309"/>
      <c r="J19556" s="309"/>
    </row>
    <row r="19557">
      <c r="B19557" s="309"/>
      <c r="C19557" s="309"/>
      <c r="I19557" s="309"/>
      <c r="J19557" s="309"/>
    </row>
    <row r="19558">
      <c r="B19558" s="309"/>
      <c r="C19558" s="309"/>
      <c r="I19558" s="309"/>
      <c r="J19558" s="309"/>
    </row>
    <row r="19559">
      <c r="B19559" s="309"/>
      <c r="C19559" s="309"/>
      <c r="I19559" s="309"/>
      <c r="J19559" s="309"/>
    </row>
    <row r="19560">
      <c r="B19560" s="309"/>
      <c r="C19560" s="309"/>
      <c r="I19560" s="309"/>
      <c r="J19560" s="309"/>
    </row>
    <row r="19561">
      <c r="B19561" s="309"/>
      <c r="C19561" s="309"/>
      <c r="I19561" s="309"/>
      <c r="J19561" s="309"/>
    </row>
    <row r="19562">
      <c r="B19562" s="309"/>
      <c r="C19562" s="309"/>
      <c r="I19562" s="309"/>
      <c r="J19562" s="309"/>
    </row>
    <row r="19563">
      <c r="B19563" s="309"/>
      <c r="C19563" s="309"/>
      <c r="I19563" s="309"/>
      <c r="J19563" s="309"/>
    </row>
    <row r="19564">
      <c r="B19564" s="309"/>
      <c r="C19564" s="309"/>
      <c r="I19564" s="309"/>
      <c r="J19564" s="309"/>
    </row>
    <row r="19565">
      <c r="B19565" s="309"/>
      <c r="C19565" s="309"/>
      <c r="I19565" s="309"/>
      <c r="J19565" s="309"/>
    </row>
    <row r="19566">
      <c r="B19566" s="309"/>
      <c r="C19566" s="309"/>
      <c r="I19566" s="309"/>
      <c r="J19566" s="309"/>
    </row>
    <row r="19567">
      <c r="B19567" s="309"/>
      <c r="C19567" s="309"/>
      <c r="I19567" s="309"/>
      <c r="J19567" s="309"/>
    </row>
    <row r="19568">
      <c r="B19568" s="309"/>
      <c r="C19568" s="309"/>
      <c r="I19568" s="309"/>
      <c r="J19568" s="309"/>
    </row>
    <row r="19569">
      <c r="B19569" s="309"/>
      <c r="C19569" s="309"/>
      <c r="I19569" s="309"/>
      <c r="J19569" s="309"/>
    </row>
    <row r="19570">
      <c r="B19570" s="309"/>
      <c r="C19570" s="309"/>
      <c r="I19570" s="309"/>
      <c r="J19570" s="309"/>
    </row>
    <row r="19571">
      <c r="B19571" s="309"/>
      <c r="C19571" s="309"/>
      <c r="I19571" s="309"/>
      <c r="J19571" s="309"/>
    </row>
    <row r="19572">
      <c r="B19572" s="309"/>
      <c r="C19572" s="309"/>
      <c r="I19572" s="309"/>
      <c r="J19572" s="309"/>
    </row>
    <row r="19573">
      <c r="B19573" s="309"/>
      <c r="C19573" s="309"/>
      <c r="I19573" s="309"/>
      <c r="J19573" s="309"/>
    </row>
    <row r="19574">
      <c r="B19574" s="309"/>
      <c r="C19574" s="309"/>
      <c r="I19574" s="309"/>
      <c r="J19574" s="309"/>
    </row>
    <row r="19575">
      <c r="B19575" s="309"/>
      <c r="C19575" s="309"/>
      <c r="I19575" s="309"/>
      <c r="J19575" s="309"/>
    </row>
    <row r="19576">
      <c r="B19576" s="309"/>
      <c r="C19576" s="309"/>
      <c r="I19576" s="309"/>
      <c r="J19576" s="309"/>
    </row>
    <row r="19577">
      <c r="B19577" s="309"/>
      <c r="C19577" s="309"/>
      <c r="I19577" s="309"/>
      <c r="J19577" s="309"/>
    </row>
    <row r="19578">
      <c r="B19578" s="309"/>
      <c r="C19578" s="309"/>
      <c r="I19578" s="309"/>
      <c r="J19578" s="309"/>
    </row>
    <row r="19579">
      <c r="B19579" s="309"/>
      <c r="C19579" s="309"/>
      <c r="I19579" s="309"/>
      <c r="J19579" s="309"/>
    </row>
    <row r="19580">
      <c r="B19580" s="309"/>
      <c r="C19580" s="309"/>
      <c r="I19580" s="309"/>
      <c r="J19580" s="309"/>
    </row>
    <row r="19581">
      <c r="B19581" s="309"/>
      <c r="C19581" s="309"/>
      <c r="I19581" s="309"/>
      <c r="J19581" s="309"/>
    </row>
    <row r="19582">
      <c r="B19582" s="309"/>
      <c r="C19582" s="309"/>
      <c r="I19582" s="309"/>
      <c r="J19582" s="309"/>
    </row>
    <row r="19583">
      <c r="B19583" s="309"/>
      <c r="C19583" s="309"/>
      <c r="I19583" s="309"/>
      <c r="J19583" s="309"/>
    </row>
    <row r="19584">
      <c r="B19584" s="309"/>
      <c r="C19584" s="309"/>
      <c r="I19584" s="309"/>
      <c r="J19584" s="309"/>
    </row>
    <row r="19585">
      <c r="B19585" s="309"/>
      <c r="C19585" s="309"/>
      <c r="I19585" s="309"/>
      <c r="J19585" s="309"/>
    </row>
    <row r="19586">
      <c r="B19586" s="309"/>
      <c r="C19586" s="309"/>
      <c r="I19586" s="309"/>
      <c r="J19586" s="309"/>
    </row>
    <row r="19587">
      <c r="B19587" s="309"/>
      <c r="C19587" s="309"/>
      <c r="I19587" s="309"/>
      <c r="J19587" s="309"/>
    </row>
    <row r="19588">
      <c r="B19588" s="309"/>
      <c r="C19588" s="309"/>
      <c r="I19588" s="309"/>
      <c r="J19588" s="309"/>
    </row>
    <row r="19589">
      <c r="B19589" s="309"/>
      <c r="C19589" s="309"/>
      <c r="I19589" s="309"/>
      <c r="J19589" s="309"/>
    </row>
    <row r="19590">
      <c r="B19590" s="309"/>
      <c r="C19590" s="309"/>
      <c r="I19590" s="309"/>
      <c r="J19590" s="309"/>
    </row>
    <row r="19591">
      <c r="B19591" s="309"/>
      <c r="C19591" s="309"/>
      <c r="I19591" s="309"/>
      <c r="J19591" s="309"/>
    </row>
    <row r="19592">
      <c r="B19592" s="309"/>
      <c r="C19592" s="309"/>
      <c r="I19592" s="309"/>
      <c r="J19592" s="309"/>
    </row>
    <row r="19593">
      <c r="B19593" s="309"/>
      <c r="C19593" s="309"/>
      <c r="I19593" s="309"/>
      <c r="J19593" s="309"/>
    </row>
    <row r="19594">
      <c r="B19594" s="309"/>
      <c r="C19594" s="309"/>
      <c r="I19594" s="309"/>
      <c r="J19594" s="309"/>
    </row>
    <row r="19595">
      <c r="B19595" s="309"/>
      <c r="C19595" s="309"/>
      <c r="I19595" s="309"/>
      <c r="J19595" s="309"/>
    </row>
    <row r="19596">
      <c r="B19596" s="309"/>
      <c r="C19596" s="309"/>
      <c r="I19596" s="309"/>
      <c r="J19596" s="309"/>
    </row>
    <row r="19597">
      <c r="B19597" s="309"/>
      <c r="C19597" s="309"/>
      <c r="I19597" s="309"/>
      <c r="J19597" s="309"/>
    </row>
    <row r="19598">
      <c r="B19598" s="309"/>
      <c r="C19598" s="309"/>
      <c r="I19598" s="309"/>
      <c r="J19598" s="309"/>
    </row>
    <row r="19599">
      <c r="B19599" s="309"/>
      <c r="C19599" s="309"/>
      <c r="I19599" s="309"/>
      <c r="J19599" s="309"/>
    </row>
    <row r="19600">
      <c r="B19600" s="309"/>
      <c r="C19600" s="309"/>
      <c r="I19600" s="309"/>
      <c r="J19600" s="309"/>
    </row>
    <row r="19601">
      <c r="B19601" s="309"/>
      <c r="C19601" s="309"/>
      <c r="I19601" s="309"/>
      <c r="J19601" s="309"/>
    </row>
    <row r="19602">
      <c r="B19602" s="309"/>
      <c r="C19602" s="309"/>
      <c r="I19602" s="309"/>
      <c r="J19602" s="309"/>
    </row>
    <row r="19603">
      <c r="B19603" s="309"/>
      <c r="C19603" s="309"/>
      <c r="I19603" s="309"/>
      <c r="J19603" s="309"/>
    </row>
    <row r="19604">
      <c r="B19604" s="309"/>
      <c r="C19604" s="309"/>
      <c r="I19604" s="309"/>
      <c r="J19604" s="309"/>
    </row>
    <row r="19605">
      <c r="B19605" s="309"/>
      <c r="C19605" s="309"/>
      <c r="I19605" s="309"/>
      <c r="J19605" s="309"/>
    </row>
    <row r="19606">
      <c r="B19606" s="309"/>
      <c r="C19606" s="309"/>
      <c r="I19606" s="309"/>
      <c r="J19606" s="309"/>
    </row>
    <row r="19607">
      <c r="B19607" s="309"/>
      <c r="C19607" s="309"/>
      <c r="I19607" s="309"/>
      <c r="J19607" s="309"/>
    </row>
    <row r="19608">
      <c r="B19608" s="309"/>
      <c r="C19608" s="309"/>
      <c r="I19608" s="309"/>
      <c r="J19608" s="309"/>
    </row>
    <row r="19609">
      <c r="B19609" s="309"/>
      <c r="C19609" s="309"/>
      <c r="I19609" s="309"/>
      <c r="J19609" s="309"/>
    </row>
    <row r="19610">
      <c r="B19610" s="309"/>
      <c r="C19610" s="309"/>
      <c r="I19610" s="309"/>
      <c r="J19610" s="309"/>
    </row>
    <row r="19611">
      <c r="B19611" s="309"/>
      <c r="C19611" s="309"/>
      <c r="I19611" s="309"/>
      <c r="J19611" s="309"/>
    </row>
    <row r="19612">
      <c r="B19612" s="309"/>
      <c r="C19612" s="309"/>
      <c r="I19612" s="309"/>
      <c r="J19612" s="309"/>
    </row>
    <row r="19613">
      <c r="B19613" s="309"/>
      <c r="C19613" s="309"/>
      <c r="I19613" s="309"/>
      <c r="J19613" s="309"/>
    </row>
    <row r="19614">
      <c r="B19614" s="309"/>
      <c r="C19614" s="309"/>
      <c r="I19614" s="309"/>
      <c r="J19614" s="309"/>
    </row>
    <row r="19615">
      <c r="B19615" s="309"/>
      <c r="C19615" s="309"/>
      <c r="I19615" s="309"/>
      <c r="J19615" s="309"/>
    </row>
    <row r="19616">
      <c r="B19616" s="309"/>
      <c r="C19616" s="309"/>
      <c r="I19616" s="309"/>
      <c r="J19616" s="309"/>
    </row>
    <row r="19617">
      <c r="B19617" s="309"/>
      <c r="C19617" s="309"/>
      <c r="I19617" s="309"/>
      <c r="J19617" s="309"/>
    </row>
    <row r="19618">
      <c r="B19618" s="309"/>
      <c r="C19618" s="309"/>
      <c r="I19618" s="309"/>
      <c r="J19618" s="309"/>
    </row>
    <row r="19619">
      <c r="B19619" s="309"/>
      <c r="C19619" s="309"/>
      <c r="I19619" s="309"/>
      <c r="J19619" s="309"/>
    </row>
    <row r="19620">
      <c r="B19620" s="309"/>
      <c r="C19620" s="309"/>
      <c r="I19620" s="309"/>
      <c r="J19620" s="309"/>
    </row>
    <row r="19621">
      <c r="B19621" s="309"/>
      <c r="C19621" s="309"/>
      <c r="I19621" s="309"/>
      <c r="J19621" s="309"/>
    </row>
    <row r="19622">
      <c r="B19622" s="309"/>
      <c r="C19622" s="309"/>
      <c r="I19622" s="309"/>
      <c r="J19622" s="309"/>
    </row>
    <row r="19623">
      <c r="B19623" s="309"/>
      <c r="C19623" s="309"/>
      <c r="I19623" s="309"/>
      <c r="J19623" s="309"/>
    </row>
    <row r="19624">
      <c r="B19624" s="309"/>
      <c r="C19624" s="309"/>
      <c r="I19624" s="309"/>
      <c r="J19624" s="309"/>
    </row>
    <row r="19625">
      <c r="B19625" s="309"/>
      <c r="C19625" s="309"/>
      <c r="I19625" s="309"/>
      <c r="J19625" s="309"/>
    </row>
    <row r="19626">
      <c r="B19626" s="309"/>
      <c r="C19626" s="309"/>
      <c r="I19626" s="309"/>
      <c r="J19626" s="309"/>
    </row>
    <row r="19627">
      <c r="B19627" s="309"/>
      <c r="C19627" s="309"/>
      <c r="I19627" s="309"/>
      <c r="J19627" s="309"/>
    </row>
    <row r="19628">
      <c r="B19628" s="309"/>
      <c r="C19628" s="309"/>
      <c r="I19628" s="309"/>
      <c r="J19628" s="309"/>
    </row>
    <row r="19629">
      <c r="B19629" s="309"/>
      <c r="C19629" s="309"/>
      <c r="I19629" s="309"/>
      <c r="J19629" s="309"/>
    </row>
    <row r="19630">
      <c r="B19630" s="309"/>
      <c r="C19630" s="309"/>
      <c r="I19630" s="309"/>
      <c r="J19630" s="309"/>
    </row>
    <row r="19631">
      <c r="B19631" s="309"/>
      <c r="C19631" s="309"/>
      <c r="I19631" s="309"/>
      <c r="J19631" s="309"/>
    </row>
    <row r="19632">
      <c r="B19632" s="309"/>
      <c r="C19632" s="309"/>
      <c r="I19632" s="309"/>
      <c r="J19632" s="309"/>
    </row>
    <row r="19633">
      <c r="B19633" s="309"/>
      <c r="C19633" s="309"/>
      <c r="I19633" s="309"/>
      <c r="J19633" s="309"/>
    </row>
    <row r="19634">
      <c r="B19634" s="309"/>
      <c r="C19634" s="309"/>
      <c r="I19634" s="309"/>
      <c r="J19634" s="309"/>
    </row>
    <row r="19635">
      <c r="B19635" s="309"/>
      <c r="C19635" s="309"/>
      <c r="I19635" s="309"/>
      <c r="J19635" s="309"/>
    </row>
    <row r="19636">
      <c r="B19636" s="309"/>
      <c r="C19636" s="309"/>
      <c r="I19636" s="309"/>
      <c r="J19636" s="309"/>
    </row>
    <row r="19637">
      <c r="B19637" s="309"/>
      <c r="C19637" s="309"/>
      <c r="I19637" s="309"/>
      <c r="J19637" s="309"/>
    </row>
    <row r="19638">
      <c r="B19638" s="309"/>
      <c r="C19638" s="309"/>
      <c r="I19638" s="309"/>
      <c r="J19638" s="309"/>
    </row>
    <row r="19639">
      <c r="B19639" s="309"/>
      <c r="C19639" s="309"/>
      <c r="I19639" s="309"/>
      <c r="J19639" s="309"/>
    </row>
    <row r="19640">
      <c r="B19640" s="309"/>
      <c r="C19640" s="309"/>
      <c r="I19640" s="309"/>
      <c r="J19640" s="309"/>
    </row>
    <row r="19641">
      <c r="B19641" s="309"/>
      <c r="C19641" s="309"/>
      <c r="I19641" s="309"/>
      <c r="J19641" s="309"/>
    </row>
    <row r="19642">
      <c r="B19642" s="309"/>
      <c r="C19642" s="309"/>
      <c r="I19642" s="309"/>
      <c r="J19642" s="309"/>
    </row>
    <row r="19643">
      <c r="B19643" s="309"/>
      <c r="C19643" s="309"/>
      <c r="I19643" s="309"/>
      <c r="J19643" s="309"/>
    </row>
    <row r="19644">
      <c r="B19644" s="309"/>
      <c r="C19644" s="309"/>
      <c r="I19644" s="309"/>
      <c r="J19644" s="309"/>
    </row>
    <row r="19645">
      <c r="B19645" s="309"/>
      <c r="C19645" s="309"/>
      <c r="I19645" s="309"/>
      <c r="J19645" s="309"/>
    </row>
    <row r="19646">
      <c r="B19646" s="309"/>
      <c r="C19646" s="309"/>
      <c r="I19646" s="309"/>
      <c r="J19646" s="309"/>
    </row>
    <row r="19647">
      <c r="B19647" s="309"/>
      <c r="C19647" s="309"/>
      <c r="I19647" s="309"/>
      <c r="J19647" s="309"/>
    </row>
    <row r="19648">
      <c r="B19648" s="309"/>
      <c r="C19648" s="309"/>
      <c r="I19648" s="309"/>
      <c r="J19648" s="309"/>
    </row>
    <row r="19649">
      <c r="B19649" s="309"/>
      <c r="C19649" s="309"/>
      <c r="I19649" s="309"/>
      <c r="J19649" s="309"/>
    </row>
    <row r="19650">
      <c r="B19650" s="309"/>
      <c r="C19650" s="309"/>
      <c r="I19650" s="309"/>
      <c r="J19650" s="309"/>
    </row>
    <row r="19651">
      <c r="B19651" s="309"/>
      <c r="C19651" s="309"/>
      <c r="I19651" s="309"/>
      <c r="J19651" s="309"/>
    </row>
    <row r="19652">
      <c r="B19652" s="309"/>
      <c r="C19652" s="309"/>
      <c r="I19652" s="309"/>
      <c r="J19652" s="309"/>
    </row>
    <row r="19653">
      <c r="B19653" s="309"/>
      <c r="C19653" s="309"/>
      <c r="I19653" s="309"/>
      <c r="J19653" s="309"/>
    </row>
    <row r="19654">
      <c r="B19654" s="309"/>
      <c r="C19654" s="309"/>
      <c r="I19654" s="309"/>
      <c r="J19654" s="309"/>
    </row>
    <row r="19655">
      <c r="B19655" s="309"/>
      <c r="C19655" s="309"/>
      <c r="I19655" s="309"/>
      <c r="J19655" s="309"/>
    </row>
    <row r="19656">
      <c r="B19656" s="309"/>
      <c r="C19656" s="309"/>
      <c r="I19656" s="309"/>
      <c r="J19656" s="309"/>
    </row>
    <row r="19657">
      <c r="B19657" s="309"/>
      <c r="C19657" s="309"/>
      <c r="I19657" s="309"/>
      <c r="J19657" s="309"/>
    </row>
    <row r="19658">
      <c r="B19658" s="309"/>
      <c r="C19658" s="309"/>
      <c r="I19658" s="309"/>
      <c r="J19658" s="309"/>
    </row>
    <row r="19659">
      <c r="B19659" s="309"/>
      <c r="C19659" s="309"/>
      <c r="I19659" s="309"/>
      <c r="J19659" s="309"/>
    </row>
    <row r="19660">
      <c r="B19660" s="309"/>
      <c r="C19660" s="309"/>
      <c r="I19660" s="309"/>
      <c r="J19660" s="309"/>
    </row>
    <row r="19661">
      <c r="B19661" s="309"/>
      <c r="C19661" s="309"/>
      <c r="I19661" s="309"/>
      <c r="J19661" s="309"/>
    </row>
    <row r="19662">
      <c r="B19662" s="309"/>
      <c r="C19662" s="309"/>
      <c r="I19662" s="309"/>
      <c r="J19662" s="309"/>
    </row>
    <row r="19663">
      <c r="B19663" s="309"/>
      <c r="C19663" s="309"/>
      <c r="I19663" s="309"/>
      <c r="J19663" s="309"/>
    </row>
    <row r="19664">
      <c r="B19664" s="309"/>
      <c r="C19664" s="309"/>
      <c r="I19664" s="309"/>
      <c r="J19664" s="309"/>
    </row>
    <row r="19665">
      <c r="B19665" s="309"/>
      <c r="C19665" s="309"/>
      <c r="I19665" s="309"/>
      <c r="J19665" s="309"/>
    </row>
    <row r="19666">
      <c r="B19666" s="309"/>
      <c r="C19666" s="309"/>
      <c r="I19666" s="309"/>
      <c r="J19666" s="309"/>
    </row>
    <row r="19667">
      <c r="B19667" s="309"/>
      <c r="C19667" s="309"/>
      <c r="I19667" s="309"/>
      <c r="J19667" s="309"/>
    </row>
    <row r="19668">
      <c r="B19668" s="309"/>
      <c r="C19668" s="309"/>
      <c r="I19668" s="309"/>
      <c r="J19668" s="309"/>
    </row>
    <row r="19669">
      <c r="B19669" s="309"/>
      <c r="C19669" s="309"/>
      <c r="I19669" s="309"/>
      <c r="J19669" s="309"/>
    </row>
    <row r="19670">
      <c r="B19670" s="309"/>
      <c r="C19670" s="309"/>
      <c r="I19670" s="309"/>
      <c r="J19670" s="309"/>
    </row>
    <row r="19671">
      <c r="B19671" s="309"/>
      <c r="C19671" s="309"/>
      <c r="I19671" s="309"/>
      <c r="J19671" s="309"/>
    </row>
    <row r="19672">
      <c r="B19672" s="309"/>
      <c r="C19672" s="309"/>
      <c r="I19672" s="309"/>
      <c r="J19672" s="309"/>
    </row>
    <row r="19673">
      <c r="B19673" s="309"/>
      <c r="C19673" s="309"/>
      <c r="I19673" s="309"/>
      <c r="J19673" s="309"/>
    </row>
    <row r="19674">
      <c r="B19674" s="309"/>
      <c r="C19674" s="309"/>
      <c r="I19674" s="309"/>
      <c r="J19674" s="309"/>
    </row>
    <row r="19675">
      <c r="B19675" s="309"/>
      <c r="C19675" s="309"/>
      <c r="I19675" s="309"/>
      <c r="J19675" s="309"/>
    </row>
    <row r="19676">
      <c r="B19676" s="309"/>
      <c r="C19676" s="309"/>
      <c r="I19676" s="309"/>
      <c r="J19676" s="309"/>
    </row>
    <row r="19677">
      <c r="B19677" s="309"/>
      <c r="C19677" s="309"/>
      <c r="I19677" s="309"/>
      <c r="J19677" s="309"/>
    </row>
    <row r="19678">
      <c r="B19678" s="309"/>
      <c r="C19678" s="309"/>
      <c r="I19678" s="309"/>
      <c r="J19678" s="309"/>
    </row>
    <row r="19679">
      <c r="B19679" s="309"/>
      <c r="C19679" s="309"/>
      <c r="I19679" s="309"/>
      <c r="J19679" s="309"/>
    </row>
    <row r="19680">
      <c r="B19680" s="309"/>
      <c r="C19680" s="309"/>
      <c r="I19680" s="309"/>
      <c r="J19680" s="309"/>
    </row>
    <row r="19681">
      <c r="B19681" s="309"/>
      <c r="C19681" s="309"/>
      <c r="I19681" s="309"/>
      <c r="J19681" s="309"/>
    </row>
    <row r="19682">
      <c r="B19682" s="309"/>
      <c r="C19682" s="309"/>
      <c r="I19682" s="309"/>
      <c r="J19682" s="309"/>
    </row>
    <row r="19683">
      <c r="B19683" s="309"/>
      <c r="C19683" s="309"/>
      <c r="I19683" s="309"/>
      <c r="J19683" s="309"/>
    </row>
    <row r="19684">
      <c r="B19684" s="309"/>
      <c r="C19684" s="309"/>
      <c r="I19684" s="309"/>
      <c r="J19684" s="309"/>
    </row>
    <row r="19685">
      <c r="B19685" s="309"/>
      <c r="C19685" s="309"/>
      <c r="I19685" s="309"/>
      <c r="J19685" s="309"/>
    </row>
    <row r="19686">
      <c r="B19686" s="309"/>
      <c r="C19686" s="309"/>
      <c r="I19686" s="309"/>
      <c r="J19686" s="309"/>
    </row>
    <row r="19687">
      <c r="B19687" s="309"/>
      <c r="C19687" s="309"/>
      <c r="I19687" s="309"/>
      <c r="J19687" s="309"/>
    </row>
    <row r="19688">
      <c r="B19688" s="309"/>
      <c r="C19688" s="309"/>
      <c r="I19688" s="309"/>
      <c r="J19688" s="309"/>
    </row>
    <row r="19689">
      <c r="B19689" s="309"/>
      <c r="C19689" s="309"/>
      <c r="I19689" s="309"/>
      <c r="J19689" s="309"/>
    </row>
    <row r="19690">
      <c r="B19690" s="309"/>
      <c r="C19690" s="309"/>
      <c r="I19690" s="309"/>
      <c r="J19690" s="309"/>
    </row>
    <row r="19691">
      <c r="B19691" s="309"/>
      <c r="C19691" s="309"/>
      <c r="I19691" s="309"/>
      <c r="J19691" s="309"/>
    </row>
    <row r="19692">
      <c r="B19692" s="309"/>
      <c r="C19692" s="309"/>
      <c r="I19692" s="309"/>
      <c r="J19692" s="309"/>
    </row>
    <row r="19693">
      <c r="B19693" s="309"/>
      <c r="C19693" s="309"/>
      <c r="I19693" s="309"/>
      <c r="J19693" s="309"/>
    </row>
    <row r="19694">
      <c r="B19694" s="309"/>
      <c r="C19694" s="309"/>
      <c r="I19694" s="309"/>
      <c r="J19694" s="309"/>
    </row>
    <row r="19695">
      <c r="B19695" s="309"/>
      <c r="C19695" s="309"/>
      <c r="I19695" s="309"/>
      <c r="J19695" s="309"/>
    </row>
    <row r="19696">
      <c r="B19696" s="309"/>
      <c r="C19696" s="309"/>
      <c r="I19696" s="309"/>
      <c r="J19696" s="309"/>
    </row>
    <row r="19697">
      <c r="B19697" s="309"/>
      <c r="C19697" s="309"/>
      <c r="I19697" s="309"/>
      <c r="J19697" s="309"/>
    </row>
    <row r="19698">
      <c r="B19698" s="309"/>
      <c r="C19698" s="309"/>
      <c r="I19698" s="309"/>
      <c r="J19698" s="309"/>
    </row>
    <row r="19699">
      <c r="B19699" s="309"/>
      <c r="C19699" s="309"/>
      <c r="I19699" s="309"/>
      <c r="J19699" s="309"/>
    </row>
    <row r="19700">
      <c r="B19700" s="309"/>
      <c r="C19700" s="309"/>
      <c r="I19700" s="309"/>
      <c r="J19700" s="309"/>
    </row>
    <row r="19701">
      <c r="B19701" s="309"/>
      <c r="C19701" s="309"/>
      <c r="I19701" s="309"/>
      <c r="J19701" s="309"/>
    </row>
    <row r="19702">
      <c r="B19702" s="309"/>
      <c r="C19702" s="309"/>
      <c r="I19702" s="309"/>
      <c r="J19702" s="309"/>
    </row>
    <row r="19703">
      <c r="B19703" s="309"/>
      <c r="C19703" s="309"/>
      <c r="I19703" s="309"/>
      <c r="J19703" s="309"/>
    </row>
    <row r="19704">
      <c r="B19704" s="309"/>
      <c r="C19704" s="309"/>
      <c r="I19704" s="309"/>
      <c r="J19704" s="309"/>
    </row>
    <row r="19705">
      <c r="B19705" s="309"/>
      <c r="C19705" s="309"/>
      <c r="I19705" s="309"/>
      <c r="J19705" s="309"/>
    </row>
    <row r="19706">
      <c r="B19706" s="309"/>
      <c r="C19706" s="309"/>
      <c r="I19706" s="309"/>
      <c r="J19706" s="309"/>
    </row>
    <row r="19707">
      <c r="B19707" s="309"/>
      <c r="C19707" s="309"/>
      <c r="I19707" s="309"/>
      <c r="J19707" s="309"/>
    </row>
    <row r="19708">
      <c r="B19708" s="309"/>
      <c r="C19708" s="309"/>
      <c r="I19708" s="309"/>
      <c r="J19708" s="309"/>
    </row>
    <row r="19709">
      <c r="B19709" s="309"/>
      <c r="C19709" s="309"/>
      <c r="I19709" s="309"/>
      <c r="J19709" s="309"/>
    </row>
    <row r="19710">
      <c r="B19710" s="309"/>
      <c r="C19710" s="309"/>
      <c r="I19710" s="309"/>
      <c r="J19710" s="309"/>
    </row>
    <row r="19711">
      <c r="B19711" s="309"/>
      <c r="C19711" s="309"/>
      <c r="I19711" s="309"/>
      <c r="J19711" s="309"/>
    </row>
    <row r="19712">
      <c r="B19712" s="309"/>
      <c r="C19712" s="309"/>
      <c r="I19712" s="309"/>
      <c r="J19712" s="309"/>
    </row>
    <row r="19713">
      <c r="B19713" s="309"/>
      <c r="C19713" s="309"/>
      <c r="I19713" s="309"/>
      <c r="J19713" s="309"/>
    </row>
    <row r="19714">
      <c r="B19714" s="309"/>
      <c r="C19714" s="309"/>
      <c r="I19714" s="309"/>
      <c r="J19714" s="309"/>
    </row>
    <row r="19715">
      <c r="B19715" s="309"/>
      <c r="C19715" s="309"/>
      <c r="I19715" s="309"/>
      <c r="J19715" s="309"/>
    </row>
    <row r="19716">
      <c r="B19716" s="309"/>
      <c r="C19716" s="309"/>
      <c r="I19716" s="309"/>
      <c r="J19716" s="309"/>
    </row>
    <row r="19717">
      <c r="B19717" s="309"/>
      <c r="C19717" s="309"/>
      <c r="I19717" s="309"/>
      <c r="J19717" s="309"/>
    </row>
    <row r="19718">
      <c r="B19718" s="309"/>
      <c r="C19718" s="309"/>
      <c r="I19718" s="309"/>
      <c r="J19718" s="309"/>
    </row>
    <row r="19719">
      <c r="B19719" s="309"/>
      <c r="C19719" s="309"/>
      <c r="I19719" s="309"/>
      <c r="J19719" s="309"/>
    </row>
    <row r="19720">
      <c r="B19720" s="309"/>
      <c r="C19720" s="309"/>
      <c r="I19720" s="309"/>
      <c r="J19720" s="309"/>
    </row>
    <row r="19721">
      <c r="B19721" s="309"/>
      <c r="C19721" s="309"/>
      <c r="I19721" s="309"/>
      <c r="J19721" s="309"/>
    </row>
    <row r="19722">
      <c r="B19722" s="309"/>
      <c r="C19722" s="309"/>
      <c r="I19722" s="309"/>
      <c r="J19722" s="309"/>
    </row>
    <row r="19723">
      <c r="B19723" s="309"/>
      <c r="C19723" s="309"/>
      <c r="I19723" s="309"/>
      <c r="J19723" s="309"/>
    </row>
    <row r="19724">
      <c r="B19724" s="309"/>
      <c r="C19724" s="309"/>
      <c r="I19724" s="309"/>
      <c r="J19724" s="309"/>
    </row>
    <row r="19725">
      <c r="B19725" s="309"/>
      <c r="C19725" s="309"/>
      <c r="I19725" s="309"/>
      <c r="J19725" s="309"/>
    </row>
    <row r="19726">
      <c r="B19726" s="309"/>
      <c r="C19726" s="309"/>
      <c r="I19726" s="309"/>
      <c r="J19726" s="309"/>
    </row>
    <row r="19727">
      <c r="B19727" s="309"/>
      <c r="C19727" s="309"/>
      <c r="I19727" s="309"/>
      <c r="J19727" s="309"/>
    </row>
    <row r="19728">
      <c r="B19728" s="309"/>
      <c r="C19728" s="309"/>
      <c r="I19728" s="309"/>
      <c r="J19728" s="309"/>
    </row>
    <row r="19729">
      <c r="B19729" s="309"/>
      <c r="C19729" s="309"/>
      <c r="I19729" s="309"/>
      <c r="J19729" s="309"/>
    </row>
    <row r="19730">
      <c r="B19730" s="309"/>
      <c r="C19730" s="309"/>
      <c r="I19730" s="309"/>
      <c r="J19730" s="309"/>
    </row>
    <row r="19731">
      <c r="B19731" s="309"/>
      <c r="C19731" s="309"/>
      <c r="I19731" s="309"/>
      <c r="J19731" s="309"/>
    </row>
    <row r="19732">
      <c r="B19732" s="309"/>
      <c r="C19732" s="309"/>
      <c r="I19732" s="309"/>
      <c r="J19732" s="309"/>
    </row>
    <row r="19733">
      <c r="B19733" s="309"/>
      <c r="C19733" s="309"/>
      <c r="I19733" s="309"/>
      <c r="J19733" s="309"/>
    </row>
    <row r="19734">
      <c r="B19734" s="309"/>
      <c r="C19734" s="309"/>
      <c r="I19734" s="309"/>
      <c r="J19734" s="309"/>
    </row>
    <row r="19735">
      <c r="B19735" s="309"/>
      <c r="C19735" s="309"/>
      <c r="I19735" s="309"/>
      <c r="J19735" s="309"/>
    </row>
    <row r="19736">
      <c r="B19736" s="309"/>
      <c r="C19736" s="309"/>
      <c r="I19736" s="309"/>
      <c r="J19736" s="309"/>
    </row>
    <row r="19737">
      <c r="B19737" s="309"/>
      <c r="C19737" s="309"/>
      <c r="I19737" s="309"/>
      <c r="J19737" s="309"/>
    </row>
    <row r="19738">
      <c r="B19738" s="309"/>
      <c r="C19738" s="309"/>
      <c r="I19738" s="309"/>
      <c r="J19738" s="309"/>
    </row>
    <row r="19739">
      <c r="B19739" s="309"/>
      <c r="C19739" s="309"/>
      <c r="I19739" s="309"/>
      <c r="J19739" s="309"/>
    </row>
    <row r="19740">
      <c r="B19740" s="309"/>
      <c r="C19740" s="309"/>
      <c r="I19740" s="309"/>
      <c r="J19740" s="309"/>
    </row>
    <row r="19741">
      <c r="B19741" s="309"/>
      <c r="C19741" s="309"/>
      <c r="I19741" s="309"/>
      <c r="J19741" s="309"/>
    </row>
    <row r="19742">
      <c r="B19742" s="309"/>
      <c r="C19742" s="309"/>
      <c r="I19742" s="309"/>
      <c r="J19742" s="309"/>
    </row>
    <row r="19743">
      <c r="B19743" s="309"/>
      <c r="C19743" s="309"/>
      <c r="I19743" s="309"/>
      <c r="J19743" s="309"/>
    </row>
    <row r="19744">
      <c r="B19744" s="309"/>
      <c r="C19744" s="309"/>
      <c r="I19744" s="309"/>
      <c r="J19744" s="309"/>
    </row>
    <row r="19745">
      <c r="B19745" s="309"/>
      <c r="C19745" s="309"/>
      <c r="I19745" s="309"/>
      <c r="J19745" s="309"/>
    </row>
    <row r="19746">
      <c r="B19746" s="309"/>
      <c r="C19746" s="309"/>
      <c r="I19746" s="309"/>
      <c r="J19746" s="309"/>
    </row>
    <row r="19747">
      <c r="B19747" s="309"/>
      <c r="C19747" s="309"/>
      <c r="I19747" s="309"/>
      <c r="J19747" s="309"/>
    </row>
    <row r="19748">
      <c r="B19748" s="309"/>
      <c r="C19748" s="309"/>
      <c r="I19748" s="309"/>
      <c r="J19748" s="309"/>
    </row>
    <row r="19749">
      <c r="B19749" s="309"/>
      <c r="C19749" s="309"/>
      <c r="I19749" s="309"/>
      <c r="J19749" s="309"/>
    </row>
    <row r="19750">
      <c r="B19750" s="309"/>
      <c r="C19750" s="309"/>
      <c r="I19750" s="309"/>
      <c r="J19750" s="309"/>
    </row>
    <row r="19751">
      <c r="B19751" s="309"/>
      <c r="C19751" s="309"/>
      <c r="I19751" s="309"/>
      <c r="J19751" s="309"/>
    </row>
    <row r="19752">
      <c r="B19752" s="309"/>
      <c r="C19752" s="309"/>
      <c r="I19752" s="309"/>
      <c r="J19752" s="309"/>
    </row>
    <row r="19753">
      <c r="B19753" s="309"/>
      <c r="C19753" s="309"/>
      <c r="I19753" s="309"/>
      <c r="J19753" s="309"/>
    </row>
    <row r="19754">
      <c r="B19754" s="309"/>
      <c r="C19754" s="309"/>
      <c r="I19754" s="309"/>
      <c r="J19754" s="309"/>
    </row>
    <row r="19755">
      <c r="B19755" s="309"/>
      <c r="C19755" s="309"/>
      <c r="I19755" s="309"/>
      <c r="J19755" s="309"/>
    </row>
    <row r="19756">
      <c r="B19756" s="309"/>
      <c r="C19756" s="309"/>
      <c r="I19756" s="309"/>
      <c r="J19756" s="309"/>
    </row>
    <row r="19757">
      <c r="B19757" s="309"/>
      <c r="C19757" s="309"/>
      <c r="I19757" s="309"/>
      <c r="J19757" s="309"/>
    </row>
    <row r="19758">
      <c r="B19758" s="309"/>
      <c r="C19758" s="309"/>
      <c r="I19758" s="309"/>
      <c r="J19758" s="309"/>
    </row>
    <row r="19759">
      <c r="B19759" s="309"/>
      <c r="C19759" s="309"/>
      <c r="I19759" s="309"/>
      <c r="J19759" s="309"/>
    </row>
    <row r="19760">
      <c r="B19760" s="309"/>
      <c r="C19760" s="309"/>
      <c r="I19760" s="309"/>
      <c r="J19760" s="309"/>
    </row>
    <row r="19761">
      <c r="B19761" s="309"/>
      <c r="C19761" s="309"/>
      <c r="I19761" s="309"/>
      <c r="J19761" s="309"/>
    </row>
    <row r="19762">
      <c r="B19762" s="309"/>
      <c r="C19762" s="309"/>
      <c r="I19762" s="309"/>
      <c r="J19762" s="309"/>
    </row>
    <row r="19763">
      <c r="B19763" s="309"/>
      <c r="C19763" s="309"/>
      <c r="I19763" s="309"/>
      <c r="J19763" s="309"/>
    </row>
    <row r="19764">
      <c r="B19764" s="309"/>
      <c r="C19764" s="309"/>
      <c r="I19764" s="309"/>
      <c r="J19764" s="309"/>
    </row>
    <row r="19765">
      <c r="B19765" s="309"/>
      <c r="C19765" s="309"/>
      <c r="I19765" s="309"/>
      <c r="J19765" s="309"/>
    </row>
    <row r="19766">
      <c r="B19766" s="309"/>
      <c r="C19766" s="309"/>
      <c r="I19766" s="309"/>
      <c r="J19766" s="309"/>
    </row>
    <row r="19767">
      <c r="B19767" s="309"/>
      <c r="C19767" s="309"/>
      <c r="I19767" s="309"/>
      <c r="J19767" s="309"/>
    </row>
    <row r="19768">
      <c r="B19768" s="309"/>
      <c r="C19768" s="309"/>
      <c r="I19768" s="309"/>
      <c r="J19768" s="309"/>
    </row>
    <row r="19769">
      <c r="B19769" s="309"/>
      <c r="C19769" s="309"/>
      <c r="I19769" s="309"/>
      <c r="J19769" s="309"/>
    </row>
    <row r="19770">
      <c r="B19770" s="309"/>
      <c r="C19770" s="309"/>
      <c r="I19770" s="309"/>
      <c r="J19770" s="309"/>
    </row>
    <row r="19771">
      <c r="B19771" s="309"/>
      <c r="C19771" s="309"/>
      <c r="I19771" s="309"/>
      <c r="J19771" s="309"/>
    </row>
    <row r="19772">
      <c r="B19772" s="309"/>
      <c r="C19772" s="309"/>
      <c r="I19772" s="309"/>
      <c r="J19772" s="309"/>
    </row>
    <row r="19773">
      <c r="B19773" s="309"/>
      <c r="C19773" s="309"/>
      <c r="I19773" s="309"/>
      <c r="J19773" s="309"/>
    </row>
    <row r="19774">
      <c r="B19774" s="309"/>
      <c r="C19774" s="309"/>
      <c r="I19774" s="309"/>
      <c r="J19774" s="309"/>
    </row>
    <row r="19775">
      <c r="B19775" s="309"/>
      <c r="C19775" s="309"/>
      <c r="I19775" s="309"/>
      <c r="J19775" s="309"/>
    </row>
    <row r="19776">
      <c r="B19776" s="309"/>
      <c r="C19776" s="309"/>
      <c r="I19776" s="309"/>
      <c r="J19776" s="309"/>
    </row>
    <row r="19777">
      <c r="B19777" s="309"/>
      <c r="C19777" s="309"/>
      <c r="I19777" s="309"/>
      <c r="J19777" s="309"/>
    </row>
    <row r="19778">
      <c r="B19778" s="309"/>
      <c r="C19778" s="309"/>
      <c r="I19778" s="309"/>
      <c r="J19778" s="309"/>
    </row>
    <row r="19779">
      <c r="B19779" s="309"/>
      <c r="C19779" s="309"/>
      <c r="I19779" s="309"/>
      <c r="J19779" s="309"/>
    </row>
    <row r="19780">
      <c r="B19780" s="309"/>
      <c r="C19780" s="309"/>
      <c r="I19780" s="309"/>
      <c r="J19780" s="309"/>
    </row>
    <row r="19781">
      <c r="B19781" s="309"/>
      <c r="C19781" s="309"/>
      <c r="I19781" s="309"/>
      <c r="J19781" s="309"/>
    </row>
    <row r="19782">
      <c r="B19782" s="309"/>
      <c r="C19782" s="309"/>
      <c r="I19782" s="309"/>
      <c r="J19782" s="309"/>
    </row>
    <row r="19783">
      <c r="B19783" s="309"/>
      <c r="C19783" s="309"/>
      <c r="I19783" s="309"/>
      <c r="J19783" s="309"/>
    </row>
    <row r="19784">
      <c r="B19784" s="309"/>
      <c r="C19784" s="309"/>
      <c r="I19784" s="309"/>
      <c r="J19784" s="309"/>
    </row>
    <row r="19785">
      <c r="B19785" s="309"/>
      <c r="C19785" s="309"/>
      <c r="I19785" s="309"/>
      <c r="J19785" s="309"/>
    </row>
    <row r="19786">
      <c r="B19786" s="309"/>
      <c r="C19786" s="309"/>
      <c r="I19786" s="309"/>
      <c r="J19786" s="309"/>
    </row>
    <row r="19787">
      <c r="B19787" s="309"/>
      <c r="C19787" s="309"/>
      <c r="I19787" s="309"/>
      <c r="J19787" s="309"/>
    </row>
    <row r="19788">
      <c r="B19788" s="309"/>
      <c r="C19788" s="309"/>
      <c r="I19788" s="309"/>
      <c r="J19788" s="309"/>
    </row>
    <row r="19789">
      <c r="B19789" s="309"/>
      <c r="C19789" s="309"/>
      <c r="I19789" s="309"/>
      <c r="J19789" s="309"/>
    </row>
    <row r="19790">
      <c r="B19790" s="309"/>
      <c r="C19790" s="309"/>
      <c r="I19790" s="309"/>
      <c r="J19790" s="309"/>
    </row>
    <row r="19791">
      <c r="B19791" s="309"/>
      <c r="C19791" s="309"/>
      <c r="I19791" s="309"/>
      <c r="J19791" s="309"/>
    </row>
    <row r="19792">
      <c r="B19792" s="309"/>
      <c r="C19792" s="309"/>
      <c r="I19792" s="309"/>
      <c r="J19792" s="309"/>
    </row>
    <row r="19793">
      <c r="B19793" s="309"/>
      <c r="C19793" s="309"/>
      <c r="I19793" s="309"/>
      <c r="J19793" s="309"/>
    </row>
    <row r="19794">
      <c r="B19794" s="309"/>
      <c r="C19794" s="309"/>
      <c r="I19794" s="309"/>
      <c r="J19794" s="309"/>
    </row>
    <row r="19795">
      <c r="B19795" s="309"/>
      <c r="C19795" s="309"/>
      <c r="I19795" s="309"/>
      <c r="J19795" s="309"/>
    </row>
    <row r="19796">
      <c r="B19796" s="309"/>
      <c r="C19796" s="309"/>
      <c r="I19796" s="309"/>
      <c r="J19796" s="309"/>
    </row>
    <row r="19797">
      <c r="B19797" s="309"/>
      <c r="C19797" s="309"/>
      <c r="I19797" s="309"/>
      <c r="J19797" s="309"/>
    </row>
    <row r="19798">
      <c r="B19798" s="309"/>
      <c r="C19798" s="309"/>
      <c r="I19798" s="309"/>
      <c r="J19798" s="309"/>
    </row>
    <row r="19799">
      <c r="B19799" s="309"/>
      <c r="C19799" s="309"/>
      <c r="I19799" s="309"/>
      <c r="J19799" s="309"/>
    </row>
    <row r="19800">
      <c r="B19800" s="309"/>
      <c r="C19800" s="309"/>
      <c r="I19800" s="309"/>
      <c r="J19800" s="309"/>
    </row>
    <row r="19801">
      <c r="B19801" s="309"/>
      <c r="C19801" s="309"/>
      <c r="I19801" s="309"/>
      <c r="J19801" s="309"/>
    </row>
    <row r="19802">
      <c r="B19802" s="309"/>
      <c r="C19802" s="309"/>
      <c r="I19802" s="309"/>
      <c r="J19802" s="309"/>
    </row>
    <row r="19803">
      <c r="B19803" s="309"/>
      <c r="C19803" s="309"/>
      <c r="I19803" s="309"/>
      <c r="J19803" s="309"/>
    </row>
    <row r="19804">
      <c r="B19804" s="309"/>
      <c r="C19804" s="309"/>
      <c r="I19804" s="309"/>
      <c r="J19804" s="309"/>
    </row>
    <row r="19805">
      <c r="B19805" s="309"/>
      <c r="C19805" s="309"/>
      <c r="I19805" s="309"/>
      <c r="J19805" s="309"/>
    </row>
    <row r="19806">
      <c r="B19806" s="309"/>
      <c r="C19806" s="309"/>
      <c r="I19806" s="309"/>
      <c r="J19806" s="309"/>
    </row>
    <row r="19807">
      <c r="B19807" s="309"/>
      <c r="C19807" s="309"/>
      <c r="I19807" s="309"/>
      <c r="J19807" s="309"/>
    </row>
    <row r="19808">
      <c r="B19808" s="309"/>
      <c r="C19808" s="309"/>
      <c r="I19808" s="309"/>
      <c r="J19808" s="309"/>
    </row>
    <row r="19809">
      <c r="B19809" s="309"/>
      <c r="C19809" s="309"/>
      <c r="I19809" s="309"/>
      <c r="J19809" s="309"/>
    </row>
    <row r="19810">
      <c r="B19810" s="309"/>
      <c r="C19810" s="309"/>
      <c r="I19810" s="309"/>
      <c r="J19810" s="309"/>
    </row>
    <row r="19811">
      <c r="B19811" s="309"/>
      <c r="C19811" s="309"/>
      <c r="I19811" s="309"/>
      <c r="J19811" s="309"/>
    </row>
    <row r="19812">
      <c r="B19812" s="309"/>
      <c r="C19812" s="309"/>
      <c r="I19812" s="309"/>
      <c r="J19812" s="309"/>
    </row>
    <row r="19813">
      <c r="B19813" s="309"/>
      <c r="C19813" s="309"/>
      <c r="I19813" s="309"/>
      <c r="J19813" s="309"/>
    </row>
    <row r="19814">
      <c r="B19814" s="309"/>
      <c r="C19814" s="309"/>
      <c r="I19814" s="309"/>
      <c r="J19814" s="309"/>
    </row>
    <row r="19815">
      <c r="B19815" s="309"/>
      <c r="C19815" s="309"/>
      <c r="I19815" s="309"/>
      <c r="J19815" s="309"/>
    </row>
    <row r="19816">
      <c r="B19816" s="309"/>
      <c r="C19816" s="309"/>
      <c r="I19816" s="309"/>
      <c r="J19816" s="309"/>
    </row>
    <row r="19817">
      <c r="B19817" s="309"/>
      <c r="C19817" s="309"/>
      <c r="I19817" s="309"/>
      <c r="J19817" s="309"/>
    </row>
    <row r="19818">
      <c r="B19818" s="309"/>
      <c r="C19818" s="309"/>
      <c r="I19818" s="309"/>
      <c r="J19818" s="309"/>
    </row>
    <row r="19819">
      <c r="B19819" s="309"/>
      <c r="C19819" s="309"/>
      <c r="I19819" s="309"/>
      <c r="J19819" s="309"/>
    </row>
    <row r="19820">
      <c r="B19820" s="309"/>
      <c r="C19820" s="309"/>
      <c r="I19820" s="309"/>
      <c r="J19820" s="309"/>
    </row>
    <row r="19821">
      <c r="B19821" s="309"/>
      <c r="C19821" s="309"/>
      <c r="I19821" s="309"/>
      <c r="J19821" s="309"/>
    </row>
    <row r="19822">
      <c r="B19822" s="309"/>
      <c r="C19822" s="309"/>
      <c r="I19822" s="309"/>
      <c r="J19822" s="309"/>
    </row>
    <row r="19823">
      <c r="B19823" s="309"/>
      <c r="C19823" s="309"/>
      <c r="I19823" s="309"/>
      <c r="J19823" s="309"/>
    </row>
    <row r="19824">
      <c r="B19824" s="309"/>
      <c r="C19824" s="309"/>
      <c r="I19824" s="309"/>
      <c r="J19824" s="309"/>
    </row>
    <row r="19825">
      <c r="B19825" s="309"/>
      <c r="C19825" s="309"/>
      <c r="I19825" s="309"/>
      <c r="J19825" s="309"/>
    </row>
    <row r="19826">
      <c r="B19826" s="309"/>
      <c r="C19826" s="309"/>
      <c r="I19826" s="309"/>
      <c r="J19826" s="309"/>
    </row>
    <row r="19827">
      <c r="B19827" s="309"/>
      <c r="C19827" s="309"/>
      <c r="I19827" s="309"/>
      <c r="J19827" s="309"/>
    </row>
    <row r="19828">
      <c r="B19828" s="309"/>
      <c r="C19828" s="309"/>
      <c r="I19828" s="309"/>
      <c r="J19828" s="309"/>
    </row>
    <row r="19829">
      <c r="B19829" s="309"/>
      <c r="C19829" s="309"/>
      <c r="I19829" s="309"/>
      <c r="J19829" s="309"/>
    </row>
    <row r="19830">
      <c r="B19830" s="309"/>
      <c r="C19830" s="309"/>
      <c r="I19830" s="309"/>
      <c r="J19830" s="309"/>
    </row>
    <row r="19831">
      <c r="B19831" s="309"/>
      <c r="C19831" s="309"/>
      <c r="I19831" s="309"/>
      <c r="J19831" s="309"/>
    </row>
    <row r="19832">
      <c r="B19832" s="309"/>
      <c r="C19832" s="309"/>
      <c r="I19832" s="309"/>
      <c r="J19832" s="309"/>
    </row>
    <row r="19833">
      <c r="B19833" s="309"/>
      <c r="C19833" s="309"/>
      <c r="I19833" s="309"/>
      <c r="J19833" s="309"/>
    </row>
    <row r="19834">
      <c r="B19834" s="309"/>
      <c r="C19834" s="309"/>
      <c r="I19834" s="309"/>
      <c r="J19834" s="309"/>
    </row>
    <row r="19835">
      <c r="B19835" s="309"/>
      <c r="C19835" s="309"/>
      <c r="I19835" s="309"/>
      <c r="J19835" s="309"/>
    </row>
    <row r="19836">
      <c r="B19836" s="309"/>
      <c r="C19836" s="309"/>
      <c r="I19836" s="309"/>
      <c r="J19836" s="309"/>
    </row>
    <row r="19837">
      <c r="B19837" s="309"/>
      <c r="C19837" s="309"/>
      <c r="I19837" s="309"/>
      <c r="J19837" s="309"/>
    </row>
    <row r="19838">
      <c r="B19838" s="309"/>
      <c r="C19838" s="309"/>
      <c r="I19838" s="309"/>
      <c r="J19838" s="309"/>
    </row>
    <row r="19839">
      <c r="B19839" s="309"/>
      <c r="C19839" s="309"/>
      <c r="I19839" s="309"/>
      <c r="J19839" s="309"/>
    </row>
    <row r="19840">
      <c r="B19840" s="309"/>
      <c r="C19840" s="309"/>
      <c r="I19840" s="309"/>
      <c r="J19840" s="309"/>
    </row>
    <row r="19841">
      <c r="B19841" s="309"/>
      <c r="C19841" s="309"/>
      <c r="I19841" s="309"/>
      <c r="J19841" s="309"/>
    </row>
    <row r="19842">
      <c r="B19842" s="309"/>
      <c r="C19842" s="309"/>
      <c r="I19842" s="309"/>
      <c r="J19842" s="309"/>
    </row>
    <row r="19843">
      <c r="B19843" s="309"/>
      <c r="C19843" s="309"/>
      <c r="I19843" s="309"/>
      <c r="J19843" s="309"/>
    </row>
    <row r="19844">
      <c r="B19844" s="309"/>
      <c r="C19844" s="309"/>
      <c r="I19844" s="309"/>
      <c r="J19844" s="309"/>
    </row>
    <row r="19845">
      <c r="B19845" s="309"/>
      <c r="C19845" s="309"/>
      <c r="I19845" s="309"/>
      <c r="J19845" s="309"/>
    </row>
    <row r="19846">
      <c r="B19846" s="309"/>
      <c r="C19846" s="309"/>
      <c r="I19846" s="309"/>
      <c r="J19846" s="309"/>
    </row>
    <row r="19847">
      <c r="B19847" s="309"/>
      <c r="C19847" s="309"/>
      <c r="I19847" s="309"/>
      <c r="J19847" s="309"/>
    </row>
    <row r="19848">
      <c r="B19848" s="309"/>
      <c r="C19848" s="309"/>
      <c r="I19848" s="309"/>
      <c r="J19848" s="309"/>
    </row>
    <row r="19849">
      <c r="B19849" s="309"/>
      <c r="C19849" s="309"/>
      <c r="I19849" s="309"/>
      <c r="J19849" s="309"/>
    </row>
    <row r="19850">
      <c r="B19850" s="309"/>
      <c r="C19850" s="309"/>
      <c r="I19850" s="309"/>
      <c r="J19850" s="309"/>
    </row>
    <row r="19851">
      <c r="B19851" s="309"/>
      <c r="C19851" s="309"/>
      <c r="I19851" s="309"/>
      <c r="J19851" s="309"/>
    </row>
    <row r="19852">
      <c r="B19852" s="309"/>
      <c r="C19852" s="309"/>
      <c r="I19852" s="309"/>
      <c r="J19852" s="309"/>
    </row>
    <row r="19853">
      <c r="B19853" s="309"/>
      <c r="C19853" s="309"/>
      <c r="I19853" s="309"/>
      <c r="J19853" s="309"/>
    </row>
    <row r="19854">
      <c r="B19854" s="309"/>
      <c r="C19854" s="309"/>
      <c r="I19854" s="309"/>
      <c r="J19854" s="309"/>
    </row>
    <row r="19855">
      <c r="B19855" s="309"/>
      <c r="C19855" s="309"/>
      <c r="I19855" s="309"/>
      <c r="J19855" s="309"/>
    </row>
    <row r="19856">
      <c r="B19856" s="309"/>
      <c r="C19856" s="309"/>
      <c r="I19856" s="309"/>
      <c r="J19856" s="309"/>
    </row>
    <row r="19857">
      <c r="B19857" s="309"/>
      <c r="C19857" s="309"/>
      <c r="I19857" s="309"/>
      <c r="J19857" s="309"/>
    </row>
    <row r="19858">
      <c r="B19858" s="309"/>
      <c r="C19858" s="309"/>
      <c r="I19858" s="309"/>
      <c r="J19858" s="309"/>
    </row>
    <row r="19859">
      <c r="B19859" s="309"/>
      <c r="C19859" s="309"/>
      <c r="I19859" s="309"/>
      <c r="J19859" s="309"/>
    </row>
    <row r="19860">
      <c r="B19860" s="309"/>
      <c r="C19860" s="309"/>
      <c r="I19860" s="309"/>
      <c r="J19860" s="309"/>
    </row>
    <row r="19861">
      <c r="B19861" s="309"/>
      <c r="C19861" s="309"/>
      <c r="I19861" s="309"/>
      <c r="J19861" s="309"/>
    </row>
    <row r="19862">
      <c r="B19862" s="309"/>
      <c r="C19862" s="309"/>
      <c r="I19862" s="309"/>
      <c r="J19862" s="309"/>
    </row>
    <row r="19863">
      <c r="B19863" s="309"/>
      <c r="C19863" s="309"/>
      <c r="I19863" s="309"/>
      <c r="J19863" s="309"/>
    </row>
    <row r="19864">
      <c r="B19864" s="309"/>
      <c r="C19864" s="309"/>
      <c r="I19864" s="309"/>
      <c r="J19864" s="309"/>
    </row>
    <row r="19865">
      <c r="B19865" s="309"/>
      <c r="C19865" s="309"/>
      <c r="I19865" s="309"/>
      <c r="J19865" s="309"/>
    </row>
    <row r="19866">
      <c r="B19866" s="309"/>
      <c r="C19866" s="309"/>
      <c r="I19866" s="309"/>
      <c r="J19866" s="309"/>
    </row>
    <row r="19867">
      <c r="B19867" s="309"/>
      <c r="C19867" s="309"/>
      <c r="I19867" s="309"/>
      <c r="J19867" s="309"/>
    </row>
    <row r="19868">
      <c r="B19868" s="309"/>
      <c r="C19868" s="309"/>
      <c r="I19868" s="309"/>
      <c r="J19868" s="309"/>
    </row>
    <row r="19869">
      <c r="B19869" s="309"/>
      <c r="C19869" s="309"/>
      <c r="I19869" s="309"/>
      <c r="J19869" s="309"/>
    </row>
    <row r="19870">
      <c r="B19870" s="309"/>
      <c r="C19870" s="309"/>
      <c r="I19870" s="309"/>
      <c r="J19870" s="309"/>
    </row>
    <row r="19871">
      <c r="B19871" s="309"/>
      <c r="C19871" s="309"/>
      <c r="I19871" s="309"/>
      <c r="J19871" s="309"/>
    </row>
    <row r="19872">
      <c r="B19872" s="309"/>
      <c r="C19872" s="309"/>
      <c r="I19872" s="309"/>
      <c r="J19872" s="309"/>
    </row>
    <row r="19873">
      <c r="B19873" s="309"/>
      <c r="C19873" s="309"/>
      <c r="I19873" s="309"/>
      <c r="J19873" s="309"/>
    </row>
    <row r="19874">
      <c r="B19874" s="309"/>
      <c r="C19874" s="309"/>
      <c r="I19874" s="309"/>
      <c r="J19874" s="309"/>
    </row>
    <row r="19875">
      <c r="B19875" s="309"/>
      <c r="C19875" s="309"/>
      <c r="I19875" s="309"/>
      <c r="J19875" s="309"/>
    </row>
    <row r="19876">
      <c r="B19876" s="309"/>
      <c r="C19876" s="309"/>
      <c r="I19876" s="309"/>
      <c r="J19876" s="309"/>
    </row>
    <row r="19877">
      <c r="B19877" s="309"/>
      <c r="C19877" s="309"/>
      <c r="I19877" s="309"/>
      <c r="J19877" s="309"/>
    </row>
    <row r="19878">
      <c r="B19878" s="309"/>
      <c r="C19878" s="309"/>
      <c r="I19878" s="309"/>
      <c r="J19878" s="309"/>
    </row>
    <row r="19879">
      <c r="B19879" s="309"/>
      <c r="C19879" s="309"/>
      <c r="I19879" s="309"/>
      <c r="J19879" s="309"/>
    </row>
    <row r="19880">
      <c r="B19880" s="309"/>
      <c r="C19880" s="309"/>
      <c r="I19880" s="309"/>
      <c r="J19880" s="309"/>
    </row>
    <row r="19881">
      <c r="B19881" s="309"/>
      <c r="C19881" s="309"/>
      <c r="I19881" s="309"/>
      <c r="J19881" s="309"/>
    </row>
    <row r="19882">
      <c r="B19882" s="309"/>
      <c r="C19882" s="309"/>
      <c r="I19882" s="309"/>
      <c r="J19882" s="309"/>
    </row>
    <row r="19883">
      <c r="B19883" s="309"/>
      <c r="C19883" s="309"/>
      <c r="I19883" s="309"/>
      <c r="J19883" s="309"/>
    </row>
    <row r="19884">
      <c r="B19884" s="309"/>
      <c r="C19884" s="309"/>
      <c r="I19884" s="309"/>
      <c r="J19884" s="309"/>
    </row>
    <row r="19885">
      <c r="B19885" s="309"/>
      <c r="C19885" s="309"/>
      <c r="I19885" s="309"/>
      <c r="J19885" s="309"/>
    </row>
    <row r="19886">
      <c r="B19886" s="309"/>
      <c r="C19886" s="309"/>
      <c r="I19886" s="309"/>
      <c r="J19886" s="309"/>
    </row>
    <row r="19887">
      <c r="B19887" s="309"/>
      <c r="C19887" s="309"/>
      <c r="I19887" s="309"/>
      <c r="J19887" s="309"/>
    </row>
    <row r="19888">
      <c r="B19888" s="309"/>
      <c r="C19888" s="309"/>
      <c r="I19888" s="309"/>
      <c r="J19888" s="309"/>
    </row>
    <row r="19889">
      <c r="B19889" s="309"/>
      <c r="C19889" s="309"/>
      <c r="I19889" s="309"/>
      <c r="J19889" s="309"/>
    </row>
    <row r="19890">
      <c r="B19890" s="309"/>
      <c r="C19890" s="309"/>
      <c r="I19890" s="309"/>
      <c r="J19890" s="309"/>
    </row>
    <row r="19891">
      <c r="B19891" s="309"/>
      <c r="C19891" s="309"/>
      <c r="I19891" s="309"/>
      <c r="J19891" s="309"/>
    </row>
    <row r="19892">
      <c r="B19892" s="309"/>
      <c r="C19892" s="309"/>
      <c r="I19892" s="309"/>
      <c r="J19892" s="309"/>
    </row>
    <row r="19893">
      <c r="B19893" s="309"/>
      <c r="C19893" s="309"/>
      <c r="I19893" s="309"/>
      <c r="J19893" s="309"/>
    </row>
    <row r="19894">
      <c r="B19894" s="309"/>
      <c r="C19894" s="309"/>
      <c r="I19894" s="309"/>
      <c r="J19894" s="309"/>
    </row>
    <row r="19895">
      <c r="B19895" s="309"/>
      <c r="C19895" s="309"/>
      <c r="I19895" s="309"/>
      <c r="J19895" s="309"/>
    </row>
    <row r="19896">
      <c r="B19896" s="309"/>
      <c r="C19896" s="309"/>
      <c r="I19896" s="309"/>
      <c r="J19896" s="309"/>
    </row>
    <row r="19897">
      <c r="B19897" s="309"/>
      <c r="C19897" s="309"/>
      <c r="I19897" s="309"/>
      <c r="J19897" s="309"/>
    </row>
    <row r="19898">
      <c r="B19898" s="309"/>
      <c r="C19898" s="309"/>
      <c r="I19898" s="309"/>
      <c r="J19898" s="309"/>
    </row>
    <row r="19899">
      <c r="B19899" s="309"/>
      <c r="C19899" s="309"/>
      <c r="I19899" s="309"/>
      <c r="J19899" s="309"/>
    </row>
    <row r="19900">
      <c r="B19900" s="309"/>
      <c r="C19900" s="309"/>
      <c r="I19900" s="309"/>
      <c r="J19900" s="309"/>
    </row>
    <row r="19901">
      <c r="B19901" s="309"/>
      <c r="C19901" s="309"/>
      <c r="I19901" s="309"/>
      <c r="J19901" s="309"/>
    </row>
    <row r="19902">
      <c r="B19902" s="309"/>
      <c r="C19902" s="309"/>
      <c r="I19902" s="309"/>
      <c r="J19902" s="309"/>
    </row>
    <row r="19903">
      <c r="B19903" s="309"/>
      <c r="C19903" s="309"/>
      <c r="I19903" s="309"/>
      <c r="J19903" s="309"/>
    </row>
    <row r="19904">
      <c r="B19904" s="309"/>
      <c r="C19904" s="309"/>
      <c r="I19904" s="309"/>
      <c r="J19904" s="309"/>
    </row>
    <row r="19905">
      <c r="B19905" s="309"/>
      <c r="C19905" s="309"/>
      <c r="I19905" s="309"/>
      <c r="J19905" s="309"/>
    </row>
    <row r="19906">
      <c r="B19906" s="309"/>
      <c r="C19906" s="309"/>
      <c r="I19906" s="309"/>
      <c r="J19906" s="309"/>
    </row>
    <row r="19907">
      <c r="B19907" s="309"/>
      <c r="C19907" s="309"/>
      <c r="I19907" s="309"/>
      <c r="J19907" s="309"/>
    </row>
    <row r="19908">
      <c r="B19908" s="309"/>
      <c r="C19908" s="309"/>
      <c r="I19908" s="309"/>
      <c r="J19908" s="309"/>
    </row>
    <row r="19909">
      <c r="B19909" s="309"/>
      <c r="C19909" s="309"/>
      <c r="I19909" s="309"/>
      <c r="J19909" s="309"/>
    </row>
    <row r="19910">
      <c r="B19910" s="309"/>
      <c r="C19910" s="309"/>
      <c r="I19910" s="309"/>
      <c r="J19910" s="309"/>
    </row>
    <row r="19911">
      <c r="B19911" s="309"/>
      <c r="C19911" s="309"/>
      <c r="I19911" s="309"/>
      <c r="J19911" s="309"/>
    </row>
    <row r="19912">
      <c r="B19912" s="309"/>
      <c r="C19912" s="309"/>
      <c r="I19912" s="309"/>
      <c r="J19912" s="309"/>
    </row>
    <row r="19913">
      <c r="B19913" s="309"/>
      <c r="C19913" s="309"/>
      <c r="I19913" s="309"/>
      <c r="J19913" s="309"/>
    </row>
    <row r="19914">
      <c r="B19914" s="309"/>
      <c r="C19914" s="309"/>
      <c r="I19914" s="309"/>
      <c r="J19914" s="309"/>
    </row>
    <row r="19915">
      <c r="B19915" s="309"/>
      <c r="C19915" s="309"/>
      <c r="I19915" s="309"/>
      <c r="J19915" s="309"/>
    </row>
    <row r="19916">
      <c r="B19916" s="309"/>
      <c r="C19916" s="309"/>
      <c r="I19916" s="309"/>
      <c r="J19916" s="309"/>
    </row>
    <row r="19917">
      <c r="B19917" s="309"/>
      <c r="C19917" s="309"/>
      <c r="I19917" s="309"/>
      <c r="J19917" s="309"/>
    </row>
    <row r="19918">
      <c r="B19918" s="309"/>
      <c r="C19918" s="309"/>
      <c r="I19918" s="309"/>
      <c r="J19918" s="309"/>
    </row>
    <row r="19919">
      <c r="B19919" s="309"/>
      <c r="C19919" s="309"/>
      <c r="I19919" s="309"/>
      <c r="J19919" s="309"/>
    </row>
    <row r="19920">
      <c r="B19920" s="309"/>
      <c r="C19920" s="309"/>
      <c r="I19920" s="309"/>
      <c r="J19920" s="309"/>
    </row>
    <row r="19921">
      <c r="B19921" s="309"/>
      <c r="C19921" s="309"/>
      <c r="I19921" s="309"/>
      <c r="J19921" s="309"/>
    </row>
    <row r="19922">
      <c r="B19922" s="309"/>
      <c r="C19922" s="309"/>
      <c r="I19922" s="309"/>
      <c r="J19922" s="309"/>
    </row>
    <row r="19923">
      <c r="B19923" s="309"/>
      <c r="C19923" s="309"/>
      <c r="I19923" s="309"/>
      <c r="J19923" s="309"/>
    </row>
    <row r="19924">
      <c r="B19924" s="309"/>
      <c r="C19924" s="309"/>
      <c r="I19924" s="309"/>
      <c r="J19924" s="309"/>
    </row>
    <row r="19925">
      <c r="B19925" s="309"/>
      <c r="C19925" s="309"/>
      <c r="I19925" s="309"/>
      <c r="J19925" s="309"/>
    </row>
    <row r="19926">
      <c r="B19926" s="309"/>
      <c r="C19926" s="309"/>
      <c r="I19926" s="309"/>
      <c r="J19926" s="309"/>
    </row>
    <row r="19927">
      <c r="B19927" s="309"/>
      <c r="C19927" s="309"/>
      <c r="I19927" s="309"/>
      <c r="J19927" s="309"/>
    </row>
    <row r="19928">
      <c r="B19928" s="309"/>
      <c r="C19928" s="309"/>
      <c r="I19928" s="309"/>
      <c r="J19928" s="309"/>
    </row>
    <row r="19929">
      <c r="B19929" s="309"/>
      <c r="C19929" s="309"/>
      <c r="I19929" s="309"/>
      <c r="J19929" s="309"/>
    </row>
    <row r="19930">
      <c r="B19930" s="309"/>
      <c r="C19930" s="309"/>
      <c r="I19930" s="309"/>
      <c r="J19930" s="309"/>
    </row>
    <row r="19931">
      <c r="B19931" s="309"/>
      <c r="C19931" s="309"/>
      <c r="I19931" s="309"/>
      <c r="J19931" s="309"/>
    </row>
    <row r="19932">
      <c r="B19932" s="309"/>
      <c r="C19932" s="309"/>
      <c r="I19932" s="309"/>
      <c r="J19932" s="309"/>
    </row>
    <row r="19933">
      <c r="B19933" s="309"/>
      <c r="C19933" s="309"/>
      <c r="I19933" s="309"/>
      <c r="J19933" s="309"/>
    </row>
    <row r="19934">
      <c r="B19934" s="309"/>
      <c r="C19934" s="309"/>
      <c r="I19934" s="309"/>
      <c r="J19934" s="309"/>
    </row>
    <row r="19935">
      <c r="B19935" s="309"/>
      <c r="C19935" s="309"/>
      <c r="I19935" s="309"/>
      <c r="J19935" s="309"/>
    </row>
    <row r="19936">
      <c r="B19936" s="309"/>
      <c r="C19936" s="309"/>
      <c r="I19936" s="309"/>
      <c r="J19936" s="309"/>
    </row>
    <row r="19937">
      <c r="B19937" s="309"/>
      <c r="C19937" s="309"/>
      <c r="I19937" s="309"/>
      <c r="J19937" s="309"/>
    </row>
    <row r="19938">
      <c r="B19938" s="309"/>
      <c r="C19938" s="309"/>
      <c r="I19938" s="309"/>
      <c r="J19938" s="309"/>
    </row>
    <row r="19939">
      <c r="B19939" s="309"/>
      <c r="C19939" s="309"/>
      <c r="I19939" s="309"/>
      <c r="J19939" s="309"/>
    </row>
    <row r="19940">
      <c r="B19940" s="309"/>
      <c r="C19940" s="309"/>
      <c r="I19940" s="309"/>
      <c r="J19940" s="309"/>
    </row>
    <row r="19941">
      <c r="B19941" s="309"/>
      <c r="C19941" s="309"/>
      <c r="I19941" s="309"/>
      <c r="J19941" s="309"/>
    </row>
    <row r="19942">
      <c r="B19942" s="309"/>
      <c r="C19942" s="309"/>
      <c r="I19942" s="309"/>
      <c r="J19942" s="309"/>
    </row>
    <row r="19943">
      <c r="B19943" s="309"/>
      <c r="C19943" s="309"/>
      <c r="I19943" s="309"/>
      <c r="J19943" s="309"/>
    </row>
    <row r="19944">
      <c r="B19944" s="309"/>
      <c r="C19944" s="309"/>
      <c r="I19944" s="309"/>
      <c r="J19944" s="309"/>
    </row>
    <row r="19945">
      <c r="B19945" s="309"/>
      <c r="C19945" s="309"/>
      <c r="I19945" s="309"/>
      <c r="J19945" s="309"/>
    </row>
    <row r="19946">
      <c r="B19946" s="309"/>
      <c r="C19946" s="309"/>
      <c r="I19946" s="309"/>
      <c r="J19946" s="309"/>
    </row>
    <row r="19947">
      <c r="B19947" s="309"/>
      <c r="C19947" s="309"/>
      <c r="I19947" s="309"/>
      <c r="J19947" s="309"/>
    </row>
    <row r="19948">
      <c r="B19948" s="309"/>
      <c r="C19948" s="309"/>
      <c r="I19948" s="309"/>
      <c r="J19948" s="309"/>
    </row>
    <row r="19949">
      <c r="B19949" s="309"/>
      <c r="C19949" s="309"/>
      <c r="I19949" s="309"/>
      <c r="J19949" s="309"/>
    </row>
    <row r="19950">
      <c r="B19950" s="309"/>
      <c r="C19950" s="309"/>
      <c r="I19950" s="309"/>
      <c r="J19950" s="309"/>
    </row>
    <row r="19951">
      <c r="B19951" s="309"/>
      <c r="C19951" s="309"/>
      <c r="I19951" s="309"/>
      <c r="J19951" s="309"/>
    </row>
    <row r="19952">
      <c r="B19952" s="309"/>
      <c r="C19952" s="309"/>
      <c r="I19952" s="309"/>
      <c r="J19952" s="309"/>
    </row>
    <row r="19953">
      <c r="B19953" s="309"/>
      <c r="C19953" s="309"/>
      <c r="I19953" s="309"/>
      <c r="J19953" s="309"/>
    </row>
    <row r="19954">
      <c r="B19954" s="309"/>
      <c r="C19954" s="309"/>
      <c r="I19954" s="309"/>
      <c r="J19954" s="309"/>
    </row>
    <row r="19955">
      <c r="B19955" s="309"/>
      <c r="C19955" s="309"/>
      <c r="I19955" s="309"/>
      <c r="J19955" s="309"/>
    </row>
    <row r="19956">
      <c r="B19956" s="309"/>
      <c r="C19956" s="309"/>
      <c r="I19956" s="309"/>
      <c r="J19956" s="309"/>
    </row>
    <row r="19957">
      <c r="B19957" s="309"/>
      <c r="C19957" s="309"/>
      <c r="I19957" s="309"/>
      <c r="J19957" s="309"/>
    </row>
    <row r="19958">
      <c r="B19958" s="309"/>
      <c r="C19958" s="309"/>
      <c r="I19958" s="309"/>
      <c r="J19958" s="309"/>
    </row>
    <row r="19959">
      <c r="B19959" s="309"/>
      <c r="C19959" s="309"/>
      <c r="I19959" s="309"/>
      <c r="J19959" s="309"/>
    </row>
    <row r="19960">
      <c r="B19960" s="309"/>
      <c r="C19960" s="309"/>
      <c r="I19960" s="309"/>
      <c r="J19960" s="309"/>
    </row>
    <row r="19961">
      <c r="B19961" s="309"/>
      <c r="C19961" s="309"/>
      <c r="I19961" s="309"/>
      <c r="J19961" s="309"/>
    </row>
    <row r="19962">
      <c r="B19962" s="309"/>
      <c r="C19962" s="309"/>
      <c r="I19962" s="309"/>
      <c r="J19962" s="309"/>
    </row>
    <row r="19963">
      <c r="B19963" s="309"/>
      <c r="C19963" s="309"/>
      <c r="I19963" s="309"/>
      <c r="J19963" s="309"/>
    </row>
    <row r="19964">
      <c r="B19964" s="309"/>
      <c r="C19964" s="309"/>
      <c r="I19964" s="309"/>
      <c r="J19964" s="309"/>
    </row>
    <row r="19965">
      <c r="B19965" s="309"/>
      <c r="C19965" s="309"/>
      <c r="I19965" s="309"/>
      <c r="J19965" s="309"/>
    </row>
    <row r="19966">
      <c r="B19966" s="309"/>
      <c r="C19966" s="309"/>
      <c r="I19966" s="309"/>
      <c r="J19966" s="309"/>
    </row>
    <row r="19967">
      <c r="B19967" s="309"/>
      <c r="C19967" s="309"/>
      <c r="I19967" s="309"/>
      <c r="J19967" s="309"/>
    </row>
    <row r="19968">
      <c r="B19968" s="309"/>
      <c r="C19968" s="309"/>
      <c r="I19968" s="309"/>
      <c r="J19968" s="309"/>
    </row>
    <row r="19969">
      <c r="B19969" s="309"/>
      <c r="C19969" s="309"/>
      <c r="I19969" s="309"/>
      <c r="J19969" s="309"/>
    </row>
    <row r="19970">
      <c r="B19970" s="309"/>
      <c r="C19970" s="309"/>
      <c r="I19970" s="309"/>
      <c r="J19970" s="309"/>
    </row>
    <row r="19971">
      <c r="B19971" s="309"/>
      <c r="C19971" s="309"/>
      <c r="I19971" s="309"/>
      <c r="J19971" s="309"/>
    </row>
    <row r="19972">
      <c r="B19972" s="309"/>
      <c r="C19972" s="309"/>
      <c r="I19972" s="309"/>
      <c r="J19972" s="309"/>
    </row>
    <row r="19973">
      <c r="B19973" s="309"/>
      <c r="C19973" s="309"/>
      <c r="I19973" s="309"/>
      <c r="J19973" s="309"/>
    </row>
    <row r="19974">
      <c r="B19974" s="309"/>
      <c r="C19974" s="309"/>
      <c r="I19974" s="309"/>
      <c r="J19974" s="309"/>
    </row>
    <row r="19975">
      <c r="B19975" s="309"/>
      <c r="C19975" s="309"/>
      <c r="I19975" s="309"/>
      <c r="J19975" s="309"/>
    </row>
    <row r="19976">
      <c r="B19976" s="309"/>
      <c r="C19976" s="309"/>
      <c r="I19976" s="309"/>
      <c r="J19976" s="309"/>
    </row>
    <row r="19977">
      <c r="B19977" s="309"/>
      <c r="C19977" s="309"/>
      <c r="I19977" s="309"/>
      <c r="J19977" s="309"/>
    </row>
    <row r="19978">
      <c r="B19978" s="309"/>
      <c r="C19978" s="309"/>
      <c r="I19978" s="309"/>
      <c r="J19978" s="309"/>
    </row>
    <row r="19979">
      <c r="B19979" s="309"/>
      <c r="C19979" s="309"/>
      <c r="I19979" s="309"/>
      <c r="J19979" s="309"/>
    </row>
    <row r="19980">
      <c r="B19980" s="309"/>
      <c r="C19980" s="309"/>
      <c r="I19980" s="309"/>
      <c r="J19980" s="309"/>
    </row>
    <row r="19981">
      <c r="B19981" s="309"/>
      <c r="C19981" s="309"/>
      <c r="I19981" s="309"/>
      <c r="J19981" s="309"/>
    </row>
    <row r="19982">
      <c r="B19982" s="309"/>
      <c r="C19982" s="309"/>
      <c r="I19982" s="309"/>
      <c r="J19982" s="309"/>
    </row>
    <row r="19983">
      <c r="B19983" s="309"/>
      <c r="C19983" s="309"/>
      <c r="I19983" s="309"/>
      <c r="J19983" s="309"/>
    </row>
    <row r="19984">
      <c r="B19984" s="309"/>
      <c r="C19984" s="309"/>
      <c r="I19984" s="309"/>
      <c r="J19984" s="309"/>
    </row>
    <row r="19985">
      <c r="B19985" s="309"/>
      <c r="C19985" s="309"/>
      <c r="I19985" s="309"/>
      <c r="J19985" s="309"/>
    </row>
    <row r="19986">
      <c r="B19986" s="309"/>
      <c r="C19986" s="309"/>
      <c r="I19986" s="309"/>
      <c r="J19986" s="309"/>
    </row>
    <row r="19987">
      <c r="B19987" s="309"/>
      <c r="C19987" s="309"/>
      <c r="I19987" s="309"/>
      <c r="J19987" s="309"/>
    </row>
    <row r="19988">
      <c r="B19988" s="309"/>
      <c r="C19988" s="309"/>
      <c r="I19988" s="309"/>
      <c r="J19988" s="309"/>
    </row>
    <row r="19989">
      <c r="B19989" s="309"/>
      <c r="C19989" s="309"/>
      <c r="I19989" s="309"/>
      <c r="J19989" s="309"/>
    </row>
    <row r="19990">
      <c r="B19990" s="309"/>
      <c r="C19990" s="309"/>
      <c r="I19990" s="309"/>
      <c r="J19990" s="309"/>
    </row>
    <row r="19991">
      <c r="B19991" s="309"/>
      <c r="C19991" s="309"/>
      <c r="I19991" s="309"/>
      <c r="J19991" s="309"/>
    </row>
    <row r="19992">
      <c r="B19992" s="309"/>
      <c r="C19992" s="309"/>
      <c r="I19992" s="309"/>
      <c r="J19992" s="309"/>
    </row>
    <row r="19993">
      <c r="B19993" s="309"/>
      <c r="C19993" s="309"/>
      <c r="I19993" s="309"/>
      <c r="J19993" s="309"/>
    </row>
    <row r="19994">
      <c r="B19994" s="309"/>
      <c r="C19994" s="309"/>
      <c r="I19994" s="309"/>
      <c r="J19994" s="309"/>
    </row>
    <row r="19995">
      <c r="B19995" s="309"/>
      <c r="C19995" s="309"/>
      <c r="I19995" s="309"/>
      <c r="J19995" s="309"/>
    </row>
    <row r="19996">
      <c r="B19996" s="309"/>
      <c r="C19996" s="309"/>
      <c r="I19996" s="309"/>
      <c r="J19996" s="309"/>
    </row>
    <row r="19997">
      <c r="B19997" s="309"/>
      <c r="C19997" s="309"/>
      <c r="I19997" s="309"/>
      <c r="J19997" s="309"/>
    </row>
    <row r="19998">
      <c r="B19998" s="309"/>
      <c r="C19998" s="309"/>
      <c r="I19998" s="309"/>
      <c r="J19998" s="309"/>
    </row>
    <row r="19999">
      <c r="B19999" s="309"/>
      <c r="C19999" s="309"/>
      <c r="I19999" s="309"/>
      <c r="J19999" s="309"/>
    </row>
    <row r="20000">
      <c r="B20000" s="309"/>
      <c r="C20000" s="309"/>
      <c r="I20000" s="309"/>
      <c r="J20000" s="309"/>
    </row>
    <row r="20001">
      <c r="B20001" s="309"/>
      <c r="C20001" s="309"/>
      <c r="I20001" s="309"/>
      <c r="J20001" s="309"/>
    </row>
    <row r="20002">
      <c r="B20002" s="309"/>
      <c r="C20002" s="309"/>
      <c r="I20002" s="309"/>
      <c r="J20002" s="309"/>
    </row>
    <row r="20003">
      <c r="B20003" s="309"/>
      <c r="C20003" s="309"/>
      <c r="I20003" s="309"/>
      <c r="J20003" s="309"/>
    </row>
    <row r="20004">
      <c r="B20004" s="309"/>
      <c r="C20004" s="309"/>
      <c r="I20004" s="309"/>
      <c r="J20004" s="309"/>
    </row>
    <row r="20005">
      <c r="B20005" s="309"/>
      <c r="C20005" s="309"/>
      <c r="I20005" s="309"/>
      <c r="J20005" s="309"/>
    </row>
    <row r="20006">
      <c r="B20006" s="309"/>
      <c r="C20006" s="309"/>
      <c r="I20006" s="309"/>
      <c r="J20006" s="309"/>
    </row>
    <row r="20007">
      <c r="B20007" s="309"/>
      <c r="C20007" s="309"/>
      <c r="I20007" s="309"/>
      <c r="J20007" s="309"/>
    </row>
    <row r="20008">
      <c r="B20008" s="309"/>
      <c r="C20008" s="309"/>
      <c r="I20008" s="309"/>
      <c r="J20008" s="309"/>
    </row>
    <row r="20009">
      <c r="B20009" s="309"/>
      <c r="C20009" s="309"/>
      <c r="I20009" s="309"/>
      <c r="J20009" s="309"/>
    </row>
    <row r="20010">
      <c r="B20010" s="309"/>
      <c r="C20010" s="309"/>
      <c r="I20010" s="309"/>
      <c r="J20010" s="309"/>
    </row>
    <row r="20011">
      <c r="B20011" s="309"/>
      <c r="C20011" s="309"/>
      <c r="I20011" s="309"/>
      <c r="J20011" s="309"/>
    </row>
    <row r="20012">
      <c r="B20012" s="309"/>
      <c r="C20012" s="309"/>
      <c r="I20012" s="309"/>
      <c r="J20012" s="309"/>
    </row>
    <row r="20013">
      <c r="B20013" s="309"/>
      <c r="C20013" s="309"/>
      <c r="I20013" s="309"/>
      <c r="J20013" s="309"/>
    </row>
    <row r="20014">
      <c r="B20014" s="309"/>
      <c r="C20014" s="309"/>
      <c r="I20014" s="309"/>
      <c r="J20014" s="309"/>
    </row>
    <row r="20015">
      <c r="B20015" s="309"/>
      <c r="C20015" s="309"/>
      <c r="I20015" s="309"/>
      <c r="J20015" s="309"/>
    </row>
    <row r="20016">
      <c r="B20016" s="309"/>
      <c r="C20016" s="309"/>
      <c r="I20016" s="309"/>
      <c r="J20016" s="309"/>
    </row>
    <row r="20017">
      <c r="B20017" s="309"/>
      <c r="C20017" s="309"/>
      <c r="I20017" s="309"/>
      <c r="J20017" s="309"/>
    </row>
    <row r="20018">
      <c r="B20018" s="309"/>
      <c r="C20018" s="309"/>
      <c r="I20018" s="309"/>
      <c r="J20018" s="309"/>
    </row>
    <row r="20019">
      <c r="B20019" s="309"/>
      <c r="C20019" s="309"/>
      <c r="I20019" s="309"/>
      <c r="J20019" s="309"/>
    </row>
    <row r="20020">
      <c r="B20020" s="309"/>
      <c r="C20020" s="309"/>
      <c r="I20020" s="309"/>
      <c r="J20020" s="309"/>
    </row>
    <row r="20021">
      <c r="B20021" s="309"/>
      <c r="C20021" s="309"/>
      <c r="I20021" s="309"/>
      <c r="J20021" s="309"/>
    </row>
    <row r="20022">
      <c r="B20022" s="309"/>
      <c r="C20022" s="309"/>
      <c r="I20022" s="309"/>
      <c r="J20022" s="309"/>
    </row>
    <row r="20023">
      <c r="B20023" s="309"/>
      <c r="C20023" s="309"/>
      <c r="I20023" s="309"/>
      <c r="J20023" s="309"/>
    </row>
    <row r="20024">
      <c r="B20024" s="309"/>
      <c r="C20024" s="309"/>
      <c r="I20024" s="309"/>
      <c r="J20024" s="309"/>
    </row>
    <row r="20025">
      <c r="B20025" s="309"/>
      <c r="C20025" s="309"/>
      <c r="I20025" s="309"/>
      <c r="J20025" s="309"/>
    </row>
    <row r="20026">
      <c r="B20026" s="309"/>
      <c r="C20026" s="309"/>
      <c r="I20026" s="309"/>
      <c r="J20026" s="309"/>
    </row>
    <row r="20027">
      <c r="B20027" s="309"/>
      <c r="C20027" s="309"/>
      <c r="I20027" s="309"/>
      <c r="J20027" s="309"/>
    </row>
    <row r="20028">
      <c r="B20028" s="309"/>
      <c r="C20028" s="309"/>
      <c r="I20028" s="309"/>
      <c r="J20028" s="309"/>
    </row>
    <row r="20029">
      <c r="B20029" s="309"/>
      <c r="C20029" s="309"/>
      <c r="I20029" s="309"/>
      <c r="J20029" s="309"/>
    </row>
    <row r="20030">
      <c r="B20030" s="309"/>
      <c r="C20030" s="309"/>
      <c r="I20030" s="309"/>
      <c r="J20030" s="309"/>
    </row>
    <row r="20031">
      <c r="B20031" s="309"/>
      <c r="C20031" s="309"/>
      <c r="I20031" s="309"/>
      <c r="J20031" s="309"/>
    </row>
    <row r="20032">
      <c r="B20032" s="309"/>
      <c r="C20032" s="309"/>
      <c r="I20032" s="309"/>
      <c r="J20032" s="309"/>
    </row>
    <row r="20033">
      <c r="B20033" s="309"/>
      <c r="C20033" s="309"/>
      <c r="I20033" s="309"/>
      <c r="J20033" s="309"/>
    </row>
    <row r="20034">
      <c r="B20034" s="309"/>
      <c r="C20034" s="309"/>
      <c r="I20034" s="309"/>
      <c r="J20034" s="309"/>
    </row>
    <row r="20035">
      <c r="B20035" s="309"/>
      <c r="C20035" s="309"/>
      <c r="I20035" s="309"/>
      <c r="J20035" s="309"/>
    </row>
    <row r="20036">
      <c r="B20036" s="309"/>
      <c r="C20036" s="309"/>
      <c r="I20036" s="309"/>
      <c r="J20036" s="309"/>
    </row>
    <row r="20037">
      <c r="B20037" s="309"/>
      <c r="C20037" s="309"/>
      <c r="I20037" s="309"/>
      <c r="J20037" s="309"/>
    </row>
    <row r="20038">
      <c r="B20038" s="309"/>
      <c r="C20038" s="309"/>
      <c r="I20038" s="309"/>
      <c r="J20038" s="309"/>
    </row>
    <row r="20039">
      <c r="B20039" s="309"/>
      <c r="C20039" s="309"/>
      <c r="I20039" s="309"/>
      <c r="J20039" s="309"/>
    </row>
    <row r="20040">
      <c r="B20040" s="309"/>
      <c r="C20040" s="309"/>
      <c r="I20040" s="309"/>
      <c r="J20040" s="309"/>
    </row>
    <row r="20041">
      <c r="B20041" s="309"/>
      <c r="C20041" s="309"/>
      <c r="I20041" s="309"/>
      <c r="J20041" s="309"/>
    </row>
    <row r="20042">
      <c r="B20042" s="309"/>
      <c r="C20042" s="309"/>
      <c r="I20042" s="309"/>
      <c r="J20042" s="309"/>
    </row>
    <row r="20043">
      <c r="B20043" s="309"/>
      <c r="C20043" s="309"/>
      <c r="I20043" s="309"/>
      <c r="J20043" s="309"/>
    </row>
    <row r="20044">
      <c r="B20044" s="309"/>
      <c r="C20044" s="309"/>
      <c r="I20044" s="309"/>
      <c r="J20044" s="309"/>
    </row>
    <row r="20045">
      <c r="B20045" s="309"/>
      <c r="C20045" s="309"/>
      <c r="I20045" s="309"/>
      <c r="J20045" s="309"/>
    </row>
    <row r="20046">
      <c r="B20046" s="309"/>
      <c r="C20046" s="309"/>
      <c r="I20046" s="309"/>
      <c r="J20046" s="309"/>
    </row>
    <row r="20047">
      <c r="B20047" s="309"/>
      <c r="C20047" s="309"/>
      <c r="I20047" s="309"/>
      <c r="J20047" s="309"/>
    </row>
    <row r="20048">
      <c r="B20048" s="309"/>
      <c r="C20048" s="309"/>
      <c r="I20048" s="309"/>
      <c r="J20048" s="309"/>
    </row>
    <row r="20049">
      <c r="B20049" s="309"/>
      <c r="C20049" s="309"/>
      <c r="I20049" s="309"/>
      <c r="J20049" s="309"/>
    </row>
    <row r="20050">
      <c r="B20050" s="309"/>
      <c r="C20050" s="309"/>
      <c r="I20050" s="309"/>
      <c r="J20050" s="309"/>
    </row>
    <row r="20051">
      <c r="B20051" s="309"/>
      <c r="C20051" s="309"/>
      <c r="I20051" s="309"/>
      <c r="J20051" s="309"/>
    </row>
    <row r="20052">
      <c r="B20052" s="309"/>
      <c r="C20052" s="309"/>
      <c r="I20052" s="309"/>
      <c r="J20052" s="309"/>
    </row>
    <row r="20053">
      <c r="B20053" s="309"/>
      <c r="C20053" s="309"/>
      <c r="I20053" s="309"/>
      <c r="J20053" s="309"/>
    </row>
    <row r="20054">
      <c r="B20054" s="309"/>
      <c r="C20054" s="309"/>
      <c r="I20054" s="309"/>
      <c r="J20054" s="309"/>
    </row>
    <row r="20055">
      <c r="B20055" s="309"/>
      <c r="C20055" s="309"/>
      <c r="I20055" s="309"/>
      <c r="J20055" s="309"/>
    </row>
    <row r="20056">
      <c r="B20056" s="309"/>
      <c r="C20056" s="309"/>
      <c r="I20056" s="309"/>
      <c r="J20056" s="309"/>
    </row>
    <row r="20057">
      <c r="B20057" s="309"/>
      <c r="C20057" s="309"/>
      <c r="I20057" s="309"/>
      <c r="J20057" s="309"/>
    </row>
    <row r="20058">
      <c r="B20058" s="309"/>
      <c r="C20058" s="309"/>
      <c r="I20058" s="309"/>
      <c r="J20058" s="309"/>
    </row>
    <row r="20059">
      <c r="B20059" s="309"/>
      <c r="C20059" s="309"/>
      <c r="I20059" s="309"/>
      <c r="J20059" s="309"/>
    </row>
    <row r="20060">
      <c r="B20060" s="309"/>
      <c r="C20060" s="309"/>
      <c r="I20060" s="309"/>
      <c r="J20060" s="309"/>
    </row>
    <row r="20061">
      <c r="B20061" s="309"/>
      <c r="C20061" s="309"/>
      <c r="I20061" s="309"/>
      <c r="J20061" s="309"/>
    </row>
    <row r="20062">
      <c r="B20062" s="309"/>
      <c r="C20062" s="309"/>
      <c r="I20062" s="309"/>
      <c r="J20062" s="309"/>
    </row>
    <row r="20063">
      <c r="B20063" s="309"/>
      <c r="C20063" s="309"/>
      <c r="I20063" s="309"/>
      <c r="J20063" s="309"/>
    </row>
    <row r="20064">
      <c r="B20064" s="309"/>
      <c r="C20064" s="309"/>
      <c r="I20064" s="309"/>
      <c r="J20064" s="309"/>
    </row>
    <row r="20065">
      <c r="B20065" s="309"/>
      <c r="C20065" s="309"/>
      <c r="I20065" s="309"/>
      <c r="J20065" s="309"/>
    </row>
    <row r="20066">
      <c r="B20066" s="309"/>
      <c r="C20066" s="309"/>
      <c r="I20066" s="309"/>
      <c r="J20066" s="309"/>
    </row>
    <row r="20067">
      <c r="B20067" s="309"/>
      <c r="C20067" s="309"/>
      <c r="I20067" s="309"/>
      <c r="J20067" s="309"/>
    </row>
    <row r="20068">
      <c r="B20068" s="309"/>
      <c r="C20068" s="309"/>
      <c r="I20068" s="309"/>
      <c r="J20068" s="309"/>
    </row>
    <row r="20069">
      <c r="B20069" s="309"/>
      <c r="C20069" s="309"/>
      <c r="I20069" s="309"/>
      <c r="J20069" s="309"/>
    </row>
    <row r="20070">
      <c r="B20070" s="309"/>
      <c r="C20070" s="309"/>
      <c r="I20070" s="309"/>
      <c r="J20070" s="309"/>
    </row>
    <row r="20071">
      <c r="B20071" s="309"/>
      <c r="C20071" s="309"/>
      <c r="I20071" s="309"/>
      <c r="J20071" s="309"/>
    </row>
    <row r="20072">
      <c r="B20072" s="309"/>
      <c r="C20072" s="309"/>
      <c r="I20072" s="309"/>
      <c r="J20072" s="309"/>
    </row>
    <row r="20073">
      <c r="B20073" s="309"/>
      <c r="C20073" s="309"/>
      <c r="I20073" s="309"/>
      <c r="J20073" s="309"/>
    </row>
    <row r="20074">
      <c r="B20074" s="309"/>
      <c r="C20074" s="309"/>
      <c r="I20074" s="309"/>
      <c r="J20074" s="309"/>
    </row>
    <row r="20075">
      <c r="B20075" s="309"/>
      <c r="C20075" s="309"/>
      <c r="I20075" s="309"/>
      <c r="J20075" s="309"/>
    </row>
    <row r="20076">
      <c r="B20076" s="309"/>
      <c r="C20076" s="309"/>
      <c r="I20076" s="309"/>
      <c r="J20076" s="309"/>
    </row>
    <row r="20077">
      <c r="B20077" s="309"/>
      <c r="C20077" s="309"/>
      <c r="I20077" s="309"/>
      <c r="J20077" s="309"/>
    </row>
    <row r="20078">
      <c r="B20078" s="309"/>
      <c r="C20078" s="309"/>
      <c r="I20078" s="309"/>
      <c r="J20078" s="309"/>
    </row>
    <row r="20079">
      <c r="B20079" s="309"/>
      <c r="C20079" s="309"/>
      <c r="I20079" s="309"/>
      <c r="J20079" s="309"/>
    </row>
    <row r="20080">
      <c r="B20080" s="309"/>
      <c r="C20080" s="309"/>
      <c r="I20080" s="309"/>
      <c r="J20080" s="309"/>
    </row>
    <row r="20081">
      <c r="B20081" s="309"/>
      <c r="C20081" s="309"/>
      <c r="I20081" s="309"/>
      <c r="J20081" s="309"/>
    </row>
    <row r="20082">
      <c r="B20082" s="309"/>
      <c r="C20082" s="309"/>
      <c r="I20082" s="309"/>
      <c r="J20082" s="309"/>
    </row>
    <row r="20083">
      <c r="B20083" s="309"/>
      <c r="C20083" s="309"/>
      <c r="I20083" s="309"/>
      <c r="J20083" s="309"/>
    </row>
    <row r="20084">
      <c r="B20084" s="309"/>
      <c r="C20084" s="309"/>
      <c r="I20084" s="309"/>
      <c r="J20084" s="309"/>
    </row>
    <row r="20085">
      <c r="B20085" s="309"/>
      <c r="C20085" s="309"/>
      <c r="I20085" s="309"/>
      <c r="J20085" s="309"/>
    </row>
    <row r="20086">
      <c r="B20086" s="309"/>
      <c r="C20086" s="309"/>
      <c r="I20086" s="309"/>
      <c r="J20086" s="309"/>
    </row>
    <row r="20087">
      <c r="B20087" s="309"/>
      <c r="C20087" s="309"/>
      <c r="I20087" s="309"/>
      <c r="J20087" s="309"/>
    </row>
    <row r="20088">
      <c r="B20088" s="309"/>
      <c r="C20088" s="309"/>
      <c r="I20088" s="309"/>
      <c r="J20088" s="309"/>
    </row>
    <row r="20089">
      <c r="B20089" s="309"/>
      <c r="C20089" s="309"/>
      <c r="I20089" s="309"/>
      <c r="J20089" s="309"/>
    </row>
    <row r="20090">
      <c r="B20090" s="309"/>
      <c r="C20090" s="309"/>
      <c r="I20090" s="309"/>
      <c r="J20090" s="309"/>
    </row>
    <row r="20091">
      <c r="B20091" s="309"/>
      <c r="C20091" s="309"/>
      <c r="I20091" s="309"/>
      <c r="J20091" s="309"/>
    </row>
    <row r="20092">
      <c r="B20092" s="309"/>
      <c r="C20092" s="309"/>
      <c r="I20092" s="309"/>
      <c r="J20092" s="309"/>
    </row>
    <row r="20093">
      <c r="B20093" s="309"/>
      <c r="C20093" s="309"/>
      <c r="I20093" s="309"/>
      <c r="J20093" s="309"/>
    </row>
    <row r="20094">
      <c r="B20094" s="309"/>
      <c r="C20094" s="309"/>
      <c r="I20094" s="309"/>
      <c r="J20094" s="309"/>
    </row>
    <row r="20095">
      <c r="B20095" s="309"/>
      <c r="C20095" s="309"/>
      <c r="I20095" s="309"/>
      <c r="J20095" s="309"/>
    </row>
    <row r="20096">
      <c r="B20096" s="309"/>
      <c r="C20096" s="309"/>
      <c r="I20096" s="309"/>
      <c r="J20096" s="309"/>
    </row>
    <row r="20097">
      <c r="B20097" s="309"/>
      <c r="C20097" s="309"/>
      <c r="I20097" s="309"/>
      <c r="J20097" s="309"/>
    </row>
    <row r="20098">
      <c r="B20098" s="309"/>
      <c r="C20098" s="309"/>
      <c r="I20098" s="309"/>
      <c r="J20098" s="309"/>
    </row>
    <row r="20099">
      <c r="B20099" s="309"/>
      <c r="C20099" s="309"/>
      <c r="I20099" s="309"/>
      <c r="J20099" s="309"/>
    </row>
    <row r="20100">
      <c r="B20100" s="309"/>
      <c r="C20100" s="309"/>
      <c r="I20100" s="309"/>
      <c r="J20100" s="309"/>
    </row>
    <row r="20101">
      <c r="B20101" s="309"/>
      <c r="C20101" s="309"/>
      <c r="I20101" s="309"/>
      <c r="J20101" s="309"/>
    </row>
    <row r="20102">
      <c r="B20102" s="309"/>
      <c r="C20102" s="309"/>
      <c r="I20102" s="309"/>
      <c r="J20102" s="309"/>
    </row>
    <row r="20103">
      <c r="B20103" s="309"/>
      <c r="C20103" s="309"/>
      <c r="I20103" s="309"/>
      <c r="J20103" s="309"/>
    </row>
    <row r="20104">
      <c r="B20104" s="309"/>
      <c r="C20104" s="309"/>
      <c r="I20104" s="309"/>
      <c r="J20104" s="309"/>
    </row>
    <row r="20105">
      <c r="B20105" s="309"/>
      <c r="C20105" s="309"/>
      <c r="I20105" s="309"/>
      <c r="J20105" s="309"/>
    </row>
    <row r="20106">
      <c r="B20106" s="309"/>
      <c r="C20106" s="309"/>
      <c r="I20106" s="309"/>
      <c r="J20106" s="309"/>
    </row>
    <row r="20107">
      <c r="B20107" s="309"/>
      <c r="C20107" s="309"/>
      <c r="I20107" s="309"/>
      <c r="J20107" s="309"/>
    </row>
    <row r="20108">
      <c r="B20108" s="309"/>
      <c r="C20108" s="309"/>
      <c r="I20108" s="309"/>
      <c r="J20108" s="309"/>
    </row>
    <row r="20109">
      <c r="B20109" s="309"/>
      <c r="C20109" s="309"/>
      <c r="I20109" s="309"/>
      <c r="J20109" s="309"/>
    </row>
    <row r="20110">
      <c r="B20110" s="309"/>
      <c r="C20110" s="309"/>
      <c r="I20110" s="309"/>
      <c r="J20110" s="309"/>
    </row>
    <row r="20111">
      <c r="B20111" s="309"/>
      <c r="C20111" s="309"/>
      <c r="I20111" s="309"/>
      <c r="J20111" s="309"/>
    </row>
    <row r="20112">
      <c r="B20112" s="309"/>
      <c r="C20112" s="309"/>
      <c r="I20112" s="309"/>
      <c r="J20112" s="309"/>
    </row>
    <row r="20113">
      <c r="B20113" s="309"/>
      <c r="C20113" s="309"/>
      <c r="I20113" s="309"/>
      <c r="J20113" s="309"/>
    </row>
    <row r="20114">
      <c r="B20114" s="309"/>
      <c r="C20114" s="309"/>
      <c r="I20114" s="309"/>
      <c r="J20114" s="309"/>
    </row>
    <row r="20115">
      <c r="B20115" s="309"/>
      <c r="C20115" s="309"/>
      <c r="I20115" s="309"/>
      <c r="J20115" s="309"/>
    </row>
    <row r="20116">
      <c r="B20116" s="309"/>
      <c r="C20116" s="309"/>
      <c r="I20116" s="309"/>
      <c r="J20116" s="309"/>
    </row>
    <row r="20117">
      <c r="B20117" s="309"/>
      <c r="C20117" s="309"/>
      <c r="I20117" s="309"/>
      <c r="J20117" s="309"/>
    </row>
    <row r="20118">
      <c r="B20118" s="309"/>
      <c r="C20118" s="309"/>
      <c r="I20118" s="309"/>
      <c r="J20118" s="309"/>
    </row>
    <row r="20119">
      <c r="B20119" s="309"/>
      <c r="C20119" s="309"/>
      <c r="I20119" s="309"/>
      <c r="J20119" s="309"/>
    </row>
    <row r="20120">
      <c r="B20120" s="309"/>
      <c r="C20120" s="309"/>
      <c r="I20120" s="309"/>
      <c r="J20120" s="309"/>
    </row>
    <row r="20121">
      <c r="B20121" s="309"/>
      <c r="C20121" s="309"/>
      <c r="I20121" s="309"/>
      <c r="J20121" s="309"/>
    </row>
    <row r="20122">
      <c r="B20122" s="309"/>
      <c r="C20122" s="309"/>
      <c r="I20122" s="309"/>
      <c r="J20122" s="309"/>
    </row>
    <row r="20123">
      <c r="B20123" s="309"/>
      <c r="C20123" s="309"/>
      <c r="I20123" s="309"/>
      <c r="J20123" s="309"/>
    </row>
    <row r="20124">
      <c r="B20124" s="309"/>
      <c r="C20124" s="309"/>
      <c r="I20124" s="309"/>
      <c r="J20124" s="309"/>
    </row>
    <row r="20125">
      <c r="B20125" s="309"/>
      <c r="C20125" s="309"/>
      <c r="I20125" s="309"/>
      <c r="J20125" s="309"/>
    </row>
    <row r="20126">
      <c r="B20126" s="309"/>
      <c r="C20126" s="309"/>
      <c r="I20126" s="309"/>
      <c r="J20126" s="309"/>
    </row>
    <row r="20127">
      <c r="B20127" s="309"/>
      <c r="C20127" s="309"/>
      <c r="I20127" s="309"/>
      <c r="J20127" s="309"/>
    </row>
    <row r="20128">
      <c r="B20128" s="309"/>
      <c r="C20128" s="309"/>
      <c r="I20128" s="309"/>
      <c r="J20128" s="309"/>
    </row>
    <row r="20129">
      <c r="B20129" s="309"/>
      <c r="C20129" s="309"/>
      <c r="I20129" s="309"/>
      <c r="J20129" s="309"/>
    </row>
    <row r="20130">
      <c r="B20130" s="309"/>
      <c r="C20130" s="309"/>
      <c r="I20130" s="309"/>
      <c r="J20130" s="309"/>
    </row>
    <row r="20131">
      <c r="B20131" s="309"/>
      <c r="C20131" s="309"/>
      <c r="I20131" s="309"/>
      <c r="J20131" s="309"/>
    </row>
    <row r="20132">
      <c r="B20132" s="309"/>
      <c r="C20132" s="309"/>
      <c r="I20132" s="309"/>
      <c r="J20132" s="309"/>
    </row>
    <row r="20133">
      <c r="B20133" s="309"/>
      <c r="C20133" s="309"/>
      <c r="I20133" s="309"/>
      <c r="J20133" s="309"/>
    </row>
    <row r="20134">
      <c r="B20134" s="309"/>
      <c r="C20134" s="309"/>
      <c r="I20134" s="309"/>
      <c r="J20134" s="309"/>
    </row>
    <row r="20135">
      <c r="B20135" s="309"/>
      <c r="C20135" s="309"/>
      <c r="I20135" s="309"/>
      <c r="J20135" s="309"/>
    </row>
    <row r="20136">
      <c r="B20136" s="309"/>
      <c r="C20136" s="309"/>
      <c r="I20136" s="309"/>
      <c r="J20136" s="309"/>
    </row>
    <row r="20137">
      <c r="B20137" s="309"/>
      <c r="C20137" s="309"/>
      <c r="I20137" s="309"/>
      <c r="J20137" s="309"/>
    </row>
    <row r="20138">
      <c r="B20138" s="309"/>
      <c r="C20138" s="309"/>
      <c r="I20138" s="309"/>
      <c r="J20138" s="309"/>
    </row>
    <row r="20139">
      <c r="B20139" s="309"/>
      <c r="C20139" s="309"/>
      <c r="I20139" s="309"/>
      <c r="J20139" s="309"/>
    </row>
    <row r="20140">
      <c r="B20140" s="309"/>
      <c r="C20140" s="309"/>
      <c r="I20140" s="309"/>
      <c r="J20140" s="309"/>
    </row>
    <row r="20141">
      <c r="B20141" s="309"/>
      <c r="C20141" s="309"/>
      <c r="I20141" s="309"/>
      <c r="J20141" s="309"/>
    </row>
    <row r="20142">
      <c r="B20142" s="309"/>
      <c r="C20142" s="309"/>
      <c r="I20142" s="309"/>
      <c r="J20142" s="309"/>
    </row>
    <row r="20143">
      <c r="B20143" s="309"/>
      <c r="C20143" s="309"/>
      <c r="I20143" s="309"/>
      <c r="J20143" s="309"/>
    </row>
    <row r="20144">
      <c r="B20144" s="309"/>
      <c r="C20144" s="309"/>
      <c r="I20144" s="309"/>
      <c r="J20144" s="309"/>
    </row>
    <row r="20145">
      <c r="B20145" s="309"/>
      <c r="C20145" s="309"/>
      <c r="I20145" s="309"/>
      <c r="J20145" s="309"/>
    </row>
    <row r="20146">
      <c r="B20146" s="309"/>
      <c r="C20146" s="309"/>
      <c r="I20146" s="309"/>
      <c r="J20146" s="309"/>
    </row>
    <row r="20147">
      <c r="B20147" s="309"/>
      <c r="C20147" s="309"/>
      <c r="I20147" s="309"/>
      <c r="J20147" s="309"/>
    </row>
    <row r="20148">
      <c r="B20148" s="309"/>
      <c r="C20148" s="309"/>
      <c r="I20148" s="309"/>
      <c r="J20148" s="309"/>
    </row>
    <row r="20149">
      <c r="B20149" s="309"/>
      <c r="C20149" s="309"/>
      <c r="I20149" s="309"/>
      <c r="J20149" s="309"/>
    </row>
    <row r="20150">
      <c r="B20150" s="309"/>
      <c r="C20150" s="309"/>
      <c r="I20150" s="309"/>
      <c r="J20150" s="309"/>
    </row>
    <row r="20151">
      <c r="B20151" s="309"/>
      <c r="C20151" s="309"/>
      <c r="I20151" s="309"/>
      <c r="J20151" s="309"/>
    </row>
    <row r="20152">
      <c r="B20152" s="309"/>
      <c r="C20152" s="309"/>
      <c r="I20152" s="309"/>
      <c r="J20152" s="309"/>
    </row>
    <row r="20153">
      <c r="B20153" s="309"/>
      <c r="C20153" s="309"/>
      <c r="I20153" s="309"/>
      <c r="J20153" s="309"/>
    </row>
    <row r="20154">
      <c r="B20154" s="309"/>
      <c r="C20154" s="309"/>
      <c r="I20154" s="309"/>
      <c r="J20154" s="309"/>
    </row>
    <row r="20155">
      <c r="B20155" s="309"/>
      <c r="C20155" s="309"/>
      <c r="I20155" s="309"/>
      <c r="J20155" s="309"/>
    </row>
    <row r="20156">
      <c r="B20156" s="309"/>
      <c r="C20156" s="309"/>
      <c r="I20156" s="309"/>
      <c r="J20156" s="309"/>
    </row>
    <row r="20157">
      <c r="B20157" s="309"/>
      <c r="C20157" s="309"/>
      <c r="I20157" s="309"/>
      <c r="J20157" s="309"/>
    </row>
    <row r="20158">
      <c r="B20158" s="309"/>
      <c r="C20158" s="309"/>
      <c r="I20158" s="309"/>
      <c r="J20158" s="309"/>
    </row>
    <row r="20159">
      <c r="B20159" s="309"/>
      <c r="C20159" s="309"/>
      <c r="I20159" s="309"/>
      <c r="J20159" s="309"/>
    </row>
    <row r="20160">
      <c r="B20160" s="309"/>
      <c r="C20160" s="309"/>
      <c r="I20160" s="309"/>
      <c r="J20160" s="309"/>
    </row>
    <row r="20161">
      <c r="B20161" s="309"/>
      <c r="C20161" s="309"/>
      <c r="I20161" s="309"/>
      <c r="J20161" s="309"/>
    </row>
    <row r="20162">
      <c r="B20162" s="309"/>
      <c r="C20162" s="309"/>
      <c r="I20162" s="309"/>
      <c r="J20162" s="309"/>
    </row>
    <row r="20163">
      <c r="B20163" s="309"/>
      <c r="C20163" s="309"/>
      <c r="I20163" s="309"/>
      <c r="J20163" s="309"/>
    </row>
    <row r="20164">
      <c r="B20164" s="309"/>
      <c r="C20164" s="309"/>
      <c r="I20164" s="309"/>
      <c r="J20164" s="309"/>
    </row>
    <row r="20165">
      <c r="B20165" s="309"/>
      <c r="C20165" s="309"/>
      <c r="I20165" s="309"/>
      <c r="J20165" s="309"/>
    </row>
    <row r="20166">
      <c r="B20166" s="309"/>
      <c r="C20166" s="309"/>
      <c r="I20166" s="309"/>
      <c r="J20166" s="309"/>
    </row>
    <row r="20167">
      <c r="B20167" s="309"/>
      <c r="C20167" s="309"/>
      <c r="I20167" s="309"/>
      <c r="J20167" s="309"/>
    </row>
    <row r="20168">
      <c r="B20168" s="309"/>
      <c r="C20168" s="309"/>
      <c r="I20168" s="309"/>
      <c r="J20168" s="309"/>
    </row>
    <row r="20169">
      <c r="B20169" s="309"/>
      <c r="C20169" s="309"/>
      <c r="I20169" s="309"/>
      <c r="J20169" s="309"/>
    </row>
    <row r="20170">
      <c r="B20170" s="309"/>
      <c r="C20170" s="309"/>
      <c r="I20170" s="309"/>
      <c r="J20170" s="309"/>
    </row>
    <row r="20171">
      <c r="B20171" s="309"/>
      <c r="C20171" s="309"/>
      <c r="I20171" s="309"/>
      <c r="J20171" s="309"/>
    </row>
    <row r="20172">
      <c r="B20172" s="309"/>
      <c r="C20172" s="309"/>
      <c r="I20172" s="309"/>
      <c r="J20172" s="309"/>
    </row>
    <row r="20173">
      <c r="B20173" s="309"/>
      <c r="C20173" s="309"/>
      <c r="I20173" s="309"/>
      <c r="J20173" s="309"/>
    </row>
    <row r="20174">
      <c r="B20174" s="309"/>
      <c r="C20174" s="309"/>
      <c r="I20174" s="309"/>
      <c r="J20174" s="309"/>
    </row>
    <row r="20175">
      <c r="B20175" s="309"/>
      <c r="C20175" s="309"/>
      <c r="I20175" s="309"/>
      <c r="J20175" s="309"/>
    </row>
    <row r="20176">
      <c r="B20176" s="309"/>
      <c r="C20176" s="309"/>
      <c r="I20176" s="309"/>
      <c r="J20176" s="309"/>
    </row>
    <row r="20177">
      <c r="B20177" s="309"/>
      <c r="C20177" s="309"/>
      <c r="I20177" s="309"/>
      <c r="J20177" s="309"/>
    </row>
    <row r="20178">
      <c r="B20178" s="309"/>
      <c r="C20178" s="309"/>
      <c r="I20178" s="309"/>
      <c r="J20178" s="309"/>
    </row>
    <row r="20179">
      <c r="B20179" s="309"/>
      <c r="C20179" s="309"/>
      <c r="I20179" s="309"/>
      <c r="J20179" s="309"/>
    </row>
    <row r="20180">
      <c r="B20180" s="309"/>
      <c r="C20180" s="309"/>
      <c r="I20180" s="309"/>
      <c r="J20180" s="309"/>
    </row>
    <row r="20181">
      <c r="B20181" s="309"/>
      <c r="C20181" s="309"/>
      <c r="I20181" s="309"/>
      <c r="J20181" s="309"/>
    </row>
    <row r="20182">
      <c r="B20182" s="309"/>
      <c r="C20182" s="309"/>
      <c r="I20182" s="309"/>
      <c r="J20182" s="309"/>
    </row>
    <row r="20183">
      <c r="B20183" s="309"/>
      <c r="C20183" s="309"/>
      <c r="I20183" s="309"/>
      <c r="J20183" s="309"/>
    </row>
    <row r="20184">
      <c r="B20184" s="309"/>
      <c r="C20184" s="309"/>
      <c r="I20184" s="309"/>
      <c r="J20184" s="309"/>
    </row>
    <row r="20185">
      <c r="B20185" s="309"/>
      <c r="C20185" s="309"/>
      <c r="I20185" s="309"/>
      <c r="J20185" s="309"/>
    </row>
    <row r="20186">
      <c r="B20186" s="309"/>
      <c r="C20186" s="309"/>
      <c r="I20186" s="309"/>
      <c r="J20186" s="309"/>
    </row>
    <row r="20187">
      <c r="B20187" s="309"/>
      <c r="C20187" s="309"/>
      <c r="I20187" s="309"/>
      <c r="J20187" s="309"/>
    </row>
    <row r="20188">
      <c r="B20188" s="309"/>
      <c r="C20188" s="309"/>
      <c r="I20188" s="309"/>
      <c r="J20188" s="309"/>
    </row>
    <row r="20189">
      <c r="B20189" s="309"/>
      <c r="C20189" s="309"/>
      <c r="I20189" s="309"/>
      <c r="J20189" s="309"/>
    </row>
    <row r="20190">
      <c r="B20190" s="309"/>
      <c r="C20190" s="309"/>
      <c r="I20190" s="309"/>
      <c r="J20190" s="309"/>
    </row>
    <row r="20191">
      <c r="B20191" s="309"/>
      <c r="C20191" s="309"/>
      <c r="I20191" s="309"/>
      <c r="J20191" s="309"/>
    </row>
    <row r="20192">
      <c r="B20192" s="309"/>
      <c r="C20192" s="309"/>
      <c r="I20192" s="309"/>
      <c r="J20192" s="309"/>
    </row>
    <row r="20193">
      <c r="B20193" s="309"/>
      <c r="C20193" s="309"/>
      <c r="I20193" s="309"/>
      <c r="J20193" s="309"/>
    </row>
    <row r="20194">
      <c r="B20194" s="309"/>
      <c r="C20194" s="309"/>
      <c r="I20194" s="309"/>
      <c r="J20194" s="309"/>
    </row>
    <row r="20195">
      <c r="B20195" s="309"/>
      <c r="C20195" s="309"/>
      <c r="I20195" s="309"/>
      <c r="J20195" s="309"/>
    </row>
    <row r="20196">
      <c r="B20196" s="309"/>
      <c r="C20196" s="309"/>
      <c r="I20196" s="309"/>
      <c r="J20196" s="309"/>
    </row>
    <row r="20197">
      <c r="B20197" s="309"/>
      <c r="C20197" s="309"/>
      <c r="I20197" s="309"/>
      <c r="J20197" s="309"/>
    </row>
    <row r="20198">
      <c r="B20198" s="309"/>
      <c r="C20198" s="309"/>
      <c r="I20198" s="309"/>
      <c r="J20198" s="309"/>
    </row>
    <row r="20199">
      <c r="B20199" s="309"/>
      <c r="C20199" s="309"/>
      <c r="I20199" s="309"/>
      <c r="J20199" s="309"/>
    </row>
    <row r="20200">
      <c r="B20200" s="309"/>
      <c r="C20200" s="309"/>
      <c r="I20200" s="309"/>
      <c r="J20200" s="309"/>
    </row>
    <row r="20201">
      <c r="B20201" s="309"/>
      <c r="C20201" s="309"/>
      <c r="I20201" s="309"/>
      <c r="J20201" s="309"/>
    </row>
    <row r="20202">
      <c r="B20202" s="309"/>
      <c r="C20202" s="309"/>
      <c r="I20202" s="309"/>
      <c r="J20202" s="309"/>
    </row>
    <row r="20203">
      <c r="B20203" s="309"/>
      <c r="C20203" s="309"/>
      <c r="I20203" s="309"/>
      <c r="J20203" s="309"/>
    </row>
    <row r="20204">
      <c r="B20204" s="309"/>
      <c r="C20204" s="309"/>
      <c r="I20204" s="309"/>
      <c r="J20204" s="309"/>
    </row>
    <row r="20205">
      <c r="B20205" s="309"/>
      <c r="C20205" s="309"/>
      <c r="I20205" s="309"/>
      <c r="J20205" s="309"/>
    </row>
    <row r="20206">
      <c r="B20206" s="309"/>
      <c r="C20206" s="309"/>
      <c r="I20206" s="309"/>
      <c r="J20206" s="309"/>
    </row>
    <row r="20207">
      <c r="B20207" s="309"/>
      <c r="C20207" s="309"/>
      <c r="I20207" s="309"/>
      <c r="J20207" s="309"/>
    </row>
    <row r="20208">
      <c r="B20208" s="309"/>
      <c r="C20208" s="309"/>
      <c r="I20208" s="309"/>
      <c r="J20208" s="309"/>
    </row>
    <row r="20209">
      <c r="B20209" s="309"/>
      <c r="C20209" s="309"/>
      <c r="I20209" s="309"/>
      <c r="J20209" s="309"/>
    </row>
    <row r="20210">
      <c r="B20210" s="309"/>
      <c r="C20210" s="309"/>
      <c r="I20210" s="309"/>
      <c r="J20210" s="309"/>
    </row>
    <row r="20211">
      <c r="B20211" s="309"/>
      <c r="C20211" s="309"/>
      <c r="I20211" s="309"/>
      <c r="J20211" s="309"/>
    </row>
    <row r="20212">
      <c r="B20212" s="309"/>
      <c r="C20212" s="309"/>
      <c r="I20212" s="309"/>
      <c r="J20212" s="309"/>
    </row>
    <row r="20213">
      <c r="B20213" s="309"/>
      <c r="C20213" s="309"/>
      <c r="I20213" s="309"/>
      <c r="J20213" s="309"/>
    </row>
    <row r="20214">
      <c r="B20214" s="309"/>
      <c r="C20214" s="309"/>
      <c r="I20214" s="309"/>
      <c r="J20214" s="309"/>
    </row>
    <row r="20215">
      <c r="B20215" s="309"/>
      <c r="C20215" s="309"/>
      <c r="I20215" s="309"/>
      <c r="J20215" s="309"/>
    </row>
    <row r="20216">
      <c r="B20216" s="309"/>
      <c r="C20216" s="309"/>
      <c r="I20216" s="309"/>
      <c r="J20216" s="309"/>
    </row>
    <row r="20217">
      <c r="B20217" s="309"/>
      <c r="C20217" s="309"/>
      <c r="I20217" s="309"/>
      <c r="J20217" s="309"/>
    </row>
    <row r="20218">
      <c r="B20218" s="309"/>
      <c r="C20218" s="309"/>
      <c r="I20218" s="309"/>
      <c r="J20218" s="309"/>
    </row>
    <row r="20219">
      <c r="B20219" s="309"/>
      <c r="C20219" s="309"/>
      <c r="I20219" s="309"/>
      <c r="J20219" s="309"/>
    </row>
    <row r="20220">
      <c r="B20220" s="309"/>
      <c r="C20220" s="309"/>
      <c r="I20220" s="309"/>
      <c r="J20220" s="309"/>
    </row>
    <row r="20221">
      <c r="B20221" s="309"/>
      <c r="C20221" s="309"/>
      <c r="I20221" s="309"/>
      <c r="J20221" s="309"/>
    </row>
    <row r="20222">
      <c r="B20222" s="309"/>
      <c r="C20222" s="309"/>
      <c r="I20222" s="309"/>
      <c r="J20222" s="309"/>
    </row>
    <row r="20223">
      <c r="B20223" s="309"/>
      <c r="C20223" s="309"/>
      <c r="I20223" s="309"/>
      <c r="J20223" s="309"/>
    </row>
    <row r="20224">
      <c r="B20224" s="309"/>
      <c r="C20224" s="309"/>
      <c r="I20224" s="309"/>
      <c r="J20224" s="309"/>
    </row>
    <row r="20225">
      <c r="B20225" s="309"/>
      <c r="C20225" s="309"/>
      <c r="I20225" s="309"/>
      <c r="J20225" s="309"/>
    </row>
    <row r="20226">
      <c r="B20226" s="309"/>
      <c r="C20226" s="309"/>
      <c r="I20226" s="309"/>
      <c r="J20226" s="309"/>
    </row>
    <row r="20227">
      <c r="B20227" s="309"/>
      <c r="C20227" s="309"/>
      <c r="I20227" s="309"/>
      <c r="J20227" s="309"/>
    </row>
    <row r="20228">
      <c r="B20228" s="309"/>
      <c r="C20228" s="309"/>
      <c r="I20228" s="309"/>
      <c r="J20228" s="309"/>
    </row>
    <row r="20229">
      <c r="B20229" s="309"/>
      <c r="C20229" s="309"/>
      <c r="I20229" s="309"/>
      <c r="J20229" s="309"/>
    </row>
    <row r="20230">
      <c r="B20230" s="309"/>
      <c r="C20230" s="309"/>
      <c r="I20230" s="309"/>
      <c r="J20230" s="309"/>
    </row>
    <row r="20231">
      <c r="B20231" s="309"/>
      <c r="C20231" s="309"/>
      <c r="I20231" s="309"/>
      <c r="J20231" s="309"/>
    </row>
    <row r="20232">
      <c r="B20232" s="309"/>
      <c r="C20232" s="309"/>
      <c r="I20232" s="309"/>
      <c r="J20232" s="309"/>
    </row>
    <row r="20233">
      <c r="B20233" s="309"/>
      <c r="C20233" s="309"/>
      <c r="I20233" s="309"/>
      <c r="J20233" s="309"/>
    </row>
    <row r="20234">
      <c r="B20234" s="309"/>
      <c r="C20234" s="309"/>
      <c r="I20234" s="309"/>
      <c r="J20234" s="309"/>
    </row>
    <row r="20235">
      <c r="B20235" s="309"/>
      <c r="C20235" s="309"/>
      <c r="I20235" s="309"/>
      <c r="J20235" s="309"/>
    </row>
    <row r="20236">
      <c r="B20236" s="309"/>
      <c r="C20236" s="309"/>
      <c r="I20236" s="309"/>
      <c r="J20236" s="309"/>
    </row>
    <row r="20237">
      <c r="B20237" s="309"/>
      <c r="C20237" s="309"/>
      <c r="I20237" s="309"/>
      <c r="J20237" s="309"/>
    </row>
    <row r="20238">
      <c r="B20238" s="309"/>
      <c r="C20238" s="309"/>
      <c r="I20238" s="309"/>
      <c r="J20238" s="309"/>
    </row>
    <row r="20239">
      <c r="B20239" s="309"/>
      <c r="C20239" s="309"/>
      <c r="I20239" s="309"/>
      <c r="J20239" s="309"/>
    </row>
    <row r="20240">
      <c r="B20240" s="309"/>
      <c r="C20240" s="309"/>
      <c r="I20240" s="309"/>
      <c r="J20240" s="309"/>
    </row>
    <row r="20241">
      <c r="B20241" s="309"/>
      <c r="C20241" s="309"/>
      <c r="I20241" s="309"/>
      <c r="J20241" s="309"/>
    </row>
    <row r="20242">
      <c r="B20242" s="309"/>
      <c r="C20242" s="309"/>
      <c r="I20242" s="309"/>
      <c r="J20242" s="309"/>
    </row>
    <row r="20243">
      <c r="B20243" s="309"/>
      <c r="C20243" s="309"/>
      <c r="I20243" s="309"/>
      <c r="J20243" s="309"/>
    </row>
    <row r="20244">
      <c r="B20244" s="309"/>
      <c r="C20244" s="309"/>
      <c r="I20244" s="309"/>
      <c r="J20244" s="309"/>
    </row>
    <row r="20245">
      <c r="B20245" s="309"/>
      <c r="C20245" s="309"/>
      <c r="I20245" s="309"/>
      <c r="J20245" s="309"/>
    </row>
    <row r="20246">
      <c r="B20246" s="309"/>
      <c r="C20246" s="309"/>
      <c r="I20246" s="309"/>
      <c r="J20246" s="309"/>
    </row>
    <row r="20247">
      <c r="B20247" s="309"/>
      <c r="C20247" s="309"/>
      <c r="I20247" s="309"/>
      <c r="J20247" s="309"/>
    </row>
    <row r="20248">
      <c r="B20248" s="309"/>
      <c r="C20248" s="309"/>
      <c r="I20248" s="309"/>
      <c r="J20248" s="309"/>
    </row>
    <row r="20249">
      <c r="B20249" s="309"/>
      <c r="C20249" s="309"/>
      <c r="I20249" s="309"/>
      <c r="J20249" s="309"/>
    </row>
    <row r="20250">
      <c r="B20250" s="309"/>
      <c r="C20250" s="309"/>
      <c r="I20250" s="309"/>
      <c r="J20250" s="309"/>
    </row>
    <row r="20251">
      <c r="B20251" s="309"/>
      <c r="C20251" s="309"/>
      <c r="I20251" s="309"/>
      <c r="J20251" s="309"/>
    </row>
    <row r="20252">
      <c r="B20252" s="309"/>
      <c r="C20252" s="309"/>
      <c r="I20252" s="309"/>
      <c r="J20252" s="309"/>
    </row>
    <row r="20253">
      <c r="B20253" s="309"/>
      <c r="C20253" s="309"/>
      <c r="I20253" s="309"/>
      <c r="J20253" s="309"/>
    </row>
    <row r="20254">
      <c r="B20254" s="309"/>
      <c r="C20254" s="309"/>
      <c r="I20254" s="309"/>
      <c r="J20254" s="309"/>
    </row>
    <row r="20255">
      <c r="B20255" s="309"/>
      <c r="C20255" s="309"/>
      <c r="I20255" s="309"/>
      <c r="J20255" s="309"/>
    </row>
    <row r="20256">
      <c r="B20256" s="309"/>
      <c r="C20256" s="309"/>
      <c r="I20256" s="309"/>
      <c r="J20256" s="309"/>
    </row>
    <row r="20257">
      <c r="B20257" s="309"/>
      <c r="C20257" s="309"/>
      <c r="I20257" s="309"/>
      <c r="J20257" s="309"/>
    </row>
    <row r="20258">
      <c r="B20258" s="309"/>
      <c r="C20258" s="309"/>
      <c r="I20258" s="309"/>
      <c r="J20258" s="309"/>
    </row>
    <row r="20259">
      <c r="B20259" s="309"/>
      <c r="C20259" s="309"/>
      <c r="I20259" s="309"/>
      <c r="J20259" s="309"/>
    </row>
    <row r="20260">
      <c r="B20260" s="309"/>
      <c r="C20260" s="309"/>
      <c r="I20260" s="309"/>
      <c r="J20260" s="309"/>
    </row>
    <row r="20261">
      <c r="B20261" s="309"/>
      <c r="C20261" s="309"/>
      <c r="I20261" s="309"/>
      <c r="J20261" s="309"/>
    </row>
    <row r="20262">
      <c r="B20262" s="309"/>
      <c r="C20262" s="309"/>
      <c r="I20262" s="309"/>
      <c r="J20262" s="309"/>
    </row>
    <row r="20263">
      <c r="B20263" s="309"/>
      <c r="C20263" s="309"/>
      <c r="I20263" s="309"/>
      <c r="J20263" s="309"/>
    </row>
    <row r="20264">
      <c r="B20264" s="309"/>
      <c r="C20264" s="309"/>
      <c r="I20264" s="309"/>
      <c r="J20264" s="309"/>
    </row>
    <row r="20265">
      <c r="B20265" s="309"/>
      <c r="C20265" s="309"/>
      <c r="I20265" s="309"/>
      <c r="J20265" s="309"/>
    </row>
    <row r="20266">
      <c r="B20266" s="309"/>
      <c r="C20266" s="309"/>
      <c r="I20266" s="309"/>
      <c r="J20266" s="309"/>
    </row>
    <row r="20267">
      <c r="B20267" s="309"/>
      <c r="C20267" s="309"/>
      <c r="I20267" s="309"/>
      <c r="J20267" s="309"/>
    </row>
    <row r="20268">
      <c r="B20268" s="309"/>
      <c r="C20268" s="309"/>
      <c r="I20268" s="309"/>
      <c r="J20268" s="309"/>
    </row>
    <row r="20269">
      <c r="B20269" s="309"/>
      <c r="C20269" s="309"/>
      <c r="I20269" s="309"/>
      <c r="J20269" s="309"/>
    </row>
    <row r="20270">
      <c r="B20270" s="309"/>
      <c r="C20270" s="309"/>
      <c r="I20270" s="309"/>
      <c r="J20270" s="309"/>
    </row>
    <row r="20271">
      <c r="B20271" s="309"/>
      <c r="C20271" s="309"/>
      <c r="I20271" s="309"/>
      <c r="J20271" s="309"/>
    </row>
    <row r="20272">
      <c r="B20272" s="309"/>
      <c r="C20272" s="309"/>
      <c r="I20272" s="309"/>
      <c r="J20272" s="309"/>
    </row>
    <row r="20273">
      <c r="B20273" s="309"/>
      <c r="C20273" s="309"/>
      <c r="I20273" s="309"/>
      <c r="J20273" s="309"/>
    </row>
    <row r="20274">
      <c r="B20274" s="309"/>
      <c r="C20274" s="309"/>
      <c r="I20274" s="309"/>
      <c r="J20274" s="309"/>
    </row>
    <row r="20275">
      <c r="B20275" s="309"/>
      <c r="C20275" s="309"/>
      <c r="I20275" s="309"/>
      <c r="J20275" s="309"/>
    </row>
    <row r="20276">
      <c r="B20276" s="309"/>
      <c r="C20276" s="309"/>
      <c r="I20276" s="309"/>
      <c r="J20276" s="309"/>
    </row>
    <row r="20277">
      <c r="B20277" s="309"/>
      <c r="C20277" s="309"/>
      <c r="I20277" s="309"/>
      <c r="J20277" s="309"/>
    </row>
    <row r="20278">
      <c r="B20278" s="309"/>
      <c r="C20278" s="309"/>
      <c r="I20278" s="309"/>
      <c r="J20278" s="309"/>
    </row>
    <row r="20279">
      <c r="B20279" s="309"/>
      <c r="C20279" s="309"/>
      <c r="I20279" s="309"/>
      <c r="J20279" s="309"/>
    </row>
    <row r="20280">
      <c r="B20280" s="309"/>
      <c r="C20280" s="309"/>
      <c r="I20280" s="309"/>
      <c r="J20280" s="309"/>
    </row>
    <row r="20281">
      <c r="B20281" s="309"/>
      <c r="C20281" s="309"/>
      <c r="I20281" s="309"/>
      <c r="J20281" s="309"/>
    </row>
    <row r="20282">
      <c r="B20282" s="309"/>
      <c r="C20282" s="309"/>
      <c r="I20282" s="309"/>
      <c r="J20282" s="309"/>
    </row>
    <row r="20283">
      <c r="B20283" s="309"/>
      <c r="C20283" s="309"/>
      <c r="I20283" s="309"/>
      <c r="J20283" s="309"/>
    </row>
    <row r="20284">
      <c r="B20284" s="309"/>
      <c r="C20284" s="309"/>
      <c r="I20284" s="309"/>
      <c r="J20284" s="309"/>
    </row>
    <row r="20285">
      <c r="B20285" s="309"/>
      <c r="C20285" s="309"/>
      <c r="I20285" s="309"/>
      <c r="J20285" s="309"/>
    </row>
    <row r="20286">
      <c r="B20286" s="309"/>
      <c r="C20286" s="309"/>
      <c r="I20286" s="309"/>
      <c r="J20286" s="309"/>
    </row>
    <row r="20287">
      <c r="B20287" s="309"/>
      <c r="C20287" s="309"/>
      <c r="I20287" s="309"/>
      <c r="J20287" s="309"/>
    </row>
    <row r="20288">
      <c r="B20288" s="309"/>
      <c r="C20288" s="309"/>
      <c r="I20288" s="309"/>
      <c r="J20288" s="309"/>
    </row>
    <row r="20289">
      <c r="B20289" s="309"/>
      <c r="C20289" s="309"/>
      <c r="I20289" s="309"/>
      <c r="J20289" s="309"/>
    </row>
    <row r="20290">
      <c r="B20290" s="309"/>
      <c r="C20290" s="309"/>
      <c r="I20290" s="309"/>
      <c r="J20290" s="309"/>
    </row>
    <row r="20291">
      <c r="B20291" s="309"/>
      <c r="C20291" s="309"/>
      <c r="I20291" s="309"/>
      <c r="J20291" s="309"/>
    </row>
    <row r="20292">
      <c r="B20292" s="309"/>
      <c r="C20292" s="309"/>
      <c r="I20292" s="309"/>
      <c r="J20292" s="309"/>
    </row>
    <row r="20293">
      <c r="B20293" s="309"/>
      <c r="C20293" s="309"/>
      <c r="I20293" s="309"/>
      <c r="J20293" s="309"/>
    </row>
    <row r="20294">
      <c r="B20294" s="309"/>
      <c r="C20294" s="309"/>
      <c r="I20294" s="309"/>
      <c r="J20294" s="309"/>
    </row>
    <row r="20295">
      <c r="B20295" s="309"/>
      <c r="C20295" s="309"/>
      <c r="I20295" s="309"/>
      <c r="J20295" s="309"/>
    </row>
    <row r="20296">
      <c r="B20296" s="309"/>
      <c r="C20296" s="309"/>
      <c r="I20296" s="309"/>
      <c r="J20296" s="309"/>
    </row>
    <row r="20297">
      <c r="B20297" s="309"/>
      <c r="C20297" s="309"/>
      <c r="I20297" s="309"/>
      <c r="J20297" s="309"/>
    </row>
    <row r="20298">
      <c r="B20298" s="309"/>
      <c r="C20298" s="309"/>
      <c r="I20298" s="309"/>
      <c r="J20298" s="309"/>
    </row>
    <row r="20299">
      <c r="B20299" s="309"/>
      <c r="C20299" s="309"/>
      <c r="I20299" s="309"/>
      <c r="J20299" s="309"/>
    </row>
    <row r="20300">
      <c r="B20300" s="309"/>
      <c r="C20300" s="309"/>
      <c r="I20300" s="309"/>
      <c r="J20300" s="309"/>
    </row>
    <row r="20301">
      <c r="B20301" s="309"/>
      <c r="C20301" s="309"/>
      <c r="I20301" s="309"/>
      <c r="J20301" s="309"/>
    </row>
    <row r="20302">
      <c r="B20302" s="309"/>
      <c r="C20302" s="309"/>
      <c r="I20302" s="309"/>
      <c r="J20302" s="309"/>
    </row>
    <row r="20303">
      <c r="B20303" s="309"/>
      <c r="C20303" s="309"/>
      <c r="I20303" s="309"/>
      <c r="J20303" s="309"/>
    </row>
    <row r="20304">
      <c r="B20304" s="309"/>
      <c r="C20304" s="309"/>
      <c r="I20304" s="309"/>
      <c r="J20304" s="309"/>
    </row>
    <row r="20305">
      <c r="B20305" s="309"/>
      <c r="C20305" s="309"/>
      <c r="I20305" s="309"/>
      <c r="J20305" s="309"/>
    </row>
    <row r="20306">
      <c r="B20306" s="309"/>
      <c r="C20306" s="309"/>
      <c r="I20306" s="309"/>
      <c r="J20306" s="309"/>
    </row>
    <row r="20307">
      <c r="B20307" s="309"/>
      <c r="C20307" s="309"/>
      <c r="I20307" s="309"/>
      <c r="J20307" s="309"/>
    </row>
    <row r="20308">
      <c r="B20308" s="309"/>
      <c r="C20308" s="309"/>
      <c r="I20308" s="309"/>
      <c r="J20308" s="309"/>
    </row>
    <row r="20309">
      <c r="B20309" s="309"/>
      <c r="C20309" s="309"/>
      <c r="I20309" s="309"/>
      <c r="J20309" s="309"/>
    </row>
    <row r="20310">
      <c r="B20310" s="309"/>
      <c r="C20310" s="309"/>
      <c r="I20310" s="309"/>
      <c r="J20310" s="309"/>
    </row>
    <row r="20311">
      <c r="B20311" s="309"/>
      <c r="C20311" s="309"/>
      <c r="I20311" s="309"/>
      <c r="J20311" s="309"/>
    </row>
    <row r="20312">
      <c r="B20312" s="309"/>
      <c r="C20312" s="309"/>
      <c r="I20312" s="309"/>
      <c r="J20312" s="309"/>
    </row>
    <row r="20313">
      <c r="B20313" s="309"/>
      <c r="C20313" s="309"/>
      <c r="I20313" s="309"/>
      <c r="J20313" s="309"/>
    </row>
    <row r="20314">
      <c r="B20314" s="309"/>
      <c r="C20314" s="309"/>
      <c r="I20314" s="309"/>
      <c r="J20314" s="309"/>
    </row>
    <row r="20315">
      <c r="B20315" s="309"/>
      <c r="C20315" s="309"/>
      <c r="I20315" s="309"/>
      <c r="J20315" s="309"/>
    </row>
    <row r="20316">
      <c r="B20316" s="309"/>
      <c r="C20316" s="309"/>
      <c r="I20316" s="309"/>
      <c r="J20316" s="309"/>
    </row>
    <row r="20317">
      <c r="B20317" s="309"/>
      <c r="C20317" s="309"/>
      <c r="I20317" s="309"/>
      <c r="J20317" s="309"/>
    </row>
    <row r="20318">
      <c r="B20318" s="309"/>
      <c r="C20318" s="309"/>
      <c r="I20318" s="309"/>
      <c r="J20318" s="309"/>
    </row>
    <row r="20319">
      <c r="B20319" s="309"/>
      <c r="C20319" s="309"/>
      <c r="I20319" s="309"/>
      <c r="J20319" s="309"/>
    </row>
    <row r="20320">
      <c r="B20320" s="309"/>
      <c r="C20320" s="309"/>
      <c r="I20320" s="309"/>
      <c r="J20320" s="309"/>
    </row>
    <row r="20321">
      <c r="B20321" s="309"/>
      <c r="C20321" s="309"/>
      <c r="I20321" s="309"/>
      <c r="J20321" s="309"/>
    </row>
    <row r="20322">
      <c r="B20322" s="309"/>
      <c r="C20322" s="309"/>
      <c r="I20322" s="309"/>
      <c r="J20322" s="309"/>
    </row>
    <row r="20323">
      <c r="B20323" s="309"/>
      <c r="C20323" s="309"/>
      <c r="I20323" s="309"/>
      <c r="J20323" s="309"/>
    </row>
    <row r="20324">
      <c r="B20324" s="309"/>
      <c r="C20324" s="309"/>
      <c r="I20324" s="309"/>
      <c r="J20324" s="309"/>
    </row>
    <row r="20325">
      <c r="B20325" s="309"/>
      <c r="C20325" s="309"/>
      <c r="I20325" s="309"/>
      <c r="J20325" s="309"/>
    </row>
    <row r="20326">
      <c r="B20326" s="309"/>
      <c r="C20326" s="309"/>
      <c r="I20326" s="309"/>
      <c r="J20326" s="309"/>
    </row>
    <row r="20327">
      <c r="B20327" s="309"/>
      <c r="C20327" s="309"/>
      <c r="I20327" s="309"/>
      <c r="J20327" s="309"/>
    </row>
    <row r="20328">
      <c r="B20328" s="309"/>
      <c r="C20328" s="309"/>
      <c r="I20328" s="309"/>
      <c r="J20328" s="309"/>
    </row>
    <row r="20329">
      <c r="B20329" s="309"/>
      <c r="C20329" s="309"/>
      <c r="I20329" s="309"/>
      <c r="J20329" s="309"/>
    </row>
    <row r="20330">
      <c r="B20330" s="309"/>
      <c r="C20330" s="309"/>
      <c r="I20330" s="309"/>
      <c r="J20330" s="309"/>
    </row>
    <row r="20331">
      <c r="B20331" s="309"/>
      <c r="C20331" s="309"/>
      <c r="I20331" s="309"/>
      <c r="J20331" s="309"/>
    </row>
    <row r="20332">
      <c r="B20332" s="309"/>
      <c r="C20332" s="309"/>
      <c r="I20332" s="309"/>
      <c r="J20332" s="309"/>
    </row>
    <row r="20333">
      <c r="B20333" s="309"/>
      <c r="C20333" s="309"/>
      <c r="I20333" s="309"/>
      <c r="J20333" s="309"/>
    </row>
    <row r="20334">
      <c r="B20334" s="309"/>
      <c r="C20334" s="309"/>
      <c r="I20334" s="309"/>
      <c r="J20334" s="309"/>
    </row>
    <row r="20335">
      <c r="B20335" s="309"/>
      <c r="C20335" s="309"/>
      <c r="I20335" s="309"/>
      <c r="J20335" s="309"/>
    </row>
    <row r="20336">
      <c r="B20336" s="309"/>
      <c r="C20336" s="309"/>
      <c r="I20336" s="309"/>
      <c r="J20336" s="309"/>
    </row>
    <row r="20337">
      <c r="B20337" s="309"/>
      <c r="C20337" s="309"/>
      <c r="I20337" s="309"/>
      <c r="J20337" s="309"/>
    </row>
    <row r="20338">
      <c r="B20338" s="309"/>
      <c r="C20338" s="309"/>
      <c r="I20338" s="309"/>
      <c r="J20338" s="309"/>
    </row>
    <row r="20339">
      <c r="B20339" s="309"/>
      <c r="C20339" s="309"/>
      <c r="I20339" s="309"/>
      <c r="J20339" s="309"/>
    </row>
    <row r="20340">
      <c r="B20340" s="309"/>
      <c r="C20340" s="309"/>
      <c r="I20340" s="309"/>
      <c r="J20340" s="309"/>
    </row>
    <row r="20341">
      <c r="B20341" s="309"/>
      <c r="C20341" s="309"/>
      <c r="I20341" s="309"/>
      <c r="J20341" s="309"/>
    </row>
    <row r="20342">
      <c r="B20342" s="309"/>
      <c r="C20342" s="309"/>
      <c r="I20342" s="309"/>
      <c r="J20342" s="309"/>
    </row>
    <row r="20343">
      <c r="B20343" s="309"/>
      <c r="C20343" s="309"/>
      <c r="I20343" s="309"/>
      <c r="J20343" s="309"/>
    </row>
    <row r="20344">
      <c r="B20344" s="309"/>
      <c r="C20344" s="309"/>
      <c r="I20344" s="309"/>
      <c r="J20344" s="309"/>
    </row>
    <row r="20345">
      <c r="B20345" s="309"/>
      <c r="C20345" s="309"/>
      <c r="I20345" s="309"/>
      <c r="J20345" s="309"/>
    </row>
    <row r="20346">
      <c r="B20346" s="309"/>
      <c r="C20346" s="309"/>
      <c r="I20346" s="309"/>
      <c r="J20346" s="309"/>
    </row>
    <row r="20347">
      <c r="B20347" s="309"/>
      <c r="C20347" s="309"/>
      <c r="I20347" s="309"/>
      <c r="J20347" s="309"/>
    </row>
    <row r="20348">
      <c r="B20348" s="309"/>
      <c r="C20348" s="309"/>
      <c r="I20348" s="309"/>
      <c r="J20348" s="309"/>
    </row>
    <row r="20349">
      <c r="B20349" s="309"/>
      <c r="C20349" s="309"/>
      <c r="I20349" s="309"/>
      <c r="J20349" s="309"/>
    </row>
    <row r="20350">
      <c r="B20350" s="309"/>
      <c r="C20350" s="309"/>
      <c r="I20350" s="309"/>
      <c r="J20350" s="309"/>
    </row>
    <row r="20351">
      <c r="B20351" s="309"/>
      <c r="C20351" s="309"/>
      <c r="I20351" s="309"/>
      <c r="J20351" s="309"/>
    </row>
    <row r="20352">
      <c r="B20352" s="309"/>
      <c r="C20352" s="309"/>
      <c r="I20352" s="309"/>
      <c r="J20352" s="309"/>
    </row>
    <row r="20353">
      <c r="B20353" s="309"/>
      <c r="C20353" s="309"/>
      <c r="I20353" s="309"/>
      <c r="J20353" s="309"/>
    </row>
    <row r="20354">
      <c r="B20354" s="309"/>
      <c r="C20354" s="309"/>
      <c r="I20354" s="309"/>
      <c r="J20354" s="309"/>
    </row>
    <row r="20355">
      <c r="B20355" s="309"/>
      <c r="C20355" s="309"/>
      <c r="I20355" s="309"/>
      <c r="J20355" s="309"/>
    </row>
    <row r="20356">
      <c r="B20356" s="309"/>
      <c r="C20356" s="309"/>
      <c r="I20356" s="309"/>
      <c r="J20356" s="309"/>
    </row>
    <row r="20357">
      <c r="B20357" s="309"/>
      <c r="C20357" s="309"/>
      <c r="I20357" s="309"/>
      <c r="J20357" s="309"/>
    </row>
    <row r="20358">
      <c r="B20358" s="309"/>
      <c r="C20358" s="309"/>
      <c r="I20358" s="309"/>
      <c r="J20358" s="309"/>
    </row>
    <row r="20359">
      <c r="B20359" s="309"/>
      <c r="C20359" s="309"/>
      <c r="I20359" s="309"/>
      <c r="J20359" s="309"/>
    </row>
    <row r="20360">
      <c r="B20360" s="309"/>
      <c r="C20360" s="309"/>
      <c r="I20360" s="309"/>
      <c r="J20360" s="309"/>
    </row>
    <row r="20361">
      <c r="B20361" s="309"/>
      <c r="C20361" s="309"/>
      <c r="I20361" s="309"/>
      <c r="J20361" s="309"/>
    </row>
    <row r="20362">
      <c r="B20362" s="309"/>
      <c r="C20362" s="309"/>
      <c r="I20362" s="309"/>
      <c r="J20362" s="309"/>
    </row>
    <row r="20363">
      <c r="B20363" s="309"/>
      <c r="C20363" s="309"/>
      <c r="I20363" s="309"/>
      <c r="J20363" s="309"/>
    </row>
    <row r="20364">
      <c r="B20364" s="309"/>
      <c r="C20364" s="309"/>
      <c r="I20364" s="309"/>
      <c r="J20364" s="309"/>
    </row>
    <row r="20365">
      <c r="B20365" s="309"/>
      <c r="C20365" s="309"/>
      <c r="I20365" s="309"/>
      <c r="J20365" s="309"/>
    </row>
    <row r="20366">
      <c r="B20366" s="309"/>
      <c r="C20366" s="309"/>
      <c r="I20366" s="309"/>
      <c r="J20366" s="309"/>
    </row>
    <row r="20367">
      <c r="B20367" s="309"/>
      <c r="C20367" s="309"/>
      <c r="I20367" s="309"/>
      <c r="J20367" s="309"/>
    </row>
    <row r="20368">
      <c r="B20368" s="309"/>
      <c r="C20368" s="309"/>
      <c r="I20368" s="309"/>
      <c r="J20368" s="309"/>
    </row>
    <row r="20369">
      <c r="B20369" s="309"/>
      <c r="C20369" s="309"/>
      <c r="I20369" s="309"/>
      <c r="J20369" s="309"/>
    </row>
    <row r="20370">
      <c r="B20370" s="309"/>
      <c r="C20370" s="309"/>
      <c r="I20370" s="309"/>
      <c r="J20370" s="309"/>
    </row>
    <row r="20371">
      <c r="B20371" s="309"/>
      <c r="C20371" s="309"/>
      <c r="I20371" s="309"/>
      <c r="J20371" s="309"/>
    </row>
    <row r="20372">
      <c r="B20372" s="309"/>
      <c r="C20372" s="309"/>
      <c r="I20372" s="309"/>
      <c r="J20372" s="309"/>
    </row>
    <row r="20373">
      <c r="B20373" s="309"/>
      <c r="C20373" s="309"/>
      <c r="I20373" s="309"/>
      <c r="J20373" s="309"/>
    </row>
    <row r="20374">
      <c r="B20374" s="309"/>
      <c r="C20374" s="309"/>
      <c r="I20374" s="309"/>
      <c r="J20374" s="309"/>
    </row>
    <row r="20375">
      <c r="B20375" s="309"/>
      <c r="C20375" s="309"/>
      <c r="I20375" s="309"/>
      <c r="J20375" s="309"/>
    </row>
    <row r="20376">
      <c r="B20376" s="309"/>
      <c r="C20376" s="309"/>
      <c r="I20376" s="309"/>
      <c r="J20376" s="309"/>
    </row>
    <row r="20377">
      <c r="B20377" s="309"/>
      <c r="C20377" s="309"/>
      <c r="I20377" s="309"/>
      <c r="J20377" s="309"/>
    </row>
    <row r="20378">
      <c r="B20378" s="309"/>
      <c r="C20378" s="309"/>
      <c r="I20378" s="309"/>
      <c r="J20378" s="309"/>
    </row>
    <row r="20379">
      <c r="B20379" s="309"/>
      <c r="C20379" s="309"/>
      <c r="I20379" s="309"/>
      <c r="J20379" s="309"/>
    </row>
    <row r="20380">
      <c r="B20380" s="309"/>
      <c r="C20380" s="309"/>
      <c r="I20380" s="309"/>
      <c r="J20380" s="309"/>
    </row>
    <row r="20381">
      <c r="B20381" s="309"/>
      <c r="C20381" s="309"/>
      <c r="I20381" s="309"/>
      <c r="J20381" s="309"/>
    </row>
    <row r="20382">
      <c r="B20382" s="309"/>
      <c r="C20382" s="309"/>
      <c r="I20382" s="309"/>
      <c r="J20382" s="309"/>
    </row>
    <row r="20383">
      <c r="B20383" s="309"/>
      <c r="C20383" s="309"/>
      <c r="I20383" s="309"/>
      <c r="J20383" s="309"/>
    </row>
    <row r="20384">
      <c r="B20384" s="309"/>
      <c r="C20384" s="309"/>
      <c r="I20384" s="309"/>
      <c r="J20384" s="309"/>
    </row>
    <row r="20385">
      <c r="B20385" s="309"/>
      <c r="C20385" s="309"/>
      <c r="I20385" s="309"/>
      <c r="J20385" s="309"/>
    </row>
    <row r="20386">
      <c r="B20386" s="309"/>
      <c r="C20386" s="309"/>
      <c r="I20386" s="309"/>
      <c r="J20386" s="309"/>
    </row>
    <row r="20387">
      <c r="B20387" s="309"/>
      <c r="C20387" s="309"/>
      <c r="I20387" s="309"/>
      <c r="J20387" s="309"/>
    </row>
    <row r="20388">
      <c r="B20388" s="309"/>
      <c r="C20388" s="309"/>
      <c r="I20388" s="309"/>
      <c r="J20388" s="309"/>
    </row>
    <row r="20389">
      <c r="B20389" s="309"/>
      <c r="C20389" s="309"/>
      <c r="I20389" s="309"/>
      <c r="J20389" s="309"/>
    </row>
    <row r="20390">
      <c r="B20390" s="309"/>
      <c r="C20390" s="309"/>
      <c r="I20390" s="309"/>
      <c r="J20390" s="309"/>
    </row>
    <row r="20391">
      <c r="B20391" s="309"/>
      <c r="C20391" s="309"/>
      <c r="I20391" s="309"/>
      <c r="J20391" s="309"/>
    </row>
    <row r="20392">
      <c r="B20392" s="309"/>
      <c r="C20392" s="309"/>
      <c r="I20392" s="309"/>
      <c r="J20392" s="309"/>
    </row>
    <row r="20393">
      <c r="B20393" s="309"/>
      <c r="C20393" s="309"/>
      <c r="I20393" s="309"/>
      <c r="J20393" s="309"/>
    </row>
    <row r="20394">
      <c r="B20394" s="309"/>
      <c r="C20394" s="309"/>
      <c r="I20394" s="309"/>
      <c r="J20394" s="309"/>
    </row>
    <row r="20395">
      <c r="B20395" s="309"/>
      <c r="C20395" s="309"/>
      <c r="I20395" s="309"/>
      <c r="J20395" s="309"/>
    </row>
    <row r="20396">
      <c r="B20396" s="309"/>
      <c r="C20396" s="309"/>
      <c r="I20396" s="309"/>
      <c r="J20396" s="309"/>
    </row>
    <row r="20397">
      <c r="B20397" s="309"/>
      <c r="C20397" s="309"/>
      <c r="I20397" s="309"/>
      <c r="J20397" s="309"/>
    </row>
    <row r="20398">
      <c r="B20398" s="309"/>
      <c r="C20398" s="309"/>
      <c r="I20398" s="309"/>
      <c r="J20398" s="309"/>
    </row>
    <row r="20399">
      <c r="B20399" s="309"/>
      <c r="C20399" s="309"/>
      <c r="I20399" s="309"/>
      <c r="J20399" s="309"/>
    </row>
    <row r="20400">
      <c r="B20400" s="309"/>
      <c r="C20400" s="309"/>
      <c r="I20400" s="309"/>
      <c r="J20400" s="309"/>
    </row>
    <row r="20401">
      <c r="B20401" s="309"/>
      <c r="C20401" s="309"/>
      <c r="I20401" s="309"/>
      <c r="J20401" s="309"/>
    </row>
    <row r="20402">
      <c r="B20402" s="309"/>
      <c r="C20402" s="309"/>
      <c r="I20402" s="309"/>
      <c r="J20402" s="309"/>
    </row>
    <row r="20403">
      <c r="B20403" s="309"/>
      <c r="C20403" s="309"/>
      <c r="I20403" s="309"/>
      <c r="J20403" s="309"/>
    </row>
    <row r="20404">
      <c r="B20404" s="309"/>
      <c r="C20404" s="309"/>
      <c r="I20404" s="309"/>
      <c r="J20404" s="309"/>
    </row>
    <row r="20405">
      <c r="B20405" s="309"/>
      <c r="C20405" s="309"/>
      <c r="I20405" s="309"/>
      <c r="J20405" s="309"/>
    </row>
    <row r="20406">
      <c r="B20406" s="309"/>
      <c r="C20406" s="309"/>
      <c r="I20406" s="309"/>
      <c r="J20406" s="309"/>
    </row>
    <row r="20407">
      <c r="B20407" s="309"/>
      <c r="C20407" s="309"/>
      <c r="I20407" s="309"/>
      <c r="J20407" s="309"/>
    </row>
    <row r="20408">
      <c r="B20408" s="309"/>
      <c r="C20408" s="309"/>
      <c r="I20408" s="309"/>
      <c r="J20408" s="309"/>
    </row>
    <row r="20409">
      <c r="B20409" s="309"/>
      <c r="C20409" s="309"/>
      <c r="I20409" s="309"/>
      <c r="J20409" s="309"/>
    </row>
    <row r="20410">
      <c r="B20410" s="309"/>
      <c r="C20410" s="309"/>
      <c r="I20410" s="309"/>
      <c r="J20410" s="309"/>
    </row>
    <row r="20411">
      <c r="B20411" s="309"/>
      <c r="C20411" s="309"/>
      <c r="I20411" s="309"/>
      <c r="J20411" s="309"/>
    </row>
    <row r="20412">
      <c r="B20412" s="309"/>
      <c r="C20412" s="309"/>
      <c r="I20412" s="309"/>
      <c r="J20412" s="309"/>
    </row>
    <row r="20413">
      <c r="B20413" s="309"/>
      <c r="C20413" s="309"/>
      <c r="I20413" s="309"/>
      <c r="J20413" s="309"/>
    </row>
    <row r="20414">
      <c r="B20414" s="309"/>
      <c r="C20414" s="309"/>
      <c r="I20414" s="309"/>
      <c r="J20414" s="309"/>
    </row>
    <row r="20415">
      <c r="B20415" s="309"/>
      <c r="C20415" s="309"/>
      <c r="I20415" s="309"/>
      <c r="J20415" s="309"/>
    </row>
    <row r="20416">
      <c r="B20416" s="309"/>
      <c r="C20416" s="309"/>
      <c r="I20416" s="309"/>
      <c r="J20416" s="309"/>
    </row>
    <row r="20417">
      <c r="B20417" s="309"/>
      <c r="C20417" s="309"/>
      <c r="I20417" s="309"/>
      <c r="J20417" s="309"/>
    </row>
    <row r="20418">
      <c r="B20418" s="309"/>
      <c r="C20418" s="309"/>
      <c r="I20418" s="309"/>
      <c r="J20418" s="309"/>
    </row>
    <row r="20419">
      <c r="B20419" s="309"/>
      <c r="C20419" s="309"/>
      <c r="I20419" s="309"/>
      <c r="J20419" s="309"/>
    </row>
    <row r="20420">
      <c r="B20420" s="309"/>
      <c r="C20420" s="309"/>
      <c r="I20420" s="309"/>
      <c r="J20420" s="309"/>
    </row>
    <row r="20421">
      <c r="B20421" s="309"/>
      <c r="C20421" s="309"/>
      <c r="I20421" s="309"/>
      <c r="J20421" s="309"/>
    </row>
    <row r="20422">
      <c r="B20422" s="309"/>
      <c r="C20422" s="309"/>
      <c r="I20422" s="309"/>
      <c r="J20422" s="309"/>
    </row>
    <row r="20423">
      <c r="B20423" s="309"/>
      <c r="C20423" s="309"/>
      <c r="I20423" s="309"/>
      <c r="J20423" s="309"/>
    </row>
    <row r="20424">
      <c r="B20424" s="309"/>
      <c r="C20424" s="309"/>
      <c r="I20424" s="309"/>
      <c r="J20424" s="309"/>
    </row>
    <row r="20425">
      <c r="B20425" s="309"/>
      <c r="C20425" s="309"/>
      <c r="I20425" s="309"/>
      <c r="J20425" s="309"/>
    </row>
    <row r="20426">
      <c r="B20426" s="309"/>
      <c r="C20426" s="309"/>
      <c r="I20426" s="309"/>
      <c r="J20426" s="309"/>
    </row>
    <row r="20427">
      <c r="B20427" s="309"/>
      <c r="C20427" s="309"/>
      <c r="I20427" s="309"/>
      <c r="J20427" s="309"/>
    </row>
    <row r="20428">
      <c r="B20428" s="309"/>
      <c r="C20428" s="309"/>
      <c r="I20428" s="309"/>
      <c r="J20428" s="309"/>
    </row>
    <row r="20429">
      <c r="B20429" s="309"/>
      <c r="C20429" s="309"/>
      <c r="I20429" s="309"/>
      <c r="J20429" s="309"/>
    </row>
    <row r="20430">
      <c r="B20430" s="309"/>
      <c r="C20430" s="309"/>
      <c r="I20430" s="309"/>
      <c r="J20430" s="309"/>
    </row>
    <row r="20431">
      <c r="B20431" s="309"/>
      <c r="C20431" s="309"/>
      <c r="I20431" s="309"/>
      <c r="J20431" s="309"/>
    </row>
    <row r="20432">
      <c r="B20432" s="309"/>
      <c r="C20432" s="309"/>
      <c r="I20432" s="309"/>
      <c r="J20432" s="309"/>
    </row>
    <row r="20433">
      <c r="B20433" s="309"/>
      <c r="C20433" s="309"/>
      <c r="I20433" s="309"/>
      <c r="J20433" s="309"/>
    </row>
    <row r="20434">
      <c r="B20434" s="309"/>
      <c r="C20434" s="309"/>
      <c r="I20434" s="309"/>
      <c r="J20434" s="309"/>
    </row>
    <row r="20435">
      <c r="B20435" s="309"/>
      <c r="C20435" s="309"/>
      <c r="I20435" s="309"/>
      <c r="J20435" s="309"/>
    </row>
    <row r="20436">
      <c r="B20436" s="309"/>
      <c r="C20436" s="309"/>
      <c r="I20436" s="309"/>
      <c r="J20436" s="309"/>
    </row>
    <row r="20437">
      <c r="B20437" s="309"/>
      <c r="C20437" s="309"/>
      <c r="I20437" s="309"/>
      <c r="J20437" s="309"/>
    </row>
    <row r="20438">
      <c r="B20438" s="309"/>
      <c r="C20438" s="309"/>
      <c r="I20438" s="309"/>
      <c r="J20438" s="309"/>
    </row>
    <row r="20439">
      <c r="B20439" s="309"/>
      <c r="C20439" s="309"/>
      <c r="I20439" s="309"/>
      <c r="J20439" s="309"/>
    </row>
    <row r="20440">
      <c r="B20440" s="309"/>
      <c r="C20440" s="309"/>
      <c r="I20440" s="309"/>
      <c r="J20440" s="309"/>
    </row>
    <row r="20441">
      <c r="B20441" s="309"/>
      <c r="C20441" s="309"/>
      <c r="I20441" s="309"/>
      <c r="J20441" s="309"/>
    </row>
    <row r="20442">
      <c r="B20442" s="309"/>
      <c r="C20442" s="309"/>
      <c r="I20442" s="309"/>
      <c r="J20442" s="309"/>
    </row>
    <row r="20443">
      <c r="B20443" s="309"/>
      <c r="C20443" s="309"/>
      <c r="I20443" s="309"/>
      <c r="J20443" s="309"/>
    </row>
    <row r="20444">
      <c r="B20444" s="309"/>
      <c r="C20444" s="309"/>
      <c r="I20444" s="309"/>
      <c r="J20444" s="309"/>
    </row>
    <row r="20445">
      <c r="B20445" s="309"/>
      <c r="C20445" s="309"/>
      <c r="I20445" s="309"/>
      <c r="J20445" s="309"/>
    </row>
    <row r="20446">
      <c r="B20446" s="309"/>
      <c r="C20446" s="309"/>
      <c r="I20446" s="309"/>
      <c r="J20446" s="309"/>
    </row>
    <row r="20447">
      <c r="B20447" s="309"/>
      <c r="C20447" s="309"/>
      <c r="I20447" s="309"/>
      <c r="J20447" s="309"/>
    </row>
    <row r="20448">
      <c r="B20448" s="309"/>
      <c r="C20448" s="309"/>
      <c r="I20448" s="309"/>
      <c r="J20448" s="309"/>
    </row>
    <row r="20449">
      <c r="B20449" s="309"/>
      <c r="C20449" s="309"/>
      <c r="I20449" s="309"/>
      <c r="J20449" s="309"/>
    </row>
    <row r="20450">
      <c r="B20450" s="309"/>
      <c r="C20450" s="309"/>
      <c r="I20450" s="309"/>
      <c r="J20450" s="309"/>
    </row>
    <row r="20451">
      <c r="B20451" s="309"/>
      <c r="C20451" s="309"/>
      <c r="I20451" s="309"/>
      <c r="J20451" s="309"/>
    </row>
    <row r="20452">
      <c r="B20452" s="309"/>
      <c r="C20452" s="309"/>
      <c r="I20452" s="309"/>
      <c r="J20452" s="309"/>
    </row>
    <row r="20453">
      <c r="B20453" s="309"/>
      <c r="C20453" s="309"/>
      <c r="I20453" s="309"/>
      <c r="J20453" s="309"/>
    </row>
    <row r="20454">
      <c r="B20454" s="309"/>
      <c r="C20454" s="309"/>
      <c r="I20454" s="309"/>
      <c r="J20454" s="309"/>
    </row>
    <row r="20455">
      <c r="B20455" s="309"/>
      <c r="C20455" s="309"/>
      <c r="I20455" s="309"/>
      <c r="J20455" s="309"/>
    </row>
    <row r="20456">
      <c r="B20456" s="309"/>
      <c r="C20456" s="309"/>
      <c r="I20456" s="309"/>
      <c r="J20456" s="309"/>
    </row>
    <row r="20457">
      <c r="B20457" s="309"/>
      <c r="C20457" s="309"/>
      <c r="I20457" s="309"/>
      <c r="J20457" s="309"/>
    </row>
    <row r="20458">
      <c r="B20458" s="309"/>
      <c r="C20458" s="309"/>
      <c r="I20458" s="309"/>
      <c r="J20458" s="309"/>
    </row>
    <row r="20459">
      <c r="B20459" s="309"/>
      <c r="C20459" s="309"/>
      <c r="I20459" s="309"/>
      <c r="J20459" s="309"/>
    </row>
    <row r="20460">
      <c r="B20460" s="309"/>
      <c r="C20460" s="309"/>
      <c r="I20460" s="309"/>
      <c r="J20460" s="309"/>
    </row>
    <row r="20461">
      <c r="B20461" s="309"/>
      <c r="C20461" s="309"/>
      <c r="I20461" s="309"/>
      <c r="J20461" s="309"/>
    </row>
    <row r="20462">
      <c r="B20462" s="309"/>
      <c r="C20462" s="309"/>
      <c r="I20462" s="309"/>
      <c r="J20462" s="309"/>
    </row>
    <row r="20463">
      <c r="B20463" s="309"/>
      <c r="C20463" s="309"/>
      <c r="I20463" s="309"/>
      <c r="J20463" s="309"/>
    </row>
    <row r="20464">
      <c r="B20464" s="309"/>
      <c r="C20464" s="309"/>
      <c r="I20464" s="309"/>
      <c r="J20464" s="309"/>
    </row>
    <row r="20465">
      <c r="B20465" s="309"/>
      <c r="C20465" s="309"/>
      <c r="I20465" s="309"/>
      <c r="J20465" s="309"/>
    </row>
    <row r="20466">
      <c r="B20466" s="309"/>
      <c r="C20466" s="309"/>
      <c r="I20466" s="309"/>
      <c r="J20466" s="309"/>
    </row>
    <row r="20467">
      <c r="B20467" s="309"/>
      <c r="C20467" s="309"/>
      <c r="I20467" s="309"/>
      <c r="J20467" s="309"/>
    </row>
    <row r="20468">
      <c r="B20468" s="309"/>
      <c r="C20468" s="309"/>
      <c r="I20468" s="309"/>
      <c r="J20468" s="309"/>
    </row>
    <row r="20469">
      <c r="B20469" s="309"/>
      <c r="C20469" s="309"/>
      <c r="I20469" s="309"/>
      <c r="J20469" s="309"/>
    </row>
    <row r="20470">
      <c r="B20470" s="309"/>
      <c r="C20470" s="309"/>
      <c r="I20470" s="309"/>
      <c r="J20470" s="309"/>
    </row>
    <row r="20471">
      <c r="B20471" s="309"/>
      <c r="C20471" s="309"/>
      <c r="I20471" s="309"/>
      <c r="J20471" s="309"/>
    </row>
    <row r="20472">
      <c r="B20472" s="309"/>
      <c r="C20472" s="309"/>
      <c r="I20472" s="309"/>
      <c r="J20472" s="309"/>
    </row>
    <row r="20473">
      <c r="B20473" s="309"/>
      <c r="C20473" s="309"/>
      <c r="I20473" s="309"/>
      <c r="J20473" s="309"/>
    </row>
    <row r="20474">
      <c r="B20474" s="309"/>
      <c r="C20474" s="309"/>
      <c r="I20474" s="309"/>
      <c r="J20474" s="309"/>
    </row>
    <row r="20475">
      <c r="B20475" s="309"/>
      <c r="C20475" s="309"/>
      <c r="I20475" s="309"/>
      <c r="J20475" s="309"/>
    </row>
    <row r="20476">
      <c r="B20476" s="309"/>
      <c r="C20476" s="309"/>
      <c r="I20476" s="309"/>
      <c r="J20476" s="309"/>
    </row>
    <row r="20477">
      <c r="B20477" s="309"/>
      <c r="C20477" s="309"/>
      <c r="I20477" s="309"/>
      <c r="J20477" s="309"/>
    </row>
    <row r="20478">
      <c r="B20478" s="309"/>
      <c r="C20478" s="309"/>
      <c r="I20478" s="309"/>
      <c r="J20478" s="309"/>
    </row>
    <row r="20479">
      <c r="B20479" s="309"/>
      <c r="C20479" s="309"/>
      <c r="I20479" s="309"/>
      <c r="J20479" s="309"/>
    </row>
    <row r="20480">
      <c r="B20480" s="309"/>
      <c r="C20480" s="309"/>
      <c r="I20480" s="309"/>
      <c r="J20480" s="309"/>
    </row>
    <row r="20481">
      <c r="B20481" s="309"/>
      <c r="C20481" s="309"/>
      <c r="I20481" s="309"/>
      <c r="J20481" s="309"/>
    </row>
    <row r="20482">
      <c r="B20482" s="309"/>
      <c r="C20482" s="309"/>
      <c r="I20482" s="309"/>
      <c r="J20482" s="309"/>
    </row>
    <row r="20483">
      <c r="B20483" s="309"/>
      <c r="C20483" s="309"/>
      <c r="I20483" s="309"/>
      <c r="J20483" s="309"/>
    </row>
    <row r="20484">
      <c r="B20484" s="309"/>
      <c r="C20484" s="309"/>
      <c r="I20484" s="309"/>
      <c r="J20484" s="309"/>
    </row>
    <row r="20485">
      <c r="B20485" s="309"/>
      <c r="C20485" s="309"/>
      <c r="I20485" s="309"/>
      <c r="J20485" s="309"/>
    </row>
    <row r="20486">
      <c r="B20486" s="309"/>
      <c r="C20486" s="309"/>
      <c r="I20486" s="309"/>
      <c r="J20486" s="309"/>
    </row>
    <row r="20487">
      <c r="B20487" s="309"/>
      <c r="C20487" s="309"/>
      <c r="I20487" s="309"/>
      <c r="J20487" s="309"/>
    </row>
    <row r="20488">
      <c r="B20488" s="309"/>
      <c r="C20488" s="309"/>
      <c r="I20488" s="309"/>
      <c r="J20488" s="309"/>
    </row>
    <row r="20489">
      <c r="B20489" s="309"/>
      <c r="C20489" s="309"/>
      <c r="I20489" s="309"/>
      <c r="J20489" s="309"/>
    </row>
    <row r="20490">
      <c r="B20490" s="309"/>
      <c r="C20490" s="309"/>
      <c r="I20490" s="309"/>
      <c r="J20490" s="309"/>
    </row>
    <row r="20491">
      <c r="B20491" s="309"/>
      <c r="C20491" s="309"/>
      <c r="I20491" s="309"/>
      <c r="J20491" s="309"/>
    </row>
    <row r="20492">
      <c r="B20492" s="309"/>
      <c r="C20492" s="309"/>
      <c r="I20492" s="309"/>
      <c r="J20492" s="309"/>
    </row>
    <row r="20493">
      <c r="B20493" s="309"/>
      <c r="C20493" s="309"/>
      <c r="I20493" s="309"/>
      <c r="J20493" s="309"/>
    </row>
    <row r="20494">
      <c r="B20494" s="309"/>
      <c r="C20494" s="309"/>
      <c r="I20494" s="309"/>
      <c r="J20494" s="309"/>
    </row>
    <row r="20495">
      <c r="B20495" s="309"/>
      <c r="C20495" s="309"/>
      <c r="I20495" s="309"/>
      <c r="J20495" s="309"/>
    </row>
    <row r="20496">
      <c r="B20496" s="309"/>
      <c r="C20496" s="309"/>
      <c r="I20496" s="309"/>
      <c r="J20496" s="309"/>
    </row>
    <row r="20497">
      <c r="B20497" s="309"/>
      <c r="C20497" s="309"/>
      <c r="I20497" s="309"/>
      <c r="J20497" s="309"/>
    </row>
    <row r="20498">
      <c r="B20498" s="309"/>
      <c r="C20498" s="309"/>
      <c r="I20498" s="309"/>
      <c r="J20498" s="309"/>
    </row>
    <row r="20499">
      <c r="B20499" s="309"/>
      <c r="C20499" s="309"/>
      <c r="I20499" s="309"/>
      <c r="J20499" s="309"/>
    </row>
    <row r="20500">
      <c r="B20500" s="309"/>
      <c r="C20500" s="309"/>
      <c r="I20500" s="309"/>
      <c r="J20500" s="309"/>
    </row>
    <row r="20501">
      <c r="B20501" s="309"/>
      <c r="C20501" s="309"/>
      <c r="I20501" s="309"/>
      <c r="J20501" s="309"/>
    </row>
    <row r="20502">
      <c r="B20502" s="309"/>
      <c r="C20502" s="309"/>
      <c r="I20502" s="309"/>
      <c r="J20502" s="309"/>
    </row>
    <row r="20503">
      <c r="B20503" s="309"/>
      <c r="C20503" s="309"/>
      <c r="I20503" s="309"/>
      <c r="J20503" s="309"/>
    </row>
    <row r="20504">
      <c r="B20504" s="309"/>
      <c r="C20504" s="309"/>
      <c r="I20504" s="309"/>
      <c r="J20504" s="309"/>
    </row>
    <row r="20505">
      <c r="B20505" s="309"/>
      <c r="C20505" s="309"/>
      <c r="I20505" s="309"/>
      <c r="J20505" s="309"/>
    </row>
    <row r="20506">
      <c r="B20506" s="309"/>
      <c r="C20506" s="309"/>
      <c r="I20506" s="309"/>
      <c r="J20506" s="309"/>
    </row>
    <row r="20507">
      <c r="B20507" s="309"/>
      <c r="C20507" s="309"/>
      <c r="I20507" s="309"/>
      <c r="J20507" s="309"/>
    </row>
    <row r="20508">
      <c r="B20508" s="309"/>
      <c r="C20508" s="309"/>
      <c r="I20508" s="309"/>
      <c r="J20508" s="309"/>
    </row>
    <row r="20509">
      <c r="B20509" s="309"/>
      <c r="C20509" s="309"/>
      <c r="I20509" s="309"/>
      <c r="J20509" s="309"/>
    </row>
    <row r="20510">
      <c r="B20510" s="309"/>
      <c r="C20510" s="309"/>
      <c r="I20510" s="309"/>
      <c r="J20510" s="309"/>
    </row>
    <row r="20511">
      <c r="B20511" s="309"/>
      <c r="C20511" s="309"/>
      <c r="I20511" s="309"/>
      <c r="J20511" s="309"/>
    </row>
    <row r="20512">
      <c r="B20512" s="309"/>
      <c r="C20512" s="309"/>
      <c r="I20512" s="309"/>
      <c r="J20512" s="309"/>
    </row>
    <row r="20513">
      <c r="B20513" s="309"/>
      <c r="C20513" s="309"/>
      <c r="I20513" s="309"/>
      <c r="J20513" s="309"/>
    </row>
    <row r="20514">
      <c r="B20514" s="309"/>
      <c r="C20514" s="309"/>
      <c r="I20514" s="309"/>
      <c r="J20514" s="309"/>
    </row>
    <row r="20515">
      <c r="B20515" s="309"/>
      <c r="C20515" s="309"/>
      <c r="I20515" s="309"/>
      <c r="J20515" s="309"/>
    </row>
    <row r="20516">
      <c r="B20516" s="309"/>
      <c r="C20516" s="309"/>
      <c r="I20516" s="309"/>
      <c r="J20516" s="309"/>
    </row>
    <row r="20517">
      <c r="B20517" s="309"/>
      <c r="C20517" s="309"/>
      <c r="I20517" s="309"/>
      <c r="J20517" s="309"/>
    </row>
    <row r="20518">
      <c r="B20518" s="309"/>
      <c r="C20518" s="309"/>
      <c r="I20518" s="309"/>
      <c r="J20518" s="309"/>
    </row>
    <row r="20519">
      <c r="B20519" s="309"/>
      <c r="C20519" s="309"/>
      <c r="I20519" s="309"/>
      <c r="J20519" s="309"/>
    </row>
    <row r="20520">
      <c r="B20520" s="309"/>
      <c r="C20520" s="309"/>
      <c r="I20520" s="309"/>
      <c r="J20520" s="309"/>
    </row>
    <row r="20521">
      <c r="B20521" s="309"/>
      <c r="C20521" s="309"/>
      <c r="I20521" s="309"/>
      <c r="J20521" s="309"/>
    </row>
    <row r="20522">
      <c r="B20522" s="309"/>
      <c r="C20522" s="309"/>
      <c r="I20522" s="309"/>
      <c r="J20522" s="309"/>
    </row>
    <row r="20523">
      <c r="B20523" s="309"/>
      <c r="C20523" s="309"/>
      <c r="I20523" s="309"/>
      <c r="J20523" s="309"/>
    </row>
    <row r="20524">
      <c r="B20524" s="309"/>
      <c r="C20524" s="309"/>
      <c r="I20524" s="309"/>
      <c r="J20524" s="309"/>
    </row>
    <row r="20525">
      <c r="B20525" s="309"/>
      <c r="C20525" s="309"/>
      <c r="I20525" s="309"/>
      <c r="J20525" s="309"/>
    </row>
    <row r="20526">
      <c r="B20526" s="309"/>
      <c r="C20526" s="309"/>
      <c r="I20526" s="309"/>
      <c r="J20526" s="309"/>
    </row>
    <row r="20527">
      <c r="B20527" s="309"/>
      <c r="C20527" s="309"/>
      <c r="I20527" s="309"/>
      <c r="J20527" s="309"/>
    </row>
    <row r="20528">
      <c r="B20528" s="309"/>
      <c r="C20528" s="309"/>
      <c r="I20528" s="309"/>
      <c r="J20528" s="309"/>
    </row>
    <row r="20529">
      <c r="B20529" s="309"/>
      <c r="C20529" s="309"/>
      <c r="I20529" s="309"/>
      <c r="J20529" s="309"/>
    </row>
    <row r="20530">
      <c r="B20530" s="309"/>
      <c r="C20530" s="309"/>
      <c r="I20530" s="309"/>
      <c r="J20530" s="309"/>
    </row>
    <row r="20531">
      <c r="B20531" s="309"/>
      <c r="C20531" s="309"/>
      <c r="I20531" s="309"/>
      <c r="J20531" s="309"/>
    </row>
    <row r="20532">
      <c r="B20532" s="309"/>
      <c r="C20532" s="309"/>
      <c r="I20532" s="309"/>
      <c r="J20532" s="309"/>
    </row>
    <row r="20533">
      <c r="B20533" s="309"/>
      <c r="C20533" s="309"/>
      <c r="I20533" s="309"/>
      <c r="J20533" s="309"/>
    </row>
    <row r="20534">
      <c r="B20534" s="309"/>
      <c r="C20534" s="309"/>
      <c r="I20534" s="309"/>
      <c r="J20534" s="309"/>
    </row>
    <row r="20535">
      <c r="B20535" s="309"/>
      <c r="C20535" s="309"/>
      <c r="I20535" s="309"/>
      <c r="J20535" s="309"/>
    </row>
    <row r="20536">
      <c r="B20536" s="309"/>
      <c r="C20536" s="309"/>
      <c r="I20536" s="309"/>
      <c r="J20536" s="309"/>
    </row>
    <row r="20537">
      <c r="B20537" s="309"/>
      <c r="C20537" s="309"/>
      <c r="I20537" s="309"/>
      <c r="J20537" s="309"/>
    </row>
    <row r="20538">
      <c r="B20538" s="309"/>
      <c r="C20538" s="309"/>
      <c r="I20538" s="309"/>
      <c r="J20538" s="309"/>
    </row>
    <row r="20539">
      <c r="B20539" s="309"/>
      <c r="C20539" s="309"/>
      <c r="I20539" s="309"/>
      <c r="J20539" s="309"/>
    </row>
    <row r="20540">
      <c r="B20540" s="309"/>
      <c r="C20540" s="309"/>
      <c r="I20540" s="309"/>
      <c r="J20540" s="309"/>
    </row>
    <row r="20541">
      <c r="B20541" s="309"/>
      <c r="C20541" s="309"/>
      <c r="I20541" s="309"/>
      <c r="J20541" s="309"/>
    </row>
    <row r="20542">
      <c r="B20542" s="309"/>
      <c r="C20542" s="309"/>
      <c r="I20542" s="309"/>
      <c r="J20542" s="309"/>
    </row>
    <row r="20543">
      <c r="B20543" s="309"/>
      <c r="C20543" s="309"/>
      <c r="I20543" s="309"/>
      <c r="J20543" s="309"/>
    </row>
    <row r="20544">
      <c r="B20544" s="309"/>
      <c r="C20544" s="309"/>
      <c r="I20544" s="309"/>
      <c r="J20544" s="309"/>
    </row>
    <row r="20545">
      <c r="B20545" s="309"/>
      <c r="C20545" s="309"/>
      <c r="I20545" s="309"/>
      <c r="J20545" s="309"/>
    </row>
    <row r="20546">
      <c r="B20546" s="309"/>
      <c r="C20546" s="309"/>
      <c r="I20546" s="309"/>
      <c r="J20546" s="309"/>
    </row>
    <row r="20547">
      <c r="B20547" s="309"/>
      <c r="C20547" s="309"/>
      <c r="I20547" s="309"/>
      <c r="J20547" s="309"/>
    </row>
    <row r="20548">
      <c r="B20548" s="309"/>
      <c r="C20548" s="309"/>
      <c r="I20548" s="309"/>
      <c r="J20548" s="309"/>
    </row>
    <row r="20549">
      <c r="B20549" s="309"/>
      <c r="C20549" s="309"/>
      <c r="I20549" s="309"/>
      <c r="J20549" s="309"/>
    </row>
    <row r="20550">
      <c r="B20550" s="309"/>
      <c r="C20550" s="309"/>
      <c r="I20550" s="309"/>
      <c r="J20550" s="309"/>
    </row>
    <row r="20551">
      <c r="B20551" s="309"/>
      <c r="C20551" s="309"/>
      <c r="I20551" s="309"/>
      <c r="J20551" s="309"/>
    </row>
    <row r="20552">
      <c r="B20552" s="309"/>
      <c r="C20552" s="309"/>
      <c r="I20552" s="309"/>
      <c r="J20552" s="309"/>
    </row>
    <row r="20553">
      <c r="B20553" s="309"/>
      <c r="C20553" s="309"/>
      <c r="I20553" s="309"/>
      <c r="J20553" s="309"/>
    </row>
    <row r="20554">
      <c r="B20554" s="309"/>
      <c r="C20554" s="309"/>
      <c r="I20554" s="309"/>
      <c r="J20554" s="309"/>
    </row>
    <row r="20555">
      <c r="B20555" s="309"/>
      <c r="C20555" s="309"/>
      <c r="I20555" s="309"/>
      <c r="J20555" s="309"/>
    </row>
    <row r="20556">
      <c r="B20556" s="309"/>
      <c r="C20556" s="309"/>
      <c r="I20556" s="309"/>
      <c r="J20556" s="309"/>
    </row>
    <row r="20557">
      <c r="B20557" s="309"/>
      <c r="C20557" s="309"/>
      <c r="I20557" s="309"/>
      <c r="J20557" s="309"/>
    </row>
    <row r="20558">
      <c r="B20558" s="309"/>
      <c r="C20558" s="309"/>
      <c r="I20558" s="309"/>
      <c r="J20558" s="309"/>
    </row>
    <row r="20559">
      <c r="B20559" s="309"/>
      <c r="C20559" s="309"/>
      <c r="I20559" s="309"/>
      <c r="J20559" s="309"/>
    </row>
    <row r="20560">
      <c r="B20560" s="309"/>
      <c r="C20560" s="309"/>
      <c r="I20560" s="309"/>
      <c r="J20560" s="309"/>
    </row>
    <row r="20561">
      <c r="B20561" s="309"/>
      <c r="C20561" s="309"/>
      <c r="I20561" s="309"/>
      <c r="J20561" s="309"/>
    </row>
    <row r="20562">
      <c r="B20562" s="309"/>
      <c r="C20562" s="309"/>
      <c r="I20562" s="309"/>
      <c r="J20562" s="309"/>
    </row>
    <row r="20563">
      <c r="B20563" s="309"/>
      <c r="C20563" s="309"/>
      <c r="I20563" s="309"/>
      <c r="J20563" s="309"/>
    </row>
    <row r="20564">
      <c r="B20564" s="309"/>
      <c r="C20564" s="309"/>
      <c r="I20564" s="309"/>
      <c r="J20564" s="309"/>
    </row>
    <row r="20565">
      <c r="B20565" s="309"/>
      <c r="C20565" s="309"/>
      <c r="I20565" s="309"/>
      <c r="J20565" s="309"/>
    </row>
    <row r="20566">
      <c r="B20566" s="309"/>
      <c r="C20566" s="309"/>
      <c r="I20566" s="309"/>
      <c r="J20566" s="309"/>
    </row>
    <row r="20567">
      <c r="B20567" s="309"/>
      <c r="C20567" s="309"/>
      <c r="I20567" s="309"/>
      <c r="J20567" s="309"/>
    </row>
    <row r="20568">
      <c r="B20568" s="309"/>
      <c r="C20568" s="309"/>
      <c r="I20568" s="309"/>
      <c r="J20568" s="309"/>
    </row>
    <row r="20569">
      <c r="B20569" s="309"/>
      <c r="C20569" s="309"/>
      <c r="I20569" s="309"/>
      <c r="J20569" s="309"/>
    </row>
    <row r="20570">
      <c r="B20570" s="309"/>
      <c r="C20570" s="309"/>
      <c r="I20570" s="309"/>
      <c r="J20570" s="309"/>
    </row>
    <row r="20571">
      <c r="B20571" s="309"/>
      <c r="C20571" s="309"/>
      <c r="I20571" s="309"/>
      <c r="J20571" s="309"/>
    </row>
    <row r="20572">
      <c r="B20572" s="309"/>
      <c r="C20572" s="309"/>
      <c r="I20572" s="309"/>
      <c r="J20572" s="309"/>
    </row>
    <row r="20573">
      <c r="B20573" s="309"/>
      <c r="C20573" s="309"/>
      <c r="I20573" s="309"/>
      <c r="J20573" s="309"/>
    </row>
    <row r="20574">
      <c r="B20574" s="309"/>
      <c r="C20574" s="309"/>
      <c r="I20574" s="309"/>
      <c r="J20574" s="309"/>
    </row>
    <row r="20575">
      <c r="B20575" s="309"/>
      <c r="C20575" s="309"/>
      <c r="I20575" s="309"/>
      <c r="J20575" s="309"/>
    </row>
    <row r="20576">
      <c r="B20576" s="309"/>
      <c r="C20576" s="309"/>
      <c r="I20576" s="309"/>
      <c r="J20576" s="309"/>
    </row>
    <row r="20577">
      <c r="B20577" s="309"/>
      <c r="C20577" s="309"/>
      <c r="I20577" s="309"/>
      <c r="J20577" s="309"/>
    </row>
    <row r="20578">
      <c r="B20578" s="309"/>
      <c r="C20578" s="309"/>
      <c r="I20578" s="309"/>
      <c r="J20578" s="309"/>
    </row>
    <row r="20579">
      <c r="B20579" s="309"/>
      <c r="C20579" s="309"/>
      <c r="I20579" s="309"/>
      <c r="J20579" s="309"/>
    </row>
    <row r="20580">
      <c r="B20580" s="309"/>
      <c r="C20580" s="309"/>
      <c r="I20580" s="309"/>
      <c r="J20580" s="309"/>
    </row>
    <row r="20581">
      <c r="B20581" s="309"/>
      <c r="C20581" s="309"/>
      <c r="I20581" s="309"/>
      <c r="J20581" s="309"/>
    </row>
    <row r="20582">
      <c r="B20582" s="309"/>
      <c r="C20582" s="309"/>
      <c r="I20582" s="309"/>
      <c r="J20582" s="309"/>
    </row>
    <row r="20583">
      <c r="B20583" s="309"/>
      <c r="C20583" s="309"/>
      <c r="I20583" s="309"/>
      <c r="J20583" s="309"/>
    </row>
    <row r="20584">
      <c r="B20584" s="309"/>
      <c r="C20584" s="309"/>
      <c r="I20584" s="309"/>
      <c r="J20584" s="309"/>
    </row>
    <row r="20585">
      <c r="B20585" s="309"/>
      <c r="C20585" s="309"/>
      <c r="I20585" s="309"/>
      <c r="J20585" s="309"/>
    </row>
    <row r="20586">
      <c r="B20586" s="309"/>
      <c r="C20586" s="309"/>
      <c r="I20586" s="309"/>
      <c r="J20586" s="309"/>
    </row>
    <row r="20587">
      <c r="B20587" s="309"/>
      <c r="C20587" s="309"/>
      <c r="I20587" s="309"/>
      <c r="J20587" s="309"/>
    </row>
    <row r="20588">
      <c r="B20588" s="309"/>
      <c r="C20588" s="309"/>
      <c r="I20588" s="309"/>
      <c r="J20588" s="309"/>
    </row>
    <row r="20589">
      <c r="B20589" s="309"/>
      <c r="C20589" s="309"/>
      <c r="I20589" s="309"/>
      <c r="J20589" s="309"/>
    </row>
    <row r="20590">
      <c r="B20590" s="309"/>
      <c r="C20590" s="309"/>
      <c r="I20590" s="309"/>
      <c r="J20590" s="309"/>
    </row>
    <row r="20591">
      <c r="B20591" s="309"/>
      <c r="C20591" s="309"/>
      <c r="I20591" s="309"/>
      <c r="J20591" s="309"/>
    </row>
    <row r="20592">
      <c r="B20592" s="309"/>
      <c r="C20592" s="309"/>
      <c r="I20592" s="309"/>
      <c r="J20592" s="309"/>
    </row>
    <row r="20593">
      <c r="B20593" s="309"/>
      <c r="C20593" s="309"/>
      <c r="I20593" s="309"/>
      <c r="J20593" s="309"/>
    </row>
    <row r="20594">
      <c r="B20594" s="309"/>
      <c r="C20594" s="309"/>
      <c r="I20594" s="309"/>
      <c r="J20594" s="309"/>
    </row>
    <row r="20595">
      <c r="B20595" s="309"/>
      <c r="C20595" s="309"/>
      <c r="I20595" s="309"/>
      <c r="J20595" s="309"/>
    </row>
    <row r="20596">
      <c r="B20596" s="309"/>
      <c r="C20596" s="309"/>
      <c r="I20596" s="309"/>
      <c r="J20596" s="309"/>
    </row>
    <row r="20597">
      <c r="B20597" s="309"/>
      <c r="C20597" s="309"/>
      <c r="I20597" s="309"/>
      <c r="J20597" s="309"/>
    </row>
    <row r="20598">
      <c r="B20598" s="309"/>
      <c r="C20598" s="309"/>
      <c r="I20598" s="309"/>
      <c r="J20598" s="309"/>
    </row>
    <row r="20599">
      <c r="B20599" s="309"/>
      <c r="C20599" s="309"/>
      <c r="I20599" s="309"/>
      <c r="J20599" s="309"/>
    </row>
    <row r="20600">
      <c r="B20600" s="309"/>
      <c r="C20600" s="309"/>
      <c r="I20600" s="309"/>
      <c r="J20600" s="309"/>
    </row>
    <row r="20601">
      <c r="B20601" s="309"/>
      <c r="C20601" s="309"/>
      <c r="I20601" s="309"/>
      <c r="J20601" s="309"/>
    </row>
    <row r="20602">
      <c r="B20602" s="309"/>
      <c r="C20602" s="309"/>
      <c r="I20602" s="309"/>
      <c r="J20602" s="309"/>
    </row>
    <row r="20603">
      <c r="B20603" s="309"/>
      <c r="C20603" s="309"/>
      <c r="I20603" s="309"/>
      <c r="J20603" s="309"/>
    </row>
    <row r="20604">
      <c r="B20604" s="309"/>
      <c r="C20604" s="309"/>
      <c r="I20604" s="309"/>
      <c r="J20604" s="309"/>
    </row>
    <row r="20605">
      <c r="B20605" s="309"/>
      <c r="C20605" s="309"/>
      <c r="I20605" s="309"/>
      <c r="J20605" s="309"/>
    </row>
    <row r="20606">
      <c r="B20606" s="309"/>
      <c r="C20606" s="309"/>
      <c r="I20606" s="309"/>
      <c r="J20606" s="309"/>
    </row>
    <row r="20607">
      <c r="B20607" s="309"/>
      <c r="C20607" s="309"/>
      <c r="I20607" s="309"/>
      <c r="J20607" s="309"/>
    </row>
    <row r="20608">
      <c r="B20608" s="309"/>
      <c r="C20608" s="309"/>
      <c r="I20608" s="309"/>
      <c r="J20608" s="309"/>
    </row>
    <row r="20609">
      <c r="B20609" s="309"/>
      <c r="C20609" s="309"/>
      <c r="I20609" s="309"/>
      <c r="J20609" s="309"/>
    </row>
    <row r="20610">
      <c r="B20610" s="309"/>
      <c r="C20610" s="309"/>
      <c r="I20610" s="309"/>
      <c r="J20610" s="309"/>
    </row>
    <row r="20611">
      <c r="B20611" s="309"/>
      <c r="C20611" s="309"/>
      <c r="I20611" s="309"/>
      <c r="J20611" s="309"/>
    </row>
    <row r="20612">
      <c r="B20612" s="309"/>
      <c r="C20612" s="309"/>
      <c r="I20612" s="309"/>
      <c r="J20612" s="309"/>
    </row>
    <row r="20613">
      <c r="B20613" s="309"/>
      <c r="C20613" s="309"/>
      <c r="I20613" s="309"/>
      <c r="J20613" s="309"/>
    </row>
    <row r="20614">
      <c r="B20614" s="309"/>
      <c r="C20614" s="309"/>
      <c r="I20614" s="309"/>
      <c r="J20614" s="309"/>
    </row>
    <row r="20615">
      <c r="B20615" s="309"/>
      <c r="C20615" s="309"/>
      <c r="I20615" s="309"/>
      <c r="J20615" s="309"/>
    </row>
    <row r="20616">
      <c r="B20616" s="309"/>
      <c r="C20616" s="309"/>
      <c r="I20616" s="309"/>
      <c r="J20616" s="309"/>
    </row>
    <row r="20617">
      <c r="B20617" s="309"/>
      <c r="C20617" s="309"/>
      <c r="I20617" s="309"/>
      <c r="J20617" s="309"/>
    </row>
    <row r="20618">
      <c r="B20618" s="309"/>
      <c r="C20618" s="309"/>
      <c r="I20618" s="309"/>
      <c r="J20618" s="309"/>
    </row>
    <row r="20619">
      <c r="B20619" s="309"/>
      <c r="C20619" s="309"/>
      <c r="I20619" s="309"/>
      <c r="J20619" s="309"/>
    </row>
    <row r="20620">
      <c r="B20620" s="309"/>
      <c r="C20620" s="309"/>
      <c r="I20620" s="309"/>
      <c r="J20620" s="309"/>
    </row>
    <row r="20621">
      <c r="B20621" s="309"/>
      <c r="C20621" s="309"/>
      <c r="I20621" s="309"/>
      <c r="J20621" s="309"/>
    </row>
    <row r="20622">
      <c r="B20622" s="309"/>
      <c r="C20622" s="309"/>
      <c r="I20622" s="309"/>
      <c r="J20622" s="309"/>
    </row>
    <row r="20623">
      <c r="B20623" s="309"/>
      <c r="C20623" s="309"/>
      <c r="I20623" s="309"/>
      <c r="J20623" s="309"/>
    </row>
    <row r="20624">
      <c r="B20624" s="309"/>
      <c r="C20624" s="309"/>
      <c r="I20624" s="309"/>
      <c r="J20624" s="309"/>
    </row>
    <row r="20625">
      <c r="B20625" s="309"/>
      <c r="C20625" s="309"/>
      <c r="I20625" s="309"/>
      <c r="J20625" s="309"/>
    </row>
    <row r="20626">
      <c r="B20626" s="309"/>
      <c r="C20626" s="309"/>
      <c r="I20626" s="309"/>
      <c r="J20626" s="309"/>
    </row>
    <row r="20627">
      <c r="B20627" s="309"/>
      <c r="C20627" s="309"/>
      <c r="I20627" s="309"/>
      <c r="J20627" s="309"/>
    </row>
    <row r="20628">
      <c r="B20628" s="309"/>
      <c r="C20628" s="309"/>
      <c r="I20628" s="309"/>
      <c r="J20628" s="309"/>
    </row>
    <row r="20629">
      <c r="B20629" s="309"/>
      <c r="C20629" s="309"/>
      <c r="I20629" s="309"/>
      <c r="J20629" s="309"/>
    </row>
    <row r="20630">
      <c r="B20630" s="309"/>
      <c r="C20630" s="309"/>
      <c r="I20630" s="309"/>
      <c r="J20630" s="309"/>
    </row>
    <row r="20631">
      <c r="B20631" s="309"/>
      <c r="C20631" s="309"/>
      <c r="I20631" s="309"/>
      <c r="J20631" s="309"/>
    </row>
    <row r="20632">
      <c r="B20632" s="309"/>
      <c r="C20632" s="309"/>
      <c r="I20632" s="309"/>
      <c r="J20632" s="309"/>
    </row>
    <row r="20633">
      <c r="B20633" s="309"/>
      <c r="C20633" s="309"/>
      <c r="I20633" s="309"/>
      <c r="J20633" s="309"/>
    </row>
    <row r="20634">
      <c r="B20634" s="309"/>
      <c r="C20634" s="309"/>
      <c r="I20634" s="309"/>
      <c r="J20634" s="309"/>
    </row>
    <row r="20635">
      <c r="B20635" s="309"/>
      <c r="C20635" s="309"/>
      <c r="I20635" s="309"/>
      <c r="J20635" s="309"/>
    </row>
    <row r="20636">
      <c r="B20636" s="309"/>
      <c r="C20636" s="309"/>
      <c r="I20636" s="309"/>
      <c r="J20636" s="309"/>
    </row>
    <row r="20637">
      <c r="B20637" s="309"/>
      <c r="C20637" s="309"/>
      <c r="I20637" s="309"/>
      <c r="J20637" s="309"/>
    </row>
    <row r="20638">
      <c r="B20638" s="309"/>
      <c r="C20638" s="309"/>
      <c r="I20638" s="309"/>
      <c r="J20638" s="309"/>
    </row>
    <row r="20639">
      <c r="B20639" s="309"/>
      <c r="C20639" s="309"/>
      <c r="I20639" s="309"/>
      <c r="J20639" s="309"/>
    </row>
    <row r="20640">
      <c r="B20640" s="309"/>
      <c r="C20640" s="309"/>
      <c r="I20640" s="309"/>
      <c r="J20640" s="309"/>
    </row>
    <row r="20641">
      <c r="B20641" s="309"/>
      <c r="C20641" s="309"/>
      <c r="I20641" s="309"/>
      <c r="J20641" s="309"/>
    </row>
    <row r="20642">
      <c r="B20642" s="309"/>
      <c r="C20642" s="309"/>
      <c r="I20642" s="309"/>
      <c r="J20642" s="309"/>
    </row>
    <row r="20643">
      <c r="B20643" s="309"/>
      <c r="C20643" s="309"/>
      <c r="I20643" s="309"/>
      <c r="J20643" s="309"/>
    </row>
    <row r="20644">
      <c r="B20644" s="309"/>
      <c r="C20644" s="309"/>
      <c r="I20644" s="309"/>
      <c r="J20644" s="309"/>
    </row>
    <row r="20645">
      <c r="B20645" s="309"/>
      <c r="C20645" s="309"/>
      <c r="I20645" s="309"/>
      <c r="J20645" s="309"/>
    </row>
    <row r="20646">
      <c r="B20646" s="309"/>
      <c r="C20646" s="309"/>
      <c r="I20646" s="309"/>
      <c r="J20646" s="309"/>
    </row>
    <row r="20647">
      <c r="B20647" s="309"/>
      <c r="C20647" s="309"/>
      <c r="I20647" s="309"/>
      <c r="J20647" s="309"/>
    </row>
    <row r="20648">
      <c r="B20648" s="309"/>
      <c r="C20648" s="309"/>
      <c r="I20648" s="309"/>
      <c r="J20648" s="309"/>
    </row>
    <row r="20649">
      <c r="B20649" s="309"/>
      <c r="C20649" s="309"/>
      <c r="I20649" s="309"/>
      <c r="J20649" s="309"/>
    </row>
    <row r="20650">
      <c r="B20650" s="309"/>
      <c r="C20650" s="309"/>
      <c r="I20650" s="309"/>
      <c r="J20650" s="309"/>
    </row>
    <row r="20651">
      <c r="B20651" s="309"/>
      <c r="C20651" s="309"/>
      <c r="I20651" s="309"/>
      <c r="J20651" s="309"/>
    </row>
    <row r="20652">
      <c r="B20652" s="309"/>
      <c r="C20652" s="309"/>
      <c r="I20652" s="309"/>
      <c r="J20652" s="309"/>
    </row>
    <row r="20653">
      <c r="B20653" s="309"/>
      <c r="C20653" s="309"/>
      <c r="I20653" s="309"/>
      <c r="J20653" s="309"/>
    </row>
    <row r="20654">
      <c r="B20654" s="309"/>
      <c r="C20654" s="309"/>
      <c r="I20654" s="309"/>
      <c r="J20654" s="309"/>
    </row>
    <row r="20655">
      <c r="B20655" s="309"/>
      <c r="C20655" s="309"/>
      <c r="I20655" s="309"/>
      <c r="J20655" s="309"/>
    </row>
    <row r="20656">
      <c r="B20656" s="309"/>
      <c r="C20656" s="309"/>
      <c r="I20656" s="309"/>
      <c r="J20656" s="309"/>
    </row>
    <row r="20657">
      <c r="B20657" s="309"/>
      <c r="C20657" s="309"/>
      <c r="I20657" s="309"/>
      <c r="J20657" s="309"/>
    </row>
    <row r="20658">
      <c r="B20658" s="309"/>
      <c r="C20658" s="309"/>
      <c r="I20658" s="309"/>
      <c r="J20658" s="309"/>
    </row>
    <row r="20659">
      <c r="B20659" s="309"/>
      <c r="C20659" s="309"/>
      <c r="I20659" s="309"/>
      <c r="J20659" s="309"/>
    </row>
    <row r="20660">
      <c r="B20660" s="309"/>
      <c r="C20660" s="309"/>
      <c r="I20660" s="309"/>
      <c r="J20660" s="309"/>
    </row>
    <row r="20661">
      <c r="B20661" s="309"/>
      <c r="C20661" s="309"/>
      <c r="I20661" s="309"/>
      <c r="J20661" s="309"/>
    </row>
    <row r="20662">
      <c r="B20662" s="309"/>
      <c r="C20662" s="309"/>
      <c r="I20662" s="309"/>
      <c r="J20662" s="309"/>
    </row>
    <row r="20663">
      <c r="B20663" s="309"/>
      <c r="C20663" s="309"/>
      <c r="I20663" s="309"/>
      <c r="J20663" s="309"/>
    </row>
    <row r="20664">
      <c r="B20664" s="309"/>
      <c r="C20664" s="309"/>
      <c r="I20664" s="309"/>
      <c r="J20664" s="309"/>
    </row>
    <row r="20665">
      <c r="B20665" s="309"/>
      <c r="C20665" s="309"/>
      <c r="I20665" s="309"/>
      <c r="J20665" s="309"/>
    </row>
    <row r="20666">
      <c r="B20666" s="309"/>
      <c r="C20666" s="309"/>
      <c r="I20666" s="309"/>
      <c r="J20666" s="309"/>
    </row>
    <row r="20667">
      <c r="B20667" s="309"/>
      <c r="C20667" s="309"/>
      <c r="I20667" s="309"/>
      <c r="J20667" s="309"/>
    </row>
    <row r="20668">
      <c r="B20668" s="309"/>
      <c r="C20668" s="309"/>
      <c r="I20668" s="309"/>
      <c r="J20668" s="309"/>
    </row>
    <row r="20669">
      <c r="B20669" s="309"/>
      <c r="C20669" s="309"/>
      <c r="I20669" s="309"/>
      <c r="J20669" s="309"/>
    </row>
    <row r="20670">
      <c r="B20670" s="309"/>
      <c r="C20670" s="309"/>
      <c r="I20670" s="309"/>
      <c r="J20670" s="309"/>
    </row>
    <row r="20671">
      <c r="B20671" s="309"/>
      <c r="C20671" s="309"/>
      <c r="I20671" s="309"/>
      <c r="J20671" s="309"/>
    </row>
    <row r="20672">
      <c r="B20672" s="309"/>
      <c r="C20672" s="309"/>
      <c r="I20672" s="309"/>
      <c r="J20672" s="309"/>
    </row>
    <row r="20673">
      <c r="B20673" s="309"/>
      <c r="C20673" s="309"/>
      <c r="I20673" s="309"/>
      <c r="J20673" s="309"/>
    </row>
    <row r="20674">
      <c r="B20674" s="309"/>
      <c r="C20674" s="309"/>
      <c r="I20674" s="309"/>
      <c r="J20674" s="309"/>
    </row>
    <row r="20675">
      <c r="B20675" s="309"/>
      <c r="C20675" s="309"/>
      <c r="I20675" s="309"/>
      <c r="J20675" s="309"/>
    </row>
    <row r="20676">
      <c r="B20676" s="309"/>
      <c r="C20676" s="309"/>
      <c r="I20676" s="309"/>
      <c r="J20676" s="309"/>
    </row>
    <row r="20677">
      <c r="B20677" s="309"/>
      <c r="C20677" s="309"/>
      <c r="I20677" s="309"/>
      <c r="J20677" s="309"/>
    </row>
    <row r="20678">
      <c r="B20678" s="309"/>
      <c r="C20678" s="309"/>
      <c r="I20678" s="309"/>
      <c r="J20678" s="309"/>
    </row>
    <row r="20679">
      <c r="B20679" s="309"/>
      <c r="C20679" s="309"/>
      <c r="I20679" s="309"/>
      <c r="J20679" s="309"/>
    </row>
    <row r="20680">
      <c r="B20680" s="309"/>
      <c r="C20680" s="309"/>
      <c r="I20680" s="309"/>
      <c r="J20680" s="309"/>
    </row>
    <row r="20681">
      <c r="B20681" s="309"/>
      <c r="C20681" s="309"/>
      <c r="I20681" s="309"/>
      <c r="J20681" s="309"/>
    </row>
    <row r="20682">
      <c r="B20682" s="309"/>
      <c r="C20682" s="309"/>
      <c r="I20682" s="309"/>
      <c r="J20682" s="309"/>
    </row>
    <row r="20683">
      <c r="B20683" s="309"/>
      <c r="C20683" s="309"/>
      <c r="I20683" s="309"/>
      <c r="J20683" s="309"/>
    </row>
    <row r="20684">
      <c r="B20684" s="309"/>
      <c r="C20684" s="309"/>
      <c r="I20684" s="309"/>
      <c r="J20684" s="309"/>
    </row>
    <row r="20685">
      <c r="B20685" s="309"/>
      <c r="C20685" s="309"/>
      <c r="I20685" s="309"/>
      <c r="J20685" s="309"/>
    </row>
    <row r="20686">
      <c r="B20686" s="309"/>
      <c r="C20686" s="309"/>
      <c r="I20686" s="309"/>
      <c r="J20686" s="309"/>
    </row>
    <row r="20687">
      <c r="B20687" s="309"/>
      <c r="C20687" s="309"/>
      <c r="I20687" s="309"/>
      <c r="J20687" s="309"/>
    </row>
    <row r="20688">
      <c r="B20688" s="309"/>
      <c r="C20688" s="309"/>
      <c r="I20688" s="309"/>
      <c r="J20688" s="309"/>
    </row>
    <row r="20689">
      <c r="B20689" s="309"/>
      <c r="C20689" s="309"/>
      <c r="I20689" s="309"/>
      <c r="J20689" s="309"/>
    </row>
    <row r="20690">
      <c r="B20690" s="309"/>
      <c r="C20690" s="309"/>
      <c r="I20690" s="309"/>
      <c r="J20690" s="309"/>
    </row>
    <row r="20691">
      <c r="B20691" s="309"/>
      <c r="C20691" s="309"/>
      <c r="I20691" s="309"/>
      <c r="J20691" s="309"/>
    </row>
    <row r="20692">
      <c r="B20692" s="309"/>
      <c r="C20692" s="309"/>
      <c r="I20692" s="309"/>
      <c r="J20692" s="309"/>
    </row>
    <row r="20693">
      <c r="B20693" s="309"/>
      <c r="C20693" s="309"/>
      <c r="I20693" s="309"/>
      <c r="J20693" s="309"/>
    </row>
    <row r="20694">
      <c r="B20694" s="309"/>
      <c r="C20694" s="309"/>
      <c r="I20694" s="309"/>
      <c r="J20694" s="309"/>
    </row>
    <row r="20695">
      <c r="B20695" s="309"/>
      <c r="C20695" s="309"/>
      <c r="I20695" s="309"/>
      <c r="J20695" s="309"/>
    </row>
    <row r="20696">
      <c r="B20696" s="309"/>
      <c r="C20696" s="309"/>
      <c r="I20696" s="309"/>
      <c r="J20696" s="309"/>
    </row>
    <row r="20697">
      <c r="B20697" s="309"/>
      <c r="C20697" s="309"/>
      <c r="I20697" s="309"/>
      <c r="J20697" s="309"/>
    </row>
    <row r="20698">
      <c r="B20698" s="309"/>
      <c r="C20698" s="309"/>
      <c r="I20698" s="309"/>
      <c r="J20698" s="309"/>
    </row>
    <row r="20699">
      <c r="B20699" s="309"/>
      <c r="C20699" s="309"/>
      <c r="I20699" s="309"/>
      <c r="J20699" s="309"/>
    </row>
    <row r="20700">
      <c r="B20700" s="309"/>
      <c r="C20700" s="309"/>
      <c r="I20700" s="309"/>
      <c r="J20700" s="309"/>
    </row>
    <row r="20701">
      <c r="B20701" s="309"/>
      <c r="C20701" s="309"/>
      <c r="I20701" s="309"/>
      <c r="J20701" s="309"/>
    </row>
    <row r="20702">
      <c r="B20702" s="309"/>
      <c r="C20702" s="309"/>
      <c r="I20702" s="309"/>
      <c r="J20702" s="309"/>
    </row>
    <row r="20703">
      <c r="B20703" s="309"/>
      <c r="C20703" s="309"/>
      <c r="I20703" s="309"/>
      <c r="J20703" s="309"/>
    </row>
    <row r="20704">
      <c r="B20704" s="309"/>
      <c r="C20704" s="309"/>
      <c r="I20704" s="309"/>
      <c r="J20704" s="309"/>
    </row>
    <row r="20705">
      <c r="B20705" s="309"/>
      <c r="C20705" s="309"/>
      <c r="I20705" s="309"/>
      <c r="J20705" s="309"/>
    </row>
    <row r="20706">
      <c r="B20706" s="309"/>
      <c r="C20706" s="309"/>
      <c r="I20706" s="309"/>
      <c r="J20706" s="309"/>
    </row>
    <row r="20707">
      <c r="B20707" s="309"/>
      <c r="C20707" s="309"/>
      <c r="I20707" s="309"/>
      <c r="J20707" s="309"/>
    </row>
    <row r="20708">
      <c r="B20708" s="309"/>
      <c r="C20708" s="309"/>
      <c r="I20708" s="309"/>
      <c r="J20708" s="309"/>
    </row>
    <row r="20709">
      <c r="B20709" s="309"/>
      <c r="C20709" s="309"/>
      <c r="I20709" s="309"/>
      <c r="J20709" s="309"/>
    </row>
    <row r="20710">
      <c r="B20710" s="309"/>
      <c r="C20710" s="309"/>
      <c r="I20710" s="309"/>
      <c r="J20710" s="309"/>
    </row>
    <row r="20711">
      <c r="B20711" s="309"/>
      <c r="C20711" s="309"/>
      <c r="I20711" s="309"/>
      <c r="J20711" s="309"/>
    </row>
    <row r="20712">
      <c r="B20712" s="309"/>
      <c r="C20712" s="309"/>
      <c r="I20712" s="309"/>
      <c r="J20712" s="309"/>
    </row>
    <row r="20713">
      <c r="B20713" s="309"/>
      <c r="C20713" s="309"/>
      <c r="I20713" s="309"/>
      <c r="J20713" s="309"/>
    </row>
    <row r="20714">
      <c r="B20714" s="309"/>
      <c r="C20714" s="309"/>
      <c r="I20714" s="309"/>
      <c r="J20714" s="309"/>
    </row>
    <row r="20715">
      <c r="B20715" s="309"/>
      <c r="C20715" s="309"/>
      <c r="I20715" s="309"/>
      <c r="J20715" s="309"/>
    </row>
    <row r="20716">
      <c r="B20716" s="309"/>
      <c r="C20716" s="309"/>
      <c r="I20716" s="309"/>
      <c r="J20716" s="309"/>
    </row>
    <row r="20717">
      <c r="B20717" s="309"/>
      <c r="C20717" s="309"/>
      <c r="I20717" s="309"/>
      <c r="J20717" s="309"/>
    </row>
    <row r="20718">
      <c r="B20718" s="309"/>
      <c r="C20718" s="309"/>
      <c r="I20718" s="309"/>
      <c r="J20718" s="309"/>
    </row>
    <row r="20719">
      <c r="B20719" s="309"/>
      <c r="C20719" s="309"/>
      <c r="I20719" s="309"/>
      <c r="J20719" s="309"/>
    </row>
    <row r="20720">
      <c r="B20720" s="309"/>
      <c r="C20720" s="309"/>
      <c r="I20720" s="309"/>
      <c r="J20720" s="309"/>
    </row>
    <row r="20721">
      <c r="B20721" s="309"/>
      <c r="C20721" s="309"/>
      <c r="I20721" s="309"/>
      <c r="J20721" s="309"/>
    </row>
    <row r="20722">
      <c r="B20722" s="309"/>
      <c r="C20722" s="309"/>
      <c r="I20722" s="309"/>
      <c r="J20722" s="309"/>
    </row>
    <row r="20723">
      <c r="B20723" s="309"/>
      <c r="C20723" s="309"/>
      <c r="I20723" s="309"/>
      <c r="J20723" s="309"/>
    </row>
    <row r="20724">
      <c r="B20724" s="309"/>
      <c r="C20724" s="309"/>
      <c r="I20724" s="309"/>
      <c r="J20724" s="309"/>
    </row>
    <row r="20725">
      <c r="B20725" s="309"/>
      <c r="C20725" s="309"/>
      <c r="I20725" s="309"/>
      <c r="J20725" s="309"/>
    </row>
    <row r="20726">
      <c r="B20726" s="309"/>
      <c r="C20726" s="309"/>
      <c r="I20726" s="309"/>
      <c r="J20726" s="309"/>
    </row>
    <row r="20727">
      <c r="B20727" s="309"/>
      <c r="C20727" s="309"/>
      <c r="I20727" s="309"/>
      <c r="J20727" s="309"/>
    </row>
    <row r="20728">
      <c r="B20728" s="309"/>
      <c r="C20728" s="309"/>
      <c r="I20728" s="309"/>
      <c r="J20728" s="309"/>
    </row>
    <row r="20729">
      <c r="B20729" s="309"/>
      <c r="C20729" s="309"/>
      <c r="I20729" s="309"/>
      <c r="J20729" s="309"/>
    </row>
    <row r="20730">
      <c r="B20730" s="309"/>
      <c r="C20730" s="309"/>
      <c r="I20730" s="309"/>
      <c r="J20730" s="309"/>
    </row>
    <row r="20731">
      <c r="B20731" s="309"/>
      <c r="C20731" s="309"/>
      <c r="I20731" s="309"/>
      <c r="J20731" s="309"/>
    </row>
    <row r="20732">
      <c r="B20732" s="309"/>
      <c r="C20732" s="309"/>
      <c r="I20732" s="309"/>
      <c r="J20732" s="309"/>
    </row>
    <row r="20733">
      <c r="B20733" s="309"/>
      <c r="C20733" s="309"/>
      <c r="I20733" s="309"/>
      <c r="J20733" s="309"/>
    </row>
    <row r="20734">
      <c r="B20734" s="309"/>
      <c r="C20734" s="309"/>
      <c r="I20734" s="309"/>
      <c r="J20734" s="309"/>
    </row>
    <row r="20735">
      <c r="B20735" s="309"/>
      <c r="C20735" s="309"/>
      <c r="I20735" s="309"/>
      <c r="J20735" s="309"/>
    </row>
    <row r="20736">
      <c r="B20736" s="309"/>
      <c r="C20736" s="309"/>
      <c r="I20736" s="309"/>
      <c r="J20736" s="309"/>
    </row>
    <row r="20737">
      <c r="B20737" s="309"/>
      <c r="C20737" s="309"/>
      <c r="I20737" s="309"/>
      <c r="J20737" s="309"/>
    </row>
    <row r="20738">
      <c r="B20738" s="309"/>
      <c r="C20738" s="309"/>
      <c r="I20738" s="309"/>
      <c r="J20738" s="309"/>
    </row>
    <row r="20739">
      <c r="B20739" s="309"/>
      <c r="C20739" s="309"/>
      <c r="I20739" s="309"/>
      <c r="J20739" s="309"/>
    </row>
    <row r="20740">
      <c r="B20740" s="309"/>
      <c r="C20740" s="309"/>
      <c r="I20740" s="309"/>
      <c r="J20740" s="309"/>
    </row>
    <row r="20741">
      <c r="B20741" s="309"/>
      <c r="C20741" s="309"/>
      <c r="I20741" s="309"/>
      <c r="J20741" s="309"/>
    </row>
    <row r="20742">
      <c r="B20742" s="309"/>
      <c r="C20742" s="309"/>
      <c r="I20742" s="309"/>
      <c r="J20742" s="309"/>
    </row>
    <row r="20743">
      <c r="B20743" s="309"/>
      <c r="C20743" s="309"/>
      <c r="I20743" s="309"/>
      <c r="J20743" s="309"/>
    </row>
    <row r="20744">
      <c r="B20744" s="309"/>
      <c r="C20744" s="309"/>
      <c r="I20744" s="309"/>
      <c r="J20744" s="309"/>
    </row>
    <row r="20745">
      <c r="B20745" s="309"/>
      <c r="C20745" s="309"/>
      <c r="I20745" s="309"/>
      <c r="J20745" s="309"/>
    </row>
    <row r="20746">
      <c r="B20746" s="309"/>
      <c r="C20746" s="309"/>
      <c r="I20746" s="309"/>
      <c r="J20746" s="309"/>
    </row>
    <row r="20747">
      <c r="B20747" s="309"/>
      <c r="C20747" s="309"/>
      <c r="I20747" s="309"/>
      <c r="J20747" s="309"/>
    </row>
    <row r="20748">
      <c r="B20748" s="309"/>
      <c r="C20748" s="309"/>
      <c r="I20748" s="309"/>
      <c r="J20748" s="309"/>
    </row>
    <row r="20749">
      <c r="B20749" s="309"/>
      <c r="C20749" s="309"/>
      <c r="I20749" s="309"/>
      <c r="J20749" s="309"/>
    </row>
    <row r="20750">
      <c r="B20750" s="309"/>
      <c r="C20750" s="309"/>
      <c r="I20750" s="309"/>
      <c r="J20750" s="309"/>
    </row>
    <row r="20751">
      <c r="B20751" s="309"/>
      <c r="C20751" s="309"/>
      <c r="I20751" s="309"/>
      <c r="J20751" s="309"/>
    </row>
    <row r="20752">
      <c r="B20752" s="309"/>
      <c r="C20752" s="309"/>
      <c r="I20752" s="309"/>
      <c r="J20752" s="309"/>
    </row>
    <row r="20753">
      <c r="B20753" s="309"/>
      <c r="C20753" s="309"/>
      <c r="I20753" s="309"/>
      <c r="J20753" s="309"/>
    </row>
    <row r="20754">
      <c r="B20754" s="309"/>
      <c r="C20754" s="309"/>
      <c r="I20754" s="309"/>
      <c r="J20754" s="309"/>
    </row>
    <row r="20755">
      <c r="B20755" s="309"/>
      <c r="C20755" s="309"/>
      <c r="I20755" s="309"/>
      <c r="J20755" s="309"/>
    </row>
    <row r="20756">
      <c r="B20756" s="309"/>
      <c r="C20756" s="309"/>
      <c r="I20756" s="309"/>
      <c r="J20756" s="309"/>
    </row>
    <row r="20757">
      <c r="B20757" s="309"/>
      <c r="C20757" s="309"/>
      <c r="I20757" s="309"/>
      <c r="J20757" s="309"/>
    </row>
    <row r="20758">
      <c r="B20758" s="309"/>
      <c r="C20758" s="309"/>
      <c r="I20758" s="309"/>
      <c r="J20758" s="309"/>
    </row>
    <row r="20759">
      <c r="B20759" s="309"/>
      <c r="C20759" s="309"/>
      <c r="I20759" s="309"/>
      <c r="J20759" s="309"/>
    </row>
    <row r="20760">
      <c r="B20760" s="309"/>
      <c r="C20760" s="309"/>
      <c r="I20760" s="309"/>
      <c r="J20760" s="309"/>
    </row>
    <row r="20761">
      <c r="B20761" s="309"/>
      <c r="C20761" s="309"/>
      <c r="I20761" s="309"/>
      <c r="J20761" s="309"/>
    </row>
    <row r="20762">
      <c r="B20762" s="309"/>
      <c r="C20762" s="309"/>
      <c r="I20762" s="309"/>
      <c r="J20762" s="309"/>
    </row>
    <row r="20763">
      <c r="B20763" s="309"/>
      <c r="C20763" s="309"/>
      <c r="I20763" s="309"/>
      <c r="J20763" s="309"/>
    </row>
    <row r="20764">
      <c r="B20764" s="309"/>
      <c r="C20764" s="309"/>
      <c r="I20764" s="309"/>
      <c r="J20764" s="309"/>
    </row>
    <row r="20765">
      <c r="B20765" s="309"/>
      <c r="C20765" s="309"/>
      <c r="I20765" s="309"/>
      <c r="J20765" s="309"/>
    </row>
    <row r="20766">
      <c r="B20766" s="309"/>
      <c r="C20766" s="309"/>
      <c r="I20766" s="309"/>
      <c r="J20766" s="309"/>
    </row>
    <row r="20767">
      <c r="B20767" s="309"/>
      <c r="C20767" s="309"/>
      <c r="I20767" s="309"/>
      <c r="J20767" s="309"/>
    </row>
    <row r="20768">
      <c r="B20768" s="309"/>
      <c r="C20768" s="309"/>
      <c r="I20768" s="309"/>
      <c r="J20768" s="309"/>
    </row>
    <row r="20769">
      <c r="B20769" s="309"/>
      <c r="C20769" s="309"/>
      <c r="I20769" s="309"/>
      <c r="J20769" s="309"/>
    </row>
    <row r="20770">
      <c r="B20770" s="309"/>
      <c r="C20770" s="309"/>
      <c r="I20770" s="309"/>
      <c r="J20770" s="309"/>
    </row>
    <row r="20771">
      <c r="B20771" s="309"/>
      <c r="C20771" s="309"/>
      <c r="I20771" s="309"/>
      <c r="J20771" s="309"/>
    </row>
    <row r="20772">
      <c r="B20772" s="309"/>
      <c r="C20772" s="309"/>
      <c r="I20772" s="309"/>
      <c r="J20772" s="309"/>
    </row>
    <row r="20773">
      <c r="B20773" s="309"/>
      <c r="C20773" s="309"/>
      <c r="I20773" s="309"/>
      <c r="J20773" s="309"/>
    </row>
    <row r="20774">
      <c r="B20774" s="309"/>
      <c r="C20774" s="309"/>
      <c r="I20774" s="309"/>
      <c r="J20774" s="309"/>
    </row>
    <row r="20775">
      <c r="B20775" s="309"/>
      <c r="C20775" s="309"/>
      <c r="I20775" s="309"/>
      <c r="J20775" s="309"/>
    </row>
    <row r="20776">
      <c r="B20776" s="309"/>
      <c r="C20776" s="309"/>
      <c r="I20776" s="309"/>
      <c r="J20776" s="309"/>
    </row>
    <row r="20777">
      <c r="B20777" s="309"/>
      <c r="C20777" s="309"/>
      <c r="I20777" s="309"/>
      <c r="J20777" s="309"/>
    </row>
    <row r="20778">
      <c r="B20778" s="309"/>
      <c r="C20778" s="309"/>
      <c r="I20778" s="309"/>
      <c r="J20778" s="309"/>
    </row>
    <row r="20779">
      <c r="B20779" s="309"/>
      <c r="C20779" s="309"/>
      <c r="I20779" s="309"/>
      <c r="J20779" s="309"/>
    </row>
    <row r="20780">
      <c r="B20780" s="309"/>
      <c r="C20780" s="309"/>
      <c r="I20780" s="309"/>
      <c r="J20780" s="309"/>
    </row>
    <row r="20781">
      <c r="B20781" s="309"/>
      <c r="C20781" s="309"/>
      <c r="I20781" s="309"/>
      <c r="J20781" s="309"/>
    </row>
    <row r="20782">
      <c r="B20782" s="309"/>
      <c r="C20782" s="309"/>
      <c r="I20782" s="309"/>
      <c r="J20782" s="309"/>
    </row>
    <row r="20783">
      <c r="B20783" s="309"/>
      <c r="C20783" s="309"/>
      <c r="I20783" s="309"/>
      <c r="J20783" s="309"/>
    </row>
    <row r="20784">
      <c r="B20784" s="309"/>
      <c r="C20784" s="309"/>
      <c r="I20784" s="309"/>
      <c r="J20784" s="309"/>
    </row>
    <row r="20785">
      <c r="B20785" s="309"/>
      <c r="C20785" s="309"/>
      <c r="I20785" s="309"/>
      <c r="J20785" s="309"/>
    </row>
    <row r="20786">
      <c r="B20786" s="309"/>
      <c r="C20786" s="309"/>
      <c r="I20786" s="309"/>
      <c r="J20786" s="309"/>
    </row>
    <row r="20787">
      <c r="B20787" s="309"/>
      <c r="C20787" s="309"/>
      <c r="I20787" s="309"/>
      <c r="J20787" s="309"/>
    </row>
    <row r="20788">
      <c r="B20788" s="309"/>
      <c r="C20788" s="309"/>
      <c r="I20788" s="309"/>
      <c r="J20788" s="309"/>
    </row>
    <row r="20789">
      <c r="B20789" s="309"/>
      <c r="C20789" s="309"/>
      <c r="I20789" s="309"/>
      <c r="J20789" s="309"/>
    </row>
    <row r="20790">
      <c r="B20790" s="309"/>
      <c r="C20790" s="309"/>
      <c r="I20790" s="309"/>
      <c r="J20790" s="309"/>
    </row>
    <row r="20791">
      <c r="B20791" s="309"/>
      <c r="C20791" s="309"/>
      <c r="I20791" s="309"/>
      <c r="J20791" s="309"/>
    </row>
    <row r="20792">
      <c r="B20792" s="309"/>
      <c r="C20792" s="309"/>
      <c r="I20792" s="309"/>
      <c r="J20792" s="309"/>
    </row>
    <row r="20793">
      <c r="B20793" s="309"/>
      <c r="C20793" s="309"/>
      <c r="I20793" s="309"/>
      <c r="J20793" s="309"/>
    </row>
    <row r="20794">
      <c r="B20794" s="309"/>
      <c r="C20794" s="309"/>
      <c r="I20794" s="309"/>
      <c r="J20794" s="309"/>
    </row>
    <row r="20795">
      <c r="B20795" s="309"/>
      <c r="C20795" s="309"/>
      <c r="I20795" s="309"/>
      <c r="J20795" s="309"/>
    </row>
    <row r="20796">
      <c r="B20796" s="309"/>
      <c r="C20796" s="309"/>
      <c r="I20796" s="309"/>
      <c r="J20796" s="309"/>
    </row>
    <row r="20797">
      <c r="B20797" s="309"/>
      <c r="C20797" s="309"/>
      <c r="I20797" s="309"/>
      <c r="J20797" s="309"/>
    </row>
    <row r="20798">
      <c r="B20798" s="309"/>
      <c r="C20798" s="309"/>
      <c r="I20798" s="309"/>
      <c r="J20798" s="309"/>
    </row>
    <row r="20799">
      <c r="B20799" s="309"/>
      <c r="C20799" s="309"/>
      <c r="I20799" s="309"/>
      <c r="J20799" s="309"/>
    </row>
    <row r="20800">
      <c r="B20800" s="309"/>
      <c r="C20800" s="309"/>
      <c r="I20800" s="309"/>
      <c r="J20800" s="309"/>
    </row>
    <row r="20801">
      <c r="B20801" s="309"/>
      <c r="C20801" s="309"/>
      <c r="I20801" s="309"/>
      <c r="J20801" s="309"/>
    </row>
    <row r="20802">
      <c r="B20802" s="309"/>
      <c r="C20802" s="309"/>
      <c r="I20802" s="309"/>
      <c r="J20802" s="309"/>
    </row>
    <row r="20803">
      <c r="B20803" s="309"/>
      <c r="C20803" s="309"/>
      <c r="I20803" s="309"/>
      <c r="J20803" s="309"/>
    </row>
    <row r="20804">
      <c r="B20804" s="309"/>
      <c r="C20804" s="309"/>
      <c r="I20804" s="309"/>
      <c r="J20804" s="309"/>
    </row>
    <row r="20805">
      <c r="B20805" s="309"/>
      <c r="C20805" s="309"/>
      <c r="I20805" s="309"/>
      <c r="J20805" s="309"/>
    </row>
    <row r="20806">
      <c r="B20806" s="309"/>
      <c r="C20806" s="309"/>
      <c r="I20806" s="309"/>
      <c r="J20806" s="309"/>
    </row>
    <row r="20807">
      <c r="B20807" s="309"/>
      <c r="C20807" s="309"/>
      <c r="I20807" s="309"/>
      <c r="J20807" s="309"/>
    </row>
    <row r="20808">
      <c r="B20808" s="309"/>
      <c r="C20808" s="309"/>
      <c r="I20808" s="309"/>
      <c r="J20808" s="309"/>
    </row>
    <row r="20809">
      <c r="B20809" s="309"/>
      <c r="C20809" s="309"/>
      <c r="I20809" s="309"/>
      <c r="J20809" s="309"/>
    </row>
    <row r="20810">
      <c r="B20810" s="309"/>
      <c r="C20810" s="309"/>
      <c r="I20810" s="309"/>
      <c r="J20810" s="309"/>
    </row>
    <row r="20811">
      <c r="B20811" s="309"/>
      <c r="C20811" s="309"/>
      <c r="I20811" s="309"/>
      <c r="J20811" s="309"/>
    </row>
    <row r="20812">
      <c r="B20812" s="309"/>
      <c r="C20812" s="309"/>
      <c r="I20812" s="309"/>
      <c r="J20812" s="309"/>
    </row>
    <row r="20813">
      <c r="B20813" s="309"/>
      <c r="C20813" s="309"/>
      <c r="I20813" s="309"/>
      <c r="J20813" s="309"/>
    </row>
    <row r="20814">
      <c r="B20814" s="309"/>
      <c r="C20814" s="309"/>
      <c r="I20814" s="309"/>
      <c r="J20814" s="309"/>
    </row>
    <row r="20815">
      <c r="B20815" s="309"/>
      <c r="C20815" s="309"/>
      <c r="I20815" s="309"/>
      <c r="J20815" s="309"/>
    </row>
    <row r="20816">
      <c r="B20816" s="309"/>
      <c r="C20816" s="309"/>
      <c r="I20816" s="309"/>
      <c r="J20816" s="309"/>
    </row>
    <row r="20817">
      <c r="B20817" s="309"/>
      <c r="C20817" s="309"/>
      <c r="I20817" s="309"/>
      <c r="J20817" s="309"/>
    </row>
    <row r="20818">
      <c r="B20818" s="309"/>
      <c r="C20818" s="309"/>
      <c r="I20818" s="309"/>
      <c r="J20818" s="309"/>
    </row>
    <row r="20819">
      <c r="B20819" s="309"/>
      <c r="C20819" s="309"/>
      <c r="I20819" s="309"/>
      <c r="J20819" s="309"/>
    </row>
    <row r="20820">
      <c r="B20820" s="309"/>
      <c r="C20820" s="309"/>
      <c r="I20820" s="309"/>
      <c r="J20820" s="309"/>
    </row>
    <row r="20821">
      <c r="B20821" s="309"/>
      <c r="C20821" s="309"/>
      <c r="I20821" s="309"/>
      <c r="J20821" s="309"/>
    </row>
    <row r="20822">
      <c r="B20822" s="309"/>
      <c r="C20822" s="309"/>
      <c r="I20822" s="309"/>
      <c r="J20822" s="309"/>
    </row>
    <row r="20823">
      <c r="B20823" s="309"/>
      <c r="C20823" s="309"/>
      <c r="I20823" s="309"/>
      <c r="J20823" s="309"/>
    </row>
    <row r="20824">
      <c r="B20824" s="309"/>
      <c r="C20824" s="309"/>
      <c r="I20824" s="309"/>
      <c r="J20824" s="309"/>
    </row>
    <row r="20825">
      <c r="B20825" s="309"/>
      <c r="C20825" s="309"/>
      <c r="I20825" s="309"/>
      <c r="J20825" s="309"/>
    </row>
    <row r="20826">
      <c r="B20826" s="309"/>
      <c r="C20826" s="309"/>
      <c r="I20826" s="309"/>
      <c r="J20826" s="309"/>
    </row>
    <row r="20827">
      <c r="B20827" s="309"/>
      <c r="C20827" s="309"/>
      <c r="I20827" s="309"/>
      <c r="J20827" s="309"/>
    </row>
    <row r="20828">
      <c r="B20828" s="309"/>
      <c r="C20828" s="309"/>
      <c r="I20828" s="309"/>
      <c r="J20828" s="309"/>
    </row>
    <row r="20829">
      <c r="B20829" s="309"/>
      <c r="C20829" s="309"/>
      <c r="I20829" s="309"/>
      <c r="J20829" s="309"/>
    </row>
    <row r="20830">
      <c r="B20830" s="309"/>
      <c r="C20830" s="309"/>
      <c r="I20830" s="309"/>
      <c r="J20830" s="309"/>
    </row>
    <row r="20831">
      <c r="B20831" s="309"/>
      <c r="C20831" s="309"/>
      <c r="I20831" s="309"/>
      <c r="J20831" s="309"/>
    </row>
    <row r="20832">
      <c r="B20832" s="309"/>
      <c r="C20832" s="309"/>
      <c r="I20832" s="309"/>
      <c r="J20832" s="309"/>
    </row>
    <row r="20833">
      <c r="B20833" s="309"/>
      <c r="C20833" s="309"/>
      <c r="I20833" s="309"/>
      <c r="J20833" s="309"/>
    </row>
    <row r="20834">
      <c r="B20834" s="309"/>
      <c r="C20834" s="309"/>
      <c r="I20834" s="309"/>
      <c r="J20834" s="309"/>
    </row>
    <row r="20835">
      <c r="B20835" s="309"/>
      <c r="C20835" s="309"/>
      <c r="I20835" s="309"/>
      <c r="J20835" s="309"/>
    </row>
    <row r="20836">
      <c r="B20836" s="309"/>
      <c r="C20836" s="309"/>
      <c r="I20836" s="309"/>
      <c r="J20836" s="309"/>
    </row>
    <row r="20837">
      <c r="B20837" s="309"/>
      <c r="C20837" s="309"/>
      <c r="I20837" s="309"/>
      <c r="J20837" s="309"/>
    </row>
    <row r="20838">
      <c r="B20838" s="309"/>
      <c r="C20838" s="309"/>
      <c r="I20838" s="309"/>
      <c r="J20838" s="309"/>
    </row>
    <row r="20839">
      <c r="B20839" s="309"/>
      <c r="C20839" s="309"/>
      <c r="I20839" s="309"/>
      <c r="J20839" s="309"/>
    </row>
    <row r="20840">
      <c r="B20840" s="309"/>
      <c r="C20840" s="309"/>
      <c r="I20840" s="309"/>
      <c r="J20840" s="309"/>
    </row>
    <row r="20841">
      <c r="B20841" s="309"/>
      <c r="C20841" s="309"/>
      <c r="I20841" s="309"/>
      <c r="J20841" s="309"/>
    </row>
    <row r="20842">
      <c r="B20842" s="309"/>
      <c r="C20842" s="309"/>
      <c r="I20842" s="309"/>
      <c r="J20842" s="309"/>
    </row>
    <row r="20843">
      <c r="B20843" s="309"/>
      <c r="C20843" s="309"/>
      <c r="I20843" s="309"/>
      <c r="J20843" s="309"/>
    </row>
    <row r="20844">
      <c r="B20844" s="309"/>
      <c r="C20844" s="309"/>
      <c r="I20844" s="309"/>
      <c r="J20844" s="309"/>
    </row>
    <row r="20845">
      <c r="B20845" s="309"/>
      <c r="C20845" s="309"/>
      <c r="I20845" s="309"/>
      <c r="J20845" s="309"/>
    </row>
    <row r="20846">
      <c r="B20846" s="309"/>
      <c r="C20846" s="309"/>
      <c r="I20846" s="309"/>
      <c r="J20846" s="309"/>
    </row>
    <row r="20847">
      <c r="B20847" s="309"/>
      <c r="C20847" s="309"/>
      <c r="I20847" s="309"/>
      <c r="J20847" s="309"/>
    </row>
    <row r="20848">
      <c r="B20848" s="309"/>
      <c r="C20848" s="309"/>
      <c r="I20848" s="309"/>
      <c r="J20848" s="309"/>
    </row>
    <row r="20849">
      <c r="B20849" s="309"/>
      <c r="C20849" s="309"/>
      <c r="I20849" s="309"/>
      <c r="J20849" s="309"/>
    </row>
    <row r="20850">
      <c r="B20850" s="309"/>
      <c r="C20850" s="309"/>
      <c r="I20850" s="309"/>
      <c r="J20850" s="309"/>
    </row>
    <row r="20851">
      <c r="B20851" s="309"/>
      <c r="C20851" s="309"/>
      <c r="I20851" s="309"/>
      <c r="J20851" s="309"/>
    </row>
    <row r="20852">
      <c r="B20852" s="309"/>
      <c r="C20852" s="309"/>
      <c r="I20852" s="309"/>
      <c r="J20852" s="309"/>
    </row>
    <row r="20853">
      <c r="B20853" s="309"/>
      <c r="C20853" s="309"/>
      <c r="I20853" s="309"/>
      <c r="J20853" s="309"/>
    </row>
    <row r="20854">
      <c r="B20854" s="309"/>
      <c r="C20854" s="309"/>
      <c r="I20854" s="309"/>
      <c r="J20854" s="309"/>
    </row>
    <row r="20855">
      <c r="B20855" s="309"/>
      <c r="C20855" s="309"/>
      <c r="I20855" s="309"/>
      <c r="J20855" s="309"/>
    </row>
    <row r="20856">
      <c r="B20856" s="309"/>
      <c r="C20856" s="309"/>
      <c r="I20856" s="309"/>
      <c r="J20856" s="309"/>
    </row>
    <row r="20857">
      <c r="B20857" s="309"/>
      <c r="C20857" s="309"/>
      <c r="I20857" s="309"/>
      <c r="J20857" s="309"/>
    </row>
    <row r="20858">
      <c r="B20858" s="309"/>
      <c r="C20858" s="309"/>
      <c r="I20858" s="309"/>
      <c r="J20858" s="309"/>
    </row>
    <row r="20859">
      <c r="B20859" s="309"/>
      <c r="C20859" s="309"/>
      <c r="I20859" s="309"/>
      <c r="J20859" s="309"/>
    </row>
    <row r="20860">
      <c r="B20860" s="309"/>
      <c r="C20860" s="309"/>
      <c r="I20860" s="309"/>
      <c r="J20860" s="309"/>
    </row>
    <row r="20861">
      <c r="B20861" s="309"/>
      <c r="C20861" s="309"/>
      <c r="I20861" s="309"/>
      <c r="J20861" s="309"/>
    </row>
    <row r="20862">
      <c r="B20862" s="309"/>
      <c r="C20862" s="309"/>
      <c r="I20862" s="309"/>
      <c r="J20862" s="309"/>
    </row>
    <row r="20863">
      <c r="B20863" s="309"/>
      <c r="C20863" s="309"/>
      <c r="I20863" s="309"/>
      <c r="J20863" s="309"/>
    </row>
    <row r="20864">
      <c r="B20864" s="309"/>
      <c r="C20864" s="309"/>
      <c r="I20864" s="309"/>
      <c r="J20864" s="309"/>
    </row>
    <row r="20865">
      <c r="B20865" s="309"/>
      <c r="C20865" s="309"/>
      <c r="I20865" s="309"/>
      <c r="J20865" s="309"/>
    </row>
    <row r="20866">
      <c r="B20866" s="309"/>
      <c r="C20866" s="309"/>
      <c r="I20866" s="309"/>
      <c r="J20866" s="309"/>
    </row>
    <row r="20867">
      <c r="B20867" s="309"/>
      <c r="C20867" s="309"/>
      <c r="I20867" s="309"/>
      <c r="J20867" s="309"/>
    </row>
    <row r="20868">
      <c r="B20868" s="309"/>
      <c r="C20868" s="309"/>
      <c r="I20868" s="309"/>
      <c r="J20868" s="309"/>
    </row>
    <row r="20869">
      <c r="B20869" s="309"/>
      <c r="C20869" s="309"/>
      <c r="I20869" s="309"/>
      <c r="J20869" s="309"/>
    </row>
    <row r="20870">
      <c r="B20870" s="309"/>
      <c r="C20870" s="309"/>
      <c r="I20870" s="309"/>
      <c r="J20870" s="309"/>
    </row>
    <row r="20871">
      <c r="B20871" s="309"/>
      <c r="C20871" s="309"/>
      <c r="I20871" s="309"/>
      <c r="J20871" s="309"/>
    </row>
    <row r="20872">
      <c r="B20872" s="309"/>
      <c r="C20872" s="309"/>
      <c r="I20872" s="309"/>
      <c r="J20872" s="309"/>
    </row>
    <row r="20873">
      <c r="B20873" s="309"/>
      <c r="C20873" s="309"/>
      <c r="I20873" s="309"/>
      <c r="J20873" s="309"/>
    </row>
    <row r="20874">
      <c r="B20874" s="309"/>
      <c r="C20874" s="309"/>
      <c r="I20874" s="309"/>
      <c r="J20874" s="309"/>
    </row>
    <row r="20875">
      <c r="B20875" s="309"/>
      <c r="C20875" s="309"/>
      <c r="I20875" s="309"/>
      <c r="J20875" s="309"/>
    </row>
    <row r="20876">
      <c r="B20876" s="309"/>
      <c r="C20876" s="309"/>
      <c r="I20876" s="309"/>
      <c r="J20876" s="309"/>
    </row>
    <row r="20877">
      <c r="B20877" s="309"/>
      <c r="C20877" s="309"/>
      <c r="I20877" s="309"/>
      <c r="J20877" s="309"/>
    </row>
    <row r="20878">
      <c r="B20878" s="309"/>
      <c r="C20878" s="309"/>
      <c r="I20878" s="309"/>
      <c r="J20878" s="309"/>
    </row>
    <row r="20879">
      <c r="B20879" s="309"/>
      <c r="C20879" s="309"/>
      <c r="I20879" s="309"/>
      <c r="J20879" s="309"/>
    </row>
    <row r="20880">
      <c r="B20880" s="309"/>
      <c r="C20880" s="309"/>
      <c r="I20880" s="309"/>
      <c r="J20880" s="309"/>
    </row>
    <row r="20881">
      <c r="B20881" s="309"/>
      <c r="C20881" s="309"/>
      <c r="I20881" s="309"/>
      <c r="J20881" s="309"/>
    </row>
    <row r="20882">
      <c r="B20882" s="309"/>
      <c r="C20882" s="309"/>
      <c r="I20882" s="309"/>
      <c r="J20882" s="309"/>
    </row>
    <row r="20883">
      <c r="B20883" s="309"/>
      <c r="C20883" s="309"/>
      <c r="I20883" s="309"/>
      <c r="J20883" s="309"/>
    </row>
    <row r="20884">
      <c r="B20884" s="309"/>
      <c r="C20884" s="309"/>
      <c r="I20884" s="309"/>
      <c r="J20884" s="309"/>
    </row>
    <row r="20885">
      <c r="B20885" s="309"/>
      <c r="C20885" s="309"/>
      <c r="I20885" s="309"/>
      <c r="J20885" s="309"/>
    </row>
    <row r="20886">
      <c r="B20886" s="309"/>
      <c r="C20886" s="309"/>
      <c r="I20886" s="309"/>
      <c r="J20886" s="309"/>
    </row>
    <row r="20887">
      <c r="B20887" s="309"/>
      <c r="C20887" s="309"/>
      <c r="I20887" s="309"/>
      <c r="J20887" s="309"/>
    </row>
    <row r="20888">
      <c r="B20888" s="309"/>
      <c r="C20888" s="309"/>
      <c r="I20888" s="309"/>
      <c r="J20888" s="309"/>
    </row>
    <row r="20889">
      <c r="B20889" s="309"/>
      <c r="C20889" s="309"/>
      <c r="I20889" s="309"/>
      <c r="J20889" s="309"/>
    </row>
    <row r="20890">
      <c r="B20890" s="309"/>
      <c r="C20890" s="309"/>
      <c r="I20890" s="309"/>
      <c r="J20890" s="309"/>
    </row>
    <row r="20891">
      <c r="B20891" s="309"/>
      <c r="C20891" s="309"/>
      <c r="I20891" s="309"/>
      <c r="J20891" s="309"/>
    </row>
    <row r="20892">
      <c r="B20892" s="309"/>
      <c r="C20892" s="309"/>
      <c r="I20892" s="309"/>
      <c r="J20892" s="309"/>
    </row>
    <row r="20893">
      <c r="B20893" s="309"/>
      <c r="C20893" s="309"/>
      <c r="I20893" s="309"/>
      <c r="J20893" s="309"/>
    </row>
    <row r="20894">
      <c r="B20894" s="309"/>
      <c r="C20894" s="309"/>
      <c r="I20894" s="309"/>
      <c r="J20894" s="309"/>
    </row>
    <row r="20895">
      <c r="B20895" s="309"/>
      <c r="C20895" s="309"/>
      <c r="I20895" s="309"/>
      <c r="J20895" s="309"/>
    </row>
    <row r="20896">
      <c r="B20896" s="309"/>
      <c r="C20896" s="309"/>
      <c r="I20896" s="309"/>
      <c r="J20896" s="309"/>
    </row>
    <row r="20897">
      <c r="B20897" s="309"/>
      <c r="C20897" s="309"/>
      <c r="I20897" s="309"/>
      <c r="J20897" s="309"/>
    </row>
    <row r="20898">
      <c r="B20898" s="309"/>
      <c r="C20898" s="309"/>
      <c r="I20898" s="309"/>
      <c r="J20898" s="309"/>
    </row>
    <row r="20899">
      <c r="B20899" s="309"/>
      <c r="C20899" s="309"/>
      <c r="I20899" s="309"/>
      <c r="J20899" s="309"/>
    </row>
    <row r="20900">
      <c r="B20900" s="309"/>
      <c r="C20900" s="309"/>
      <c r="I20900" s="309"/>
      <c r="J20900" s="309"/>
    </row>
    <row r="20901">
      <c r="B20901" s="309"/>
      <c r="C20901" s="309"/>
      <c r="I20901" s="309"/>
      <c r="J20901" s="309"/>
    </row>
    <row r="20902">
      <c r="B20902" s="309"/>
      <c r="C20902" s="309"/>
      <c r="I20902" s="309"/>
      <c r="J20902" s="309"/>
    </row>
    <row r="20903">
      <c r="B20903" s="309"/>
      <c r="C20903" s="309"/>
      <c r="I20903" s="309"/>
      <c r="J20903" s="309"/>
    </row>
    <row r="20904">
      <c r="B20904" s="309"/>
      <c r="C20904" s="309"/>
      <c r="I20904" s="309"/>
      <c r="J20904" s="309"/>
    </row>
    <row r="20905">
      <c r="B20905" s="309"/>
      <c r="C20905" s="309"/>
      <c r="I20905" s="309"/>
      <c r="J20905" s="309"/>
    </row>
    <row r="20906">
      <c r="B20906" s="309"/>
      <c r="C20906" s="309"/>
      <c r="I20906" s="309"/>
      <c r="J20906" s="309"/>
    </row>
    <row r="20907">
      <c r="B20907" s="309"/>
      <c r="C20907" s="309"/>
      <c r="I20907" s="309"/>
      <c r="J20907" s="309"/>
    </row>
    <row r="20908">
      <c r="B20908" s="309"/>
      <c r="C20908" s="309"/>
      <c r="I20908" s="309"/>
      <c r="J20908" s="309"/>
    </row>
    <row r="20909">
      <c r="B20909" s="309"/>
      <c r="C20909" s="309"/>
      <c r="I20909" s="309"/>
      <c r="J20909" s="309"/>
    </row>
    <row r="20910">
      <c r="B20910" s="309"/>
      <c r="C20910" s="309"/>
      <c r="I20910" s="309"/>
      <c r="J20910" s="309"/>
    </row>
    <row r="20911">
      <c r="B20911" s="309"/>
      <c r="C20911" s="309"/>
      <c r="I20911" s="309"/>
      <c r="J20911" s="309"/>
    </row>
    <row r="20912">
      <c r="B20912" s="309"/>
      <c r="C20912" s="309"/>
      <c r="I20912" s="309"/>
      <c r="J20912" s="309"/>
    </row>
    <row r="20913">
      <c r="B20913" s="309"/>
      <c r="C20913" s="309"/>
      <c r="I20913" s="309"/>
      <c r="J20913" s="309"/>
    </row>
    <row r="20914">
      <c r="B20914" s="309"/>
      <c r="C20914" s="309"/>
      <c r="I20914" s="309"/>
      <c r="J20914" s="309"/>
    </row>
    <row r="20915">
      <c r="B20915" s="309"/>
      <c r="C20915" s="309"/>
      <c r="I20915" s="309"/>
      <c r="J20915" s="309"/>
    </row>
    <row r="20916">
      <c r="B20916" s="309"/>
      <c r="C20916" s="309"/>
      <c r="I20916" s="309"/>
      <c r="J20916" s="309"/>
    </row>
    <row r="20917">
      <c r="B20917" s="309"/>
      <c r="C20917" s="309"/>
      <c r="I20917" s="309"/>
      <c r="J20917" s="309"/>
    </row>
    <row r="20918">
      <c r="B20918" s="309"/>
      <c r="C20918" s="309"/>
      <c r="I20918" s="309"/>
      <c r="J20918" s="309"/>
    </row>
    <row r="20919">
      <c r="B20919" s="309"/>
      <c r="C20919" s="309"/>
      <c r="I20919" s="309"/>
      <c r="J20919" s="309"/>
    </row>
    <row r="20920">
      <c r="B20920" s="309"/>
      <c r="C20920" s="309"/>
      <c r="I20920" s="309"/>
      <c r="J20920" s="309"/>
    </row>
    <row r="20921">
      <c r="B20921" s="309"/>
      <c r="C20921" s="309"/>
      <c r="I20921" s="309"/>
      <c r="J20921" s="309"/>
    </row>
    <row r="20922">
      <c r="B20922" s="309"/>
      <c r="C20922" s="309"/>
      <c r="I20922" s="309"/>
      <c r="J20922" s="309"/>
    </row>
    <row r="20923">
      <c r="B20923" s="309"/>
      <c r="C20923" s="309"/>
      <c r="I20923" s="309"/>
      <c r="J20923" s="309"/>
    </row>
    <row r="20924">
      <c r="B20924" s="309"/>
      <c r="C20924" s="309"/>
      <c r="I20924" s="309"/>
      <c r="J20924" s="309"/>
    </row>
    <row r="20925">
      <c r="B20925" s="309"/>
      <c r="C20925" s="309"/>
      <c r="I20925" s="309"/>
      <c r="J20925" s="309"/>
    </row>
    <row r="20926">
      <c r="B20926" s="309"/>
      <c r="C20926" s="309"/>
      <c r="I20926" s="309"/>
      <c r="J20926" s="309"/>
    </row>
    <row r="20927">
      <c r="B20927" s="309"/>
      <c r="C20927" s="309"/>
      <c r="I20927" s="309"/>
      <c r="J20927" s="309"/>
    </row>
    <row r="20928">
      <c r="B20928" s="309"/>
      <c r="C20928" s="309"/>
      <c r="I20928" s="309"/>
      <c r="J20928" s="309"/>
    </row>
    <row r="20929">
      <c r="B20929" s="309"/>
      <c r="C20929" s="309"/>
      <c r="I20929" s="309"/>
      <c r="J20929" s="309"/>
    </row>
    <row r="20930">
      <c r="B20930" s="309"/>
      <c r="C20930" s="309"/>
      <c r="I20930" s="309"/>
      <c r="J20930" s="309"/>
    </row>
    <row r="20931">
      <c r="B20931" s="309"/>
      <c r="C20931" s="309"/>
      <c r="I20931" s="309"/>
      <c r="J20931" s="309"/>
    </row>
    <row r="20932">
      <c r="B20932" s="309"/>
      <c r="C20932" s="309"/>
      <c r="I20932" s="309"/>
      <c r="J20932" s="309"/>
    </row>
    <row r="20933">
      <c r="B20933" s="309"/>
      <c r="C20933" s="309"/>
      <c r="I20933" s="309"/>
      <c r="J20933" s="309"/>
    </row>
    <row r="20934">
      <c r="B20934" s="309"/>
      <c r="C20934" s="309"/>
      <c r="I20934" s="309"/>
      <c r="J20934" s="309"/>
    </row>
    <row r="20935">
      <c r="B20935" s="309"/>
      <c r="C20935" s="309"/>
      <c r="I20935" s="309"/>
      <c r="J20935" s="309"/>
    </row>
    <row r="20936">
      <c r="B20936" s="309"/>
      <c r="C20936" s="309"/>
      <c r="I20936" s="309"/>
      <c r="J20936" s="309"/>
    </row>
    <row r="20937">
      <c r="B20937" s="309"/>
      <c r="C20937" s="309"/>
      <c r="I20937" s="309"/>
      <c r="J20937" s="309"/>
    </row>
    <row r="20938">
      <c r="B20938" s="309"/>
      <c r="C20938" s="309"/>
      <c r="I20938" s="309"/>
      <c r="J20938" s="309"/>
    </row>
    <row r="20939">
      <c r="B20939" s="309"/>
      <c r="C20939" s="309"/>
      <c r="I20939" s="309"/>
      <c r="J20939" s="309"/>
    </row>
    <row r="20940">
      <c r="B20940" s="309"/>
      <c r="C20940" s="309"/>
      <c r="I20940" s="309"/>
      <c r="J20940" s="309"/>
    </row>
    <row r="20941">
      <c r="B20941" s="309"/>
      <c r="C20941" s="309"/>
      <c r="I20941" s="309"/>
      <c r="J20941" s="309"/>
    </row>
    <row r="20942">
      <c r="B20942" s="309"/>
      <c r="C20942" s="309"/>
      <c r="I20942" s="309"/>
      <c r="J20942" s="309"/>
    </row>
    <row r="20943">
      <c r="B20943" s="309"/>
      <c r="C20943" s="309"/>
      <c r="I20943" s="309"/>
      <c r="J20943" s="309"/>
    </row>
    <row r="20944">
      <c r="B20944" s="309"/>
      <c r="C20944" s="309"/>
      <c r="I20944" s="309"/>
      <c r="J20944" s="309"/>
    </row>
    <row r="20945">
      <c r="B20945" s="309"/>
      <c r="C20945" s="309"/>
      <c r="I20945" s="309"/>
      <c r="J20945" s="309"/>
    </row>
    <row r="20946">
      <c r="B20946" s="309"/>
      <c r="C20946" s="309"/>
      <c r="I20946" s="309"/>
      <c r="J20946" s="309"/>
    </row>
    <row r="20947">
      <c r="B20947" s="309"/>
      <c r="C20947" s="309"/>
      <c r="I20947" s="309"/>
      <c r="J20947" s="309"/>
    </row>
    <row r="20948">
      <c r="B20948" s="309"/>
      <c r="C20948" s="309"/>
      <c r="I20948" s="309"/>
      <c r="J20948" s="309"/>
    </row>
    <row r="20949">
      <c r="B20949" s="309"/>
      <c r="C20949" s="309"/>
      <c r="I20949" s="309"/>
      <c r="J20949" s="309"/>
    </row>
    <row r="20950">
      <c r="B20950" s="309"/>
      <c r="C20950" s="309"/>
      <c r="I20950" s="309"/>
      <c r="J20950" s="309"/>
    </row>
    <row r="20951">
      <c r="B20951" s="309"/>
      <c r="C20951" s="309"/>
      <c r="I20951" s="309"/>
      <c r="J20951" s="309"/>
    </row>
    <row r="20952">
      <c r="B20952" s="309"/>
      <c r="C20952" s="309"/>
      <c r="I20952" s="309"/>
      <c r="J20952" s="309"/>
    </row>
    <row r="20953">
      <c r="B20953" s="309"/>
      <c r="C20953" s="309"/>
      <c r="I20953" s="309"/>
      <c r="J20953" s="309"/>
    </row>
    <row r="20954">
      <c r="B20954" s="309"/>
      <c r="C20954" s="309"/>
      <c r="I20954" s="309"/>
      <c r="J20954" s="309"/>
    </row>
    <row r="20955">
      <c r="B20955" s="309"/>
      <c r="C20955" s="309"/>
      <c r="I20955" s="309"/>
      <c r="J20955" s="309"/>
    </row>
    <row r="20956">
      <c r="B20956" s="309"/>
      <c r="C20956" s="309"/>
      <c r="I20956" s="309"/>
      <c r="J20956" s="309"/>
    </row>
    <row r="20957">
      <c r="B20957" s="309"/>
      <c r="C20957" s="309"/>
      <c r="I20957" s="309"/>
      <c r="J20957" s="309"/>
    </row>
    <row r="20958">
      <c r="B20958" s="309"/>
      <c r="C20958" s="309"/>
      <c r="I20958" s="309"/>
      <c r="J20958" s="309"/>
    </row>
    <row r="20959">
      <c r="B20959" s="309"/>
      <c r="C20959" s="309"/>
      <c r="I20959" s="309"/>
      <c r="J20959" s="309"/>
    </row>
    <row r="20960">
      <c r="B20960" s="309"/>
      <c r="C20960" s="309"/>
      <c r="I20960" s="309"/>
      <c r="J20960" s="309"/>
    </row>
    <row r="20961">
      <c r="B20961" s="309"/>
      <c r="C20961" s="309"/>
      <c r="I20961" s="309"/>
      <c r="J20961" s="309"/>
    </row>
    <row r="20962">
      <c r="B20962" s="309"/>
      <c r="C20962" s="309"/>
      <c r="I20962" s="309"/>
      <c r="J20962" s="309"/>
    </row>
    <row r="20963">
      <c r="B20963" s="309"/>
      <c r="C20963" s="309"/>
      <c r="I20963" s="309"/>
      <c r="J20963" s="309"/>
    </row>
    <row r="20964">
      <c r="B20964" s="309"/>
      <c r="C20964" s="309"/>
      <c r="I20964" s="309"/>
      <c r="J20964" s="309"/>
    </row>
    <row r="20965">
      <c r="B20965" s="309"/>
      <c r="C20965" s="309"/>
      <c r="I20965" s="309"/>
      <c r="J20965" s="309"/>
    </row>
    <row r="20966">
      <c r="B20966" s="309"/>
      <c r="C20966" s="309"/>
      <c r="I20966" s="309"/>
      <c r="J20966" s="309"/>
    </row>
    <row r="20967">
      <c r="B20967" s="309"/>
      <c r="C20967" s="309"/>
      <c r="I20967" s="309"/>
      <c r="J20967" s="309"/>
    </row>
    <row r="20968">
      <c r="B20968" s="309"/>
      <c r="C20968" s="309"/>
      <c r="I20968" s="309"/>
      <c r="J20968" s="309"/>
    </row>
    <row r="20969">
      <c r="B20969" s="309"/>
      <c r="C20969" s="309"/>
      <c r="I20969" s="309"/>
      <c r="J20969" s="309"/>
    </row>
    <row r="20970">
      <c r="B20970" s="309"/>
      <c r="C20970" s="309"/>
      <c r="I20970" s="309"/>
      <c r="J20970" s="309"/>
    </row>
    <row r="20971">
      <c r="B20971" s="309"/>
      <c r="C20971" s="309"/>
      <c r="I20971" s="309"/>
      <c r="J20971" s="309"/>
    </row>
    <row r="20972">
      <c r="B20972" s="309"/>
      <c r="C20972" s="309"/>
      <c r="I20972" s="309"/>
      <c r="J20972" s="309"/>
    </row>
    <row r="20973">
      <c r="B20973" s="309"/>
      <c r="C20973" s="309"/>
      <c r="I20973" s="309"/>
      <c r="J20973" s="309"/>
    </row>
    <row r="20974">
      <c r="B20974" s="309"/>
      <c r="C20974" s="309"/>
      <c r="I20974" s="309"/>
      <c r="J20974" s="309"/>
    </row>
    <row r="20975">
      <c r="B20975" s="309"/>
      <c r="C20975" s="309"/>
      <c r="I20975" s="309"/>
      <c r="J20975" s="309"/>
    </row>
    <row r="20976">
      <c r="B20976" s="309"/>
      <c r="C20976" s="309"/>
      <c r="I20976" s="309"/>
      <c r="J20976" s="309"/>
    </row>
    <row r="20977">
      <c r="B20977" s="309"/>
      <c r="C20977" s="309"/>
      <c r="I20977" s="309"/>
      <c r="J20977" s="309"/>
    </row>
    <row r="20978">
      <c r="B20978" s="309"/>
      <c r="C20978" s="309"/>
      <c r="I20978" s="309"/>
      <c r="J20978" s="309"/>
    </row>
    <row r="20979">
      <c r="B20979" s="309"/>
      <c r="C20979" s="309"/>
      <c r="I20979" s="309"/>
      <c r="J20979" s="309"/>
    </row>
    <row r="20980">
      <c r="B20980" s="309"/>
      <c r="C20980" s="309"/>
      <c r="I20980" s="309"/>
      <c r="J20980" s="309"/>
    </row>
    <row r="20981">
      <c r="B20981" s="309"/>
      <c r="C20981" s="309"/>
      <c r="I20981" s="309"/>
      <c r="J20981" s="309"/>
    </row>
    <row r="20982">
      <c r="B20982" s="309"/>
      <c r="C20982" s="309"/>
      <c r="I20982" s="309"/>
      <c r="J20982" s="309"/>
    </row>
    <row r="20983">
      <c r="B20983" s="309"/>
      <c r="C20983" s="309"/>
      <c r="I20983" s="309"/>
      <c r="J20983" s="309"/>
    </row>
    <row r="20984">
      <c r="B20984" s="309"/>
      <c r="C20984" s="309"/>
      <c r="I20984" s="309"/>
      <c r="J20984" s="309"/>
    </row>
    <row r="20985">
      <c r="B20985" s="309"/>
      <c r="C20985" s="309"/>
      <c r="I20985" s="309"/>
      <c r="J20985" s="309"/>
    </row>
    <row r="20986">
      <c r="B20986" s="309"/>
      <c r="C20986" s="309"/>
      <c r="I20986" s="309"/>
      <c r="J20986" s="309"/>
    </row>
    <row r="20987">
      <c r="B20987" s="309"/>
      <c r="C20987" s="309"/>
      <c r="I20987" s="309"/>
      <c r="J20987" s="309"/>
    </row>
    <row r="20988">
      <c r="B20988" s="309"/>
      <c r="C20988" s="309"/>
      <c r="I20988" s="309"/>
      <c r="J20988" s="309"/>
    </row>
    <row r="20989">
      <c r="B20989" s="309"/>
      <c r="C20989" s="309"/>
      <c r="I20989" s="309"/>
      <c r="J20989" s="309"/>
    </row>
    <row r="20990">
      <c r="B20990" s="309"/>
      <c r="C20990" s="309"/>
      <c r="I20990" s="309"/>
      <c r="J20990" s="309"/>
    </row>
    <row r="20991">
      <c r="B20991" s="309"/>
      <c r="C20991" s="309"/>
      <c r="I20991" s="309"/>
      <c r="J20991" s="309"/>
    </row>
    <row r="20992">
      <c r="B20992" s="309"/>
      <c r="C20992" s="309"/>
      <c r="I20992" s="309"/>
      <c r="J20992" s="309"/>
    </row>
    <row r="20993">
      <c r="B20993" s="309"/>
      <c r="C20993" s="309"/>
      <c r="I20993" s="309"/>
      <c r="J20993" s="309"/>
    </row>
    <row r="20994">
      <c r="B20994" s="309"/>
      <c r="C20994" s="309"/>
      <c r="I20994" s="309"/>
      <c r="J20994" s="309"/>
    </row>
    <row r="20995">
      <c r="B20995" s="309"/>
      <c r="C20995" s="309"/>
      <c r="I20995" s="309"/>
      <c r="J20995" s="309"/>
    </row>
    <row r="20996">
      <c r="B20996" s="309"/>
      <c r="C20996" s="309"/>
      <c r="I20996" s="309"/>
      <c r="J20996" s="309"/>
    </row>
    <row r="20997">
      <c r="B20997" s="309"/>
      <c r="C20997" s="309"/>
      <c r="I20997" s="309"/>
      <c r="J20997" s="309"/>
    </row>
    <row r="20998">
      <c r="B20998" s="309"/>
      <c r="C20998" s="309"/>
      <c r="I20998" s="309"/>
      <c r="J20998" s="309"/>
    </row>
    <row r="20999">
      <c r="B20999" s="309"/>
      <c r="C20999" s="309"/>
      <c r="I20999" s="309"/>
      <c r="J20999" s="309"/>
    </row>
    <row r="21000">
      <c r="B21000" s="309"/>
      <c r="C21000" s="309"/>
      <c r="I21000" s="309"/>
      <c r="J21000" s="309"/>
    </row>
    <row r="21001">
      <c r="B21001" s="309"/>
      <c r="C21001" s="309"/>
      <c r="I21001" s="309"/>
      <c r="J21001" s="309"/>
    </row>
    <row r="21002">
      <c r="B21002" s="309"/>
      <c r="C21002" s="309"/>
      <c r="I21002" s="309"/>
      <c r="J21002" s="309"/>
    </row>
    <row r="21003">
      <c r="B21003" s="309"/>
      <c r="C21003" s="309"/>
      <c r="I21003" s="309"/>
      <c r="J21003" s="309"/>
    </row>
    <row r="21004">
      <c r="B21004" s="309"/>
      <c r="C21004" s="309"/>
      <c r="I21004" s="309"/>
      <c r="J21004" s="309"/>
    </row>
    <row r="21005">
      <c r="B21005" s="309"/>
      <c r="C21005" s="309"/>
      <c r="I21005" s="309"/>
      <c r="J21005" s="309"/>
    </row>
    <row r="21006">
      <c r="B21006" s="309"/>
      <c r="C21006" s="309"/>
      <c r="I21006" s="309"/>
      <c r="J21006" s="309"/>
    </row>
    <row r="21007">
      <c r="B21007" s="309"/>
      <c r="C21007" s="309"/>
      <c r="I21007" s="309"/>
      <c r="J21007" s="309"/>
    </row>
    <row r="21008">
      <c r="B21008" s="309"/>
      <c r="C21008" s="309"/>
      <c r="I21008" s="309"/>
      <c r="J21008" s="309"/>
    </row>
    <row r="21009">
      <c r="B21009" s="309"/>
      <c r="C21009" s="309"/>
      <c r="I21009" s="309"/>
      <c r="J21009" s="309"/>
    </row>
    <row r="21010">
      <c r="B21010" s="309"/>
      <c r="C21010" s="309"/>
      <c r="I21010" s="309"/>
      <c r="J21010" s="309"/>
    </row>
    <row r="21011">
      <c r="B21011" s="309"/>
      <c r="C21011" s="309"/>
      <c r="I21011" s="309"/>
      <c r="J21011" s="309"/>
    </row>
    <row r="21012">
      <c r="B21012" s="309"/>
      <c r="C21012" s="309"/>
      <c r="I21012" s="309"/>
      <c r="J21012" s="309"/>
    </row>
    <row r="21013">
      <c r="B21013" s="309"/>
      <c r="C21013" s="309"/>
      <c r="I21013" s="309"/>
      <c r="J21013" s="309"/>
    </row>
    <row r="21014">
      <c r="B21014" s="309"/>
      <c r="C21014" s="309"/>
      <c r="I21014" s="309"/>
      <c r="J21014" s="309"/>
    </row>
    <row r="21015">
      <c r="B21015" s="309"/>
      <c r="C21015" s="309"/>
      <c r="I21015" s="309"/>
      <c r="J21015" s="309"/>
    </row>
    <row r="21016">
      <c r="B21016" s="309"/>
      <c r="C21016" s="309"/>
      <c r="I21016" s="309"/>
      <c r="J21016" s="309"/>
    </row>
    <row r="21017">
      <c r="B21017" s="309"/>
      <c r="C21017" s="309"/>
      <c r="I21017" s="309"/>
      <c r="J21017" s="309"/>
    </row>
    <row r="21018">
      <c r="B21018" s="309"/>
      <c r="C21018" s="309"/>
      <c r="I21018" s="309"/>
      <c r="J21018" s="309"/>
    </row>
    <row r="21019">
      <c r="B21019" s="309"/>
      <c r="C21019" s="309"/>
      <c r="I21019" s="309"/>
      <c r="J21019" s="309"/>
    </row>
    <row r="21020">
      <c r="B21020" s="309"/>
      <c r="C21020" s="309"/>
      <c r="I21020" s="309"/>
      <c r="J21020" s="309"/>
    </row>
    <row r="21021">
      <c r="B21021" s="309"/>
      <c r="C21021" s="309"/>
      <c r="I21021" s="309"/>
      <c r="J21021" s="309"/>
    </row>
    <row r="21022">
      <c r="B21022" s="309"/>
      <c r="C21022" s="309"/>
      <c r="I21022" s="309"/>
      <c r="J21022" s="309"/>
    </row>
    <row r="21023">
      <c r="B21023" s="309"/>
      <c r="C21023" s="309"/>
      <c r="I21023" s="309"/>
      <c r="J21023" s="309"/>
    </row>
    <row r="21024">
      <c r="B21024" s="309"/>
      <c r="C21024" s="309"/>
      <c r="I21024" s="309"/>
      <c r="J21024" s="309"/>
    </row>
    <row r="21025">
      <c r="B21025" s="309"/>
      <c r="C21025" s="309"/>
      <c r="I21025" s="309"/>
      <c r="J21025" s="309"/>
    </row>
    <row r="21026">
      <c r="B21026" s="309"/>
      <c r="C21026" s="309"/>
      <c r="I21026" s="309"/>
      <c r="J21026" s="309"/>
    </row>
    <row r="21027">
      <c r="B21027" s="309"/>
      <c r="C21027" s="309"/>
      <c r="I21027" s="309"/>
      <c r="J21027" s="309"/>
    </row>
    <row r="21028">
      <c r="B21028" s="309"/>
      <c r="C21028" s="309"/>
      <c r="I21028" s="309"/>
      <c r="J21028" s="309"/>
    </row>
    <row r="21029">
      <c r="B21029" s="309"/>
      <c r="C21029" s="309"/>
      <c r="I21029" s="309"/>
      <c r="J21029" s="309"/>
    </row>
    <row r="21030">
      <c r="B21030" s="309"/>
      <c r="C21030" s="309"/>
      <c r="I21030" s="309"/>
      <c r="J21030" s="309"/>
    </row>
    <row r="21031">
      <c r="B21031" s="309"/>
      <c r="C21031" s="309"/>
      <c r="I21031" s="309"/>
      <c r="J21031" s="309"/>
    </row>
    <row r="21032">
      <c r="B21032" s="309"/>
      <c r="C21032" s="309"/>
      <c r="I21032" s="309"/>
      <c r="J21032" s="309"/>
    </row>
    <row r="21033">
      <c r="B21033" s="309"/>
      <c r="C21033" s="309"/>
      <c r="I21033" s="309"/>
      <c r="J21033" s="309"/>
    </row>
    <row r="21034">
      <c r="B21034" s="309"/>
      <c r="C21034" s="309"/>
      <c r="I21034" s="309"/>
      <c r="J21034" s="309"/>
    </row>
    <row r="21035">
      <c r="B21035" s="309"/>
      <c r="C21035" s="309"/>
      <c r="I21035" s="309"/>
      <c r="J21035" s="309"/>
    </row>
    <row r="21036">
      <c r="B21036" s="309"/>
      <c r="C21036" s="309"/>
      <c r="I21036" s="309"/>
      <c r="J21036" s="309"/>
    </row>
    <row r="21037">
      <c r="B21037" s="309"/>
      <c r="C21037" s="309"/>
      <c r="I21037" s="309"/>
      <c r="J21037" s="309"/>
    </row>
    <row r="21038">
      <c r="B21038" s="309"/>
      <c r="C21038" s="309"/>
      <c r="I21038" s="309"/>
      <c r="J21038" s="309"/>
    </row>
    <row r="21039">
      <c r="B21039" s="309"/>
      <c r="C21039" s="309"/>
      <c r="I21039" s="309"/>
      <c r="J21039" s="309"/>
    </row>
    <row r="21040">
      <c r="B21040" s="309"/>
      <c r="C21040" s="309"/>
      <c r="I21040" s="309"/>
      <c r="J21040" s="309"/>
    </row>
    <row r="21041">
      <c r="B21041" s="309"/>
      <c r="C21041" s="309"/>
      <c r="I21041" s="309"/>
      <c r="J21041" s="309"/>
    </row>
    <row r="21042">
      <c r="B21042" s="309"/>
      <c r="C21042" s="309"/>
      <c r="I21042" s="309"/>
      <c r="J21042" s="309"/>
    </row>
    <row r="21043">
      <c r="B21043" s="309"/>
      <c r="C21043" s="309"/>
      <c r="I21043" s="309"/>
      <c r="J21043" s="309"/>
    </row>
    <row r="21044">
      <c r="B21044" s="309"/>
      <c r="C21044" s="309"/>
      <c r="I21044" s="309"/>
      <c r="J21044" s="309"/>
    </row>
    <row r="21045">
      <c r="B21045" s="309"/>
      <c r="C21045" s="309"/>
      <c r="I21045" s="309"/>
      <c r="J21045" s="309"/>
    </row>
    <row r="21046">
      <c r="B21046" s="309"/>
      <c r="C21046" s="309"/>
      <c r="I21046" s="309"/>
      <c r="J21046" s="309"/>
    </row>
    <row r="21047">
      <c r="B21047" s="309"/>
      <c r="C21047" s="309"/>
      <c r="I21047" s="309"/>
      <c r="J21047" s="309"/>
    </row>
    <row r="21048">
      <c r="B21048" s="309"/>
      <c r="C21048" s="309"/>
      <c r="I21048" s="309"/>
      <c r="J21048" s="309"/>
    </row>
    <row r="21049">
      <c r="B21049" s="309"/>
      <c r="C21049" s="309"/>
      <c r="I21049" s="309"/>
      <c r="J21049" s="309"/>
    </row>
    <row r="21050">
      <c r="B21050" s="309"/>
      <c r="C21050" s="309"/>
      <c r="I21050" s="309"/>
      <c r="J21050" s="309"/>
    </row>
    <row r="21051">
      <c r="B21051" s="309"/>
      <c r="C21051" s="309"/>
      <c r="I21051" s="309"/>
      <c r="J21051" s="309"/>
    </row>
    <row r="21052">
      <c r="B21052" s="309"/>
      <c r="C21052" s="309"/>
      <c r="I21052" s="309"/>
      <c r="J21052" s="309"/>
    </row>
    <row r="21053">
      <c r="B21053" s="309"/>
      <c r="C21053" s="309"/>
      <c r="I21053" s="309"/>
      <c r="J21053" s="309"/>
    </row>
    <row r="21054">
      <c r="B21054" s="309"/>
      <c r="C21054" s="309"/>
      <c r="I21054" s="309"/>
      <c r="J21054" s="309"/>
    </row>
    <row r="21055">
      <c r="B21055" s="309"/>
      <c r="C21055" s="309"/>
      <c r="I21055" s="309"/>
      <c r="J21055" s="309"/>
    </row>
    <row r="21056">
      <c r="B21056" s="309"/>
      <c r="C21056" s="309"/>
      <c r="I21056" s="309"/>
      <c r="J21056" s="309"/>
    </row>
    <row r="21057">
      <c r="B21057" s="309"/>
      <c r="C21057" s="309"/>
      <c r="I21057" s="309"/>
      <c r="J21057" s="309"/>
    </row>
    <row r="21058">
      <c r="B21058" s="309"/>
      <c r="C21058" s="309"/>
      <c r="I21058" s="309"/>
      <c r="J21058" s="309"/>
    </row>
    <row r="21059">
      <c r="B21059" s="309"/>
      <c r="C21059" s="309"/>
      <c r="I21059" s="309"/>
      <c r="J21059" s="309"/>
    </row>
    <row r="21060">
      <c r="B21060" s="309"/>
      <c r="C21060" s="309"/>
      <c r="I21060" s="309"/>
      <c r="J21060" s="309"/>
    </row>
    <row r="21061">
      <c r="B21061" s="309"/>
      <c r="C21061" s="309"/>
      <c r="I21061" s="309"/>
      <c r="J21061" s="309"/>
    </row>
    <row r="21062">
      <c r="B21062" s="309"/>
      <c r="C21062" s="309"/>
      <c r="I21062" s="309"/>
      <c r="J21062" s="309"/>
    </row>
    <row r="21063">
      <c r="B21063" s="309"/>
      <c r="C21063" s="309"/>
      <c r="I21063" s="309"/>
      <c r="J21063" s="309"/>
    </row>
    <row r="21064">
      <c r="B21064" s="309"/>
      <c r="C21064" s="309"/>
      <c r="I21064" s="309"/>
      <c r="J21064" s="309"/>
    </row>
    <row r="21065">
      <c r="B21065" s="309"/>
      <c r="C21065" s="309"/>
      <c r="I21065" s="309"/>
      <c r="J21065" s="309"/>
    </row>
    <row r="21066">
      <c r="B21066" s="309"/>
      <c r="C21066" s="309"/>
      <c r="I21066" s="309"/>
      <c r="J21066" s="309"/>
    </row>
    <row r="21067">
      <c r="B21067" s="309"/>
      <c r="C21067" s="309"/>
      <c r="I21067" s="309"/>
      <c r="J21067" s="309"/>
    </row>
    <row r="21068">
      <c r="B21068" s="309"/>
      <c r="C21068" s="309"/>
      <c r="I21068" s="309"/>
      <c r="J21068" s="309"/>
    </row>
    <row r="21069">
      <c r="B21069" s="309"/>
      <c r="C21069" s="309"/>
      <c r="I21069" s="309"/>
      <c r="J21069" s="309"/>
    </row>
    <row r="21070">
      <c r="B21070" s="309"/>
      <c r="C21070" s="309"/>
      <c r="I21070" s="309"/>
      <c r="J21070" s="309"/>
    </row>
    <row r="21071">
      <c r="B21071" s="309"/>
      <c r="C21071" s="309"/>
      <c r="I21071" s="309"/>
      <c r="J21071" s="309"/>
    </row>
    <row r="21072">
      <c r="B21072" s="309"/>
      <c r="C21072" s="309"/>
      <c r="I21072" s="309"/>
      <c r="J21072" s="309"/>
    </row>
    <row r="21073">
      <c r="B21073" s="309"/>
      <c r="C21073" s="309"/>
      <c r="I21073" s="309"/>
      <c r="J21073" s="309"/>
    </row>
    <row r="21074">
      <c r="B21074" s="309"/>
      <c r="C21074" s="309"/>
      <c r="I21074" s="309"/>
      <c r="J21074" s="309"/>
    </row>
    <row r="21075">
      <c r="B21075" s="309"/>
      <c r="C21075" s="309"/>
      <c r="I21075" s="309"/>
      <c r="J21075" s="309"/>
    </row>
    <row r="21076">
      <c r="B21076" s="309"/>
      <c r="C21076" s="309"/>
      <c r="I21076" s="309"/>
      <c r="J21076" s="309"/>
    </row>
    <row r="21077">
      <c r="B21077" s="309"/>
      <c r="C21077" s="309"/>
      <c r="I21077" s="309"/>
      <c r="J21077" s="309"/>
    </row>
    <row r="21078">
      <c r="B21078" s="309"/>
      <c r="C21078" s="309"/>
      <c r="I21078" s="309"/>
      <c r="J21078" s="309"/>
    </row>
    <row r="21079">
      <c r="B21079" s="309"/>
      <c r="C21079" s="309"/>
      <c r="I21079" s="309"/>
      <c r="J21079" s="309"/>
    </row>
    <row r="21080">
      <c r="B21080" s="309"/>
      <c r="C21080" s="309"/>
      <c r="I21080" s="309"/>
      <c r="J21080" s="309"/>
    </row>
    <row r="21081">
      <c r="B21081" s="309"/>
      <c r="C21081" s="309"/>
      <c r="I21081" s="309"/>
      <c r="J21081" s="309"/>
    </row>
    <row r="21082">
      <c r="B21082" s="309"/>
      <c r="C21082" s="309"/>
      <c r="I21082" s="309"/>
      <c r="J21082" s="309"/>
    </row>
    <row r="21083">
      <c r="B21083" s="309"/>
      <c r="C21083" s="309"/>
      <c r="I21083" s="309"/>
      <c r="J21083" s="309"/>
    </row>
    <row r="21084">
      <c r="B21084" s="309"/>
      <c r="C21084" s="309"/>
      <c r="I21084" s="309"/>
      <c r="J21084" s="309"/>
    </row>
    <row r="21085">
      <c r="B21085" s="309"/>
      <c r="C21085" s="309"/>
      <c r="I21085" s="309"/>
      <c r="J21085" s="309"/>
    </row>
    <row r="21086">
      <c r="B21086" s="309"/>
      <c r="C21086" s="309"/>
      <c r="I21086" s="309"/>
      <c r="J21086" s="309"/>
    </row>
    <row r="21087">
      <c r="B21087" s="309"/>
      <c r="C21087" s="309"/>
      <c r="I21087" s="309"/>
      <c r="J21087" s="309"/>
    </row>
    <row r="21088">
      <c r="B21088" s="309"/>
      <c r="C21088" s="309"/>
      <c r="I21088" s="309"/>
      <c r="J21088" s="309"/>
    </row>
    <row r="21089">
      <c r="B21089" s="309"/>
      <c r="C21089" s="309"/>
      <c r="I21089" s="309"/>
      <c r="J21089" s="309"/>
    </row>
    <row r="21090">
      <c r="B21090" s="309"/>
      <c r="C21090" s="309"/>
      <c r="I21090" s="309"/>
      <c r="J21090" s="309"/>
    </row>
    <row r="21091">
      <c r="B21091" s="309"/>
      <c r="C21091" s="309"/>
      <c r="I21091" s="309"/>
      <c r="J21091" s="309"/>
    </row>
    <row r="21092">
      <c r="B21092" s="309"/>
      <c r="C21092" s="309"/>
      <c r="I21092" s="309"/>
      <c r="J21092" s="309"/>
    </row>
    <row r="21093">
      <c r="B21093" s="309"/>
      <c r="C21093" s="309"/>
      <c r="I21093" s="309"/>
      <c r="J21093" s="309"/>
    </row>
    <row r="21094">
      <c r="B21094" s="309"/>
      <c r="C21094" s="309"/>
      <c r="I21094" s="309"/>
      <c r="J21094" s="309"/>
    </row>
    <row r="21095">
      <c r="B21095" s="309"/>
      <c r="C21095" s="309"/>
      <c r="I21095" s="309"/>
      <c r="J21095" s="309"/>
    </row>
    <row r="21096">
      <c r="B21096" s="309"/>
      <c r="C21096" s="309"/>
      <c r="I21096" s="309"/>
      <c r="J21096" s="309"/>
    </row>
    <row r="21097">
      <c r="B21097" s="309"/>
      <c r="C21097" s="309"/>
      <c r="I21097" s="309"/>
      <c r="J21097" s="309"/>
    </row>
    <row r="21098">
      <c r="B21098" s="309"/>
      <c r="C21098" s="309"/>
      <c r="I21098" s="309"/>
      <c r="J21098" s="309"/>
    </row>
    <row r="21099">
      <c r="B21099" s="309"/>
      <c r="C21099" s="309"/>
      <c r="I21099" s="309"/>
      <c r="J21099" s="309"/>
    </row>
    <row r="21100">
      <c r="B21100" s="309"/>
      <c r="C21100" s="309"/>
      <c r="I21100" s="309"/>
      <c r="J21100" s="309"/>
    </row>
    <row r="21101">
      <c r="B21101" s="309"/>
      <c r="C21101" s="309"/>
      <c r="I21101" s="309"/>
      <c r="J21101" s="309"/>
    </row>
    <row r="21102">
      <c r="B21102" s="309"/>
      <c r="C21102" s="309"/>
      <c r="I21102" s="309"/>
      <c r="J21102" s="309"/>
    </row>
    <row r="21103">
      <c r="B21103" s="309"/>
      <c r="C21103" s="309"/>
      <c r="I21103" s="309"/>
      <c r="J21103" s="309"/>
    </row>
    <row r="21104">
      <c r="B21104" s="309"/>
      <c r="C21104" s="309"/>
      <c r="I21104" s="309"/>
      <c r="J21104" s="309"/>
    </row>
    <row r="21105">
      <c r="B21105" s="309"/>
      <c r="C21105" s="309"/>
      <c r="I21105" s="309"/>
      <c r="J21105" s="309"/>
    </row>
    <row r="21106">
      <c r="B21106" s="309"/>
      <c r="C21106" s="309"/>
      <c r="I21106" s="309"/>
      <c r="J21106" s="309"/>
    </row>
    <row r="21107">
      <c r="B21107" s="309"/>
      <c r="C21107" s="309"/>
      <c r="I21107" s="309"/>
      <c r="J21107" s="309"/>
    </row>
    <row r="21108">
      <c r="B21108" s="309"/>
      <c r="C21108" s="309"/>
      <c r="I21108" s="309"/>
      <c r="J21108" s="309"/>
    </row>
    <row r="21109">
      <c r="B21109" s="309"/>
      <c r="C21109" s="309"/>
      <c r="I21109" s="309"/>
      <c r="J21109" s="309"/>
    </row>
    <row r="21110">
      <c r="B21110" s="309"/>
      <c r="C21110" s="309"/>
      <c r="I21110" s="309"/>
      <c r="J21110" s="309"/>
    </row>
    <row r="21111">
      <c r="B21111" s="309"/>
      <c r="C21111" s="309"/>
      <c r="I21111" s="309"/>
      <c r="J21111" s="309"/>
    </row>
    <row r="21112">
      <c r="B21112" s="309"/>
      <c r="C21112" s="309"/>
      <c r="I21112" s="309"/>
      <c r="J21112" s="309"/>
    </row>
    <row r="21113">
      <c r="B21113" s="309"/>
      <c r="C21113" s="309"/>
      <c r="I21113" s="309"/>
      <c r="J21113" s="309"/>
    </row>
    <row r="21114">
      <c r="B21114" s="309"/>
      <c r="C21114" s="309"/>
      <c r="I21114" s="309"/>
      <c r="J21114" s="309"/>
    </row>
    <row r="21115">
      <c r="B21115" s="309"/>
      <c r="C21115" s="309"/>
      <c r="I21115" s="309"/>
      <c r="J21115" s="309"/>
    </row>
    <row r="21116">
      <c r="B21116" s="309"/>
      <c r="C21116" s="309"/>
      <c r="I21116" s="309"/>
      <c r="J21116" s="309"/>
    </row>
    <row r="21117">
      <c r="B21117" s="309"/>
      <c r="C21117" s="309"/>
      <c r="I21117" s="309"/>
      <c r="J21117" s="309"/>
    </row>
    <row r="21118">
      <c r="B21118" s="309"/>
      <c r="C21118" s="309"/>
      <c r="I21118" s="309"/>
      <c r="J21118" s="309"/>
    </row>
    <row r="21119">
      <c r="B21119" s="309"/>
      <c r="C21119" s="309"/>
      <c r="I21119" s="309"/>
      <c r="J21119" s="309"/>
    </row>
    <row r="21120">
      <c r="B21120" s="309"/>
      <c r="C21120" s="309"/>
      <c r="I21120" s="309"/>
      <c r="J21120" s="309"/>
    </row>
    <row r="21121">
      <c r="B21121" s="309"/>
      <c r="C21121" s="309"/>
      <c r="I21121" s="309"/>
      <c r="J21121" s="309"/>
    </row>
    <row r="21122">
      <c r="B21122" s="309"/>
      <c r="C21122" s="309"/>
      <c r="I21122" s="309"/>
      <c r="J21122" s="309"/>
    </row>
    <row r="21123">
      <c r="B21123" s="309"/>
      <c r="C21123" s="309"/>
      <c r="I21123" s="309"/>
      <c r="J21123" s="309"/>
    </row>
    <row r="21124">
      <c r="B21124" s="309"/>
      <c r="C21124" s="309"/>
      <c r="I21124" s="309"/>
      <c r="J21124" s="309"/>
    </row>
    <row r="21125">
      <c r="B21125" s="309"/>
      <c r="C21125" s="309"/>
      <c r="I21125" s="309"/>
      <c r="J21125" s="309"/>
    </row>
    <row r="21126">
      <c r="B21126" s="309"/>
      <c r="C21126" s="309"/>
      <c r="I21126" s="309"/>
      <c r="J21126" s="309"/>
    </row>
    <row r="21127">
      <c r="B21127" s="309"/>
      <c r="C21127" s="309"/>
      <c r="I21127" s="309"/>
      <c r="J21127" s="309"/>
    </row>
    <row r="21128">
      <c r="B21128" s="309"/>
      <c r="C21128" s="309"/>
      <c r="I21128" s="309"/>
      <c r="J21128" s="309"/>
    </row>
    <row r="21129">
      <c r="B21129" s="309"/>
      <c r="C21129" s="309"/>
      <c r="I21129" s="309"/>
      <c r="J21129" s="309"/>
    </row>
    <row r="21130">
      <c r="B21130" s="309"/>
      <c r="C21130" s="309"/>
      <c r="I21130" s="309"/>
      <c r="J21130" s="309"/>
    </row>
    <row r="21131">
      <c r="B21131" s="309"/>
      <c r="C21131" s="309"/>
      <c r="I21131" s="309"/>
      <c r="J21131" s="309"/>
    </row>
    <row r="21132">
      <c r="B21132" s="309"/>
      <c r="C21132" s="309"/>
      <c r="I21132" s="309"/>
      <c r="J21132" s="309"/>
    </row>
    <row r="21133">
      <c r="B21133" s="309"/>
      <c r="C21133" s="309"/>
      <c r="I21133" s="309"/>
      <c r="J21133" s="309"/>
    </row>
    <row r="21134">
      <c r="B21134" s="309"/>
      <c r="C21134" s="309"/>
      <c r="I21134" s="309"/>
      <c r="J21134" s="309"/>
    </row>
    <row r="21135">
      <c r="B21135" s="309"/>
      <c r="C21135" s="309"/>
      <c r="I21135" s="309"/>
      <c r="J21135" s="309"/>
    </row>
    <row r="21136">
      <c r="B21136" s="309"/>
      <c r="C21136" s="309"/>
      <c r="I21136" s="309"/>
      <c r="J21136" s="309"/>
    </row>
    <row r="21137">
      <c r="B21137" s="309"/>
      <c r="C21137" s="309"/>
      <c r="I21137" s="309"/>
      <c r="J21137" s="309"/>
    </row>
    <row r="21138">
      <c r="B21138" s="309"/>
      <c r="C21138" s="309"/>
      <c r="I21138" s="309"/>
      <c r="J21138" s="309"/>
    </row>
    <row r="21139">
      <c r="B21139" s="309"/>
      <c r="C21139" s="309"/>
      <c r="I21139" s="309"/>
      <c r="J21139" s="309"/>
    </row>
    <row r="21140">
      <c r="B21140" s="309"/>
      <c r="C21140" s="309"/>
      <c r="I21140" s="309"/>
      <c r="J21140" s="309"/>
    </row>
    <row r="21141">
      <c r="B21141" s="309"/>
      <c r="C21141" s="309"/>
      <c r="I21141" s="309"/>
      <c r="J21141" s="309"/>
    </row>
    <row r="21142">
      <c r="B21142" s="309"/>
      <c r="C21142" s="309"/>
      <c r="I21142" s="309"/>
      <c r="J21142" s="309"/>
    </row>
    <row r="21143">
      <c r="B21143" s="309"/>
      <c r="C21143" s="309"/>
      <c r="I21143" s="309"/>
      <c r="J21143" s="309"/>
    </row>
    <row r="21144">
      <c r="B21144" s="309"/>
      <c r="C21144" s="309"/>
      <c r="I21144" s="309"/>
      <c r="J21144" s="309"/>
    </row>
    <row r="21145">
      <c r="B21145" s="309"/>
      <c r="C21145" s="309"/>
      <c r="I21145" s="309"/>
      <c r="J21145" s="309"/>
    </row>
    <row r="21146">
      <c r="B21146" s="309"/>
      <c r="C21146" s="309"/>
      <c r="I21146" s="309"/>
      <c r="J21146" s="309"/>
    </row>
    <row r="21147">
      <c r="B21147" s="309"/>
      <c r="C21147" s="309"/>
      <c r="I21147" s="309"/>
      <c r="J21147" s="309"/>
    </row>
    <row r="21148">
      <c r="B21148" s="309"/>
      <c r="C21148" s="309"/>
      <c r="I21148" s="309"/>
      <c r="J21148" s="309"/>
    </row>
    <row r="21149">
      <c r="B21149" s="309"/>
      <c r="C21149" s="309"/>
      <c r="I21149" s="309"/>
      <c r="J21149" s="309"/>
    </row>
    <row r="21150">
      <c r="B21150" s="309"/>
      <c r="C21150" s="309"/>
      <c r="I21150" s="309"/>
      <c r="J21150" s="309"/>
    </row>
    <row r="21151">
      <c r="B21151" s="309"/>
      <c r="C21151" s="309"/>
      <c r="I21151" s="309"/>
      <c r="J21151" s="309"/>
    </row>
    <row r="21152">
      <c r="B21152" s="309"/>
      <c r="C21152" s="309"/>
      <c r="I21152" s="309"/>
      <c r="J21152" s="309"/>
    </row>
    <row r="21153">
      <c r="B21153" s="309"/>
      <c r="C21153" s="309"/>
      <c r="I21153" s="309"/>
      <c r="J21153" s="309"/>
    </row>
    <row r="21154">
      <c r="B21154" s="309"/>
      <c r="C21154" s="309"/>
      <c r="I21154" s="309"/>
      <c r="J21154" s="309"/>
    </row>
    <row r="21155">
      <c r="B21155" s="309"/>
      <c r="C21155" s="309"/>
      <c r="I21155" s="309"/>
      <c r="J21155" s="309"/>
    </row>
    <row r="21156">
      <c r="B21156" s="309"/>
      <c r="C21156" s="309"/>
      <c r="I21156" s="309"/>
      <c r="J21156" s="309"/>
    </row>
    <row r="21157">
      <c r="B21157" s="309"/>
      <c r="C21157" s="309"/>
      <c r="I21157" s="309"/>
      <c r="J21157" s="309"/>
    </row>
    <row r="21158">
      <c r="B21158" s="309"/>
      <c r="C21158" s="309"/>
      <c r="I21158" s="309"/>
      <c r="J21158" s="309"/>
    </row>
    <row r="21159">
      <c r="B21159" s="309"/>
      <c r="C21159" s="309"/>
      <c r="I21159" s="309"/>
      <c r="J21159" s="309"/>
    </row>
    <row r="21160">
      <c r="B21160" s="309"/>
      <c r="C21160" s="309"/>
      <c r="I21160" s="309"/>
      <c r="J21160" s="309"/>
    </row>
    <row r="21161">
      <c r="B21161" s="309"/>
      <c r="C21161" s="309"/>
      <c r="I21161" s="309"/>
      <c r="J21161" s="309"/>
    </row>
    <row r="21162">
      <c r="B21162" s="309"/>
      <c r="C21162" s="309"/>
      <c r="I21162" s="309"/>
      <c r="J21162" s="309"/>
    </row>
    <row r="21163">
      <c r="B21163" s="309"/>
      <c r="C21163" s="309"/>
      <c r="I21163" s="309"/>
      <c r="J21163" s="309"/>
    </row>
    <row r="21164">
      <c r="B21164" s="309"/>
      <c r="C21164" s="309"/>
      <c r="I21164" s="309"/>
      <c r="J21164" s="309"/>
    </row>
    <row r="21165">
      <c r="B21165" s="309"/>
      <c r="C21165" s="309"/>
      <c r="I21165" s="309"/>
      <c r="J21165" s="309"/>
    </row>
    <row r="21166">
      <c r="B21166" s="309"/>
      <c r="C21166" s="309"/>
      <c r="I21166" s="309"/>
      <c r="J21166" s="309"/>
    </row>
    <row r="21167">
      <c r="B21167" s="309"/>
      <c r="C21167" s="309"/>
      <c r="I21167" s="309"/>
      <c r="J21167" s="309"/>
    </row>
    <row r="21168">
      <c r="B21168" s="309"/>
      <c r="C21168" s="309"/>
      <c r="I21168" s="309"/>
      <c r="J21168" s="309"/>
    </row>
    <row r="21169">
      <c r="B21169" s="309"/>
      <c r="C21169" s="309"/>
      <c r="I21169" s="309"/>
      <c r="J21169" s="309"/>
    </row>
    <row r="21170">
      <c r="B21170" s="309"/>
      <c r="C21170" s="309"/>
      <c r="I21170" s="309"/>
      <c r="J21170" s="309"/>
    </row>
    <row r="21171">
      <c r="B21171" s="309"/>
      <c r="C21171" s="309"/>
      <c r="I21171" s="309"/>
      <c r="J21171" s="309"/>
    </row>
    <row r="21172">
      <c r="B21172" s="309"/>
      <c r="C21172" s="309"/>
      <c r="I21172" s="309"/>
      <c r="J21172" s="309"/>
    </row>
    <row r="21173">
      <c r="B21173" s="309"/>
      <c r="C21173" s="309"/>
      <c r="I21173" s="309"/>
      <c r="J21173" s="309"/>
    </row>
    <row r="21174">
      <c r="B21174" s="309"/>
      <c r="C21174" s="309"/>
      <c r="I21174" s="309"/>
      <c r="J21174" s="309"/>
    </row>
    <row r="21175">
      <c r="B21175" s="309"/>
      <c r="C21175" s="309"/>
      <c r="I21175" s="309"/>
      <c r="J21175" s="309"/>
    </row>
    <row r="21176">
      <c r="B21176" s="309"/>
      <c r="C21176" s="309"/>
      <c r="I21176" s="309"/>
      <c r="J21176" s="309"/>
    </row>
    <row r="21177">
      <c r="B21177" s="309"/>
      <c r="C21177" s="309"/>
      <c r="I21177" s="309"/>
      <c r="J21177" s="309"/>
    </row>
    <row r="21178">
      <c r="B21178" s="309"/>
      <c r="C21178" s="309"/>
      <c r="I21178" s="309"/>
      <c r="J21178" s="309"/>
    </row>
    <row r="21179">
      <c r="B21179" s="309"/>
      <c r="C21179" s="309"/>
      <c r="I21179" s="309"/>
      <c r="J21179" s="309"/>
    </row>
    <row r="21180">
      <c r="B21180" s="309"/>
      <c r="C21180" s="309"/>
      <c r="I21180" s="309"/>
      <c r="J21180" s="309"/>
    </row>
    <row r="21181">
      <c r="B21181" s="309"/>
      <c r="C21181" s="309"/>
      <c r="I21181" s="309"/>
      <c r="J21181" s="309"/>
    </row>
    <row r="21182">
      <c r="B21182" s="309"/>
      <c r="C21182" s="309"/>
      <c r="I21182" s="309"/>
      <c r="J21182" s="309"/>
    </row>
    <row r="21183">
      <c r="B21183" s="309"/>
      <c r="C21183" s="309"/>
      <c r="I21183" s="309"/>
      <c r="J21183" s="309"/>
    </row>
    <row r="21184">
      <c r="B21184" s="309"/>
      <c r="C21184" s="309"/>
      <c r="I21184" s="309"/>
      <c r="J21184" s="309"/>
    </row>
    <row r="21185">
      <c r="B21185" s="309"/>
      <c r="C21185" s="309"/>
      <c r="I21185" s="309"/>
      <c r="J21185" s="309"/>
    </row>
    <row r="21186">
      <c r="B21186" s="309"/>
      <c r="C21186" s="309"/>
      <c r="I21186" s="309"/>
      <c r="J21186" s="309"/>
    </row>
    <row r="21187">
      <c r="B21187" s="309"/>
      <c r="C21187" s="309"/>
      <c r="I21187" s="309"/>
      <c r="J21187" s="309"/>
    </row>
    <row r="21188">
      <c r="B21188" s="309"/>
      <c r="C21188" s="309"/>
      <c r="I21188" s="309"/>
      <c r="J21188" s="309"/>
    </row>
    <row r="21189">
      <c r="B21189" s="309"/>
      <c r="C21189" s="309"/>
      <c r="I21189" s="309"/>
      <c r="J21189" s="309"/>
    </row>
    <row r="21190">
      <c r="B21190" s="309"/>
      <c r="C21190" s="309"/>
      <c r="I21190" s="309"/>
      <c r="J21190" s="309"/>
    </row>
    <row r="21191">
      <c r="B21191" s="309"/>
      <c r="C21191" s="309"/>
      <c r="I21191" s="309"/>
      <c r="J21191" s="309"/>
    </row>
    <row r="21192">
      <c r="B21192" s="309"/>
      <c r="C21192" s="309"/>
      <c r="I21192" s="309"/>
      <c r="J21192" s="309"/>
    </row>
    <row r="21193">
      <c r="B21193" s="309"/>
      <c r="C21193" s="309"/>
      <c r="I21193" s="309"/>
      <c r="J21193" s="309"/>
    </row>
    <row r="21194">
      <c r="B21194" s="309"/>
      <c r="C21194" s="309"/>
      <c r="I21194" s="309"/>
      <c r="J21194" s="309"/>
    </row>
    <row r="21195">
      <c r="B21195" s="309"/>
      <c r="C21195" s="309"/>
      <c r="I21195" s="309"/>
      <c r="J21195" s="309"/>
    </row>
    <row r="21196">
      <c r="B21196" s="309"/>
      <c r="C21196" s="309"/>
      <c r="I21196" s="309"/>
      <c r="J21196" s="309"/>
    </row>
    <row r="21197">
      <c r="B21197" s="309"/>
      <c r="C21197" s="309"/>
      <c r="I21197" s="309"/>
      <c r="J21197" s="309"/>
    </row>
    <row r="21198">
      <c r="B21198" s="309"/>
      <c r="C21198" s="309"/>
      <c r="I21198" s="309"/>
      <c r="J21198" s="309"/>
    </row>
    <row r="21199">
      <c r="B21199" s="309"/>
      <c r="C21199" s="309"/>
      <c r="I21199" s="309"/>
      <c r="J21199" s="309"/>
    </row>
    <row r="21200">
      <c r="B21200" s="309"/>
      <c r="C21200" s="309"/>
      <c r="I21200" s="309"/>
      <c r="J21200" s="309"/>
    </row>
    <row r="21201">
      <c r="B21201" s="309"/>
      <c r="C21201" s="309"/>
      <c r="I21201" s="309"/>
      <c r="J21201" s="309"/>
    </row>
    <row r="21202">
      <c r="B21202" s="309"/>
      <c r="C21202" s="309"/>
      <c r="I21202" s="309"/>
      <c r="J21202" s="309"/>
    </row>
    <row r="21203">
      <c r="B21203" s="309"/>
      <c r="C21203" s="309"/>
      <c r="I21203" s="309"/>
      <c r="J21203" s="309"/>
    </row>
    <row r="21204">
      <c r="B21204" s="309"/>
      <c r="C21204" s="309"/>
      <c r="I21204" s="309"/>
      <c r="J21204" s="309"/>
    </row>
    <row r="21205">
      <c r="B21205" s="309"/>
      <c r="C21205" s="309"/>
      <c r="I21205" s="309"/>
      <c r="J21205" s="309"/>
    </row>
    <row r="21206">
      <c r="B21206" s="309"/>
      <c r="C21206" s="309"/>
      <c r="I21206" s="309"/>
      <c r="J21206" s="309"/>
    </row>
    <row r="21207">
      <c r="B21207" s="309"/>
      <c r="C21207" s="309"/>
      <c r="I21207" s="309"/>
      <c r="J21207" s="309"/>
    </row>
    <row r="21208">
      <c r="B21208" s="309"/>
      <c r="C21208" s="309"/>
      <c r="I21208" s="309"/>
      <c r="J21208" s="309"/>
    </row>
    <row r="21209">
      <c r="B21209" s="309"/>
      <c r="C21209" s="309"/>
      <c r="I21209" s="309"/>
      <c r="J21209" s="309"/>
    </row>
    <row r="21210">
      <c r="B21210" s="309"/>
      <c r="C21210" s="309"/>
      <c r="I21210" s="309"/>
      <c r="J21210" s="309"/>
    </row>
    <row r="21211">
      <c r="B21211" s="309"/>
      <c r="C21211" s="309"/>
      <c r="I21211" s="309"/>
      <c r="J21211" s="309"/>
    </row>
    <row r="21212">
      <c r="B21212" s="309"/>
      <c r="C21212" s="309"/>
      <c r="I21212" s="309"/>
      <c r="J21212" s="309"/>
    </row>
    <row r="21213">
      <c r="B21213" s="309"/>
      <c r="C21213" s="309"/>
      <c r="I21213" s="309"/>
      <c r="J21213" s="309"/>
    </row>
    <row r="21214">
      <c r="B21214" s="309"/>
      <c r="C21214" s="309"/>
      <c r="I21214" s="309"/>
      <c r="J21214" s="309"/>
    </row>
    <row r="21215">
      <c r="B21215" s="309"/>
      <c r="C21215" s="309"/>
      <c r="I21215" s="309"/>
      <c r="J21215" s="309"/>
    </row>
    <row r="21216">
      <c r="B21216" s="309"/>
      <c r="C21216" s="309"/>
      <c r="I21216" s="309"/>
      <c r="J21216" s="309"/>
    </row>
    <row r="21217">
      <c r="B21217" s="309"/>
      <c r="C21217" s="309"/>
      <c r="I21217" s="309"/>
      <c r="J21217" s="309"/>
    </row>
    <row r="21218">
      <c r="B21218" s="309"/>
      <c r="C21218" s="309"/>
      <c r="I21218" s="309"/>
      <c r="J21218" s="309"/>
    </row>
    <row r="21219">
      <c r="B21219" s="309"/>
      <c r="C21219" s="309"/>
      <c r="I21219" s="309"/>
      <c r="J21219" s="309"/>
    </row>
    <row r="21220">
      <c r="B21220" s="309"/>
      <c r="C21220" s="309"/>
      <c r="I21220" s="309"/>
      <c r="J21220" s="309"/>
    </row>
    <row r="21221">
      <c r="B21221" s="309"/>
      <c r="C21221" s="309"/>
      <c r="I21221" s="309"/>
      <c r="J21221" s="309"/>
    </row>
    <row r="21222">
      <c r="B21222" s="309"/>
      <c r="C21222" s="309"/>
      <c r="I21222" s="309"/>
      <c r="J21222" s="309"/>
    </row>
    <row r="21223">
      <c r="B21223" s="309"/>
      <c r="C21223" s="309"/>
      <c r="I21223" s="309"/>
      <c r="J21223" s="309"/>
    </row>
    <row r="21224">
      <c r="B21224" s="309"/>
      <c r="C21224" s="309"/>
      <c r="I21224" s="309"/>
      <c r="J21224" s="309"/>
    </row>
    <row r="21225">
      <c r="B21225" s="309"/>
      <c r="C21225" s="309"/>
      <c r="I21225" s="309"/>
      <c r="J21225" s="309"/>
    </row>
    <row r="21226">
      <c r="B21226" s="309"/>
      <c r="C21226" s="309"/>
      <c r="I21226" s="309"/>
      <c r="J21226" s="309"/>
    </row>
    <row r="21227">
      <c r="B21227" s="309"/>
      <c r="C21227" s="309"/>
      <c r="I21227" s="309"/>
      <c r="J21227" s="309"/>
    </row>
    <row r="21228">
      <c r="B21228" s="309"/>
      <c r="C21228" s="309"/>
      <c r="I21228" s="309"/>
      <c r="J21228" s="309"/>
    </row>
    <row r="21229">
      <c r="B21229" s="309"/>
      <c r="C21229" s="309"/>
      <c r="I21229" s="309"/>
      <c r="J21229" s="309"/>
    </row>
    <row r="21230">
      <c r="B21230" s="309"/>
      <c r="C21230" s="309"/>
      <c r="I21230" s="309"/>
      <c r="J21230" s="309"/>
    </row>
    <row r="21231">
      <c r="B21231" s="309"/>
      <c r="C21231" s="309"/>
      <c r="I21231" s="309"/>
      <c r="J21231" s="309"/>
    </row>
    <row r="21232">
      <c r="B21232" s="309"/>
      <c r="C21232" s="309"/>
      <c r="I21232" s="309"/>
      <c r="J21232" s="309"/>
    </row>
    <row r="21233">
      <c r="B21233" s="309"/>
      <c r="C21233" s="309"/>
      <c r="I21233" s="309"/>
      <c r="J21233" s="309"/>
    </row>
    <row r="21234">
      <c r="B21234" s="309"/>
      <c r="C21234" s="309"/>
      <c r="I21234" s="309"/>
      <c r="J21234" s="309"/>
    </row>
    <row r="21235">
      <c r="B21235" s="309"/>
      <c r="C21235" s="309"/>
      <c r="I21235" s="309"/>
      <c r="J21235" s="309"/>
    </row>
    <row r="21236">
      <c r="B21236" s="309"/>
      <c r="C21236" s="309"/>
      <c r="I21236" s="309"/>
      <c r="J21236" s="309"/>
    </row>
    <row r="21237">
      <c r="B21237" s="309"/>
      <c r="C21237" s="309"/>
      <c r="I21237" s="309"/>
      <c r="J21237" s="309"/>
    </row>
    <row r="21238">
      <c r="B21238" s="309"/>
      <c r="C21238" s="309"/>
      <c r="I21238" s="309"/>
      <c r="J21238" s="309"/>
    </row>
    <row r="21239">
      <c r="B21239" s="309"/>
      <c r="C21239" s="309"/>
      <c r="I21239" s="309"/>
      <c r="J21239" s="309"/>
    </row>
    <row r="21240">
      <c r="B21240" s="309"/>
      <c r="C21240" s="309"/>
      <c r="I21240" s="309"/>
      <c r="J21240" s="309"/>
    </row>
    <row r="21241">
      <c r="B21241" s="309"/>
      <c r="C21241" s="309"/>
      <c r="I21241" s="309"/>
      <c r="J21241" s="309"/>
    </row>
    <row r="21242">
      <c r="B21242" s="309"/>
      <c r="C21242" s="309"/>
      <c r="I21242" s="309"/>
      <c r="J21242" s="309"/>
    </row>
    <row r="21243">
      <c r="B21243" s="309"/>
      <c r="C21243" s="309"/>
      <c r="I21243" s="309"/>
      <c r="J21243" s="309"/>
    </row>
    <row r="21244">
      <c r="B21244" s="309"/>
      <c r="C21244" s="309"/>
      <c r="I21244" s="309"/>
      <c r="J21244" s="309"/>
    </row>
    <row r="21245">
      <c r="B21245" s="309"/>
      <c r="C21245" s="309"/>
      <c r="I21245" s="309"/>
      <c r="J21245" s="309"/>
    </row>
    <row r="21246">
      <c r="B21246" s="309"/>
      <c r="C21246" s="309"/>
      <c r="I21246" s="309"/>
      <c r="J21246" s="309"/>
    </row>
    <row r="21247">
      <c r="B21247" s="309"/>
      <c r="C21247" s="309"/>
      <c r="I21247" s="309"/>
      <c r="J21247" s="309"/>
    </row>
    <row r="21248">
      <c r="B21248" s="309"/>
      <c r="C21248" s="309"/>
      <c r="I21248" s="309"/>
      <c r="J21248" s="309"/>
    </row>
    <row r="21249">
      <c r="B21249" s="309"/>
      <c r="C21249" s="309"/>
      <c r="I21249" s="309"/>
      <c r="J21249" s="309"/>
    </row>
    <row r="21250">
      <c r="B21250" s="309"/>
      <c r="C21250" s="309"/>
      <c r="I21250" s="309"/>
      <c r="J21250" s="309"/>
    </row>
    <row r="21251">
      <c r="B21251" s="309"/>
      <c r="C21251" s="309"/>
      <c r="I21251" s="309"/>
      <c r="J21251" s="309"/>
    </row>
    <row r="21252">
      <c r="B21252" s="309"/>
      <c r="C21252" s="309"/>
      <c r="I21252" s="309"/>
      <c r="J21252" s="309"/>
    </row>
    <row r="21253">
      <c r="B21253" s="309"/>
      <c r="C21253" s="309"/>
      <c r="I21253" s="309"/>
      <c r="J21253" s="309"/>
    </row>
    <row r="21254">
      <c r="B21254" s="309"/>
      <c r="C21254" s="309"/>
      <c r="I21254" s="309"/>
      <c r="J21254" s="309"/>
    </row>
    <row r="21255">
      <c r="B21255" s="309"/>
      <c r="C21255" s="309"/>
      <c r="I21255" s="309"/>
      <c r="J21255" s="309"/>
    </row>
    <row r="21256">
      <c r="B21256" s="309"/>
      <c r="C21256" s="309"/>
      <c r="I21256" s="309"/>
      <c r="J21256" s="309"/>
    </row>
    <row r="21257">
      <c r="B21257" s="309"/>
      <c r="C21257" s="309"/>
      <c r="I21257" s="309"/>
      <c r="J21257" s="309"/>
    </row>
    <row r="21258">
      <c r="B21258" s="309"/>
      <c r="C21258" s="309"/>
      <c r="I21258" s="309"/>
      <c r="J21258" s="309"/>
    </row>
    <row r="21259">
      <c r="B21259" s="309"/>
      <c r="C21259" s="309"/>
      <c r="I21259" s="309"/>
      <c r="J21259" s="309"/>
    </row>
    <row r="21260">
      <c r="B21260" s="309"/>
      <c r="C21260" s="309"/>
      <c r="I21260" s="309"/>
      <c r="J21260" s="309"/>
    </row>
    <row r="21261">
      <c r="B21261" s="309"/>
      <c r="C21261" s="309"/>
      <c r="I21261" s="309"/>
      <c r="J21261" s="309"/>
    </row>
    <row r="21262">
      <c r="B21262" s="309"/>
      <c r="C21262" s="309"/>
      <c r="I21262" s="309"/>
      <c r="J21262" s="309"/>
    </row>
    <row r="21263">
      <c r="B21263" s="309"/>
      <c r="C21263" s="309"/>
      <c r="I21263" s="309"/>
      <c r="J21263" s="309"/>
    </row>
    <row r="21264">
      <c r="B21264" s="309"/>
      <c r="C21264" s="309"/>
      <c r="I21264" s="309"/>
      <c r="J21264" s="309"/>
    </row>
    <row r="21265">
      <c r="B21265" s="309"/>
      <c r="C21265" s="309"/>
      <c r="I21265" s="309"/>
      <c r="J21265" s="309"/>
    </row>
    <row r="21266">
      <c r="B21266" s="309"/>
      <c r="C21266" s="309"/>
      <c r="I21266" s="309"/>
      <c r="J21266" s="309"/>
    </row>
    <row r="21267">
      <c r="B21267" s="309"/>
      <c r="C21267" s="309"/>
      <c r="I21267" s="309"/>
      <c r="J21267" s="309"/>
    </row>
    <row r="21268">
      <c r="B21268" s="309"/>
      <c r="C21268" s="309"/>
      <c r="I21268" s="309"/>
      <c r="J21268" s="309"/>
    </row>
    <row r="21269">
      <c r="B21269" s="309"/>
      <c r="C21269" s="309"/>
      <c r="I21269" s="309"/>
      <c r="J21269" s="309"/>
    </row>
    <row r="21270">
      <c r="B21270" s="309"/>
      <c r="C21270" s="309"/>
      <c r="I21270" s="309"/>
      <c r="J21270" s="309"/>
    </row>
    <row r="21271">
      <c r="B21271" s="309"/>
      <c r="C21271" s="309"/>
      <c r="I21271" s="309"/>
      <c r="J21271" s="309"/>
    </row>
    <row r="21272">
      <c r="B21272" s="309"/>
      <c r="C21272" s="309"/>
      <c r="I21272" s="309"/>
      <c r="J21272" s="309"/>
    </row>
    <row r="21273">
      <c r="B21273" s="309"/>
      <c r="C21273" s="309"/>
      <c r="I21273" s="309"/>
      <c r="J21273" s="309"/>
    </row>
    <row r="21274">
      <c r="B21274" s="309"/>
      <c r="C21274" s="309"/>
      <c r="I21274" s="309"/>
      <c r="J21274" s="309"/>
    </row>
    <row r="21275">
      <c r="B21275" s="309"/>
      <c r="C21275" s="309"/>
      <c r="I21275" s="309"/>
      <c r="J21275" s="309"/>
    </row>
    <row r="21276">
      <c r="B21276" s="309"/>
      <c r="C21276" s="309"/>
      <c r="I21276" s="309"/>
      <c r="J21276" s="309"/>
    </row>
    <row r="21277">
      <c r="B21277" s="309"/>
      <c r="C21277" s="309"/>
      <c r="I21277" s="309"/>
      <c r="J21277" s="309"/>
    </row>
    <row r="21278">
      <c r="B21278" s="309"/>
      <c r="C21278" s="309"/>
      <c r="I21278" s="309"/>
      <c r="J21278" s="309"/>
    </row>
    <row r="21279">
      <c r="B21279" s="309"/>
      <c r="C21279" s="309"/>
      <c r="I21279" s="309"/>
      <c r="J21279" s="309"/>
    </row>
    <row r="21280">
      <c r="B21280" s="309"/>
      <c r="C21280" s="309"/>
      <c r="I21280" s="309"/>
      <c r="J21280" s="309"/>
    </row>
    <row r="21281">
      <c r="B21281" s="309"/>
      <c r="C21281" s="309"/>
      <c r="I21281" s="309"/>
      <c r="J21281" s="309"/>
    </row>
    <row r="21282">
      <c r="B21282" s="309"/>
      <c r="C21282" s="309"/>
      <c r="I21282" s="309"/>
      <c r="J21282" s="309"/>
    </row>
    <row r="21283">
      <c r="B21283" s="309"/>
      <c r="C21283" s="309"/>
      <c r="I21283" s="309"/>
      <c r="J21283" s="309"/>
    </row>
    <row r="21284">
      <c r="B21284" s="309"/>
      <c r="C21284" s="309"/>
      <c r="I21284" s="309"/>
      <c r="J21284" s="309"/>
    </row>
    <row r="21285">
      <c r="B21285" s="309"/>
      <c r="C21285" s="309"/>
      <c r="I21285" s="309"/>
      <c r="J21285" s="309"/>
    </row>
    <row r="21286">
      <c r="B21286" s="309"/>
      <c r="C21286" s="309"/>
      <c r="I21286" s="309"/>
      <c r="J21286" s="309"/>
    </row>
    <row r="21287">
      <c r="B21287" s="309"/>
      <c r="C21287" s="309"/>
      <c r="I21287" s="309"/>
      <c r="J21287" s="309"/>
    </row>
    <row r="21288">
      <c r="B21288" s="309"/>
      <c r="C21288" s="309"/>
      <c r="I21288" s="309"/>
      <c r="J21288" s="309"/>
    </row>
    <row r="21289">
      <c r="B21289" s="309"/>
      <c r="C21289" s="309"/>
      <c r="I21289" s="309"/>
      <c r="J21289" s="309"/>
    </row>
    <row r="21290">
      <c r="B21290" s="309"/>
      <c r="C21290" s="309"/>
      <c r="I21290" s="309"/>
      <c r="J21290" s="309"/>
    </row>
    <row r="21291">
      <c r="B21291" s="309"/>
      <c r="C21291" s="309"/>
      <c r="I21291" s="309"/>
      <c r="J21291" s="309"/>
    </row>
    <row r="21292">
      <c r="B21292" s="309"/>
      <c r="C21292" s="309"/>
      <c r="I21292" s="309"/>
      <c r="J21292" s="309"/>
    </row>
    <row r="21293">
      <c r="B21293" s="309"/>
      <c r="C21293" s="309"/>
      <c r="I21293" s="309"/>
      <c r="J21293" s="309"/>
    </row>
    <row r="21294">
      <c r="B21294" s="309"/>
      <c r="C21294" s="309"/>
      <c r="I21294" s="309"/>
      <c r="J21294" s="309"/>
    </row>
    <row r="21295">
      <c r="B21295" s="309"/>
      <c r="C21295" s="309"/>
      <c r="I21295" s="309"/>
      <c r="J21295" s="309"/>
    </row>
    <row r="21296">
      <c r="B21296" s="309"/>
      <c r="C21296" s="309"/>
      <c r="I21296" s="309"/>
      <c r="J21296" s="309"/>
    </row>
    <row r="21297">
      <c r="B21297" s="309"/>
      <c r="C21297" s="309"/>
      <c r="I21297" s="309"/>
      <c r="J21297" s="309"/>
    </row>
    <row r="21298">
      <c r="B21298" s="309"/>
      <c r="C21298" s="309"/>
      <c r="I21298" s="309"/>
      <c r="J21298" s="309"/>
    </row>
    <row r="21299">
      <c r="B21299" s="309"/>
      <c r="C21299" s="309"/>
      <c r="I21299" s="309"/>
      <c r="J21299" s="309"/>
    </row>
    <row r="21300">
      <c r="B21300" s="309"/>
      <c r="C21300" s="309"/>
      <c r="I21300" s="309"/>
      <c r="J21300" s="309"/>
    </row>
    <row r="21301">
      <c r="B21301" s="309"/>
      <c r="C21301" s="309"/>
      <c r="I21301" s="309"/>
      <c r="J21301" s="309"/>
    </row>
    <row r="21302">
      <c r="B21302" s="309"/>
      <c r="C21302" s="309"/>
      <c r="I21302" s="309"/>
      <c r="J21302" s="309"/>
    </row>
    <row r="21303">
      <c r="B21303" s="309"/>
      <c r="C21303" s="309"/>
      <c r="I21303" s="309"/>
      <c r="J21303" s="309"/>
    </row>
    <row r="21304">
      <c r="B21304" s="309"/>
      <c r="C21304" s="309"/>
      <c r="I21304" s="309"/>
      <c r="J21304" s="309"/>
    </row>
    <row r="21305">
      <c r="B21305" s="309"/>
      <c r="C21305" s="309"/>
      <c r="I21305" s="309"/>
      <c r="J21305" s="309"/>
    </row>
    <row r="21306">
      <c r="B21306" s="309"/>
      <c r="C21306" s="309"/>
      <c r="I21306" s="309"/>
      <c r="J21306" s="309"/>
    </row>
    <row r="21307">
      <c r="B21307" s="309"/>
      <c r="C21307" s="309"/>
      <c r="I21307" s="309"/>
      <c r="J21307" s="309"/>
    </row>
    <row r="21308">
      <c r="B21308" s="309"/>
      <c r="C21308" s="309"/>
      <c r="I21308" s="309"/>
      <c r="J21308" s="309"/>
    </row>
    <row r="21309">
      <c r="B21309" s="309"/>
      <c r="C21309" s="309"/>
      <c r="I21309" s="309"/>
      <c r="J21309" s="309"/>
    </row>
    <row r="21310">
      <c r="B21310" s="309"/>
      <c r="C21310" s="309"/>
      <c r="I21310" s="309"/>
      <c r="J21310" s="309"/>
    </row>
    <row r="21311">
      <c r="B21311" s="309"/>
      <c r="C21311" s="309"/>
      <c r="I21311" s="309"/>
      <c r="J21311" s="309"/>
    </row>
    <row r="21312">
      <c r="B21312" s="309"/>
      <c r="C21312" s="309"/>
      <c r="I21312" s="309"/>
      <c r="J21312" s="309"/>
    </row>
    <row r="21313">
      <c r="B21313" s="309"/>
      <c r="C21313" s="309"/>
      <c r="I21313" s="309"/>
      <c r="J21313" s="309"/>
    </row>
    <row r="21314">
      <c r="B21314" s="309"/>
      <c r="C21314" s="309"/>
      <c r="I21314" s="309"/>
      <c r="J21314" s="309"/>
    </row>
    <row r="21315">
      <c r="B21315" s="309"/>
      <c r="C21315" s="309"/>
      <c r="I21315" s="309"/>
      <c r="J21315" s="309"/>
    </row>
    <row r="21316">
      <c r="B21316" s="309"/>
      <c r="C21316" s="309"/>
      <c r="I21316" s="309"/>
      <c r="J21316" s="309"/>
    </row>
    <row r="21317">
      <c r="B21317" s="309"/>
      <c r="C21317" s="309"/>
      <c r="I21317" s="309"/>
      <c r="J21317" s="309"/>
    </row>
    <row r="21318">
      <c r="B21318" s="309"/>
      <c r="C21318" s="309"/>
      <c r="I21318" s="309"/>
      <c r="J21318" s="309"/>
    </row>
    <row r="21319">
      <c r="B21319" s="309"/>
      <c r="C21319" s="309"/>
      <c r="I21319" s="309"/>
      <c r="J21319" s="309"/>
    </row>
    <row r="21320">
      <c r="B21320" s="309"/>
      <c r="C21320" s="309"/>
      <c r="I21320" s="309"/>
      <c r="J21320" s="309"/>
    </row>
    <row r="21321">
      <c r="B21321" s="309"/>
      <c r="C21321" s="309"/>
      <c r="I21321" s="309"/>
      <c r="J21321" s="309"/>
    </row>
    <row r="21322">
      <c r="B21322" s="309"/>
      <c r="C21322" s="309"/>
      <c r="I21322" s="309"/>
      <c r="J21322" s="309"/>
    </row>
    <row r="21323">
      <c r="B21323" s="309"/>
      <c r="C21323" s="309"/>
      <c r="I21323" s="309"/>
      <c r="J21323" s="309"/>
    </row>
    <row r="21324">
      <c r="B21324" s="309"/>
      <c r="C21324" s="309"/>
      <c r="I21324" s="309"/>
      <c r="J21324" s="309"/>
    </row>
    <row r="21325">
      <c r="B21325" s="309"/>
      <c r="C21325" s="309"/>
      <c r="I21325" s="309"/>
      <c r="J21325" s="309"/>
    </row>
    <row r="21326">
      <c r="B21326" s="309"/>
      <c r="C21326" s="309"/>
      <c r="I21326" s="309"/>
      <c r="J21326" s="309"/>
    </row>
    <row r="21327">
      <c r="B21327" s="309"/>
      <c r="C21327" s="309"/>
      <c r="I21327" s="309"/>
      <c r="J21327" s="309"/>
    </row>
    <row r="21328">
      <c r="B21328" s="309"/>
      <c r="C21328" s="309"/>
      <c r="I21328" s="309"/>
      <c r="J21328" s="309"/>
    </row>
    <row r="21329">
      <c r="B21329" s="309"/>
      <c r="C21329" s="309"/>
      <c r="I21329" s="309"/>
      <c r="J21329" s="309"/>
    </row>
    <row r="21330">
      <c r="B21330" s="309"/>
      <c r="C21330" s="309"/>
      <c r="I21330" s="309"/>
      <c r="J21330" s="309"/>
    </row>
    <row r="21331">
      <c r="B21331" s="309"/>
      <c r="C21331" s="309"/>
      <c r="I21331" s="309"/>
      <c r="J21331" s="309"/>
    </row>
    <row r="21332">
      <c r="B21332" s="309"/>
      <c r="C21332" s="309"/>
      <c r="I21332" s="309"/>
      <c r="J21332" s="309"/>
    </row>
    <row r="21333">
      <c r="B21333" s="309"/>
      <c r="C21333" s="309"/>
      <c r="I21333" s="309"/>
      <c r="J21333" s="309"/>
    </row>
    <row r="21334">
      <c r="B21334" s="309"/>
      <c r="C21334" s="309"/>
      <c r="I21334" s="309"/>
      <c r="J21334" s="309"/>
    </row>
    <row r="21335">
      <c r="B21335" s="309"/>
      <c r="C21335" s="309"/>
      <c r="I21335" s="309"/>
      <c r="J21335" s="309"/>
    </row>
    <row r="21336">
      <c r="B21336" s="309"/>
      <c r="C21336" s="309"/>
      <c r="I21336" s="309"/>
      <c r="J21336" s="309"/>
    </row>
    <row r="21337">
      <c r="B21337" s="309"/>
      <c r="C21337" s="309"/>
      <c r="I21337" s="309"/>
      <c r="J21337" s="309"/>
    </row>
    <row r="21338">
      <c r="B21338" s="309"/>
      <c r="C21338" s="309"/>
      <c r="I21338" s="309"/>
      <c r="J21338" s="309"/>
    </row>
    <row r="21339">
      <c r="B21339" s="309"/>
      <c r="C21339" s="309"/>
      <c r="I21339" s="309"/>
      <c r="J21339" s="309"/>
    </row>
    <row r="21340">
      <c r="B21340" s="309"/>
      <c r="C21340" s="309"/>
      <c r="I21340" s="309"/>
      <c r="J21340" s="309"/>
    </row>
    <row r="21341">
      <c r="B21341" s="309"/>
      <c r="C21341" s="309"/>
      <c r="I21341" s="309"/>
      <c r="J21341" s="309"/>
    </row>
    <row r="21342">
      <c r="B21342" s="309"/>
      <c r="C21342" s="309"/>
      <c r="I21342" s="309"/>
      <c r="J21342" s="309"/>
    </row>
    <row r="21343">
      <c r="B21343" s="309"/>
      <c r="C21343" s="309"/>
      <c r="I21343" s="309"/>
      <c r="J21343" s="309"/>
    </row>
    <row r="21344">
      <c r="B21344" s="309"/>
      <c r="C21344" s="309"/>
      <c r="I21344" s="309"/>
      <c r="J21344" s="309"/>
    </row>
    <row r="21345">
      <c r="B21345" s="309"/>
      <c r="C21345" s="309"/>
      <c r="I21345" s="309"/>
      <c r="J21345" s="309"/>
    </row>
    <row r="21346">
      <c r="B21346" s="309"/>
      <c r="C21346" s="309"/>
      <c r="I21346" s="309"/>
      <c r="J21346" s="309"/>
    </row>
    <row r="21347">
      <c r="B21347" s="309"/>
      <c r="C21347" s="309"/>
      <c r="I21347" s="309"/>
      <c r="J21347" s="309"/>
    </row>
    <row r="21348">
      <c r="B21348" s="309"/>
      <c r="C21348" s="309"/>
      <c r="I21348" s="309"/>
      <c r="J21348" s="309"/>
    </row>
    <row r="21349">
      <c r="B21349" s="309"/>
      <c r="C21349" s="309"/>
      <c r="I21349" s="309"/>
      <c r="J21349" s="309"/>
    </row>
    <row r="21350">
      <c r="B21350" s="309"/>
      <c r="C21350" s="309"/>
      <c r="I21350" s="309"/>
      <c r="J21350" s="309"/>
    </row>
    <row r="21351">
      <c r="B21351" s="309"/>
      <c r="C21351" s="309"/>
      <c r="I21351" s="309"/>
      <c r="J21351" s="309"/>
    </row>
    <row r="21352">
      <c r="B21352" s="309"/>
      <c r="C21352" s="309"/>
      <c r="I21352" s="309"/>
      <c r="J21352" s="309"/>
    </row>
    <row r="21353">
      <c r="B21353" s="309"/>
      <c r="C21353" s="309"/>
      <c r="I21353" s="309"/>
      <c r="J21353" s="309"/>
    </row>
    <row r="21354">
      <c r="B21354" s="309"/>
      <c r="C21354" s="309"/>
      <c r="I21354" s="309"/>
      <c r="J21354" s="309"/>
    </row>
    <row r="21355">
      <c r="B21355" s="309"/>
      <c r="C21355" s="309"/>
      <c r="I21355" s="309"/>
      <c r="J21355" s="309"/>
    </row>
    <row r="21356">
      <c r="B21356" s="309"/>
      <c r="C21356" s="309"/>
      <c r="I21356" s="309"/>
      <c r="J21356" s="309"/>
    </row>
    <row r="21357">
      <c r="B21357" s="309"/>
      <c r="C21357" s="309"/>
      <c r="I21357" s="309"/>
      <c r="J21357" s="309"/>
    </row>
    <row r="21358">
      <c r="B21358" s="309"/>
      <c r="C21358" s="309"/>
      <c r="I21358" s="309"/>
      <c r="J21358" s="309"/>
    </row>
    <row r="21359">
      <c r="B21359" s="309"/>
      <c r="C21359" s="309"/>
      <c r="I21359" s="309"/>
      <c r="J21359" s="309"/>
    </row>
    <row r="21360">
      <c r="B21360" s="309"/>
      <c r="C21360" s="309"/>
      <c r="I21360" s="309"/>
      <c r="J21360" s="309"/>
    </row>
    <row r="21361">
      <c r="B21361" s="309"/>
      <c r="C21361" s="309"/>
      <c r="I21361" s="309"/>
      <c r="J21361" s="309"/>
    </row>
    <row r="21362">
      <c r="B21362" s="309"/>
      <c r="C21362" s="309"/>
      <c r="I21362" s="309"/>
      <c r="J21362" s="309"/>
    </row>
    <row r="21363">
      <c r="B21363" s="309"/>
      <c r="C21363" s="309"/>
      <c r="I21363" s="309"/>
      <c r="J21363" s="309"/>
    </row>
    <row r="21364">
      <c r="B21364" s="309"/>
      <c r="C21364" s="309"/>
      <c r="I21364" s="309"/>
      <c r="J21364" s="309"/>
    </row>
    <row r="21365">
      <c r="B21365" s="309"/>
      <c r="C21365" s="309"/>
      <c r="I21365" s="309"/>
      <c r="J21365" s="309"/>
    </row>
    <row r="21366">
      <c r="B21366" s="309"/>
      <c r="C21366" s="309"/>
      <c r="I21366" s="309"/>
      <c r="J21366" s="309"/>
    </row>
    <row r="21367">
      <c r="B21367" s="309"/>
      <c r="C21367" s="309"/>
      <c r="I21367" s="309"/>
      <c r="J21367" s="309"/>
    </row>
    <row r="21368">
      <c r="B21368" s="309"/>
      <c r="C21368" s="309"/>
      <c r="I21368" s="309"/>
      <c r="J21368" s="309"/>
    </row>
    <row r="21369">
      <c r="B21369" s="309"/>
      <c r="C21369" s="309"/>
      <c r="I21369" s="309"/>
      <c r="J21369" s="309"/>
    </row>
    <row r="21370">
      <c r="B21370" s="309"/>
      <c r="C21370" s="309"/>
      <c r="I21370" s="309"/>
      <c r="J21370" s="309"/>
    </row>
    <row r="21371">
      <c r="B21371" s="309"/>
      <c r="C21371" s="309"/>
      <c r="I21371" s="309"/>
      <c r="J21371" s="309"/>
    </row>
    <row r="21372">
      <c r="B21372" s="309"/>
      <c r="C21372" s="309"/>
      <c r="I21372" s="309"/>
      <c r="J21372" s="309"/>
    </row>
    <row r="21373">
      <c r="B21373" s="309"/>
      <c r="C21373" s="309"/>
      <c r="I21373" s="309"/>
      <c r="J21373" s="309"/>
    </row>
    <row r="21374">
      <c r="B21374" s="309"/>
      <c r="C21374" s="309"/>
      <c r="I21374" s="309"/>
      <c r="J21374" s="309"/>
    </row>
    <row r="21375">
      <c r="B21375" s="309"/>
      <c r="C21375" s="309"/>
      <c r="I21375" s="309"/>
      <c r="J21375" s="309"/>
    </row>
    <row r="21376">
      <c r="B21376" s="309"/>
      <c r="C21376" s="309"/>
      <c r="I21376" s="309"/>
      <c r="J21376" s="309"/>
    </row>
    <row r="21377">
      <c r="B21377" s="309"/>
      <c r="C21377" s="309"/>
      <c r="I21377" s="309"/>
      <c r="J21377" s="309"/>
    </row>
    <row r="21378">
      <c r="B21378" s="309"/>
      <c r="C21378" s="309"/>
      <c r="I21378" s="309"/>
      <c r="J21378" s="309"/>
    </row>
    <row r="21379">
      <c r="B21379" s="309"/>
      <c r="C21379" s="309"/>
      <c r="I21379" s="309"/>
      <c r="J21379" s="309"/>
    </row>
    <row r="21380">
      <c r="B21380" s="309"/>
      <c r="C21380" s="309"/>
      <c r="I21380" s="309"/>
      <c r="J21380" s="309"/>
    </row>
    <row r="21381">
      <c r="B21381" s="309"/>
      <c r="C21381" s="309"/>
      <c r="I21381" s="309"/>
      <c r="J21381" s="309"/>
    </row>
    <row r="21382">
      <c r="B21382" s="309"/>
      <c r="C21382" s="309"/>
      <c r="I21382" s="309"/>
      <c r="J21382" s="309"/>
    </row>
    <row r="21383">
      <c r="B21383" s="309"/>
      <c r="C21383" s="309"/>
      <c r="I21383" s="309"/>
      <c r="J21383" s="309"/>
    </row>
    <row r="21384">
      <c r="B21384" s="309"/>
      <c r="C21384" s="309"/>
      <c r="I21384" s="309"/>
      <c r="J21384" s="309"/>
    </row>
    <row r="21385">
      <c r="B21385" s="309"/>
      <c r="C21385" s="309"/>
      <c r="I21385" s="309"/>
      <c r="J21385" s="309"/>
    </row>
    <row r="21386">
      <c r="B21386" s="309"/>
      <c r="C21386" s="309"/>
      <c r="I21386" s="309"/>
      <c r="J21386" s="309"/>
    </row>
    <row r="21387">
      <c r="B21387" s="309"/>
      <c r="C21387" s="309"/>
      <c r="I21387" s="309"/>
      <c r="J21387" s="309"/>
    </row>
    <row r="21388">
      <c r="B21388" s="309"/>
      <c r="C21388" s="309"/>
      <c r="I21388" s="309"/>
      <c r="J21388" s="309"/>
    </row>
    <row r="21389">
      <c r="B21389" s="309"/>
      <c r="C21389" s="309"/>
      <c r="I21389" s="309"/>
      <c r="J21389" s="309"/>
    </row>
    <row r="21390">
      <c r="B21390" s="309"/>
      <c r="C21390" s="309"/>
      <c r="I21390" s="309"/>
      <c r="J21390" s="309"/>
    </row>
    <row r="21391">
      <c r="B21391" s="309"/>
      <c r="C21391" s="309"/>
      <c r="I21391" s="309"/>
      <c r="J21391" s="309"/>
    </row>
    <row r="21392">
      <c r="B21392" s="309"/>
      <c r="C21392" s="309"/>
      <c r="I21392" s="309"/>
      <c r="J21392" s="309"/>
    </row>
    <row r="21393">
      <c r="B21393" s="309"/>
      <c r="C21393" s="309"/>
      <c r="I21393" s="309"/>
      <c r="J21393" s="309"/>
    </row>
    <row r="21394">
      <c r="B21394" s="309"/>
      <c r="C21394" s="309"/>
      <c r="I21394" s="309"/>
      <c r="J21394" s="309"/>
    </row>
    <row r="21395">
      <c r="B21395" s="309"/>
      <c r="C21395" s="309"/>
      <c r="I21395" s="309"/>
      <c r="J21395" s="309"/>
    </row>
    <row r="21396">
      <c r="B21396" s="309"/>
      <c r="C21396" s="309"/>
      <c r="I21396" s="309"/>
      <c r="J21396" s="309"/>
    </row>
    <row r="21397">
      <c r="B21397" s="309"/>
      <c r="C21397" s="309"/>
      <c r="I21397" s="309"/>
      <c r="J21397" s="309"/>
    </row>
    <row r="21398">
      <c r="B21398" s="309"/>
      <c r="C21398" s="309"/>
      <c r="I21398" s="309"/>
      <c r="J21398" s="309"/>
    </row>
    <row r="21399">
      <c r="B21399" s="309"/>
      <c r="C21399" s="309"/>
      <c r="I21399" s="309"/>
      <c r="J21399" s="309"/>
    </row>
    <row r="21400">
      <c r="B21400" s="309"/>
      <c r="C21400" s="309"/>
      <c r="I21400" s="309"/>
      <c r="J21400" s="309"/>
    </row>
    <row r="21401">
      <c r="B21401" s="309"/>
      <c r="C21401" s="309"/>
      <c r="I21401" s="309"/>
      <c r="J21401" s="309"/>
    </row>
    <row r="21402">
      <c r="B21402" s="309"/>
      <c r="C21402" s="309"/>
      <c r="I21402" s="309"/>
      <c r="J21402" s="309"/>
    </row>
    <row r="21403">
      <c r="B21403" s="309"/>
      <c r="C21403" s="309"/>
      <c r="I21403" s="309"/>
      <c r="J21403" s="309"/>
    </row>
    <row r="21404">
      <c r="B21404" s="309"/>
      <c r="C21404" s="309"/>
      <c r="I21404" s="309"/>
      <c r="J21404" s="309"/>
    </row>
    <row r="21405">
      <c r="B21405" s="309"/>
      <c r="C21405" s="309"/>
      <c r="I21405" s="309"/>
      <c r="J21405" s="309"/>
    </row>
    <row r="21406">
      <c r="B21406" s="309"/>
      <c r="C21406" s="309"/>
      <c r="I21406" s="309"/>
      <c r="J21406" s="309"/>
    </row>
    <row r="21407">
      <c r="B21407" s="309"/>
      <c r="C21407" s="309"/>
      <c r="I21407" s="309"/>
      <c r="J21407" s="309"/>
    </row>
    <row r="21408">
      <c r="B21408" s="309"/>
      <c r="C21408" s="309"/>
      <c r="I21408" s="309"/>
      <c r="J21408" s="309"/>
    </row>
    <row r="21409">
      <c r="B21409" s="309"/>
      <c r="C21409" s="309"/>
      <c r="I21409" s="309"/>
      <c r="J21409" s="309"/>
    </row>
    <row r="21410">
      <c r="B21410" s="309"/>
      <c r="C21410" s="309"/>
      <c r="I21410" s="309"/>
      <c r="J21410" s="309"/>
    </row>
    <row r="21411">
      <c r="B21411" s="309"/>
      <c r="C21411" s="309"/>
      <c r="I21411" s="309"/>
      <c r="J21411" s="309"/>
    </row>
    <row r="21412">
      <c r="B21412" s="309"/>
      <c r="C21412" s="309"/>
      <c r="I21412" s="309"/>
      <c r="J21412" s="309"/>
    </row>
    <row r="21413">
      <c r="B21413" s="309"/>
      <c r="C21413" s="309"/>
      <c r="I21413" s="309"/>
      <c r="J21413" s="309"/>
    </row>
    <row r="21414">
      <c r="B21414" s="309"/>
      <c r="C21414" s="309"/>
      <c r="I21414" s="309"/>
      <c r="J21414" s="309"/>
    </row>
    <row r="21415">
      <c r="B21415" s="309"/>
      <c r="C21415" s="309"/>
      <c r="I21415" s="309"/>
      <c r="J21415" s="309"/>
    </row>
    <row r="21416">
      <c r="B21416" s="309"/>
      <c r="C21416" s="309"/>
      <c r="I21416" s="309"/>
      <c r="J21416" s="309"/>
    </row>
    <row r="21417">
      <c r="B21417" s="309"/>
      <c r="C21417" s="309"/>
      <c r="I21417" s="309"/>
      <c r="J21417" s="309"/>
    </row>
    <row r="21418">
      <c r="B21418" s="309"/>
      <c r="C21418" s="309"/>
      <c r="I21418" s="309"/>
      <c r="J21418" s="309"/>
    </row>
    <row r="21419">
      <c r="B21419" s="309"/>
      <c r="C21419" s="309"/>
      <c r="I21419" s="309"/>
      <c r="J21419" s="309"/>
    </row>
    <row r="21420">
      <c r="B21420" s="309"/>
      <c r="C21420" s="309"/>
      <c r="I21420" s="309"/>
      <c r="J21420" s="309"/>
    </row>
    <row r="21421">
      <c r="B21421" s="309"/>
      <c r="C21421" s="309"/>
      <c r="I21421" s="309"/>
      <c r="J21421" s="309"/>
    </row>
    <row r="21422">
      <c r="B21422" s="309"/>
      <c r="C21422" s="309"/>
      <c r="I21422" s="309"/>
      <c r="J21422" s="309"/>
    </row>
    <row r="21423">
      <c r="B21423" s="309"/>
      <c r="C21423" s="309"/>
      <c r="I21423" s="309"/>
      <c r="J21423" s="309"/>
    </row>
    <row r="21424">
      <c r="B21424" s="309"/>
      <c r="C21424" s="309"/>
      <c r="I21424" s="309"/>
      <c r="J21424" s="309"/>
    </row>
    <row r="21425">
      <c r="B21425" s="309"/>
      <c r="C21425" s="309"/>
      <c r="I21425" s="309"/>
      <c r="J21425" s="309"/>
    </row>
    <row r="21426">
      <c r="B21426" s="309"/>
      <c r="C21426" s="309"/>
      <c r="I21426" s="309"/>
      <c r="J21426" s="309"/>
    </row>
    <row r="21427">
      <c r="B21427" s="309"/>
      <c r="C21427" s="309"/>
      <c r="I21427" s="309"/>
      <c r="J21427" s="309"/>
    </row>
    <row r="21428">
      <c r="B21428" s="309"/>
      <c r="C21428" s="309"/>
      <c r="I21428" s="309"/>
      <c r="J21428" s="309"/>
    </row>
    <row r="21429">
      <c r="B21429" s="309"/>
      <c r="C21429" s="309"/>
      <c r="I21429" s="309"/>
      <c r="J21429" s="309"/>
    </row>
    <row r="21430">
      <c r="B21430" s="309"/>
      <c r="C21430" s="309"/>
      <c r="I21430" s="309"/>
      <c r="J21430" s="309"/>
    </row>
    <row r="21431">
      <c r="B21431" s="309"/>
      <c r="C21431" s="309"/>
      <c r="I21431" s="309"/>
      <c r="J21431" s="309"/>
    </row>
    <row r="21432">
      <c r="B21432" s="309"/>
      <c r="C21432" s="309"/>
      <c r="I21432" s="309"/>
      <c r="J21432" s="309"/>
    </row>
    <row r="21433">
      <c r="B21433" s="309"/>
      <c r="C21433" s="309"/>
      <c r="I21433" s="309"/>
      <c r="J21433" s="309"/>
    </row>
    <row r="21434">
      <c r="B21434" s="309"/>
      <c r="C21434" s="309"/>
      <c r="I21434" s="309"/>
      <c r="J21434" s="309"/>
    </row>
    <row r="21435">
      <c r="B21435" s="309"/>
      <c r="C21435" s="309"/>
      <c r="I21435" s="309"/>
      <c r="J21435" s="309"/>
    </row>
    <row r="21436">
      <c r="B21436" s="309"/>
      <c r="C21436" s="309"/>
      <c r="I21436" s="309"/>
      <c r="J21436" s="309"/>
    </row>
    <row r="21437">
      <c r="B21437" s="309"/>
      <c r="C21437" s="309"/>
      <c r="I21437" s="309"/>
      <c r="J21437" s="309"/>
    </row>
    <row r="21438">
      <c r="B21438" s="309"/>
      <c r="C21438" s="309"/>
      <c r="I21438" s="309"/>
      <c r="J21438" s="309"/>
    </row>
    <row r="21439">
      <c r="B21439" s="309"/>
      <c r="C21439" s="309"/>
      <c r="I21439" s="309"/>
      <c r="J21439" s="309"/>
    </row>
    <row r="21440">
      <c r="B21440" s="309"/>
      <c r="C21440" s="309"/>
      <c r="I21440" s="309"/>
      <c r="J21440" s="309"/>
    </row>
    <row r="21441">
      <c r="B21441" s="309"/>
      <c r="C21441" s="309"/>
      <c r="I21441" s="309"/>
      <c r="J21441" s="309"/>
    </row>
    <row r="21442">
      <c r="B21442" s="309"/>
      <c r="C21442" s="309"/>
      <c r="I21442" s="309"/>
      <c r="J21442" s="309"/>
    </row>
    <row r="21443">
      <c r="B21443" s="309"/>
      <c r="C21443" s="309"/>
      <c r="I21443" s="309"/>
      <c r="J21443" s="309"/>
    </row>
    <row r="21444">
      <c r="B21444" s="309"/>
      <c r="C21444" s="309"/>
      <c r="I21444" s="309"/>
      <c r="J21444" s="309"/>
    </row>
    <row r="21445">
      <c r="B21445" s="309"/>
      <c r="C21445" s="309"/>
      <c r="I21445" s="309"/>
      <c r="J21445" s="309"/>
    </row>
    <row r="21446">
      <c r="B21446" s="309"/>
      <c r="C21446" s="309"/>
      <c r="I21446" s="309"/>
      <c r="J21446" s="309"/>
    </row>
    <row r="21447">
      <c r="B21447" s="309"/>
      <c r="C21447" s="309"/>
      <c r="I21447" s="309"/>
      <c r="J21447" s="309"/>
    </row>
    <row r="21448">
      <c r="B21448" s="309"/>
      <c r="C21448" s="309"/>
      <c r="I21448" s="309"/>
      <c r="J21448" s="309"/>
    </row>
    <row r="21449">
      <c r="B21449" s="309"/>
      <c r="C21449" s="309"/>
      <c r="I21449" s="309"/>
      <c r="J21449" s="309"/>
    </row>
    <row r="21450">
      <c r="B21450" s="309"/>
      <c r="C21450" s="309"/>
      <c r="I21450" s="309"/>
      <c r="J21450" s="309"/>
    </row>
    <row r="21451">
      <c r="B21451" s="309"/>
      <c r="C21451" s="309"/>
      <c r="I21451" s="309"/>
      <c r="J21451" s="309"/>
    </row>
    <row r="21452">
      <c r="B21452" s="309"/>
      <c r="C21452" s="309"/>
      <c r="I21452" s="309"/>
      <c r="J21452" s="309"/>
    </row>
    <row r="21453">
      <c r="B21453" s="309"/>
      <c r="C21453" s="309"/>
      <c r="I21453" s="309"/>
      <c r="J21453" s="309"/>
    </row>
    <row r="21454">
      <c r="B21454" s="309"/>
      <c r="C21454" s="309"/>
      <c r="I21454" s="309"/>
      <c r="J21454" s="309"/>
    </row>
    <row r="21455">
      <c r="B21455" s="309"/>
      <c r="C21455" s="309"/>
      <c r="I21455" s="309"/>
      <c r="J21455" s="309"/>
    </row>
    <row r="21456">
      <c r="B21456" s="309"/>
      <c r="C21456" s="309"/>
      <c r="I21456" s="309"/>
      <c r="J21456" s="309"/>
    </row>
    <row r="21457">
      <c r="B21457" s="309"/>
      <c r="C21457" s="309"/>
      <c r="I21457" s="309"/>
      <c r="J21457" s="309"/>
    </row>
    <row r="21458">
      <c r="B21458" s="309"/>
      <c r="C21458" s="309"/>
      <c r="I21458" s="309"/>
      <c r="J21458" s="309"/>
    </row>
    <row r="21459">
      <c r="B21459" s="309"/>
      <c r="C21459" s="309"/>
      <c r="I21459" s="309"/>
      <c r="J21459" s="309"/>
    </row>
    <row r="21460">
      <c r="B21460" s="309"/>
      <c r="C21460" s="309"/>
      <c r="I21460" s="309"/>
      <c r="J21460" s="309"/>
    </row>
    <row r="21461">
      <c r="B21461" s="309"/>
      <c r="C21461" s="309"/>
      <c r="I21461" s="309"/>
      <c r="J21461" s="309"/>
    </row>
    <row r="21462">
      <c r="B21462" s="309"/>
      <c r="C21462" s="309"/>
      <c r="I21462" s="309"/>
      <c r="J21462" s="309"/>
    </row>
    <row r="21463">
      <c r="B21463" s="309"/>
      <c r="C21463" s="309"/>
      <c r="I21463" s="309"/>
      <c r="J21463" s="309"/>
    </row>
    <row r="21464">
      <c r="B21464" s="309"/>
      <c r="C21464" s="309"/>
      <c r="I21464" s="309"/>
      <c r="J21464" s="309"/>
    </row>
    <row r="21465">
      <c r="B21465" s="309"/>
      <c r="C21465" s="309"/>
      <c r="I21465" s="309"/>
      <c r="J21465" s="309"/>
    </row>
    <row r="21466">
      <c r="B21466" s="309"/>
      <c r="C21466" s="309"/>
      <c r="I21466" s="309"/>
      <c r="J21466" s="309"/>
    </row>
    <row r="21467">
      <c r="B21467" s="309"/>
      <c r="C21467" s="309"/>
      <c r="I21467" s="309"/>
      <c r="J21467" s="309"/>
    </row>
    <row r="21468">
      <c r="B21468" s="309"/>
      <c r="C21468" s="309"/>
      <c r="I21468" s="309"/>
      <c r="J21468" s="309"/>
    </row>
    <row r="21469">
      <c r="B21469" s="309"/>
      <c r="C21469" s="309"/>
      <c r="I21469" s="309"/>
      <c r="J21469" s="309"/>
    </row>
    <row r="21470">
      <c r="B21470" s="309"/>
      <c r="C21470" s="309"/>
      <c r="I21470" s="309"/>
      <c r="J21470" s="309"/>
    </row>
    <row r="21471">
      <c r="B21471" s="309"/>
      <c r="C21471" s="309"/>
      <c r="I21471" s="309"/>
      <c r="J21471" s="309"/>
    </row>
    <row r="21472">
      <c r="B21472" s="309"/>
      <c r="C21472" s="309"/>
      <c r="I21472" s="309"/>
      <c r="J21472" s="309"/>
    </row>
    <row r="21473">
      <c r="B21473" s="309"/>
      <c r="C21473" s="309"/>
      <c r="I21473" s="309"/>
      <c r="J21473" s="309"/>
    </row>
    <row r="21474">
      <c r="B21474" s="309"/>
      <c r="C21474" s="309"/>
      <c r="I21474" s="309"/>
      <c r="J21474" s="309"/>
    </row>
    <row r="21475">
      <c r="B21475" s="309"/>
      <c r="C21475" s="309"/>
      <c r="I21475" s="309"/>
      <c r="J21475" s="309"/>
    </row>
    <row r="21476">
      <c r="B21476" s="309"/>
      <c r="C21476" s="309"/>
      <c r="I21476" s="309"/>
      <c r="J21476" s="309"/>
    </row>
    <row r="21477">
      <c r="B21477" s="309"/>
      <c r="C21477" s="309"/>
      <c r="I21477" s="309"/>
      <c r="J21477" s="309"/>
    </row>
    <row r="21478">
      <c r="B21478" s="309"/>
      <c r="C21478" s="309"/>
      <c r="I21478" s="309"/>
      <c r="J21478" s="309"/>
    </row>
    <row r="21479">
      <c r="B21479" s="309"/>
      <c r="C21479" s="309"/>
      <c r="I21479" s="309"/>
      <c r="J21479" s="309"/>
    </row>
    <row r="21480">
      <c r="B21480" s="309"/>
      <c r="C21480" s="309"/>
      <c r="I21480" s="309"/>
      <c r="J21480" s="309"/>
    </row>
    <row r="21481">
      <c r="B21481" s="309"/>
      <c r="C21481" s="309"/>
      <c r="I21481" s="309"/>
      <c r="J21481" s="309"/>
    </row>
    <row r="21482">
      <c r="B21482" s="309"/>
      <c r="C21482" s="309"/>
      <c r="I21482" s="309"/>
      <c r="J21482" s="309"/>
    </row>
    <row r="21483">
      <c r="B21483" s="309"/>
      <c r="C21483" s="309"/>
      <c r="I21483" s="309"/>
      <c r="J21483" s="309"/>
    </row>
    <row r="21484">
      <c r="B21484" s="309"/>
      <c r="C21484" s="309"/>
      <c r="I21484" s="309"/>
      <c r="J21484" s="309"/>
    </row>
    <row r="21485">
      <c r="B21485" s="309"/>
      <c r="C21485" s="309"/>
      <c r="I21485" s="309"/>
      <c r="J21485" s="309"/>
    </row>
    <row r="21486">
      <c r="B21486" s="309"/>
      <c r="C21486" s="309"/>
      <c r="I21486" s="309"/>
      <c r="J21486" s="309"/>
    </row>
    <row r="21487">
      <c r="B21487" s="309"/>
      <c r="C21487" s="309"/>
      <c r="I21487" s="309"/>
      <c r="J21487" s="309"/>
    </row>
    <row r="21488">
      <c r="B21488" s="309"/>
      <c r="C21488" s="309"/>
      <c r="I21488" s="309"/>
      <c r="J21488" s="309"/>
    </row>
    <row r="21489">
      <c r="B21489" s="309"/>
      <c r="C21489" s="309"/>
      <c r="I21489" s="309"/>
      <c r="J21489" s="309"/>
    </row>
    <row r="21490">
      <c r="B21490" s="309"/>
      <c r="C21490" s="309"/>
      <c r="I21490" s="309"/>
      <c r="J21490" s="309"/>
    </row>
    <row r="21491">
      <c r="B21491" s="309"/>
      <c r="C21491" s="309"/>
      <c r="I21491" s="309"/>
      <c r="J21491" s="309"/>
    </row>
    <row r="21492">
      <c r="B21492" s="309"/>
      <c r="C21492" s="309"/>
      <c r="I21492" s="309"/>
      <c r="J21492" s="309"/>
    </row>
    <row r="21493">
      <c r="B21493" s="309"/>
      <c r="C21493" s="309"/>
      <c r="I21493" s="309"/>
      <c r="J21493" s="309"/>
    </row>
    <row r="21494">
      <c r="B21494" s="309"/>
      <c r="C21494" s="309"/>
      <c r="I21494" s="309"/>
      <c r="J21494" s="309"/>
    </row>
    <row r="21495">
      <c r="B21495" s="309"/>
      <c r="C21495" s="309"/>
      <c r="I21495" s="309"/>
      <c r="J21495" s="309"/>
    </row>
    <row r="21496">
      <c r="B21496" s="309"/>
      <c r="C21496" s="309"/>
      <c r="I21496" s="309"/>
      <c r="J21496" s="309"/>
    </row>
    <row r="21497">
      <c r="B21497" s="309"/>
      <c r="C21497" s="309"/>
      <c r="I21497" s="309"/>
      <c r="J21497" s="309"/>
    </row>
    <row r="21498">
      <c r="B21498" s="309"/>
      <c r="C21498" s="309"/>
      <c r="I21498" s="309"/>
      <c r="J21498" s="309"/>
    </row>
    <row r="21499">
      <c r="B21499" s="309"/>
      <c r="C21499" s="309"/>
      <c r="I21499" s="309"/>
      <c r="J21499" s="309"/>
    </row>
    <row r="21500">
      <c r="B21500" s="309"/>
      <c r="C21500" s="309"/>
      <c r="I21500" s="309"/>
      <c r="J21500" s="309"/>
    </row>
    <row r="21501">
      <c r="B21501" s="309"/>
      <c r="C21501" s="309"/>
      <c r="I21501" s="309"/>
      <c r="J21501" s="309"/>
    </row>
    <row r="21502">
      <c r="B21502" s="309"/>
      <c r="C21502" s="309"/>
      <c r="I21502" s="309"/>
      <c r="J21502" s="309"/>
    </row>
    <row r="21503">
      <c r="B21503" s="309"/>
      <c r="C21503" s="309"/>
      <c r="I21503" s="309"/>
      <c r="J21503" s="309"/>
    </row>
    <row r="21504">
      <c r="B21504" s="309"/>
      <c r="C21504" s="309"/>
      <c r="I21504" s="309"/>
      <c r="J21504" s="309"/>
    </row>
    <row r="21505">
      <c r="B21505" s="309"/>
      <c r="C21505" s="309"/>
      <c r="I21505" s="309"/>
      <c r="J21505" s="309"/>
    </row>
    <row r="21506">
      <c r="B21506" s="309"/>
      <c r="C21506" s="309"/>
      <c r="I21506" s="309"/>
      <c r="J21506" s="309"/>
    </row>
    <row r="21507">
      <c r="B21507" s="309"/>
      <c r="C21507" s="309"/>
      <c r="I21507" s="309"/>
      <c r="J21507" s="309"/>
    </row>
    <row r="21508">
      <c r="B21508" s="309"/>
      <c r="C21508" s="309"/>
      <c r="I21508" s="309"/>
      <c r="J21508" s="309"/>
    </row>
    <row r="21509">
      <c r="B21509" s="309"/>
      <c r="C21509" s="309"/>
      <c r="I21509" s="309"/>
      <c r="J21509" s="309"/>
    </row>
    <row r="21510">
      <c r="B21510" s="309"/>
      <c r="C21510" s="309"/>
      <c r="I21510" s="309"/>
      <c r="J21510" s="309"/>
    </row>
    <row r="21511">
      <c r="B21511" s="309"/>
      <c r="C21511" s="309"/>
      <c r="I21511" s="309"/>
      <c r="J21511" s="309"/>
    </row>
    <row r="21512">
      <c r="B21512" s="309"/>
      <c r="C21512" s="309"/>
      <c r="I21512" s="309"/>
      <c r="J21512" s="309"/>
    </row>
    <row r="21513">
      <c r="B21513" s="309"/>
      <c r="C21513" s="309"/>
      <c r="I21513" s="309"/>
      <c r="J21513" s="309"/>
    </row>
    <row r="21514">
      <c r="B21514" s="309"/>
      <c r="C21514" s="309"/>
      <c r="I21514" s="309"/>
      <c r="J21514" s="309"/>
    </row>
    <row r="21515">
      <c r="B21515" s="309"/>
      <c r="C21515" s="309"/>
      <c r="I21515" s="309"/>
      <c r="J21515" s="309"/>
    </row>
    <row r="21516">
      <c r="B21516" s="309"/>
      <c r="C21516" s="309"/>
      <c r="I21516" s="309"/>
      <c r="J21516" s="309"/>
    </row>
    <row r="21517">
      <c r="B21517" s="309"/>
      <c r="C21517" s="309"/>
      <c r="I21517" s="309"/>
      <c r="J21517" s="309"/>
    </row>
    <row r="21518">
      <c r="B21518" s="309"/>
      <c r="C21518" s="309"/>
      <c r="I21518" s="309"/>
      <c r="J21518" s="309"/>
    </row>
    <row r="21519">
      <c r="B21519" s="309"/>
      <c r="C21519" s="309"/>
      <c r="I21519" s="309"/>
      <c r="J21519" s="309"/>
    </row>
    <row r="21520">
      <c r="B21520" s="309"/>
      <c r="C21520" s="309"/>
      <c r="I21520" s="309"/>
      <c r="J21520" s="309"/>
    </row>
    <row r="21521">
      <c r="B21521" s="309"/>
      <c r="C21521" s="309"/>
      <c r="I21521" s="309"/>
      <c r="J21521" s="309"/>
    </row>
    <row r="21522">
      <c r="B21522" s="309"/>
      <c r="C21522" s="309"/>
      <c r="I21522" s="309"/>
      <c r="J21522" s="309"/>
    </row>
    <row r="21523">
      <c r="B21523" s="309"/>
      <c r="C21523" s="309"/>
      <c r="I21523" s="309"/>
      <c r="J21523" s="309"/>
    </row>
    <row r="21524">
      <c r="B21524" s="309"/>
      <c r="C21524" s="309"/>
      <c r="I21524" s="309"/>
      <c r="J21524" s="309"/>
    </row>
    <row r="21525">
      <c r="B21525" s="309"/>
      <c r="C21525" s="309"/>
      <c r="I21525" s="309"/>
      <c r="J21525" s="309"/>
    </row>
    <row r="21526">
      <c r="B21526" s="309"/>
      <c r="C21526" s="309"/>
      <c r="I21526" s="309"/>
      <c r="J21526" s="309"/>
    </row>
    <row r="21527">
      <c r="B21527" s="309"/>
      <c r="C21527" s="309"/>
      <c r="I21527" s="309"/>
      <c r="J21527" s="309"/>
    </row>
    <row r="21528">
      <c r="B21528" s="309"/>
      <c r="C21528" s="309"/>
      <c r="I21528" s="309"/>
      <c r="J21528" s="309"/>
    </row>
    <row r="21529">
      <c r="B21529" s="309"/>
      <c r="C21529" s="309"/>
      <c r="I21529" s="309"/>
      <c r="J21529" s="309"/>
    </row>
    <row r="21530">
      <c r="B21530" s="309"/>
      <c r="C21530" s="309"/>
      <c r="I21530" s="309"/>
      <c r="J21530" s="309"/>
    </row>
    <row r="21531">
      <c r="B21531" s="309"/>
      <c r="C21531" s="309"/>
      <c r="I21531" s="309"/>
      <c r="J21531" s="309"/>
    </row>
    <row r="21532">
      <c r="B21532" s="309"/>
      <c r="C21532" s="309"/>
      <c r="I21532" s="309"/>
      <c r="J21532" s="309"/>
    </row>
    <row r="21533">
      <c r="B21533" s="309"/>
      <c r="C21533" s="309"/>
      <c r="I21533" s="309"/>
      <c r="J21533" s="309"/>
    </row>
    <row r="21534">
      <c r="B21534" s="309"/>
      <c r="C21534" s="309"/>
      <c r="I21534" s="309"/>
      <c r="J21534" s="309"/>
    </row>
    <row r="21535">
      <c r="B21535" s="309"/>
      <c r="C21535" s="309"/>
      <c r="I21535" s="309"/>
      <c r="J21535" s="309"/>
    </row>
    <row r="21536">
      <c r="B21536" s="309"/>
      <c r="C21536" s="309"/>
      <c r="I21536" s="309"/>
      <c r="J21536" s="309"/>
    </row>
    <row r="21537">
      <c r="B21537" s="309"/>
      <c r="C21537" s="309"/>
      <c r="I21537" s="309"/>
      <c r="J21537" s="309"/>
    </row>
    <row r="21538">
      <c r="B21538" s="309"/>
      <c r="C21538" s="309"/>
      <c r="I21538" s="309"/>
      <c r="J21538" s="309"/>
    </row>
    <row r="21539">
      <c r="B21539" s="309"/>
      <c r="C21539" s="309"/>
      <c r="I21539" s="309"/>
      <c r="J21539" s="309"/>
    </row>
    <row r="21540">
      <c r="B21540" s="309"/>
      <c r="C21540" s="309"/>
      <c r="I21540" s="309"/>
      <c r="J21540" s="309"/>
    </row>
    <row r="21541">
      <c r="B21541" s="309"/>
      <c r="C21541" s="309"/>
      <c r="I21541" s="309"/>
      <c r="J21541" s="309"/>
    </row>
    <row r="21542">
      <c r="B21542" s="309"/>
      <c r="C21542" s="309"/>
      <c r="I21542" s="309"/>
      <c r="J21542" s="309"/>
    </row>
    <row r="21543">
      <c r="B21543" s="309"/>
      <c r="C21543" s="309"/>
      <c r="I21543" s="309"/>
      <c r="J21543" s="309"/>
    </row>
    <row r="21544">
      <c r="B21544" s="309"/>
      <c r="C21544" s="309"/>
      <c r="I21544" s="309"/>
      <c r="J21544" s="309"/>
    </row>
    <row r="21545">
      <c r="B21545" s="309"/>
      <c r="C21545" s="309"/>
      <c r="I21545" s="309"/>
      <c r="J21545" s="309"/>
    </row>
    <row r="21546">
      <c r="B21546" s="309"/>
      <c r="C21546" s="309"/>
      <c r="I21546" s="309"/>
      <c r="J21546" s="309"/>
    </row>
    <row r="21547">
      <c r="B21547" s="309"/>
      <c r="C21547" s="309"/>
      <c r="I21547" s="309"/>
      <c r="J21547" s="309"/>
    </row>
    <row r="21548">
      <c r="B21548" s="309"/>
      <c r="C21548" s="309"/>
      <c r="I21548" s="309"/>
      <c r="J21548" s="309"/>
    </row>
    <row r="21549">
      <c r="B21549" s="309"/>
      <c r="C21549" s="309"/>
      <c r="I21549" s="309"/>
      <c r="J21549" s="309"/>
    </row>
    <row r="21550">
      <c r="B21550" s="309"/>
      <c r="C21550" s="309"/>
      <c r="I21550" s="309"/>
      <c r="J21550" s="309"/>
    </row>
    <row r="21551">
      <c r="B21551" s="309"/>
      <c r="C21551" s="309"/>
      <c r="I21551" s="309"/>
      <c r="J21551" s="309"/>
    </row>
    <row r="21552">
      <c r="B21552" s="309"/>
      <c r="C21552" s="309"/>
      <c r="I21552" s="309"/>
      <c r="J21552" s="309"/>
    </row>
    <row r="21553">
      <c r="B21553" s="309"/>
      <c r="C21553" s="309"/>
      <c r="I21553" s="309"/>
      <c r="J21553" s="309"/>
    </row>
    <row r="21554">
      <c r="B21554" s="309"/>
      <c r="C21554" s="309"/>
      <c r="I21554" s="309"/>
      <c r="J21554" s="309"/>
    </row>
    <row r="21555">
      <c r="B21555" s="309"/>
      <c r="C21555" s="309"/>
      <c r="I21555" s="309"/>
      <c r="J21555" s="309"/>
    </row>
    <row r="21556">
      <c r="B21556" s="309"/>
      <c r="C21556" s="309"/>
      <c r="I21556" s="309"/>
      <c r="J21556" s="309"/>
    </row>
    <row r="21557">
      <c r="B21557" s="309"/>
      <c r="C21557" s="309"/>
      <c r="I21557" s="309"/>
      <c r="J21557" s="309"/>
    </row>
    <row r="21558">
      <c r="B21558" s="309"/>
      <c r="C21558" s="309"/>
      <c r="I21558" s="309"/>
      <c r="J21558" s="309"/>
    </row>
    <row r="21559">
      <c r="B21559" s="309"/>
      <c r="C21559" s="309"/>
      <c r="I21559" s="309"/>
      <c r="J21559" s="309"/>
    </row>
    <row r="21560">
      <c r="B21560" s="309"/>
      <c r="C21560" s="309"/>
      <c r="I21560" s="309"/>
      <c r="J21560" s="309"/>
    </row>
    <row r="21561">
      <c r="B21561" s="309"/>
      <c r="C21561" s="309"/>
      <c r="I21561" s="309"/>
      <c r="J21561" s="309"/>
    </row>
    <row r="21562">
      <c r="B21562" s="309"/>
      <c r="C21562" s="309"/>
      <c r="I21562" s="309"/>
      <c r="J21562" s="309"/>
    </row>
    <row r="21563">
      <c r="B21563" s="309"/>
      <c r="C21563" s="309"/>
      <c r="I21563" s="309"/>
      <c r="J21563" s="309"/>
    </row>
    <row r="21564">
      <c r="B21564" s="309"/>
      <c r="C21564" s="309"/>
      <c r="I21564" s="309"/>
      <c r="J21564" s="309"/>
    </row>
    <row r="21565">
      <c r="B21565" s="309"/>
      <c r="C21565" s="309"/>
      <c r="I21565" s="309"/>
      <c r="J21565" s="309"/>
    </row>
    <row r="21566">
      <c r="B21566" s="309"/>
      <c r="C21566" s="309"/>
      <c r="I21566" s="309"/>
      <c r="J21566" s="309"/>
    </row>
    <row r="21567">
      <c r="B21567" s="309"/>
      <c r="C21567" s="309"/>
      <c r="I21567" s="309"/>
      <c r="J21567" s="309"/>
    </row>
    <row r="21568">
      <c r="B21568" s="309"/>
      <c r="C21568" s="309"/>
      <c r="I21568" s="309"/>
      <c r="J21568" s="309"/>
    </row>
    <row r="21569">
      <c r="B21569" s="309"/>
      <c r="C21569" s="309"/>
      <c r="I21569" s="309"/>
      <c r="J21569" s="309"/>
    </row>
    <row r="21570">
      <c r="B21570" s="309"/>
      <c r="C21570" s="309"/>
      <c r="I21570" s="309"/>
      <c r="J21570" s="309"/>
    </row>
    <row r="21571">
      <c r="B21571" s="309"/>
      <c r="C21571" s="309"/>
      <c r="I21571" s="309"/>
      <c r="J21571" s="309"/>
    </row>
    <row r="21572">
      <c r="B21572" s="309"/>
      <c r="C21572" s="309"/>
      <c r="I21572" s="309"/>
      <c r="J21572" s="309"/>
    </row>
    <row r="21573">
      <c r="B21573" s="309"/>
      <c r="C21573" s="309"/>
      <c r="I21573" s="309"/>
      <c r="J21573" s="309"/>
    </row>
    <row r="21574">
      <c r="B21574" s="309"/>
      <c r="C21574" s="309"/>
      <c r="I21574" s="309"/>
      <c r="J21574" s="309"/>
    </row>
    <row r="21575">
      <c r="B21575" s="309"/>
      <c r="C21575" s="309"/>
      <c r="I21575" s="309"/>
      <c r="J21575" s="309"/>
    </row>
    <row r="21576">
      <c r="B21576" s="309"/>
      <c r="C21576" s="309"/>
      <c r="I21576" s="309"/>
      <c r="J21576" s="309"/>
    </row>
    <row r="21577">
      <c r="B21577" s="309"/>
      <c r="C21577" s="309"/>
      <c r="I21577" s="309"/>
      <c r="J21577" s="309"/>
    </row>
    <row r="21578">
      <c r="B21578" s="309"/>
      <c r="C21578" s="309"/>
      <c r="I21578" s="309"/>
      <c r="J21578" s="309"/>
    </row>
    <row r="21579">
      <c r="B21579" s="309"/>
      <c r="C21579" s="309"/>
      <c r="I21579" s="309"/>
      <c r="J21579" s="309"/>
    </row>
    <row r="21580">
      <c r="B21580" s="309"/>
      <c r="C21580" s="309"/>
      <c r="I21580" s="309"/>
      <c r="J21580" s="309"/>
    </row>
    <row r="21581">
      <c r="B21581" s="309"/>
      <c r="C21581" s="309"/>
      <c r="I21581" s="309"/>
      <c r="J21581" s="309"/>
    </row>
    <row r="21582">
      <c r="B21582" s="309"/>
      <c r="C21582" s="309"/>
      <c r="I21582" s="309"/>
      <c r="J21582" s="309"/>
    </row>
    <row r="21583">
      <c r="B21583" s="309"/>
      <c r="C21583" s="309"/>
      <c r="I21583" s="309"/>
      <c r="J21583" s="309"/>
    </row>
    <row r="21584">
      <c r="B21584" s="309"/>
      <c r="C21584" s="309"/>
      <c r="I21584" s="309"/>
      <c r="J21584" s="309"/>
    </row>
    <row r="21585">
      <c r="B21585" s="309"/>
      <c r="C21585" s="309"/>
      <c r="I21585" s="309"/>
      <c r="J21585" s="309"/>
    </row>
    <row r="21586">
      <c r="B21586" s="309"/>
      <c r="C21586" s="309"/>
      <c r="I21586" s="309"/>
      <c r="J21586" s="309"/>
    </row>
    <row r="21587">
      <c r="B21587" s="309"/>
      <c r="C21587" s="309"/>
      <c r="I21587" s="309"/>
      <c r="J21587" s="309"/>
    </row>
    <row r="21588">
      <c r="B21588" s="309"/>
      <c r="C21588" s="309"/>
      <c r="I21588" s="309"/>
      <c r="J21588" s="309"/>
    </row>
    <row r="21589">
      <c r="B21589" s="309"/>
      <c r="C21589" s="309"/>
      <c r="I21589" s="309"/>
      <c r="J21589" s="309"/>
    </row>
    <row r="21590">
      <c r="B21590" s="309"/>
      <c r="C21590" s="309"/>
      <c r="I21590" s="309"/>
      <c r="J21590" s="309"/>
    </row>
    <row r="21591">
      <c r="B21591" s="309"/>
      <c r="C21591" s="309"/>
      <c r="I21591" s="309"/>
      <c r="J21591" s="309"/>
    </row>
    <row r="21592">
      <c r="B21592" s="309"/>
      <c r="C21592" s="309"/>
      <c r="I21592" s="309"/>
      <c r="J21592" s="309"/>
    </row>
    <row r="21593">
      <c r="B21593" s="309"/>
      <c r="C21593" s="309"/>
      <c r="I21593" s="309"/>
      <c r="J21593" s="309"/>
    </row>
    <row r="21594">
      <c r="B21594" s="309"/>
      <c r="C21594" s="309"/>
      <c r="I21594" s="309"/>
      <c r="J21594" s="309"/>
    </row>
    <row r="21595">
      <c r="B21595" s="309"/>
      <c r="C21595" s="309"/>
      <c r="I21595" s="309"/>
      <c r="J21595" s="309"/>
    </row>
    <row r="21596">
      <c r="B21596" s="309"/>
      <c r="C21596" s="309"/>
      <c r="I21596" s="309"/>
      <c r="J21596" s="309"/>
    </row>
    <row r="21597">
      <c r="B21597" s="309"/>
      <c r="C21597" s="309"/>
      <c r="I21597" s="309"/>
      <c r="J21597" s="309"/>
    </row>
    <row r="21598">
      <c r="B21598" s="309"/>
      <c r="C21598" s="309"/>
      <c r="I21598" s="309"/>
      <c r="J21598" s="309"/>
    </row>
    <row r="21599">
      <c r="B21599" s="309"/>
      <c r="C21599" s="309"/>
      <c r="I21599" s="309"/>
      <c r="J21599" s="309"/>
    </row>
    <row r="21600">
      <c r="B21600" s="309"/>
      <c r="C21600" s="309"/>
      <c r="I21600" s="309"/>
      <c r="J21600" s="309"/>
    </row>
    <row r="21601">
      <c r="B21601" s="309"/>
      <c r="C21601" s="309"/>
      <c r="I21601" s="309"/>
      <c r="J21601" s="309"/>
    </row>
    <row r="21602">
      <c r="B21602" s="309"/>
      <c r="C21602" s="309"/>
      <c r="I21602" s="309"/>
      <c r="J21602" s="309"/>
    </row>
    <row r="21603">
      <c r="B21603" s="309"/>
      <c r="C21603" s="309"/>
      <c r="I21603" s="309"/>
      <c r="J21603" s="309"/>
    </row>
    <row r="21604">
      <c r="B21604" s="309"/>
      <c r="C21604" s="309"/>
      <c r="I21604" s="309"/>
      <c r="J21604" s="309"/>
    </row>
    <row r="21605">
      <c r="B21605" s="309"/>
      <c r="C21605" s="309"/>
      <c r="I21605" s="309"/>
      <c r="J21605" s="309"/>
    </row>
    <row r="21606">
      <c r="B21606" s="309"/>
      <c r="C21606" s="309"/>
      <c r="I21606" s="309"/>
      <c r="J21606" s="309"/>
    </row>
    <row r="21607">
      <c r="B21607" s="309"/>
      <c r="C21607" s="309"/>
      <c r="I21607" s="309"/>
      <c r="J21607" s="309"/>
    </row>
    <row r="21608">
      <c r="B21608" s="309"/>
      <c r="C21608" s="309"/>
      <c r="I21608" s="309"/>
      <c r="J21608" s="309"/>
    </row>
    <row r="21609">
      <c r="B21609" s="309"/>
      <c r="C21609" s="309"/>
      <c r="I21609" s="309"/>
      <c r="J21609" s="309"/>
    </row>
    <row r="21610">
      <c r="B21610" s="309"/>
      <c r="C21610" s="309"/>
      <c r="I21610" s="309"/>
      <c r="J21610" s="309"/>
    </row>
    <row r="21611">
      <c r="B21611" s="309"/>
      <c r="C21611" s="309"/>
      <c r="I21611" s="309"/>
      <c r="J21611" s="309"/>
    </row>
    <row r="21612">
      <c r="B21612" s="309"/>
      <c r="C21612" s="309"/>
      <c r="I21612" s="309"/>
      <c r="J21612" s="309"/>
    </row>
    <row r="21613">
      <c r="B21613" s="309"/>
      <c r="C21613" s="309"/>
      <c r="I21613" s="309"/>
      <c r="J21613" s="309"/>
    </row>
    <row r="21614">
      <c r="B21614" s="309"/>
      <c r="C21614" s="309"/>
      <c r="I21614" s="309"/>
      <c r="J21614" s="309"/>
    </row>
    <row r="21615">
      <c r="B21615" s="309"/>
      <c r="C21615" s="309"/>
      <c r="I21615" s="309"/>
      <c r="J21615" s="309"/>
    </row>
    <row r="21616">
      <c r="B21616" s="309"/>
      <c r="C21616" s="309"/>
      <c r="I21616" s="309"/>
      <c r="J21616" s="309"/>
    </row>
    <row r="21617">
      <c r="B21617" s="309"/>
      <c r="C21617" s="309"/>
      <c r="I21617" s="309"/>
      <c r="J21617" s="309"/>
    </row>
    <row r="21618">
      <c r="B21618" s="309"/>
      <c r="C21618" s="309"/>
      <c r="I21618" s="309"/>
      <c r="J21618" s="309"/>
    </row>
    <row r="21619">
      <c r="B21619" s="309"/>
      <c r="C21619" s="309"/>
      <c r="I21619" s="309"/>
      <c r="J21619" s="309"/>
    </row>
    <row r="21620">
      <c r="B21620" s="309"/>
      <c r="C21620" s="309"/>
      <c r="I21620" s="309"/>
      <c r="J21620" s="309"/>
    </row>
    <row r="21621">
      <c r="B21621" s="309"/>
      <c r="C21621" s="309"/>
      <c r="I21621" s="309"/>
      <c r="J21621" s="309"/>
    </row>
    <row r="21622">
      <c r="B21622" s="309"/>
      <c r="C21622" s="309"/>
      <c r="I21622" s="309"/>
      <c r="J21622" s="309"/>
    </row>
    <row r="21623">
      <c r="B21623" s="309"/>
      <c r="C21623" s="309"/>
      <c r="I21623" s="309"/>
      <c r="J21623" s="309"/>
    </row>
    <row r="21624">
      <c r="B21624" s="309"/>
      <c r="C21624" s="309"/>
      <c r="I21624" s="309"/>
      <c r="J21624" s="309"/>
    </row>
    <row r="21625">
      <c r="B21625" s="309"/>
      <c r="C21625" s="309"/>
      <c r="I21625" s="309"/>
      <c r="J21625" s="309"/>
    </row>
    <row r="21626">
      <c r="B21626" s="309"/>
      <c r="C21626" s="309"/>
      <c r="I21626" s="309"/>
      <c r="J21626" s="309"/>
    </row>
    <row r="21627">
      <c r="B21627" s="309"/>
      <c r="C21627" s="309"/>
      <c r="I21627" s="309"/>
      <c r="J21627" s="309"/>
    </row>
    <row r="21628">
      <c r="B21628" s="309"/>
      <c r="C21628" s="309"/>
      <c r="I21628" s="309"/>
      <c r="J21628" s="309"/>
    </row>
    <row r="21629">
      <c r="B21629" s="309"/>
      <c r="C21629" s="309"/>
      <c r="I21629" s="309"/>
      <c r="J21629" s="309"/>
    </row>
    <row r="21630">
      <c r="B21630" s="309"/>
      <c r="C21630" s="309"/>
      <c r="I21630" s="309"/>
      <c r="J21630" s="309"/>
    </row>
    <row r="21631">
      <c r="B21631" s="309"/>
      <c r="C21631" s="309"/>
      <c r="I21631" s="309"/>
      <c r="J21631" s="309"/>
    </row>
    <row r="21632">
      <c r="B21632" s="309"/>
      <c r="C21632" s="309"/>
      <c r="I21632" s="309"/>
      <c r="J21632" s="309"/>
    </row>
    <row r="21633">
      <c r="B21633" s="309"/>
      <c r="C21633" s="309"/>
      <c r="I21633" s="309"/>
      <c r="J21633" s="309"/>
    </row>
    <row r="21634">
      <c r="B21634" s="309"/>
      <c r="C21634" s="309"/>
      <c r="I21634" s="309"/>
      <c r="J21634" s="309"/>
    </row>
    <row r="21635">
      <c r="B21635" s="309"/>
      <c r="C21635" s="309"/>
      <c r="I21635" s="309"/>
      <c r="J21635" s="309"/>
    </row>
    <row r="21636">
      <c r="B21636" s="309"/>
      <c r="C21636" s="309"/>
      <c r="I21636" s="309"/>
      <c r="J21636" s="309"/>
    </row>
    <row r="21637">
      <c r="B21637" s="309"/>
      <c r="C21637" s="309"/>
      <c r="I21637" s="309"/>
      <c r="J21637" s="309"/>
    </row>
    <row r="21638">
      <c r="B21638" s="309"/>
      <c r="C21638" s="309"/>
      <c r="I21638" s="309"/>
      <c r="J21638" s="309"/>
    </row>
    <row r="21639">
      <c r="B21639" s="309"/>
      <c r="C21639" s="309"/>
      <c r="I21639" s="309"/>
      <c r="J21639" s="309"/>
    </row>
    <row r="21640">
      <c r="B21640" s="309"/>
      <c r="C21640" s="309"/>
      <c r="I21640" s="309"/>
      <c r="J21640" s="309"/>
    </row>
    <row r="21641">
      <c r="B21641" s="309"/>
      <c r="C21641" s="309"/>
      <c r="I21641" s="309"/>
      <c r="J21641" s="309"/>
    </row>
    <row r="21642">
      <c r="B21642" s="309"/>
      <c r="C21642" s="309"/>
      <c r="I21642" s="309"/>
      <c r="J21642" s="309"/>
    </row>
    <row r="21643">
      <c r="B21643" s="309"/>
      <c r="C21643" s="309"/>
      <c r="I21643" s="309"/>
      <c r="J21643" s="309"/>
    </row>
    <row r="21644">
      <c r="B21644" s="309"/>
      <c r="C21644" s="309"/>
      <c r="I21644" s="309"/>
      <c r="J21644" s="309"/>
    </row>
    <row r="21645">
      <c r="B21645" s="309"/>
      <c r="C21645" s="309"/>
      <c r="I21645" s="309"/>
      <c r="J21645" s="309"/>
    </row>
    <row r="21646">
      <c r="B21646" s="309"/>
      <c r="C21646" s="309"/>
      <c r="I21646" s="309"/>
      <c r="J21646" s="309"/>
    </row>
    <row r="21647">
      <c r="B21647" s="309"/>
      <c r="C21647" s="309"/>
      <c r="I21647" s="309"/>
      <c r="J21647" s="309"/>
    </row>
    <row r="21648">
      <c r="B21648" s="309"/>
      <c r="C21648" s="309"/>
      <c r="I21648" s="309"/>
      <c r="J21648" s="309"/>
    </row>
    <row r="21649">
      <c r="B21649" s="309"/>
      <c r="C21649" s="309"/>
      <c r="I21649" s="309"/>
      <c r="J21649" s="309"/>
    </row>
    <row r="21650">
      <c r="B21650" s="309"/>
      <c r="C21650" s="309"/>
      <c r="I21650" s="309"/>
      <c r="J21650" s="309"/>
    </row>
    <row r="21651">
      <c r="B21651" s="309"/>
      <c r="C21651" s="309"/>
      <c r="I21651" s="309"/>
      <c r="J21651" s="309"/>
    </row>
    <row r="21652">
      <c r="B21652" s="309"/>
      <c r="C21652" s="309"/>
      <c r="I21652" s="309"/>
      <c r="J21652" s="309"/>
    </row>
    <row r="21653">
      <c r="B21653" s="309"/>
      <c r="C21653" s="309"/>
      <c r="I21653" s="309"/>
      <c r="J21653" s="309"/>
    </row>
    <row r="21654">
      <c r="B21654" s="309"/>
      <c r="C21654" s="309"/>
      <c r="I21654" s="309"/>
      <c r="J21654" s="309"/>
    </row>
    <row r="21655">
      <c r="B21655" s="309"/>
      <c r="C21655" s="309"/>
      <c r="I21655" s="309"/>
      <c r="J21655" s="309"/>
    </row>
    <row r="21656">
      <c r="B21656" s="309"/>
      <c r="C21656" s="309"/>
      <c r="I21656" s="309"/>
      <c r="J21656" s="309"/>
    </row>
    <row r="21657">
      <c r="B21657" s="309"/>
      <c r="C21657" s="309"/>
      <c r="I21657" s="309"/>
      <c r="J21657" s="309"/>
    </row>
    <row r="21658">
      <c r="B21658" s="309"/>
      <c r="C21658" s="309"/>
      <c r="I21658" s="309"/>
      <c r="J21658" s="309"/>
    </row>
    <row r="21659">
      <c r="B21659" s="309"/>
      <c r="C21659" s="309"/>
      <c r="I21659" s="309"/>
      <c r="J21659" s="309"/>
    </row>
    <row r="21660">
      <c r="B21660" s="309"/>
      <c r="C21660" s="309"/>
      <c r="I21660" s="309"/>
      <c r="J21660" s="309"/>
    </row>
    <row r="21661">
      <c r="B21661" s="309"/>
      <c r="C21661" s="309"/>
      <c r="I21661" s="309"/>
      <c r="J21661" s="309"/>
    </row>
    <row r="21662">
      <c r="B21662" s="309"/>
      <c r="C21662" s="309"/>
      <c r="I21662" s="309"/>
      <c r="J21662" s="309"/>
    </row>
    <row r="21663">
      <c r="B21663" s="309"/>
      <c r="C21663" s="309"/>
      <c r="I21663" s="309"/>
      <c r="J21663" s="309"/>
    </row>
    <row r="21664">
      <c r="B21664" s="309"/>
      <c r="C21664" s="309"/>
      <c r="I21664" s="309"/>
      <c r="J21664" s="309"/>
    </row>
    <row r="21665">
      <c r="B21665" s="309"/>
      <c r="C21665" s="309"/>
      <c r="I21665" s="309"/>
      <c r="J21665" s="309"/>
    </row>
    <row r="21666">
      <c r="B21666" s="309"/>
      <c r="C21666" s="309"/>
      <c r="I21666" s="309"/>
      <c r="J21666" s="309"/>
    </row>
    <row r="21667">
      <c r="B21667" s="309"/>
      <c r="C21667" s="309"/>
      <c r="I21667" s="309"/>
      <c r="J21667" s="309"/>
    </row>
    <row r="21668">
      <c r="B21668" s="309"/>
      <c r="C21668" s="309"/>
      <c r="I21668" s="309"/>
      <c r="J21668" s="309"/>
    </row>
    <row r="21669">
      <c r="B21669" s="309"/>
      <c r="C21669" s="309"/>
      <c r="I21669" s="309"/>
      <c r="J21669" s="309"/>
    </row>
    <row r="21670">
      <c r="B21670" s="309"/>
      <c r="C21670" s="309"/>
      <c r="I21670" s="309"/>
      <c r="J21670" s="309"/>
    </row>
    <row r="21671">
      <c r="B21671" s="309"/>
      <c r="C21671" s="309"/>
      <c r="I21671" s="309"/>
      <c r="J21671" s="309"/>
    </row>
    <row r="21672">
      <c r="B21672" s="309"/>
      <c r="C21672" s="309"/>
      <c r="I21672" s="309"/>
      <c r="J21672" s="309"/>
    </row>
    <row r="21673">
      <c r="B21673" s="309"/>
      <c r="C21673" s="309"/>
      <c r="I21673" s="309"/>
      <c r="J21673" s="309"/>
    </row>
    <row r="21674">
      <c r="B21674" s="309"/>
      <c r="C21674" s="309"/>
      <c r="I21674" s="309"/>
      <c r="J21674" s="309"/>
    </row>
    <row r="21675">
      <c r="B21675" s="309"/>
      <c r="C21675" s="309"/>
      <c r="I21675" s="309"/>
      <c r="J21675" s="309"/>
    </row>
    <row r="21676">
      <c r="B21676" s="309"/>
      <c r="C21676" s="309"/>
      <c r="I21676" s="309"/>
      <c r="J21676" s="309"/>
    </row>
    <row r="21677">
      <c r="B21677" s="309"/>
      <c r="C21677" s="309"/>
      <c r="I21677" s="309"/>
      <c r="J21677" s="309"/>
    </row>
    <row r="21678">
      <c r="B21678" s="309"/>
      <c r="C21678" s="309"/>
      <c r="I21678" s="309"/>
      <c r="J21678" s="309"/>
    </row>
    <row r="21679">
      <c r="B21679" s="309"/>
      <c r="C21679" s="309"/>
      <c r="I21679" s="309"/>
      <c r="J21679" s="309"/>
    </row>
    <row r="21680">
      <c r="B21680" s="309"/>
      <c r="C21680" s="309"/>
      <c r="I21680" s="309"/>
      <c r="J21680" s="309"/>
    </row>
    <row r="21681">
      <c r="B21681" s="309"/>
      <c r="C21681" s="309"/>
      <c r="I21681" s="309"/>
      <c r="J21681" s="309"/>
    </row>
    <row r="21682">
      <c r="B21682" s="309"/>
      <c r="C21682" s="309"/>
      <c r="I21682" s="309"/>
      <c r="J21682" s="309"/>
    </row>
    <row r="21683">
      <c r="B21683" s="309"/>
      <c r="C21683" s="309"/>
      <c r="I21683" s="309"/>
      <c r="J21683" s="309"/>
    </row>
    <row r="21684">
      <c r="B21684" s="309"/>
      <c r="C21684" s="309"/>
      <c r="I21684" s="309"/>
      <c r="J21684" s="309"/>
    </row>
    <row r="21685">
      <c r="B21685" s="309"/>
      <c r="C21685" s="309"/>
      <c r="I21685" s="309"/>
      <c r="J21685" s="309"/>
    </row>
    <row r="21686">
      <c r="B21686" s="309"/>
      <c r="C21686" s="309"/>
      <c r="I21686" s="309"/>
      <c r="J21686" s="309"/>
    </row>
    <row r="21687">
      <c r="B21687" s="309"/>
      <c r="C21687" s="309"/>
      <c r="I21687" s="309"/>
      <c r="J21687" s="309"/>
    </row>
    <row r="21688">
      <c r="B21688" s="309"/>
      <c r="C21688" s="309"/>
      <c r="I21688" s="309"/>
      <c r="J21688" s="309"/>
    </row>
    <row r="21689">
      <c r="B21689" s="309"/>
      <c r="C21689" s="309"/>
      <c r="I21689" s="309"/>
      <c r="J21689" s="309"/>
    </row>
    <row r="21690">
      <c r="B21690" s="309"/>
      <c r="C21690" s="309"/>
      <c r="I21690" s="309"/>
      <c r="J21690" s="309"/>
    </row>
    <row r="21691">
      <c r="B21691" s="309"/>
      <c r="C21691" s="309"/>
      <c r="I21691" s="309"/>
      <c r="J21691" s="309"/>
    </row>
    <row r="21692">
      <c r="B21692" s="309"/>
      <c r="C21692" s="309"/>
      <c r="I21692" s="309"/>
      <c r="J21692" s="309"/>
    </row>
    <row r="21693">
      <c r="B21693" s="309"/>
      <c r="C21693" s="309"/>
      <c r="I21693" s="309"/>
      <c r="J21693" s="309"/>
    </row>
    <row r="21694">
      <c r="B21694" s="309"/>
      <c r="C21694" s="309"/>
      <c r="I21694" s="309"/>
      <c r="J21694" s="309"/>
    </row>
    <row r="21695">
      <c r="B21695" s="309"/>
      <c r="C21695" s="309"/>
      <c r="I21695" s="309"/>
      <c r="J21695" s="309"/>
    </row>
    <row r="21696">
      <c r="B21696" s="309"/>
      <c r="C21696" s="309"/>
      <c r="I21696" s="309"/>
      <c r="J21696" s="309"/>
    </row>
    <row r="21697">
      <c r="B21697" s="309"/>
      <c r="C21697" s="309"/>
      <c r="I21697" s="309"/>
      <c r="J21697" s="309"/>
    </row>
    <row r="21698">
      <c r="B21698" s="309"/>
      <c r="C21698" s="309"/>
      <c r="I21698" s="309"/>
      <c r="J21698" s="309"/>
    </row>
    <row r="21699">
      <c r="B21699" s="309"/>
      <c r="C21699" s="309"/>
      <c r="I21699" s="309"/>
      <c r="J21699" s="309"/>
    </row>
    <row r="21700">
      <c r="B21700" s="309"/>
      <c r="C21700" s="309"/>
      <c r="I21700" s="309"/>
      <c r="J21700" s="309"/>
    </row>
    <row r="21701">
      <c r="B21701" s="309"/>
      <c r="C21701" s="309"/>
      <c r="I21701" s="309"/>
      <c r="J21701" s="309"/>
    </row>
    <row r="21702">
      <c r="B21702" s="309"/>
      <c r="C21702" s="309"/>
      <c r="I21702" s="309"/>
      <c r="J21702" s="309"/>
    </row>
    <row r="21703">
      <c r="B21703" s="309"/>
      <c r="C21703" s="309"/>
      <c r="I21703" s="309"/>
      <c r="J21703" s="309"/>
    </row>
    <row r="21704">
      <c r="B21704" s="309"/>
      <c r="C21704" s="309"/>
      <c r="I21704" s="309"/>
      <c r="J21704" s="309"/>
    </row>
    <row r="21705">
      <c r="B21705" s="309"/>
      <c r="C21705" s="309"/>
      <c r="I21705" s="309"/>
      <c r="J21705" s="309"/>
    </row>
    <row r="21706">
      <c r="B21706" s="309"/>
      <c r="C21706" s="309"/>
      <c r="I21706" s="309"/>
      <c r="J21706" s="309"/>
    </row>
    <row r="21707">
      <c r="B21707" s="309"/>
      <c r="C21707" s="309"/>
      <c r="I21707" s="309"/>
      <c r="J21707" s="309"/>
    </row>
    <row r="21708">
      <c r="B21708" s="309"/>
      <c r="C21708" s="309"/>
      <c r="I21708" s="309"/>
      <c r="J21708" s="309"/>
    </row>
    <row r="21709">
      <c r="B21709" s="309"/>
      <c r="C21709" s="309"/>
      <c r="I21709" s="309"/>
      <c r="J21709" s="309"/>
    </row>
    <row r="21710">
      <c r="B21710" s="309"/>
      <c r="C21710" s="309"/>
      <c r="I21710" s="309"/>
      <c r="J21710" s="309"/>
    </row>
    <row r="21711">
      <c r="B21711" s="309"/>
      <c r="C21711" s="309"/>
      <c r="I21711" s="309"/>
      <c r="J21711" s="309"/>
    </row>
    <row r="21712">
      <c r="B21712" s="309"/>
      <c r="C21712" s="309"/>
      <c r="I21712" s="309"/>
      <c r="J21712" s="309"/>
    </row>
    <row r="21713">
      <c r="B21713" s="309"/>
      <c r="C21713" s="309"/>
      <c r="I21713" s="309"/>
      <c r="J21713" s="309"/>
    </row>
    <row r="21714">
      <c r="B21714" s="309"/>
      <c r="C21714" s="309"/>
      <c r="I21714" s="309"/>
      <c r="J21714" s="309"/>
    </row>
    <row r="21715">
      <c r="B21715" s="309"/>
      <c r="C21715" s="309"/>
      <c r="I21715" s="309"/>
      <c r="J21715" s="309"/>
    </row>
    <row r="21716">
      <c r="B21716" s="309"/>
      <c r="C21716" s="309"/>
      <c r="I21716" s="309"/>
      <c r="J21716" s="309"/>
    </row>
    <row r="21717">
      <c r="B21717" s="309"/>
      <c r="C21717" s="309"/>
      <c r="I21717" s="309"/>
      <c r="J21717" s="309"/>
    </row>
    <row r="21718">
      <c r="B21718" s="309"/>
      <c r="C21718" s="309"/>
      <c r="I21718" s="309"/>
      <c r="J21718" s="309"/>
    </row>
    <row r="21719">
      <c r="B21719" s="309"/>
      <c r="C21719" s="309"/>
      <c r="I21719" s="309"/>
      <c r="J21719" s="309"/>
    </row>
    <row r="21720">
      <c r="B21720" s="309"/>
      <c r="C21720" s="309"/>
      <c r="I21720" s="309"/>
      <c r="J21720" s="309"/>
    </row>
    <row r="21721">
      <c r="B21721" s="309"/>
      <c r="C21721" s="309"/>
      <c r="I21721" s="309"/>
      <c r="J21721" s="309"/>
    </row>
    <row r="21722">
      <c r="B21722" s="309"/>
      <c r="C21722" s="309"/>
      <c r="I21722" s="309"/>
      <c r="J21722" s="309"/>
    </row>
    <row r="21723">
      <c r="B21723" s="309"/>
      <c r="C21723" s="309"/>
      <c r="I21723" s="309"/>
      <c r="J21723" s="309"/>
    </row>
    <row r="21724">
      <c r="B21724" s="309"/>
      <c r="C21724" s="309"/>
      <c r="I21724" s="309"/>
      <c r="J21724" s="309"/>
    </row>
    <row r="21725">
      <c r="B21725" s="309"/>
      <c r="C21725" s="309"/>
      <c r="I21725" s="309"/>
      <c r="J21725" s="309"/>
    </row>
    <row r="21726">
      <c r="B21726" s="309"/>
      <c r="C21726" s="309"/>
      <c r="I21726" s="309"/>
      <c r="J21726" s="309"/>
    </row>
    <row r="21727">
      <c r="B21727" s="309"/>
      <c r="C21727" s="309"/>
      <c r="I21727" s="309"/>
      <c r="J21727" s="309"/>
    </row>
    <row r="21728">
      <c r="B21728" s="309"/>
      <c r="C21728" s="309"/>
      <c r="I21728" s="309"/>
      <c r="J21728" s="309"/>
    </row>
    <row r="21729">
      <c r="B21729" s="309"/>
      <c r="C21729" s="309"/>
      <c r="I21729" s="309"/>
      <c r="J21729" s="309"/>
    </row>
    <row r="21730">
      <c r="B21730" s="309"/>
      <c r="C21730" s="309"/>
      <c r="I21730" s="309"/>
      <c r="J21730" s="309"/>
    </row>
    <row r="21731">
      <c r="B21731" s="309"/>
      <c r="C21731" s="309"/>
      <c r="I21731" s="309"/>
      <c r="J21731" s="309"/>
    </row>
    <row r="21732">
      <c r="B21732" s="309"/>
      <c r="C21732" s="309"/>
      <c r="I21732" s="309"/>
      <c r="J21732" s="309"/>
    </row>
    <row r="21733">
      <c r="B21733" s="309"/>
      <c r="C21733" s="309"/>
      <c r="I21733" s="309"/>
      <c r="J21733" s="309"/>
    </row>
    <row r="21734">
      <c r="B21734" s="309"/>
      <c r="C21734" s="309"/>
      <c r="I21734" s="309"/>
      <c r="J21734" s="309"/>
    </row>
    <row r="21735">
      <c r="B21735" s="309"/>
      <c r="C21735" s="309"/>
      <c r="I21735" s="309"/>
      <c r="J21735" s="309"/>
    </row>
    <row r="21736">
      <c r="B21736" s="309"/>
      <c r="C21736" s="309"/>
      <c r="I21736" s="309"/>
      <c r="J21736" s="309"/>
    </row>
    <row r="21737">
      <c r="B21737" s="309"/>
      <c r="C21737" s="309"/>
      <c r="I21737" s="309"/>
      <c r="J21737" s="309"/>
    </row>
    <row r="21738">
      <c r="B21738" s="309"/>
      <c r="C21738" s="309"/>
      <c r="I21738" s="309"/>
      <c r="J21738" s="309"/>
    </row>
    <row r="21739">
      <c r="B21739" s="309"/>
      <c r="C21739" s="309"/>
      <c r="I21739" s="309"/>
      <c r="J21739" s="309"/>
    </row>
    <row r="21740">
      <c r="B21740" s="309"/>
      <c r="C21740" s="309"/>
      <c r="I21740" s="309"/>
      <c r="J21740" s="309"/>
    </row>
    <row r="21741">
      <c r="B21741" s="309"/>
      <c r="C21741" s="309"/>
      <c r="I21741" s="309"/>
      <c r="J21741" s="309"/>
    </row>
    <row r="21742">
      <c r="B21742" s="309"/>
      <c r="C21742" s="309"/>
      <c r="I21742" s="309"/>
      <c r="J21742" s="309"/>
    </row>
    <row r="21743">
      <c r="B21743" s="309"/>
      <c r="C21743" s="309"/>
      <c r="I21743" s="309"/>
      <c r="J21743" s="309"/>
    </row>
    <row r="21744">
      <c r="B21744" s="309"/>
      <c r="C21744" s="309"/>
      <c r="I21744" s="309"/>
      <c r="J21744" s="309"/>
    </row>
    <row r="21745">
      <c r="B21745" s="309"/>
      <c r="C21745" s="309"/>
      <c r="I21745" s="309"/>
      <c r="J21745" s="309"/>
    </row>
    <row r="21746">
      <c r="B21746" s="309"/>
      <c r="C21746" s="309"/>
      <c r="I21746" s="309"/>
      <c r="J21746" s="309"/>
    </row>
    <row r="21747">
      <c r="B21747" s="309"/>
      <c r="C21747" s="309"/>
      <c r="I21747" s="309"/>
      <c r="J21747" s="309"/>
    </row>
    <row r="21748">
      <c r="B21748" s="309"/>
      <c r="C21748" s="309"/>
      <c r="I21748" s="309"/>
      <c r="J21748" s="309"/>
    </row>
    <row r="21749">
      <c r="B21749" s="309"/>
      <c r="C21749" s="309"/>
      <c r="I21749" s="309"/>
      <c r="J21749" s="309"/>
    </row>
    <row r="21750">
      <c r="B21750" s="309"/>
      <c r="C21750" s="309"/>
      <c r="I21750" s="309"/>
      <c r="J21750" s="309"/>
    </row>
    <row r="21751">
      <c r="B21751" s="309"/>
      <c r="C21751" s="309"/>
      <c r="I21751" s="309"/>
      <c r="J21751" s="309"/>
    </row>
    <row r="21752">
      <c r="B21752" s="309"/>
      <c r="C21752" s="309"/>
      <c r="I21752" s="309"/>
      <c r="J21752" s="309"/>
    </row>
    <row r="21753">
      <c r="B21753" s="309"/>
      <c r="C21753" s="309"/>
      <c r="I21753" s="309"/>
      <c r="J21753" s="309"/>
    </row>
    <row r="21754">
      <c r="B21754" s="309"/>
      <c r="C21754" s="309"/>
      <c r="I21754" s="309"/>
      <c r="J21754" s="309"/>
    </row>
    <row r="21755">
      <c r="B21755" s="309"/>
      <c r="C21755" s="309"/>
      <c r="I21755" s="309"/>
      <c r="J21755" s="309"/>
    </row>
    <row r="21756">
      <c r="B21756" s="309"/>
      <c r="C21756" s="309"/>
      <c r="I21756" s="309"/>
      <c r="J21756" s="309"/>
    </row>
    <row r="21757">
      <c r="B21757" s="309"/>
      <c r="C21757" s="309"/>
      <c r="I21757" s="309"/>
      <c r="J21757" s="309"/>
    </row>
    <row r="21758">
      <c r="B21758" s="309"/>
      <c r="C21758" s="309"/>
      <c r="I21758" s="309"/>
      <c r="J21758" s="309"/>
    </row>
    <row r="21759">
      <c r="B21759" s="309"/>
      <c r="C21759" s="309"/>
      <c r="I21759" s="309"/>
      <c r="J21759" s="309"/>
    </row>
    <row r="21760">
      <c r="B21760" s="309"/>
      <c r="C21760" s="309"/>
      <c r="I21760" s="309"/>
      <c r="J21760" s="309"/>
    </row>
    <row r="21761">
      <c r="B21761" s="309"/>
      <c r="C21761" s="309"/>
      <c r="I21761" s="309"/>
      <c r="J21761" s="309"/>
    </row>
    <row r="21762">
      <c r="B21762" s="309"/>
      <c r="C21762" s="309"/>
      <c r="I21762" s="309"/>
      <c r="J21762" s="309"/>
    </row>
    <row r="21763">
      <c r="B21763" s="309"/>
      <c r="C21763" s="309"/>
      <c r="I21763" s="309"/>
      <c r="J21763" s="309"/>
    </row>
    <row r="21764">
      <c r="B21764" s="309"/>
      <c r="C21764" s="309"/>
      <c r="I21764" s="309"/>
      <c r="J21764" s="309"/>
    </row>
    <row r="21765">
      <c r="B21765" s="309"/>
      <c r="C21765" s="309"/>
      <c r="I21765" s="309"/>
      <c r="J21765" s="309"/>
    </row>
    <row r="21766">
      <c r="B21766" s="309"/>
      <c r="C21766" s="309"/>
      <c r="I21766" s="309"/>
      <c r="J21766" s="309"/>
    </row>
    <row r="21767">
      <c r="B21767" s="309"/>
      <c r="C21767" s="309"/>
      <c r="I21767" s="309"/>
      <c r="J21767" s="309"/>
    </row>
    <row r="21768">
      <c r="B21768" s="309"/>
      <c r="C21768" s="309"/>
      <c r="I21768" s="309"/>
      <c r="J21768" s="309"/>
    </row>
    <row r="21769">
      <c r="B21769" s="309"/>
      <c r="C21769" s="309"/>
      <c r="I21769" s="309"/>
      <c r="J21769" s="309"/>
    </row>
    <row r="21770">
      <c r="B21770" s="309"/>
      <c r="C21770" s="309"/>
      <c r="I21770" s="309"/>
      <c r="J21770" s="309"/>
    </row>
    <row r="21771">
      <c r="B21771" s="309"/>
      <c r="C21771" s="309"/>
      <c r="I21771" s="309"/>
      <c r="J21771" s="309"/>
    </row>
    <row r="21772">
      <c r="B21772" s="309"/>
      <c r="C21772" s="309"/>
      <c r="I21772" s="309"/>
      <c r="J21772" s="309"/>
    </row>
    <row r="21773">
      <c r="B21773" s="309"/>
      <c r="C21773" s="309"/>
      <c r="I21773" s="309"/>
      <c r="J21773" s="309"/>
    </row>
    <row r="21774">
      <c r="B21774" s="309"/>
      <c r="C21774" s="309"/>
      <c r="I21774" s="309"/>
      <c r="J21774" s="309"/>
    </row>
    <row r="21775">
      <c r="B21775" s="309"/>
      <c r="C21775" s="309"/>
      <c r="I21775" s="309"/>
      <c r="J21775" s="309"/>
    </row>
    <row r="21776">
      <c r="B21776" s="309"/>
      <c r="C21776" s="309"/>
      <c r="I21776" s="309"/>
      <c r="J21776" s="309"/>
    </row>
    <row r="21777">
      <c r="B21777" s="309"/>
      <c r="C21777" s="309"/>
      <c r="I21777" s="309"/>
      <c r="J21777" s="309"/>
    </row>
    <row r="21778">
      <c r="B21778" s="309"/>
      <c r="C21778" s="309"/>
      <c r="I21778" s="309"/>
      <c r="J21778" s="309"/>
    </row>
    <row r="21779">
      <c r="B21779" s="309"/>
      <c r="C21779" s="309"/>
      <c r="I21779" s="309"/>
      <c r="J21779" s="309"/>
    </row>
    <row r="21780">
      <c r="B21780" s="309"/>
      <c r="C21780" s="309"/>
      <c r="I21780" s="309"/>
      <c r="J21780" s="309"/>
    </row>
    <row r="21781">
      <c r="B21781" s="309"/>
      <c r="C21781" s="309"/>
      <c r="I21781" s="309"/>
      <c r="J21781" s="309"/>
    </row>
    <row r="21782">
      <c r="B21782" s="309"/>
      <c r="C21782" s="309"/>
      <c r="I21782" s="309"/>
      <c r="J21782" s="309"/>
    </row>
    <row r="21783">
      <c r="B21783" s="309"/>
      <c r="C21783" s="309"/>
      <c r="I21783" s="309"/>
      <c r="J21783" s="309"/>
    </row>
    <row r="21784">
      <c r="B21784" s="309"/>
      <c r="C21784" s="309"/>
      <c r="I21784" s="309"/>
      <c r="J21784" s="309"/>
    </row>
    <row r="21785">
      <c r="B21785" s="309"/>
      <c r="C21785" s="309"/>
      <c r="I21785" s="309"/>
      <c r="J21785" s="309"/>
    </row>
    <row r="21786">
      <c r="B21786" s="309"/>
      <c r="C21786" s="309"/>
      <c r="I21786" s="309"/>
      <c r="J21786" s="309"/>
    </row>
    <row r="21787">
      <c r="B21787" s="309"/>
      <c r="C21787" s="309"/>
      <c r="I21787" s="309"/>
      <c r="J21787" s="309"/>
    </row>
    <row r="21788">
      <c r="B21788" s="309"/>
      <c r="C21788" s="309"/>
      <c r="I21788" s="309"/>
      <c r="J21788" s="309"/>
    </row>
    <row r="21789">
      <c r="B21789" s="309"/>
      <c r="C21789" s="309"/>
      <c r="I21789" s="309"/>
      <c r="J21789" s="309"/>
    </row>
    <row r="21790">
      <c r="B21790" s="309"/>
      <c r="C21790" s="309"/>
      <c r="I21790" s="309"/>
      <c r="J21790" s="309"/>
    </row>
    <row r="21791">
      <c r="B21791" s="309"/>
      <c r="C21791" s="309"/>
      <c r="I21791" s="309"/>
      <c r="J21791" s="309"/>
    </row>
    <row r="21792">
      <c r="B21792" s="309"/>
      <c r="C21792" s="309"/>
      <c r="I21792" s="309"/>
      <c r="J21792" s="309"/>
    </row>
    <row r="21793">
      <c r="B21793" s="309"/>
      <c r="C21793" s="309"/>
      <c r="I21793" s="309"/>
      <c r="J21793" s="309"/>
    </row>
    <row r="21794">
      <c r="B21794" s="309"/>
      <c r="C21794" s="309"/>
      <c r="I21794" s="309"/>
      <c r="J21794" s="309"/>
    </row>
    <row r="21795">
      <c r="B21795" s="309"/>
      <c r="C21795" s="309"/>
      <c r="I21795" s="309"/>
      <c r="J21795" s="309"/>
    </row>
    <row r="21796">
      <c r="B21796" s="309"/>
      <c r="C21796" s="309"/>
      <c r="I21796" s="309"/>
      <c r="J21796" s="309"/>
    </row>
    <row r="21797">
      <c r="B21797" s="309"/>
      <c r="C21797" s="309"/>
      <c r="I21797" s="309"/>
      <c r="J21797" s="309"/>
    </row>
    <row r="21798">
      <c r="B21798" s="309"/>
      <c r="C21798" s="309"/>
      <c r="I21798" s="309"/>
      <c r="J21798" s="309"/>
    </row>
    <row r="21799">
      <c r="B21799" s="309"/>
      <c r="C21799" s="309"/>
      <c r="I21799" s="309"/>
      <c r="J21799" s="309"/>
    </row>
    <row r="21800">
      <c r="B21800" s="309"/>
      <c r="C21800" s="309"/>
      <c r="I21800" s="309"/>
      <c r="J21800" s="309"/>
    </row>
    <row r="21801">
      <c r="B21801" s="309"/>
      <c r="C21801" s="309"/>
      <c r="I21801" s="309"/>
      <c r="J21801" s="309"/>
    </row>
    <row r="21802">
      <c r="B21802" s="309"/>
      <c r="C21802" s="309"/>
      <c r="I21802" s="309"/>
      <c r="J21802" s="309"/>
    </row>
    <row r="21803">
      <c r="B21803" s="309"/>
      <c r="C21803" s="309"/>
      <c r="I21803" s="309"/>
      <c r="J21803" s="309"/>
    </row>
    <row r="21804">
      <c r="B21804" s="309"/>
      <c r="C21804" s="309"/>
      <c r="I21804" s="309"/>
      <c r="J21804" s="309"/>
    </row>
    <row r="21805">
      <c r="B21805" s="309"/>
      <c r="C21805" s="309"/>
      <c r="I21805" s="309"/>
      <c r="J21805" s="309"/>
    </row>
    <row r="21806">
      <c r="B21806" s="309"/>
      <c r="C21806" s="309"/>
      <c r="I21806" s="309"/>
      <c r="J21806" s="309"/>
    </row>
    <row r="21807">
      <c r="B21807" s="309"/>
      <c r="C21807" s="309"/>
      <c r="I21807" s="309"/>
      <c r="J21807" s="309"/>
    </row>
    <row r="21808">
      <c r="B21808" s="309"/>
      <c r="C21808" s="309"/>
      <c r="I21808" s="309"/>
      <c r="J21808" s="309"/>
    </row>
    <row r="21809">
      <c r="B21809" s="309"/>
      <c r="C21809" s="309"/>
      <c r="I21809" s="309"/>
      <c r="J21809" s="309"/>
    </row>
    <row r="21810">
      <c r="B21810" s="309"/>
      <c r="C21810" s="309"/>
      <c r="I21810" s="309"/>
      <c r="J21810" s="309"/>
    </row>
    <row r="21811">
      <c r="B21811" s="309"/>
      <c r="C21811" s="309"/>
      <c r="I21811" s="309"/>
      <c r="J21811" s="309"/>
    </row>
    <row r="21812">
      <c r="B21812" s="309"/>
      <c r="C21812" s="309"/>
      <c r="I21812" s="309"/>
      <c r="J21812" s="309"/>
    </row>
    <row r="21813">
      <c r="B21813" s="309"/>
      <c r="C21813" s="309"/>
      <c r="I21813" s="309"/>
      <c r="J21813" s="309"/>
    </row>
    <row r="21814">
      <c r="B21814" s="309"/>
      <c r="C21814" s="309"/>
      <c r="I21814" s="309"/>
      <c r="J21814" s="309"/>
    </row>
    <row r="21815">
      <c r="B21815" s="309"/>
      <c r="C21815" s="309"/>
      <c r="I21815" s="309"/>
      <c r="J21815" s="309"/>
    </row>
    <row r="21816">
      <c r="B21816" s="309"/>
      <c r="C21816" s="309"/>
      <c r="I21816" s="309"/>
      <c r="J21816" s="309"/>
    </row>
    <row r="21817">
      <c r="B21817" s="309"/>
      <c r="C21817" s="309"/>
      <c r="I21817" s="309"/>
      <c r="J21817" s="309"/>
    </row>
    <row r="21818">
      <c r="B21818" s="309"/>
      <c r="C21818" s="309"/>
      <c r="I21818" s="309"/>
      <c r="J21818" s="309"/>
    </row>
    <row r="21819">
      <c r="B21819" s="309"/>
      <c r="C21819" s="309"/>
      <c r="I21819" s="309"/>
      <c r="J21819" s="309"/>
    </row>
    <row r="21820">
      <c r="B21820" s="309"/>
      <c r="C21820" s="309"/>
      <c r="I21820" s="309"/>
      <c r="J21820" s="309"/>
    </row>
    <row r="21821">
      <c r="B21821" s="309"/>
      <c r="C21821" s="309"/>
      <c r="I21821" s="309"/>
      <c r="J21821" s="309"/>
    </row>
    <row r="21822">
      <c r="B21822" s="309"/>
      <c r="C21822" s="309"/>
      <c r="I21822" s="309"/>
      <c r="J21822" s="309"/>
    </row>
    <row r="21823">
      <c r="B21823" s="309"/>
      <c r="C21823" s="309"/>
      <c r="I21823" s="309"/>
      <c r="J21823" s="309"/>
    </row>
    <row r="21824">
      <c r="B21824" s="309"/>
      <c r="C21824" s="309"/>
      <c r="I21824" s="309"/>
      <c r="J21824" s="309"/>
    </row>
    <row r="21825">
      <c r="B21825" s="309"/>
      <c r="C21825" s="309"/>
      <c r="I21825" s="309"/>
      <c r="J21825" s="309"/>
    </row>
    <row r="21826">
      <c r="B21826" s="309"/>
      <c r="C21826" s="309"/>
      <c r="I21826" s="309"/>
      <c r="J21826" s="309"/>
    </row>
    <row r="21827">
      <c r="B21827" s="309"/>
      <c r="C21827" s="309"/>
      <c r="I21827" s="309"/>
      <c r="J21827" s="309"/>
    </row>
    <row r="21828">
      <c r="B21828" s="309"/>
      <c r="C21828" s="309"/>
      <c r="I21828" s="309"/>
      <c r="J21828" s="309"/>
    </row>
    <row r="21829">
      <c r="B21829" s="309"/>
      <c r="C21829" s="309"/>
      <c r="I21829" s="309"/>
      <c r="J21829" s="309"/>
    </row>
    <row r="21830">
      <c r="B21830" s="309"/>
      <c r="C21830" s="309"/>
      <c r="I21830" s="309"/>
      <c r="J21830" s="309"/>
    </row>
    <row r="21831">
      <c r="B21831" s="309"/>
      <c r="C21831" s="309"/>
      <c r="I21831" s="309"/>
      <c r="J21831" s="309"/>
    </row>
    <row r="21832">
      <c r="B21832" s="309"/>
      <c r="C21832" s="309"/>
      <c r="I21832" s="309"/>
      <c r="J21832" s="309"/>
    </row>
    <row r="21833">
      <c r="B21833" s="309"/>
      <c r="C21833" s="309"/>
      <c r="I21833" s="309"/>
      <c r="J21833" s="309"/>
    </row>
    <row r="21834">
      <c r="B21834" s="309"/>
      <c r="C21834" s="309"/>
      <c r="I21834" s="309"/>
      <c r="J21834" s="309"/>
    </row>
    <row r="21835">
      <c r="B21835" s="309"/>
      <c r="C21835" s="309"/>
      <c r="I21835" s="309"/>
      <c r="J21835" s="309"/>
    </row>
    <row r="21836">
      <c r="B21836" s="309"/>
      <c r="C21836" s="309"/>
      <c r="I21836" s="309"/>
      <c r="J21836" s="309"/>
    </row>
    <row r="21837">
      <c r="B21837" s="309"/>
      <c r="C21837" s="309"/>
      <c r="I21837" s="309"/>
      <c r="J21837" s="309"/>
    </row>
    <row r="21838">
      <c r="B21838" s="309"/>
      <c r="C21838" s="309"/>
      <c r="I21838" s="309"/>
      <c r="J21838" s="309"/>
    </row>
    <row r="21839">
      <c r="B21839" s="309"/>
      <c r="C21839" s="309"/>
      <c r="I21839" s="309"/>
      <c r="J21839" s="309"/>
    </row>
    <row r="21840">
      <c r="B21840" s="309"/>
      <c r="C21840" s="309"/>
      <c r="I21840" s="309"/>
      <c r="J21840" s="309"/>
    </row>
    <row r="21841">
      <c r="B21841" s="309"/>
      <c r="C21841" s="309"/>
      <c r="I21841" s="309"/>
      <c r="J21841" s="309"/>
    </row>
    <row r="21842">
      <c r="B21842" s="309"/>
      <c r="C21842" s="309"/>
      <c r="I21842" s="309"/>
      <c r="J21842" s="309"/>
    </row>
    <row r="21843">
      <c r="B21843" s="309"/>
      <c r="C21843" s="309"/>
      <c r="I21843" s="309"/>
      <c r="J21843" s="309"/>
    </row>
    <row r="21844">
      <c r="B21844" s="309"/>
      <c r="C21844" s="309"/>
      <c r="I21844" s="309"/>
      <c r="J21844" s="309"/>
    </row>
    <row r="21845">
      <c r="B21845" s="309"/>
      <c r="C21845" s="309"/>
      <c r="I21845" s="309"/>
      <c r="J21845" s="309"/>
    </row>
    <row r="21846">
      <c r="B21846" s="309"/>
      <c r="C21846" s="309"/>
      <c r="I21846" s="309"/>
      <c r="J21846" s="309"/>
    </row>
    <row r="21847">
      <c r="B21847" s="309"/>
      <c r="C21847" s="309"/>
      <c r="I21847" s="309"/>
      <c r="J21847" s="309"/>
    </row>
    <row r="21848">
      <c r="B21848" s="309"/>
      <c r="C21848" s="309"/>
      <c r="I21848" s="309"/>
      <c r="J21848" s="309"/>
    </row>
    <row r="21849">
      <c r="B21849" s="309"/>
      <c r="C21849" s="309"/>
      <c r="I21849" s="309"/>
      <c r="J21849" s="309"/>
    </row>
    <row r="21850">
      <c r="B21850" s="309"/>
      <c r="C21850" s="309"/>
      <c r="I21850" s="309"/>
      <c r="J21850" s="309"/>
    </row>
    <row r="21851">
      <c r="B21851" s="309"/>
      <c r="C21851" s="309"/>
      <c r="I21851" s="309"/>
      <c r="J21851" s="309"/>
    </row>
    <row r="21852">
      <c r="B21852" s="309"/>
      <c r="C21852" s="309"/>
      <c r="I21852" s="309"/>
      <c r="J21852" s="309"/>
    </row>
    <row r="21853">
      <c r="B21853" s="309"/>
      <c r="C21853" s="309"/>
      <c r="I21853" s="309"/>
      <c r="J21853" s="309"/>
    </row>
    <row r="21854">
      <c r="B21854" s="309"/>
      <c r="C21854" s="309"/>
      <c r="I21854" s="309"/>
      <c r="J21854" s="309"/>
    </row>
    <row r="21855">
      <c r="B21855" s="309"/>
      <c r="C21855" s="309"/>
      <c r="I21855" s="309"/>
      <c r="J21855" s="309"/>
    </row>
    <row r="21856">
      <c r="B21856" s="309"/>
      <c r="C21856" s="309"/>
      <c r="I21856" s="309"/>
      <c r="J21856" s="309"/>
    </row>
    <row r="21857">
      <c r="B21857" s="309"/>
      <c r="C21857" s="309"/>
      <c r="I21857" s="309"/>
      <c r="J21857" s="309"/>
    </row>
    <row r="21858">
      <c r="B21858" s="309"/>
      <c r="C21858" s="309"/>
      <c r="I21858" s="309"/>
      <c r="J21858" s="309"/>
    </row>
    <row r="21859">
      <c r="B21859" s="309"/>
      <c r="C21859" s="309"/>
      <c r="I21859" s="309"/>
      <c r="J21859" s="309"/>
    </row>
    <row r="21860">
      <c r="B21860" s="309"/>
      <c r="C21860" s="309"/>
      <c r="I21860" s="309"/>
      <c r="J21860" s="309"/>
    </row>
    <row r="21861">
      <c r="B21861" s="309"/>
      <c r="C21861" s="309"/>
      <c r="I21861" s="309"/>
      <c r="J21861" s="309"/>
    </row>
    <row r="21862">
      <c r="B21862" s="309"/>
      <c r="C21862" s="309"/>
      <c r="I21862" s="309"/>
      <c r="J21862" s="309"/>
    </row>
    <row r="21863">
      <c r="B21863" s="309"/>
      <c r="C21863" s="309"/>
      <c r="I21863" s="309"/>
      <c r="J21863" s="309"/>
    </row>
    <row r="21864">
      <c r="B21864" s="309"/>
      <c r="C21864" s="309"/>
      <c r="I21864" s="309"/>
      <c r="J21864" s="309"/>
    </row>
    <row r="21865">
      <c r="B21865" s="309"/>
      <c r="C21865" s="309"/>
      <c r="I21865" s="309"/>
      <c r="J21865" s="309"/>
    </row>
    <row r="21866">
      <c r="B21866" s="309"/>
      <c r="C21866" s="309"/>
      <c r="I21866" s="309"/>
      <c r="J21866" s="309"/>
    </row>
    <row r="21867">
      <c r="B21867" s="309"/>
      <c r="C21867" s="309"/>
      <c r="I21867" s="309"/>
      <c r="J21867" s="309"/>
    </row>
    <row r="21868">
      <c r="B21868" s="309"/>
      <c r="C21868" s="309"/>
      <c r="I21868" s="309"/>
      <c r="J21868" s="309"/>
    </row>
    <row r="21869">
      <c r="B21869" s="309"/>
      <c r="C21869" s="309"/>
      <c r="I21869" s="309"/>
      <c r="J21869" s="309"/>
    </row>
    <row r="21870">
      <c r="B21870" s="309"/>
      <c r="C21870" s="309"/>
      <c r="I21870" s="309"/>
      <c r="J21870" s="309"/>
    </row>
    <row r="21871">
      <c r="B21871" s="309"/>
      <c r="C21871" s="309"/>
      <c r="I21871" s="309"/>
      <c r="J21871" s="309"/>
    </row>
    <row r="21872">
      <c r="B21872" s="309"/>
      <c r="C21872" s="309"/>
      <c r="I21872" s="309"/>
      <c r="J21872" s="309"/>
    </row>
    <row r="21873">
      <c r="B21873" s="309"/>
      <c r="C21873" s="309"/>
      <c r="I21873" s="309"/>
      <c r="J21873" s="309"/>
    </row>
    <row r="21874">
      <c r="B21874" s="309"/>
      <c r="C21874" s="309"/>
      <c r="I21874" s="309"/>
      <c r="J21874" s="309"/>
    </row>
    <row r="21875">
      <c r="B21875" s="309"/>
      <c r="C21875" s="309"/>
      <c r="I21875" s="309"/>
      <c r="J21875" s="309"/>
    </row>
    <row r="21876">
      <c r="B21876" s="309"/>
      <c r="C21876" s="309"/>
      <c r="I21876" s="309"/>
      <c r="J21876" s="309"/>
    </row>
    <row r="21877">
      <c r="B21877" s="309"/>
      <c r="C21877" s="309"/>
      <c r="I21877" s="309"/>
      <c r="J21877" s="309"/>
    </row>
    <row r="21878">
      <c r="B21878" s="309"/>
      <c r="C21878" s="309"/>
      <c r="I21878" s="309"/>
      <c r="J21878" s="309"/>
    </row>
    <row r="21879">
      <c r="B21879" s="309"/>
      <c r="C21879" s="309"/>
      <c r="I21879" s="309"/>
      <c r="J21879" s="309"/>
    </row>
    <row r="21880">
      <c r="B21880" s="309"/>
      <c r="C21880" s="309"/>
      <c r="I21880" s="309"/>
      <c r="J21880" s="309"/>
    </row>
    <row r="21881">
      <c r="B21881" s="309"/>
      <c r="C21881" s="309"/>
      <c r="I21881" s="309"/>
      <c r="J21881" s="309"/>
    </row>
    <row r="21882">
      <c r="B21882" s="309"/>
      <c r="C21882" s="309"/>
      <c r="I21882" s="309"/>
      <c r="J21882" s="309"/>
    </row>
    <row r="21883">
      <c r="B21883" s="309"/>
      <c r="C21883" s="309"/>
      <c r="I21883" s="309"/>
      <c r="J21883" s="309"/>
    </row>
    <row r="21884">
      <c r="B21884" s="309"/>
      <c r="C21884" s="309"/>
      <c r="I21884" s="309"/>
      <c r="J21884" s="309"/>
    </row>
    <row r="21885">
      <c r="B21885" s="309"/>
      <c r="C21885" s="309"/>
      <c r="I21885" s="309"/>
      <c r="J21885" s="309"/>
    </row>
    <row r="21886">
      <c r="B21886" s="309"/>
      <c r="C21886" s="309"/>
      <c r="I21886" s="309"/>
      <c r="J21886" s="309"/>
    </row>
    <row r="21887">
      <c r="B21887" s="309"/>
      <c r="C21887" s="309"/>
      <c r="I21887" s="309"/>
      <c r="J21887" s="309"/>
    </row>
    <row r="21888">
      <c r="B21888" s="309"/>
      <c r="C21888" s="309"/>
      <c r="I21888" s="309"/>
      <c r="J21888" s="309"/>
    </row>
    <row r="21889">
      <c r="B21889" s="309"/>
      <c r="C21889" s="309"/>
      <c r="I21889" s="309"/>
      <c r="J21889" s="309"/>
    </row>
    <row r="21890">
      <c r="B21890" s="309"/>
      <c r="C21890" s="309"/>
      <c r="I21890" s="309"/>
      <c r="J21890" s="309"/>
    </row>
    <row r="21891">
      <c r="B21891" s="309"/>
      <c r="C21891" s="309"/>
      <c r="I21891" s="309"/>
      <c r="J21891" s="309"/>
    </row>
    <row r="21892">
      <c r="B21892" s="309"/>
      <c r="C21892" s="309"/>
      <c r="I21892" s="309"/>
      <c r="J21892" s="309"/>
    </row>
    <row r="21893">
      <c r="B21893" s="309"/>
      <c r="C21893" s="309"/>
      <c r="I21893" s="309"/>
      <c r="J21893" s="309"/>
    </row>
    <row r="21894">
      <c r="B21894" s="309"/>
      <c r="C21894" s="309"/>
      <c r="I21894" s="309"/>
      <c r="J21894" s="309"/>
    </row>
    <row r="21895">
      <c r="B21895" s="309"/>
      <c r="C21895" s="309"/>
      <c r="I21895" s="309"/>
      <c r="J21895" s="309"/>
    </row>
    <row r="21896">
      <c r="B21896" s="309"/>
      <c r="C21896" s="309"/>
      <c r="I21896" s="309"/>
      <c r="J21896" s="309"/>
    </row>
    <row r="21897">
      <c r="B21897" s="309"/>
      <c r="C21897" s="309"/>
      <c r="I21897" s="309"/>
      <c r="J21897" s="309"/>
    </row>
    <row r="21898">
      <c r="B21898" s="309"/>
      <c r="C21898" s="309"/>
      <c r="I21898" s="309"/>
      <c r="J21898" s="309"/>
    </row>
    <row r="21899">
      <c r="B21899" s="309"/>
      <c r="C21899" s="309"/>
      <c r="I21899" s="309"/>
      <c r="J21899" s="309"/>
    </row>
    <row r="21900">
      <c r="B21900" s="309"/>
      <c r="C21900" s="309"/>
      <c r="I21900" s="309"/>
      <c r="J21900" s="309"/>
    </row>
    <row r="21901">
      <c r="B21901" s="309"/>
      <c r="C21901" s="309"/>
      <c r="I21901" s="309"/>
      <c r="J21901" s="309"/>
    </row>
    <row r="21902">
      <c r="B21902" s="309"/>
      <c r="C21902" s="309"/>
      <c r="I21902" s="309"/>
      <c r="J21902" s="309"/>
    </row>
    <row r="21903">
      <c r="B21903" s="309"/>
      <c r="C21903" s="309"/>
      <c r="I21903" s="309"/>
      <c r="J21903" s="309"/>
    </row>
    <row r="21904">
      <c r="B21904" s="309"/>
      <c r="C21904" s="309"/>
      <c r="I21904" s="309"/>
      <c r="J21904" s="309"/>
    </row>
    <row r="21905">
      <c r="B21905" s="309"/>
      <c r="C21905" s="309"/>
      <c r="I21905" s="309"/>
      <c r="J21905" s="309"/>
    </row>
    <row r="21906">
      <c r="B21906" s="309"/>
      <c r="C21906" s="309"/>
      <c r="I21906" s="309"/>
      <c r="J21906" s="309"/>
    </row>
    <row r="21907">
      <c r="B21907" s="309"/>
      <c r="C21907" s="309"/>
      <c r="I21907" s="309"/>
      <c r="J21907" s="309"/>
    </row>
    <row r="21908">
      <c r="B21908" s="309"/>
      <c r="C21908" s="309"/>
      <c r="I21908" s="309"/>
      <c r="J21908" s="309"/>
    </row>
    <row r="21909">
      <c r="B21909" s="309"/>
      <c r="C21909" s="309"/>
      <c r="I21909" s="309"/>
      <c r="J21909" s="309"/>
    </row>
    <row r="21910">
      <c r="B21910" s="309"/>
      <c r="C21910" s="309"/>
      <c r="I21910" s="309"/>
      <c r="J21910" s="309"/>
    </row>
    <row r="21911">
      <c r="B21911" s="309"/>
      <c r="C21911" s="309"/>
      <c r="I21911" s="309"/>
      <c r="J21911" s="309"/>
    </row>
    <row r="21912">
      <c r="B21912" s="309"/>
      <c r="C21912" s="309"/>
      <c r="I21912" s="309"/>
      <c r="J21912" s="309"/>
    </row>
    <row r="21913">
      <c r="B21913" s="309"/>
      <c r="C21913" s="309"/>
      <c r="I21913" s="309"/>
      <c r="J21913" s="309"/>
    </row>
    <row r="21914">
      <c r="B21914" s="309"/>
      <c r="C21914" s="309"/>
      <c r="I21914" s="309"/>
      <c r="J21914" s="309"/>
    </row>
    <row r="21915">
      <c r="B21915" s="309"/>
      <c r="C21915" s="309"/>
      <c r="I21915" s="309"/>
      <c r="J21915" s="309"/>
    </row>
    <row r="21916">
      <c r="B21916" s="309"/>
      <c r="C21916" s="309"/>
      <c r="I21916" s="309"/>
      <c r="J21916" s="309"/>
    </row>
    <row r="21917">
      <c r="B21917" s="309"/>
      <c r="C21917" s="309"/>
      <c r="I21917" s="309"/>
      <c r="J21917" s="309"/>
    </row>
    <row r="21918">
      <c r="B21918" s="309"/>
      <c r="C21918" s="309"/>
      <c r="I21918" s="309"/>
      <c r="J21918" s="309"/>
    </row>
    <row r="21919">
      <c r="B21919" s="309"/>
      <c r="C21919" s="309"/>
      <c r="I21919" s="309"/>
      <c r="J21919" s="309"/>
    </row>
    <row r="21920">
      <c r="B21920" s="309"/>
      <c r="C21920" s="309"/>
      <c r="I21920" s="309"/>
      <c r="J21920" s="309"/>
    </row>
    <row r="21921">
      <c r="B21921" s="309"/>
      <c r="C21921" s="309"/>
      <c r="I21921" s="309"/>
      <c r="J21921" s="309"/>
    </row>
    <row r="21922">
      <c r="B21922" s="309"/>
      <c r="C21922" s="309"/>
      <c r="I21922" s="309"/>
      <c r="J21922" s="309"/>
    </row>
    <row r="21923">
      <c r="B21923" s="309"/>
      <c r="C21923" s="309"/>
      <c r="I21923" s="309"/>
      <c r="J21923" s="309"/>
    </row>
    <row r="21924">
      <c r="B21924" s="309"/>
      <c r="C21924" s="309"/>
      <c r="I21924" s="309"/>
      <c r="J21924" s="309"/>
    </row>
    <row r="21925">
      <c r="B21925" s="309"/>
      <c r="C21925" s="309"/>
      <c r="I21925" s="309"/>
      <c r="J21925" s="309"/>
    </row>
    <row r="21926">
      <c r="B21926" s="309"/>
      <c r="C21926" s="309"/>
      <c r="I21926" s="309"/>
      <c r="J21926" s="309"/>
    </row>
    <row r="21927">
      <c r="B21927" s="309"/>
      <c r="C21927" s="309"/>
      <c r="I21927" s="309"/>
      <c r="J21927" s="309"/>
    </row>
    <row r="21928">
      <c r="B21928" s="309"/>
      <c r="C21928" s="309"/>
      <c r="I21928" s="309"/>
      <c r="J21928" s="309"/>
    </row>
    <row r="21929">
      <c r="B21929" s="309"/>
      <c r="C21929" s="309"/>
      <c r="I21929" s="309"/>
      <c r="J21929" s="309"/>
    </row>
    <row r="21930">
      <c r="B21930" s="309"/>
      <c r="C21930" s="309"/>
      <c r="I21930" s="309"/>
      <c r="J21930" s="309"/>
    </row>
    <row r="21931">
      <c r="B21931" s="309"/>
      <c r="C21931" s="309"/>
      <c r="I21931" s="309"/>
      <c r="J21931" s="309"/>
    </row>
    <row r="21932">
      <c r="B21932" s="309"/>
      <c r="C21932" s="309"/>
      <c r="I21932" s="309"/>
      <c r="J21932" s="309"/>
    </row>
    <row r="21933">
      <c r="B21933" s="309"/>
      <c r="C21933" s="309"/>
      <c r="I21933" s="309"/>
      <c r="J21933" s="309"/>
    </row>
    <row r="21934">
      <c r="B21934" s="309"/>
      <c r="C21934" s="309"/>
      <c r="I21934" s="309"/>
      <c r="J21934" s="309"/>
    </row>
    <row r="21935">
      <c r="B21935" s="309"/>
      <c r="C21935" s="309"/>
      <c r="I21935" s="309"/>
      <c r="J21935" s="309"/>
    </row>
    <row r="21936">
      <c r="B21936" s="309"/>
      <c r="C21936" s="309"/>
      <c r="I21936" s="309"/>
      <c r="J21936" s="309"/>
    </row>
    <row r="21937">
      <c r="B21937" s="309"/>
      <c r="C21937" s="309"/>
      <c r="I21937" s="309"/>
      <c r="J21937" s="309"/>
    </row>
    <row r="21938">
      <c r="B21938" s="309"/>
      <c r="C21938" s="309"/>
      <c r="I21938" s="309"/>
      <c r="J21938" s="309"/>
    </row>
    <row r="21939">
      <c r="B21939" s="309"/>
      <c r="C21939" s="309"/>
      <c r="I21939" s="309"/>
      <c r="J21939" s="309"/>
    </row>
    <row r="21940">
      <c r="B21940" s="309"/>
      <c r="C21940" s="309"/>
      <c r="I21940" s="309"/>
      <c r="J21940" s="309"/>
    </row>
    <row r="21941">
      <c r="B21941" s="309"/>
      <c r="C21941" s="309"/>
      <c r="I21941" s="309"/>
      <c r="J21941" s="309"/>
    </row>
    <row r="21942">
      <c r="B21942" s="309"/>
      <c r="C21942" s="309"/>
      <c r="I21942" s="309"/>
      <c r="J21942" s="309"/>
    </row>
    <row r="21943">
      <c r="B21943" s="309"/>
      <c r="C21943" s="309"/>
      <c r="I21943" s="309"/>
      <c r="J21943" s="309"/>
    </row>
    <row r="21944">
      <c r="B21944" s="309"/>
      <c r="C21944" s="309"/>
      <c r="I21944" s="309"/>
      <c r="J21944" s="309"/>
    </row>
    <row r="21945">
      <c r="B21945" s="309"/>
      <c r="C21945" s="309"/>
      <c r="I21945" s="309"/>
      <c r="J21945" s="309"/>
    </row>
    <row r="21946">
      <c r="B21946" s="309"/>
      <c r="C21946" s="309"/>
      <c r="I21946" s="309"/>
      <c r="J21946" s="309"/>
    </row>
    <row r="21947">
      <c r="B21947" s="309"/>
      <c r="C21947" s="309"/>
      <c r="I21947" s="309"/>
      <c r="J21947" s="309"/>
    </row>
    <row r="21948">
      <c r="B21948" s="309"/>
      <c r="C21948" s="309"/>
      <c r="I21948" s="309"/>
      <c r="J21948" s="309"/>
    </row>
    <row r="21949">
      <c r="B21949" s="309"/>
      <c r="C21949" s="309"/>
      <c r="I21949" s="309"/>
      <c r="J21949" s="309"/>
    </row>
    <row r="21950">
      <c r="B21950" s="309"/>
      <c r="C21950" s="309"/>
      <c r="I21950" s="309"/>
      <c r="J21950" s="309"/>
    </row>
    <row r="21951">
      <c r="B21951" s="309"/>
      <c r="C21951" s="309"/>
      <c r="I21951" s="309"/>
      <c r="J21951" s="309"/>
    </row>
    <row r="21952">
      <c r="B21952" s="309"/>
      <c r="C21952" s="309"/>
      <c r="I21952" s="309"/>
      <c r="J21952" s="309"/>
    </row>
    <row r="21953">
      <c r="B21953" s="309"/>
      <c r="C21953" s="309"/>
      <c r="I21953" s="309"/>
      <c r="J21953" s="309"/>
    </row>
    <row r="21954">
      <c r="B21954" s="309"/>
      <c r="C21954" s="309"/>
      <c r="I21954" s="309"/>
      <c r="J21954" s="309"/>
    </row>
    <row r="21955">
      <c r="B21955" s="309"/>
      <c r="C21955" s="309"/>
      <c r="I21955" s="309"/>
      <c r="J21955" s="309"/>
    </row>
    <row r="21956">
      <c r="B21956" s="309"/>
      <c r="C21956" s="309"/>
      <c r="I21956" s="309"/>
      <c r="J21956" s="309"/>
    </row>
    <row r="21957">
      <c r="B21957" s="309"/>
      <c r="C21957" s="309"/>
      <c r="I21957" s="309"/>
      <c r="J21957" s="309"/>
    </row>
    <row r="21958">
      <c r="B21958" s="309"/>
      <c r="C21958" s="309"/>
      <c r="I21958" s="309"/>
      <c r="J21958" s="309"/>
    </row>
    <row r="21959">
      <c r="B21959" s="309"/>
      <c r="C21959" s="309"/>
      <c r="I21959" s="309"/>
      <c r="J21959" s="309"/>
    </row>
    <row r="21960">
      <c r="B21960" s="309"/>
      <c r="C21960" s="309"/>
      <c r="I21960" s="309"/>
      <c r="J21960" s="309"/>
    </row>
    <row r="21961">
      <c r="B21961" s="309"/>
      <c r="C21961" s="309"/>
      <c r="I21961" s="309"/>
      <c r="J21961" s="309"/>
    </row>
    <row r="21962">
      <c r="B21962" s="309"/>
      <c r="C21962" s="309"/>
      <c r="I21962" s="309"/>
      <c r="J21962" s="309"/>
    </row>
    <row r="21963">
      <c r="B21963" s="309"/>
      <c r="C21963" s="309"/>
      <c r="I21963" s="309"/>
      <c r="J21963" s="309"/>
    </row>
    <row r="21964">
      <c r="B21964" s="309"/>
      <c r="C21964" s="309"/>
      <c r="I21964" s="309"/>
      <c r="J21964" s="309"/>
    </row>
    <row r="21965">
      <c r="B21965" s="309"/>
      <c r="C21965" s="309"/>
      <c r="I21965" s="309"/>
      <c r="J21965" s="309"/>
    </row>
    <row r="21966">
      <c r="B21966" s="309"/>
      <c r="C21966" s="309"/>
      <c r="I21966" s="309"/>
      <c r="J21966" s="309"/>
    </row>
    <row r="21967">
      <c r="B21967" s="309"/>
      <c r="C21967" s="309"/>
      <c r="I21967" s="309"/>
      <c r="J21967" s="309"/>
    </row>
    <row r="21968">
      <c r="B21968" s="309"/>
      <c r="C21968" s="309"/>
      <c r="I21968" s="309"/>
      <c r="J21968" s="309"/>
    </row>
    <row r="21969">
      <c r="B21969" s="309"/>
      <c r="C21969" s="309"/>
      <c r="I21969" s="309"/>
      <c r="J21969" s="309"/>
    </row>
    <row r="21970">
      <c r="B21970" s="309"/>
      <c r="C21970" s="309"/>
      <c r="I21970" s="309"/>
      <c r="J21970" s="309"/>
    </row>
    <row r="21971">
      <c r="B21971" s="309"/>
      <c r="C21971" s="309"/>
      <c r="I21971" s="309"/>
      <c r="J21971" s="309"/>
    </row>
    <row r="21972">
      <c r="B21972" s="309"/>
      <c r="C21972" s="309"/>
      <c r="I21972" s="309"/>
      <c r="J21972" s="309"/>
    </row>
    <row r="21973">
      <c r="B21973" s="309"/>
      <c r="C21973" s="309"/>
      <c r="I21973" s="309"/>
      <c r="J21973" s="309"/>
    </row>
    <row r="21974">
      <c r="B21974" s="309"/>
      <c r="C21974" s="309"/>
      <c r="I21974" s="309"/>
      <c r="J21974" s="309"/>
    </row>
    <row r="21975">
      <c r="B21975" s="309"/>
      <c r="C21975" s="309"/>
      <c r="I21975" s="309"/>
      <c r="J21975" s="309"/>
    </row>
    <row r="21976">
      <c r="B21976" s="309"/>
      <c r="C21976" s="309"/>
      <c r="I21976" s="309"/>
      <c r="J21976" s="309"/>
    </row>
    <row r="21977">
      <c r="B21977" s="309"/>
      <c r="C21977" s="309"/>
      <c r="I21977" s="309"/>
      <c r="J21977" s="309"/>
    </row>
    <row r="21978">
      <c r="B21978" s="309"/>
      <c r="C21978" s="309"/>
      <c r="I21978" s="309"/>
      <c r="J21978" s="309"/>
    </row>
    <row r="21979">
      <c r="B21979" s="309"/>
      <c r="C21979" s="309"/>
      <c r="I21979" s="309"/>
      <c r="J21979" s="309"/>
    </row>
    <row r="21980">
      <c r="B21980" s="309"/>
      <c r="C21980" s="309"/>
      <c r="I21980" s="309"/>
      <c r="J21980" s="309"/>
    </row>
    <row r="21981">
      <c r="B21981" s="309"/>
      <c r="C21981" s="309"/>
      <c r="I21981" s="309"/>
      <c r="J21981" s="309"/>
    </row>
    <row r="21982">
      <c r="B21982" s="309"/>
      <c r="C21982" s="309"/>
      <c r="I21982" s="309"/>
      <c r="J21982" s="309"/>
    </row>
    <row r="21983">
      <c r="B21983" s="309"/>
      <c r="C21983" s="309"/>
      <c r="I21983" s="309"/>
      <c r="J21983" s="309"/>
    </row>
    <row r="21984">
      <c r="B21984" s="309"/>
      <c r="C21984" s="309"/>
      <c r="I21984" s="309"/>
      <c r="J21984" s="309"/>
    </row>
    <row r="21985">
      <c r="B21985" s="309"/>
      <c r="C21985" s="309"/>
      <c r="I21985" s="309"/>
      <c r="J21985" s="309"/>
    </row>
    <row r="21986">
      <c r="B21986" s="309"/>
      <c r="C21986" s="309"/>
      <c r="I21986" s="309"/>
      <c r="J21986" s="309"/>
    </row>
    <row r="21987">
      <c r="B21987" s="309"/>
      <c r="C21987" s="309"/>
      <c r="I21987" s="309"/>
      <c r="J21987" s="309"/>
    </row>
    <row r="21988">
      <c r="B21988" s="309"/>
      <c r="C21988" s="309"/>
      <c r="I21988" s="309"/>
      <c r="J21988" s="309"/>
    </row>
    <row r="21989">
      <c r="B21989" s="309"/>
      <c r="C21989" s="309"/>
      <c r="I21989" s="309"/>
      <c r="J21989" s="309"/>
    </row>
    <row r="21990">
      <c r="B21990" s="309"/>
      <c r="C21990" s="309"/>
      <c r="I21990" s="309"/>
      <c r="J21990" s="309"/>
    </row>
    <row r="21991">
      <c r="B21991" s="309"/>
      <c r="C21991" s="309"/>
      <c r="I21991" s="309"/>
      <c r="J21991" s="309"/>
    </row>
    <row r="21992">
      <c r="B21992" s="309"/>
      <c r="C21992" s="309"/>
      <c r="I21992" s="309"/>
      <c r="J21992" s="309"/>
    </row>
    <row r="21993">
      <c r="B21993" s="309"/>
      <c r="C21993" s="309"/>
      <c r="I21993" s="309"/>
      <c r="J21993" s="309"/>
    </row>
    <row r="21994">
      <c r="B21994" s="309"/>
      <c r="C21994" s="309"/>
      <c r="I21994" s="309"/>
      <c r="J21994" s="309"/>
    </row>
    <row r="21995">
      <c r="B21995" s="309"/>
      <c r="C21995" s="309"/>
      <c r="I21995" s="309"/>
      <c r="J21995" s="309"/>
    </row>
    <row r="21996">
      <c r="B21996" s="309"/>
      <c r="C21996" s="309"/>
      <c r="I21996" s="309"/>
      <c r="J21996" s="309"/>
    </row>
    <row r="21997">
      <c r="B21997" s="309"/>
      <c r="C21997" s="309"/>
      <c r="I21997" s="309"/>
      <c r="J21997" s="309"/>
    </row>
    <row r="21998">
      <c r="B21998" s="309"/>
      <c r="C21998" s="309"/>
      <c r="I21998" s="309"/>
      <c r="J21998" s="309"/>
    </row>
    <row r="21999">
      <c r="B21999" s="309"/>
      <c r="C21999" s="309"/>
      <c r="I21999" s="309"/>
      <c r="J21999" s="309"/>
    </row>
    <row r="22000">
      <c r="B22000" s="309"/>
      <c r="C22000" s="309"/>
      <c r="I22000" s="309"/>
      <c r="J22000" s="309"/>
    </row>
    <row r="22001">
      <c r="B22001" s="309"/>
      <c r="C22001" s="309"/>
      <c r="I22001" s="309"/>
      <c r="J22001" s="309"/>
    </row>
    <row r="22002">
      <c r="B22002" s="309"/>
      <c r="C22002" s="309"/>
      <c r="I22002" s="309"/>
      <c r="J22002" s="309"/>
    </row>
    <row r="22003">
      <c r="B22003" s="309"/>
      <c r="C22003" s="309"/>
      <c r="I22003" s="309"/>
      <c r="J22003" s="309"/>
    </row>
    <row r="22004">
      <c r="B22004" s="309"/>
      <c r="C22004" s="309"/>
      <c r="I22004" s="309"/>
      <c r="J22004" s="309"/>
    </row>
    <row r="22005">
      <c r="B22005" s="309"/>
      <c r="C22005" s="309"/>
      <c r="I22005" s="309"/>
      <c r="J22005" s="309"/>
    </row>
    <row r="22006">
      <c r="B22006" s="309"/>
      <c r="C22006" s="309"/>
      <c r="I22006" s="309"/>
      <c r="J22006" s="309"/>
    </row>
    <row r="22007">
      <c r="B22007" s="309"/>
      <c r="C22007" s="309"/>
      <c r="I22007" s="309"/>
      <c r="J22007" s="309"/>
    </row>
    <row r="22008">
      <c r="B22008" s="309"/>
      <c r="C22008" s="309"/>
      <c r="I22008" s="309"/>
      <c r="J22008" s="309"/>
    </row>
    <row r="22009">
      <c r="B22009" s="309"/>
      <c r="C22009" s="309"/>
      <c r="I22009" s="309"/>
      <c r="J22009" s="309"/>
    </row>
    <row r="22010">
      <c r="B22010" s="309"/>
      <c r="C22010" s="309"/>
      <c r="I22010" s="309"/>
      <c r="J22010" s="309"/>
    </row>
    <row r="22011">
      <c r="B22011" s="309"/>
      <c r="C22011" s="309"/>
      <c r="I22011" s="309"/>
      <c r="J22011" s="309"/>
    </row>
    <row r="22012">
      <c r="B22012" s="309"/>
      <c r="C22012" s="309"/>
      <c r="I22012" s="309"/>
      <c r="J22012" s="309"/>
    </row>
    <row r="22013">
      <c r="B22013" s="309"/>
      <c r="C22013" s="309"/>
      <c r="I22013" s="309"/>
      <c r="J22013" s="309"/>
    </row>
    <row r="22014">
      <c r="B22014" s="309"/>
      <c r="C22014" s="309"/>
      <c r="I22014" s="309"/>
      <c r="J22014" s="309"/>
    </row>
    <row r="22015">
      <c r="B22015" s="309"/>
      <c r="C22015" s="309"/>
      <c r="I22015" s="309"/>
      <c r="J22015" s="309"/>
    </row>
    <row r="22016">
      <c r="B22016" s="309"/>
      <c r="C22016" s="309"/>
      <c r="I22016" s="309"/>
      <c r="J22016" s="309"/>
    </row>
    <row r="22017">
      <c r="B22017" s="309"/>
      <c r="C22017" s="309"/>
      <c r="I22017" s="309"/>
      <c r="J22017" s="309"/>
    </row>
    <row r="22018">
      <c r="B22018" s="309"/>
      <c r="C22018" s="309"/>
      <c r="I22018" s="309"/>
      <c r="J22018" s="309"/>
    </row>
    <row r="22019">
      <c r="B22019" s="309"/>
      <c r="C22019" s="309"/>
      <c r="I22019" s="309"/>
      <c r="J22019" s="309"/>
    </row>
    <row r="22020">
      <c r="B22020" s="309"/>
      <c r="C22020" s="309"/>
      <c r="I22020" s="309"/>
      <c r="J22020" s="309"/>
    </row>
    <row r="22021">
      <c r="B22021" s="309"/>
      <c r="C22021" s="309"/>
      <c r="I22021" s="309"/>
      <c r="J22021" s="309"/>
    </row>
    <row r="22022">
      <c r="B22022" s="309"/>
      <c r="C22022" s="309"/>
      <c r="I22022" s="309"/>
      <c r="J22022" s="309"/>
    </row>
    <row r="22023">
      <c r="B22023" s="309"/>
      <c r="C22023" s="309"/>
      <c r="I22023" s="309"/>
      <c r="J22023" s="309"/>
    </row>
    <row r="22024">
      <c r="B22024" s="309"/>
      <c r="C22024" s="309"/>
      <c r="I22024" s="309"/>
      <c r="J22024" s="309"/>
    </row>
    <row r="22025">
      <c r="B22025" s="309"/>
      <c r="C22025" s="309"/>
      <c r="I22025" s="309"/>
      <c r="J22025" s="309"/>
    </row>
    <row r="22026">
      <c r="B22026" s="309"/>
      <c r="C22026" s="309"/>
      <c r="I22026" s="309"/>
      <c r="J22026" s="309"/>
    </row>
    <row r="22027">
      <c r="B22027" s="309"/>
      <c r="C22027" s="309"/>
      <c r="I22027" s="309"/>
      <c r="J22027" s="309"/>
    </row>
    <row r="22028">
      <c r="B22028" s="309"/>
      <c r="C22028" s="309"/>
      <c r="I22028" s="309"/>
      <c r="J22028" s="309"/>
    </row>
    <row r="22029">
      <c r="B22029" s="309"/>
      <c r="C22029" s="309"/>
      <c r="I22029" s="309"/>
      <c r="J22029" s="309"/>
    </row>
    <row r="22030">
      <c r="B22030" s="309"/>
      <c r="C22030" s="309"/>
      <c r="I22030" s="309"/>
      <c r="J22030" s="309"/>
    </row>
    <row r="22031">
      <c r="B22031" s="309"/>
      <c r="C22031" s="309"/>
      <c r="I22031" s="309"/>
      <c r="J22031" s="309"/>
    </row>
    <row r="22032">
      <c r="B22032" s="309"/>
      <c r="C22032" s="309"/>
      <c r="I22032" s="309"/>
      <c r="J22032" s="309"/>
    </row>
    <row r="22033">
      <c r="B22033" s="309"/>
      <c r="C22033" s="309"/>
      <c r="I22033" s="309"/>
      <c r="J22033" s="309"/>
    </row>
    <row r="22034">
      <c r="B22034" s="309"/>
      <c r="C22034" s="309"/>
      <c r="I22034" s="309"/>
      <c r="J22034" s="309"/>
    </row>
    <row r="22035">
      <c r="B22035" s="309"/>
      <c r="C22035" s="309"/>
      <c r="I22035" s="309"/>
      <c r="J22035" s="309"/>
    </row>
    <row r="22036">
      <c r="B22036" s="309"/>
      <c r="C22036" s="309"/>
      <c r="I22036" s="309"/>
      <c r="J22036" s="309"/>
    </row>
    <row r="22037">
      <c r="B22037" s="309"/>
      <c r="C22037" s="309"/>
      <c r="I22037" s="309"/>
      <c r="J22037" s="309"/>
    </row>
    <row r="22038">
      <c r="B22038" s="309"/>
      <c r="C22038" s="309"/>
      <c r="I22038" s="309"/>
      <c r="J22038" s="309"/>
    </row>
    <row r="22039">
      <c r="B22039" s="309"/>
      <c r="C22039" s="309"/>
      <c r="I22039" s="309"/>
      <c r="J22039" s="309"/>
    </row>
    <row r="22040">
      <c r="B22040" s="309"/>
      <c r="C22040" s="309"/>
      <c r="I22040" s="309"/>
      <c r="J22040" s="309"/>
    </row>
    <row r="22041">
      <c r="B22041" s="309"/>
      <c r="C22041" s="309"/>
      <c r="I22041" s="309"/>
      <c r="J22041" s="309"/>
    </row>
    <row r="22042">
      <c r="B22042" s="309"/>
      <c r="C22042" s="309"/>
      <c r="I22042" s="309"/>
      <c r="J22042" s="309"/>
    </row>
    <row r="22043">
      <c r="B22043" s="309"/>
      <c r="C22043" s="309"/>
      <c r="I22043" s="309"/>
      <c r="J22043" s="309"/>
    </row>
    <row r="22044">
      <c r="B22044" s="309"/>
      <c r="C22044" s="309"/>
      <c r="I22044" s="309"/>
      <c r="J22044" s="309"/>
    </row>
    <row r="22045">
      <c r="B22045" s="309"/>
      <c r="C22045" s="309"/>
      <c r="I22045" s="309"/>
      <c r="J22045" s="309"/>
    </row>
    <row r="22046">
      <c r="B22046" s="309"/>
      <c r="C22046" s="309"/>
      <c r="I22046" s="309"/>
      <c r="J22046" s="309"/>
    </row>
    <row r="22047">
      <c r="B22047" s="309"/>
      <c r="C22047" s="309"/>
      <c r="I22047" s="309"/>
      <c r="J22047" s="309"/>
    </row>
    <row r="22048">
      <c r="B22048" s="309"/>
      <c r="C22048" s="309"/>
      <c r="I22048" s="309"/>
      <c r="J22048" s="309"/>
    </row>
    <row r="22049">
      <c r="B22049" s="309"/>
      <c r="C22049" s="309"/>
      <c r="I22049" s="309"/>
      <c r="J22049" s="309"/>
    </row>
    <row r="22050">
      <c r="B22050" s="309"/>
      <c r="C22050" s="309"/>
      <c r="I22050" s="309"/>
      <c r="J22050" s="309"/>
    </row>
    <row r="22051">
      <c r="B22051" s="309"/>
      <c r="C22051" s="309"/>
      <c r="I22051" s="309"/>
      <c r="J22051" s="309"/>
    </row>
    <row r="22052">
      <c r="B22052" s="309"/>
      <c r="C22052" s="309"/>
      <c r="I22052" s="309"/>
      <c r="J22052" s="309"/>
    </row>
    <row r="22053">
      <c r="B22053" s="309"/>
      <c r="C22053" s="309"/>
      <c r="I22053" s="309"/>
      <c r="J22053" s="309"/>
    </row>
    <row r="22054">
      <c r="B22054" s="309"/>
      <c r="C22054" s="309"/>
      <c r="I22054" s="309"/>
      <c r="J22054" s="309"/>
    </row>
    <row r="22055">
      <c r="B22055" s="309"/>
      <c r="C22055" s="309"/>
      <c r="I22055" s="309"/>
      <c r="J22055" s="309"/>
    </row>
    <row r="22056">
      <c r="B22056" s="309"/>
      <c r="C22056" s="309"/>
      <c r="I22056" s="309"/>
      <c r="J22056" s="309"/>
    </row>
    <row r="22057">
      <c r="B22057" s="309"/>
      <c r="C22057" s="309"/>
      <c r="I22057" s="309"/>
      <c r="J22057" s="309"/>
    </row>
    <row r="22058">
      <c r="B22058" s="309"/>
      <c r="C22058" s="309"/>
      <c r="I22058" s="309"/>
      <c r="J22058" s="309"/>
    </row>
    <row r="22059">
      <c r="B22059" s="309"/>
      <c r="C22059" s="309"/>
      <c r="I22059" s="309"/>
      <c r="J22059" s="309"/>
    </row>
    <row r="22060">
      <c r="B22060" s="309"/>
      <c r="C22060" s="309"/>
      <c r="I22060" s="309"/>
      <c r="J22060" s="309"/>
    </row>
    <row r="22061">
      <c r="B22061" s="309"/>
      <c r="C22061" s="309"/>
      <c r="I22061" s="309"/>
      <c r="J22061" s="309"/>
    </row>
    <row r="22062">
      <c r="B22062" s="309"/>
      <c r="C22062" s="309"/>
      <c r="I22062" s="309"/>
      <c r="J22062" s="309"/>
    </row>
    <row r="22063">
      <c r="B22063" s="309"/>
      <c r="C22063" s="309"/>
      <c r="I22063" s="309"/>
      <c r="J22063" s="309"/>
    </row>
    <row r="22064">
      <c r="B22064" s="309"/>
      <c r="C22064" s="309"/>
      <c r="I22064" s="309"/>
      <c r="J22064" s="309"/>
    </row>
    <row r="22065">
      <c r="B22065" s="309"/>
      <c r="C22065" s="309"/>
      <c r="I22065" s="309"/>
      <c r="J22065" s="309"/>
    </row>
    <row r="22066">
      <c r="B22066" s="309"/>
      <c r="C22066" s="309"/>
      <c r="I22066" s="309"/>
      <c r="J22066" s="309"/>
    </row>
    <row r="22067">
      <c r="B22067" s="309"/>
      <c r="C22067" s="309"/>
      <c r="I22067" s="309"/>
      <c r="J22067" s="309"/>
    </row>
    <row r="22068">
      <c r="B22068" s="309"/>
      <c r="C22068" s="309"/>
      <c r="I22068" s="309"/>
      <c r="J22068" s="309"/>
    </row>
    <row r="22069">
      <c r="B22069" s="309"/>
      <c r="C22069" s="309"/>
      <c r="I22069" s="309"/>
      <c r="J22069" s="309"/>
    </row>
    <row r="22070">
      <c r="B22070" s="309"/>
      <c r="C22070" s="309"/>
      <c r="I22070" s="309"/>
      <c r="J22070" s="309"/>
    </row>
    <row r="22071">
      <c r="B22071" s="309"/>
      <c r="C22071" s="309"/>
      <c r="I22071" s="309"/>
      <c r="J22071" s="309"/>
    </row>
    <row r="22072">
      <c r="B22072" s="309"/>
      <c r="C22072" s="309"/>
      <c r="I22072" s="309"/>
      <c r="J22072" s="309"/>
    </row>
    <row r="22073">
      <c r="B22073" s="309"/>
      <c r="C22073" s="309"/>
      <c r="I22073" s="309"/>
      <c r="J22073" s="309"/>
    </row>
    <row r="22074">
      <c r="B22074" s="309"/>
      <c r="C22074" s="309"/>
      <c r="I22074" s="309"/>
      <c r="J22074" s="309"/>
    </row>
    <row r="22075">
      <c r="B22075" s="309"/>
      <c r="C22075" s="309"/>
      <c r="I22075" s="309"/>
      <c r="J22075" s="309"/>
    </row>
    <row r="22076">
      <c r="B22076" s="309"/>
      <c r="C22076" s="309"/>
      <c r="I22076" s="309"/>
      <c r="J22076" s="309"/>
    </row>
    <row r="22077">
      <c r="B22077" s="309"/>
      <c r="C22077" s="309"/>
      <c r="I22077" s="309"/>
      <c r="J22077" s="309"/>
    </row>
    <row r="22078">
      <c r="B22078" s="309"/>
      <c r="C22078" s="309"/>
      <c r="I22078" s="309"/>
      <c r="J22078" s="309"/>
    </row>
    <row r="22079">
      <c r="B22079" s="309"/>
      <c r="C22079" s="309"/>
      <c r="I22079" s="309"/>
      <c r="J22079" s="309"/>
    </row>
    <row r="22080">
      <c r="B22080" s="309"/>
      <c r="C22080" s="309"/>
      <c r="I22080" s="309"/>
      <c r="J22080" s="309"/>
    </row>
    <row r="22081">
      <c r="B22081" s="309"/>
      <c r="C22081" s="309"/>
      <c r="I22081" s="309"/>
      <c r="J22081" s="309"/>
    </row>
    <row r="22082">
      <c r="B22082" s="309"/>
      <c r="C22082" s="309"/>
      <c r="I22082" s="309"/>
      <c r="J22082" s="309"/>
    </row>
    <row r="22083">
      <c r="B22083" s="309"/>
      <c r="C22083" s="309"/>
      <c r="I22083" s="309"/>
      <c r="J22083" s="309"/>
    </row>
    <row r="22084">
      <c r="B22084" s="309"/>
      <c r="C22084" s="309"/>
      <c r="I22084" s="309"/>
      <c r="J22084" s="309"/>
    </row>
    <row r="22085">
      <c r="B22085" s="309"/>
      <c r="C22085" s="309"/>
      <c r="I22085" s="309"/>
      <c r="J22085" s="309"/>
    </row>
    <row r="22086">
      <c r="B22086" s="309"/>
      <c r="C22086" s="309"/>
      <c r="I22086" s="309"/>
      <c r="J22086" s="309"/>
    </row>
    <row r="22087">
      <c r="B22087" s="309"/>
      <c r="C22087" s="309"/>
      <c r="I22087" s="309"/>
      <c r="J22087" s="309"/>
    </row>
    <row r="22088">
      <c r="B22088" s="309"/>
      <c r="C22088" s="309"/>
      <c r="I22088" s="309"/>
      <c r="J22088" s="309"/>
    </row>
    <row r="22089">
      <c r="B22089" s="309"/>
      <c r="C22089" s="309"/>
      <c r="I22089" s="309"/>
      <c r="J22089" s="309"/>
    </row>
    <row r="22090">
      <c r="B22090" s="309"/>
      <c r="C22090" s="309"/>
      <c r="I22090" s="309"/>
      <c r="J22090" s="309"/>
    </row>
    <row r="22091">
      <c r="B22091" s="309"/>
      <c r="C22091" s="309"/>
      <c r="I22091" s="309"/>
      <c r="J22091" s="309"/>
    </row>
    <row r="22092">
      <c r="B22092" s="309"/>
      <c r="C22092" s="309"/>
      <c r="I22092" s="309"/>
      <c r="J22092" s="309"/>
    </row>
    <row r="22093">
      <c r="B22093" s="309"/>
      <c r="C22093" s="309"/>
      <c r="I22093" s="309"/>
      <c r="J22093" s="309"/>
    </row>
    <row r="22094">
      <c r="B22094" s="309"/>
      <c r="C22094" s="309"/>
      <c r="I22094" s="309"/>
      <c r="J22094" s="309"/>
    </row>
    <row r="22095">
      <c r="B22095" s="309"/>
      <c r="C22095" s="309"/>
      <c r="I22095" s="309"/>
      <c r="J22095" s="309"/>
    </row>
    <row r="22096">
      <c r="B22096" s="309"/>
      <c r="C22096" s="309"/>
      <c r="I22096" s="309"/>
      <c r="J22096" s="309"/>
    </row>
    <row r="22097">
      <c r="B22097" s="309"/>
      <c r="C22097" s="309"/>
      <c r="I22097" s="309"/>
      <c r="J22097" s="309"/>
    </row>
    <row r="22098">
      <c r="B22098" s="309"/>
      <c r="C22098" s="309"/>
      <c r="I22098" s="309"/>
      <c r="J22098" s="309"/>
    </row>
    <row r="22099">
      <c r="B22099" s="309"/>
      <c r="C22099" s="309"/>
      <c r="I22099" s="309"/>
      <c r="J22099" s="309"/>
    </row>
    <row r="22100">
      <c r="B22100" s="309"/>
      <c r="C22100" s="309"/>
      <c r="I22100" s="309"/>
      <c r="J22100" s="309"/>
    </row>
    <row r="22101">
      <c r="B22101" s="309"/>
      <c r="C22101" s="309"/>
      <c r="I22101" s="309"/>
      <c r="J22101" s="309"/>
    </row>
    <row r="22102">
      <c r="B22102" s="309"/>
      <c r="C22102" s="309"/>
      <c r="I22102" s="309"/>
      <c r="J22102" s="309"/>
    </row>
    <row r="22103">
      <c r="B22103" s="309"/>
      <c r="C22103" s="309"/>
      <c r="I22103" s="309"/>
      <c r="J22103" s="309"/>
    </row>
    <row r="22104">
      <c r="B22104" s="309"/>
      <c r="C22104" s="309"/>
      <c r="I22104" s="309"/>
      <c r="J22104" s="309"/>
    </row>
    <row r="22105">
      <c r="B22105" s="309"/>
      <c r="C22105" s="309"/>
      <c r="I22105" s="309"/>
      <c r="J22105" s="309"/>
    </row>
    <row r="22106">
      <c r="B22106" s="309"/>
      <c r="C22106" s="309"/>
      <c r="I22106" s="309"/>
      <c r="J22106" s="309"/>
    </row>
    <row r="22107">
      <c r="B22107" s="309"/>
      <c r="C22107" s="309"/>
      <c r="I22107" s="309"/>
      <c r="J22107" s="309"/>
    </row>
    <row r="22108">
      <c r="B22108" s="309"/>
      <c r="C22108" s="309"/>
      <c r="I22108" s="309"/>
      <c r="J22108" s="309"/>
    </row>
    <row r="22109">
      <c r="B22109" s="309"/>
      <c r="C22109" s="309"/>
      <c r="I22109" s="309"/>
      <c r="J22109" s="309"/>
    </row>
    <row r="22110">
      <c r="B22110" s="309"/>
      <c r="C22110" s="309"/>
      <c r="I22110" s="309"/>
      <c r="J22110" s="309"/>
    </row>
    <row r="22111">
      <c r="B22111" s="309"/>
      <c r="C22111" s="309"/>
      <c r="I22111" s="309"/>
      <c r="J22111" s="309"/>
    </row>
    <row r="22112">
      <c r="B22112" s="309"/>
      <c r="C22112" s="309"/>
      <c r="I22112" s="309"/>
      <c r="J22112" s="309"/>
    </row>
    <row r="22113">
      <c r="B22113" s="309"/>
      <c r="C22113" s="309"/>
      <c r="I22113" s="309"/>
      <c r="J22113" s="309"/>
    </row>
    <row r="22114">
      <c r="B22114" s="309"/>
      <c r="C22114" s="309"/>
      <c r="I22114" s="309"/>
      <c r="J22114" s="309"/>
    </row>
    <row r="22115">
      <c r="B22115" s="309"/>
      <c r="C22115" s="309"/>
      <c r="I22115" s="309"/>
      <c r="J22115" s="309"/>
    </row>
    <row r="22116">
      <c r="B22116" s="309"/>
      <c r="C22116" s="309"/>
      <c r="I22116" s="309"/>
      <c r="J22116" s="309"/>
    </row>
    <row r="22117">
      <c r="B22117" s="309"/>
      <c r="C22117" s="309"/>
      <c r="I22117" s="309"/>
      <c r="J22117" s="309"/>
    </row>
    <row r="22118">
      <c r="B22118" s="309"/>
      <c r="C22118" s="309"/>
      <c r="I22118" s="309"/>
      <c r="J22118" s="309"/>
    </row>
    <row r="22119">
      <c r="B22119" s="309"/>
      <c r="C22119" s="309"/>
      <c r="I22119" s="309"/>
      <c r="J22119" s="309"/>
    </row>
    <row r="22120">
      <c r="B22120" s="309"/>
      <c r="C22120" s="309"/>
      <c r="I22120" s="309"/>
      <c r="J22120" s="309"/>
    </row>
    <row r="22121">
      <c r="B22121" s="309"/>
      <c r="C22121" s="309"/>
      <c r="I22121" s="309"/>
      <c r="J22121" s="309"/>
    </row>
    <row r="22122">
      <c r="B22122" s="309"/>
      <c r="C22122" s="309"/>
      <c r="I22122" s="309"/>
      <c r="J22122" s="309"/>
    </row>
    <row r="22123">
      <c r="B22123" s="309"/>
      <c r="C22123" s="309"/>
      <c r="I22123" s="309"/>
      <c r="J22123" s="309"/>
    </row>
    <row r="22124">
      <c r="B22124" s="309"/>
      <c r="C22124" s="309"/>
      <c r="I22124" s="309"/>
      <c r="J22124" s="309"/>
    </row>
    <row r="22125">
      <c r="B22125" s="309"/>
      <c r="C22125" s="309"/>
      <c r="I22125" s="309"/>
      <c r="J22125" s="309"/>
    </row>
    <row r="22126">
      <c r="B22126" s="309"/>
      <c r="C22126" s="309"/>
      <c r="I22126" s="309"/>
      <c r="J22126" s="309"/>
    </row>
    <row r="22127">
      <c r="B22127" s="309"/>
      <c r="C22127" s="309"/>
      <c r="I22127" s="309"/>
      <c r="J22127" s="309"/>
    </row>
    <row r="22128">
      <c r="B22128" s="309"/>
      <c r="C22128" s="309"/>
      <c r="I22128" s="309"/>
      <c r="J22128" s="309"/>
    </row>
    <row r="22129">
      <c r="B22129" s="309"/>
      <c r="C22129" s="309"/>
      <c r="I22129" s="309"/>
      <c r="J22129" s="309"/>
    </row>
    <row r="22130">
      <c r="B22130" s="309"/>
      <c r="C22130" s="309"/>
      <c r="I22130" s="309"/>
      <c r="J22130" s="309"/>
    </row>
    <row r="22131">
      <c r="B22131" s="309"/>
      <c r="C22131" s="309"/>
      <c r="I22131" s="309"/>
      <c r="J22131" s="309"/>
    </row>
    <row r="22132">
      <c r="B22132" s="309"/>
      <c r="C22132" s="309"/>
      <c r="I22132" s="309"/>
      <c r="J22132" s="309"/>
    </row>
    <row r="22133">
      <c r="B22133" s="309"/>
      <c r="C22133" s="309"/>
      <c r="I22133" s="309"/>
      <c r="J22133" s="309"/>
    </row>
    <row r="22134">
      <c r="B22134" s="309"/>
      <c r="C22134" s="309"/>
      <c r="I22134" s="309"/>
      <c r="J22134" s="309"/>
    </row>
    <row r="22135">
      <c r="B22135" s="309"/>
      <c r="C22135" s="309"/>
      <c r="I22135" s="309"/>
      <c r="J22135" s="309"/>
    </row>
    <row r="22136">
      <c r="B22136" s="309"/>
      <c r="C22136" s="309"/>
      <c r="I22136" s="309"/>
      <c r="J22136" s="309"/>
    </row>
    <row r="22137">
      <c r="B22137" s="309"/>
      <c r="C22137" s="309"/>
      <c r="I22137" s="309"/>
      <c r="J22137" s="309"/>
    </row>
    <row r="22138">
      <c r="B22138" s="309"/>
      <c r="C22138" s="309"/>
      <c r="I22138" s="309"/>
      <c r="J22138" s="309"/>
    </row>
    <row r="22139">
      <c r="B22139" s="309"/>
      <c r="C22139" s="309"/>
      <c r="I22139" s="309"/>
      <c r="J22139" s="309"/>
    </row>
    <row r="22140">
      <c r="B22140" s="309"/>
      <c r="C22140" s="309"/>
      <c r="I22140" s="309"/>
      <c r="J22140" s="309"/>
    </row>
    <row r="22141">
      <c r="B22141" s="309"/>
      <c r="C22141" s="309"/>
      <c r="I22141" s="309"/>
      <c r="J22141" s="309"/>
    </row>
    <row r="22142">
      <c r="B22142" s="309"/>
      <c r="C22142" s="309"/>
      <c r="I22142" s="309"/>
      <c r="J22142" s="309"/>
    </row>
    <row r="22143">
      <c r="B22143" s="309"/>
      <c r="C22143" s="309"/>
      <c r="I22143" s="309"/>
      <c r="J22143" s="309"/>
    </row>
    <row r="22144">
      <c r="B22144" s="309"/>
      <c r="C22144" s="309"/>
      <c r="I22144" s="309"/>
      <c r="J22144" s="309"/>
    </row>
    <row r="22145">
      <c r="B22145" s="309"/>
      <c r="C22145" s="309"/>
      <c r="I22145" s="309"/>
      <c r="J22145" s="309"/>
    </row>
    <row r="22146">
      <c r="B22146" s="309"/>
      <c r="C22146" s="309"/>
      <c r="I22146" s="309"/>
      <c r="J22146" s="309"/>
    </row>
    <row r="22147">
      <c r="B22147" s="309"/>
      <c r="C22147" s="309"/>
      <c r="I22147" s="309"/>
      <c r="J22147" s="309"/>
    </row>
    <row r="22148">
      <c r="B22148" s="309"/>
      <c r="C22148" s="309"/>
      <c r="I22148" s="309"/>
      <c r="J22148" s="309"/>
    </row>
    <row r="22149">
      <c r="B22149" s="309"/>
      <c r="C22149" s="309"/>
      <c r="I22149" s="309"/>
      <c r="J22149" s="309"/>
    </row>
    <row r="22150">
      <c r="B22150" s="309"/>
      <c r="C22150" s="309"/>
      <c r="I22150" s="309"/>
      <c r="J22150" s="309"/>
    </row>
    <row r="22151">
      <c r="B22151" s="309"/>
      <c r="C22151" s="309"/>
      <c r="I22151" s="309"/>
      <c r="J22151" s="309"/>
    </row>
    <row r="22152">
      <c r="B22152" s="309"/>
      <c r="C22152" s="309"/>
      <c r="I22152" s="309"/>
      <c r="J22152" s="309"/>
    </row>
    <row r="22153">
      <c r="B22153" s="309"/>
      <c r="C22153" s="309"/>
      <c r="I22153" s="309"/>
      <c r="J22153" s="309"/>
    </row>
    <row r="22154">
      <c r="B22154" s="309"/>
      <c r="C22154" s="309"/>
      <c r="I22154" s="309"/>
      <c r="J22154" s="309"/>
    </row>
    <row r="22155">
      <c r="B22155" s="309"/>
      <c r="C22155" s="309"/>
      <c r="I22155" s="309"/>
      <c r="J22155" s="309"/>
    </row>
    <row r="22156">
      <c r="B22156" s="309"/>
      <c r="C22156" s="309"/>
      <c r="I22156" s="309"/>
      <c r="J22156" s="309"/>
    </row>
    <row r="22157">
      <c r="B22157" s="309"/>
      <c r="C22157" s="309"/>
      <c r="I22157" s="309"/>
      <c r="J22157" s="309"/>
    </row>
    <row r="22158">
      <c r="B22158" s="309"/>
      <c r="C22158" s="309"/>
      <c r="I22158" s="309"/>
      <c r="J22158" s="309"/>
    </row>
    <row r="22159">
      <c r="B22159" s="309"/>
      <c r="C22159" s="309"/>
      <c r="I22159" s="309"/>
      <c r="J22159" s="309"/>
    </row>
    <row r="22160">
      <c r="B22160" s="309"/>
      <c r="C22160" s="309"/>
      <c r="I22160" s="309"/>
      <c r="J22160" s="309"/>
    </row>
    <row r="22161">
      <c r="B22161" s="309"/>
      <c r="C22161" s="309"/>
      <c r="I22161" s="309"/>
      <c r="J22161" s="309"/>
    </row>
    <row r="22162">
      <c r="B22162" s="309"/>
      <c r="C22162" s="309"/>
      <c r="I22162" s="309"/>
      <c r="J22162" s="309"/>
    </row>
    <row r="22163">
      <c r="B22163" s="309"/>
      <c r="C22163" s="309"/>
      <c r="I22163" s="309"/>
      <c r="J22163" s="309"/>
    </row>
    <row r="22164">
      <c r="B22164" s="309"/>
      <c r="C22164" s="309"/>
      <c r="I22164" s="309"/>
      <c r="J22164" s="309"/>
    </row>
    <row r="22165">
      <c r="B22165" s="309"/>
      <c r="C22165" s="309"/>
      <c r="I22165" s="309"/>
      <c r="J22165" s="309"/>
    </row>
    <row r="22166">
      <c r="B22166" s="309"/>
      <c r="C22166" s="309"/>
      <c r="I22166" s="309"/>
      <c r="J22166" s="309"/>
    </row>
    <row r="22167">
      <c r="B22167" s="309"/>
      <c r="C22167" s="309"/>
      <c r="I22167" s="309"/>
      <c r="J22167" s="309"/>
    </row>
    <row r="22168">
      <c r="B22168" s="309"/>
      <c r="C22168" s="309"/>
      <c r="I22168" s="309"/>
      <c r="J22168" s="309"/>
    </row>
    <row r="22169">
      <c r="B22169" s="309"/>
      <c r="C22169" s="309"/>
      <c r="I22169" s="309"/>
      <c r="J22169" s="309"/>
    </row>
    <row r="22170">
      <c r="B22170" s="309"/>
      <c r="C22170" s="309"/>
      <c r="I22170" s="309"/>
      <c r="J22170" s="309"/>
    </row>
    <row r="22171">
      <c r="B22171" s="309"/>
      <c r="C22171" s="309"/>
      <c r="I22171" s="309"/>
      <c r="J22171" s="309"/>
    </row>
    <row r="22172">
      <c r="B22172" s="309"/>
      <c r="C22172" s="309"/>
      <c r="I22172" s="309"/>
      <c r="J22172" s="309"/>
    </row>
    <row r="22173">
      <c r="B22173" s="309"/>
      <c r="C22173" s="309"/>
      <c r="I22173" s="309"/>
      <c r="J22173" s="309"/>
    </row>
    <row r="22174">
      <c r="B22174" s="309"/>
      <c r="C22174" s="309"/>
      <c r="I22174" s="309"/>
      <c r="J22174" s="309"/>
    </row>
    <row r="22175">
      <c r="B22175" s="309"/>
      <c r="C22175" s="309"/>
      <c r="I22175" s="309"/>
      <c r="J22175" s="309"/>
    </row>
    <row r="22176">
      <c r="B22176" s="309"/>
      <c r="C22176" s="309"/>
      <c r="I22176" s="309"/>
      <c r="J22176" s="309"/>
    </row>
    <row r="22177">
      <c r="B22177" s="309"/>
      <c r="C22177" s="309"/>
      <c r="I22177" s="309"/>
      <c r="J22177" s="309"/>
    </row>
    <row r="22178">
      <c r="B22178" s="309"/>
      <c r="C22178" s="309"/>
      <c r="I22178" s="309"/>
      <c r="J22178" s="309"/>
    </row>
    <row r="22179">
      <c r="B22179" s="309"/>
      <c r="C22179" s="309"/>
      <c r="I22179" s="309"/>
      <c r="J22179" s="309"/>
    </row>
    <row r="22180">
      <c r="B22180" s="309"/>
      <c r="C22180" s="309"/>
      <c r="I22180" s="309"/>
      <c r="J22180" s="309"/>
    </row>
    <row r="22181">
      <c r="B22181" s="309"/>
      <c r="C22181" s="309"/>
      <c r="I22181" s="309"/>
      <c r="J22181" s="309"/>
    </row>
    <row r="22182">
      <c r="B22182" s="309"/>
      <c r="C22182" s="309"/>
      <c r="I22182" s="309"/>
      <c r="J22182" s="309"/>
    </row>
    <row r="22183">
      <c r="B22183" s="309"/>
      <c r="C22183" s="309"/>
      <c r="I22183" s="309"/>
      <c r="J22183" s="309"/>
    </row>
    <row r="22184">
      <c r="B22184" s="309"/>
      <c r="C22184" s="309"/>
      <c r="I22184" s="309"/>
      <c r="J22184" s="309"/>
    </row>
    <row r="22185">
      <c r="B22185" s="309"/>
      <c r="C22185" s="309"/>
      <c r="I22185" s="309"/>
      <c r="J22185" s="309"/>
    </row>
    <row r="22186">
      <c r="B22186" s="309"/>
      <c r="C22186" s="309"/>
      <c r="I22186" s="309"/>
      <c r="J22186" s="309"/>
    </row>
    <row r="22187">
      <c r="B22187" s="309"/>
      <c r="C22187" s="309"/>
      <c r="I22187" s="309"/>
      <c r="J22187" s="309"/>
    </row>
    <row r="22188">
      <c r="B22188" s="309"/>
      <c r="C22188" s="309"/>
      <c r="I22188" s="309"/>
      <c r="J22188" s="309"/>
    </row>
    <row r="22189">
      <c r="B22189" s="309"/>
      <c r="C22189" s="309"/>
      <c r="I22189" s="309"/>
      <c r="J22189" s="309"/>
    </row>
    <row r="22190">
      <c r="B22190" s="309"/>
      <c r="C22190" s="309"/>
      <c r="I22190" s="309"/>
      <c r="J22190" s="309"/>
    </row>
    <row r="22191">
      <c r="B22191" s="309"/>
      <c r="C22191" s="309"/>
      <c r="I22191" s="309"/>
      <c r="J22191" s="309"/>
    </row>
    <row r="22192">
      <c r="B22192" s="309"/>
      <c r="C22192" s="309"/>
      <c r="I22192" s="309"/>
      <c r="J22192" s="309"/>
    </row>
    <row r="22193">
      <c r="B22193" s="309"/>
      <c r="C22193" s="309"/>
      <c r="I22193" s="309"/>
      <c r="J22193" s="309"/>
    </row>
    <row r="22194">
      <c r="B22194" s="309"/>
      <c r="C22194" s="309"/>
      <c r="I22194" s="309"/>
      <c r="J22194" s="309"/>
    </row>
    <row r="22195">
      <c r="B22195" s="309"/>
      <c r="C22195" s="309"/>
      <c r="I22195" s="309"/>
      <c r="J22195" s="309"/>
    </row>
    <row r="22196">
      <c r="B22196" s="309"/>
      <c r="C22196" s="309"/>
      <c r="I22196" s="309"/>
      <c r="J22196" s="309"/>
    </row>
    <row r="22197">
      <c r="B22197" s="309"/>
      <c r="C22197" s="309"/>
      <c r="I22197" s="309"/>
      <c r="J22197" s="309"/>
    </row>
    <row r="22198">
      <c r="B22198" s="309"/>
      <c r="C22198" s="309"/>
      <c r="I22198" s="309"/>
      <c r="J22198" s="309"/>
    </row>
    <row r="22199">
      <c r="B22199" s="309"/>
      <c r="C22199" s="309"/>
      <c r="I22199" s="309"/>
      <c r="J22199" s="309"/>
    </row>
    <row r="22200">
      <c r="B22200" s="309"/>
      <c r="C22200" s="309"/>
      <c r="I22200" s="309"/>
      <c r="J22200" s="309"/>
    </row>
    <row r="22201">
      <c r="B22201" s="309"/>
      <c r="C22201" s="309"/>
      <c r="I22201" s="309"/>
      <c r="J22201" s="309"/>
    </row>
    <row r="22202">
      <c r="B22202" s="309"/>
      <c r="C22202" s="309"/>
      <c r="I22202" s="309"/>
      <c r="J22202" s="309"/>
    </row>
    <row r="22203">
      <c r="B22203" s="309"/>
      <c r="C22203" s="309"/>
      <c r="I22203" s="309"/>
      <c r="J22203" s="309"/>
    </row>
    <row r="22204">
      <c r="B22204" s="309"/>
      <c r="C22204" s="309"/>
      <c r="I22204" s="309"/>
      <c r="J22204" s="309"/>
    </row>
    <row r="22205">
      <c r="B22205" s="309"/>
      <c r="C22205" s="309"/>
      <c r="I22205" s="309"/>
      <c r="J22205" s="309"/>
    </row>
    <row r="22206">
      <c r="B22206" s="309"/>
      <c r="C22206" s="309"/>
      <c r="I22206" s="309"/>
      <c r="J22206" s="309"/>
    </row>
    <row r="22207">
      <c r="B22207" s="309"/>
      <c r="C22207" s="309"/>
      <c r="I22207" s="309"/>
      <c r="J22207" s="309"/>
    </row>
    <row r="22208">
      <c r="B22208" s="309"/>
      <c r="C22208" s="309"/>
      <c r="I22208" s="309"/>
      <c r="J22208" s="309"/>
    </row>
    <row r="22209">
      <c r="B22209" s="309"/>
      <c r="C22209" s="309"/>
      <c r="I22209" s="309"/>
      <c r="J22209" s="309"/>
    </row>
    <row r="22210">
      <c r="B22210" s="309"/>
      <c r="C22210" s="309"/>
      <c r="I22210" s="309"/>
      <c r="J22210" s="309"/>
    </row>
    <row r="22211">
      <c r="B22211" s="309"/>
      <c r="C22211" s="309"/>
      <c r="I22211" s="309"/>
      <c r="J22211" s="309"/>
    </row>
    <row r="22212">
      <c r="B22212" s="309"/>
      <c r="C22212" s="309"/>
      <c r="I22212" s="309"/>
      <c r="J22212" s="309"/>
    </row>
    <row r="22213">
      <c r="B22213" s="309"/>
      <c r="C22213" s="309"/>
      <c r="I22213" s="309"/>
      <c r="J22213" s="309"/>
    </row>
    <row r="22214">
      <c r="B22214" s="309"/>
      <c r="C22214" s="309"/>
      <c r="I22214" s="309"/>
      <c r="J22214" s="309"/>
    </row>
    <row r="22215">
      <c r="B22215" s="309"/>
      <c r="C22215" s="309"/>
      <c r="I22215" s="309"/>
      <c r="J22215" s="309"/>
    </row>
    <row r="22216">
      <c r="B22216" s="309"/>
      <c r="C22216" s="309"/>
      <c r="I22216" s="309"/>
      <c r="J22216" s="309"/>
    </row>
    <row r="22217">
      <c r="B22217" s="309"/>
      <c r="C22217" s="309"/>
      <c r="I22217" s="309"/>
      <c r="J22217" s="309"/>
    </row>
    <row r="22218">
      <c r="B22218" s="309"/>
      <c r="C22218" s="309"/>
      <c r="I22218" s="309"/>
      <c r="J22218" s="309"/>
    </row>
    <row r="22219">
      <c r="B22219" s="309"/>
      <c r="C22219" s="309"/>
      <c r="I22219" s="309"/>
      <c r="J22219" s="309"/>
    </row>
    <row r="22220">
      <c r="B22220" s="309"/>
      <c r="C22220" s="309"/>
      <c r="I22220" s="309"/>
      <c r="J22220" s="309"/>
    </row>
    <row r="22221">
      <c r="B22221" s="309"/>
      <c r="C22221" s="309"/>
      <c r="I22221" s="309"/>
      <c r="J22221" s="309"/>
    </row>
    <row r="22222">
      <c r="B22222" s="309"/>
      <c r="C22222" s="309"/>
      <c r="I22222" s="309"/>
      <c r="J22222" s="309"/>
    </row>
    <row r="22223">
      <c r="B22223" s="309"/>
      <c r="C22223" s="309"/>
      <c r="I22223" s="309"/>
      <c r="J22223" s="309"/>
    </row>
    <row r="22224">
      <c r="B22224" s="309"/>
      <c r="C22224" s="309"/>
      <c r="I22224" s="309"/>
      <c r="J22224" s="309"/>
    </row>
    <row r="22225">
      <c r="B22225" s="309"/>
      <c r="C22225" s="309"/>
      <c r="I22225" s="309"/>
      <c r="J22225" s="309"/>
    </row>
    <row r="22226">
      <c r="B22226" s="309"/>
      <c r="C22226" s="309"/>
      <c r="I22226" s="309"/>
      <c r="J22226" s="309"/>
    </row>
    <row r="22227">
      <c r="B22227" s="309"/>
      <c r="C22227" s="309"/>
      <c r="I22227" s="309"/>
      <c r="J22227" s="309"/>
    </row>
    <row r="22228">
      <c r="B22228" s="309"/>
      <c r="C22228" s="309"/>
      <c r="I22228" s="309"/>
      <c r="J22228" s="309"/>
    </row>
    <row r="22229">
      <c r="B22229" s="309"/>
      <c r="C22229" s="309"/>
      <c r="I22229" s="309"/>
      <c r="J22229" s="309"/>
    </row>
    <row r="22230">
      <c r="B22230" s="309"/>
      <c r="C22230" s="309"/>
      <c r="I22230" s="309"/>
      <c r="J22230" s="309"/>
    </row>
    <row r="22231">
      <c r="B22231" s="309"/>
      <c r="C22231" s="309"/>
      <c r="I22231" s="309"/>
      <c r="J22231" s="309"/>
    </row>
    <row r="22232">
      <c r="B22232" s="309"/>
      <c r="C22232" s="309"/>
      <c r="I22232" s="309"/>
      <c r="J22232" s="309"/>
    </row>
    <row r="22233">
      <c r="B22233" s="309"/>
      <c r="C22233" s="309"/>
      <c r="I22233" s="309"/>
      <c r="J22233" s="309"/>
    </row>
    <row r="22234">
      <c r="B22234" s="309"/>
      <c r="C22234" s="309"/>
      <c r="I22234" s="309"/>
      <c r="J22234" s="309"/>
    </row>
    <row r="22235">
      <c r="B22235" s="309"/>
      <c r="C22235" s="309"/>
      <c r="I22235" s="309"/>
      <c r="J22235" s="309"/>
    </row>
    <row r="22236">
      <c r="B22236" s="309"/>
      <c r="C22236" s="309"/>
      <c r="I22236" s="309"/>
      <c r="J22236" s="309"/>
    </row>
    <row r="22237">
      <c r="B22237" s="309"/>
      <c r="C22237" s="309"/>
      <c r="I22237" s="309"/>
      <c r="J22237" s="309"/>
    </row>
    <row r="22238">
      <c r="B22238" s="309"/>
      <c r="C22238" s="309"/>
      <c r="I22238" s="309"/>
      <c r="J22238" s="309"/>
    </row>
    <row r="22239">
      <c r="B22239" s="309"/>
      <c r="C22239" s="309"/>
      <c r="I22239" s="309"/>
      <c r="J22239" s="309"/>
    </row>
    <row r="22240">
      <c r="B22240" s="309"/>
      <c r="C22240" s="309"/>
      <c r="I22240" s="309"/>
      <c r="J22240" s="309"/>
    </row>
    <row r="22241">
      <c r="B22241" s="309"/>
      <c r="C22241" s="309"/>
      <c r="I22241" s="309"/>
      <c r="J22241" s="309"/>
    </row>
    <row r="22242">
      <c r="B22242" s="309"/>
      <c r="C22242" s="309"/>
      <c r="I22242" s="309"/>
      <c r="J22242" s="309"/>
    </row>
    <row r="22243">
      <c r="B22243" s="309"/>
      <c r="C22243" s="309"/>
      <c r="I22243" s="309"/>
      <c r="J22243" s="309"/>
    </row>
    <row r="22244">
      <c r="B22244" s="309"/>
      <c r="C22244" s="309"/>
      <c r="I22244" s="309"/>
      <c r="J22244" s="309"/>
    </row>
    <row r="22245">
      <c r="B22245" s="309"/>
      <c r="C22245" s="309"/>
      <c r="I22245" s="309"/>
      <c r="J22245" s="309"/>
    </row>
    <row r="22246">
      <c r="B22246" s="309"/>
      <c r="C22246" s="309"/>
      <c r="I22246" s="309"/>
      <c r="J22246" s="309"/>
    </row>
    <row r="22247">
      <c r="B22247" s="309"/>
      <c r="C22247" s="309"/>
      <c r="I22247" s="309"/>
      <c r="J22247" s="309"/>
    </row>
    <row r="22248">
      <c r="B22248" s="309"/>
      <c r="C22248" s="309"/>
      <c r="I22248" s="309"/>
      <c r="J22248" s="309"/>
    </row>
    <row r="22249">
      <c r="B22249" s="309"/>
      <c r="C22249" s="309"/>
      <c r="I22249" s="309"/>
      <c r="J22249" s="309"/>
    </row>
    <row r="22250">
      <c r="B22250" s="309"/>
      <c r="C22250" s="309"/>
      <c r="I22250" s="309"/>
      <c r="J22250" s="309"/>
    </row>
    <row r="22251">
      <c r="B22251" s="309"/>
      <c r="C22251" s="309"/>
      <c r="I22251" s="309"/>
      <c r="J22251" s="309"/>
    </row>
    <row r="22252">
      <c r="B22252" s="309"/>
      <c r="C22252" s="309"/>
      <c r="I22252" s="309"/>
      <c r="J22252" s="309"/>
    </row>
    <row r="22253">
      <c r="B22253" s="309"/>
      <c r="C22253" s="309"/>
      <c r="I22253" s="309"/>
      <c r="J22253" s="309"/>
    </row>
    <row r="22254">
      <c r="B22254" s="309"/>
      <c r="C22254" s="309"/>
      <c r="I22254" s="309"/>
      <c r="J22254" s="309"/>
    </row>
    <row r="22255">
      <c r="B22255" s="309"/>
      <c r="C22255" s="309"/>
      <c r="I22255" s="309"/>
      <c r="J22255" s="309"/>
    </row>
    <row r="22256">
      <c r="B22256" s="309"/>
      <c r="C22256" s="309"/>
      <c r="I22256" s="309"/>
      <c r="J22256" s="309"/>
    </row>
    <row r="22257">
      <c r="B22257" s="309"/>
      <c r="C22257" s="309"/>
      <c r="I22257" s="309"/>
      <c r="J22257" s="309"/>
    </row>
    <row r="22258">
      <c r="B22258" s="309"/>
      <c r="C22258" s="309"/>
      <c r="I22258" s="309"/>
      <c r="J22258" s="309"/>
    </row>
    <row r="22259">
      <c r="B22259" s="309"/>
      <c r="C22259" s="309"/>
      <c r="I22259" s="309"/>
      <c r="J22259" s="309"/>
    </row>
    <row r="22260">
      <c r="B22260" s="309"/>
      <c r="C22260" s="309"/>
      <c r="I22260" s="309"/>
      <c r="J22260" s="309"/>
    </row>
    <row r="22261">
      <c r="B22261" s="309"/>
      <c r="C22261" s="309"/>
      <c r="I22261" s="309"/>
      <c r="J22261" s="309"/>
    </row>
    <row r="22262">
      <c r="B22262" s="309"/>
      <c r="C22262" s="309"/>
      <c r="I22262" s="309"/>
      <c r="J22262" s="309"/>
    </row>
    <row r="22263">
      <c r="B22263" s="309"/>
      <c r="C22263" s="309"/>
      <c r="I22263" s="309"/>
      <c r="J22263" s="309"/>
    </row>
    <row r="22264">
      <c r="B22264" s="309"/>
      <c r="C22264" s="309"/>
      <c r="I22264" s="309"/>
      <c r="J22264" s="309"/>
    </row>
    <row r="22265">
      <c r="B22265" s="309"/>
      <c r="C22265" s="309"/>
      <c r="I22265" s="309"/>
      <c r="J22265" s="309"/>
    </row>
    <row r="22266">
      <c r="B22266" s="309"/>
      <c r="C22266" s="309"/>
      <c r="I22266" s="309"/>
      <c r="J22266" s="309"/>
    </row>
    <row r="22267">
      <c r="B22267" s="309"/>
      <c r="C22267" s="309"/>
      <c r="I22267" s="309"/>
      <c r="J22267" s="309"/>
    </row>
    <row r="22268">
      <c r="B22268" s="309"/>
      <c r="C22268" s="309"/>
      <c r="I22268" s="309"/>
      <c r="J22268" s="309"/>
    </row>
    <row r="22269">
      <c r="B22269" s="309"/>
      <c r="C22269" s="309"/>
      <c r="I22269" s="309"/>
      <c r="J22269" s="309"/>
    </row>
    <row r="22270">
      <c r="B22270" s="309"/>
      <c r="C22270" s="309"/>
      <c r="I22270" s="309"/>
      <c r="J22270" s="309"/>
    </row>
    <row r="22271">
      <c r="B22271" s="309"/>
      <c r="C22271" s="309"/>
      <c r="I22271" s="309"/>
      <c r="J22271" s="309"/>
    </row>
    <row r="22272">
      <c r="B22272" s="309"/>
      <c r="C22272" s="309"/>
      <c r="I22272" s="309"/>
      <c r="J22272" s="309"/>
    </row>
    <row r="22273">
      <c r="B22273" s="309"/>
      <c r="C22273" s="309"/>
      <c r="I22273" s="309"/>
      <c r="J22273" s="309"/>
    </row>
    <row r="22274">
      <c r="B22274" s="309"/>
      <c r="C22274" s="309"/>
      <c r="I22274" s="309"/>
      <c r="J22274" s="309"/>
    </row>
    <row r="22275">
      <c r="B22275" s="309"/>
      <c r="C22275" s="309"/>
      <c r="I22275" s="309"/>
      <c r="J22275" s="309"/>
    </row>
    <row r="22276">
      <c r="B22276" s="309"/>
      <c r="C22276" s="309"/>
      <c r="I22276" s="309"/>
      <c r="J22276" s="309"/>
    </row>
    <row r="22277">
      <c r="B22277" s="309"/>
      <c r="C22277" s="309"/>
      <c r="I22277" s="309"/>
      <c r="J22277" s="309"/>
    </row>
    <row r="22278">
      <c r="B22278" s="309"/>
      <c r="C22278" s="309"/>
      <c r="I22278" s="309"/>
      <c r="J22278" s="309"/>
    </row>
    <row r="22279">
      <c r="B22279" s="309"/>
      <c r="C22279" s="309"/>
      <c r="I22279" s="309"/>
      <c r="J22279" s="309"/>
    </row>
    <row r="22280">
      <c r="B22280" s="309"/>
      <c r="C22280" s="309"/>
      <c r="I22280" s="309"/>
      <c r="J22280" s="309"/>
    </row>
    <row r="22281">
      <c r="B22281" s="309"/>
      <c r="C22281" s="309"/>
      <c r="I22281" s="309"/>
      <c r="J22281" s="309"/>
    </row>
    <row r="22282">
      <c r="B22282" s="309"/>
      <c r="C22282" s="309"/>
      <c r="I22282" s="309"/>
      <c r="J22282" s="309"/>
    </row>
    <row r="22283">
      <c r="B22283" s="309"/>
      <c r="C22283" s="309"/>
      <c r="I22283" s="309"/>
      <c r="J22283" s="309"/>
    </row>
    <row r="22284">
      <c r="B22284" s="309"/>
      <c r="C22284" s="309"/>
      <c r="I22284" s="309"/>
      <c r="J22284" s="309"/>
    </row>
    <row r="22285">
      <c r="B22285" s="309"/>
      <c r="C22285" s="309"/>
      <c r="I22285" s="309"/>
      <c r="J22285" s="309"/>
    </row>
    <row r="22286">
      <c r="B22286" s="309"/>
      <c r="C22286" s="309"/>
      <c r="I22286" s="309"/>
      <c r="J22286" s="309"/>
    </row>
    <row r="22287">
      <c r="B22287" s="309"/>
      <c r="C22287" s="309"/>
      <c r="I22287" s="309"/>
      <c r="J22287" s="309"/>
    </row>
    <row r="22288">
      <c r="B22288" s="309"/>
      <c r="C22288" s="309"/>
      <c r="I22288" s="309"/>
      <c r="J22288" s="309"/>
    </row>
    <row r="22289">
      <c r="B22289" s="309"/>
      <c r="C22289" s="309"/>
      <c r="I22289" s="309"/>
      <c r="J22289" s="309"/>
    </row>
    <row r="22290">
      <c r="B22290" s="309"/>
      <c r="C22290" s="309"/>
      <c r="I22290" s="309"/>
      <c r="J22290" s="309"/>
    </row>
    <row r="22291">
      <c r="B22291" s="309"/>
      <c r="C22291" s="309"/>
      <c r="I22291" s="309"/>
      <c r="J22291" s="309"/>
    </row>
    <row r="22292">
      <c r="B22292" s="309"/>
      <c r="C22292" s="309"/>
      <c r="I22292" s="309"/>
      <c r="J22292" s="309"/>
    </row>
    <row r="22293">
      <c r="B22293" s="309"/>
      <c r="C22293" s="309"/>
      <c r="I22293" s="309"/>
      <c r="J22293" s="309"/>
    </row>
    <row r="22294">
      <c r="B22294" s="309"/>
      <c r="C22294" s="309"/>
      <c r="I22294" s="309"/>
      <c r="J22294" s="309"/>
    </row>
    <row r="22295">
      <c r="B22295" s="309"/>
      <c r="C22295" s="309"/>
      <c r="I22295" s="309"/>
      <c r="J22295" s="309"/>
    </row>
    <row r="22296">
      <c r="B22296" s="309"/>
      <c r="C22296" s="309"/>
      <c r="I22296" s="309"/>
      <c r="J22296" s="309"/>
    </row>
    <row r="22297">
      <c r="B22297" s="309"/>
      <c r="C22297" s="309"/>
      <c r="I22297" s="309"/>
      <c r="J22297" s="309"/>
    </row>
    <row r="22298">
      <c r="B22298" s="309"/>
      <c r="C22298" s="309"/>
      <c r="I22298" s="309"/>
      <c r="J22298" s="309"/>
    </row>
    <row r="22299">
      <c r="B22299" s="309"/>
      <c r="C22299" s="309"/>
      <c r="I22299" s="309"/>
      <c r="J22299" s="309"/>
    </row>
    <row r="22300">
      <c r="B22300" s="309"/>
      <c r="C22300" s="309"/>
      <c r="I22300" s="309"/>
      <c r="J22300" s="309"/>
    </row>
    <row r="22301">
      <c r="B22301" s="309"/>
      <c r="C22301" s="309"/>
      <c r="I22301" s="309"/>
      <c r="J22301" s="309"/>
    </row>
    <row r="22302">
      <c r="B22302" s="309"/>
      <c r="C22302" s="309"/>
      <c r="I22302" s="309"/>
      <c r="J22302" s="309"/>
    </row>
    <row r="22303">
      <c r="B22303" s="309"/>
      <c r="C22303" s="309"/>
      <c r="I22303" s="309"/>
      <c r="J22303" s="309"/>
    </row>
    <row r="22304">
      <c r="B22304" s="309"/>
      <c r="C22304" s="309"/>
      <c r="I22304" s="309"/>
      <c r="J22304" s="309"/>
    </row>
    <row r="22305">
      <c r="B22305" s="309"/>
      <c r="C22305" s="309"/>
      <c r="I22305" s="309"/>
      <c r="J22305" s="309"/>
    </row>
    <row r="22306">
      <c r="B22306" s="309"/>
      <c r="C22306" s="309"/>
      <c r="I22306" s="309"/>
      <c r="J22306" s="309"/>
    </row>
    <row r="22307">
      <c r="B22307" s="309"/>
      <c r="C22307" s="309"/>
      <c r="I22307" s="309"/>
      <c r="J22307" s="309"/>
    </row>
    <row r="22308">
      <c r="B22308" s="309"/>
      <c r="C22308" s="309"/>
      <c r="I22308" s="309"/>
      <c r="J22308" s="309"/>
    </row>
    <row r="22309">
      <c r="B22309" s="309"/>
      <c r="C22309" s="309"/>
      <c r="I22309" s="309"/>
      <c r="J22309" s="309"/>
    </row>
    <row r="22310">
      <c r="B22310" s="309"/>
      <c r="C22310" s="309"/>
      <c r="I22310" s="309"/>
      <c r="J22310" s="309"/>
    </row>
    <row r="22311">
      <c r="B22311" s="309"/>
      <c r="C22311" s="309"/>
      <c r="I22311" s="309"/>
      <c r="J22311" s="309"/>
    </row>
    <row r="22312">
      <c r="B22312" s="309"/>
      <c r="C22312" s="309"/>
      <c r="I22312" s="309"/>
      <c r="J22312" s="309"/>
    </row>
    <row r="22313">
      <c r="B22313" s="309"/>
      <c r="C22313" s="309"/>
      <c r="I22313" s="309"/>
      <c r="J22313" s="309"/>
    </row>
    <row r="22314">
      <c r="B22314" s="309"/>
      <c r="C22314" s="309"/>
      <c r="I22314" s="309"/>
      <c r="J22314" s="309"/>
    </row>
    <row r="22315">
      <c r="B22315" s="309"/>
      <c r="C22315" s="309"/>
      <c r="I22315" s="309"/>
      <c r="J22315" s="309"/>
    </row>
    <row r="22316">
      <c r="B22316" s="309"/>
      <c r="C22316" s="309"/>
      <c r="I22316" s="309"/>
      <c r="J22316" s="309"/>
    </row>
    <row r="22317">
      <c r="B22317" s="309"/>
      <c r="C22317" s="309"/>
      <c r="I22317" s="309"/>
      <c r="J22317" s="309"/>
    </row>
    <row r="22318">
      <c r="B22318" s="309"/>
      <c r="C22318" s="309"/>
      <c r="I22318" s="309"/>
      <c r="J22318" s="309"/>
    </row>
    <row r="22319">
      <c r="B22319" s="309"/>
      <c r="C22319" s="309"/>
      <c r="I22319" s="309"/>
      <c r="J22319" s="309"/>
    </row>
    <row r="22320">
      <c r="B22320" s="309"/>
      <c r="C22320" s="309"/>
      <c r="I22320" s="309"/>
      <c r="J22320" s="309"/>
    </row>
    <row r="22321">
      <c r="B22321" s="309"/>
      <c r="C22321" s="309"/>
      <c r="I22321" s="309"/>
      <c r="J22321" s="309"/>
    </row>
    <row r="22322">
      <c r="B22322" s="309"/>
      <c r="C22322" s="309"/>
      <c r="I22322" s="309"/>
      <c r="J22322" s="309"/>
    </row>
    <row r="22323">
      <c r="B22323" s="309"/>
      <c r="C22323" s="309"/>
      <c r="I22323" s="309"/>
      <c r="J22323" s="309"/>
    </row>
    <row r="22324">
      <c r="B22324" s="309"/>
      <c r="C22324" s="309"/>
      <c r="I22324" s="309"/>
      <c r="J22324" s="309"/>
    </row>
    <row r="22325">
      <c r="B22325" s="309"/>
      <c r="C22325" s="309"/>
      <c r="I22325" s="309"/>
      <c r="J22325" s="309"/>
    </row>
    <row r="22326">
      <c r="B22326" s="309"/>
      <c r="C22326" s="309"/>
      <c r="I22326" s="309"/>
      <c r="J22326" s="309"/>
    </row>
    <row r="22327">
      <c r="B22327" s="309"/>
      <c r="C22327" s="309"/>
      <c r="I22327" s="309"/>
      <c r="J22327" s="309"/>
    </row>
    <row r="22328">
      <c r="B22328" s="309"/>
      <c r="C22328" s="309"/>
      <c r="I22328" s="309"/>
      <c r="J22328" s="309"/>
    </row>
    <row r="22329">
      <c r="B22329" s="309"/>
      <c r="C22329" s="309"/>
      <c r="I22329" s="309"/>
      <c r="J22329" s="309"/>
    </row>
    <row r="22330">
      <c r="B22330" s="309"/>
      <c r="C22330" s="309"/>
      <c r="I22330" s="309"/>
      <c r="J22330" s="309"/>
    </row>
    <row r="22331">
      <c r="B22331" s="309"/>
      <c r="C22331" s="309"/>
      <c r="I22331" s="309"/>
      <c r="J22331" s="309"/>
    </row>
    <row r="22332">
      <c r="B22332" s="309"/>
      <c r="C22332" s="309"/>
      <c r="I22332" s="309"/>
      <c r="J22332" s="309"/>
    </row>
    <row r="22333">
      <c r="B22333" s="309"/>
      <c r="C22333" s="309"/>
      <c r="I22333" s="309"/>
      <c r="J22333" s="309"/>
    </row>
    <row r="22334">
      <c r="B22334" s="309"/>
      <c r="C22334" s="309"/>
      <c r="I22334" s="309"/>
      <c r="J22334" s="309"/>
    </row>
    <row r="22335">
      <c r="B22335" s="309"/>
      <c r="C22335" s="309"/>
      <c r="I22335" s="309"/>
      <c r="J22335" s="309"/>
    </row>
    <row r="22336">
      <c r="B22336" s="309"/>
      <c r="C22336" s="309"/>
      <c r="I22336" s="309"/>
      <c r="J22336" s="309"/>
    </row>
    <row r="22337">
      <c r="B22337" s="309"/>
      <c r="C22337" s="309"/>
      <c r="I22337" s="309"/>
      <c r="J22337" s="309"/>
    </row>
    <row r="22338">
      <c r="B22338" s="309"/>
      <c r="C22338" s="309"/>
      <c r="I22338" s="309"/>
      <c r="J22338" s="309"/>
    </row>
    <row r="22339">
      <c r="B22339" s="309"/>
      <c r="C22339" s="309"/>
      <c r="I22339" s="309"/>
      <c r="J22339" s="309"/>
    </row>
    <row r="22340">
      <c r="B22340" s="309"/>
      <c r="C22340" s="309"/>
      <c r="I22340" s="309"/>
      <c r="J22340" s="309"/>
    </row>
    <row r="22341">
      <c r="B22341" s="309"/>
      <c r="C22341" s="309"/>
      <c r="I22341" s="309"/>
      <c r="J22341" s="309"/>
    </row>
    <row r="22342">
      <c r="B22342" s="309"/>
      <c r="C22342" s="309"/>
      <c r="I22342" s="309"/>
      <c r="J22342" s="309"/>
    </row>
    <row r="22343">
      <c r="B22343" s="309"/>
      <c r="C22343" s="309"/>
      <c r="I22343" s="309"/>
      <c r="J22343" s="309"/>
    </row>
    <row r="22344">
      <c r="B22344" s="309"/>
      <c r="C22344" s="309"/>
      <c r="I22344" s="309"/>
      <c r="J22344" s="309"/>
    </row>
    <row r="22345">
      <c r="B22345" s="309"/>
      <c r="C22345" s="309"/>
      <c r="I22345" s="309"/>
      <c r="J22345" s="309"/>
    </row>
    <row r="22346">
      <c r="B22346" s="309"/>
      <c r="C22346" s="309"/>
      <c r="I22346" s="309"/>
      <c r="J22346" s="309"/>
    </row>
    <row r="22347">
      <c r="B22347" s="309"/>
      <c r="C22347" s="309"/>
      <c r="I22347" s="309"/>
      <c r="J22347" s="309"/>
    </row>
    <row r="22348">
      <c r="B22348" s="309"/>
      <c r="C22348" s="309"/>
      <c r="I22348" s="309"/>
      <c r="J22348" s="309"/>
    </row>
    <row r="22349">
      <c r="B22349" s="309"/>
      <c r="C22349" s="309"/>
      <c r="I22349" s="309"/>
      <c r="J22349" s="309"/>
    </row>
    <row r="22350">
      <c r="B22350" s="309"/>
      <c r="C22350" s="309"/>
      <c r="I22350" s="309"/>
      <c r="J22350" s="309"/>
    </row>
    <row r="22351">
      <c r="B22351" s="309"/>
      <c r="C22351" s="309"/>
      <c r="I22351" s="309"/>
      <c r="J22351" s="309"/>
    </row>
    <row r="22352">
      <c r="B22352" s="309"/>
      <c r="C22352" s="309"/>
      <c r="I22352" s="309"/>
      <c r="J22352" s="309"/>
    </row>
    <row r="22353">
      <c r="B22353" s="309"/>
      <c r="C22353" s="309"/>
      <c r="I22353" s="309"/>
      <c r="J22353" s="309"/>
    </row>
    <row r="22354">
      <c r="B22354" s="309"/>
      <c r="C22354" s="309"/>
      <c r="I22354" s="309"/>
      <c r="J22354" s="309"/>
    </row>
    <row r="22355">
      <c r="B22355" s="309"/>
      <c r="C22355" s="309"/>
      <c r="I22355" s="309"/>
      <c r="J22355" s="309"/>
    </row>
    <row r="22356">
      <c r="B22356" s="309"/>
      <c r="C22356" s="309"/>
      <c r="I22356" s="309"/>
      <c r="J22356" s="309"/>
    </row>
    <row r="22357">
      <c r="B22357" s="309"/>
      <c r="C22357" s="309"/>
      <c r="I22357" s="309"/>
      <c r="J22357" s="309"/>
    </row>
    <row r="22358">
      <c r="B22358" s="309"/>
      <c r="C22358" s="309"/>
      <c r="I22358" s="309"/>
      <c r="J22358" s="309"/>
    </row>
    <row r="22359">
      <c r="B22359" s="309"/>
      <c r="C22359" s="309"/>
      <c r="I22359" s="309"/>
      <c r="J22359" s="309"/>
    </row>
    <row r="22360">
      <c r="B22360" s="309"/>
      <c r="C22360" s="309"/>
      <c r="I22360" s="309"/>
      <c r="J22360" s="309"/>
    </row>
    <row r="22361">
      <c r="B22361" s="309"/>
      <c r="C22361" s="309"/>
      <c r="I22361" s="309"/>
      <c r="J22361" s="309"/>
    </row>
    <row r="22362">
      <c r="B22362" s="309"/>
      <c r="C22362" s="309"/>
      <c r="I22362" s="309"/>
      <c r="J22362" s="309"/>
    </row>
    <row r="22363">
      <c r="B22363" s="309"/>
      <c r="C22363" s="309"/>
      <c r="I22363" s="309"/>
      <c r="J22363" s="309"/>
    </row>
    <row r="22364">
      <c r="B22364" s="309"/>
      <c r="C22364" s="309"/>
      <c r="I22364" s="309"/>
      <c r="J22364" s="309"/>
    </row>
    <row r="22365">
      <c r="B22365" s="309"/>
      <c r="C22365" s="309"/>
      <c r="I22365" s="309"/>
      <c r="J22365" s="309"/>
    </row>
    <row r="22366">
      <c r="B22366" s="309"/>
      <c r="C22366" s="309"/>
      <c r="I22366" s="309"/>
      <c r="J22366" s="309"/>
    </row>
    <row r="22367">
      <c r="B22367" s="309"/>
      <c r="C22367" s="309"/>
      <c r="I22367" s="309"/>
      <c r="J22367" s="309"/>
    </row>
    <row r="22368">
      <c r="B22368" s="309"/>
      <c r="C22368" s="309"/>
      <c r="I22368" s="309"/>
      <c r="J22368" s="309"/>
    </row>
    <row r="22369">
      <c r="B22369" s="309"/>
      <c r="C22369" s="309"/>
      <c r="I22369" s="309"/>
      <c r="J22369" s="309"/>
    </row>
    <row r="22370">
      <c r="B22370" s="309"/>
      <c r="C22370" s="309"/>
      <c r="I22370" s="309"/>
      <c r="J22370" s="309"/>
    </row>
    <row r="22371">
      <c r="B22371" s="309"/>
      <c r="C22371" s="309"/>
      <c r="I22371" s="309"/>
      <c r="J22371" s="309"/>
    </row>
    <row r="22372">
      <c r="B22372" s="309"/>
      <c r="C22372" s="309"/>
      <c r="I22372" s="309"/>
      <c r="J22372" s="309"/>
    </row>
    <row r="22373">
      <c r="B22373" s="309"/>
      <c r="C22373" s="309"/>
      <c r="I22373" s="309"/>
      <c r="J22373" s="309"/>
    </row>
    <row r="22374">
      <c r="B22374" s="309"/>
      <c r="C22374" s="309"/>
      <c r="I22374" s="309"/>
      <c r="J22374" s="309"/>
    </row>
    <row r="22375">
      <c r="B22375" s="309"/>
      <c r="C22375" s="309"/>
      <c r="I22375" s="309"/>
      <c r="J22375" s="309"/>
    </row>
    <row r="22376">
      <c r="B22376" s="309"/>
      <c r="C22376" s="309"/>
      <c r="I22376" s="309"/>
      <c r="J22376" s="309"/>
    </row>
    <row r="22377">
      <c r="B22377" s="309"/>
      <c r="C22377" s="309"/>
      <c r="I22377" s="309"/>
      <c r="J22377" s="309"/>
    </row>
    <row r="22378">
      <c r="B22378" s="309"/>
      <c r="C22378" s="309"/>
      <c r="I22378" s="309"/>
      <c r="J22378" s="309"/>
    </row>
    <row r="22379">
      <c r="B22379" s="309"/>
      <c r="C22379" s="309"/>
      <c r="I22379" s="309"/>
      <c r="J22379" s="309"/>
    </row>
    <row r="22380">
      <c r="B22380" s="309"/>
      <c r="C22380" s="309"/>
      <c r="I22380" s="309"/>
      <c r="J22380" s="309"/>
    </row>
    <row r="22381">
      <c r="B22381" s="309"/>
      <c r="C22381" s="309"/>
      <c r="I22381" s="309"/>
      <c r="J22381" s="309"/>
    </row>
    <row r="22382">
      <c r="B22382" s="309"/>
      <c r="C22382" s="309"/>
      <c r="I22382" s="309"/>
      <c r="J22382" s="309"/>
    </row>
    <row r="22383">
      <c r="B22383" s="309"/>
      <c r="C22383" s="309"/>
      <c r="I22383" s="309"/>
      <c r="J22383" s="309"/>
    </row>
    <row r="22384">
      <c r="B22384" s="309"/>
      <c r="C22384" s="309"/>
      <c r="I22384" s="309"/>
      <c r="J22384" s="309"/>
    </row>
    <row r="22385">
      <c r="B22385" s="309"/>
      <c r="C22385" s="309"/>
      <c r="I22385" s="309"/>
      <c r="J22385" s="309"/>
    </row>
    <row r="22386">
      <c r="B22386" s="309"/>
      <c r="C22386" s="309"/>
      <c r="I22386" s="309"/>
      <c r="J22386" s="309"/>
    </row>
    <row r="22387">
      <c r="B22387" s="309"/>
      <c r="C22387" s="309"/>
      <c r="I22387" s="309"/>
      <c r="J22387" s="309"/>
    </row>
    <row r="22388">
      <c r="B22388" s="309"/>
      <c r="C22388" s="309"/>
      <c r="I22388" s="309"/>
      <c r="J22388" s="309"/>
    </row>
    <row r="22389">
      <c r="B22389" s="309"/>
      <c r="C22389" s="309"/>
      <c r="I22389" s="309"/>
      <c r="J22389" s="309"/>
    </row>
    <row r="22390">
      <c r="B22390" s="309"/>
      <c r="C22390" s="309"/>
      <c r="I22390" s="309"/>
      <c r="J22390" s="309"/>
    </row>
    <row r="22391">
      <c r="B22391" s="309"/>
      <c r="C22391" s="309"/>
      <c r="I22391" s="309"/>
      <c r="J22391" s="309"/>
    </row>
    <row r="22392">
      <c r="B22392" s="309"/>
      <c r="C22392" s="309"/>
      <c r="I22392" s="309"/>
      <c r="J22392" s="309"/>
    </row>
    <row r="22393">
      <c r="B22393" s="309"/>
      <c r="C22393" s="309"/>
      <c r="I22393" s="309"/>
      <c r="J22393" s="309"/>
    </row>
    <row r="22394">
      <c r="B22394" s="309"/>
      <c r="C22394" s="309"/>
      <c r="I22394" s="309"/>
      <c r="J22394" s="309"/>
    </row>
    <row r="22395">
      <c r="B22395" s="309"/>
      <c r="C22395" s="309"/>
      <c r="I22395" s="309"/>
      <c r="J22395" s="309"/>
    </row>
    <row r="22396">
      <c r="B22396" s="309"/>
      <c r="C22396" s="309"/>
      <c r="I22396" s="309"/>
      <c r="J22396" s="309"/>
    </row>
    <row r="22397">
      <c r="B22397" s="309"/>
      <c r="C22397" s="309"/>
      <c r="I22397" s="309"/>
      <c r="J22397" s="309"/>
    </row>
    <row r="22398">
      <c r="B22398" s="309"/>
      <c r="C22398" s="309"/>
      <c r="I22398" s="309"/>
      <c r="J22398" s="309"/>
    </row>
    <row r="22399">
      <c r="B22399" s="309"/>
      <c r="C22399" s="309"/>
      <c r="I22399" s="309"/>
      <c r="J22399" s="309"/>
    </row>
    <row r="22400">
      <c r="B22400" s="309"/>
      <c r="C22400" s="309"/>
      <c r="I22400" s="309"/>
      <c r="J22400" s="309"/>
    </row>
    <row r="22401">
      <c r="B22401" s="309"/>
      <c r="C22401" s="309"/>
      <c r="I22401" s="309"/>
      <c r="J22401" s="309"/>
    </row>
    <row r="22402">
      <c r="B22402" s="309"/>
      <c r="C22402" s="309"/>
      <c r="I22402" s="309"/>
      <c r="J22402" s="309"/>
    </row>
    <row r="22403">
      <c r="B22403" s="309"/>
      <c r="C22403" s="309"/>
      <c r="I22403" s="309"/>
      <c r="J22403" s="309"/>
    </row>
    <row r="22404">
      <c r="B22404" s="309"/>
      <c r="C22404" s="309"/>
      <c r="I22404" s="309"/>
      <c r="J22404" s="309"/>
    </row>
    <row r="22405">
      <c r="B22405" s="309"/>
      <c r="C22405" s="309"/>
      <c r="I22405" s="309"/>
      <c r="J22405" s="309"/>
    </row>
    <row r="22406">
      <c r="B22406" s="309"/>
      <c r="C22406" s="309"/>
      <c r="I22406" s="309"/>
      <c r="J22406" s="309"/>
    </row>
    <row r="22407">
      <c r="B22407" s="309"/>
      <c r="C22407" s="309"/>
      <c r="I22407" s="309"/>
      <c r="J22407" s="309"/>
    </row>
    <row r="22408">
      <c r="B22408" s="309"/>
      <c r="C22408" s="309"/>
      <c r="I22408" s="309"/>
      <c r="J22408" s="309"/>
    </row>
    <row r="22409">
      <c r="B22409" s="309"/>
      <c r="C22409" s="309"/>
      <c r="I22409" s="309"/>
      <c r="J22409" s="309"/>
    </row>
    <row r="22410">
      <c r="B22410" s="309"/>
      <c r="C22410" s="309"/>
      <c r="I22410" s="309"/>
      <c r="J22410" s="309"/>
    </row>
    <row r="22411">
      <c r="B22411" s="309"/>
      <c r="C22411" s="309"/>
      <c r="I22411" s="309"/>
      <c r="J22411" s="309"/>
    </row>
    <row r="22412">
      <c r="B22412" s="309"/>
      <c r="C22412" s="309"/>
      <c r="I22412" s="309"/>
      <c r="J22412" s="309"/>
    </row>
    <row r="22413">
      <c r="B22413" s="309"/>
      <c r="C22413" s="309"/>
      <c r="I22413" s="309"/>
      <c r="J22413" s="309"/>
    </row>
    <row r="22414">
      <c r="B22414" s="309"/>
      <c r="C22414" s="309"/>
      <c r="I22414" s="309"/>
      <c r="J22414" s="309"/>
    </row>
    <row r="22415">
      <c r="B22415" s="309"/>
      <c r="C22415" s="309"/>
      <c r="I22415" s="309"/>
      <c r="J22415" s="309"/>
    </row>
    <row r="22416">
      <c r="B22416" s="309"/>
      <c r="C22416" s="309"/>
      <c r="I22416" s="309"/>
      <c r="J22416" s="309"/>
    </row>
    <row r="22417">
      <c r="B22417" s="309"/>
      <c r="C22417" s="309"/>
      <c r="I22417" s="309"/>
      <c r="J22417" s="309"/>
    </row>
    <row r="22418">
      <c r="B22418" s="309"/>
      <c r="C22418" s="309"/>
      <c r="I22418" s="309"/>
      <c r="J22418" s="309"/>
    </row>
    <row r="22419">
      <c r="B22419" s="309"/>
      <c r="C22419" s="309"/>
      <c r="I22419" s="309"/>
      <c r="J22419" s="309"/>
    </row>
    <row r="22420">
      <c r="B22420" s="309"/>
      <c r="C22420" s="309"/>
      <c r="I22420" s="309"/>
      <c r="J22420" s="309"/>
    </row>
    <row r="22421">
      <c r="B22421" s="309"/>
      <c r="C22421" s="309"/>
      <c r="I22421" s="309"/>
      <c r="J22421" s="309"/>
    </row>
    <row r="22422">
      <c r="B22422" s="309"/>
      <c r="C22422" s="309"/>
      <c r="I22422" s="309"/>
      <c r="J22422" s="309"/>
    </row>
    <row r="22423">
      <c r="B22423" s="309"/>
      <c r="C22423" s="309"/>
      <c r="I22423" s="309"/>
      <c r="J22423" s="309"/>
    </row>
    <row r="22424">
      <c r="B22424" s="309"/>
      <c r="C22424" s="309"/>
      <c r="I22424" s="309"/>
      <c r="J22424" s="309"/>
    </row>
    <row r="22425">
      <c r="B22425" s="309"/>
      <c r="C22425" s="309"/>
      <c r="I22425" s="309"/>
      <c r="J22425" s="309"/>
    </row>
    <row r="22426">
      <c r="B22426" s="309"/>
      <c r="C22426" s="309"/>
      <c r="I22426" s="309"/>
      <c r="J22426" s="309"/>
    </row>
    <row r="22427">
      <c r="B22427" s="309"/>
      <c r="C22427" s="309"/>
      <c r="I22427" s="309"/>
      <c r="J22427" s="309"/>
    </row>
    <row r="22428">
      <c r="B22428" s="309"/>
      <c r="C22428" s="309"/>
      <c r="I22428" s="309"/>
      <c r="J22428" s="309"/>
    </row>
    <row r="22429">
      <c r="B22429" s="309"/>
      <c r="C22429" s="309"/>
      <c r="I22429" s="309"/>
      <c r="J22429" s="309"/>
    </row>
    <row r="22430">
      <c r="B22430" s="309"/>
      <c r="C22430" s="309"/>
      <c r="I22430" s="309"/>
      <c r="J22430" s="309"/>
    </row>
    <row r="22431">
      <c r="B22431" s="309"/>
      <c r="C22431" s="309"/>
      <c r="I22431" s="309"/>
      <c r="J22431" s="309"/>
    </row>
    <row r="22432">
      <c r="B22432" s="309"/>
      <c r="C22432" s="309"/>
      <c r="I22432" s="309"/>
      <c r="J22432" s="309"/>
    </row>
    <row r="22433">
      <c r="B22433" s="309"/>
      <c r="C22433" s="309"/>
      <c r="I22433" s="309"/>
      <c r="J22433" s="309"/>
    </row>
    <row r="22434">
      <c r="B22434" s="309"/>
      <c r="C22434" s="309"/>
      <c r="I22434" s="309"/>
      <c r="J22434" s="309"/>
    </row>
    <row r="22435">
      <c r="B22435" s="309"/>
      <c r="C22435" s="309"/>
      <c r="I22435" s="309"/>
      <c r="J22435" s="309"/>
    </row>
    <row r="22436">
      <c r="B22436" s="309"/>
      <c r="C22436" s="309"/>
      <c r="I22436" s="309"/>
      <c r="J22436" s="309"/>
    </row>
    <row r="22437">
      <c r="B22437" s="309"/>
      <c r="C22437" s="309"/>
      <c r="I22437" s="309"/>
      <c r="J22437" s="309"/>
    </row>
    <row r="22438">
      <c r="B22438" s="309"/>
      <c r="C22438" s="309"/>
      <c r="I22438" s="309"/>
      <c r="J22438" s="309"/>
    </row>
    <row r="22439">
      <c r="B22439" s="309"/>
      <c r="C22439" s="309"/>
      <c r="I22439" s="309"/>
      <c r="J22439" s="309"/>
    </row>
    <row r="22440">
      <c r="B22440" s="309"/>
      <c r="C22440" s="309"/>
      <c r="I22440" s="309"/>
      <c r="J22440" s="309"/>
    </row>
    <row r="22441">
      <c r="B22441" s="309"/>
      <c r="C22441" s="309"/>
      <c r="I22441" s="309"/>
      <c r="J22441" s="309"/>
    </row>
    <row r="22442">
      <c r="B22442" s="309"/>
      <c r="C22442" s="309"/>
      <c r="I22442" s="309"/>
      <c r="J22442" s="309"/>
    </row>
    <row r="22443">
      <c r="B22443" s="309"/>
      <c r="C22443" s="309"/>
      <c r="I22443" s="309"/>
      <c r="J22443" s="309"/>
    </row>
    <row r="22444">
      <c r="B22444" s="309"/>
      <c r="C22444" s="309"/>
      <c r="I22444" s="309"/>
      <c r="J22444" s="309"/>
    </row>
    <row r="22445">
      <c r="B22445" s="309"/>
      <c r="C22445" s="309"/>
      <c r="I22445" s="309"/>
      <c r="J22445" s="309"/>
    </row>
    <row r="22446">
      <c r="B22446" s="309"/>
      <c r="C22446" s="309"/>
      <c r="I22446" s="309"/>
      <c r="J22446" s="309"/>
    </row>
    <row r="22447">
      <c r="B22447" s="309"/>
      <c r="C22447" s="309"/>
      <c r="I22447" s="309"/>
      <c r="J22447" s="309"/>
    </row>
    <row r="22448">
      <c r="B22448" s="309"/>
      <c r="C22448" s="309"/>
      <c r="I22448" s="309"/>
      <c r="J22448" s="309"/>
    </row>
    <row r="22449">
      <c r="B22449" s="309"/>
      <c r="C22449" s="309"/>
      <c r="I22449" s="309"/>
      <c r="J22449" s="309"/>
    </row>
    <row r="22450">
      <c r="B22450" s="309"/>
      <c r="C22450" s="309"/>
      <c r="I22450" s="309"/>
      <c r="J22450" s="309"/>
    </row>
    <row r="22451">
      <c r="B22451" s="309"/>
      <c r="C22451" s="309"/>
      <c r="I22451" s="309"/>
      <c r="J22451" s="309"/>
    </row>
    <row r="22452">
      <c r="B22452" s="309"/>
      <c r="C22452" s="309"/>
      <c r="I22452" s="309"/>
      <c r="J22452" s="309"/>
    </row>
    <row r="22453">
      <c r="B22453" s="309"/>
      <c r="C22453" s="309"/>
      <c r="I22453" s="309"/>
      <c r="J22453" s="309"/>
    </row>
    <row r="22454">
      <c r="B22454" s="309"/>
      <c r="C22454" s="309"/>
      <c r="I22454" s="309"/>
      <c r="J22454" s="309"/>
    </row>
    <row r="22455">
      <c r="B22455" s="309"/>
      <c r="C22455" s="309"/>
      <c r="I22455" s="309"/>
      <c r="J22455" s="309"/>
    </row>
    <row r="22456">
      <c r="B22456" s="309"/>
      <c r="C22456" s="309"/>
      <c r="I22456" s="309"/>
      <c r="J22456" s="309"/>
    </row>
    <row r="22457">
      <c r="B22457" s="309"/>
      <c r="C22457" s="309"/>
      <c r="I22457" s="309"/>
      <c r="J22457" s="309"/>
    </row>
    <row r="22458">
      <c r="B22458" s="309"/>
      <c r="C22458" s="309"/>
      <c r="I22458" s="309"/>
      <c r="J22458" s="309"/>
    </row>
    <row r="22459">
      <c r="B22459" s="309"/>
      <c r="C22459" s="309"/>
      <c r="I22459" s="309"/>
      <c r="J22459" s="309"/>
    </row>
    <row r="22460">
      <c r="B22460" s="309"/>
      <c r="C22460" s="309"/>
      <c r="I22460" s="309"/>
      <c r="J22460" s="309"/>
    </row>
    <row r="22461">
      <c r="B22461" s="309"/>
      <c r="C22461" s="309"/>
      <c r="I22461" s="309"/>
      <c r="J22461" s="309"/>
    </row>
    <row r="22462">
      <c r="B22462" s="309"/>
      <c r="C22462" s="309"/>
      <c r="I22462" s="309"/>
      <c r="J22462" s="309"/>
    </row>
    <row r="22463">
      <c r="B22463" s="309"/>
      <c r="C22463" s="309"/>
      <c r="I22463" s="309"/>
      <c r="J22463" s="309"/>
    </row>
    <row r="22464">
      <c r="B22464" s="309"/>
      <c r="C22464" s="309"/>
      <c r="I22464" s="309"/>
      <c r="J22464" s="309"/>
    </row>
    <row r="22465">
      <c r="B22465" s="309"/>
      <c r="C22465" s="309"/>
      <c r="I22465" s="309"/>
      <c r="J22465" s="309"/>
    </row>
    <row r="22466">
      <c r="B22466" s="309"/>
      <c r="C22466" s="309"/>
      <c r="I22466" s="309"/>
      <c r="J22466" s="309"/>
    </row>
    <row r="22467">
      <c r="B22467" s="309"/>
      <c r="C22467" s="309"/>
      <c r="I22467" s="309"/>
      <c r="J22467" s="309"/>
    </row>
    <row r="22468">
      <c r="B22468" s="309"/>
      <c r="C22468" s="309"/>
      <c r="I22468" s="309"/>
      <c r="J22468" s="309"/>
    </row>
    <row r="22469">
      <c r="B22469" s="309"/>
      <c r="C22469" s="309"/>
      <c r="I22469" s="309"/>
      <c r="J22469" s="309"/>
    </row>
    <row r="22470">
      <c r="B22470" s="309"/>
      <c r="C22470" s="309"/>
      <c r="I22470" s="309"/>
      <c r="J22470" s="309"/>
    </row>
    <row r="22471">
      <c r="B22471" s="309"/>
      <c r="C22471" s="309"/>
      <c r="I22471" s="309"/>
      <c r="J22471" s="309"/>
    </row>
    <row r="22472">
      <c r="B22472" s="309"/>
      <c r="C22472" s="309"/>
      <c r="I22472" s="309"/>
      <c r="J22472" s="309"/>
    </row>
    <row r="22473">
      <c r="B22473" s="309"/>
      <c r="C22473" s="309"/>
      <c r="I22473" s="309"/>
      <c r="J22473" s="309"/>
    </row>
    <row r="22474">
      <c r="B22474" s="309"/>
      <c r="C22474" s="309"/>
      <c r="I22474" s="309"/>
      <c r="J22474" s="309"/>
    </row>
    <row r="22475">
      <c r="B22475" s="309"/>
      <c r="C22475" s="309"/>
      <c r="I22475" s="309"/>
      <c r="J22475" s="309"/>
    </row>
    <row r="22476">
      <c r="B22476" s="309"/>
      <c r="C22476" s="309"/>
      <c r="I22476" s="309"/>
      <c r="J22476" s="309"/>
    </row>
    <row r="22477">
      <c r="B22477" s="309"/>
      <c r="C22477" s="309"/>
      <c r="I22477" s="309"/>
      <c r="J22477" s="309"/>
    </row>
    <row r="22478">
      <c r="B22478" s="309"/>
      <c r="C22478" s="309"/>
      <c r="I22478" s="309"/>
      <c r="J22478" s="309"/>
    </row>
    <row r="22479">
      <c r="B22479" s="309"/>
      <c r="C22479" s="309"/>
      <c r="I22479" s="309"/>
      <c r="J22479" s="309"/>
    </row>
    <row r="22480">
      <c r="B22480" s="309"/>
      <c r="C22480" s="309"/>
      <c r="I22480" s="309"/>
      <c r="J22480" s="309"/>
    </row>
    <row r="22481">
      <c r="B22481" s="309"/>
      <c r="C22481" s="309"/>
      <c r="I22481" s="309"/>
      <c r="J22481" s="309"/>
    </row>
    <row r="22482">
      <c r="B22482" s="309"/>
      <c r="C22482" s="309"/>
      <c r="I22482" s="309"/>
      <c r="J22482" s="309"/>
    </row>
    <row r="22483">
      <c r="B22483" s="309"/>
      <c r="C22483" s="309"/>
      <c r="I22483" s="309"/>
      <c r="J22483" s="309"/>
    </row>
    <row r="22484">
      <c r="B22484" s="309"/>
      <c r="C22484" s="309"/>
      <c r="I22484" s="309"/>
      <c r="J22484" s="309"/>
    </row>
    <row r="22485">
      <c r="B22485" s="309"/>
      <c r="C22485" s="309"/>
      <c r="I22485" s="309"/>
      <c r="J22485" s="309"/>
    </row>
    <row r="22486">
      <c r="B22486" s="309"/>
      <c r="C22486" s="309"/>
      <c r="I22486" s="309"/>
      <c r="J22486" s="309"/>
    </row>
    <row r="22487">
      <c r="B22487" s="309"/>
      <c r="C22487" s="309"/>
      <c r="I22487" s="309"/>
      <c r="J22487" s="309"/>
    </row>
    <row r="22488">
      <c r="B22488" s="309"/>
      <c r="C22488" s="309"/>
      <c r="I22488" s="309"/>
      <c r="J22488" s="309"/>
    </row>
    <row r="22489">
      <c r="B22489" s="309"/>
      <c r="C22489" s="309"/>
      <c r="I22489" s="309"/>
      <c r="J22489" s="309"/>
    </row>
    <row r="22490">
      <c r="B22490" s="309"/>
      <c r="C22490" s="309"/>
      <c r="I22490" s="309"/>
      <c r="J22490" s="309"/>
    </row>
    <row r="22491">
      <c r="B22491" s="309"/>
      <c r="C22491" s="309"/>
      <c r="I22491" s="309"/>
      <c r="J22491" s="309"/>
    </row>
    <row r="22492">
      <c r="B22492" s="309"/>
      <c r="C22492" s="309"/>
      <c r="I22492" s="309"/>
      <c r="J22492" s="309"/>
    </row>
    <row r="22493">
      <c r="B22493" s="309"/>
      <c r="C22493" s="309"/>
      <c r="I22493" s="309"/>
      <c r="J22493" s="309"/>
    </row>
    <row r="22494">
      <c r="B22494" s="309"/>
      <c r="C22494" s="309"/>
      <c r="I22494" s="309"/>
      <c r="J22494" s="309"/>
    </row>
    <row r="22495">
      <c r="B22495" s="309"/>
      <c r="C22495" s="309"/>
      <c r="I22495" s="309"/>
      <c r="J22495" s="309"/>
    </row>
    <row r="22496">
      <c r="B22496" s="309"/>
      <c r="C22496" s="309"/>
      <c r="I22496" s="309"/>
      <c r="J22496" s="309"/>
    </row>
    <row r="22497">
      <c r="B22497" s="309"/>
      <c r="C22497" s="309"/>
      <c r="I22497" s="309"/>
      <c r="J22497" s="309"/>
    </row>
    <row r="22498">
      <c r="B22498" s="309"/>
      <c r="C22498" s="309"/>
      <c r="I22498" s="309"/>
      <c r="J22498" s="309"/>
    </row>
    <row r="22499">
      <c r="B22499" s="309"/>
      <c r="C22499" s="309"/>
      <c r="I22499" s="309"/>
      <c r="J22499" s="309"/>
    </row>
    <row r="22500">
      <c r="B22500" s="309"/>
      <c r="C22500" s="309"/>
      <c r="I22500" s="309"/>
      <c r="J22500" s="309"/>
    </row>
    <row r="22501">
      <c r="B22501" s="309"/>
      <c r="C22501" s="309"/>
      <c r="I22501" s="309"/>
      <c r="J22501" s="309"/>
    </row>
    <row r="22502">
      <c r="B22502" s="309"/>
      <c r="C22502" s="309"/>
      <c r="I22502" s="309"/>
      <c r="J22502" s="309"/>
    </row>
    <row r="22503">
      <c r="B22503" s="309"/>
      <c r="C22503" s="309"/>
      <c r="I22503" s="309"/>
      <c r="J22503" s="309"/>
    </row>
    <row r="22504">
      <c r="B22504" s="309"/>
      <c r="C22504" s="309"/>
      <c r="I22504" s="309"/>
      <c r="J22504" s="309"/>
    </row>
    <row r="22505">
      <c r="B22505" s="309"/>
      <c r="C22505" s="309"/>
      <c r="I22505" s="309"/>
      <c r="J22505" s="309"/>
    </row>
    <row r="22506">
      <c r="B22506" s="309"/>
      <c r="C22506" s="309"/>
      <c r="I22506" s="309"/>
      <c r="J22506" s="309"/>
    </row>
    <row r="22507">
      <c r="B22507" s="309"/>
      <c r="C22507" s="309"/>
      <c r="I22507" s="309"/>
      <c r="J22507" s="309"/>
    </row>
    <row r="22508">
      <c r="B22508" s="309"/>
      <c r="C22508" s="309"/>
      <c r="I22508" s="309"/>
      <c r="J22508" s="309"/>
    </row>
    <row r="22509">
      <c r="B22509" s="309"/>
      <c r="C22509" s="309"/>
      <c r="I22509" s="309"/>
      <c r="J22509" s="309"/>
    </row>
    <row r="22510">
      <c r="B22510" s="309"/>
      <c r="C22510" s="309"/>
      <c r="I22510" s="309"/>
      <c r="J22510" s="309"/>
    </row>
    <row r="22511">
      <c r="B22511" s="309"/>
      <c r="C22511" s="309"/>
      <c r="I22511" s="309"/>
      <c r="J22511" s="309"/>
    </row>
    <row r="22512">
      <c r="B22512" s="309"/>
      <c r="C22512" s="309"/>
      <c r="I22512" s="309"/>
      <c r="J22512" s="309"/>
    </row>
    <row r="22513">
      <c r="B22513" s="309"/>
      <c r="C22513" s="309"/>
      <c r="I22513" s="309"/>
      <c r="J22513" s="309"/>
    </row>
    <row r="22514">
      <c r="B22514" s="309"/>
      <c r="C22514" s="309"/>
      <c r="I22514" s="309"/>
      <c r="J22514" s="309"/>
    </row>
    <row r="22515">
      <c r="B22515" s="309"/>
      <c r="C22515" s="309"/>
      <c r="I22515" s="309"/>
      <c r="J22515" s="309"/>
    </row>
    <row r="22516">
      <c r="B22516" s="309"/>
      <c r="C22516" s="309"/>
      <c r="I22516" s="309"/>
      <c r="J22516" s="309"/>
    </row>
    <row r="22517">
      <c r="B22517" s="309"/>
      <c r="C22517" s="309"/>
      <c r="I22517" s="309"/>
      <c r="J22517" s="309"/>
    </row>
    <row r="22518">
      <c r="B22518" s="309"/>
      <c r="C22518" s="309"/>
      <c r="I22518" s="309"/>
      <c r="J22518" s="309"/>
    </row>
    <row r="22519">
      <c r="B22519" s="309"/>
      <c r="C22519" s="309"/>
      <c r="I22519" s="309"/>
      <c r="J22519" s="309"/>
    </row>
    <row r="22520">
      <c r="B22520" s="309"/>
      <c r="C22520" s="309"/>
      <c r="I22520" s="309"/>
      <c r="J22520" s="309"/>
    </row>
    <row r="22521">
      <c r="B22521" s="309"/>
      <c r="C22521" s="309"/>
      <c r="I22521" s="309"/>
      <c r="J22521" s="309"/>
    </row>
    <row r="22522">
      <c r="B22522" s="309"/>
      <c r="C22522" s="309"/>
      <c r="I22522" s="309"/>
      <c r="J22522" s="309"/>
    </row>
    <row r="22523">
      <c r="B22523" s="309"/>
      <c r="C22523" s="309"/>
      <c r="I22523" s="309"/>
      <c r="J22523" s="309"/>
    </row>
    <row r="22524">
      <c r="B22524" s="309"/>
      <c r="C22524" s="309"/>
      <c r="I22524" s="309"/>
      <c r="J22524" s="309"/>
    </row>
    <row r="22525">
      <c r="B22525" s="309"/>
      <c r="C22525" s="309"/>
      <c r="I22525" s="309"/>
      <c r="J22525" s="309"/>
    </row>
    <row r="22526">
      <c r="B22526" s="309"/>
      <c r="C22526" s="309"/>
      <c r="I22526" s="309"/>
      <c r="J22526" s="309"/>
    </row>
    <row r="22527">
      <c r="B22527" s="309"/>
      <c r="C22527" s="309"/>
      <c r="I22527" s="309"/>
      <c r="J22527" s="309"/>
    </row>
    <row r="22528">
      <c r="B22528" s="309"/>
      <c r="C22528" s="309"/>
      <c r="I22528" s="309"/>
      <c r="J22528" s="309"/>
    </row>
    <row r="22529">
      <c r="B22529" s="309"/>
      <c r="C22529" s="309"/>
      <c r="I22529" s="309"/>
      <c r="J22529" s="309"/>
    </row>
    <row r="22530">
      <c r="B22530" s="309"/>
      <c r="C22530" s="309"/>
      <c r="I22530" s="309"/>
      <c r="J22530" s="309"/>
    </row>
    <row r="22531">
      <c r="B22531" s="309"/>
      <c r="C22531" s="309"/>
      <c r="I22531" s="309"/>
      <c r="J22531" s="309"/>
    </row>
    <row r="22532">
      <c r="B22532" s="309"/>
      <c r="C22532" s="309"/>
      <c r="I22532" s="309"/>
      <c r="J22532" s="309"/>
    </row>
    <row r="22533">
      <c r="B22533" s="309"/>
      <c r="C22533" s="309"/>
      <c r="I22533" s="309"/>
      <c r="J22533" s="309"/>
    </row>
    <row r="22534">
      <c r="B22534" s="309"/>
      <c r="C22534" s="309"/>
      <c r="I22534" s="309"/>
      <c r="J22534" s="309"/>
    </row>
    <row r="22535">
      <c r="B22535" s="309"/>
      <c r="C22535" s="309"/>
      <c r="I22535" s="309"/>
      <c r="J22535" s="309"/>
    </row>
    <row r="22536">
      <c r="B22536" s="309"/>
      <c r="C22536" s="309"/>
      <c r="I22536" s="309"/>
      <c r="J22536" s="309"/>
    </row>
    <row r="22537">
      <c r="B22537" s="309"/>
      <c r="C22537" s="309"/>
      <c r="I22537" s="309"/>
      <c r="J22537" s="309"/>
    </row>
    <row r="22538">
      <c r="B22538" s="309"/>
      <c r="C22538" s="309"/>
      <c r="I22538" s="309"/>
      <c r="J22538" s="309"/>
    </row>
    <row r="22539">
      <c r="B22539" s="309"/>
      <c r="C22539" s="309"/>
      <c r="I22539" s="309"/>
      <c r="J22539" s="309"/>
    </row>
    <row r="22540">
      <c r="B22540" s="309"/>
      <c r="C22540" s="309"/>
      <c r="I22540" s="309"/>
      <c r="J22540" s="309"/>
    </row>
    <row r="22541">
      <c r="B22541" s="309"/>
      <c r="C22541" s="309"/>
      <c r="I22541" s="309"/>
      <c r="J22541" s="309"/>
    </row>
    <row r="22542">
      <c r="B22542" s="309"/>
      <c r="C22542" s="309"/>
      <c r="I22542" s="309"/>
      <c r="J22542" s="309"/>
    </row>
    <row r="22543">
      <c r="B22543" s="309"/>
      <c r="C22543" s="309"/>
      <c r="I22543" s="309"/>
      <c r="J22543" s="309"/>
    </row>
    <row r="22544">
      <c r="B22544" s="309"/>
      <c r="C22544" s="309"/>
      <c r="I22544" s="309"/>
      <c r="J22544" s="309"/>
    </row>
    <row r="22545">
      <c r="B22545" s="309"/>
      <c r="C22545" s="309"/>
      <c r="I22545" s="309"/>
      <c r="J22545" s="309"/>
    </row>
    <row r="22546">
      <c r="B22546" s="309"/>
      <c r="C22546" s="309"/>
      <c r="I22546" s="309"/>
      <c r="J22546" s="309"/>
    </row>
    <row r="22547">
      <c r="B22547" s="309"/>
      <c r="C22547" s="309"/>
      <c r="I22547" s="309"/>
      <c r="J22547" s="309"/>
    </row>
    <row r="22548">
      <c r="B22548" s="309"/>
      <c r="C22548" s="309"/>
      <c r="I22548" s="309"/>
      <c r="J22548" s="309"/>
    </row>
    <row r="22549">
      <c r="B22549" s="309"/>
      <c r="C22549" s="309"/>
      <c r="I22549" s="309"/>
      <c r="J22549" s="309"/>
    </row>
    <row r="22550">
      <c r="B22550" s="309"/>
      <c r="C22550" s="309"/>
      <c r="I22550" s="309"/>
      <c r="J22550" s="309"/>
    </row>
    <row r="22551">
      <c r="B22551" s="309"/>
      <c r="C22551" s="309"/>
      <c r="I22551" s="309"/>
      <c r="J22551" s="309"/>
    </row>
    <row r="22552">
      <c r="B22552" s="309"/>
      <c r="C22552" s="309"/>
      <c r="I22552" s="309"/>
      <c r="J22552" s="309"/>
    </row>
    <row r="22553">
      <c r="B22553" s="309"/>
      <c r="C22553" s="309"/>
      <c r="I22553" s="309"/>
      <c r="J22553" s="309"/>
    </row>
    <row r="22554">
      <c r="B22554" s="309"/>
      <c r="C22554" s="309"/>
      <c r="I22554" s="309"/>
      <c r="J22554" s="309"/>
    </row>
    <row r="22555">
      <c r="B22555" s="309"/>
      <c r="C22555" s="309"/>
      <c r="I22555" s="309"/>
      <c r="J22555" s="309"/>
    </row>
    <row r="22556">
      <c r="B22556" s="309"/>
      <c r="C22556" s="309"/>
      <c r="I22556" s="309"/>
      <c r="J22556" s="309"/>
    </row>
    <row r="22557">
      <c r="B22557" s="309"/>
      <c r="C22557" s="309"/>
      <c r="I22557" s="309"/>
      <c r="J22557" s="309"/>
    </row>
    <row r="22558">
      <c r="B22558" s="309"/>
      <c r="C22558" s="309"/>
      <c r="I22558" s="309"/>
      <c r="J22558" s="309"/>
    </row>
    <row r="22559">
      <c r="B22559" s="309"/>
      <c r="C22559" s="309"/>
      <c r="I22559" s="309"/>
      <c r="J22559" s="309"/>
    </row>
    <row r="22560">
      <c r="B22560" s="309"/>
      <c r="C22560" s="309"/>
      <c r="I22560" s="309"/>
      <c r="J22560" s="309"/>
    </row>
    <row r="22561">
      <c r="B22561" s="309"/>
      <c r="C22561" s="309"/>
      <c r="I22561" s="309"/>
      <c r="J22561" s="309"/>
    </row>
    <row r="22562">
      <c r="B22562" s="309"/>
      <c r="C22562" s="309"/>
      <c r="I22562" s="309"/>
      <c r="J22562" s="309"/>
    </row>
    <row r="22563">
      <c r="B22563" s="309"/>
      <c r="C22563" s="309"/>
      <c r="I22563" s="309"/>
      <c r="J22563" s="309"/>
    </row>
    <row r="22564">
      <c r="B22564" s="309"/>
      <c r="C22564" s="309"/>
      <c r="I22564" s="309"/>
      <c r="J22564" s="309"/>
    </row>
    <row r="22565">
      <c r="B22565" s="309"/>
      <c r="C22565" s="309"/>
      <c r="I22565" s="309"/>
      <c r="J22565" s="309"/>
    </row>
    <row r="22566">
      <c r="B22566" s="309"/>
      <c r="C22566" s="309"/>
      <c r="I22566" s="309"/>
      <c r="J22566" s="309"/>
    </row>
    <row r="22567">
      <c r="B22567" s="309"/>
      <c r="C22567" s="309"/>
      <c r="I22567" s="309"/>
      <c r="J22567" s="309"/>
    </row>
    <row r="22568">
      <c r="B22568" s="309"/>
      <c r="C22568" s="309"/>
      <c r="I22568" s="309"/>
      <c r="J22568" s="309"/>
    </row>
    <row r="22569">
      <c r="B22569" s="309"/>
      <c r="C22569" s="309"/>
      <c r="I22569" s="309"/>
      <c r="J22569" s="309"/>
    </row>
    <row r="22570">
      <c r="B22570" s="309"/>
      <c r="C22570" s="309"/>
      <c r="I22570" s="309"/>
      <c r="J22570" s="309"/>
    </row>
    <row r="22571">
      <c r="B22571" s="309"/>
      <c r="C22571" s="309"/>
      <c r="I22571" s="309"/>
      <c r="J22571" s="309"/>
    </row>
    <row r="22572">
      <c r="B22572" s="309"/>
      <c r="C22572" s="309"/>
      <c r="I22572" s="309"/>
      <c r="J22572" s="309"/>
    </row>
    <row r="22573">
      <c r="B22573" s="309"/>
      <c r="C22573" s="309"/>
      <c r="I22573" s="309"/>
      <c r="J22573" s="309"/>
    </row>
    <row r="22574">
      <c r="B22574" s="309"/>
      <c r="C22574" s="309"/>
      <c r="I22574" s="309"/>
      <c r="J22574" s="309"/>
    </row>
    <row r="22575">
      <c r="B22575" s="309"/>
      <c r="C22575" s="309"/>
      <c r="I22575" s="309"/>
      <c r="J22575" s="309"/>
    </row>
    <row r="22576">
      <c r="B22576" s="309"/>
      <c r="C22576" s="309"/>
      <c r="I22576" s="309"/>
      <c r="J22576" s="309"/>
    </row>
    <row r="22577">
      <c r="B22577" s="309"/>
      <c r="C22577" s="309"/>
      <c r="I22577" s="309"/>
      <c r="J22577" s="309"/>
    </row>
    <row r="22578">
      <c r="B22578" s="309"/>
      <c r="C22578" s="309"/>
      <c r="I22578" s="309"/>
      <c r="J22578" s="309"/>
    </row>
    <row r="22579">
      <c r="B22579" s="309"/>
      <c r="C22579" s="309"/>
      <c r="I22579" s="309"/>
      <c r="J22579" s="309"/>
    </row>
    <row r="22580">
      <c r="B22580" s="309"/>
      <c r="C22580" s="309"/>
      <c r="I22580" s="309"/>
      <c r="J22580" s="309"/>
    </row>
    <row r="22581">
      <c r="B22581" s="309"/>
      <c r="C22581" s="309"/>
      <c r="I22581" s="309"/>
      <c r="J22581" s="309"/>
    </row>
    <row r="22582">
      <c r="B22582" s="309"/>
      <c r="C22582" s="309"/>
      <c r="I22582" s="309"/>
      <c r="J22582" s="309"/>
    </row>
    <row r="22583">
      <c r="B22583" s="309"/>
      <c r="C22583" s="309"/>
      <c r="I22583" s="309"/>
      <c r="J22583" s="309"/>
    </row>
    <row r="22584">
      <c r="B22584" s="309"/>
      <c r="C22584" s="309"/>
      <c r="I22584" s="309"/>
      <c r="J22584" s="309"/>
    </row>
    <row r="22585">
      <c r="B22585" s="309"/>
      <c r="C22585" s="309"/>
      <c r="I22585" s="309"/>
      <c r="J22585" s="309"/>
    </row>
    <row r="22586">
      <c r="B22586" s="309"/>
      <c r="C22586" s="309"/>
      <c r="I22586" s="309"/>
      <c r="J22586" s="309"/>
    </row>
    <row r="22587">
      <c r="B22587" s="309"/>
      <c r="C22587" s="309"/>
      <c r="I22587" s="309"/>
      <c r="J22587" s="309"/>
    </row>
    <row r="22588">
      <c r="B22588" s="309"/>
      <c r="C22588" s="309"/>
      <c r="I22588" s="309"/>
      <c r="J22588" s="309"/>
    </row>
    <row r="22589">
      <c r="B22589" s="309"/>
      <c r="C22589" s="309"/>
      <c r="I22589" s="309"/>
      <c r="J22589" s="309"/>
    </row>
    <row r="22590">
      <c r="B22590" s="309"/>
      <c r="C22590" s="309"/>
      <c r="I22590" s="309"/>
      <c r="J22590" s="309"/>
    </row>
    <row r="22591">
      <c r="B22591" s="309"/>
      <c r="C22591" s="309"/>
      <c r="I22591" s="309"/>
      <c r="J22591" s="309"/>
    </row>
    <row r="22592">
      <c r="B22592" s="309"/>
      <c r="C22592" s="309"/>
      <c r="I22592" s="309"/>
      <c r="J22592" s="309"/>
    </row>
    <row r="22593">
      <c r="B22593" s="309"/>
      <c r="C22593" s="309"/>
      <c r="I22593" s="309"/>
      <c r="J22593" s="309"/>
    </row>
    <row r="22594">
      <c r="B22594" s="309"/>
      <c r="C22594" s="309"/>
      <c r="I22594" s="309"/>
      <c r="J22594" s="309"/>
    </row>
    <row r="22595">
      <c r="B22595" s="309"/>
      <c r="C22595" s="309"/>
      <c r="I22595" s="309"/>
      <c r="J22595" s="309"/>
    </row>
    <row r="22596">
      <c r="B22596" s="309"/>
      <c r="C22596" s="309"/>
      <c r="I22596" s="309"/>
      <c r="J22596" s="309"/>
    </row>
    <row r="22597">
      <c r="B22597" s="309"/>
      <c r="C22597" s="309"/>
      <c r="I22597" s="309"/>
      <c r="J22597" s="309"/>
    </row>
    <row r="22598">
      <c r="B22598" s="309"/>
      <c r="C22598" s="309"/>
      <c r="I22598" s="309"/>
      <c r="J22598" s="309"/>
    </row>
    <row r="22599">
      <c r="B22599" s="309"/>
      <c r="C22599" s="309"/>
      <c r="I22599" s="309"/>
      <c r="J22599" s="309"/>
    </row>
    <row r="22600">
      <c r="B22600" s="309"/>
      <c r="C22600" s="309"/>
      <c r="I22600" s="309"/>
      <c r="J22600" s="309"/>
    </row>
    <row r="22601">
      <c r="B22601" s="309"/>
      <c r="C22601" s="309"/>
      <c r="I22601" s="309"/>
      <c r="J22601" s="309"/>
    </row>
    <row r="22602">
      <c r="B22602" s="309"/>
      <c r="C22602" s="309"/>
      <c r="I22602" s="309"/>
      <c r="J22602" s="309"/>
    </row>
    <row r="22603">
      <c r="B22603" s="309"/>
      <c r="C22603" s="309"/>
      <c r="I22603" s="309"/>
      <c r="J22603" s="309"/>
    </row>
    <row r="22604">
      <c r="B22604" s="309"/>
      <c r="C22604" s="309"/>
      <c r="I22604" s="309"/>
      <c r="J22604" s="309"/>
    </row>
    <row r="22605">
      <c r="B22605" s="309"/>
      <c r="C22605" s="309"/>
      <c r="I22605" s="309"/>
      <c r="J22605" s="309"/>
    </row>
    <row r="22606">
      <c r="B22606" s="309"/>
      <c r="C22606" s="309"/>
      <c r="I22606" s="309"/>
      <c r="J22606" s="309"/>
    </row>
    <row r="22607">
      <c r="B22607" s="309"/>
      <c r="C22607" s="309"/>
      <c r="I22607" s="309"/>
      <c r="J22607" s="309"/>
    </row>
    <row r="22608">
      <c r="B22608" s="309"/>
      <c r="C22608" s="309"/>
      <c r="I22608" s="309"/>
      <c r="J22608" s="309"/>
    </row>
    <row r="22609">
      <c r="B22609" s="309"/>
      <c r="C22609" s="309"/>
      <c r="I22609" s="309"/>
      <c r="J22609" s="309"/>
    </row>
    <row r="22610">
      <c r="B22610" s="309"/>
      <c r="C22610" s="309"/>
      <c r="I22610" s="309"/>
      <c r="J22610" s="309"/>
    </row>
    <row r="22611">
      <c r="B22611" s="309"/>
      <c r="C22611" s="309"/>
      <c r="I22611" s="309"/>
      <c r="J22611" s="309"/>
    </row>
    <row r="22612">
      <c r="B22612" s="309"/>
      <c r="C22612" s="309"/>
      <c r="I22612" s="309"/>
      <c r="J22612" s="309"/>
    </row>
    <row r="22613">
      <c r="B22613" s="309"/>
      <c r="C22613" s="309"/>
      <c r="I22613" s="309"/>
      <c r="J22613" s="309"/>
    </row>
    <row r="22614">
      <c r="B22614" s="309"/>
      <c r="C22614" s="309"/>
      <c r="I22614" s="309"/>
      <c r="J22614" s="309"/>
    </row>
    <row r="22615">
      <c r="B22615" s="309"/>
      <c r="C22615" s="309"/>
      <c r="I22615" s="309"/>
      <c r="J22615" s="309"/>
    </row>
    <row r="22616">
      <c r="B22616" s="309"/>
      <c r="C22616" s="309"/>
      <c r="I22616" s="309"/>
      <c r="J22616" s="309"/>
    </row>
    <row r="22617">
      <c r="B22617" s="309"/>
      <c r="C22617" s="309"/>
      <c r="I22617" s="309"/>
      <c r="J22617" s="309"/>
    </row>
    <row r="22618">
      <c r="B22618" s="309"/>
      <c r="C22618" s="309"/>
      <c r="I22618" s="309"/>
      <c r="J22618" s="309"/>
    </row>
    <row r="22619">
      <c r="B22619" s="309"/>
      <c r="C22619" s="309"/>
      <c r="I22619" s="309"/>
      <c r="J22619" s="309"/>
    </row>
    <row r="22620">
      <c r="B22620" s="309"/>
      <c r="C22620" s="309"/>
      <c r="I22620" s="309"/>
      <c r="J22620" s="309"/>
    </row>
    <row r="22621">
      <c r="B22621" s="309"/>
      <c r="C22621" s="309"/>
      <c r="I22621" s="309"/>
      <c r="J22621" s="309"/>
    </row>
    <row r="22622">
      <c r="B22622" s="309"/>
      <c r="C22622" s="309"/>
      <c r="I22622" s="309"/>
      <c r="J22622" s="309"/>
    </row>
    <row r="22623">
      <c r="B22623" s="309"/>
      <c r="C22623" s="309"/>
      <c r="I22623" s="309"/>
      <c r="J22623" s="309"/>
    </row>
    <row r="22624">
      <c r="B22624" s="309"/>
      <c r="C22624" s="309"/>
      <c r="I22624" s="309"/>
      <c r="J22624" s="309"/>
    </row>
    <row r="22625">
      <c r="B22625" s="309"/>
      <c r="C22625" s="309"/>
      <c r="I22625" s="309"/>
      <c r="J22625" s="309"/>
    </row>
    <row r="22626">
      <c r="B22626" s="309"/>
      <c r="C22626" s="309"/>
      <c r="I22626" s="309"/>
      <c r="J22626" s="309"/>
    </row>
    <row r="22627">
      <c r="B22627" s="309"/>
      <c r="C22627" s="309"/>
      <c r="I22627" s="309"/>
      <c r="J22627" s="309"/>
    </row>
    <row r="22628">
      <c r="B22628" s="309"/>
      <c r="C22628" s="309"/>
      <c r="I22628" s="309"/>
      <c r="J22628" s="309"/>
    </row>
    <row r="22629">
      <c r="B22629" s="309"/>
      <c r="C22629" s="309"/>
      <c r="I22629" s="309"/>
      <c r="J22629" s="309"/>
    </row>
    <row r="22630">
      <c r="B22630" s="309"/>
      <c r="C22630" s="309"/>
      <c r="I22630" s="309"/>
      <c r="J22630" s="309"/>
    </row>
    <row r="22631">
      <c r="B22631" s="309"/>
      <c r="C22631" s="309"/>
      <c r="I22631" s="309"/>
      <c r="J22631" s="309"/>
    </row>
    <row r="22632">
      <c r="B22632" s="309"/>
      <c r="C22632" s="309"/>
      <c r="I22632" s="309"/>
      <c r="J22632" s="309"/>
    </row>
    <row r="22633">
      <c r="B22633" s="309"/>
      <c r="C22633" s="309"/>
      <c r="I22633" s="309"/>
      <c r="J22633" s="309"/>
    </row>
    <row r="22634">
      <c r="B22634" s="309"/>
      <c r="C22634" s="309"/>
      <c r="I22634" s="309"/>
      <c r="J22634" s="309"/>
    </row>
    <row r="22635">
      <c r="B22635" s="309"/>
      <c r="C22635" s="309"/>
      <c r="I22635" s="309"/>
      <c r="J22635" s="309"/>
    </row>
    <row r="22636">
      <c r="B22636" s="309"/>
      <c r="C22636" s="309"/>
      <c r="I22636" s="309"/>
      <c r="J22636" s="309"/>
    </row>
    <row r="22637">
      <c r="B22637" s="309"/>
      <c r="C22637" s="309"/>
      <c r="I22637" s="309"/>
      <c r="J22637" s="309"/>
    </row>
    <row r="22638">
      <c r="B22638" s="309"/>
      <c r="C22638" s="309"/>
      <c r="I22638" s="309"/>
      <c r="J22638" s="309"/>
    </row>
    <row r="22639">
      <c r="B22639" s="309"/>
      <c r="C22639" s="309"/>
      <c r="I22639" s="309"/>
      <c r="J22639" s="309"/>
    </row>
    <row r="22640">
      <c r="B22640" s="309"/>
      <c r="C22640" s="309"/>
      <c r="I22640" s="309"/>
      <c r="J22640" s="309"/>
    </row>
    <row r="22641">
      <c r="B22641" s="309"/>
      <c r="C22641" s="309"/>
      <c r="I22641" s="309"/>
      <c r="J22641" s="309"/>
    </row>
    <row r="22642">
      <c r="B22642" s="309"/>
      <c r="C22642" s="309"/>
      <c r="I22642" s="309"/>
      <c r="J22642" s="309"/>
    </row>
    <row r="22643">
      <c r="B22643" s="309"/>
      <c r="C22643" s="309"/>
      <c r="I22643" s="309"/>
      <c r="J22643" s="309"/>
    </row>
    <row r="22644">
      <c r="B22644" s="309"/>
      <c r="C22644" s="309"/>
      <c r="I22644" s="309"/>
      <c r="J22644" s="309"/>
    </row>
    <row r="22645">
      <c r="B22645" s="309"/>
      <c r="C22645" s="309"/>
      <c r="I22645" s="309"/>
      <c r="J22645" s="309"/>
    </row>
    <row r="22646">
      <c r="B22646" s="309"/>
      <c r="C22646" s="309"/>
      <c r="I22646" s="309"/>
      <c r="J22646" s="309"/>
    </row>
    <row r="22647">
      <c r="B22647" s="309"/>
      <c r="C22647" s="309"/>
      <c r="I22647" s="309"/>
      <c r="J22647" s="309"/>
    </row>
    <row r="22648">
      <c r="B22648" s="309"/>
      <c r="C22648" s="309"/>
      <c r="I22648" s="309"/>
      <c r="J22648" s="309"/>
    </row>
    <row r="22649">
      <c r="B22649" s="309"/>
      <c r="C22649" s="309"/>
      <c r="I22649" s="309"/>
      <c r="J22649" s="309"/>
    </row>
    <row r="22650">
      <c r="B22650" s="309"/>
      <c r="C22650" s="309"/>
      <c r="I22650" s="309"/>
      <c r="J22650" s="309"/>
    </row>
    <row r="22651">
      <c r="B22651" s="309"/>
      <c r="C22651" s="309"/>
      <c r="I22651" s="309"/>
      <c r="J22651" s="309"/>
    </row>
    <row r="22652">
      <c r="B22652" s="309"/>
      <c r="C22652" s="309"/>
      <c r="I22652" s="309"/>
      <c r="J22652" s="309"/>
    </row>
    <row r="22653">
      <c r="B22653" s="309"/>
      <c r="C22653" s="309"/>
      <c r="I22653" s="309"/>
      <c r="J22653" s="309"/>
    </row>
    <row r="22654">
      <c r="B22654" s="309"/>
      <c r="C22654" s="309"/>
      <c r="I22654" s="309"/>
      <c r="J22654" s="309"/>
    </row>
    <row r="22655">
      <c r="B22655" s="309"/>
      <c r="C22655" s="309"/>
      <c r="I22655" s="309"/>
      <c r="J22655" s="309"/>
    </row>
    <row r="22656">
      <c r="B22656" s="309"/>
      <c r="C22656" s="309"/>
      <c r="I22656" s="309"/>
      <c r="J22656" s="309"/>
    </row>
    <row r="22657">
      <c r="B22657" s="309"/>
      <c r="C22657" s="309"/>
      <c r="I22657" s="309"/>
      <c r="J22657" s="309"/>
    </row>
    <row r="22658">
      <c r="B22658" s="309"/>
      <c r="C22658" s="309"/>
      <c r="I22658" s="309"/>
      <c r="J22658" s="309"/>
    </row>
    <row r="22659">
      <c r="B22659" s="309"/>
      <c r="C22659" s="309"/>
      <c r="I22659" s="309"/>
      <c r="J22659" s="309"/>
    </row>
    <row r="22660">
      <c r="B22660" s="309"/>
      <c r="C22660" s="309"/>
      <c r="I22660" s="309"/>
      <c r="J22660" s="309"/>
    </row>
    <row r="22661">
      <c r="B22661" s="309"/>
      <c r="C22661" s="309"/>
      <c r="I22661" s="309"/>
      <c r="J22661" s="309"/>
    </row>
    <row r="22662">
      <c r="B22662" s="309"/>
      <c r="C22662" s="309"/>
      <c r="I22662" s="309"/>
      <c r="J22662" s="309"/>
    </row>
    <row r="22663">
      <c r="B22663" s="309"/>
      <c r="C22663" s="309"/>
      <c r="I22663" s="309"/>
      <c r="J22663" s="309"/>
    </row>
    <row r="22664">
      <c r="B22664" s="309"/>
      <c r="C22664" s="309"/>
      <c r="I22664" s="309"/>
      <c r="J22664" s="309"/>
    </row>
    <row r="22665">
      <c r="B22665" s="309"/>
      <c r="C22665" s="309"/>
      <c r="I22665" s="309"/>
      <c r="J22665" s="309"/>
    </row>
    <row r="22666">
      <c r="B22666" s="309"/>
      <c r="C22666" s="309"/>
      <c r="I22666" s="309"/>
      <c r="J22666" s="309"/>
    </row>
    <row r="22667">
      <c r="B22667" s="309"/>
      <c r="C22667" s="309"/>
      <c r="I22667" s="309"/>
      <c r="J22667" s="309"/>
    </row>
    <row r="22668">
      <c r="B22668" s="309"/>
      <c r="C22668" s="309"/>
      <c r="I22668" s="309"/>
      <c r="J22668" s="309"/>
    </row>
    <row r="22669">
      <c r="B22669" s="309"/>
      <c r="C22669" s="309"/>
      <c r="I22669" s="309"/>
      <c r="J22669" s="309"/>
    </row>
    <row r="22670">
      <c r="B22670" s="309"/>
      <c r="C22670" s="309"/>
      <c r="I22670" s="309"/>
      <c r="J22670" s="309"/>
    </row>
    <row r="22671">
      <c r="B22671" s="309"/>
      <c r="C22671" s="309"/>
      <c r="I22671" s="309"/>
      <c r="J22671" s="309"/>
    </row>
    <row r="22672">
      <c r="B22672" s="309"/>
      <c r="C22672" s="309"/>
      <c r="I22672" s="309"/>
      <c r="J22672" s="309"/>
    </row>
    <row r="22673">
      <c r="B22673" s="309"/>
      <c r="C22673" s="309"/>
      <c r="I22673" s="309"/>
      <c r="J22673" s="309"/>
    </row>
    <row r="22674">
      <c r="B22674" s="309"/>
      <c r="C22674" s="309"/>
      <c r="I22674" s="309"/>
      <c r="J22674" s="309"/>
    </row>
    <row r="22675">
      <c r="B22675" s="309"/>
      <c r="C22675" s="309"/>
      <c r="I22675" s="309"/>
      <c r="J22675" s="309"/>
    </row>
    <row r="22676">
      <c r="B22676" s="309"/>
      <c r="C22676" s="309"/>
      <c r="I22676" s="309"/>
      <c r="J22676" s="309"/>
    </row>
    <row r="22677">
      <c r="B22677" s="309"/>
      <c r="C22677" s="309"/>
      <c r="I22677" s="309"/>
      <c r="J22677" s="309"/>
    </row>
    <row r="22678">
      <c r="B22678" s="309"/>
      <c r="C22678" s="309"/>
      <c r="I22678" s="309"/>
      <c r="J22678" s="309"/>
    </row>
    <row r="22679">
      <c r="B22679" s="309"/>
      <c r="C22679" s="309"/>
      <c r="I22679" s="309"/>
      <c r="J22679" s="309"/>
    </row>
    <row r="22680">
      <c r="B22680" s="309"/>
      <c r="C22680" s="309"/>
      <c r="I22680" s="309"/>
      <c r="J22680" s="309"/>
    </row>
    <row r="22681">
      <c r="B22681" s="309"/>
      <c r="C22681" s="309"/>
      <c r="I22681" s="309"/>
      <c r="J22681" s="309"/>
    </row>
    <row r="22682">
      <c r="B22682" s="309"/>
      <c r="C22682" s="309"/>
      <c r="I22682" s="309"/>
      <c r="J22682" s="309"/>
    </row>
    <row r="22683">
      <c r="B22683" s="309"/>
      <c r="C22683" s="309"/>
      <c r="I22683" s="309"/>
      <c r="J22683" s="309"/>
    </row>
    <row r="22684">
      <c r="B22684" s="309"/>
      <c r="C22684" s="309"/>
      <c r="I22684" s="309"/>
      <c r="J22684" s="309"/>
    </row>
    <row r="22685">
      <c r="B22685" s="309"/>
      <c r="C22685" s="309"/>
      <c r="I22685" s="309"/>
      <c r="J22685" s="309"/>
    </row>
    <row r="22686">
      <c r="B22686" s="309"/>
      <c r="C22686" s="309"/>
      <c r="I22686" s="309"/>
      <c r="J22686" s="309"/>
    </row>
    <row r="22687">
      <c r="B22687" s="309"/>
      <c r="C22687" s="309"/>
      <c r="I22687" s="309"/>
      <c r="J22687" s="309"/>
    </row>
    <row r="22688">
      <c r="B22688" s="309"/>
      <c r="C22688" s="309"/>
      <c r="I22688" s="309"/>
      <c r="J22688" s="309"/>
    </row>
    <row r="22689">
      <c r="B22689" s="309"/>
      <c r="C22689" s="309"/>
      <c r="I22689" s="309"/>
      <c r="J22689" s="309"/>
    </row>
    <row r="22690">
      <c r="B22690" s="309"/>
      <c r="C22690" s="309"/>
      <c r="I22690" s="309"/>
      <c r="J22690" s="309"/>
    </row>
    <row r="22691">
      <c r="B22691" s="309"/>
      <c r="C22691" s="309"/>
      <c r="I22691" s="309"/>
      <c r="J22691" s="309"/>
    </row>
    <row r="22692">
      <c r="B22692" s="309"/>
      <c r="C22692" s="309"/>
      <c r="I22692" s="309"/>
      <c r="J22692" s="309"/>
    </row>
    <row r="22693">
      <c r="B22693" s="309"/>
      <c r="C22693" s="309"/>
      <c r="I22693" s="309"/>
      <c r="J22693" s="309"/>
    </row>
    <row r="22694">
      <c r="B22694" s="309"/>
      <c r="C22694" s="309"/>
      <c r="I22694" s="309"/>
      <c r="J22694" s="309"/>
    </row>
    <row r="22695">
      <c r="B22695" s="309"/>
      <c r="C22695" s="309"/>
      <c r="I22695" s="309"/>
      <c r="J22695" s="309"/>
    </row>
    <row r="22696">
      <c r="B22696" s="309"/>
      <c r="C22696" s="309"/>
      <c r="I22696" s="309"/>
      <c r="J22696" s="309"/>
    </row>
    <row r="22697">
      <c r="B22697" s="309"/>
      <c r="C22697" s="309"/>
      <c r="I22697" s="309"/>
      <c r="J22697" s="309"/>
    </row>
    <row r="22698">
      <c r="B22698" s="309"/>
      <c r="C22698" s="309"/>
      <c r="I22698" s="309"/>
      <c r="J22698" s="309"/>
    </row>
    <row r="22699">
      <c r="B22699" s="309"/>
      <c r="C22699" s="309"/>
      <c r="I22699" s="309"/>
      <c r="J22699" s="309"/>
    </row>
    <row r="22700">
      <c r="B22700" s="309"/>
      <c r="C22700" s="309"/>
      <c r="I22700" s="309"/>
      <c r="J22700" s="309"/>
    </row>
    <row r="22701">
      <c r="B22701" s="309"/>
      <c r="C22701" s="309"/>
      <c r="I22701" s="309"/>
      <c r="J22701" s="309"/>
    </row>
    <row r="22702">
      <c r="B22702" s="309"/>
      <c r="C22702" s="309"/>
      <c r="I22702" s="309"/>
      <c r="J22702" s="309"/>
    </row>
    <row r="22703">
      <c r="B22703" s="309"/>
      <c r="C22703" s="309"/>
      <c r="I22703" s="309"/>
      <c r="J22703" s="309"/>
    </row>
    <row r="22704">
      <c r="B22704" s="309"/>
      <c r="C22704" s="309"/>
      <c r="I22704" s="309"/>
      <c r="J22704" s="309"/>
    </row>
    <row r="22705">
      <c r="B22705" s="309"/>
      <c r="C22705" s="309"/>
      <c r="I22705" s="309"/>
      <c r="J22705" s="309"/>
    </row>
    <row r="22706">
      <c r="B22706" s="309"/>
      <c r="C22706" s="309"/>
      <c r="I22706" s="309"/>
      <c r="J22706" s="309"/>
    </row>
    <row r="22707">
      <c r="B22707" s="309"/>
      <c r="C22707" s="309"/>
      <c r="I22707" s="309"/>
      <c r="J22707" s="309"/>
    </row>
    <row r="22708">
      <c r="B22708" s="309"/>
      <c r="C22708" s="309"/>
      <c r="I22708" s="309"/>
      <c r="J22708" s="309"/>
    </row>
    <row r="22709">
      <c r="B22709" s="309"/>
      <c r="C22709" s="309"/>
      <c r="I22709" s="309"/>
      <c r="J22709" s="309"/>
    </row>
    <row r="22710">
      <c r="B22710" s="309"/>
      <c r="C22710" s="309"/>
      <c r="I22710" s="309"/>
      <c r="J22710" s="309"/>
    </row>
    <row r="22711">
      <c r="B22711" s="309"/>
      <c r="C22711" s="309"/>
      <c r="I22711" s="309"/>
      <c r="J22711" s="309"/>
    </row>
    <row r="22712">
      <c r="B22712" s="309"/>
      <c r="C22712" s="309"/>
      <c r="I22712" s="309"/>
      <c r="J22712" s="309"/>
    </row>
    <row r="22713">
      <c r="B22713" s="309"/>
      <c r="C22713" s="309"/>
      <c r="I22713" s="309"/>
      <c r="J22713" s="309"/>
    </row>
    <row r="22714">
      <c r="B22714" s="309"/>
      <c r="C22714" s="309"/>
      <c r="I22714" s="309"/>
      <c r="J22714" s="309"/>
    </row>
    <row r="22715">
      <c r="B22715" s="309"/>
      <c r="C22715" s="309"/>
      <c r="I22715" s="309"/>
      <c r="J22715" s="309"/>
    </row>
    <row r="22716">
      <c r="B22716" s="309"/>
      <c r="C22716" s="309"/>
      <c r="I22716" s="309"/>
      <c r="J22716" s="309"/>
    </row>
    <row r="22717">
      <c r="B22717" s="309"/>
      <c r="C22717" s="309"/>
      <c r="I22717" s="309"/>
      <c r="J22717" s="309"/>
    </row>
    <row r="22718">
      <c r="B22718" s="309"/>
      <c r="C22718" s="309"/>
      <c r="I22718" s="309"/>
      <c r="J22718" s="309"/>
    </row>
    <row r="22719">
      <c r="B22719" s="309"/>
      <c r="C22719" s="309"/>
      <c r="I22719" s="309"/>
      <c r="J22719" s="309"/>
    </row>
    <row r="22720">
      <c r="B22720" s="309"/>
      <c r="C22720" s="309"/>
      <c r="I22720" s="309"/>
      <c r="J22720" s="309"/>
    </row>
    <row r="22721">
      <c r="B22721" s="309"/>
      <c r="C22721" s="309"/>
      <c r="I22721" s="309"/>
      <c r="J22721" s="309"/>
    </row>
    <row r="22722">
      <c r="B22722" s="309"/>
      <c r="C22722" s="309"/>
      <c r="I22722" s="309"/>
      <c r="J22722" s="309"/>
    </row>
    <row r="22723">
      <c r="B22723" s="309"/>
      <c r="C22723" s="309"/>
      <c r="I22723" s="309"/>
      <c r="J22723" s="309"/>
    </row>
    <row r="22724">
      <c r="B22724" s="309"/>
      <c r="C22724" s="309"/>
      <c r="I22724" s="309"/>
      <c r="J22724" s="309"/>
    </row>
    <row r="22725">
      <c r="B22725" s="309"/>
      <c r="C22725" s="309"/>
      <c r="I22725" s="309"/>
      <c r="J22725" s="309"/>
    </row>
    <row r="22726">
      <c r="B22726" s="309"/>
      <c r="C22726" s="309"/>
      <c r="I22726" s="309"/>
      <c r="J22726" s="309"/>
    </row>
    <row r="22727">
      <c r="B22727" s="309"/>
      <c r="C22727" s="309"/>
      <c r="I22727" s="309"/>
      <c r="J22727" s="309"/>
    </row>
    <row r="22728">
      <c r="B22728" s="309"/>
      <c r="C22728" s="309"/>
      <c r="I22728" s="309"/>
      <c r="J22728" s="309"/>
    </row>
    <row r="22729">
      <c r="B22729" s="309"/>
      <c r="C22729" s="309"/>
      <c r="I22729" s="309"/>
      <c r="J22729" s="309"/>
    </row>
    <row r="22730">
      <c r="B22730" s="309"/>
      <c r="C22730" s="309"/>
      <c r="I22730" s="309"/>
      <c r="J22730" s="309"/>
    </row>
    <row r="22731">
      <c r="B22731" s="309"/>
      <c r="C22731" s="309"/>
      <c r="I22731" s="309"/>
      <c r="J22731" s="309"/>
    </row>
    <row r="22732">
      <c r="B22732" s="309"/>
      <c r="C22732" s="309"/>
      <c r="I22732" s="309"/>
      <c r="J22732" s="309"/>
    </row>
    <row r="22733">
      <c r="B22733" s="309"/>
      <c r="C22733" s="309"/>
      <c r="I22733" s="309"/>
      <c r="J22733" s="309"/>
    </row>
    <row r="22734">
      <c r="B22734" s="309"/>
      <c r="C22734" s="309"/>
      <c r="I22734" s="309"/>
      <c r="J22734" s="309"/>
    </row>
    <row r="22735">
      <c r="B22735" s="309"/>
      <c r="C22735" s="309"/>
      <c r="I22735" s="309"/>
      <c r="J22735" s="309"/>
    </row>
    <row r="22736">
      <c r="B22736" s="309"/>
      <c r="C22736" s="309"/>
      <c r="I22736" s="309"/>
      <c r="J22736" s="309"/>
    </row>
    <row r="22737">
      <c r="B22737" s="309"/>
      <c r="C22737" s="309"/>
      <c r="I22737" s="309"/>
      <c r="J22737" s="309"/>
    </row>
    <row r="22738">
      <c r="B22738" s="309"/>
      <c r="C22738" s="309"/>
      <c r="I22738" s="309"/>
      <c r="J22738" s="309"/>
    </row>
    <row r="22739">
      <c r="B22739" s="309"/>
      <c r="C22739" s="309"/>
      <c r="I22739" s="309"/>
      <c r="J22739" s="309"/>
    </row>
    <row r="22740">
      <c r="B22740" s="309"/>
      <c r="C22740" s="309"/>
      <c r="I22740" s="309"/>
      <c r="J22740" s="309"/>
    </row>
    <row r="22741">
      <c r="B22741" s="309"/>
      <c r="C22741" s="309"/>
      <c r="I22741" s="309"/>
      <c r="J22741" s="309"/>
    </row>
    <row r="22742">
      <c r="B22742" s="309"/>
      <c r="C22742" s="309"/>
      <c r="I22742" s="309"/>
      <c r="J22742" s="309"/>
    </row>
    <row r="22743">
      <c r="B22743" s="309"/>
      <c r="C22743" s="309"/>
      <c r="I22743" s="309"/>
      <c r="J22743" s="309"/>
    </row>
    <row r="22744">
      <c r="B22744" s="309"/>
      <c r="C22744" s="309"/>
      <c r="I22744" s="309"/>
      <c r="J22744" s="309"/>
    </row>
    <row r="22745">
      <c r="B22745" s="309"/>
      <c r="C22745" s="309"/>
      <c r="I22745" s="309"/>
      <c r="J22745" s="309"/>
    </row>
    <row r="22746">
      <c r="B22746" s="309"/>
      <c r="C22746" s="309"/>
      <c r="I22746" s="309"/>
      <c r="J22746" s="309"/>
    </row>
    <row r="22747">
      <c r="B22747" s="309"/>
      <c r="C22747" s="309"/>
      <c r="I22747" s="309"/>
      <c r="J22747" s="309"/>
    </row>
    <row r="22748">
      <c r="B22748" s="309"/>
      <c r="C22748" s="309"/>
      <c r="I22748" s="309"/>
      <c r="J22748" s="309"/>
    </row>
    <row r="22749">
      <c r="B22749" s="309"/>
      <c r="C22749" s="309"/>
      <c r="I22749" s="309"/>
      <c r="J22749" s="309"/>
    </row>
    <row r="22750">
      <c r="B22750" s="309"/>
      <c r="C22750" s="309"/>
      <c r="I22750" s="309"/>
      <c r="J22750" s="309"/>
    </row>
    <row r="22751">
      <c r="B22751" s="309"/>
      <c r="C22751" s="309"/>
      <c r="I22751" s="309"/>
      <c r="J22751" s="309"/>
    </row>
    <row r="22752">
      <c r="B22752" s="309"/>
      <c r="C22752" s="309"/>
      <c r="I22752" s="309"/>
      <c r="J22752" s="309"/>
    </row>
    <row r="22753">
      <c r="B22753" s="309"/>
      <c r="C22753" s="309"/>
      <c r="I22753" s="309"/>
      <c r="J22753" s="309"/>
    </row>
    <row r="22754">
      <c r="B22754" s="309"/>
      <c r="C22754" s="309"/>
      <c r="I22754" s="309"/>
      <c r="J22754" s="309"/>
    </row>
    <row r="22755">
      <c r="B22755" s="309"/>
      <c r="C22755" s="309"/>
      <c r="I22755" s="309"/>
      <c r="J22755" s="309"/>
    </row>
    <row r="22756">
      <c r="B22756" s="309"/>
      <c r="C22756" s="309"/>
      <c r="I22756" s="309"/>
      <c r="J22756" s="309"/>
    </row>
    <row r="22757">
      <c r="B22757" s="309"/>
      <c r="C22757" s="309"/>
      <c r="I22757" s="309"/>
      <c r="J22757" s="309"/>
    </row>
    <row r="22758">
      <c r="B22758" s="309"/>
      <c r="C22758" s="309"/>
      <c r="I22758" s="309"/>
      <c r="J22758" s="309"/>
    </row>
    <row r="22759">
      <c r="B22759" s="309"/>
      <c r="C22759" s="309"/>
      <c r="I22759" s="309"/>
      <c r="J22759" s="309"/>
    </row>
    <row r="22760">
      <c r="B22760" s="309"/>
      <c r="C22760" s="309"/>
      <c r="I22760" s="309"/>
      <c r="J22760" s="309"/>
    </row>
    <row r="22761">
      <c r="B22761" s="309"/>
      <c r="C22761" s="309"/>
      <c r="I22761" s="309"/>
      <c r="J22761" s="309"/>
    </row>
    <row r="22762">
      <c r="B22762" s="309"/>
      <c r="C22762" s="309"/>
      <c r="I22762" s="309"/>
      <c r="J22762" s="309"/>
    </row>
    <row r="22763">
      <c r="B22763" s="309"/>
      <c r="C22763" s="309"/>
      <c r="I22763" s="309"/>
      <c r="J22763" s="309"/>
    </row>
    <row r="22764">
      <c r="B22764" s="309"/>
      <c r="C22764" s="309"/>
      <c r="I22764" s="309"/>
      <c r="J22764" s="309"/>
    </row>
    <row r="22765">
      <c r="B22765" s="309"/>
      <c r="C22765" s="309"/>
      <c r="I22765" s="309"/>
      <c r="J22765" s="309"/>
    </row>
    <row r="22766">
      <c r="B22766" s="309"/>
      <c r="C22766" s="309"/>
      <c r="I22766" s="309"/>
      <c r="J22766" s="309"/>
    </row>
    <row r="22767">
      <c r="B22767" s="309"/>
      <c r="C22767" s="309"/>
      <c r="I22767" s="309"/>
      <c r="J22767" s="309"/>
    </row>
    <row r="22768">
      <c r="B22768" s="309"/>
      <c r="C22768" s="309"/>
      <c r="I22768" s="309"/>
      <c r="J22768" s="309"/>
    </row>
    <row r="22769">
      <c r="B22769" s="309"/>
      <c r="C22769" s="309"/>
      <c r="I22769" s="309"/>
      <c r="J22769" s="309"/>
    </row>
    <row r="22770">
      <c r="B22770" s="309"/>
      <c r="C22770" s="309"/>
      <c r="I22770" s="309"/>
      <c r="J22770" s="309"/>
    </row>
    <row r="22771">
      <c r="B22771" s="309"/>
      <c r="C22771" s="309"/>
      <c r="I22771" s="309"/>
      <c r="J22771" s="309"/>
    </row>
    <row r="22772">
      <c r="B22772" s="309"/>
      <c r="C22772" s="309"/>
      <c r="I22772" s="309"/>
      <c r="J22772" s="309"/>
    </row>
    <row r="22773">
      <c r="B22773" s="309"/>
      <c r="C22773" s="309"/>
      <c r="I22773" s="309"/>
      <c r="J22773" s="309"/>
    </row>
    <row r="22774">
      <c r="B22774" s="309"/>
      <c r="C22774" s="309"/>
      <c r="I22774" s="309"/>
      <c r="J22774" s="309"/>
    </row>
    <row r="22775">
      <c r="B22775" s="309"/>
      <c r="C22775" s="309"/>
      <c r="I22775" s="309"/>
      <c r="J22775" s="309"/>
    </row>
    <row r="22776">
      <c r="B22776" s="309"/>
      <c r="C22776" s="309"/>
      <c r="I22776" s="309"/>
      <c r="J22776" s="309"/>
    </row>
    <row r="22777">
      <c r="B22777" s="309"/>
      <c r="C22777" s="309"/>
      <c r="I22777" s="309"/>
      <c r="J22777" s="309"/>
    </row>
    <row r="22778">
      <c r="B22778" s="309"/>
      <c r="C22778" s="309"/>
      <c r="I22778" s="309"/>
      <c r="J22778" s="309"/>
    </row>
    <row r="22779">
      <c r="B22779" s="309"/>
      <c r="C22779" s="309"/>
      <c r="I22779" s="309"/>
      <c r="J22779" s="309"/>
    </row>
    <row r="22780">
      <c r="B22780" s="309"/>
      <c r="C22780" s="309"/>
      <c r="I22780" s="309"/>
      <c r="J22780" s="309"/>
    </row>
    <row r="22781">
      <c r="B22781" s="309"/>
      <c r="C22781" s="309"/>
      <c r="I22781" s="309"/>
      <c r="J22781" s="309"/>
    </row>
    <row r="22782">
      <c r="B22782" s="309"/>
      <c r="C22782" s="309"/>
      <c r="I22782" s="309"/>
      <c r="J22782" s="309"/>
    </row>
    <row r="22783">
      <c r="B22783" s="309"/>
      <c r="C22783" s="309"/>
      <c r="I22783" s="309"/>
      <c r="J22783" s="309"/>
    </row>
    <row r="22784">
      <c r="B22784" s="309"/>
      <c r="C22784" s="309"/>
      <c r="I22784" s="309"/>
      <c r="J22784" s="309"/>
    </row>
    <row r="22785">
      <c r="B22785" s="309"/>
      <c r="C22785" s="309"/>
      <c r="I22785" s="309"/>
      <c r="J22785" s="309"/>
    </row>
    <row r="22786">
      <c r="B22786" s="309"/>
      <c r="C22786" s="309"/>
      <c r="I22786" s="309"/>
      <c r="J22786" s="309"/>
    </row>
    <row r="22787">
      <c r="B22787" s="309"/>
      <c r="C22787" s="309"/>
      <c r="I22787" s="309"/>
      <c r="J22787" s="309"/>
    </row>
    <row r="22788">
      <c r="B22788" s="309"/>
      <c r="C22788" s="309"/>
      <c r="I22788" s="309"/>
      <c r="J22788" s="309"/>
    </row>
    <row r="22789">
      <c r="B22789" s="309"/>
      <c r="C22789" s="309"/>
      <c r="I22789" s="309"/>
      <c r="J22789" s="309"/>
    </row>
    <row r="22790">
      <c r="B22790" s="309"/>
      <c r="C22790" s="309"/>
      <c r="I22790" s="309"/>
      <c r="J22790" s="309"/>
    </row>
    <row r="22791">
      <c r="B22791" s="309"/>
      <c r="C22791" s="309"/>
      <c r="I22791" s="309"/>
      <c r="J22791" s="309"/>
    </row>
    <row r="22792">
      <c r="B22792" s="309"/>
      <c r="C22792" s="309"/>
      <c r="I22792" s="309"/>
      <c r="J22792" s="309"/>
    </row>
    <row r="22793">
      <c r="B22793" s="309"/>
      <c r="C22793" s="309"/>
      <c r="I22793" s="309"/>
      <c r="J22793" s="309"/>
    </row>
    <row r="22794">
      <c r="B22794" s="309"/>
      <c r="C22794" s="309"/>
      <c r="I22794" s="309"/>
      <c r="J22794" s="309"/>
    </row>
    <row r="22795">
      <c r="B22795" s="309"/>
      <c r="C22795" s="309"/>
      <c r="I22795" s="309"/>
      <c r="J22795" s="309"/>
    </row>
    <row r="22796">
      <c r="B22796" s="309"/>
      <c r="C22796" s="309"/>
      <c r="I22796" s="309"/>
      <c r="J22796" s="309"/>
    </row>
    <row r="22797">
      <c r="B22797" s="309"/>
      <c r="C22797" s="309"/>
      <c r="I22797" s="309"/>
      <c r="J22797" s="309"/>
    </row>
    <row r="22798">
      <c r="B22798" s="309"/>
      <c r="C22798" s="309"/>
      <c r="I22798" s="309"/>
      <c r="J22798" s="309"/>
    </row>
    <row r="22799">
      <c r="B22799" s="309"/>
      <c r="C22799" s="309"/>
      <c r="I22799" s="309"/>
      <c r="J22799" s="309"/>
    </row>
    <row r="22800">
      <c r="B22800" s="309"/>
      <c r="C22800" s="309"/>
      <c r="I22800" s="309"/>
      <c r="J22800" s="309"/>
    </row>
    <row r="22801">
      <c r="B22801" s="309"/>
      <c r="C22801" s="309"/>
      <c r="I22801" s="309"/>
      <c r="J22801" s="309"/>
    </row>
    <row r="22802">
      <c r="B22802" s="309"/>
      <c r="C22802" s="309"/>
      <c r="I22802" s="309"/>
      <c r="J22802" s="309"/>
    </row>
    <row r="22803">
      <c r="B22803" s="309"/>
      <c r="C22803" s="309"/>
      <c r="I22803" s="309"/>
      <c r="J22803" s="309"/>
    </row>
    <row r="22804">
      <c r="B22804" s="309"/>
      <c r="C22804" s="309"/>
      <c r="I22804" s="309"/>
      <c r="J22804" s="309"/>
    </row>
    <row r="22805">
      <c r="B22805" s="309"/>
      <c r="C22805" s="309"/>
      <c r="I22805" s="309"/>
      <c r="J22805" s="309"/>
    </row>
    <row r="22806">
      <c r="B22806" s="309"/>
      <c r="C22806" s="309"/>
      <c r="I22806" s="309"/>
      <c r="J22806" s="309"/>
    </row>
    <row r="22807">
      <c r="B22807" s="309"/>
      <c r="C22807" s="309"/>
      <c r="I22807" s="309"/>
      <c r="J22807" s="309"/>
    </row>
    <row r="22808">
      <c r="B22808" s="309"/>
      <c r="C22808" s="309"/>
      <c r="I22808" s="309"/>
      <c r="J22808" s="309"/>
    </row>
    <row r="22809">
      <c r="B22809" s="309"/>
      <c r="C22809" s="309"/>
      <c r="I22809" s="309"/>
      <c r="J22809" s="309"/>
    </row>
    <row r="22810">
      <c r="B22810" s="309"/>
      <c r="C22810" s="309"/>
      <c r="I22810" s="309"/>
      <c r="J22810" s="309"/>
    </row>
    <row r="22811">
      <c r="B22811" s="309"/>
      <c r="C22811" s="309"/>
      <c r="I22811" s="309"/>
      <c r="J22811" s="309"/>
    </row>
    <row r="22812">
      <c r="B22812" s="309"/>
      <c r="C22812" s="309"/>
      <c r="I22812" s="309"/>
      <c r="J22812" s="309"/>
    </row>
    <row r="22813">
      <c r="B22813" s="309"/>
      <c r="C22813" s="309"/>
      <c r="I22813" s="309"/>
      <c r="J22813" s="309"/>
    </row>
    <row r="22814">
      <c r="B22814" s="309"/>
      <c r="C22814" s="309"/>
      <c r="I22814" s="309"/>
      <c r="J22814" s="309"/>
    </row>
    <row r="22815">
      <c r="B22815" s="309"/>
      <c r="C22815" s="309"/>
      <c r="I22815" s="309"/>
      <c r="J22815" s="309"/>
    </row>
    <row r="22816">
      <c r="B22816" s="309"/>
      <c r="C22816" s="309"/>
      <c r="I22816" s="309"/>
      <c r="J22816" s="309"/>
    </row>
    <row r="22817">
      <c r="B22817" s="309"/>
      <c r="C22817" s="309"/>
      <c r="I22817" s="309"/>
      <c r="J22817" s="309"/>
    </row>
    <row r="22818">
      <c r="B22818" s="309"/>
      <c r="C22818" s="309"/>
      <c r="I22818" s="309"/>
      <c r="J22818" s="309"/>
    </row>
    <row r="22819">
      <c r="B22819" s="309"/>
      <c r="C22819" s="309"/>
      <c r="I22819" s="309"/>
      <c r="J22819" s="309"/>
    </row>
    <row r="22820">
      <c r="B22820" s="309"/>
      <c r="C22820" s="309"/>
      <c r="I22820" s="309"/>
      <c r="J22820" s="309"/>
    </row>
    <row r="22821">
      <c r="B22821" s="309"/>
      <c r="C22821" s="309"/>
      <c r="I22821" s="309"/>
      <c r="J22821" s="309"/>
    </row>
    <row r="22822">
      <c r="B22822" s="309"/>
      <c r="C22822" s="309"/>
      <c r="I22822" s="309"/>
      <c r="J22822" s="309"/>
    </row>
    <row r="22823">
      <c r="B22823" s="309"/>
      <c r="C22823" s="309"/>
      <c r="I22823" s="309"/>
      <c r="J22823" s="309"/>
    </row>
    <row r="22824">
      <c r="B22824" s="309"/>
      <c r="C22824" s="309"/>
      <c r="I22824" s="309"/>
      <c r="J22824" s="309"/>
    </row>
    <row r="22825">
      <c r="B22825" s="309"/>
      <c r="C22825" s="309"/>
      <c r="I22825" s="309"/>
      <c r="J22825" s="309"/>
    </row>
    <row r="22826">
      <c r="B22826" s="309"/>
      <c r="C22826" s="309"/>
      <c r="I22826" s="309"/>
      <c r="J22826" s="309"/>
    </row>
    <row r="22827">
      <c r="B22827" s="309"/>
      <c r="C22827" s="309"/>
      <c r="I22827" s="309"/>
      <c r="J22827" s="309"/>
    </row>
    <row r="22828">
      <c r="B22828" s="309"/>
      <c r="C22828" s="309"/>
      <c r="I22828" s="309"/>
      <c r="J22828" s="309"/>
    </row>
    <row r="22829">
      <c r="B22829" s="309"/>
      <c r="C22829" s="309"/>
      <c r="I22829" s="309"/>
      <c r="J22829" s="309"/>
    </row>
    <row r="22830">
      <c r="B22830" s="309"/>
      <c r="C22830" s="309"/>
      <c r="I22830" s="309"/>
      <c r="J22830" s="309"/>
    </row>
    <row r="22831">
      <c r="B22831" s="309"/>
      <c r="C22831" s="309"/>
      <c r="I22831" s="309"/>
      <c r="J22831" s="309"/>
    </row>
    <row r="22832">
      <c r="B22832" s="309"/>
      <c r="C22832" s="309"/>
      <c r="I22832" s="309"/>
      <c r="J22832" s="309"/>
    </row>
    <row r="22833">
      <c r="B22833" s="309"/>
      <c r="C22833" s="309"/>
      <c r="I22833" s="309"/>
      <c r="J22833" s="309"/>
    </row>
    <row r="22834">
      <c r="B22834" s="309"/>
      <c r="C22834" s="309"/>
      <c r="I22834" s="309"/>
      <c r="J22834" s="309"/>
    </row>
    <row r="22835">
      <c r="B22835" s="309"/>
      <c r="C22835" s="309"/>
      <c r="I22835" s="309"/>
      <c r="J22835" s="309"/>
    </row>
    <row r="22836">
      <c r="B22836" s="309"/>
      <c r="C22836" s="309"/>
      <c r="I22836" s="309"/>
      <c r="J22836" s="309"/>
    </row>
    <row r="22837">
      <c r="B22837" s="309"/>
      <c r="C22837" s="309"/>
      <c r="I22837" s="309"/>
      <c r="J22837" s="309"/>
    </row>
    <row r="22838">
      <c r="B22838" s="309"/>
      <c r="C22838" s="309"/>
      <c r="I22838" s="309"/>
      <c r="J22838" s="309"/>
    </row>
    <row r="22839">
      <c r="B22839" s="309"/>
      <c r="C22839" s="309"/>
      <c r="I22839" s="309"/>
      <c r="J22839" s="309"/>
    </row>
    <row r="22840">
      <c r="B22840" s="309"/>
      <c r="C22840" s="309"/>
      <c r="I22840" s="309"/>
      <c r="J22840" s="309"/>
    </row>
    <row r="22841">
      <c r="B22841" s="309"/>
      <c r="C22841" s="309"/>
      <c r="I22841" s="309"/>
      <c r="J22841" s="309"/>
    </row>
    <row r="22842">
      <c r="B22842" s="309"/>
      <c r="C22842" s="309"/>
      <c r="I22842" s="309"/>
      <c r="J22842" s="309"/>
    </row>
    <row r="22843">
      <c r="B22843" s="309"/>
      <c r="C22843" s="309"/>
      <c r="I22843" s="309"/>
      <c r="J22843" s="309"/>
    </row>
    <row r="22844">
      <c r="B22844" s="309"/>
      <c r="C22844" s="309"/>
      <c r="I22844" s="309"/>
      <c r="J22844" s="309"/>
    </row>
    <row r="22845">
      <c r="B22845" s="309"/>
      <c r="C22845" s="309"/>
      <c r="I22845" s="309"/>
      <c r="J22845" s="309"/>
    </row>
    <row r="22846">
      <c r="B22846" s="309"/>
      <c r="C22846" s="309"/>
      <c r="I22846" s="309"/>
      <c r="J22846" s="309"/>
    </row>
    <row r="22847">
      <c r="B22847" s="309"/>
      <c r="C22847" s="309"/>
      <c r="I22847" s="309"/>
      <c r="J22847" s="309"/>
    </row>
    <row r="22848">
      <c r="B22848" s="309"/>
      <c r="C22848" s="309"/>
      <c r="I22848" s="309"/>
      <c r="J22848" s="309"/>
    </row>
    <row r="22849">
      <c r="B22849" s="309"/>
      <c r="C22849" s="309"/>
      <c r="I22849" s="309"/>
      <c r="J22849" s="309"/>
    </row>
    <row r="22850">
      <c r="B22850" s="309"/>
      <c r="C22850" s="309"/>
      <c r="I22850" s="309"/>
      <c r="J22850" s="309"/>
    </row>
    <row r="22851">
      <c r="B22851" s="309"/>
      <c r="C22851" s="309"/>
      <c r="I22851" s="309"/>
      <c r="J22851" s="309"/>
    </row>
    <row r="22852">
      <c r="B22852" s="309"/>
      <c r="C22852" s="309"/>
      <c r="I22852" s="309"/>
      <c r="J22852" s="309"/>
    </row>
    <row r="22853">
      <c r="B22853" s="309"/>
      <c r="C22853" s="309"/>
      <c r="I22853" s="309"/>
      <c r="J22853" s="309"/>
    </row>
    <row r="22854">
      <c r="B22854" s="309"/>
      <c r="C22854" s="309"/>
      <c r="I22854" s="309"/>
      <c r="J22854" s="309"/>
    </row>
    <row r="22855">
      <c r="B22855" s="309"/>
      <c r="C22855" s="309"/>
      <c r="I22855" s="309"/>
      <c r="J22855" s="309"/>
    </row>
    <row r="22856">
      <c r="B22856" s="309"/>
      <c r="C22856" s="309"/>
      <c r="I22856" s="309"/>
      <c r="J22856" s="309"/>
    </row>
    <row r="22857">
      <c r="B22857" s="309"/>
      <c r="C22857" s="309"/>
      <c r="I22857" s="309"/>
      <c r="J22857" s="309"/>
    </row>
    <row r="22858">
      <c r="B22858" s="309"/>
      <c r="C22858" s="309"/>
      <c r="I22858" s="309"/>
      <c r="J22858" s="309"/>
    </row>
    <row r="22859">
      <c r="B22859" s="309"/>
      <c r="C22859" s="309"/>
      <c r="I22859" s="309"/>
      <c r="J22859" s="309"/>
    </row>
    <row r="22860">
      <c r="B22860" s="309"/>
      <c r="C22860" s="309"/>
      <c r="I22860" s="309"/>
      <c r="J22860" s="309"/>
    </row>
    <row r="22861">
      <c r="B22861" s="309"/>
      <c r="C22861" s="309"/>
      <c r="I22861" s="309"/>
      <c r="J22861" s="309"/>
    </row>
    <row r="22862">
      <c r="B22862" s="309"/>
      <c r="C22862" s="309"/>
      <c r="I22862" s="309"/>
      <c r="J22862" s="309"/>
    </row>
    <row r="22863">
      <c r="B22863" s="309"/>
      <c r="C22863" s="309"/>
      <c r="I22863" s="309"/>
      <c r="J22863" s="309"/>
    </row>
    <row r="22864">
      <c r="B22864" s="309"/>
      <c r="C22864" s="309"/>
      <c r="I22864" s="309"/>
      <c r="J22864" s="309"/>
    </row>
    <row r="22865">
      <c r="B22865" s="309"/>
      <c r="C22865" s="309"/>
      <c r="I22865" s="309"/>
      <c r="J22865" s="309"/>
    </row>
    <row r="22866">
      <c r="B22866" s="309"/>
      <c r="C22866" s="309"/>
      <c r="I22866" s="309"/>
      <c r="J22866" s="309"/>
    </row>
    <row r="22867">
      <c r="B22867" s="309"/>
      <c r="C22867" s="309"/>
      <c r="I22867" s="309"/>
      <c r="J22867" s="309"/>
    </row>
    <row r="22868">
      <c r="B22868" s="309"/>
      <c r="C22868" s="309"/>
      <c r="I22868" s="309"/>
      <c r="J22868" s="309"/>
    </row>
    <row r="22869">
      <c r="B22869" s="309"/>
      <c r="C22869" s="309"/>
      <c r="I22869" s="309"/>
      <c r="J22869" s="309"/>
    </row>
    <row r="22870">
      <c r="B22870" s="309"/>
      <c r="C22870" s="309"/>
      <c r="I22870" s="309"/>
      <c r="J22870" s="309"/>
    </row>
    <row r="22871">
      <c r="B22871" s="309"/>
      <c r="C22871" s="309"/>
      <c r="I22871" s="309"/>
      <c r="J22871" s="309"/>
    </row>
    <row r="22872">
      <c r="B22872" s="309"/>
      <c r="C22872" s="309"/>
      <c r="I22872" s="309"/>
      <c r="J22872" s="309"/>
    </row>
    <row r="22873">
      <c r="B22873" s="309"/>
      <c r="C22873" s="309"/>
      <c r="I22873" s="309"/>
      <c r="J22873" s="309"/>
    </row>
    <row r="22874">
      <c r="B22874" s="309"/>
      <c r="C22874" s="309"/>
      <c r="I22874" s="309"/>
      <c r="J22874" s="309"/>
    </row>
    <row r="22875">
      <c r="B22875" s="309"/>
      <c r="C22875" s="309"/>
      <c r="I22875" s="309"/>
      <c r="J22875" s="309"/>
    </row>
    <row r="22876">
      <c r="B22876" s="309"/>
      <c r="C22876" s="309"/>
      <c r="I22876" s="309"/>
      <c r="J22876" s="309"/>
    </row>
    <row r="22877">
      <c r="B22877" s="309"/>
      <c r="C22877" s="309"/>
      <c r="I22877" s="309"/>
      <c r="J22877" s="309"/>
    </row>
    <row r="22878">
      <c r="B22878" s="309"/>
      <c r="C22878" s="309"/>
      <c r="I22878" s="309"/>
      <c r="J22878" s="309"/>
    </row>
    <row r="22879">
      <c r="B22879" s="309"/>
      <c r="C22879" s="309"/>
      <c r="I22879" s="309"/>
      <c r="J22879" s="309"/>
    </row>
    <row r="22880">
      <c r="B22880" s="309"/>
      <c r="C22880" s="309"/>
      <c r="I22880" s="309"/>
      <c r="J22880" s="309"/>
    </row>
    <row r="22881">
      <c r="B22881" s="309"/>
      <c r="C22881" s="309"/>
      <c r="I22881" s="309"/>
      <c r="J22881" s="309"/>
    </row>
    <row r="22882">
      <c r="B22882" s="309"/>
      <c r="C22882" s="309"/>
      <c r="I22882" s="309"/>
      <c r="J22882" s="309"/>
    </row>
    <row r="22883">
      <c r="B22883" s="309"/>
      <c r="C22883" s="309"/>
      <c r="I22883" s="309"/>
      <c r="J22883" s="309"/>
    </row>
    <row r="22884">
      <c r="B22884" s="309"/>
      <c r="C22884" s="309"/>
      <c r="I22884" s="309"/>
      <c r="J22884" s="309"/>
    </row>
    <row r="22885">
      <c r="B22885" s="309"/>
      <c r="C22885" s="309"/>
      <c r="I22885" s="309"/>
      <c r="J22885" s="309"/>
    </row>
    <row r="22886">
      <c r="B22886" s="309"/>
      <c r="C22886" s="309"/>
      <c r="I22886" s="309"/>
      <c r="J22886" s="309"/>
    </row>
    <row r="22887">
      <c r="B22887" s="309"/>
      <c r="C22887" s="309"/>
      <c r="I22887" s="309"/>
      <c r="J22887" s="309"/>
    </row>
    <row r="22888">
      <c r="B22888" s="309"/>
      <c r="C22888" s="309"/>
      <c r="I22888" s="309"/>
      <c r="J22888" s="309"/>
    </row>
    <row r="22889">
      <c r="B22889" s="309"/>
      <c r="C22889" s="309"/>
      <c r="I22889" s="309"/>
      <c r="J22889" s="309"/>
    </row>
    <row r="22890">
      <c r="B22890" s="309"/>
      <c r="C22890" s="309"/>
      <c r="I22890" s="309"/>
      <c r="J22890" s="309"/>
    </row>
    <row r="22891">
      <c r="B22891" s="309"/>
      <c r="C22891" s="309"/>
      <c r="I22891" s="309"/>
      <c r="J22891" s="309"/>
    </row>
    <row r="22892">
      <c r="B22892" s="309"/>
      <c r="C22892" s="309"/>
      <c r="I22892" s="309"/>
      <c r="J22892" s="309"/>
    </row>
    <row r="22893">
      <c r="B22893" s="309"/>
      <c r="C22893" s="309"/>
      <c r="I22893" s="309"/>
      <c r="J22893" s="309"/>
    </row>
    <row r="22894">
      <c r="B22894" s="309"/>
      <c r="C22894" s="309"/>
      <c r="I22894" s="309"/>
      <c r="J22894" s="309"/>
    </row>
    <row r="22895">
      <c r="B22895" s="309"/>
      <c r="C22895" s="309"/>
      <c r="I22895" s="309"/>
      <c r="J22895" s="309"/>
    </row>
    <row r="22896">
      <c r="B22896" s="309"/>
      <c r="C22896" s="309"/>
      <c r="I22896" s="309"/>
      <c r="J22896" s="309"/>
    </row>
    <row r="22897">
      <c r="B22897" s="309"/>
      <c r="C22897" s="309"/>
      <c r="I22897" s="309"/>
      <c r="J22897" s="309"/>
    </row>
    <row r="22898">
      <c r="B22898" s="309"/>
      <c r="C22898" s="309"/>
      <c r="I22898" s="309"/>
      <c r="J22898" s="309"/>
    </row>
    <row r="22899">
      <c r="B22899" s="309"/>
      <c r="C22899" s="309"/>
      <c r="I22899" s="309"/>
      <c r="J22899" s="309"/>
    </row>
    <row r="22900">
      <c r="B22900" s="309"/>
      <c r="C22900" s="309"/>
      <c r="I22900" s="309"/>
      <c r="J22900" s="309"/>
    </row>
    <row r="22901">
      <c r="B22901" s="309"/>
      <c r="C22901" s="309"/>
      <c r="I22901" s="309"/>
      <c r="J22901" s="309"/>
    </row>
    <row r="22902">
      <c r="B22902" s="309"/>
      <c r="C22902" s="309"/>
      <c r="I22902" s="309"/>
      <c r="J22902" s="309"/>
    </row>
    <row r="22903">
      <c r="B22903" s="309"/>
      <c r="C22903" s="309"/>
      <c r="I22903" s="309"/>
      <c r="J22903" s="309"/>
    </row>
    <row r="22904">
      <c r="B22904" s="309"/>
      <c r="C22904" s="309"/>
      <c r="I22904" s="309"/>
      <c r="J22904" s="309"/>
    </row>
    <row r="22905">
      <c r="B22905" s="309"/>
      <c r="C22905" s="309"/>
      <c r="I22905" s="309"/>
      <c r="J22905" s="309"/>
    </row>
    <row r="22906">
      <c r="B22906" s="309"/>
      <c r="C22906" s="309"/>
      <c r="I22906" s="309"/>
      <c r="J22906" s="309"/>
    </row>
    <row r="22907">
      <c r="B22907" s="309"/>
      <c r="C22907" s="309"/>
      <c r="I22907" s="309"/>
      <c r="J22907" s="309"/>
    </row>
    <row r="22908">
      <c r="B22908" s="309"/>
      <c r="C22908" s="309"/>
      <c r="I22908" s="309"/>
      <c r="J22908" s="309"/>
    </row>
    <row r="22909">
      <c r="B22909" s="309"/>
      <c r="C22909" s="309"/>
      <c r="I22909" s="309"/>
      <c r="J22909" s="309"/>
    </row>
    <row r="22910">
      <c r="B22910" s="309"/>
      <c r="C22910" s="309"/>
      <c r="I22910" s="309"/>
      <c r="J22910" s="309"/>
    </row>
    <row r="22911">
      <c r="B22911" s="309"/>
      <c r="C22911" s="309"/>
      <c r="I22911" s="309"/>
      <c r="J22911" s="309"/>
    </row>
    <row r="22912">
      <c r="B22912" s="309"/>
      <c r="C22912" s="309"/>
      <c r="I22912" s="309"/>
      <c r="J22912" s="309"/>
    </row>
    <row r="22913">
      <c r="B22913" s="309"/>
      <c r="C22913" s="309"/>
      <c r="I22913" s="309"/>
      <c r="J22913" s="309"/>
    </row>
    <row r="22914">
      <c r="B22914" s="309"/>
      <c r="C22914" s="309"/>
      <c r="I22914" s="309"/>
      <c r="J22914" s="309"/>
    </row>
    <row r="22915">
      <c r="B22915" s="309"/>
      <c r="C22915" s="309"/>
      <c r="I22915" s="309"/>
      <c r="J22915" s="309"/>
    </row>
    <row r="22916">
      <c r="B22916" s="309"/>
      <c r="C22916" s="309"/>
      <c r="I22916" s="309"/>
      <c r="J22916" s="309"/>
    </row>
    <row r="22917">
      <c r="B22917" s="309"/>
      <c r="C22917" s="309"/>
      <c r="I22917" s="309"/>
      <c r="J22917" s="309"/>
    </row>
    <row r="22918">
      <c r="B22918" s="309"/>
      <c r="C22918" s="309"/>
      <c r="I22918" s="309"/>
      <c r="J22918" s="309"/>
    </row>
    <row r="22919">
      <c r="B22919" s="309"/>
      <c r="C22919" s="309"/>
      <c r="I22919" s="309"/>
      <c r="J22919" s="309"/>
    </row>
    <row r="22920">
      <c r="B22920" s="309"/>
      <c r="C22920" s="309"/>
      <c r="I22920" s="309"/>
      <c r="J22920" s="309"/>
    </row>
    <row r="22921">
      <c r="B22921" s="309"/>
      <c r="C22921" s="309"/>
      <c r="I22921" s="309"/>
      <c r="J22921" s="309"/>
    </row>
    <row r="22922">
      <c r="B22922" s="309"/>
      <c r="C22922" s="309"/>
      <c r="I22922" s="309"/>
      <c r="J22922" s="309"/>
    </row>
    <row r="22923">
      <c r="B22923" s="309"/>
      <c r="C22923" s="309"/>
      <c r="I22923" s="309"/>
      <c r="J22923" s="309"/>
    </row>
    <row r="22924">
      <c r="B22924" s="309"/>
      <c r="C22924" s="309"/>
      <c r="I22924" s="309"/>
      <c r="J22924" s="309"/>
    </row>
    <row r="22925">
      <c r="B22925" s="309"/>
      <c r="C22925" s="309"/>
      <c r="I22925" s="309"/>
      <c r="J22925" s="309"/>
    </row>
    <row r="22926">
      <c r="B22926" s="309"/>
      <c r="C22926" s="309"/>
      <c r="I22926" s="309"/>
      <c r="J22926" s="309"/>
    </row>
    <row r="22927">
      <c r="B22927" s="309"/>
      <c r="C22927" s="309"/>
      <c r="I22927" s="309"/>
      <c r="J22927" s="309"/>
    </row>
    <row r="22928">
      <c r="B22928" s="309"/>
      <c r="C22928" s="309"/>
      <c r="I22928" s="309"/>
      <c r="J22928" s="309"/>
    </row>
    <row r="22929">
      <c r="B22929" s="309"/>
      <c r="C22929" s="309"/>
      <c r="I22929" s="309"/>
      <c r="J22929" s="309"/>
    </row>
    <row r="22930">
      <c r="B22930" s="309"/>
      <c r="C22930" s="309"/>
      <c r="I22930" s="309"/>
      <c r="J22930" s="309"/>
    </row>
    <row r="22931">
      <c r="B22931" s="309"/>
      <c r="C22931" s="309"/>
      <c r="I22931" s="309"/>
      <c r="J22931" s="309"/>
    </row>
    <row r="22932">
      <c r="B22932" s="309"/>
      <c r="C22932" s="309"/>
      <c r="I22932" s="309"/>
      <c r="J22932" s="309"/>
    </row>
    <row r="22933">
      <c r="B22933" s="309"/>
      <c r="C22933" s="309"/>
      <c r="I22933" s="309"/>
      <c r="J22933" s="309"/>
    </row>
    <row r="22934">
      <c r="B22934" s="309"/>
      <c r="C22934" s="309"/>
      <c r="I22934" s="309"/>
      <c r="J22934" s="309"/>
    </row>
    <row r="22935">
      <c r="B22935" s="309"/>
      <c r="C22935" s="309"/>
      <c r="I22935" s="309"/>
      <c r="J22935" s="309"/>
    </row>
    <row r="22936">
      <c r="B22936" s="309"/>
      <c r="C22936" s="309"/>
      <c r="I22936" s="309"/>
      <c r="J22936" s="309"/>
    </row>
    <row r="22937">
      <c r="B22937" s="309"/>
      <c r="C22937" s="309"/>
      <c r="I22937" s="309"/>
      <c r="J22937" s="309"/>
    </row>
    <row r="22938">
      <c r="B22938" s="309"/>
      <c r="C22938" s="309"/>
      <c r="I22938" s="309"/>
      <c r="J22938" s="309"/>
    </row>
    <row r="22939">
      <c r="B22939" s="309"/>
      <c r="C22939" s="309"/>
      <c r="I22939" s="309"/>
      <c r="J22939" s="309"/>
    </row>
    <row r="22940">
      <c r="B22940" s="309"/>
      <c r="C22940" s="309"/>
      <c r="I22940" s="309"/>
      <c r="J22940" s="309"/>
    </row>
    <row r="22941">
      <c r="B22941" s="309"/>
      <c r="C22941" s="309"/>
      <c r="I22941" s="309"/>
      <c r="J22941" s="309"/>
    </row>
    <row r="22942">
      <c r="B22942" s="309"/>
      <c r="C22942" s="309"/>
      <c r="I22942" s="309"/>
      <c r="J22942" s="309"/>
    </row>
    <row r="22943">
      <c r="B22943" s="309"/>
      <c r="C22943" s="309"/>
      <c r="I22943" s="309"/>
      <c r="J22943" s="309"/>
    </row>
    <row r="22944">
      <c r="B22944" s="309"/>
      <c r="C22944" s="309"/>
      <c r="I22944" s="309"/>
      <c r="J22944" s="309"/>
    </row>
    <row r="22945">
      <c r="B22945" s="309"/>
      <c r="C22945" s="309"/>
      <c r="I22945" s="309"/>
      <c r="J22945" s="309"/>
    </row>
    <row r="22946">
      <c r="B22946" s="309"/>
      <c r="C22946" s="309"/>
      <c r="I22946" s="309"/>
      <c r="J22946" s="309"/>
    </row>
    <row r="22947">
      <c r="B22947" s="309"/>
      <c r="C22947" s="309"/>
      <c r="I22947" s="309"/>
      <c r="J22947" s="309"/>
    </row>
    <row r="22948">
      <c r="B22948" s="309"/>
      <c r="C22948" s="309"/>
      <c r="I22948" s="309"/>
      <c r="J22948" s="309"/>
    </row>
    <row r="22949">
      <c r="B22949" s="309"/>
      <c r="C22949" s="309"/>
      <c r="I22949" s="309"/>
      <c r="J22949" s="309"/>
    </row>
    <row r="22950">
      <c r="B22950" s="309"/>
      <c r="C22950" s="309"/>
      <c r="I22950" s="309"/>
      <c r="J22950" s="309"/>
    </row>
    <row r="22951">
      <c r="B22951" s="309"/>
      <c r="C22951" s="309"/>
      <c r="I22951" s="309"/>
      <c r="J22951" s="309"/>
    </row>
    <row r="22952">
      <c r="B22952" s="309"/>
      <c r="C22952" s="309"/>
      <c r="I22952" s="309"/>
      <c r="J22952" s="309"/>
    </row>
    <row r="22953">
      <c r="B22953" s="309"/>
      <c r="C22953" s="309"/>
      <c r="I22953" s="309"/>
      <c r="J22953" s="309"/>
    </row>
    <row r="22954">
      <c r="B22954" s="309"/>
      <c r="C22954" s="309"/>
      <c r="I22954" s="309"/>
      <c r="J22954" s="309"/>
    </row>
    <row r="22955">
      <c r="B22955" s="309"/>
      <c r="C22955" s="309"/>
      <c r="I22955" s="309"/>
      <c r="J22955" s="309"/>
    </row>
    <row r="22956">
      <c r="B22956" s="309"/>
      <c r="C22956" s="309"/>
      <c r="I22956" s="309"/>
      <c r="J22956" s="309"/>
    </row>
    <row r="22957">
      <c r="B22957" s="309"/>
      <c r="C22957" s="309"/>
      <c r="I22957" s="309"/>
      <c r="J22957" s="309"/>
    </row>
    <row r="22958">
      <c r="B22958" s="309"/>
      <c r="C22958" s="309"/>
      <c r="I22958" s="309"/>
      <c r="J22958" s="309"/>
    </row>
    <row r="22959">
      <c r="B22959" s="309"/>
      <c r="C22959" s="309"/>
      <c r="I22959" s="309"/>
      <c r="J22959" s="309"/>
    </row>
    <row r="22960">
      <c r="B22960" s="309"/>
      <c r="C22960" s="309"/>
      <c r="I22960" s="309"/>
      <c r="J22960" s="309"/>
    </row>
    <row r="22961">
      <c r="B22961" s="309"/>
      <c r="C22961" s="309"/>
      <c r="I22961" s="309"/>
      <c r="J22961" s="309"/>
    </row>
    <row r="22962">
      <c r="B22962" s="309"/>
      <c r="C22962" s="309"/>
      <c r="I22962" s="309"/>
      <c r="J22962" s="309"/>
    </row>
    <row r="22963">
      <c r="B22963" s="309"/>
      <c r="C22963" s="309"/>
      <c r="I22963" s="309"/>
      <c r="J22963" s="309"/>
    </row>
    <row r="22964">
      <c r="B22964" s="309"/>
      <c r="C22964" s="309"/>
      <c r="I22964" s="309"/>
      <c r="J22964" s="309"/>
    </row>
    <row r="22965">
      <c r="B22965" s="309"/>
      <c r="C22965" s="309"/>
      <c r="I22965" s="309"/>
      <c r="J22965" s="309"/>
    </row>
    <row r="22966">
      <c r="B22966" s="309"/>
      <c r="C22966" s="309"/>
      <c r="I22966" s="309"/>
      <c r="J22966" s="309"/>
    </row>
    <row r="22967">
      <c r="B22967" s="309"/>
      <c r="C22967" s="309"/>
      <c r="I22967" s="309"/>
      <c r="J22967" s="309"/>
    </row>
    <row r="22968">
      <c r="B22968" s="309"/>
      <c r="C22968" s="309"/>
      <c r="I22968" s="309"/>
      <c r="J22968" s="309"/>
    </row>
    <row r="22969">
      <c r="B22969" s="309"/>
      <c r="C22969" s="309"/>
      <c r="I22969" s="309"/>
      <c r="J22969" s="309"/>
    </row>
    <row r="22970">
      <c r="B22970" s="309"/>
      <c r="C22970" s="309"/>
      <c r="I22970" s="309"/>
      <c r="J22970" s="309"/>
    </row>
    <row r="22971">
      <c r="B22971" s="309"/>
      <c r="C22971" s="309"/>
      <c r="I22971" s="309"/>
      <c r="J22971" s="309"/>
    </row>
    <row r="22972">
      <c r="B22972" s="309"/>
      <c r="C22972" s="309"/>
      <c r="I22972" s="309"/>
      <c r="J22972" s="309"/>
    </row>
    <row r="22973">
      <c r="B22973" s="309"/>
      <c r="C22973" s="309"/>
      <c r="I22973" s="309"/>
      <c r="J22973" s="309"/>
    </row>
    <row r="22974">
      <c r="B22974" s="309"/>
      <c r="C22974" s="309"/>
      <c r="I22974" s="309"/>
      <c r="J22974" s="309"/>
    </row>
    <row r="22975">
      <c r="B22975" s="309"/>
      <c r="C22975" s="309"/>
      <c r="I22975" s="309"/>
      <c r="J22975" s="309"/>
    </row>
    <row r="22976">
      <c r="B22976" s="309"/>
      <c r="C22976" s="309"/>
      <c r="I22976" s="309"/>
      <c r="J22976" s="309"/>
    </row>
    <row r="22977">
      <c r="B22977" s="309"/>
      <c r="C22977" s="309"/>
      <c r="I22977" s="309"/>
      <c r="J22977" s="309"/>
    </row>
    <row r="22978">
      <c r="B22978" s="309"/>
      <c r="C22978" s="309"/>
      <c r="I22978" s="309"/>
      <c r="J22978" s="309"/>
    </row>
    <row r="22979">
      <c r="B22979" s="309"/>
      <c r="C22979" s="309"/>
      <c r="I22979" s="309"/>
      <c r="J22979" s="309"/>
    </row>
    <row r="22980">
      <c r="B22980" s="309"/>
      <c r="C22980" s="309"/>
      <c r="I22980" s="309"/>
      <c r="J22980" s="309"/>
    </row>
    <row r="22981">
      <c r="B22981" s="309"/>
      <c r="C22981" s="309"/>
      <c r="I22981" s="309"/>
      <c r="J22981" s="309"/>
    </row>
    <row r="22982">
      <c r="B22982" s="309"/>
      <c r="C22982" s="309"/>
      <c r="I22982" s="309"/>
      <c r="J22982" s="309"/>
    </row>
    <row r="22983">
      <c r="B22983" s="309"/>
      <c r="C22983" s="309"/>
      <c r="I22983" s="309"/>
      <c r="J22983" s="309"/>
    </row>
    <row r="22984">
      <c r="B22984" s="309"/>
      <c r="C22984" s="309"/>
      <c r="I22984" s="309"/>
      <c r="J22984" s="309"/>
    </row>
    <row r="22985">
      <c r="B22985" s="309"/>
      <c r="C22985" s="309"/>
      <c r="I22985" s="309"/>
      <c r="J22985" s="309"/>
    </row>
    <row r="22986">
      <c r="B22986" s="309"/>
      <c r="C22986" s="309"/>
      <c r="I22986" s="309"/>
      <c r="J22986" s="309"/>
    </row>
    <row r="22987">
      <c r="B22987" s="309"/>
      <c r="C22987" s="309"/>
      <c r="I22987" s="309"/>
      <c r="J22987" s="309"/>
    </row>
    <row r="22988">
      <c r="B22988" s="309"/>
      <c r="C22988" s="309"/>
      <c r="I22988" s="309"/>
      <c r="J22988" s="309"/>
    </row>
    <row r="22989">
      <c r="B22989" s="309"/>
      <c r="C22989" s="309"/>
      <c r="I22989" s="309"/>
      <c r="J22989" s="309"/>
    </row>
    <row r="22990">
      <c r="B22990" s="309"/>
      <c r="C22990" s="309"/>
      <c r="I22990" s="309"/>
      <c r="J22990" s="309"/>
    </row>
    <row r="22991">
      <c r="B22991" s="309"/>
      <c r="C22991" s="309"/>
      <c r="I22991" s="309"/>
      <c r="J22991" s="309"/>
    </row>
    <row r="22992">
      <c r="B22992" s="309"/>
      <c r="C22992" s="309"/>
      <c r="I22992" s="309"/>
      <c r="J22992" s="309"/>
    </row>
    <row r="22993">
      <c r="B22993" s="309"/>
      <c r="C22993" s="309"/>
      <c r="I22993" s="309"/>
      <c r="J22993" s="309"/>
    </row>
    <row r="22994">
      <c r="B22994" s="309"/>
      <c r="C22994" s="309"/>
      <c r="I22994" s="309"/>
      <c r="J22994" s="309"/>
    </row>
    <row r="22995">
      <c r="B22995" s="309"/>
      <c r="C22995" s="309"/>
      <c r="I22995" s="309"/>
      <c r="J22995" s="309"/>
    </row>
    <row r="22996">
      <c r="B22996" s="309"/>
      <c r="C22996" s="309"/>
      <c r="I22996" s="309"/>
      <c r="J22996" s="309"/>
    </row>
    <row r="22997">
      <c r="B22997" s="309"/>
      <c r="C22997" s="309"/>
      <c r="I22997" s="309"/>
      <c r="J22997" s="309"/>
    </row>
    <row r="22998">
      <c r="B22998" s="309"/>
      <c r="C22998" s="309"/>
      <c r="I22998" s="309"/>
      <c r="J22998" s="309"/>
    </row>
    <row r="22999">
      <c r="B22999" s="309"/>
      <c r="C22999" s="309"/>
      <c r="I22999" s="309"/>
      <c r="J22999" s="309"/>
    </row>
    <row r="23000">
      <c r="B23000" s="309"/>
      <c r="C23000" s="309"/>
      <c r="I23000" s="309"/>
      <c r="J23000" s="309"/>
    </row>
    <row r="23001">
      <c r="B23001" s="309"/>
      <c r="C23001" s="309"/>
      <c r="I23001" s="309"/>
      <c r="J23001" s="309"/>
    </row>
    <row r="23002">
      <c r="B23002" s="309"/>
      <c r="C23002" s="309"/>
      <c r="I23002" s="309"/>
      <c r="J23002" s="309"/>
    </row>
    <row r="23003">
      <c r="B23003" s="309"/>
      <c r="C23003" s="309"/>
      <c r="I23003" s="309"/>
      <c r="J23003" s="309"/>
    </row>
    <row r="23004">
      <c r="B23004" s="309"/>
      <c r="C23004" s="309"/>
      <c r="I23004" s="309"/>
      <c r="J23004" s="309"/>
    </row>
    <row r="23005">
      <c r="B23005" s="309"/>
      <c r="C23005" s="309"/>
      <c r="I23005" s="309"/>
      <c r="J23005" s="309"/>
    </row>
    <row r="23006">
      <c r="B23006" s="309"/>
      <c r="C23006" s="309"/>
      <c r="I23006" s="309"/>
      <c r="J23006" s="309"/>
    </row>
    <row r="23007">
      <c r="B23007" s="309"/>
      <c r="C23007" s="309"/>
      <c r="I23007" s="309"/>
      <c r="J23007" s="309"/>
    </row>
    <row r="23008">
      <c r="B23008" s="309"/>
      <c r="C23008" s="309"/>
      <c r="I23008" s="309"/>
      <c r="J23008" s="309"/>
    </row>
    <row r="23009">
      <c r="B23009" s="309"/>
      <c r="C23009" s="309"/>
      <c r="I23009" s="309"/>
      <c r="J23009" s="309"/>
    </row>
    <row r="23010">
      <c r="B23010" s="309"/>
      <c r="C23010" s="309"/>
      <c r="I23010" s="309"/>
      <c r="J23010" s="309"/>
    </row>
    <row r="23011">
      <c r="B23011" s="309"/>
      <c r="C23011" s="309"/>
      <c r="I23011" s="309"/>
      <c r="J23011" s="309"/>
    </row>
    <row r="23012">
      <c r="B23012" s="309"/>
      <c r="C23012" s="309"/>
      <c r="I23012" s="309"/>
      <c r="J23012" s="309"/>
    </row>
    <row r="23013">
      <c r="B23013" s="309"/>
      <c r="C23013" s="309"/>
      <c r="I23013" s="309"/>
      <c r="J23013" s="309"/>
    </row>
    <row r="23014">
      <c r="B23014" s="309"/>
      <c r="C23014" s="309"/>
      <c r="I23014" s="309"/>
      <c r="J23014" s="309"/>
    </row>
    <row r="23015">
      <c r="B23015" s="309"/>
      <c r="C23015" s="309"/>
      <c r="I23015" s="309"/>
      <c r="J23015" s="309"/>
    </row>
    <row r="23016">
      <c r="B23016" s="309"/>
      <c r="C23016" s="309"/>
      <c r="I23016" s="309"/>
      <c r="J23016" s="309"/>
    </row>
    <row r="23017">
      <c r="B23017" s="309"/>
      <c r="C23017" s="309"/>
      <c r="I23017" s="309"/>
      <c r="J23017" s="309"/>
    </row>
    <row r="23018">
      <c r="B23018" s="309"/>
      <c r="C23018" s="309"/>
      <c r="I23018" s="309"/>
      <c r="J23018" s="309"/>
    </row>
    <row r="23019">
      <c r="B23019" s="309"/>
      <c r="C23019" s="309"/>
      <c r="I23019" s="309"/>
      <c r="J23019" s="309"/>
    </row>
    <row r="23020">
      <c r="B23020" s="309"/>
      <c r="C23020" s="309"/>
      <c r="I23020" s="309"/>
      <c r="J23020" s="309"/>
    </row>
    <row r="23021">
      <c r="B23021" s="309"/>
      <c r="C23021" s="309"/>
      <c r="I23021" s="309"/>
      <c r="J23021" s="309"/>
    </row>
    <row r="23022">
      <c r="B23022" s="309"/>
      <c r="C23022" s="309"/>
      <c r="I23022" s="309"/>
      <c r="J23022" s="309"/>
    </row>
    <row r="23023">
      <c r="B23023" s="309"/>
      <c r="C23023" s="309"/>
      <c r="I23023" s="309"/>
      <c r="J23023" s="309"/>
    </row>
    <row r="23024">
      <c r="B23024" s="309"/>
      <c r="C23024" s="309"/>
      <c r="I23024" s="309"/>
      <c r="J23024" s="309"/>
    </row>
    <row r="23025">
      <c r="B23025" s="309"/>
      <c r="C23025" s="309"/>
      <c r="I23025" s="309"/>
      <c r="J23025" s="309"/>
    </row>
    <row r="23026">
      <c r="B23026" s="309"/>
      <c r="C23026" s="309"/>
      <c r="I23026" s="309"/>
      <c r="J23026" s="309"/>
    </row>
    <row r="23027">
      <c r="B23027" s="309"/>
      <c r="C23027" s="309"/>
      <c r="I23027" s="309"/>
      <c r="J23027" s="309"/>
    </row>
    <row r="23028">
      <c r="B23028" s="309"/>
      <c r="C23028" s="309"/>
      <c r="I23028" s="309"/>
      <c r="J23028" s="309"/>
    </row>
    <row r="23029">
      <c r="B23029" s="309"/>
      <c r="C23029" s="309"/>
      <c r="I23029" s="309"/>
      <c r="J23029" s="309"/>
    </row>
    <row r="23030">
      <c r="B23030" s="309"/>
      <c r="C23030" s="309"/>
      <c r="I23030" s="309"/>
      <c r="J23030" s="309"/>
    </row>
    <row r="23031">
      <c r="B23031" s="309"/>
      <c r="C23031" s="309"/>
      <c r="I23031" s="309"/>
      <c r="J23031" s="309"/>
    </row>
    <row r="23032">
      <c r="B23032" s="309"/>
      <c r="C23032" s="309"/>
      <c r="I23032" s="309"/>
      <c r="J23032" s="309"/>
    </row>
    <row r="23033">
      <c r="B23033" s="309"/>
      <c r="C23033" s="309"/>
      <c r="I23033" s="309"/>
      <c r="J23033" s="309"/>
    </row>
    <row r="23034">
      <c r="B23034" s="309"/>
      <c r="C23034" s="309"/>
      <c r="I23034" s="309"/>
      <c r="J23034" s="309"/>
    </row>
    <row r="23035">
      <c r="B23035" s="309"/>
      <c r="C23035" s="309"/>
      <c r="I23035" s="309"/>
      <c r="J23035" s="309"/>
    </row>
    <row r="23036">
      <c r="B23036" s="309"/>
      <c r="C23036" s="309"/>
      <c r="I23036" s="309"/>
      <c r="J23036" s="309"/>
    </row>
    <row r="23037">
      <c r="B23037" s="309"/>
      <c r="C23037" s="309"/>
      <c r="I23037" s="309"/>
      <c r="J23037" s="309"/>
    </row>
    <row r="23038">
      <c r="B23038" s="309"/>
      <c r="C23038" s="309"/>
      <c r="I23038" s="309"/>
      <c r="J23038" s="309"/>
    </row>
    <row r="23039">
      <c r="B23039" s="309"/>
      <c r="C23039" s="309"/>
      <c r="I23039" s="309"/>
      <c r="J23039" s="309"/>
    </row>
    <row r="23040">
      <c r="B23040" s="309"/>
      <c r="C23040" s="309"/>
      <c r="I23040" s="309"/>
      <c r="J23040" s="309"/>
    </row>
    <row r="23041">
      <c r="B23041" s="309"/>
      <c r="C23041" s="309"/>
      <c r="I23041" s="309"/>
      <c r="J23041" s="309"/>
    </row>
    <row r="23042">
      <c r="B23042" s="309"/>
      <c r="C23042" s="309"/>
      <c r="I23042" s="309"/>
      <c r="J23042" s="309"/>
    </row>
    <row r="23043">
      <c r="B23043" s="309"/>
      <c r="C23043" s="309"/>
      <c r="I23043" s="309"/>
      <c r="J23043" s="309"/>
    </row>
    <row r="23044">
      <c r="B23044" s="309"/>
      <c r="C23044" s="309"/>
      <c r="I23044" s="309"/>
      <c r="J23044" s="309"/>
    </row>
    <row r="23045">
      <c r="B23045" s="309"/>
      <c r="C23045" s="309"/>
      <c r="I23045" s="309"/>
      <c r="J23045" s="309"/>
    </row>
    <row r="23046">
      <c r="B23046" s="309"/>
      <c r="C23046" s="309"/>
      <c r="I23046" s="309"/>
      <c r="J23046" s="309"/>
    </row>
    <row r="23047">
      <c r="B23047" s="309"/>
      <c r="C23047" s="309"/>
      <c r="I23047" s="309"/>
      <c r="J23047" s="309"/>
    </row>
    <row r="23048">
      <c r="B23048" s="309"/>
      <c r="C23048" s="309"/>
      <c r="I23048" s="309"/>
      <c r="J23048" s="309"/>
    </row>
    <row r="23049">
      <c r="B23049" s="309"/>
      <c r="C23049" s="309"/>
      <c r="I23049" s="309"/>
      <c r="J23049" s="309"/>
    </row>
    <row r="23050">
      <c r="B23050" s="309"/>
      <c r="C23050" s="309"/>
      <c r="I23050" s="309"/>
      <c r="J23050" s="309"/>
    </row>
    <row r="23051">
      <c r="B23051" s="309"/>
      <c r="C23051" s="309"/>
      <c r="I23051" s="309"/>
      <c r="J23051" s="309"/>
    </row>
    <row r="23052">
      <c r="B23052" s="309"/>
      <c r="C23052" s="309"/>
      <c r="I23052" s="309"/>
      <c r="J23052" s="309"/>
    </row>
    <row r="23053">
      <c r="B23053" s="309"/>
      <c r="C23053" s="309"/>
      <c r="I23053" s="309"/>
      <c r="J23053" s="309"/>
    </row>
    <row r="23054">
      <c r="B23054" s="309"/>
      <c r="C23054" s="309"/>
      <c r="I23054" s="309"/>
      <c r="J23054" s="309"/>
    </row>
    <row r="23055">
      <c r="B23055" s="309"/>
      <c r="C23055" s="309"/>
      <c r="I23055" s="309"/>
      <c r="J23055" s="309"/>
    </row>
    <row r="23056">
      <c r="B23056" s="309"/>
      <c r="C23056" s="309"/>
      <c r="I23056" s="309"/>
      <c r="J23056" s="309"/>
    </row>
    <row r="23057">
      <c r="B23057" s="309"/>
      <c r="C23057" s="309"/>
      <c r="I23057" s="309"/>
      <c r="J23057" s="309"/>
    </row>
    <row r="23058">
      <c r="B23058" s="309"/>
      <c r="C23058" s="309"/>
      <c r="I23058" s="309"/>
      <c r="J23058" s="309"/>
    </row>
    <row r="23059">
      <c r="B23059" s="309"/>
      <c r="C23059" s="309"/>
      <c r="I23059" s="309"/>
      <c r="J23059" s="309"/>
    </row>
    <row r="23060">
      <c r="B23060" s="309"/>
      <c r="C23060" s="309"/>
      <c r="I23060" s="309"/>
      <c r="J23060" s="309"/>
    </row>
    <row r="23061">
      <c r="B23061" s="309"/>
      <c r="C23061" s="309"/>
      <c r="I23061" s="309"/>
      <c r="J23061" s="309"/>
    </row>
    <row r="23062">
      <c r="B23062" s="309"/>
      <c r="C23062" s="309"/>
      <c r="I23062" s="309"/>
      <c r="J23062" s="309"/>
    </row>
    <row r="23063">
      <c r="B23063" s="309"/>
      <c r="C23063" s="309"/>
      <c r="I23063" s="309"/>
      <c r="J23063" s="309"/>
    </row>
    <row r="23064">
      <c r="B23064" s="309"/>
      <c r="C23064" s="309"/>
      <c r="I23064" s="309"/>
      <c r="J23064" s="309"/>
    </row>
    <row r="23065">
      <c r="B23065" s="309"/>
      <c r="C23065" s="309"/>
      <c r="I23065" s="309"/>
      <c r="J23065" s="309"/>
    </row>
    <row r="23066">
      <c r="B23066" s="309"/>
      <c r="C23066" s="309"/>
      <c r="I23066" s="309"/>
      <c r="J23066" s="309"/>
    </row>
    <row r="23067">
      <c r="B23067" s="309"/>
      <c r="C23067" s="309"/>
      <c r="I23067" s="309"/>
      <c r="J23067" s="309"/>
    </row>
    <row r="23068">
      <c r="B23068" s="309"/>
      <c r="C23068" s="309"/>
      <c r="I23068" s="309"/>
      <c r="J23068" s="309"/>
    </row>
    <row r="23069">
      <c r="B23069" s="309"/>
      <c r="C23069" s="309"/>
      <c r="I23069" s="309"/>
      <c r="J23069" s="309"/>
    </row>
    <row r="23070">
      <c r="B23070" s="309"/>
      <c r="C23070" s="309"/>
      <c r="I23070" s="309"/>
      <c r="J23070" s="309"/>
    </row>
    <row r="23071">
      <c r="B23071" s="309"/>
      <c r="C23071" s="309"/>
      <c r="I23071" s="309"/>
      <c r="J23071" s="309"/>
    </row>
    <row r="23072">
      <c r="B23072" s="309"/>
      <c r="C23072" s="309"/>
      <c r="I23072" s="309"/>
      <c r="J23072" s="309"/>
    </row>
    <row r="23073">
      <c r="B23073" s="309"/>
      <c r="C23073" s="309"/>
      <c r="I23073" s="309"/>
      <c r="J23073" s="309"/>
    </row>
    <row r="23074">
      <c r="B23074" s="309"/>
      <c r="C23074" s="309"/>
      <c r="I23074" s="309"/>
      <c r="J23074" s="309"/>
    </row>
    <row r="23075">
      <c r="B23075" s="309"/>
      <c r="C23075" s="309"/>
      <c r="I23075" s="309"/>
      <c r="J23075" s="309"/>
    </row>
    <row r="23076">
      <c r="B23076" s="309"/>
      <c r="C23076" s="309"/>
      <c r="I23076" s="309"/>
      <c r="J23076" s="309"/>
    </row>
    <row r="23077">
      <c r="B23077" s="309"/>
      <c r="C23077" s="309"/>
      <c r="I23077" s="309"/>
      <c r="J23077" s="309"/>
    </row>
    <row r="23078">
      <c r="B23078" s="309"/>
      <c r="C23078" s="309"/>
      <c r="I23078" s="309"/>
      <c r="J23078" s="309"/>
    </row>
    <row r="23079">
      <c r="B23079" s="309"/>
      <c r="C23079" s="309"/>
      <c r="I23079" s="309"/>
      <c r="J23079" s="309"/>
    </row>
    <row r="23080">
      <c r="B23080" s="309"/>
      <c r="C23080" s="309"/>
      <c r="I23080" s="309"/>
      <c r="J23080" s="309"/>
    </row>
    <row r="23081">
      <c r="B23081" s="309"/>
      <c r="C23081" s="309"/>
      <c r="I23081" s="309"/>
      <c r="J23081" s="309"/>
    </row>
    <row r="23082">
      <c r="B23082" s="309"/>
      <c r="C23082" s="309"/>
      <c r="I23082" s="309"/>
      <c r="J23082" s="309"/>
    </row>
    <row r="23083">
      <c r="B23083" s="309"/>
      <c r="C23083" s="309"/>
      <c r="I23083" s="309"/>
      <c r="J23083" s="309"/>
    </row>
    <row r="23084">
      <c r="B23084" s="309"/>
      <c r="C23084" s="309"/>
      <c r="I23084" s="309"/>
      <c r="J23084" s="309"/>
    </row>
    <row r="23085">
      <c r="B23085" s="309"/>
      <c r="C23085" s="309"/>
      <c r="I23085" s="309"/>
      <c r="J23085" s="309"/>
    </row>
    <row r="23086">
      <c r="B23086" s="309"/>
      <c r="C23086" s="309"/>
      <c r="I23086" s="309"/>
      <c r="J23086" s="309"/>
    </row>
    <row r="23087">
      <c r="B23087" s="309"/>
      <c r="C23087" s="309"/>
      <c r="I23087" s="309"/>
      <c r="J23087" s="309"/>
    </row>
    <row r="23088">
      <c r="B23088" s="309"/>
      <c r="C23088" s="309"/>
      <c r="I23088" s="309"/>
      <c r="J23088" s="309"/>
    </row>
    <row r="23089">
      <c r="B23089" s="309"/>
      <c r="C23089" s="309"/>
      <c r="I23089" s="309"/>
      <c r="J23089" s="309"/>
    </row>
    <row r="23090">
      <c r="B23090" s="309"/>
      <c r="C23090" s="309"/>
      <c r="I23090" s="309"/>
      <c r="J23090" s="309"/>
    </row>
    <row r="23091">
      <c r="B23091" s="309"/>
      <c r="C23091" s="309"/>
      <c r="I23091" s="309"/>
      <c r="J23091" s="309"/>
    </row>
    <row r="23092">
      <c r="B23092" s="309"/>
      <c r="C23092" s="309"/>
      <c r="I23092" s="309"/>
      <c r="J23092" s="309"/>
    </row>
    <row r="23093">
      <c r="B23093" s="309"/>
      <c r="C23093" s="309"/>
      <c r="I23093" s="309"/>
      <c r="J23093" s="309"/>
    </row>
    <row r="23094">
      <c r="B23094" s="309"/>
      <c r="C23094" s="309"/>
      <c r="I23094" s="309"/>
      <c r="J23094" s="309"/>
    </row>
    <row r="23095">
      <c r="B23095" s="309"/>
      <c r="C23095" s="309"/>
      <c r="I23095" s="309"/>
      <c r="J23095" s="309"/>
    </row>
    <row r="23096">
      <c r="B23096" s="309"/>
      <c r="C23096" s="309"/>
      <c r="I23096" s="309"/>
      <c r="J23096" s="309"/>
    </row>
    <row r="23097">
      <c r="B23097" s="309"/>
      <c r="C23097" s="309"/>
      <c r="I23097" s="309"/>
      <c r="J23097" s="309"/>
    </row>
    <row r="23098">
      <c r="B23098" s="309"/>
      <c r="C23098" s="309"/>
      <c r="I23098" s="309"/>
      <c r="J23098" s="309"/>
    </row>
    <row r="23099">
      <c r="B23099" s="309"/>
      <c r="C23099" s="309"/>
      <c r="I23099" s="309"/>
      <c r="J23099" s="309"/>
    </row>
    <row r="23100">
      <c r="B23100" s="309"/>
      <c r="C23100" s="309"/>
      <c r="I23100" s="309"/>
      <c r="J23100" s="309"/>
    </row>
    <row r="23101">
      <c r="B23101" s="309"/>
      <c r="C23101" s="309"/>
      <c r="I23101" s="309"/>
      <c r="J23101" s="309"/>
    </row>
    <row r="23102">
      <c r="B23102" s="309"/>
      <c r="C23102" s="309"/>
      <c r="I23102" s="309"/>
      <c r="J23102" s="309"/>
    </row>
    <row r="23103">
      <c r="B23103" s="309"/>
      <c r="C23103" s="309"/>
      <c r="I23103" s="309"/>
      <c r="J23103" s="309"/>
    </row>
    <row r="23104">
      <c r="B23104" s="309"/>
      <c r="C23104" s="309"/>
      <c r="I23104" s="309"/>
      <c r="J23104" s="309"/>
    </row>
    <row r="23105">
      <c r="B23105" s="309"/>
      <c r="C23105" s="309"/>
      <c r="I23105" s="309"/>
      <c r="J23105" s="309"/>
    </row>
    <row r="23106">
      <c r="B23106" s="309"/>
      <c r="C23106" s="309"/>
      <c r="I23106" s="309"/>
      <c r="J23106" s="309"/>
    </row>
    <row r="23107">
      <c r="B23107" s="309"/>
      <c r="C23107" s="309"/>
      <c r="I23107" s="309"/>
      <c r="J23107" s="309"/>
    </row>
    <row r="23108">
      <c r="B23108" s="309"/>
      <c r="C23108" s="309"/>
      <c r="I23108" s="309"/>
      <c r="J23108" s="309"/>
    </row>
    <row r="23109">
      <c r="B23109" s="309"/>
      <c r="C23109" s="309"/>
      <c r="I23109" s="309"/>
      <c r="J23109" s="309"/>
    </row>
    <row r="23110">
      <c r="B23110" s="309"/>
      <c r="C23110" s="309"/>
      <c r="I23110" s="309"/>
      <c r="J23110" s="309"/>
    </row>
    <row r="23111">
      <c r="B23111" s="309"/>
      <c r="C23111" s="309"/>
      <c r="I23111" s="309"/>
      <c r="J23111" s="309"/>
    </row>
    <row r="23112">
      <c r="B23112" s="309"/>
      <c r="C23112" s="309"/>
      <c r="I23112" s="309"/>
      <c r="J23112" s="309"/>
    </row>
    <row r="23113">
      <c r="B23113" s="309"/>
      <c r="C23113" s="309"/>
      <c r="I23113" s="309"/>
      <c r="J23113" s="309"/>
    </row>
    <row r="23114">
      <c r="B23114" s="309"/>
      <c r="C23114" s="309"/>
      <c r="I23114" s="309"/>
      <c r="J23114" s="309"/>
    </row>
    <row r="23115">
      <c r="B23115" s="309"/>
      <c r="C23115" s="309"/>
      <c r="I23115" s="309"/>
      <c r="J23115" s="309"/>
    </row>
    <row r="23116">
      <c r="B23116" s="309"/>
      <c r="C23116" s="309"/>
      <c r="I23116" s="309"/>
      <c r="J23116" s="309"/>
    </row>
    <row r="23117">
      <c r="B23117" s="309"/>
      <c r="C23117" s="309"/>
      <c r="I23117" s="309"/>
      <c r="J23117" s="309"/>
    </row>
    <row r="23118">
      <c r="B23118" s="309"/>
      <c r="C23118" s="309"/>
      <c r="I23118" s="309"/>
      <c r="J23118" s="309"/>
    </row>
    <row r="23119">
      <c r="B23119" s="309"/>
      <c r="C23119" s="309"/>
      <c r="I23119" s="309"/>
      <c r="J23119" s="309"/>
    </row>
    <row r="23120">
      <c r="B23120" s="309"/>
      <c r="C23120" s="309"/>
      <c r="I23120" s="309"/>
      <c r="J23120" s="309"/>
    </row>
    <row r="23121">
      <c r="B23121" s="309"/>
      <c r="C23121" s="309"/>
      <c r="I23121" s="309"/>
      <c r="J23121" s="309"/>
    </row>
    <row r="23122">
      <c r="B23122" s="309"/>
      <c r="C23122" s="309"/>
      <c r="I23122" s="309"/>
      <c r="J23122" s="309"/>
    </row>
    <row r="23123">
      <c r="B23123" s="309"/>
      <c r="C23123" s="309"/>
      <c r="I23123" s="309"/>
      <c r="J23123" s="309"/>
    </row>
    <row r="23124">
      <c r="B23124" s="309"/>
      <c r="C23124" s="309"/>
      <c r="I23124" s="309"/>
      <c r="J23124" s="309"/>
    </row>
    <row r="23125">
      <c r="B23125" s="309"/>
      <c r="C23125" s="309"/>
      <c r="I23125" s="309"/>
      <c r="J23125" s="309"/>
    </row>
    <row r="23126">
      <c r="B23126" s="309"/>
      <c r="C23126" s="309"/>
      <c r="I23126" s="309"/>
      <c r="J23126" s="309"/>
    </row>
    <row r="23127">
      <c r="B23127" s="309"/>
      <c r="C23127" s="309"/>
      <c r="I23127" s="309"/>
      <c r="J23127" s="309"/>
    </row>
    <row r="23128">
      <c r="B23128" s="309"/>
      <c r="C23128" s="309"/>
      <c r="I23128" s="309"/>
      <c r="J23128" s="309"/>
    </row>
    <row r="23129">
      <c r="B23129" s="309"/>
      <c r="C23129" s="309"/>
      <c r="I23129" s="309"/>
      <c r="J23129" s="309"/>
    </row>
    <row r="23130">
      <c r="B23130" s="309"/>
      <c r="C23130" s="309"/>
      <c r="I23130" s="309"/>
      <c r="J23130" s="309"/>
    </row>
    <row r="23131">
      <c r="B23131" s="309"/>
      <c r="C23131" s="309"/>
      <c r="I23131" s="309"/>
      <c r="J23131" s="309"/>
    </row>
    <row r="23132">
      <c r="B23132" s="309"/>
      <c r="C23132" s="309"/>
      <c r="I23132" s="309"/>
      <c r="J23132" s="309"/>
    </row>
    <row r="23133">
      <c r="B23133" s="309"/>
      <c r="C23133" s="309"/>
      <c r="I23133" s="309"/>
      <c r="J23133" s="309"/>
    </row>
    <row r="23134">
      <c r="B23134" s="309"/>
      <c r="C23134" s="309"/>
      <c r="I23134" s="309"/>
      <c r="J23134" s="309"/>
    </row>
    <row r="23135">
      <c r="B23135" s="309"/>
      <c r="C23135" s="309"/>
      <c r="I23135" s="309"/>
      <c r="J23135" s="309"/>
    </row>
    <row r="23136">
      <c r="B23136" s="309"/>
      <c r="C23136" s="309"/>
      <c r="I23136" s="309"/>
      <c r="J23136" s="309"/>
    </row>
    <row r="23137">
      <c r="B23137" s="309"/>
      <c r="C23137" s="309"/>
      <c r="I23137" s="309"/>
      <c r="J23137" s="309"/>
    </row>
    <row r="23138">
      <c r="B23138" s="309"/>
      <c r="C23138" s="309"/>
      <c r="I23138" s="309"/>
      <c r="J23138" s="309"/>
    </row>
    <row r="23139">
      <c r="B23139" s="309"/>
      <c r="C23139" s="309"/>
      <c r="I23139" s="309"/>
      <c r="J23139" s="309"/>
    </row>
    <row r="23140">
      <c r="B23140" s="309"/>
      <c r="C23140" s="309"/>
      <c r="I23140" s="309"/>
      <c r="J23140" s="309"/>
    </row>
    <row r="23141">
      <c r="B23141" s="309"/>
      <c r="C23141" s="309"/>
      <c r="I23141" s="309"/>
      <c r="J23141" s="309"/>
    </row>
    <row r="23142">
      <c r="B23142" s="309"/>
      <c r="C23142" s="309"/>
      <c r="I23142" s="309"/>
      <c r="J23142" s="309"/>
    </row>
    <row r="23143">
      <c r="B23143" s="309"/>
      <c r="C23143" s="309"/>
      <c r="I23143" s="309"/>
      <c r="J23143" s="309"/>
    </row>
    <row r="23144">
      <c r="B23144" s="309"/>
      <c r="C23144" s="309"/>
      <c r="I23144" s="309"/>
      <c r="J23144" s="309"/>
    </row>
    <row r="23145">
      <c r="B23145" s="309"/>
      <c r="C23145" s="309"/>
      <c r="I23145" s="309"/>
      <c r="J23145" s="309"/>
    </row>
    <row r="23146">
      <c r="B23146" s="309"/>
      <c r="C23146" s="309"/>
      <c r="I23146" s="309"/>
      <c r="J23146" s="309"/>
    </row>
    <row r="23147">
      <c r="B23147" s="309"/>
      <c r="C23147" s="309"/>
      <c r="I23147" s="309"/>
      <c r="J23147" s="309"/>
    </row>
    <row r="23148">
      <c r="B23148" s="309"/>
      <c r="C23148" s="309"/>
      <c r="I23148" s="309"/>
      <c r="J23148" s="309"/>
    </row>
    <row r="23149">
      <c r="B23149" s="309"/>
      <c r="C23149" s="309"/>
      <c r="I23149" s="309"/>
      <c r="J23149" s="309"/>
    </row>
    <row r="23150">
      <c r="B23150" s="309"/>
      <c r="C23150" s="309"/>
      <c r="I23150" s="309"/>
      <c r="J23150" s="309"/>
    </row>
    <row r="23151">
      <c r="B23151" s="309"/>
      <c r="C23151" s="309"/>
      <c r="I23151" s="309"/>
      <c r="J23151" s="309"/>
    </row>
    <row r="23152">
      <c r="B23152" s="309"/>
      <c r="C23152" s="309"/>
      <c r="I23152" s="309"/>
      <c r="J23152" s="309"/>
    </row>
    <row r="23153">
      <c r="B23153" s="309"/>
      <c r="C23153" s="309"/>
      <c r="I23153" s="309"/>
      <c r="J23153" s="309"/>
    </row>
    <row r="23154">
      <c r="B23154" s="309"/>
      <c r="C23154" s="309"/>
      <c r="I23154" s="309"/>
      <c r="J23154" s="309"/>
    </row>
    <row r="23155">
      <c r="B23155" s="309"/>
      <c r="C23155" s="309"/>
      <c r="I23155" s="309"/>
      <c r="J23155" s="309"/>
    </row>
    <row r="23156">
      <c r="B23156" s="309"/>
      <c r="C23156" s="309"/>
      <c r="I23156" s="309"/>
      <c r="J23156" s="309"/>
    </row>
    <row r="23157">
      <c r="B23157" s="309"/>
      <c r="C23157" s="309"/>
      <c r="I23157" s="309"/>
      <c r="J23157" s="309"/>
    </row>
    <row r="23158">
      <c r="B23158" s="309"/>
      <c r="C23158" s="309"/>
      <c r="I23158" s="309"/>
      <c r="J23158" s="309"/>
    </row>
    <row r="23159">
      <c r="B23159" s="309"/>
      <c r="C23159" s="309"/>
      <c r="I23159" s="309"/>
      <c r="J23159" s="309"/>
    </row>
    <row r="23160">
      <c r="B23160" s="309"/>
      <c r="C23160" s="309"/>
      <c r="I23160" s="309"/>
      <c r="J23160" s="309"/>
    </row>
    <row r="23161">
      <c r="B23161" s="309"/>
      <c r="C23161" s="309"/>
      <c r="I23161" s="309"/>
      <c r="J23161" s="309"/>
    </row>
    <row r="23162">
      <c r="B23162" s="309"/>
      <c r="C23162" s="309"/>
      <c r="I23162" s="309"/>
      <c r="J23162" s="309"/>
    </row>
    <row r="23163">
      <c r="B23163" s="309"/>
      <c r="C23163" s="309"/>
      <c r="I23163" s="309"/>
      <c r="J23163" s="309"/>
    </row>
    <row r="23164">
      <c r="B23164" s="309"/>
      <c r="C23164" s="309"/>
      <c r="I23164" s="309"/>
      <c r="J23164" s="309"/>
    </row>
    <row r="23165">
      <c r="B23165" s="309"/>
      <c r="C23165" s="309"/>
      <c r="I23165" s="309"/>
      <c r="J23165" s="309"/>
    </row>
    <row r="23166">
      <c r="B23166" s="309"/>
      <c r="C23166" s="309"/>
      <c r="I23166" s="309"/>
      <c r="J23166" s="309"/>
    </row>
    <row r="23167">
      <c r="B23167" s="309"/>
      <c r="C23167" s="309"/>
      <c r="I23167" s="309"/>
      <c r="J23167" s="309"/>
    </row>
    <row r="23168">
      <c r="B23168" s="309"/>
      <c r="C23168" s="309"/>
      <c r="I23168" s="309"/>
      <c r="J23168" s="309"/>
    </row>
    <row r="23169">
      <c r="B23169" s="309"/>
      <c r="C23169" s="309"/>
      <c r="I23169" s="309"/>
      <c r="J23169" s="309"/>
    </row>
    <row r="23170">
      <c r="B23170" s="309"/>
      <c r="C23170" s="309"/>
      <c r="I23170" s="309"/>
      <c r="J23170" s="309"/>
    </row>
    <row r="23171">
      <c r="B23171" s="309"/>
      <c r="C23171" s="309"/>
      <c r="I23171" s="309"/>
      <c r="J23171" s="309"/>
    </row>
    <row r="23172">
      <c r="B23172" s="309"/>
      <c r="C23172" s="309"/>
      <c r="I23172" s="309"/>
      <c r="J23172" s="309"/>
    </row>
    <row r="23173">
      <c r="B23173" s="309"/>
      <c r="C23173" s="309"/>
      <c r="I23173" s="309"/>
      <c r="J23173" s="309"/>
    </row>
    <row r="23174">
      <c r="B23174" s="309"/>
      <c r="C23174" s="309"/>
      <c r="I23174" s="309"/>
      <c r="J23174" s="309"/>
    </row>
    <row r="23175">
      <c r="B23175" s="309"/>
      <c r="C23175" s="309"/>
      <c r="I23175" s="309"/>
      <c r="J23175" s="309"/>
    </row>
    <row r="23176">
      <c r="B23176" s="309"/>
      <c r="C23176" s="309"/>
      <c r="I23176" s="309"/>
      <c r="J23176" s="309"/>
    </row>
    <row r="23177">
      <c r="B23177" s="309"/>
      <c r="C23177" s="309"/>
      <c r="I23177" s="309"/>
      <c r="J23177" s="309"/>
    </row>
    <row r="23178">
      <c r="B23178" s="309"/>
      <c r="C23178" s="309"/>
      <c r="I23178" s="309"/>
      <c r="J23178" s="309"/>
    </row>
    <row r="23179">
      <c r="B23179" s="309"/>
      <c r="C23179" s="309"/>
      <c r="I23179" s="309"/>
      <c r="J23179" s="309"/>
    </row>
    <row r="23180">
      <c r="B23180" s="309"/>
      <c r="C23180" s="309"/>
      <c r="I23180" s="309"/>
      <c r="J23180" s="309"/>
    </row>
    <row r="23181">
      <c r="B23181" s="309"/>
      <c r="C23181" s="309"/>
      <c r="I23181" s="309"/>
      <c r="J23181" s="309"/>
    </row>
    <row r="23182">
      <c r="B23182" s="309"/>
      <c r="C23182" s="309"/>
      <c r="I23182" s="309"/>
      <c r="J23182" s="309"/>
    </row>
    <row r="23183">
      <c r="B23183" s="309"/>
      <c r="C23183" s="309"/>
      <c r="I23183" s="309"/>
      <c r="J23183" s="309"/>
    </row>
    <row r="23184">
      <c r="B23184" s="309"/>
      <c r="C23184" s="309"/>
      <c r="I23184" s="309"/>
      <c r="J23184" s="309"/>
    </row>
    <row r="23185">
      <c r="B23185" s="309"/>
      <c r="C23185" s="309"/>
      <c r="I23185" s="309"/>
      <c r="J23185" s="309"/>
    </row>
    <row r="23186">
      <c r="B23186" s="309"/>
      <c r="C23186" s="309"/>
      <c r="I23186" s="309"/>
      <c r="J23186" s="309"/>
    </row>
    <row r="23187">
      <c r="B23187" s="309"/>
      <c r="C23187" s="309"/>
      <c r="I23187" s="309"/>
      <c r="J23187" s="309"/>
    </row>
    <row r="23188">
      <c r="B23188" s="309"/>
      <c r="C23188" s="309"/>
      <c r="I23188" s="309"/>
      <c r="J23188" s="309"/>
    </row>
    <row r="23189">
      <c r="B23189" s="309"/>
      <c r="C23189" s="309"/>
      <c r="I23189" s="309"/>
      <c r="J23189" s="309"/>
    </row>
    <row r="23190">
      <c r="B23190" s="309"/>
      <c r="C23190" s="309"/>
      <c r="I23190" s="309"/>
      <c r="J23190" s="309"/>
    </row>
    <row r="23191">
      <c r="B23191" s="309"/>
      <c r="C23191" s="309"/>
      <c r="I23191" s="309"/>
      <c r="J23191" s="309"/>
    </row>
    <row r="23192">
      <c r="B23192" s="309"/>
      <c r="C23192" s="309"/>
      <c r="I23192" s="309"/>
      <c r="J23192" s="309"/>
    </row>
    <row r="23193">
      <c r="B23193" s="309"/>
      <c r="C23193" s="309"/>
      <c r="I23193" s="309"/>
      <c r="J23193" s="309"/>
    </row>
    <row r="23194">
      <c r="B23194" s="309"/>
      <c r="C23194" s="309"/>
      <c r="I23194" s="309"/>
      <c r="J23194" s="309"/>
    </row>
    <row r="23195">
      <c r="B23195" s="309"/>
      <c r="C23195" s="309"/>
      <c r="I23195" s="309"/>
      <c r="J23195" s="309"/>
    </row>
    <row r="23196">
      <c r="B23196" s="309"/>
      <c r="C23196" s="309"/>
      <c r="I23196" s="309"/>
      <c r="J23196" s="309"/>
    </row>
    <row r="23197">
      <c r="B23197" s="309"/>
      <c r="C23197" s="309"/>
      <c r="I23197" s="309"/>
      <c r="J23197" s="309"/>
    </row>
    <row r="23198">
      <c r="B23198" s="309"/>
      <c r="C23198" s="309"/>
      <c r="I23198" s="309"/>
      <c r="J23198" s="309"/>
    </row>
    <row r="23199">
      <c r="B23199" s="309"/>
      <c r="C23199" s="309"/>
      <c r="I23199" s="309"/>
      <c r="J23199" s="309"/>
    </row>
    <row r="23200">
      <c r="B23200" s="309"/>
      <c r="C23200" s="309"/>
      <c r="I23200" s="309"/>
      <c r="J23200" s="309"/>
    </row>
    <row r="23201">
      <c r="B23201" s="309"/>
      <c r="C23201" s="309"/>
      <c r="I23201" s="309"/>
      <c r="J23201" s="309"/>
    </row>
    <row r="23202">
      <c r="B23202" s="309"/>
      <c r="C23202" s="309"/>
      <c r="I23202" s="309"/>
      <c r="J23202" s="309"/>
    </row>
    <row r="23203">
      <c r="B23203" s="309"/>
      <c r="C23203" s="309"/>
      <c r="I23203" s="309"/>
      <c r="J23203" s="309"/>
    </row>
    <row r="23204">
      <c r="B23204" s="309"/>
      <c r="C23204" s="309"/>
      <c r="I23204" s="309"/>
      <c r="J23204" s="309"/>
    </row>
    <row r="23205">
      <c r="B23205" s="309"/>
      <c r="C23205" s="309"/>
      <c r="I23205" s="309"/>
      <c r="J23205" s="309"/>
    </row>
    <row r="23206">
      <c r="B23206" s="309"/>
      <c r="C23206" s="309"/>
      <c r="I23206" s="309"/>
      <c r="J23206" s="309"/>
    </row>
    <row r="23207">
      <c r="B23207" s="309"/>
      <c r="C23207" s="309"/>
      <c r="I23207" s="309"/>
      <c r="J23207" s="309"/>
    </row>
    <row r="23208">
      <c r="B23208" s="309"/>
      <c r="C23208" s="309"/>
      <c r="I23208" s="309"/>
      <c r="J23208" s="309"/>
    </row>
    <row r="23209">
      <c r="B23209" s="309"/>
      <c r="C23209" s="309"/>
      <c r="I23209" s="309"/>
      <c r="J23209" s="309"/>
    </row>
    <row r="23210">
      <c r="B23210" s="309"/>
      <c r="C23210" s="309"/>
      <c r="I23210" s="309"/>
      <c r="J23210" s="309"/>
    </row>
    <row r="23211">
      <c r="B23211" s="309"/>
      <c r="C23211" s="309"/>
      <c r="I23211" s="309"/>
      <c r="J23211" s="309"/>
    </row>
    <row r="23212">
      <c r="B23212" s="309"/>
      <c r="C23212" s="309"/>
      <c r="I23212" s="309"/>
      <c r="J23212" s="309"/>
    </row>
    <row r="23213">
      <c r="B23213" s="309"/>
      <c r="C23213" s="309"/>
      <c r="I23213" s="309"/>
      <c r="J23213" s="309"/>
    </row>
    <row r="23214">
      <c r="B23214" s="309"/>
      <c r="C23214" s="309"/>
      <c r="I23214" s="309"/>
      <c r="J23214" s="309"/>
    </row>
    <row r="23215">
      <c r="B23215" s="309"/>
      <c r="C23215" s="309"/>
      <c r="I23215" s="309"/>
      <c r="J23215" s="309"/>
    </row>
    <row r="23216">
      <c r="B23216" s="309"/>
      <c r="C23216" s="309"/>
      <c r="I23216" s="309"/>
      <c r="J23216" s="309"/>
    </row>
    <row r="23217">
      <c r="B23217" s="309"/>
      <c r="C23217" s="309"/>
      <c r="I23217" s="309"/>
      <c r="J23217" s="309"/>
    </row>
    <row r="23218">
      <c r="B23218" s="309"/>
      <c r="C23218" s="309"/>
      <c r="I23218" s="309"/>
      <c r="J23218" s="309"/>
    </row>
    <row r="23219">
      <c r="B23219" s="309"/>
      <c r="C23219" s="309"/>
      <c r="I23219" s="309"/>
      <c r="J23219" s="309"/>
    </row>
    <row r="23220">
      <c r="B23220" s="309"/>
      <c r="C23220" s="309"/>
      <c r="I23220" s="309"/>
      <c r="J23220" s="309"/>
    </row>
    <row r="23221">
      <c r="B23221" s="309"/>
      <c r="C23221" s="309"/>
      <c r="I23221" s="309"/>
      <c r="J23221" s="309"/>
    </row>
    <row r="23222">
      <c r="B23222" s="309"/>
      <c r="C23222" s="309"/>
      <c r="I23222" s="309"/>
      <c r="J23222" s="309"/>
    </row>
    <row r="23223">
      <c r="B23223" s="309"/>
      <c r="C23223" s="309"/>
      <c r="I23223" s="309"/>
      <c r="J23223" s="309"/>
    </row>
    <row r="23224">
      <c r="B23224" s="309"/>
      <c r="C23224" s="309"/>
      <c r="I23224" s="309"/>
      <c r="J23224" s="309"/>
    </row>
    <row r="23225">
      <c r="B23225" s="309"/>
      <c r="C23225" s="309"/>
      <c r="I23225" s="309"/>
      <c r="J23225" s="309"/>
    </row>
    <row r="23226">
      <c r="B23226" s="309"/>
      <c r="C23226" s="309"/>
      <c r="I23226" s="309"/>
      <c r="J23226" s="309"/>
    </row>
    <row r="23227">
      <c r="B23227" s="309"/>
      <c r="C23227" s="309"/>
      <c r="I23227" s="309"/>
      <c r="J23227" s="309"/>
    </row>
    <row r="23228">
      <c r="B23228" s="309"/>
      <c r="C23228" s="309"/>
      <c r="I23228" s="309"/>
      <c r="J23228" s="309"/>
    </row>
    <row r="23229">
      <c r="B23229" s="309"/>
      <c r="C23229" s="309"/>
      <c r="I23229" s="309"/>
      <c r="J23229" s="309"/>
    </row>
    <row r="23230">
      <c r="B23230" s="309"/>
      <c r="C23230" s="309"/>
      <c r="I23230" s="309"/>
      <c r="J23230" s="309"/>
    </row>
    <row r="23231">
      <c r="B23231" s="309"/>
      <c r="C23231" s="309"/>
      <c r="I23231" s="309"/>
      <c r="J23231" s="309"/>
    </row>
    <row r="23232">
      <c r="B23232" s="309"/>
      <c r="C23232" s="309"/>
      <c r="I23232" s="309"/>
      <c r="J23232" s="309"/>
    </row>
    <row r="23233">
      <c r="B23233" s="309"/>
      <c r="C23233" s="309"/>
      <c r="I23233" s="309"/>
      <c r="J23233" s="309"/>
    </row>
    <row r="23234">
      <c r="B23234" s="309"/>
      <c r="C23234" s="309"/>
      <c r="I23234" s="309"/>
      <c r="J23234" s="309"/>
    </row>
    <row r="23235">
      <c r="B23235" s="309"/>
      <c r="C23235" s="309"/>
      <c r="I23235" s="309"/>
      <c r="J23235" s="309"/>
    </row>
    <row r="23236">
      <c r="B23236" s="309"/>
      <c r="C23236" s="309"/>
      <c r="I23236" s="309"/>
      <c r="J23236" s="309"/>
    </row>
    <row r="23237">
      <c r="B23237" s="309"/>
      <c r="C23237" s="309"/>
      <c r="I23237" s="309"/>
      <c r="J23237" s="309"/>
    </row>
    <row r="23238">
      <c r="B23238" s="309"/>
      <c r="C23238" s="309"/>
      <c r="I23238" s="309"/>
      <c r="J23238" s="309"/>
    </row>
    <row r="23239">
      <c r="B23239" s="309"/>
      <c r="C23239" s="309"/>
      <c r="I23239" s="309"/>
      <c r="J23239" s="309"/>
    </row>
    <row r="23240">
      <c r="B23240" s="309"/>
      <c r="C23240" s="309"/>
      <c r="I23240" s="309"/>
      <c r="J23240" s="309"/>
    </row>
    <row r="23241">
      <c r="B23241" s="309"/>
      <c r="C23241" s="309"/>
      <c r="I23241" s="309"/>
      <c r="J23241" s="309"/>
    </row>
    <row r="23242">
      <c r="B23242" s="309"/>
      <c r="C23242" s="309"/>
      <c r="I23242" s="309"/>
      <c r="J23242" s="309"/>
    </row>
    <row r="23243">
      <c r="B23243" s="309"/>
      <c r="C23243" s="309"/>
      <c r="I23243" s="309"/>
      <c r="J23243" s="309"/>
    </row>
    <row r="23244">
      <c r="B23244" s="309"/>
      <c r="C23244" s="309"/>
      <c r="I23244" s="309"/>
      <c r="J23244" s="309"/>
    </row>
    <row r="23245">
      <c r="B23245" s="309"/>
      <c r="C23245" s="309"/>
      <c r="I23245" s="309"/>
      <c r="J23245" s="309"/>
    </row>
    <row r="23246">
      <c r="B23246" s="309"/>
      <c r="C23246" s="309"/>
      <c r="I23246" s="309"/>
      <c r="J23246" s="309"/>
    </row>
    <row r="23247">
      <c r="B23247" s="309"/>
      <c r="C23247" s="309"/>
      <c r="I23247" s="309"/>
      <c r="J23247" s="309"/>
    </row>
    <row r="23248">
      <c r="B23248" s="309"/>
      <c r="C23248" s="309"/>
      <c r="I23248" s="309"/>
      <c r="J23248" s="309"/>
    </row>
    <row r="23249">
      <c r="B23249" s="309"/>
      <c r="C23249" s="309"/>
      <c r="I23249" s="309"/>
      <c r="J23249" s="309"/>
    </row>
    <row r="23250">
      <c r="B23250" s="309"/>
      <c r="C23250" s="309"/>
      <c r="I23250" s="309"/>
      <c r="J23250" s="309"/>
    </row>
    <row r="23251">
      <c r="B23251" s="309"/>
      <c r="C23251" s="309"/>
      <c r="I23251" s="309"/>
      <c r="J23251" s="309"/>
    </row>
    <row r="23252">
      <c r="B23252" s="309"/>
      <c r="C23252" s="309"/>
      <c r="I23252" s="309"/>
      <c r="J23252" s="309"/>
    </row>
    <row r="23253">
      <c r="B23253" s="309"/>
      <c r="C23253" s="309"/>
      <c r="I23253" s="309"/>
      <c r="J23253" s="309"/>
    </row>
    <row r="23254">
      <c r="B23254" s="309"/>
      <c r="C23254" s="309"/>
      <c r="I23254" s="309"/>
      <c r="J23254" s="309"/>
    </row>
    <row r="23255">
      <c r="B23255" s="309"/>
      <c r="C23255" s="309"/>
      <c r="I23255" s="309"/>
      <c r="J23255" s="309"/>
    </row>
    <row r="23256">
      <c r="B23256" s="309"/>
      <c r="C23256" s="309"/>
      <c r="I23256" s="309"/>
      <c r="J23256" s="309"/>
    </row>
    <row r="23257">
      <c r="B23257" s="309"/>
      <c r="C23257" s="309"/>
      <c r="I23257" s="309"/>
      <c r="J23257" s="309"/>
    </row>
    <row r="23258">
      <c r="B23258" s="309"/>
      <c r="C23258" s="309"/>
      <c r="I23258" s="309"/>
      <c r="J23258" s="309"/>
    </row>
    <row r="23259">
      <c r="B23259" s="309"/>
      <c r="C23259" s="309"/>
      <c r="I23259" s="309"/>
      <c r="J23259" s="309"/>
    </row>
    <row r="23260">
      <c r="B23260" s="309"/>
      <c r="C23260" s="309"/>
      <c r="I23260" s="309"/>
      <c r="J23260" s="309"/>
    </row>
    <row r="23261">
      <c r="B23261" s="309"/>
      <c r="C23261" s="309"/>
      <c r="I23261" s="309"/>
      <c r="J23261" s="309"/>
    </row>
    <row r="23262">
      <c r="B23262" s="309"/>
      <c r="C23262" s="309"/>
      <c r="I23262" s="309"/>
      <c r="J23262" s="309"/>
    </row>
    <row r="23263">
      <c r="B23263" s="309"/>
      <c r="C23263" s="309"/>
      <c r="I23263" s="309"/>
      <c r="J23263" s="309"/>
    </row>
    <row r="23264">
      <c r="B23264" s="309"/>
      <c r="C23264" s="309"/>
      <c r="I23264" s="309"/>
      <c r="J23264" s="309"/>
    </row>
    <row r="23265">
      <c r="B23265" s="309"/>
      <c r="C23265" s="309"/>
      <c r="I23265" s="309"/>
      <c r="J23265" s="309"/>
    </row>
    <row r="23266">
      <c r="B23266" s="309"/>
      <c r="C23266" s="309"/>
      <c r="I23266" s="309"/>
      <c r="J23266" s="309"/>
    </row>
    <row r="23267">
      <c r="B23267" s="309"/>
      <c r="C23267" s="309"/>
      <c r="I23267" s="309"/>
      <c r="J23267" s="309"/>
    </row>
    <row r="23268">
      <c r="B23268" s="309"/>
      <c r="C23268" s="309"/>
      <c r="I23268" s="309"/>
      <c r="J23268" s="309"/>
    </row>
    <row r="23269">
      <c r="B23269" s="309"/>
      <c r="C23269" s="309"/>
      <c r="I23269" s="309"/>
      <c r="J23269" s="309"/>
    </row>
    <row r="23270">
      <c r="B23270" s="309"/>
      <c r="C23270" s="309"/>
      <c r="I23270" s="309"/>
      <c r="J23270" s="309"/>
    </row>
    <row r="23271">
      <c r="B23271" s="309"/>
      <c r="C23271" s="309"/>
      <c r="I23271" s="309"/>
      <c r="J23271" s="309"/>
    </row>
    <row r="23272">
      <c r="B23272" s="309"/>
      <c r="C23272" s="309"/>
      <c r="I23272" s="309"/>
      <c r="J23272" s="309"/>
    </row>
    <row r="23273">
      <c r="B23273" s="309"/>
      <c r="C23273" s="309"/>
      <c r="I23273" s="309"/>
      <c r="J23273" s="309"/>
    </row>
    <row r="23274">
      <c r="B23274" s="309"/>
      <c r="C23274" s="309"/>
      <c r="I23274" s="309"/>
      <c r="J23274" s="309"/>
    </row>
    <row r="23275">
      <c r="B23275" s="309"/>
      <c r="C23275" s="309"/>
      <c r="I23275" s="309"/>
      <c r="J23275" s="309"/>
    </row>
    <row r="23276">
      <c r="B23276" s="309"/>
      <c r="C23276" s="309"/>
      <c r="I23276" s="309"/>
      <c r="J23276" s="309"/>
    </row>
    <row r="23277">
      <c r="B23277" s="309"/>
      <c r="C23277" s="309"/>
      <c r="I23277" s="309"/>
      <c r="J23277" s="309"/>
    </row>
    <row r="23278">
      <c r="B23278" s="309"/>
      <c r="C23278" s="309"/>
      <c r="I23278" s="309"/>
      <c r="J23278" s="309"/>
    </row>
    <row r="23279">
      <c r="B23279" s="309"/>
      <c r="C23279" s="309"/>
      <c r="I23279" s="309"/>
      <c r="J23279" s="309"/>
    </row>
    <row r="23280">
      <c r="B23280" s="309"/>
      <c r="C23280" s="309"/>
      <c r="I23280" s="309"/>
      <c r="J23280" s="309"/>
    </row>
    <row r="23281">
      <c r="B23281" s="309"/>
      <c r="C23281" s="309"/>
      <c r="I23281" s="309"/>
      <c r="J23281" s="309"/>
    </row>
    <row r="23282">
      <c r="B23282" s="309"/>
      <c r="C23282" s="309"/>
      <c r="I23282" s="309"/>
      <c r="J23282" s="309"/>
    </row>
    <row r="23283">
      <c r="B23283" s="309"/>
      <c r="C23283" s="309"/>
      <c r="I23283" s="309"/>
      <c r="J23283" s="309"/>
    </row>
    <row r="23284">
      <c r="B23284" s="309"/>
      <c r="C23284" s="309"/>
      <c r="I23284" s="309"/>
      <c r="J23284" s="309"/>
    </row>
    <row r="23285">
      <c r="B23285" s="309"/>
      <c r="C23285" s="309"/>
      <c r="I23285" s="309"/>
      <c r="J23285" s="309"/>
    </row>
    <row r="23286">
      <c r="B23286" s="309"/>
      <c r="C23286" s="309"/>
      <c r="I23286" s="309"/>
      <c r="J23286" s="309"/>
    </row>
    <row r="23287">
      <c r="B23287" s="309"/>
      <c r="C23287" s="309"/>
      <c r="I23287" s="309"/>
      <c r="J23287" s="309"/>
    </row>
    <row r="23288">
      <c r="B23288" s="309"/>
      <c r="C23288" s="309"/>
      <c r="I23288" s="309"/>
      <c r="J23288" s="309"/>
    </row>
    <row r="23289">
      <c r="B23289" s="309"/>
      <c r="C23289" s="309"/>
      <c r="I23289" s="309"/>
      <c r="J23289" s="309"/>
    </row>
    <row r="23290">
      <c r="B23290" s="309"/>
      <c r="C23290" s="309"/>
      <c r="I23290" s="309"/>
      <c r="J23290" s="309"/>
    </row>
    <row r="23291">
      <c r="B23291" s="309"/>
      <c r="C23291" s="309"/>
      <c r="I23291" s="309"/>
      <c r="J23291" s="309"/>
    </row>
    <row r="23292">
      <c r="B23292" s="309"/>
      <c r="C23292" s="309"/>
      <c r="I23292" s="309"/>
      <c r="J23292" s="309"/>
    </row>
    <row r="23293">
      <c r="B23293" s="309"/>
      <c r="C23293" s="309"/>
      <c r="I23293" s="309"/>
      <c r="J23293" s="309"/>
    </row>
    <row r="23294">
      <c r="B23294" s="309"/>
      <c r="C23294" s="309"/>
      <c r="I23294" s="309"/>
      <c r="J23294" s="309"/>
    </row>
    <row r="23295">
      <c r="B23295" s="309"/>
      <c r="C23295" s="309"/>
      <c r="I23295" s="309"/>
      <c r="J23295" s="309"/>
    </row>
    <row r="23296">
      <c r="B23296" s="309"/>
      <c r="C23296" s="309"/>
      <c r="I23296" s="309"/>
      <c r="J23296" s="309"/>
    </row>
    <row r="23297">
      <c r="B23297" s="309"/>
      <c r="C23297" s="309"/>
      <c r="I23297" s="309"/>
      <c r="J23297" s="309"/>
    </row>
    <row r="23298">
      <c r="B23298" s="309"/>
      <c r="C23298" s="309"/>
      <c r="I23298" s="309"/>
      <c r="J23298" s="309"/>
    </row>
    <row r="23299">
      <c r="B23299" s="309"/>
      <c r="C23299" s="309"/>
      <c r="I23299" s="309"/>
      <c r="J23299" s="309"/>
    </row>
    <row r="23300">
      <c r="B23300" s="309"/>
      <c r="C23300" s="309"/>
      <c r="I23300" s="309"/>
      <c r="J23300" s="309"/>
    </row>
    <row r="23301">
      <c r="B23301" s="309"/>
      <c r="C23301" s="309"/>
      <c r="I23301" s="309"/>
      <c r="J23301" s="309"/>
    </row>
    <row r="23302">
      <c r="B23302" s="309"/>
      <c r="C23302" s="309"/>
      <c r="I23302" s="309"/>
      <c r="J23302" s="309"/>
    </row>
    <row r="23303">
      <c r="B23303" s="309"/>
      <c r="C23303" s="309"/>
      <c r="I23303" s="309"/>
      <c r="J23303" s="309"/>
    </row>
    <row r="23304">
      <c r="B23304" s="309"/>
      <c r="C23304" s="309"/>
      <c r="I23304" s="309"/>
      <c r="J23304" s="309"/>
    </row>
    <row r="23305">
      <c r="B23305" s="309"/>
      <c r="C23305" s="309"/>
      <c r="I23305" s="309"/>
      <c r="J23305" s="309"/>
    </row>
    <row r="23306">
      <c r="B23306" s="309"/>
      <c r="C23306" s="309"/>
      <c r="I23306" s="309"/>
      <c r="J23306" s="309"/>
    </row>
    <row r="23307">
      <c r="B23307" s="309"/>
      <c r="C23307" s="309"/>
      <c r="I23307" s="309"/>
      <c r="J23307" s="309"/>
    </row>
    <row r="23308">
      <c r="B23308" s="309"/>
      <c r="C23308" s="309"/>
      <c r="I23308" s="309"/>
      <c r="J23308" s="309"/>
    </row>
    <row r="23309">
      <c r="B23309" s="309"/>
      <c r="C23309" s="309"/>
      <c r="I23309" s="309"/>
      <c r="J23309" s="309"/>
    </row>
    <row r="23310">
      <c r="B23310" s="309"/>
      <c r="C23310" s="309"/>
      <c r="I23310" s="309"/>
      <c r="J23310" s="309"/>
    </row>
    <row r="23311">
      <c r="B23311" s="309"/>
      <c r="C23311" s="309"/>
      <c r="I23311" s="309"/>
      <c r="J23311" s="309"/>
    </row>
    <row r="23312">
      <c r="B23312" s="309"/>
      <c r="C23312" s="309"/>
      <c r="I23312" s="309"/>
      <c r="J23312" s="309"/>
    </row>
    <row r="23313">
      <c r="B23313" s="309"/>
      <c r="C23313" s="309"/>
      <c r="I23313" s="309"/>
      <c r="J23313" s="309"/>
    </row>
    <row r="23314">
      <c r="B23314" s="309"/>
      <c r="C23314" s="309"/>
      <c r="I23314" s="309"/>
      <c r="J23314" s="309"/>
    </row>
    <row r="23315">
      <c r="B23315" s="309"/>
      <c r="C23315" s="309"/>
      <c r="I23315" s="309"/>
      <c r="J23315" s="309"/>
    </row>
    <row r="23316">
      <c r="B23316" s="309"/>
      <c r="C23316" s="309"/>
      <c r="I23316" s="309"/>
      <c r="J23316" s="309"/>
    </row>
    <row r="23317">
      <c r="B23317" s="309"/>
      <c r="C23317" s="309"/>
      <c r="I23317" s="309"/>
      <c r="J23317" s="309"/>
    </row>
    <row r="23318">
      <c r="B23318" s="309"/>
      <c r="C23318" s="309"/>
      <c r="I23318" s="309"/>
      <c r="J23318" s="309"/>
    </row>
    <row r="23319">
      <c r="B23319" s="309"/>
      <c r="C23319" s="309"/>
      <c r="I23319" s="309"/>
      <c r="J23319" s="309"/>
    </row>
    <row r="23320">
      <c r="B23320" s="309"/>
      <c r="C23320" s="309"/>
      <c r="I23320" s="309"/>
      <c r="J23320" s="309"/>
    </row>
    <row r="23321">
      <c r="B23321" s="309"/>
      <c r="C23321" s="309"/>
      <c r="I23321" s="309"/>
      <c r="J23321" s="309"/>
    </row>
    <row r="23322">
      <c r="B23322" s="309"/>
      <c r="C23322" s="309"/>
      <c r="I23322" s="309"/>
      <c r="J23322" s="309"/>
    </row>
    <row r="23323">
      <c r="B23323" s="309"/>
      <c r="C23323" s="309"/>
      <c r="I23323" s="309"/>
      <c r="J23323" s="309"/>
    </row>
    <row r="23324">
      <c r="B23324" s="309"/>
      <c r="C23324" s="309"/>
      <c r="I23324" s="309"/>
      <c r="J23324" s="309"/>
    </row>
    <row r="23325">
      <c r="B23325" s="309"/>
      <c r="C23325" s="309"/>
      <c r="I23325" s="309"/>
      <c r="J23325" s="309"/>
    </row>
    <row r="23326">
      <c r="B23326" s="309"/>
      <c r="C23326" s="309"/>
      <c r="I23326" s="309"/>
      <c r="J23326" s="309"/>
    </row>
    <row r="23327">
      <c r="B23327" s="309"/>
      <c r="C23327" s="309"/>
      <c r="I23327" s="309"/>
      <c r="J23327" s="309"/>
    </row>
    <row r="23328">
      <c r="B23328" s="309"/>
      <c r="C23328" s="309"/>
      <c r="I23328" s="309"/>
      <c r="J23328" s="309"/>
    </row>
    <row r="23329">
      <c r="B23329" s="309"/>
      <c r="C23329" s="309"/>
      <c r="I23329" s="309"/>
      <c r="J23329" s="309"/>
    </row>
    <row r="23330">
      <c r="B23330" s="309"/>
      <c r="C23330" s="309"/>
      <c r="I23330" s="309"/>
      <c r="J23330" s="309"/>
    </row>
    <row r="23331">
      <c r="B23331" s="309"/>
      <c r="C23331" s="309"/>
      <c r="I23331" s="309"/>
      <c r="J23331" s="309"/>
    </row>
    <row r="23332">
      <c r="B23332" s="309"/>
      <c r="C23332" s="309"/>
      <c r="I23332" s="309"/>
      <c r="J23332" s="309"/>
    </row>
    <row r="23333">
      <c r="B23333" s="309"/>
      <c r="C23333" s="309"/>
      <c r="I23333" s="309"/>
      <c r="J23333" s="309"/>
    </row>
    <row r="23334">
      <c r="B23334" s="309"/>
      <c r="C23334" s="309"/>
      <c r="I23334" s="309"/>
      <c r="J23334" s="309"/>
    </row>
    <row r="23335">
      <c r="B23335" s="309"/>
      <c r="C23335" s="309"/>
      <c r="I23335" s="309"/>
      <c r="J23335" s="309"/>
    </row>
    <row r="23336">
      <c r="B23336" s="309"/>
      <c r="C23336" s="309"/>
      <c r="I23336" s="309"/>
      <c r="J23336" s="309"/>
    </row>
    <row r="23337">
      <c r="B23337" s="309"/>
      <c r="C23337" s="309"/>
      <c r="I23337" s="309"/>
      <c r="J23337" s="309"/>
    </row>
    <row r="23338">
      <c r="B23338" s="309"/>
      <c r="C23338" s="309"/>
      <c r="I23338" s="309"/>
      <c r="J23338" s="309"/>
    </row>
    <row r="23339">
      <c r="B23339" s="309"/>
      <c r="C23339" s="309"/>
      <c r="I23339" s="309"/>
      <c r="J23339" s="309"/>
    </row>
    <row r="23340">
      <c r="B23340" s="309"/>
      <c r="C23340" s="309"/>
      <c r="I23340" s="309"/>
      <c r="J23340" s="309"/>
    </row>
    <row r="23341">
      <c r="B23341" s="309"/>
      <c r="C23341" s="309"/>
      <c r="I23341" s="309"/>
      <c r="J23341" s="309"/>
    </row>
    <row r="23342">
      <c r="B23342" s="309"/>
      <c r="C23342" s="309"/>
      <c r="I23342" s="309"/>
      <c r="J23342" s="309"/>
    </row>
    <row r="23343">
      <c r="B23343" s="309"/>
      <c r="C23343" s="309"/>
      <c r="I23343" s="309"/>
      <c r="J23343" s="309"/>
    </row>
    <row r="23344">
      <c r="B23344" s="309"/>
      <c r="C23344" s="309"/>
      <c r="I23344" s="309"/>
      <c r="J23344" s="309"/>
    </row>
    <row r="23345">
      <c r="B23345" s="309"/>
      <c r="C23345" s="309"/>
      <c r="I23345" s="309"/>
      <c r="J23345" s="309"/>
    </row>
    <row r="23346">
      <c r="B23346" s="309"/>
      <c r="C23346" s="309"/>
      <c r="I23346" s="309"/>
      <c r="J23346" s="309"/>
    </row>
    <row r="23347">
      <c r="B23347" s="309"/>
      <c r="C23347" s="309"/>
      <c r="I23347" s="309"/>
      <c r="J23347" s="309"/>
    </row>
    <row r="23348">
      <c r="B23348" s="309"/>
      <c r="C23348" s="309"/>
      <c r="I23348" s="309"/>
      <c r="J23348" s="309"/>
    </row>
    <row r="23349">
      <c r="B23349" s="309"/>
      <c r="C23349" s="309"/>
      <c r="I23349" s="309"/>
      <c r="J23349" s="309"/>
    </row>
    <row r="23350">
      <c r="B23350" s="309"/>
      <c r="C23350" s="309"/>
      <c r="I23350" s="309"/>
      <c r="J23350" s="309"/>
    </row>
    <row r="23351">
      <c r="B23351" s="309"/>
      <c r="C23351" s="309"/>
      <c r="I23351" s="309"/>
      <c r="J23351" s="309"/>
    </row>
    <row r="23352">
      <c r="B23352" s="309"/>
      <c r="C23352" s="309"/>
      <c r="I23352" s="309"/>
      <c r="J23352" s="309"/>
    </row>
    <row r="23353">
      <c r="B23353" s="309"/>
      <c r="C23353" s="309"/>
      <c r="I23353" s="309"/>
      <c r="J23353" s="309"/>
    </row>
    <row r="23354">
      <c r="B23354" s="309"/>
      <c r="C23354" s="309"/>
      <c r="I23354" s="309"/>
      <c r="J23354" s="309"/>
    </row>
    <row r="23355">
      <c r="B23355" s="309"/>
      <c r="C23355" s="309"/>
      <c r="I23355" s="309"/>
      <c r="J23355" s="309"/>
    </row>
    <row r="23356">
      <c r="B23356" s="309"/>
      <c r="C23356" s="309"/>
      <c r="I23356" s="309"/>
      <c r="J23356" s="309"/>
    </row>
    <row r="23357">
      <c r="B23357" s="309"/>
      <c r="C23357" s="309"/>
      <c r="I23357" s="309"/>
      <c r="J23357" s="309"/>
    </row>
    <row r="23358">
      <c r="B23358" s="309"/>
      <c r="C23358" s="309"/>
      <c r="I23358" s="309"/>
      <c r="J23358" s="309"/>
    </row>
    <row r="23359">
      <c r="B23359" s="309"/>
      <c r="C23359" s="309"/>
      <c r="I23359" s="309"/>
      <c r="J23359" s="309"/>
    </row>
    <row r="23360">
      <c r="B23360" s="309"/>
      <c r="C23360" s="309"/>
      <c r="I23360" s="309"/>
      <c r="J23360" s="309"/>
    </row>
    <row r="23361">
      <c r="B23361" s="309"/>
      <c r="C23361" s="309"/>
      <c r="I23361" s="309"/>
      <c r="J23361" s="309"/>
    </row>
    <row r="23362">
      <c r="B23362" s="309"/>
      <c r="C23362" s="309"/>
      <c r="I23362" s="309"/>
      <c r="J23362" s="309"/>
    </row>
    <row r="23363">
      <c r="B23363" s="309"/>
      <c r="C23363" s="309"/>
      <c r="I23363" s="309"/>
      <c r="J23363" s="309"/>
    </row>
    <row r="23364">
      <c r="B23364" s="309"/>
      <c r="C23364" s="309"/>
      <c r="I23364" s="309"/>
      <c r="J23364" s="309"/>
    </row>
    <row r="23365">
      <c r="B23365" s="309"/>
      <c r="C23365" s="309"/>
      <c r="I23365" s="309"/>
      <c r="J23365" s="309"/>
    </row>
    <row r="23366">
      <c r="B23366" s="309"/>
      <c r="C23366" s="309"/>
      <c r="I23366" s="309"/>
      <c r="J23366" s="309"/>
    </row>
    <row r="23367">
      <c r="B23367" s="309"/>
      <c r="C23367" s="309"/>
      <c r="I23367" s="309"/>
      <c r="J23367" s="309"/>
    </row>
    <row r="23368">
      <c r="B23368" s="309"/>
      <c r="C23368" s="309"/>
      <c r="I23368" s="309"/>
      <c r="J23368" s="309"/>
    </row>
    <row r="23369">
      <c r="B23369" s="309"/>
      <c r="C23369" s="309"/>
      <c r="I23369" s="309"/>
      <c r="J23369" s="309"/>
    </row>
    <row r="23370">
      <c r="B23370" s="309"/>
      <c r="C23370" s="309"/>
      <c r="I23370" s="309"/>
      <c r="J23370" s="309"/>
    </row>
    <row r="23371">
      <c r="B23371" s="309"/>
      <c r="C23371" s="309"/>
      <c r="I23371" s="309"/>
      <c r="J23371" s="309"/>
    </row>
    <row r="23372">
      <c r="B23372" s="309"/>
      <c r="C23372" s="309"/>
      <c r="I23372" s="309"/>
      <c r="J23372" s="309"/>
    </row>
    <row r="23373">
      <c r="B23373" s="309"/>
      <c r="C23373" s="309"/>
      <c r="I23373" s="309"/>
      <c r="J23373" s="309"/>
    </row>
    <row r="23374">
      <c r="B23374" s="309"/>
      <c r="C23374" s="309"/>
      <c r="I23374" s="309"/>
      <c r="J23374" s="309"/>
    </row>
    <row r="23375">
      <c r="B23375" s="309"/>
      <c r="C23375" s="309"/>
      <c r="I23375" s="309"/>
      <c r="J23375" s="309"/>
    </row>
    <row r="23376">
      <c r="B23376" s="309"/>
      <c r="C23376" s="309"/>
      <c r="I23376" s="309"/>
      <c r="J23376" s="309"/>
    </row>
    <row r="23377">
      <c r="B23377" s="309"/>
      <c r="C23377" s="309"/>
      <c r="I23377" s="309"/>
      <c r="J23377" s="309"/>
    </row>
    <row r="23378">
      <c r="B23378" s="309"/>
      <c r="C23378" s="309"/>
      <c r="I23378" s="309"/>
      <c r="J23378" s="309"/>
    </row>
    <row r="23379">
      <c r="B23379" s="309"/>
      <c r="C23379" s="309"/>
      <c r="I23379" s="309"/>
      <c r="J23379" s="309"/>
    </row>
    <row r="23380">
      <c r="B23380" s="309"/>
      <c r="C23380" s="309"/>
      <c r="I23380" s="309"/>
      <c r="J23380" s="309"/>
    </row>
    <row r="23381">
      <c r="B23381" s="309"/>
      <c r="C23381" s="309"/>
      <c r="I23381" s="309"/>
      <c r="J23381" s="309"/>
    </row>
    <row r="23382">
      <c r="B23382" s="309"/>
      <c r="C23382" s="309"/>
      <c r="I23382" s="309"/>
      <c r="J23382" s="309"/>
    </row>
    <row r="23383">
      <c r="B23383" s="309"/>
      <c r="C23383" s="309"/>
      <c r="I23383" s="309"/>
      <c r="J23383" s="309"/>
    </row>
    <row r="23384">
      <c r="B23384" s="309"/>
      <c r="C23384" s="309"/>
      <c r="I23384" s="309"/>
      <c r="J23384" s="309"/>
    </row>
    <row r="23385">
      <c r="B23385" s="309"/>
      <c r="C23385" s="309"/>
      <c r="I23385" s="309"/>
      <c r="J23385" s="309"/>
    </row>
    <row r="23386">
      <c r="B23386" s="309"/>
      <c r="C23386" s="309"/>
      <c r="I23386" s="309"/>
      <c r="J23386" s="309"/>
    </row>
    <row r="23387">
      <c r="B23387" s="309"/>
      <c r="C23387" s="309"/>
      <c r="I23387" s="309"/>
      <c r="J23387" s="309"/>
    </row>
    <row r="23388">
      <c r="B23388" s="309"/>
      <c r="C23388" s="309"/>
      <c r="I23388" s="309"/>
      <c r="J23388" s="309"/>
    </row>
    <row r="23389">
      <c r="B23389" s="309"/>
      <c r="C23389" s="309"/>
      <c r="I23389" s="309"/>
      <c r="J23389" s="309"/>
    </row>
    <row r="23390">
      <c r="B23390" s="309"/>
      <c r="C23390" s="309"/>
      <c r="I23390" s="309"/>
      <c r="J23390" s="309"/>
    </row>
    <row r="23391">
      <c r="B23391" s="309"/>
      <c r="C23391" s="309"/>
      <c r="I23391" s="309"/>
      <c r="J23391" s="309"/>
    </row>
    <row r="23392">
      <c r="B23392" s="309"/>
      <c r="C23392" s="309"/>
      <c r="I23392" s="309"/>
      <c r="J23392" s="309"/>
    </row>
    <row r="23393">
      <c r="B23393" s="309"/>
      <c r="C23393" s="309"/>
      <c r="I23393" s="309"/>
      <c r="J23393" s="309"/>
    </row>
    <row r="23394">
      <c r="B23394" s="309"/>
      <c r="C23394" s="309"/>
      <c r="I23394" s="309"/>
      <c r="J23394" s="309"/>
    </row>
    <row r="23395">
      <c r="B23395" s="309"/>
      <c r="C23395" s="309"/>
      <c r="I23395" s="309"/>
      <c r="J23395" s="309"/>
    </row>
    <row r="23396">
      <c r="B23396" s="309"/>
      <c r="C23396" s="309"/>
      <c r="I23396" s="309"/>
      <c r="J23396" s="309"/>
    </row>
    <row r="23397">
      <c r="B23397" s="309"/>
      <c r="C23397" s="309"/>
      <c r="I23397" s="309"/>
      <c r="J23397" s="309"/>
    </row>
    <row r="23398">
      <c r="B23398" s="309"/>
      <c r="C23398" s="309"/>
      <c r="I23398" s="309"/>
      <c r="J23398" s="309"/>
    </row>
    <row r="23399">
      <c r="B23399" s="309"/>
      <c r="C23399" s="309"/>
      <c r="I23399" s="309"/>
      <c r="J23399" s="309"/>
    </row>
    <row r="23400">
      <c r="B23400" s="309"/>
      <c r="C23400" s="309"/>
      <c r="I23400" s="309"/>
      <c r="J23400" s="309"/>
    </row>
    <row r="23401">
      <c r="B23401" s="309"/>
      <c r="C23401" s="309"/>
      <c r="I23401" s="309"/>
      <c r="J23401" s="309"/>
    </row>
    <row r="23402">
      <c r="B23402" s="309"/>
      <c r="C23402" s="309"/>
      <c r="I23402" s="309"/>
      <c r="J23402" s="309"/>
    </row>
    <row r="23403">
      <c r="B23403" s="309"/>
      <c r="C23403" s="309"/>
      <c r="I23403" s="309"/>
      <c r="J23403" s="309"/>
    </row>
    <row r="23404">
      <c r="B23404" s="309"/>
      <c r="C23404" s="309"/>
      <c r="I23404" s="309"/>
      <c r="J23404" s="309"/>
    </row>
    <row r="23405">
      <c r="B23405" s="309"/>
      <c r="C23405" s="309"/>
      <c r="I23405" s="309"/>
      <c r="J23405" s="309"/>
    </row>
    <row r="23406">
      <c r="B23406" s="309"/>
      <c r="C23406" s="309"/>
      <c r="I23406" s="309"/>
      <c r="J23406" s="309"/>
    </row>
    <row r="23407">
      <c r="B23407" s="309"/>
      <c r="C23407" s="309"/>
      <c r="I23407" s="309"/>
      <c r="J23407" s="309"/>
    </row>
    <row r="23408">
      <c r="B23408" s="309"/>
      <c r="C23408" s="309"/>
      <c r="I23408" s="309"/>
      <c r="J23408" s="309"/>
    </row>
    <row r="23409">
      <c r="B23409" s="309"/>
      <c r="C23409" s="309"/>
      <c r="I23409" s="309"/>
      <c r="J23409" s="309"/>
    </row>
    <row r="23410">
      <c r="B23410" s="309"/>
      <c r="C23410" s="309"/>
      <c r="I23410" s="309"/>
      <c r="J23410" s="309"/>
    </row>
    <row r="23411">
      <c r="B23411" s="309"/>
      <c r="C23411" s="309"/>
      <c r="I23411" s="309"/>
      <c r="J23411" s="309"/>
    </row>
    <row r="23412">
      <c r="B23412" s="309"/>
      <c r="C23412" s="309"/>
      <c r="I23412" s="309"/>
      <c r="J23412" s="309"/>
    </row>
    <row r="23413">
      <c r="B23413" s="309"/>
      <c r="C23413" s="309"/>
      <c r="I23413" s="309"/>
      <c r="J23413" s="309"/>
    </row>
    <row r="23414">
      <c r="B23414" s="309"/>
      <c r="C23414" s="309"/>
      <c r="I23414" s="309"/>
      <c r="J23414" s="309"/>
    </row>
    <row r="23415">
      <c r="B23415" s="309"/>
      <c r="C23415" s="309"/>
      <c r="I23415" s="309"/>
      <c r="J23415" s="309"/>
    </row>
    <row r="23416">
      <c r="B23416" s="309"/>
      <c r="C23416" s="309"/>
      <c r="I23416" s="309"/>
      <c r="J23416" s="309"/>
    </row>
    <row r="23417">
      <c r="B23417" s="309"/>
      <c r="C23417" s="309"/>
      <c r="I23417" s="309"/>
      <c r="J23417" s="309"/>
    </row>
    <row r="23418">
      <c r="B23418" s="309"/>
      <c r="C23418" s="309"/>
      <c r="I23418" s="309"/>
      <c r="J23418" s="309"/>
    </row>
    <row r="23419">
      <c r="B23419" s="309"/>
      <c r="C23419" s="309"/>
      <c r="I23419" s="309"/>
      <c r="J23419" s="309"/>
    </row>
    <row r="23420">
      <c r="B23420" s="309"/>
      <c r="C23420" s="309"/>
      <c r="I23420" s="309"/>
      <c r="J23420" s="309"/>
    </row>
    <row r="23421">
      <c r="B23421" s="309"/>
      <c r="C23421" s="309"/>
      <c r="I23421" s="309"/>
      <c r="J23421" s="309"/>
    </row>
    <row r="23422">
      <c r="B23422" s="309"/>
      <c r="C23422" s="309"/>
      <c r="I23422" s="309"/>
      <c r="J23422" s="309"/>
    </row>
    <row r="23423">
      <c r="B23423" s="309"/>
      <c r="C23423" s="309"/>
      <c r="I23423" s="309"/>
      <c r="J23423" s="309"/>
    </row>
    <row r="23424">
      <c r="B23424" s="309"/>
      <c r="C23424" s="309"/>
      <c r="I23424" s="309"/>
      <c r="J23424" s="309"/>
    </row>
    <row r="23425">
      <c r="B23425" s="309"/>
      <c r="C23425" s="309"/>
      <c r="I23425" s="309"/>
      <c r="J23425" s="309"/>
    </row>
    <row r="23426">
      <c r="B23426" s="309"/>
      <c r="C23426" s="309"/>
      <c r="I23426" s="309"/>
      <c r="J23426" s="309"/>
    </row>
    <row r="23427">
      <c r="B23427" s="309"/>
      <c r="C23427" s="309"/>
      <c r="I23427" s="309"/>
      <c r="J23427" s="309"/>
    </row>
    <row r="23428">
      <c r="B23428" s="309"/>
      <c r="C23428" s="309"/>
      <c r="I23428" s="309"/>
      <c r="J23428" s="309"/>
    </row>
    <row r="23429">
      <c r="B23429" s="309"/>
      <c r="C23429" s="309"/>
      <c r="I23429" s="309"/>
      <c r="J23429" s="309"/>
    </row>
    <row r="23430">
      <c r="B23430" s="309"/>
      <c r="C23430" s="309"/>
      <c r="I23430" s="309"/>
      <c r="J23430" s="309"/>
    </row>
    <row r="23431">
      <c r="B23431" s="309"/>
      <c r="C23431" s="309"/>
      <c r="I23431" s="309"/>
      <c r="J23431" s="309"/>
    </row>
    <row r="23432">
      <c r="B23432" s="309"/>
      <c r="C23432" s="309"/>
      <c r="I23432" s="309"/>
      <c r="J23432" s="309"/>
    </row>
    <row r="23433">
      <c r="B23433" s="309"/>
      <c r="C23433" s="309"/>
      <c r="I23433" s="309"/>
      <c r="J23433" s="309"/>
    </row>
    <row r="23434">
      <c r="B23434" s="309"/>
      <c r="C23434" s="309"/>
      <c r="I23434" s="309"/>
      <c r="J23434" s="309"/>
    </row>
    <row r="23435">
      <c r="B23435" s="309"/>
      <c r="C23435" s="309"/>
      <c r="I23435" s="309"/>
      <c r="J23435" s="309"/>
    </row>
    <row r="23436">
      <c r="B23436" s="309"/>
      <c r="C23436" s="309"/>
      <c r="I23436" s="309"/>
      <c r="J23436" s="309"/>
    </row>
    <row r="23437">
      <c r="B23437" s="309"/>
      <c r="C23437" s="309"/>
      <c r="I23437" s="309"/>
      <c r="J23437" s="309"/>
    </row>
    <row r="23438">
      <c r="B23438" s="309"/>
      <c r="C23438" s="309"/>
      <c r="I23438" s="309"/>
      <c r="J23438" s="309"/>
    </row>
    <row r="23439">
      <c r="B23439" s="309"/>
      <c r="C23439" s="309"/>
      <c r="I23439" s="309"/>
      <c r="J23439" s="309"/>
    </row>
    <row r="23440">
      <c r="B23440" s="309"/>
      <c r="C23440" s="309"/>
      <c r="I23440" s="309"/>
      <c r="J23440" s="309"/>
    </row>
    <row r="23441">
      <c r="B23441" s="309"/>
      <c r="C23441" s="309"/>
      <c r="I23441" s="309"/>
      <c r="J23441" s="309"/>
    </row>
    <row r="23442">
      <c r="B23442" s="309"/>
      <c r="C23442" s="309"/>
      <c r="I23442" s="309"/>
      <c r="J23442" s="309"/>
    </row>
    <row r="23443">
      <c r="B23443" s="309"/>
      <c r="C23443" s="309"/>
      <c r="I23443" s="309"/>
      <c r="J23443" s="309"/>
    </row>
    <row r="23444">
      <c r="B23444" s="309"/>
      <c r="C23444" s="309"/>
      <c r="I23444" s="309"/>
      <c r="J23444" s="309"/>
    </row>
    <row r="23445">
      <c r="B23445" s="309"/>
      <c r="C23445" s="309"/>
      <c r="I23445" s="309"/>
      <c r="J23445" s="309"/>
    </row>
    <row r="23446">
      <c r="B23446" s="309"/>
      <c r="C23446" s="309"/>
      <c r="I23446" s="309"/>
      <c r="J23446" s="309"/>
    </row>
    <row r="23447">
      <c r="B23447" s="309"/>
      <c r="C23447" s="309"/>
      <c r="I23447" s="309"/>
      <c r="J23447" s="309"/>
    </row>
    <row r="23448">
      <c r="B23448" s="309"/>
      <c r="C23448" s="309"/>
      <c r="I23448" s="309"/>
      <c r="J23448" s="309"/>
    </row>
    <row r="23449">
      <c r="B23449" s="309"/>
      <c r="C23449" s="309"/>
      <c r="I23449" s="309"/>
      <c r="J23449" s="309"/>
    </row>
    <row r="23450">
      <c r="B23450" s="309"/>
      <c r="C23450" s="309"/>
      <c r="I23450" s="309"/>
      <c r="J23450" s="309"/>
    </row>
    <row r="23451">
      <c r="B23451" s="309"/>
      <c r="C23451" s="309"/>
      <c r="I23451" s="309"/>
      <c r="J23451" s="309"/>
    </row>
    <row r="23452">
      <c r="B23452" s="309"/>
      <c r="C23452" s="309"/>
      <c r="I23452" s="309"/>
      <c r="J23452" s="309"/>
    </row>
    <row r="23453">
      <c r="B23453" s="309"/>
      <c r="C23453" s="309"/>
      <c r="I23453" s="309"/>
      <c r="J23453" s="309"/>
    </row>
    <row r="23454">
      <c r="B23454" s="309"/>
      <c r="C23454" s="309"/>
      <c r="I23454" s="309"/>
      <c r="J23454" s="309"/>
    </row>
    <row r="23455">
      <c r="B23455" s="309"/>
      <c r="C23455" s="309"/>
      <c r="I23455" s="309"/>
      <c r="J23455" s="309"/>
    </row>
    <row r="23456">
      <c r="B23456" s="309"/>
      <c r="C23456" s="309"/>
      <c r="I23456" s="309"/>
      <c r="J23456" s="309"/>
    </row>
    <row r="23457">
      <c r="B23457" s="309"/>
      <c r="C23457" s="309"/>
      <c r="I23457" s="309"/>
      <c r="J23457" s="309"/>
    </row>
    <row r="23458">
      <c r="B23458" s="309"/>
      <c r="C23458" s="309"/>
      <c r="I23458" s="309"/>
      <c r="J23458" s="309"/>
    </row>
    <row r="23459">
      <c r="B23459" s="309"/>
      <c r="C23459" s="309"/>
      <c r="I23459" s="309"/>
      <c r="J23459" s="309"/>
    </row>
    <row r="23460">
      <c r="B23460" s="309"/>
      <c r="C23460" s="309"/>
      <c r="I23460" s="309"/>
      <c r="J23460" s="309"/>
    </row>
    <row r="23461">
      <c r="B23461" s="309"/>
      <c r="C23461" s="309"/>
      <c r="I23461" s="309"/>
      <c r="J23461" s="309"/>
    </row>
    <row r="23462">
      <c r="B23462" s="309"/>
      <c r="C23462" s="309"/>
      <c r="I23462" s="309"/>
      <c r="J23462" s="309"/>
    </row>
    <row r="23463">
      <c r="B23463" s="309"/>
      <c r="C23463" s="309"/>
      <c r="I23463" s="309"/>
      <c r="J23463" s="309"/>
    </row>
    <row r="23464">
      <c r="B23464" s="309"/>
      <c r="C23464" s="309"/>
      <c r="I23464" s="309"/>
      <c r="J23464" s="309"/>
    </row>
    <row r="23465">
      <c r="B23465" s="309"/>
      <c r="C23465" s="309"/>
      <c r="I23465" s="309"/>
      <c r="J23465" s="309"/>
    </row>
    <row r="23466">
      <c r="B23466" s="309"/>
      <c r="C23466" s="309"/>
      <c r="I23466" s="309"/>
      <c r="J23466" s="309"/>
    </row>
    <row r="23467">
      <c r="B23467" s="309"/>
      <c r="C23467" s="309"/>
      <c r="I23467" s="309"/>
      <c r="J23467" s="309"/>
    </row>
    <row r="23468">
      <c r="B23468" s="309"/>
      <c r="C23468" s="309"/>
      <c r="I23468" s="309"/>
      <c r="J23468" s="309"/>
    </row>
    <row r="23469">
      <c r="B23469" s="309"/>
      <c r="C23469" s="309"/>
      <c r="I23469" s="309"/>
      <c r="J23469" s="309"/>
    </row>
    <row r="23470">
      <c r="B23470" s="309"/>
      <c r="C23470" s="309"/>
      <c r="I23470" s="309"/>
      <c r="J23470" s="309"/>
    </row>
    <row r="23471">
      <c r="B23471" s="309"/>
      <c r="C23471" s="309"/>
      <c r="I23471" s="309"/>
      <c r="J23471" s="309"/>
    </row>
    <row r="23472">
      <c r="B23472" s="309"/>
      <c r="C23472" s="309"/>
      <c r="I23472" s="309"/>
      <c r="J23472" s="309"/>
    </row>
    <row r="23473">
      <c r="B23473" s="309"/>
      <c r="C23473" s="309"/>
      <c r="I23473" s="309"/>
      <c r="J23473" s="309"/>
    </row>
    <row r="23474">
      <c r="B23474" s="309"/>
      <c r="C23474" s="309"/>
      <c r="I23474" s="309"/>
      <c r="J23474" s="309"/>
    </row>
    <row r="23475">
      <c r="B23475" s="309"/>
      <c r="C23475" s="309"/>
      <c r="I23475" s="309"/>
      <c r="J23475" s="309"/>
    </row>
    <row r="23476">
      <c r="B23476" s="309"/>
      <c r="C23476" s="309"/>
      <c r="I23476" s="309"/>
      <c r="J23476" s="309"/>
    </row>
    <row r="23477">
      <c r="B23477" s="309"/>
      <c r="C23477" s="309"/>
      <c r="I23477" s="309"/>
      <c r="J23477" s="309"/>
    </row>
    <row r="23478">
      <c r="B23478" s="309"/>
      <c r="C23478" s="309"/>
      <c r="I23478" s="309"/>
      <c r="J23478" s="309"/>
    </row>
    <row r="23479">
      <c r="B23479" s="309"/>
      <c r="C23479" s="309"/>
      <c r="I23479" s="309"/>
      <c r="J23479" s="309"/>
    </row>
    <row r="23480">
      <c r="B23480" s="309"/>
      <c r="C23480" s="309"/>
      <c r="I23480" s="309"/>
      <c r="J23480" s="309"/>
    </row>
    <row r="23481">
      <c r="B23481" s="309"/>
      <c r="C23481" s="309"/>
      <c r="I23481" s="309"/>
      <c r="J23481" s="309"/>
    </row>
    <row r="23482">
      <c r="B23482" s="309"/>
      <c r="C23482" s="309"/>
      <c r="I23482" s="309"/>
      <c r="J23482" s="309"/>
    </row>
    <row r="23483">
      <c r="B23483" s="309"/>
      <c r="C23483" s="309"/>
      <c r="I23483" s="309"/>
      <c r="J23483" s="309"/>
    </row>
    <row r="23484">
      <c r="B23484" s="309"/>
      <c r="C23484" s="309"/>
      <c r="I23484" s="309"/>
      <c r="J23484" s="309"/>
    </row>
    <row r="23485">
      <c r="B23485" s="309"/>
      <c r="C23485" s="309"/>
      <c r="I23485" s="309"/>
      <c r="J23485" s="309"/>
    </row>
    <row r="23486">
      <c r="B23486" s="309"/>
      <c r="C23486" s="309"/>
      <c r="I23486" s="309"/>
      <c r="J23486" s="309"/>
    </row>
    <row r="23487">
      <c r="B23487" s="309"/>
      <c r="C23487" s="309"/>
      <c r="I23487" s="309"/>
      <c r="J23487" s="309"/>
    </row>
    <row r="23488">
      <c r="B23488" s="309"/>
      <c r="C23488" s="309"/>
      <c r="I23488" s="309"/>
      <c r="J23488" s="309"/>
    </row>
    <row r="23489">
      <c r="B23489" s="309"/>
      <c r="C23489" s="309"/>
      <c r="I23489" s="309"/>
      <c r="J23489" s="309"/>
    </row>
    <row r="23490">
      <c r="B23490" s="309"/>
      <c r="C23490" s="309"/>
      <c r="I23490" s="309"/>
      <c r="J23490" s="309"/>
    </row>
    <row r="23491">
      <c r="B23491" s="309"/>
      <c r="C23491" s="309"/>
      <c r="I23491" s="309"/>
      <c r="J23491" s="309"/>
    </row>
    <row r="23492">
      <c r="B23492" s="309"/>
      <c r="C23492" s="309"/>
      <c r="I23492" s="309"/>
      <c r="J23492" s="309"/>
    </row>
    <row r="23493">
      <c r="B23493" s="309"/>
      <c r="C23493" s="309"/>
      <c r="I23493" s="309"/>
      <c r="J23493" s="309"/>
    </row>
    <row r="23494">
      <c r="B23494" s="309"/>
      <c r="C23494" s="309"/>
      <c r="I23494" s="309"/>
      <c r="J23494" s="309"/>
    </row>
    <row r="23495">
      <c r="B23495" s="309"/>
      <c r="C23495" s="309"/>
      <c r="I23495" s="309"/>
      <c r="J23495" s="309"/>
    </row>
    <row r="23496">
      <c r="B23496" s="309"/>
      <c r="C23496" s="309"/>
      <c r="I23496" s="309"/>
      <c r="J23496" s="309"/>
    </row>
    <row r="23497">
      <c r="B23497" s="309"/>
      <c r="C23497" s="309"/>
      <c r="I23497" s="309"/>
      <c r="J23497" s="309"/>
    </row>
    <row r="23498">
      <c r="B23498" s="309"/>
      <c r="C23498" s="309"/>
      <c r="I23498" s="309"/>
      <c r="J23498" s="309"/>
    </row>
    <row r="23499">
      <c r="B23499" s="309"/>
      <c r="C23499" s="309"/>
      <c r="I23499" s="309"/>
      <c r="J23499" s="309"/>
    </row>
    <row r="23500">
      <c r="B23500" s="309"/>
      <c r="C23500" s="309"/>
      <c r="I23500" s="309"/>
      <c r="J23500" s="309"/>
    </row>
    <row r="23501">
      <c r="B23501" s="309"/>
      <c r="C23501" s="309"/>
      <c r="I23501" s="309"/>
      <c r="J23501" s="309"/>
    </row>
    <row r="23502">
      <c r="B23502" s="309"/>
      <c r="C23502" s="309"/>
      <c r="I23502" s="309"/>
      <c r="J23502" s="309"/>
    </row>
    <row r="23503">
      <c r="B23503" s="309"/>
      <c r="C23503" s="309"/>
      <c r="I23503" s="309"/>
      <c r="J23503" s="309"/>
    </row>
    <row r="23504">
      <c r="B23504" s="309"/>
      <c r="C23504" s="309"/>
      <c r="I23504" s="309"/>
      <c r="J23504" s="309"/>
    </row>
    <row r="23505">
      <c r="B23505" s="309"/>
      <c r="C23505" s="309"/>
      <c r="I23505" s="309"/>
      <c r="J23505" s="309"/>
    </row>
    <row r="23506">
      <c r="B23506" s="309"/>
      <c r="C23506" s="309"/>
      <c r="I23506" s="309"/>
      <c r="J23506" s="309"/>
    </row>
    <row r="23507">
      <c r="B23507" s="309"/>
      <c r="C23507" s="309"/>
      <c r="I23507" s="309"/>
      <c r="J23507" s="309"/>
    </row>
    <row r="23508">
      <c r="B23508" s="309"/>
      <c r="C23508" s="309"/>
      <c r="I23508" s="309"/>
      <c r="J23508" s="309"/>
    </row>
    <row r="23509">
      <c r="B23509" s="309"/>
      <c r="C23509" s="309"/>
      <c r="I23509" s="309"/>
      <c r="J23509" s="309"/>
    </row>
    <row r="23510">
      <c r="B23510" s="309"/>
      <c r="C23510" s="309"/>
      <c r="I23510" s="309"/>
      <c r="J23510" s="309"/>
    </row>
    <row r="23511">
      <c r="B23511" s="309"/>
      <c r="C23511" s="309"/>
      <c r="I23511" s="309"/>
      <c r="J23511" s="309"/>
    </row>
    <row r="23512">
      <c r="B23512" s="309"/>
      <c r="C23512" s="309"/>
      <c r="I23512" s="309"/>
      <c r="J23512" s="309"/>
    </row>
    <row r="23513">
      <c r="B23513" s="309"/>
      <c r="C23513" s="309"/>
      <c r="I23513" s="309"/>
      <c r="J23513" s="309"/>
    </row>
    <row r="23514">
      <c r="B23514" s="309"/>
      <c r="C23514" s="309"/>
      <c r="I23514" s="309"/>
      <c r="J23514" s="309"/>
    </row>
    <row r="23515">
      <c r="B23515" s="309"/>
      <c r="C23515" s="309"/>
      <c r="I23515" s="309"/>
      <c r="J23515" s="309"/>
    </row>
    <row r="23516">
      <c r="B23516" s="309"/>
      <c r="C23516" s="309"/>
      <c r="I23516" s="309"/>
      <c r="J23516" s="309"/>
    </row>
    <row r="23517">
      <c r="B23517" s="309"/>
      <c r="C23517" s="309"/>
      <c r="I23517" s="309"/>
      <c r="J23517" s="309"/>
    </row>
    <row r="23518">
      <c r="B23518" s="309"/>
      <c r="C23518" s="309"/>
      <c r="I23518" s="309"/>
      <c r="J23518" s="309"/>
    </row>
    <row r="23519">
      <c r="B23519" s="309"/>
      <c r="C23519" s="309"/>
      <c r="I23519" s="309"/>
      <c r="J23519" s="309"/>
    </row>
    <row r="23520">
      <c r="B23520" s="309"/>
      <c r="C23520" s="309"/>
      <c r="I23520" s="309"/>
      <c r="J23520" s="309"/>
    </row>
    <row r="23521">
      <c r="B23521" s="309"/>
      <c r="C23521" s="309"/>
      <c r="I23521" s="309"/>
      <c r="J23521" s="309"/>
    </row>
    <row r="23522">
      <c r="B23522" s="309"/>
      <c r="C23522" s="309"/>
      <c r="I23522" s="309"/>
      <c r="J23522" s="309"/>
    </row>
    <row r="23523">
      <c r="B23523" s="309"/>
      <c r="C23523" s="309"/>
      <c r="I23523" s="309"/>
      <c r="J23523" s="309"/>
    </row>
    <row r="23524">
      <c r="B23524" s="309"/>
      <c r="C23524" s="309"/>
      <c r="I23524" s="309"/>
      <c r="J23524" s="309"/>
    </row>
    <row r="23525">
      <c r="B23525" s="309"/>
      <c r="C23525" s="309"/>
      <c r="I23525" s="309"/>
      <c r="J23525" s="309"/>
    </row>
    <row r="23526">
      <c r="B23526" s="309"/>
      <c r="C23526" s="309"/>
      <c r="I23526" s="309"/>
      <c r="J23526" s="309"/>
    </row>
    <row r="23527">
      <c r="B23527" s="309"/>
      <c r="C23527" s="309"/>
      <c r="I23527" s="309"/>
      <c r="J23527" s="309"/>
    </row>
    <row r="23528">
      <c r="B23528" s="309"/>
      <c r="C23528" s="309"/>
      <c r="I23528" s="309"/>
      <c r="J23528" s="309"/>
    </row>
    <row r="23529">
      <c r="B23529" s="309"/>
      <c r="C23529" s="309"/>
      <c r="I23529" s="309"/>
      <c r="J23529" s="309"/>
    </row>
    <row r="23530">
      <c r="B23530" s="309"/>
      <c r="C23530" s="309"/>
      <c r="I23530" s="309"/>
      <c r="J23530" s="309"/>
    </row>
    <row r="23531">
      <c r="B23531" s="309"/>
      <c r="C23531" s="309"/>
      <c r="I23531" s="309"/>
      <c r="J23531" s="309"/>
    </row>
    <row r="23532">
      <c r="B23532" s="309"/>
      <c r="C23532" s="309"/>
      <c r="I23532" s="309"/>
      <c r="J23532" s="309"/>
    </row>
    <row r="23533">
      <c r="B23533" s="309"/>
      <c r="C23533" s="309"/>
      <c r="I23533" s="309"/>
      <c r="J23533" s="309"/>
    </row>
    <row r="23534">
      <c r="B23534" s="309"/>
      <c r="C23534" s="309"/>
      <c r="I23534" s="309"/>
      <c r="J23534" s="309"/>
    </row>
    <row r="23535">
      <c r="B23535" s="309"/>
      <c r="C23535" s="309"/>
      <c r="I23535" s="309"/>
      <c r="J23535" s="309"/>
    </row>
    <row r="23536">
      <c r="B23536" s="309"/>
      <c r="C23536" s="309"/>
      <c r="I23536" s="309"/>
      <c r="J23536" s="309"/>
    </row>
    <row r="23537">
      <c r="B23537" s="309"/>
      <c r="C23537" s="309"/>
      <c r="I23537" s="309"/>
      <c r="J23537" s="309"/>
    </row>
    <row r="23538">
      <c r="B23538" s="309"/>
      <c r="C23538" s="309"/>
      <c r="I23538" s="309"/>
      <c r="J23538" s="309"/>
    </row>
    <row r="23539">
      <c r="B23539" s="309"/>
      <c r="C23539" s="309"/>
      <c r="I23539" s="309"/>
      <c r="J23539" s="309"/>
    </row>
    <row r="23540">
      <c r="B23540" s="309"/>
      <c r="C23540" s="309"/>
      <c r="I23540" s="309"/>
      <c r="J23540" s="309"/>
    </row>
    <row r="23541">
      <c r="B23541" s="309"/>
      <c r="C23541" s="309"/>
      <c r="I23541" s="309"/>
      <c r="J23541" s="309"/>
    </row>
    <row r="23542">
      <c r="B23542" s="309"/>
      <c r="C23542" s="309"/>
      <c r="I23542" s="309"/>
      <c r="J23542" s="309"/>
    </row>
    <row r="23543">
      <c r="B23543" s="309"/>
      <c r="C23543" s="309"/>
      <c r="I23543" s="309"/>
      <c r="J23543" s="309"/>
    </row>
    <row r="23544">
      <c r="B23544" s="309"/>
      <c r="C23544" s="309"/>
      <c r="I23544" s="309"/>
      <c r="J23544" s="309"/>
    </row>
    <row r="23545">
      <c r="B23545" s="309"/>
      <c r="C23545" s="309"/>
      <c r="I23545" s="309"/>
      <c r="J23545" s="309"/>
    </row>
    <row r="23546">
      <c r="B23546" s="309"/>
      <c r="C23546" s="309"/>
      <c r="I23546" s="309"/>
      <c r="J23546" s="309"/>
    </row>
    <row r="23547">
      <c r="B23547" s="309"/>
      <c r="C23547" s="309"/>
      <c r="I23547" s="309"/>
      <c r="J23547" s="309"/>
    </row>
    <row r="23548">
      <c r="B23548" s="309"/>
      <c r="C23548" s="309"/>
      <c r="I23548" s="309"/>
      <c r="J23548" s="309"/>
    </row>
    <row r="23549">
      <c r="B23549" s="309"/>
      <c r="C23549" s="309"/>
      <c r="I23549" s="309"/>
      <c r="J23549" s="309"/>
    </row>
    <row r="23550">
      <c r="B23550" s="309"/>
      <c r="C23550" s="309"/>
      <c r="I23550" s="309"/>
      <c r="J23550" s="309"/>
    </row>
    <row r="23551">
      <c r="B23551" s="309"/>
      <c r="C23551" s="309"/>
      <c r="I23551" s="309"/>
      <c r="J23551" s="309"/>
    </row>
    <row r="23552">
      <c r="B23552" s="309"/>
      <c r="C23552" s="309"/>
      <c r="I23552" s="309"/>
      <c r="J23552" s="309"/>
    </row>
    <row r="23553">
      <c r="B23553" s="309"/>
      <c r="C23553" s="309"/>
      <c r="I23553" s="309"/>
      <c r="J23553" s="309"/>
    </row>
    <row r="23554">
      <c r="B23554" s="309"/>
      <c r="C23554" s="309"/>
      <c r="I23554" s="309"/>
      <c r="J23554" s="309"/>
    </row>
    <row r="23555">
      <c r="B23555" s="309"/>
      <c r="C23555" s="309"/>
      <c r="I23555" s="309"/>
      <c r="J23555" s="309"/>
    </row>
    <row r="23556">
      <c r="B23556" s="309"/>
      <c r="C23556" s="309"/>
      <c r="I23556" s="309"/>
      <c r="J23556" s="309"/>
    </row>
    <row r="23557">
      <c r="B23557" s="309"/>
      <c r="C23557" s="309"/>
      <c r="I23557" s="309"/>
      <c r="J23557" s="309"/>
    </row>
    <row r="23558">
      <c r="B23558" s="309"/>
      <c r="C23558" s="309"/>
      <c r="I23558" s="309"/>
      <c r="J23558" s="309"/>
    </row>
    <row r="23559">
      <c r="B23559" s="309"/>
      <c r="C23559" s="309"/>
      <c r="I23559" s="309"/>
      <c r="J23559" s="309"/>
    </row>
    <row r="23560">
      <c r="B23560" s="309"/>
      <c r="C23560" s="309"/>
      <c r="I23560" s="309"/>
      <c r="J23560" s="309"/>
    </row>
    <row r="23561">
      <c r="B23561" s="309"/>
      <c r="C23561" s="309"/>
      <c r="I23561" s="309"/>
      <c r="J23561" s="309"/>
    </row>
    <row r="23562">
      <c r="B23562" s="309"/>
      <c r="C23562" s="309"/>
      <c r="I23562" s="309"/>
      <c r="J23562" s="309"/>
    </row>
    <row r="23563">
      <c r="B23563" s="309"/>
      <c r="C23563" s="309"/>
      <c r="I23563" s="309"/>
      <c r="J23563" s="309"/>
    </row>
    <row r="23564">
      <c r="B23564" s="309"/>
      <c r="C23564" s="309"/>
      <c r="I23564" s="309"/>
      <c r="J23564" s="309"/>
    </row>
    <row r="23565">
      <c r="B23565" s="309"/>
      <c r="C23565" s="309"/>
      <c r="I23565" s="309"/>
      <c r="J23565" s="309"/>
    </row>
    <row r="23566">
      <c r="B23566" s="309"/>
      <c r="C23566" s="309"/>
      <c r="I23566" s="309"/>
      <c r="J23566" s="309"/>
    </row>
    <row r="23567">
      <c r="B23567" s="309"/>
      <c r="C23567" s="309"/>
      <c r="I23567" s="309"/>
      <c r="J23567" s="309"/>
    </row>
    <row r="23568">
      <c r="B23568" s="309"/>
      <c r="C23568" s="309"/>
      <c r="I23568" s="309"/>
      <c r="J23568" s="309"/>
    </row>
    <row r="23569">
      <c r="B23569" s="309"/>
      <c r="C23569" s="309"/>
      <c r="I23569" s="309"/>
      <c r="J23569" s="309"/>
    </row>
    <row r="23570">
      <c r="B23570" s="309"/>
      <c r="C23570" s="309"/>
      <c r="I23570" s="309"/>
      <c r="J23570" s="309"/>
    </row>
    <row r="23571">
      <c r="B23571" s="309"/>
      <c r="C23571" s="309"/>
      <c r="I23571" s="309"/>
      <c r="J23571" s="309"/>
    </row>
    <row r="23572">
      <c r="B23572" s="309"/>
      <c r="C23572" s="309"/>
      <c r="I23572" s="309"/>
      <c r="J23572" s="309"/>
    </row>
    <row r="23573">
      <c r="B23573" s="309"/>
      <c r="C23573" s="309"/>
      <c r="I23573" s="309"/>
      <c r="J23573" s="309"/>
    </row>
    <row r="23574">
      <c r="B23574" s="309"/>
      <c r="C23574" s="309"/>
      <c r="I23574" s="309"/>
      <c r="J23574" s="309"/>
    </row>
    <row r="23575">
      <c r="B23575" s="309"/>
      <c r="C23575" s="309"/>
      <c r="I23575" s="309"/>
      <c r="J23575" s="309"/>
    </row>
    <row r="23576">
      <c r="B23576" s="309"/>
      <c r="C23576" s="309"/>
      <c r="I23576" s="309"/>
      <c r="J23576" s="309"/>
    </row>
    <row r="23577">
      <c r="B23577" s="309"/>
      <c r="C23577" s="309"/>
      <c r="I23577" s="309"/>
      <c r="J23577" s="309"/>
    </row>
    <row r="23578">
      <c r="B23578" s="309"/>
      <c r="C23578" s="309"/>
      <c r="I23578" s="309"/>
      <c r="J23578" s="309"/>
    </row>
    <row r="23579">
      <c r="B23579" s="309"/>
      <c r="C23579" s="309"/>
      <c r="I23579" s="309"/>
      <c r="J23579" s="309"/>
    </row>
    <row r="23580">
      <c r="B23580" s="309"/>
      <c r="C23580" s="309"/>
      <c r="I23580" s="309"/>
      <c r="J23580" s="309"/>
    </row>
    <row r="23581">
      <c r="B23581" s="309"/>
      <c r="C23581" s="309"/>
      <c r="I23581" s="309"/>
      <c r="J23581" s="309"/>
    </row>
    <row r="23582">
      <c r="B23582" s="309"/>
      <c r="C23582" s="309"/>
      <c r="I23582" s="309"/>
      <c r="J23582" s="309"/>
    </row>
    <row r="23583">
      <c r="B23583" s="309"/>
      <c r="C23583" s="309"/>
      <c r="I23583" s="309"/>
      <c r="J23583" s="309"/>
    </row>
    <row r="23584">
      <c r="B23584" s="309"/>
      <c r="C23584" s="309"/>
      <c r="I23584" s="309"/>
      <c r="J23584" s="309"/>
    </row>
    <row r="23585">
      <c r="B23585" s="309"/>
      <c r="C23585" s="309"/>
      <c r="I23585" s="309"/>
      <c r="J23585" s="309"/>
    </row>
    <row r="23586">
      <c r="B23586" s="309"/>
      <c r="C23586" s="309"/>
      <c r="I23586" s="309"/>
      <c r="J23586" s="309"/>
    </row>
    <row r="23587">
      <c r="B23587" s="309"/>
      <c r="C23587" s="309"/>
      <c r="I23587" s="309"/>
      <c r="J23587" s="309"/>
    </row>
    <row r="23588">
      <c r="B23588" s="309"/>
      <c r="C23588" s="309"/>
      <c r="I23588" s="309"/>
      <c r="J23588" s="309"/>
    </row>
    <row r="23589">
      <c r="B23589" s="309"/>
      <c r="C23589" s="309"/>
      <c r="I23589" s="309"/>
      <c r="J23589" s="309"/>
    </row>
    <row r="23590">
      <c r="B23590" s="309"/>
      <c r="C23590" s="309"/>
      <c r="I23590" s="309"/>
      <c r="J23590" s="309"/>
    </row>
    <row r="23591">
      <c r="B23591" s="309"/>
      <c r="C23591" s="309"/>
      <c r="I23591" s="309"/>
      <c r="J23591" s="309"/>
    </row>
    <row r="23592">
      <c r="B23592" s="309"/>
      <c r="C23592" s="309"/>
      <c r="I23592" s="309"/>
      <c r="J23592" s="309"/>
    </row>
    <row r="23593">
      <c r="B23593" s="309"/>
      <c r="C23593" s="309"/>
      <c r="I23593" s="309"/>
      <c r="J23593" s="309"/>
    </row>
    <row r="23594">
      <c r="B23594" s="309"/>
      <c r="C23594" s="309"/>
      <c r="I23594" s="309"/>
      <c r="J23594" s="309"/>
    </row>
    <row r="23595">
      <c r="B23595" s="309"/>
      <c r="C23595" s="309"/>
      <c r="I23595" s="309"/>
      <c r="J23595" s="309"/>
    </row>
    <row r="23596">
      <c r="B23596" s="309"/>
      <c r="C23596" s="309"/>
      <c r="I23596" s="309"/>
      <c r="J23596" s="309"/>
    </row>
    <row r="23597">
      <c r="B23597" s="309"/>
      <c r="C23597" s="309"/>
      <c r="I23597" s="309"/>
      <c r="J23597" s="309"/>
    </row>
    <row r="23598">
      <c r="B23598" s="309"/>
      <c r="C23598" s="309"/>
      <c r="I23598" s="309"/>
      <c r="J23598" s="309"/>
    </row>
    <row r="23599">
      <c r="B23599" s="309"/>
      <c r="C23599" s="309"/>
      <c r="I23599" s="309"/>
      <c r="J23599" s="309"/>
    </row>
    <row r="23600">
      <c r="B23600" s="309"/>
      <c r="C23600" s="309"/>
      <c r="I23600" s="309"/>
      <c r="J23600" s="309"/>
    </row>
    <row r="23601">
      <c r="B23601" s="309"/>
      <c r="C23601" s="309"/>
      <c r="I23601" s="309"/>
      <c r="J23601" s="309"/>
    </row>
    <row r="23602">
      <c r="B23602" s="309"/>
      <c r="C23602" s="309"/>
      <c r="I23602" s="309"/>
      <c r="J23602" s="309"/>
    </row>
    <row r="23603">
      <c r="B23603" s="309"/>
      <c r="C23603" s="309"/>
      <c r="I23603" s="309"/>
      <c r="J23603" s="309"/>
    </row>
    <row r="23604">
      <c r="B23604" s="309"/>
      <c r="C23604" s="309"/>
      <c r="I23604" s="309"/>
      <c r="J23604" s="309"/>
    </row>
    <row r="23605">
      <c r="B23605" s="309"/>
      <c r="C23605" s="309"/>
      <c r="I23605" s="309"/>
      <c r="J23605" s="309"/>
    </row>
    <row r="23606">
      <c r="B23606" s="309"/>
      <c r="C23606" s="309"/>
      <c r="I23606" s="309"/>
      <c r="J23606" s="309"/>
    </row>
    <row r="23607">
      <c r="B23607" s="309"/>
      <c r="C23607" s="309"/>
      <c r="I23607" s="309"/>
      <c r="J23607" s="309"/>
    </row>
    <row r="23608">
      <c r="B23608" s="309"/>
      <c r="C23608" s="309"/>
      <c r="I23608" s="309"/>
      <c r="J23608" s="309"/>
    </row>
    <row r="23609">
      <c r="B23609" s="309"/>
      <c r="C23609" s="309"/>
      <c r="I23609" s="309"/>
      <c r="J23609" s="309"/>
    </row>
    <row r="23610">
      <c r="B23610" s="309"/>
      <c r="C23610" s="309"/>
      <c r="I23610" s="309"/>
      <c r="J23610" s="309"/>
    </row>
    <row r="23611">
      <c r="B23611" s="309"/>
      <c r="C23611" s="309"/>
      <c r="I23611" s="309"/>
      <c r="J23611" s="309"/>
    </row>
    <row r="23612">
      <c r="B23612" s="309"/>
      <c r="C23612" s="309"/>
      <c r="I23612" s="309"/>
      <c r="J23612" s="309"/>
    </row>
    <row r="23613">
      <c r="B23613" s="309"/>
      <c r="C23613" s="309"/>
      <c r="I23613" s="309"/>
      <c r="J23613" s="309"/>
    </row>
    <row r="23614">
      <c r="B23614" s="309"/>
      <c r="C23614" s="309"/>
      <c r="I23614" s="309"/>
      <c r="J23614" s="309"/>
    </row>
    <row r="23615">
      <c r="B23615" s="309"/>
      <c r="C23615" s="309"/>
      <c r="I23615" s="309"/>
      <c r="J23615" s="309"/>
    </row>
    <row r="23616">
      <c r="B23616" s="309"/>
      <c r="C23616" s="309"/>
      <c r="I23616" s="309"/>
      <c r="J23616" s="309"/>
    </row>
    <row r="23617">
      <c r="B23617" s="309"/>
      <c r="C23617" s="309"/>
      <c r="I23617" s="309"/>
      <c r="J23617" s="309"/>
    </row>
    <row r="23618">
      <c r="B23618" s="309"/>
      <c r="C23618" s="309"/>
      <c r="I23618" s="309"/>
      <c r="J23618" s="309"/>
    </row>
    <row r="23619">
      <c r="B23619" s="309"/>
      <c r="C23619" s="309"/>
      <c r="I23619" s="309"/>
      <c r="J23619" s="309"/>
    </row>
    <row r="23620">
      <c r="B23620" s="309"/>
      <c r="C23620" s="309"/>
      <c r="I23620" s="309"/>
      <c r="J23620" s="309"/>
    </row>
    <row r="23621">
      <c r="B23621" s="309"/>
      <c r="C23621" s="309"/>
      <c r="I23621" s="309"/>
      <c r="J23621" s="309"/>
    </row>
    <row r="23622">
      <c r="B23622" s="309"/>
      <c r="C23622" s="309"/>
      <c r="I23622" s="309"/>
      <c r="J23622" s="309"/>
    </row>
    <row r="23623">
      <c r="B23623" s="309"/>
      <c r="C23623" s="309"/>
      <c r="I23623" s="309"/>
      <c r="J23623" s="309"/>
    </row>
    <row r="23624">
      <c r="B23624" s="309"/>
      <c r="C23624" s="309"/>
      <c r="I23624" s="309"/>
      <c r="J23624" s="309"/>
    </row>
    <row r="23625">
      <c r="B23625" s="309"/>
      <c r="C23625" s="309"/>
      <c r="I23625" s="309"/>
      <c r="J23625" s="309"/>
    </row>
    <row r="23626">
      <c r="B23626" s="309"/>
      <c r="C23626" s="309"/>
      <c r="I23626" s="309"/>
      <c r="J23626" s="309"/>
    </row>
    <row r="23627">
      <c r="B23627" s="309"/>
      <c r="C23627" s="309"/>
      <c r="I23627" s="309"/>
      <c r="J23627" s="309"/>
    </row>
    <row r="23628">
      <c r="B23628" s="309"/>
      <c r="C23628" s="309"/>
      <c r="I23628" s="309"/>
      <c r="J23628" s="309"/>
    </row>
    <row r="23629">
      <c r="B23629" s="309"/>
      <c r="C23629" s="309"/>
      <c r="I23629" s="309"/>
      <c r="J23629" s="309"/>
    </row>
    <row r="23630">
      <c r="B23630" s="309"/>
      <c r="C23630" s="309"/>
      <c r="I23630" s="309"/>
      <c r="J23630" s="309"/>
    </row>
    <row r="23631">
      <c r="B23631" s="309"/>
      <c r="C23631" s="309"/>
      <c r="I23631" s="309"/>
      <c r="J23631" s="309"/>
    </row>
    <row r="23632">
      <c r="B23632" s="309"/>
      <c r="C23632" s="309"/>
      <c r="I23632" s="309"/>
      <c r="J23632" s="309"/>
    </row>
    <row r="23633">
      <c r="B23633" s="309"/>
      <c r="C23633" s="309"/>
      <c r="I23633" s="309"/>
      <c r="J23633" s="309"/>
    </row>
    <row r="23634">
      <c r="B23634" s="309"/>
      <c r="C23634" s="309"/>
      <c r="I23634" s="309"/>
      <c r="J23634" s="309"/>
    </row>
    <row r="23635">
      <c r="B23635" s="309"/>
      <c r="C23635" s="309"/>
      <c r="I23635" s="309"/>
      <c r="J23635" s="309"/>
    </row>
    <row r="23636">
      <c r="B23636" s="309"/>
      <c r="C23636" s="309"/>
      <c r="I23636" s="309"/>
      <c r="J23636" s="309"/>
    </row>
    <row r="23637">
      <c r="B23637" s="309"/>
      <c r="C23637" s="309"/>
      <c r="I23637" s="309"/>
      <c r="J23637" s="309"/>
    </row>
    <row r="23638">
      <c r="B23638" s="309"/>
      <c r="C23638" s="309"/>
      <c r="I23638" s="309"/>
      <c r="J23638" s="309"/>
    </row>
    <row r="23639">
      <c r="B23639" s="309"/>
      <c r="C23639" s="309"/>
      <c r="I23639" s="309"/>
      <c r="J23639" s="309"/>
    </row>
    <row r="23640">
      <c r="B23640" s="309"/>
      <c r="C23640" s="309"/>
      <c r="I23640" s="309"/>
      <c r="J23640" s="309"/>
    </row>
    <row r="23641">
      <c r="B23641" s="309"/>
      <c r="C23641" s="309"/>
      <c r="I23641" s="309"/>
      <c r="J23641" s="309"/>
    </row>
    <row r="23642">
      <c r="B23642" s="309"/>
      <c r="C23642" s="309"/>
      <c r="I23642" s="309"/>
      <c r="J23642" s="309"/>
    </row>
    <row r="23643">
      <c r="B23643" s="309"/>
      <c r="C23643" s="309"/>
      <c r="I23643" s="309"/>
      <c r="J23643" s="309"/>
    </row>
    <row r="23644">
      <c r="B23644" s="309"/>
      <c r="C23644" s="309"/>
      <c r="I23644" s="309"/>
      <c r="J23644" s="309"/>
    </row>
    <row r="23645">
      <c r="B23645" s="309"/>
      <c r="C23645" s="309"/>
      <c r="I23645" s="309"/>
      <c r="J23645" s="309"/>
    </row>
    <row r="23646">
      <c r="B23646" s="309"/>
      <c r="C23646" s="309"/>
      <c r="I23646" s="309"/>
      <c r="J23646" s="309"/>
    </row>
    <row r="23647">
      <c r="B23647" s="309"/>
      <c r="C23647" s="309"/>
      <c r="I23647" s="309"/>
      <c r="J23647" s="309"/>
    </row>
    <row r="23648">
      <c r="B23648" s="309"/>
      <c r="C23648" s="309"/>
      <c r="I23648" s="309"/>
      <c r="J23648" s="309"/>
    </row>
    <row r="23649">
      <c r="B23649" s="309"/>
      <c r="C23649" s="309"/>
      <c r="I23649" s="309"/>
      <c r="J23649" s="309"/>
    </row>
    <row r="23650">
      <c r="B23650" s="309"/>
      <c r="C23650" s="309"/>
      <c r="I23650" s="309"/>
      <c r="J23650" s="309"/>
    </row>
    <row r="23651">
      <c r="B23651" s="309"/>
      <c r="C23651" s="309"/>
      <c r="I23651" s="309"/>
      <c r="J23651" s="309"/>
    </row>
    <row r="23652">
      <c r="B23652" s="309"/>
      <c r="C23652" s="309"/>
      <c r="I23652" s="309"/>
      <c r="J23652" s="309"/>
    </row>
    <row r="23653">
      <c r="B23653" s="309"/>
      <c r="C23653" s="309"/>
      <c r="I23653" s="309"/>
      <c r="J23653" s="309"/>
    </row>
    <row r="23654">
      <c r="B23654" s="309"/>
      <c r="C23654" s="309"/>
      <c r="I23654" s="309"/>
      <c r="J23654" s="309"/>
    </row>
    <row r="23655">
      <c r="B23655" s="309"/>
      <c r="C23655" s="309"/>
      <c r="I23655" s="309"/>
      <c r="J23655" s="309"/>
    </row>
    <row r="23656">
      <c r="B23656" s="309"/>
      <c r="C23656" s="309"/>
      <c r="I23656" s="309"/>
      <c r="J23656" s="309"/>
    </row>
    <row r="23657">
      <c r="B23657" s="309"/>
      <c r="C23657" s="309"/>
      <c r="I23657" s="309"/>
      <c r="J23657" s="309"/>
    </row>
    <row r="23658">
      <c r="B23658" s="309"/>
      <c r="C23658" s="309"/>
      <c r="I23658" s="309"/>
      <c r="J23658" s="309"/>
    </row>
    <row r="23659">
      <c r="B23659" s="309"/>
      <c r="C23659" s="309"/>
      <c r="I23659" s="309"/>
      <c r="J23659" s="309"/>
    </row>
    <row r="23660">
      <c r="B23660" s="309"/>
      <c r="C23660" s="309"/>
      <c r="I23660" s="309"/>
      <c r="J23660" s="309"/>
    </row>
    <row r="23661">
      <c r="B23661" s="309"/>
      <c r="C23661" s="309"/>
      <c r="I23661" s="309"/>
      <c r="J23661" s="309"/>
    </row>
    <row r="23662">
      <c r="B23662" s="309"/>
      <c r="C23662" s="309"/>
      <c r="I23662" s="309"/>
      <c r="J23662" s="309"/>
    </row>
    <row r="23663">
      <c r="B23663" s="309"/>
      <c r="C23663" s="309"/>
      <c r="I23663" s="309"/>
      <c r="J23663" s="309"/>
    </row>
    <row r="23664">
      <c r="B23664" s="309"/>
      <c r="C23664" s="309"/>
      <c r="I23664" s="309"/>
      <c r="J23664" s="309"/>
    </row>
    <row r="23665">
      <c r="B23665" s="309"/>
      <c r="C23665" s="309"/>
      <c r="I23665" s="309"/>
      <c r="J23665" s="309"/>
    </row>
    <row r="23666">
      <c r="B23666" s="309"/>
      <c r="C23666" s="309"/>
      <c r="I23666" s="309"/>
      <c r="J23666" s="309"/>
    </row>
    <row r="23667">
      <c r="B23667" s="309"/>
      <c r="C23667" s="309"/>
      <c r="I23667" s="309"/>
      <c r="J23667" s="309"/>
    </row>
    <row r="23668">
      <c r="B23668" s="309"/>
      <c r="C23668" s="309"/>
      <c r="I23668" s="309"/>
      <c r="J23668" s="309"/>
    </row>
    <row r="23669">
      <c r="B23669" s="309"/>
      <c r="C23669" s="309"/>
      <c r="I23669" s="309"/>
      <c r="J23669" s="309"/>
    </row>
    <row r="23670">
      <c r="B23670" s="309"/>
      <c r="C23670" s="309"/>
      <c r="I23670" s="309"/>
      <c r="J23670" s="309"/>
    </row>
    <row r="23671">
      <c r="B23671" s="309"/>
      <c r="C23671" s="309"/>
      <c r="I23671" s="309"/>
      <c r="J23671" s="309"/>
    </row>
    <row r="23672">
      <c r="B23672" s="309"/>
      <c r="C23672" s="309"/>
      <c r="I23672" s="309"/>
      <c r="J23672" s="309"/>
    </row>
    <row r="23673">
      <c r="B23673" s="309"/>
      <c r="C23673" s="309"/>
      <c r="I23673" s="309"/>
      <c r="J23673" s="309"/>
    </row>
    <row r="23674">
      <c r="B23674" s="309"/>
      <c r="C23674" s="309"/>
      <c r="I23674" s="309"/>
      <c r="J23674" s="309"/>
    </row>
    <row r="23675">
      <c r="B23675" s="309"/>
      <c r="C23675" s="309"/>
      <c r="I23675" s="309"/>
      <c r="J23675" s="309"/>
    </row>
    <row r="23676">
      <c r="B23676" s="309"/>
      <c r="C23676" s="309"/>
      <c r="I23676" s="309"/>
      <c r="J23676" s="309"/>
    </row>
    <row r="23677">
      <c r="B23677" s="309"/>
      <c r="C23677" s="309"/>
      <c r="I23677" s="309"/>
      <c r="J23677" s="309"/>
    </row>
    <row r="23678">
      <c r="B23678" s="309"/>
      <c r="C23678" s="309"/>
      <c r="I23678" s="309"/>
      <c r="J23678" s="309"/>
    </row>
    <row r="23679">
      <c r="B23679" s="309"/>
      <c r="C23679" s="309"/>
      <c r="I23679" s="309"/>
      <c r="J23679" s="309"/>
    </row>
    <row r="23680">
      <c r="B23680" s="309"/>
      <c r="C23680" s="309"/>
      <c r="I23680" s="309"/>
      <c r="J23680" s="309"/>
    </row>
    <row r="23681">
      <c r="B23681" s="309"/>
      <c r="C23681" s="309"/>
      <c r="I23681" s="309"/>
      <c r="J23681" s="309"/>
    </row>
    <row r="23682">
      <c r="B23682" s="309"/>
      <c r="C23682" s="309"/>
      <c r="I23682" s="309"/>
      <c r="J23682" s="309"/>
    </row>
    <row r="23683">
      <c r="B23683" s="309"/>
      <c r="C23683" s="309"/>
      <c r="I23683" s="309"/>
      <c r="J23683" s="309"/>
    </row>
    <row r="23684">
      <c r="B23684" s="309"/>
      <c r="C23684" s="309"/>
      <c r="I23684" s="309"/>
      <c r="J23684" s="309"/>
    </row>
    <row r="23685">
      <c r="B23685" s="309"/>
      <c r="C23685" s="309"/>
      <c r="I23685" s="309"/>
      <c r="J23685" s="309"/>
    </row>
    <row r="23686">
      <c r="B23686" s="309"/>
      <c r="C23686" s="309"/>
      <c r="I23686" s="309"/>
      <c r="J23686" s="309"/>
    </row>
    <row r="23687">
      <c r="B23687" s="309"/>
      <c r="C23687" s="309"/>
      <c r="I23687" s="309"/>
      <c r="J23687" s="309"/>
    </row>
    <row r="23688">
      <c r="B23688" s="309"/>
      <c r="C23688" s="309"/>
      <c r="I23688" s="309"/>
      <c r="J23688" s="309"/>
    </row>
    <row r="23689">
      <c r="B23689" s="309"/>
      <c r="C23689" s="309"/>
      <c r="I23689" s="309"/>
      <c r="J23689" s="309"/>
    </row>
    <row r="23690">
      <c r="B23690" s="309"/>
      <c r="C23690" s="309"/>
      <c r="I23690" s="309"/>
      <c r="J23690" s="309"/>
    </row>
    <row r="23691">
      <c r="B23691" s="309"/>
      <c r="C23691" s="309"/>
      <c r="I23691" s="309"/>
      <c r="J23691" s="309"/>
    </row>
    <row r="23692">
      <c r="B23692" s="309"/>
      <c r="C23692" s="309"/>
      <c r="I23692" s="309"/>
      <c r="J23692" s="309"/>
    </row>
    <row r="23693">
      <c r="B23693" s="309"/>
      <c r="C23693" s="309"/>
      <c r="I23693" s="309"/>
      <c r="J23693" s="309"/>
    </row>
    <row r="23694">
      <c r="B23694" s="309"/>
      <c r="C23694" s="309"/>
      <c r="I23694" s="309"/>
      <c r="J23694" s="309"/>
    </row>
    <row r="23695">
      <c r="B23695" s="309"/>
      <c r="C23695" s="309"/>
      <c r="I23695" s="309"/>
      <c r="J23695" s="309"/>
    </row>
    <row r="23696">
      <c r="B23696" s="309"/>
      <c r="C23696" s="309"/>
      <c r="I23696" s="309"/>
      <c r="J23696" s="309"/>
    </row>
    <row r="23697">
      <c r="B23697" s="309"/>
      <c r="C23697" s="309"/>
      <c r="I23697" s="309"/>
      <c r="J23697" s="309"/>
    </row>
    <row r="23698">
      <c r="B23698" s="309"/>
      <c r="C23698" s="309"/>
      <c r="I23698" s="309"/>
      <c r="J23698" s="309"/>
    </row>
    <row r="23699">
      <c r="B23699" s="309"/>
      <c r="C23699" s="309"/>
      <c r="I23699" s="309"/>
      <c r="J23699" s="309"/>
    </row>
    <row r="23700">
      <c r="B23700" s="309"/>
      <c r="C23700" s="309"/>
      <c r="I23700" s="309"/>
      <c r="J23700" s="309"/>
    </row>
    <row r="23701">
      <c r="B23701" s="309"/>
      <c r="C23701" s="309"/>
      <c r="I23701" s="309"/>
      <c r="J23701" s="309"/>
    </row>
    <row r="23702">
      <c r="B23702" s="309"/>
      <c r="C23702" s="309"/>
      <c r="I23702" s="309"/>
      <c r="J23702" s="309"/>
    </row>
    <row r="23703">
      <c r="B23703" s="309"/>
      <c r="C23703" s="309"/>
      <c r="I23703" s="309"/>
      <c r="J23703" s="309"/>
    </row>
    <row r="23704">
      <c r="B23704" s="309"/>
      <c r="C23704" s="309"/>
      <c r="I23704" s="309"/>
      <c r="J23704" s="309"/>
    </row>
    <row r="23705">
      <c r="B23705" s="309"/>
      <c r="C23705" s="309"/>
      <c r="I23705" s="309"/>
      <c r="J23705" s="309"/>
    </row>
    <row r="23706">
      <c r="B23706" s="309"/>
      <c r="C23706" s="309"/>
      <c r="I23706" s="309"/>
      <c r="J23706" s="309"/>
    </row>
    <row r="23707">
      <c r="B23707" s="309"/>
      <c r="C23707" s="309"/>
      <c r="I23707" s="309"/>
      <c r="J23707" s="309"/>
    </row>
    <row r="23708">
      <c r="B23708" s="309"/>
      <c r="C23708" s="309"/>
      <c r="I23708" s="309"/>
      <c r="J23708" s="309"/>
    </row>
    <row r="23709">
      <c r="B23709" s="309"/>
      <c r="C23709" s="309"/>
      <c r="I23709" s="309"/>
      <c r="J23709" s="309"/>
    </row>
    <row r="23710">
      <c r="B23710" s="309"/>
      <c r="C23710" s="309"/>
      <c r="I23710" s="309"/>
      <c r="J23710" s="309"/>
    </row>
    <row r="23711">
      <c r="B23711" s="309"/>
      <c r="C23711" s="309"/>
      <c r="I23711" s="309"/>
      <c r="J23711" s="309"/>
    </row>
    <row r="23712">
      <c r="B23712" s="309"/>
      <c r="C23712" s="309"/>
      <c r="I23712" s="309"/>
      <c r="J23712" s="309"/>
    </row>
    <row r="23713">
      <c r="B23713" s="309"/>
      <c r="C23713" s="309"/>
      <c r="I23713" s="309"/>
      <c r="J23713" s="309"/>
    </row>
    <row r="23714">
      <c r="B23714" s="309"/>
      <c r="C23714" s="309"/>
      <c r="I23714" s="309"/>
      <c r="J23714" s="309"/>
    </row>
    <row r="23715">
      <c r="B23715" s="309"/>
      <c r="C23715" s="309"/>
      <c r="I23715" s="309"/>
      <c r="J23715" s="309"/>
    </row>
    <row r="23716">
      <c r="B23716" s="309"/>
      <c r="C23716" s="309"/>
      <c r="I23716" s="309"/>
      <c r="J23716" s="309"/>
    </row>
    <row r="23717">
      <c r="B23717" s="309"/>
      <c r="C23717" s="309"/>
      <c r="I23717" s="309"/>
      <c r="J23717" s="309"/>
    </row>
    <row r="23718">
      <c r="B23718" s="309"/>
      <c r="C23718" s="309"/>
      <c r="I23718" s="309"/>
      <c r="J23718" s="309"/>
    </row>
    <row r="23719">
      <c r="B23719" s="309"/>
      <c r="C23719" s="309"/>
      <c r="I23719" s="309"/>
      <c r="J23719" s="309"/>
    </row>
    <row r="23720">
      <c r="B23720" s="309"/>
      <c r="C23720" s="309"/>
      <c r="I23720" s="309"/>
      <c r="J23720" s="309"/>
    </row>
    <row r="23721">
      <c r="B23721" s="309"/>
      <c r="C23721" s="309"/>
      <c r="I23721" s="309"/>
      <c r="J23721" s="309"/>
    </row>
    <row r="23722">
      <c r="B23722" s="309"/>
      <c r="C23722" s="309"/>
      <c r="I23722" s="309"/>
      <c r="J23722" s="309"/>
    </row>
    <row r="23723">
      <c r="B23723" s="309"/>
      <c r="C23723" s="309"/>
      <c r="I23723" s="309"/>
      <c r="J23723" s="309"/>
    </row>
    <row r="23724">
      <c r="B23724" s="309"/>
      <c r="C23724" s="309"/>
      <c r="I23724" s="309"/>
      <c r="J23724" s="309"/>
    </row>
    <row r="23725">
      <c r="B23725" s="309"/>
      <c r="C23725" s="309"/>
      <c r="I23725" s="309"/>
      <c r="J23725" s="309"/>
    </row>
    <row r="23726">
      <c r="B23726" s="309"/>
      <c r="C23726" s="309"/>
      <c r="I23726" s="309"/>
      <c r="J23726" s="309"/>
    </row>
    <row r="23727">
      <c r="B23727" s="309"/>
      <c r="C23727" s="309"/>
      <c r="I23727" s="309"/>
      <c r="J23727" s="309"/>
    </row>
    <row r="23728">
      <c r="B23728" s="309"/>
      <c r="C23728" s="309"/>
      <c r="I23728" s="309"/>
      <c r="J23728" s="309"/>
    </row>
    <row r="23729">
      <c r="B23729" s="309"/>
      <c r="C23729" s="309"/>
      <c r="I23729" s="309"/>
      <c r="J23729" s="309"/>
    </row>
    <row r="23730">
      <c r="B23730" s="309"/>
      <c r="C23730" s="309"/>
      <c r="I23730" s="309"/>
      <c r="J23730" s="309"/>
    </row>
    <row r="23731">
      <c r="B23731" s="309"/>
      <c r="C23731" s="309"/>
      <c r="I23731" s="309"/>
      <c r="J23731" s="309"/>
    </row>
    <row r="23732">
      <c r="B23732" s="309"/>
      <c r="C23732" s="309"/>
      <c r="I23732" s="309"/>
      <c r="J23732" s="309"/>
    </row>
    <row r="23733">
      <c r="B23733" s="309"/>
      <c r="C23733" s="309"/>
      <c r="I23733" s="309"/>
      <c r="J23733" s="309"/>
    </row>
    <row r="23734">
      <c r="B23734" s="309"/>
      <c r="C23734" s="309"/>
      <c r="I23734" s="309"/>
      <c r="J23734" s="309"/>
    </row>
    <row r="23735">
      <c r="B23735" s="309"/>
      <c r="C23735" s="309"/>
      <c r="I23735" s="309"/>
      <c r="J23735" s="309"/>
    </row>
    <row r="23736">
      <c r="B23736" s="309"/>
      <c r="C23736" s="309"/>
      <c r="I23736" s="309"/>
      <c r="J23736" s="309"/>
    </row>
    <row r="23737">
      <c r="B23737" s="309"/>
      <c r="C23737" s="309"/>
      <c r="I23737" s="309"/>
      <c r="J23737" s="309"/>
    </row>
    <row r="23738">
      <c r="B23738" s="309"/>
      <c r="C23738" s="309"/>
      <c r="I23738" s="309"/>
      <c r="J23738" s="309"/>
    </row>
    <row r="23739">
      <c r="B23739" s="309"/>
      <c r="C23739" s="309"/>
      <c r="I23739" s="309"/>
      <c r="J23739" s="309"/>
    </row>
    <row r="23740">
      <c r="B23740" s="309"/>
      <c r="C23740" s="309"/>
      <c r="I23740" s="309"/>
      <c r="J23740" s="309"/>
    </row>
    <row r="23741">
      <c r="B23741" s="309"/>
      <c r="C23741" s="309"/>
      <c r="I23741" s="309"/>
      <c r="J23741" s="309"/>
    </row>
    <row r="23742">
      <c r="B23742" s="309"/>
      <c r="C23742" s="309"/>
      <c r="I23742" s="309"/>
      <c r="J23742" s="309"/>
    </row>
    <row r="23743">
      <c r="B23743" s="309"/>
      <c r="C23743" s="309"/>
      <c r="I23743" s="309"/>
      <c r="J23743" s="309"/>
    </row>
    <row r="23744">
      <c r="B23744" s="309"/>
      <c r="C23744" s="309"/>
      <c r="I23744" s="309"/>
      <c r="J23744" s="309"/>
    </row>
    <row r="23745">
      <c r="B23745" s="309"/>
      <c r="C23745" s="309"/>
      <c r="I23745" s="309"/>
      <c r="J23745" s="309"/>
    </row>
    <row r="23746">
      <c r="B23746" s="309"/>
      <c r="C23746" s="309"/>
      <c r="I23746" s="309"/>
      <c r="J23746" s="309"/>
    </row>
    <row r="23747">
      <c r="B23747" s="309"/>
      <c r="C23747" s="309"/>
      <c r="I23747" s="309"/>
      <c r="J23747" s="309"/>
    </row>
    <row r="23748">
      <c r="B23748" s="309"/>
      <c r="C23748" s="309"/>
      <c r="I23748" s="309"/>
      <c r="J23748" s="309"/>
    </row>
    <row r="23749">
      <c r="B23749" s="309"/>
      <c r="C23749" s="309"/>
      <c r="I23749" s="309"/>
      <c r="J23749" s="309"/>
    </row>
    <row r="23750">
      <c r="B23750" s="309"/>
      <c r="C23750" s="309"/>
      <c r="I23750" s="309"/>
      <c r="J23750" s="309"/>
    </row>
    <row r="23751">
      <c r="B23751" s="309"/>
      <c r="C23751" s="309"/>
      <c r="I23751" s="309"/>
      <c r="J23751" s="309"/>
    </row>
    <row r="23752">
      <c r="B23752" s="309"/>
      <c r="C23752" s="309"/>
      <c r="I23752" s="309"/>
      <c r="J23752" s="309"/>
    </row>
    <row r="23753">
      <c r="B23753" s="309"/>
      <c r="C23753" s="309"/>
      <c r="I23753" s="309"/>
      <c r="J23753" s="309"/>
    </row>
    <row r="23754">
      <c r="B23754" s="309"/>
      <c r="C23754" s="309"/>
      <c r="I23754" s="309"/>
      <c r="J23754" s="309"/>
    </row>
    <row r="23755">
      <c r="B23755" s="309"/>
      <c r="C23755" s="309"/>
      <c r="I23755" s="309"/>
      <c r="J23755" s="309"/>
    </row>
    <row r="23756">
      <c r="B23756" s="309"/>
      <c r="C23756" s="309"/>
      <c r="I23756" s="309"/>
      <c r="J23756" s="309"/>
    </row>
    <row r="23757">
      <c r="B23757" s="309"/>
      <c r="C23757" s="309"/>
      <c r="I23757" s="309"/>
      <c r="J23757" s="309"/>
    </row>
    <row r="23758">
      <c r="B23758" s="309"/>
      <c r="C23758" s="309"/>
      <c r="I23758" s="309"/>
      <c r="J23758" s="309"/>
    </row>
    <row r="23759">
      <c r="B23759" s="309"/>
      <c r="C23759" s="309"/>
      <c r="I23759" s="309"/>
      <c r="J23759" s="309"/>
    </row>
    <row r="23760">
      <c r="B23760" s="309"/>
      <c r="C23760" s="309"/>
      <c r="I23760" s="309"/>
      <c r="J23760" s="309"/>
    </row>
    <row r="23761">
      <c r="B23761" s="309"/>
      <c r="C23761" s="309"/>
      <c r="I23761" s="309"/>
      <c r="J23761" s="309"/>
    </row>
    <row r="23762">
      <c r="B23762" s="309"/>
      <c r="C23762" s="309"/>
      <c r="I23762" s="309"/>
      <c r="J23762" s="309"/>
    </row>
    <row r="23763">
      <c r="B23763" s="309"/>
      <c r="C23763" s="309"/>
      <c r="I23763" s="309"/>
      <c r="J23763" s="309"/>
    </row>
    <row r="23764">
      <c r="B23764" s="309"/>
      <c r="C23764" s="309"/>
      <c r="I23764" s="309"/>
      <c r="J23764" s="309"/>
    </row>
    <row r="23765">
      <c r="B23765" s="309"/>
      <c r="C23765" s="309"/>
      <c r="I23765" s="309"/>
      <c r="J23765" s="309"/>
    </row>
    <row r="23766">
      <c r="B23766" s="309"/>
      <c r="C23766" s="309"/>
      <c r="I23766" s="309"/>
      <c r="J23766" s="309"/>
    </row>
    <row r="23767">
      <c r="B23767" s="309"/>
      <c r="C23767" s="309"/>
      <c r="I23767" s="309"/>
      <c r="J23767" s="309"/>
    </row>
    <row r="23768">
      <c r="B23768" s="309"/>
      <c r="C23768" s="309"/>
      <c r="I23768" s="309"/>
      <c r="J23768" s="309"/>
    </row>
    <row r="23769">
      <c r="B23769" s="309"/>
      <c r="C23769" s="309"/>
      <c r="I23769" s="309"/>
      <c r="J23769" s="309"/>
    </row>
    <row r="23770">
      <c r="B23770" s="309"/>
      <c r="C23770" s="309"/>
      <c r="I23770" s="309"/>
      <c r="J23770" s="309"/>
    </row>
    <row r="23771">
      <c r="B23771" s="309"/>
      <c r="C23771" s="309"/>
      <c r="I23771" s="309"/>
      <c r="J23771" s="309"/>
    </row>
    <row r="23772">
      <c r="B23772" s="309"/>
      <c r="C23772" s="309"/>
      <c r="I23772" s="309"/>
      <c r="J23772" s="309"/>
    </row>
    <row r="23773">
      <c r="B23773" s="309"/>
      <c r="C23773" s="309"/>
      <c r="I23773" s="309"/>
      <c r="J23773" s="309"/>
    </row>
    <row r="23774">
      <c r="B23774" s="309"/>
      <c r="C23774" s="309"/>
      <c r="I23774" s="309"/>
      <c r="J23774" s="309"/>
    </row>
    <row r="23775">
      <c r="B23775" s="309"/>
      <c r="C23775" s="309"/>
      <c r="I23775" s="309"/>
      <c r="J23775" s="309"/>
    </row>
    <row r="23776">
      <c r="B23776" s="309"/>
      <c r="C23776" s="309"/>
      <c r="I23776" s="309"/>
      <c r="J23776" s="309"/>
    </row>
    <row r="23777">
      <c r="B23777" s="309"/>
      <c r="C23777" s="309"/>
      <c r="I23777" s="309"/>
      <c r="J23777" s="309"/>
    </row>
    <row r="23778">
      <c r="B23778" s="309"/>
      <c r="C23778" s="309"/>
      <c r="I23778" s="309"/>
      <c r="J23778" s="309"/>
    </row>
    <row r="23779">
      <c r="B23779" s="309"/>
      <c r="C23779" s="309"/>
      <c r="I23779" s="309"/>
      <c r="J23779" s="309"/>
    </row>
    <row r="23780">
      <c r="B23780" s="309"/>
      <c r="C23780" s="309"/>
      <c r="I23780" s="309"/>
      <c r="J23780" s="309"/>
    </row>
    <row r="23781">
      <c r="B23781" s="309"/>
      <c r="C23781" s="309"/>
      <c r="I23781" s="309"/>
      <c r="J23781" s="309"/>
    </row>
    <row r="23782">
      <c r="B23782" s="309"/>
      <c r="C23782" s="309"/>
      <c r="I23782" s="309"/>
      <c r="J23782" s="309"/>
    </row>
    <row r="23783">
      <c r="B23783" s="309"/>
      <c r="C23783" s="309"/>
      <c r="I23783" s="309"/>
      <c r="J23783" s="309"/>
    </row>
    <row r="23784">
      <c r="B23784" s="309"/>
      <c r="C23784" s="309"/>
      <c r="I23784" s="309"/>
      <c r="J23784" s="309"/>
    </row>
    <row r="23785">
      <c r="B23785" s="309"/>
      <c r="C23785" s="309"/>
      <c r="I23785" s="309"/>
      <c r="J23785" s="309"/>
    </row>
    <row r="23786">
      <c r="B23786" s="309"/>
      <c r="C23786" s="309"/>
      <c r="I23786" s="309"/>
      <c r="J23786" s="309"/>
    </row>
    <row r="23787">
      <c r="B23787" s="309"/>
      <c r="C23787" s="309"/>
      <c r="I23787" s="309"/>
      <c r="J23787" s="309"/>
    </row>
    <row r="23788">
      <c r="B23788" s="309"/>
      <c r="C23788" s="309"/>
      <c r="I23788" s="309"/>
      <c r="J23788" s="309"/>
    </row>
    <row r="23789">
      <c r="B23789" s="309"/>
      <c r="C23789" s="309"/>
      <c r="I23789" s="309"/>
      <c r="J23789" s="309"/>
    </row>
    <row r="23790">
      <c r="B23790" s="309"/>
      <c r="C23790" s="309"/>
      <c r="I23790" s="309"/>
      <c r="J23790" s="309"/>
    </row>
    <row r="23791">
      <c r="B23791" s="309"/>
      <c r="C23791" s="309"/>
      <c r="I23791" s="309"/>
      <c r="J23791" s="309"/>
    </row>
    <row r="23792">
      <c r="B23792" s="309"/>
      <c r="C23792" s="309"/>
      <c r="I23792" s="309"/>
      <c r="J23792" s="309"/>
    </row>
    <row r="23793">
      <c r="B23793" s="309"/>
      <c r="C23793" s="309"/>
      <c r="I23793" s="309"/>
      <c r="J23793" s="309"/>
    </row>
    <row r="23794">
      <c r="B23794" s="309"/>
      <c r="C23794" s="309"/>
      <c r="I23794" s="309"/>
      <c r="J23794" s="309"/>
    </row>
    <row r="23795">
      <c r="B23795" s="309"/>
      <c r="C23795" s="309"/>
      <c r="I23795" s="309"/>
      <c r="J23795" s="309"/>
    </row>
    <row r="23796">
      <c r="B23796" s="309"/>
      <c r="C23796" s="309"/>
      <c r="I23796" s="309"/>
      <c r="J23796" s="309"/>
    </row>
    <row r="23797">
      <c r="B23797" s="309"/>
      <c r="C23797" s="309"/>
      <c r="I23797" s="309"/>
      <c r="J23797" s="309"/>
    </row>
    <row r="23798">
      <c r="B23798" s="309"/>
      <c r="C23798" s="309"/>
      <c r="I23798" s="309"/>
      <c r="J23798" s="309"/>
    </row>
    <row r="23799">
      <c r="B23799" s="309"/>
      <c r="C23799" s="309"/>
      <c r="I23799" s="309"/>
      <c r="J23799" s="309"/>
    </row>
    <row r="23800">
      <c r="B23800" s="309"/>
      <c r="C23800" s="309"/>
      <c r="I23800" s="309"/>
      <c r="J23800" s="309"/>
    </row>
    <row r="23801">
      <c r="B23801" s="309"/>
      <c r="C23801" s="309"/>
      <c r="I23801" s="309"/>
      <c r="J23801" s="309"/>
    </row>
    <row r="23802">
      <c r="B23802" s="309"/>
      <c r="C23802" s="309"/>
      <c r="I23802" s="309"/>
      <c r="J23802" s="309"/>
    </row>
    <row r="23803">
      <c r="B23803" s="309"/>
      <c r="C23803" s="309"/>
      <c r="I23803" s="309"/>
      <c r="J23803" s="309"/>
    </row>
    <row r="23804">
      <c r="B23804" s="309"/>
      <c r="C23804" s="309"/>
      <c r="I23804" s="309"/>
      <c r="J23804" s="309"/>
    </row>
    <row r="23805">
      <c r="B23805" s="309"/>
      <c r="C23805" s="309"/>
      <c r="I23805" s="309"/>
      <c r="J23805" s="309"/>
    </row>
    <row r="23806">
      <c r="B23806" s="309"/>
      <c r="C23806" s="309"/>
      <c r="I23806" s="309"/>
      <c r="J23806" s="309"/>
    </row>
    <row r="23807">
      <c r="B23807" s="309"/>
      <c r="C23807" s="309"/>
      <c r="I23807" s="309"/>
      <c r="J23807" s="309"/>
    </row>
    <row r="23808">
      <c r="B23808" s="309"/>
      <c r="C23808" s="309"/>
      <c r="I23808" s="309"/>
      <c r="J23808" s="309"/>
    </row>
    <row r="23809">
      <c r="B23809" s="309"/>
      <c r="C23809" s="309"/>
      <c r="I23809" s="309"/>
      <c r="J23809" s="309"/>
    </row>
    <row r="23810">
      <c r="B23810" s="309"/>
      <c r="C23810" s="309"/>
      <c r="I23810" s="309"/>
      <c r="J23810" s="309"/>
    </row>
    <row r="23811">
      <c r="B23811" s="309"/>
      <c r="C23811" s="309"/>
      <c r="I23811" s="309"/>
      <c r="J23811" s="309"/>
    </row>
    <row r="23812">
      <c r="B23812" s="309"/>
      <c r="C23812" s="309"/>
      <c r="I23812" s="309"/>
      <c r="J23812" s="309"/>
    </row>
    <row r="23813">
      <c r="B23813" s="309"/>
      <c r="C23813" s="309"/>
      <c r="I23813" s="309"/>
      <c r="J23813" s="309"/>
    </row>
    <row r="23814">
      <c r="B23814" s="309"/>
      <c r="C23814" s="309"/>
      <c r="I23814" s="309"/>
      <c r="J23814" s="309"/>
    </row>
    <row r="23815">
      <c r="B23815" s="309"/>
      <c r="C23815" s="309"/>
      <c r="I23815" s="309"/>
      <c r="J23815" s="309"/>
    </row>
    <row r="23816">
      <c r="B23816" s="309"/>
      <c r="C23816" s="309"/>
      <c r="I23816" s="309"/>
      <c r="J23816" s="309"/>
    </row>
    <row r="23817">
      <c r="B23817" s="309"/>
      <c r="C23817" s="309"/>
      <c r="I23817" s="309"/>
      <c r="J23817" s="309"/>
    </row>
    <row r="23818">
      <c r="B23818" s="309"/>
      <c r="C23818" s="309"/>
      <c r="I23818" s="309"/>
      <c r="J23818" s="309"/>
    </row>
    <row r="23819">
      <c r="B23819" s="309"/>
      <c r="C23819" s="309"/>
      <c r="I23819" s="309"/>
      <c r="J23819" s="309"/>
    </row>
    <row r="23820">
      <c r="B23820" s="309"/>
      <c r="C23820" s="309"/>
      <c r="I23820" s="309"/>
      <c r="J23820" s="309"/>
    </row>
    <row r="23821">
      <c r="B23821" s="309"/>
      <c r="C23821" s="309"/>
      <c r="I23821" s="309"/>
      <c r="J23821" s="309"/>
    </row>
    <row r="23822">
      <c r="B23822" s="309"/>
      <c r="C23822" s="309"/>
      <c r="I23822" s="309"/>
      <c r="J23822" s="309"/>
    </row>
    <row r="23823">
      <c r="B23823" s="309"/>
      <c r="C23823" s="309"/>
      <c r="I23823" s="309"/>
      <c r="J23823" s="309"/>
    </row>
    <row r="23824">
      <c r="B23824" s="309"/>
      <c r="C23824" s="309"/>
      <c r="I23824" s="309"/>
      <c r="J23824" s="309"/>
    </row>
    <row r="23825">
      <c r="B23825" s="309"/>
      <c r="C23825" s="309"/>
      <c r="I23825" s="309"/>
      <c r="J23825" s="309"/>
    </row>
    <row r="23826">
      <c r="B23826" s="309"/>
      <c r="C23826" s="309"/>
      <c r="I23826" s="309"/>
      <c r="J23826" s="309"/>
    </row>
    <row r="23827">
      <c r="B23827" s="309"/>
      <c r="C23827" s="309"/>
      <c r="I23827" s="309"/>
      <c r="J23827" s="309"/>
    </row>
    <row r="23828">
      <c r="B23828" s="309"/>
      <c r="C23828" s="309"/>
      <c r="I23828" s="309"/>
      <c r="J23828" s="309"/>
    </row>
    <row r="23829">
      <c r="B23829" s="309"/>
      <c r="C23829" s="309"/>
      <c r="I23829" s="309"/>
      <c r="J23829" s="309"/>
    </row>
    <row r="23830">
      <c r="B23830" s="309"/>
      <c r="C23830" s="309"/>
      <c r="I23830" s="309"/>
      <c r="J23830" s="309"/>
    </row>
    <row r="23831">
      <c r="B23831" s="309"/>
      <c r="C23831" s="309"/>
      <c r="I23831" s="309"/>
      <c r="J23831" s="309"/>
    </row>
    <row r="23832">
      <c r="B23832" s="309"/>
      <c r="C23832" s="309"/>
      <c r="I23832" s="309"/>
      <c r="J23832" s="309"/>
    </row>
    <row r="23833">
      <c r="B23833" s="309"/>
      <c r="C23833" s="309"/>
      <c r="I23833" s="309"/>
      <c r="J23833" s="309"/>
    </row>
    <row r="23834">
      <c r="B23834" s="309"/>
      <c r="C23834" s="309"/>
      <c r="I23834" s="309"/>
      <c r="J23834" s="309"/>
    </row>
    <row r="23835">
      <c r="B23835" s="309"/>
      <c r="C23835" s="309"/>
      <c r="I23835" s="309"/>
      <c r="J23835" s="309"/>
    </row>
    <row r="23836">
      <c r="B23836" s="309"/>
      <c r="C23836" s="309"/>
      <c r="I23836" s="309"/>
      <c r="J23836" s="309"/>
    </row>
    <row r="23837">
      <c r="B23837" s="309"/>
      <c r="C23837" s="309"/>
      <c r="I23837" s="309"/>
      <c r="J23837" s="309"/>
    </row>
    <row r="23838">
      <c r="B23838" s="309"/>
      <c r="C23838" s="309"/>
      <c r="I23838" s="309"/>
      <c r="J23838" s="309"/>
    </row>
    <row r="23839">
      <c r="B23839" s="309"/>
      <c r="C23839" s="309"/>
      <c r="I23839" s="309"/>
      <c r="J23839" s="309"/>
    </row>
    <row r="23840">
      <c r="B23840" s="309"/>
      <c r="C23840" s="309"/>
      <c r="I23840" s="309"/>
      <c r="J23840" s="309"/>
    </row>
    <row r="23841">
      <c r="B23841" s="309"/>
      <c r="C23841" s="309"/>
      <c r="I23841" s="309"/>
      <c r="J23841" s="309"/>
    </row>
    <row r="23842">
      <c r="B23842" s="309"/>
      <c r="C23842" s="309"/>
      <c r="I23842" s="309"/>
      <c r="J23842" s="309"/>
    </row>
    <row r="23843">
      <c r="B23843" s="309"/>
      <c r="C23843" s="309"/>
      <c r="I23843" s="309"/>
      <c r="J23843" s="309"/>
    </row>
    <row r="23844">
      <c r="B23844" s="309"/>
      <c r="C23844" s="309"/>
      <c r="I23844" s="309"/>
      <c r="J23844" s="309"/>
    </row>
    <row r="23845">
      <c r="B23845" s="309"/>
      <c r="C23845" s="309"/>
      <c r="I23845" s="309"/>
      <c r="J23845" s="309"/>
    </row>
    <row r="23846">
      <c r="B23846" s="309"/>
      <c r="C23846" s="309"/>
      <c r="I23846" s="309"/>
      <c r="J23846" s="309"/>
    </row>
    <row r="23847">
      <c r="B23847" s="309"/>
      <c r="C23847" s="309"/>
      <c r="I23847" s="309"/>
      <c r="J23847" s="309"/>
    </row>
    <row r="23848">
      <c r="B23848" s="309"/>
      <c r="C23848" s="309"/>
      <c r="I23848" s="309"/>
      <c r="J23848" s="309"/>
    </row>
    <row r="23849">
      <c r="B23849" s="309"/>
      <c r="C23849" s="309"/>
      <c r="I23849" s="309"/>
      <c r="J23849" s="309"/>
    </row>
    <row r="23850">
      <c r="B23850" s="309"/>
      <c r="C23850" s="309"/>
      <c r="I23850" s="309"/>
      <c r="J23850" s="309"/>
    </row>
    <row r="23851">
      <c r="B23851" s="309"/>
      <c r="C23851" s="309"/>
      <c r="I23851" s="309"/>
      <c r="J23851" s="309"/>
    </row>
    <row r="23852">
      <c r="B23852" s="309"/>
      <c r="C23852" s="309"/>
      <c r="I23852" s="309"/>
      <c r="J23852" s="309"/>
    </row>
    <row r="23853">
      <c r="B23853" s="309"/>
      <c r="C23853" s="309"/>
      <c r="I23853" s="309"/>
      <c r="J23853" s="309"/>
    </row>
    <row r="23854">
      <c r="B23854" s="309"/>
      <c r="C23854" s="309"/>
      <c r="I23854" s="309"/>
      <c r="J23854" s="309"/>
    </row>
    <row r="23855">
      <c r="B23855" s="309"/>
      <c r="C23855" s="309"/>
      <c r="I23855" s="309"/>
      <c r="J23855" s="309"/>
    </row>
    <row r="23856">
      <c r="B23856" s="309"/>
      <c r="C23856" s="309"/>
      <c r="I23856" s="309"/>
      <c r="J23856" s="309"/>
    </row>
    <row r="23857">
      <c r="B23857" s="309"/>
      <c r="C23857" s="309"/>
      <c r="I23857" s="309"/>
      <c r="J23857" s="309"/>
    </row>
    <row r="23858">
      <c r="B23858" s="309"/>
      <c r="C23858" s="309"/>
      <c r="I23858" s="309"/>
      <c r="J23858" s="309"/>
    </row>
    <row r="23859">
      <c r="B23859" s="309"/>
      <c r="C23859" s="309"/>
      <c r="I23859" s="309"/>
      <c r="J23859" s="309"/>
    </row>
    <row r="23860">
      <c r="B23860" s="309"/>
      <c r="C23860" s="309"/>
      <c r="I23860" s="309"/>
      <c r="J23860" s="309"/>
    </row>
    <row r="23861">
      <c r="B23861" s="309"/>
      <c r="C23861" s="309"/>
      <c r="I23861" s="309"/>
      <c r="J23861" s="309"/>
    </row>
    <row r="23862">
      <c r="B23862" s="309"/>
      <c r="C23862" s="309"/>
      <c r="I23862" s="309"/>
      <c r="J23862" s="309"/>
    </row>
    <row r="23863">
      <c r="B23863" s="309"/>
      <c r="C23863" s="309"/>
      <c r="I23863" s="309"/>
      <c r="J23863" s="309"/>
    </row>
    <row r="23864">
      <c r="B23864" s="309"/>
      <c r="C23864" s="309"/>
      <c r="I23864" s="309"/>
      <c r="J23864" s="309"/>
    </row>
    <row r="23865">
      <c r="B23865" s="309"/>
      <c r="C23865" s="309"/>
      <c r="I23865" s="309"/>
      <c r="J23865" s="309"/>
    </row>
    <row r="23866">
      <c r="B23866" s="309"/>
      <c r="C23866" s="309"/>
      <c r="I23866" s="309"/>
      <c r="J23866" s="309"/>
    </row>
    <row r="23867">
      <c r="B23867" s="309"/>
      <c r="C23867" s="309"/>
      <c r="I23867" s="309"/>
      <c r="J23867" s="309"/>
    </row>
    <row r="23868">
      <c r="B23868" s="309"/>
      <c r="C23868" s="309"/>
      <c r="I23868" s="309"/>
      <c r="J23868" s="309"/>
    </row>
    <row r="23869">
      <c r="B23869" s="309"/>
      <c r="C23869" s="309"/>
      <c r="I23869" s="309"/>
      <c r="J23869" s="309"/>
    </row>
    <row r="23870">
      <c r="B23870" s="309"/>
      <c r="C23870" s="309"/>
      <c r="I23870" s="309"/>
      <c r="J23870" s="309"/>
    </row>
    <row r="23871">
      <c r="B23871" s="309"/>
      <c r="C23871" s="309"/>
      <c r="I23871" s="309"/>
      <c r="J23871" s="309"/>
    </row>
    <row r="23872">
      <c r="B23872" s="309"/>
      <c r="C23872" s="309"/>
      <c r="I23872" s="309"/>
      <c r="J23872" s="309"/>
    </row>
    <row r="23873">
      <c r="B23873" s="309"/>
      <c r="C23873" s="309"/>
      <c r="I23873" s="309"/>
      <c r="J23873" s="309"/>
    </row>
    <row r="23874">
      <c r="B23874" s="309"/>
      <c r="C23874" s="309"/>
      <c r="I23874" s="309"/>
      <c r="J23874" s="309"/>
    </row>
    <row r="23875">
      <c r="B23875" s="309"/>
      <c r="C23875" s="309"/>
      <c r="I23875" s="309"/>
      <c r="J23875" s="309"/>
    </row>
    <row r="23876">
      <c r="B23876" s="309"/>
      <c r="C23876" s="309"/>
      <c r="I23876" s="309"/>
      <c r="J23876" s="309"/>
    </row>
    <row r="23877">
      <c r="B23877" s="309"/>
      <c r="C23877" s="309"/>
      <c r="I23877" s="309"/>
      <c r="J23877" s="309"/>
    </row>
    <row r="23878">
      <c r="B23878" s="309"/>
      <c r="C23878" s="309"/>
      <c r="I23878" s="309"/>
      <c r="J23878" s="309"/>
    </row>
    <row r="23879">
      <c r="B23879" s="309"/>
      <c r="C23879" s="309"/>
      <c r="I23879" s="309"/>
      <c r="J23879" s="309"/>
    </row>
    <row r="23880">
      <c r="B23880" s="309"/>
      <c r="C23880" s="309"/>
      <c r="I23880" s="309"/>
      <c r="J23880" s="309"/>
    </row>
    <row r="23881">
      <c r="B23881" s="309"/>
      <c r="C23881" s="309"/>
      <c r="I23881" s="309"/>
      <c r="J23881" s="309"/>
    </row>
    <row r="23882">
      <c r="B23882" s="309"/>
      <c r="C23882" s="309"/>
      <c r="I23882" s="309"/>
      <c r="J23882" s="309"/>
    </row>
    <row r="23883">
      <c r="B23883" s="309"/>
      <c r="C23883" s="309"/>
      <c r="I23883" s="309"/>
      <c r="J23883" s="309"/>
    </row>
    <row r="23884">
      <c r="B23884" s="309"/>
      <c r="C23884" s="309"/>
      <c r="I23884" s="309"/>
      <c r="J23884" s="309"/>
    </row>
    <row r="23885">
      <c r="B23885" s="309"/>
      <c r="C23885" s="309"/>
      <c r="I23885" s="309"/>
      <c r="J23885" s="309"/>
    </row>
    <row r="23886">
      <c r="B23886" s="309"/>
      <c r="C23886" s="309"/>
      <c r="I23886" s="309"/>
      <c r="J23886" s="309"/>
    </row>
    <row r="23887">
      <c r="B23887" s="309"/>
      <c r="C23887" s="309"/>
      <c r="I23887" s="309"/>
      <c r="J23887" s="309"/>
    </row>
    <row r="23888">
      <c r="B23888" s="309"/>
      <c r="C23888" s="309"/>
      <c r="I23888" s="309"/>
      <c r="J23888" s="309"/>
    </row>
    <row r="23889">
      <c r="B23889" s="309"/>
      <c r="C23889" s="309"/>
      <c r="I23889" s="309"/>
      <c r="J23889" s="309"/>
    </row>
    <row r="23890">
      <c r="B23890" s="309"/>
      <c r="C23890" s="309"/>
      <c r="I23890" s="309"/>
      <c r="J23890" s="309"/>
    </row>
    <row r="23891">
      <c r="B23891" s="309"/>
      <c r="C23891" s="309"/>
      <c r="I23891" s="309"/>
      <c r="J23891" s="309"/>
    </row>
    <row r="23892">
      <c r="B23892" s="309"/>
      <c r="C23892" s="309"/>
      <c r="I23892" s="309"/>
      <c r="J23892" s="309"/>
    </row>
    <row r="23893">
      <c r="B23893" s="309"/>
      <c r="C23893" s="309"/>
      <c r="I23893" s="309"/>
      <c r="J23893" s="309"/>
    </row>
    <row r="23894">
      <c r="B23894" s="309"/>
      <c r="C23894" s="309"/>
      <c r="I23894" s="309"/>
      <c r="J23894" s="309"/>
    </row>
    <row r="23895">
      <c r="B23895" s="309"/>
      <c r="C23895" s="309"/>
      <c r="I23895" s="309"/>
      <c r="J23895" s="309"/>
    </row>
    <row r="23896">
      <c r="B23896" s="309"/>
      <c r="C23896" s="309"/>
      <c r="I23896" s="309"/>
      <c r="J23896" s="309"/>
    </row>
    <row r="23897">
      <c r="B23897" s="309"/>
      <c r="C23897" s="309"/>
      <c r="I23897" s="309"/>
      <c r="J23897" s="309"/>
    </row>
    <row r="23898">
      <c r="B23898" s="309"/>
      <c r="C23898" s="309"/>
      <c r="I23898" s="309"/>
      <c r="J23898" s="309"/>
    </row>
    <row r="23899">
      <c r="B23899" s="309"/>
      <c r="C23899" s="309"/>
      <c r="I23899" s="309"/>
      <c r="J23899" s="309"/>
    </row>
    <row r="23900">
      <c r="B23900" s="309"/>
      <c r="C23900" s="309"/>
      <c r="I23900" s="309"/>
      <c r="J23900" s="309"/>
    </row>
    <row r="23901">
      <c r="B23901" s="309"/>
      <c r="C23901" s="309"/>
      <c r="I23901" s="309"/>
      <c r="J23901" s="309"/>
    </row>
    <row r="23902">
      <c r="B23902" s="309"/>
      <c r="C23902" s="309"/>
      <c r="I23902" s="309"/>
      <c r="J23902" s="309"/>
    </row>
    <row r="23903">
      <c r="B23903" s="309"/>
      <c r="C23903" s="309"/>
      <c r="I23903" s="309"/>
      <c r="J23903" s="309"/>
    </row>
    <row r="23904">
      <c r="B23904" s="309"/>
      <c r="C23904" s="309"/>
      <c r="I23904" s="309"/>
      <c r="J23904" s="309"/>
    </row>
    <row r="23905">
      <c r="B23905" s="309"/>
      <c r="C23905" s="309"/>
      <c r="I23905" s="309"/>
      <c r="J23905" s="309"/>
    </row>
    <row r="23906">
      <c r="B23906" s="309"/>
      <c r="C23906" s="309"/>
      <c r="I23906" s="309"/>
      <c r="J23906" s="309"/>
    </row>
    <row r="23907">
      <c r="B23907" s="309"/>
      <c r="C23907" s="309"/>
      <c r="I23907" s="309"/>
      <c r="J23907" s="309"/>
    </row>
    <row r="23908">
      <c r="B23908" s="309"/>
      <c r="C23908" s="309"/>
      <c r="I23908" s="309"/>
      <c r="J23908" s="309"/>
    </row>
    <row r="23909">
      <c r="B23909" s="309"/>
      <c r="C23909" s="309"/>
      <c r="I23909" s="309"/>
      <c r="J23909" s="309"/>
    </row>
    <row r="23910">
      <c r="B23910" s="309"/>
      <c r="C23910" s="309"/>
      <c r="I23910" s="309"/>
      <c r="J23910" s="309"/>
    </row>
    <row r="23911">
      <c r="B23911" s="309"/>
      <c r="C23911" s="309"/>
      <c r="I23911" s="309"/>
      <c r="J23911" s="309"/>
    </row>
    <row r="23912">
      <c r="B23912" s="309"/>
      <c r="C23912" s="309"/>
      <c r="I23912" s="309"/>
      <c r="J23912" s="309"/>
    </row>
    <row r="23913">
      <c r="B23913" s="309"/>
      <c r="C23913" s="309"/>
      <c r="I23913" s="309"/>
      <c r="J23913" s="309"/>
    </row>
    <row r="23914">
      <c r="B23914" s="309"/>
      <c r="C23914" s="309"/>
      <c r="I23914" s="309"/>
      <c r="J23914" s="309"/>
    </row>
    <row r="23915">
      <c r="B23915" s="309"/>
      <c r="C23915" s="309"/>
      <c r="I23915" s="309"/>
      <c r="J23915" s="309"/>
    </row>
    <row r="23916">
      <c r="B23916" s="309"/>
      <c r="C23916" s="309"/>
      <c r="I23916" s="309"/>
      <c r="J23916" s="309"/>
    </row>
    <row r="23917">
      <c r="B23917" s="309"/>
      <c r="C23917" s="309"/>
      <c r="I23917" s="309"/>
      <c r="J23917" s="309"/>
    </row>
    <row r="23918">
      <c r="B23918" s="309"/>
      <c r="C23918" s="309"/>
      <c r="I23918" s="309"/>
      <c r="J23918" s="309"/>
    </row>
    <row r="23919">
      <c r="B23919" s="309"/>
      <c r="C23919" s="309"/>
      <c r="I23919" s="309"/>
      <c r="J23919" s="309"/>
    </row>
    <row r="23920">
      <c r="B23920" s="309"/>
      <c r="C23920" s="309"/>
      <c r="I23920" s="309"/>
      <c r="J23920" s="309"/>
    </row>
    <row r="23921">
      <c r="B23921" s="309"/>
      <c r="C23921" s="309"/>
      <c r="I23921" s="309"/>
      <c r="J23921" s="309"/>
    </row>
    <row r="23922">
      <c r="B23922" s="309"/>
      <c r="C23922" s="309"/>
      <c r="I23922" s="309"/>
      <c r="J23922" s="309"/>
    </row>
    <row r="23923">
      <c r="B23923" s="309"/>
      <c r="C23923" s="309"/>
      <c r="I23923" s="309"/>
      <c r="J23923" s="309"/>
    </row>
    <row r="23924">
      <c r="B23924" s="309"/>
      <c r="C23924" s="309"/>
      <c r="I23924" s="309"/>
      <c r="J23924" s="309"/>
    </row>
    <row r="23925">
      <c r="B23925" s="309"/>
      <c r="C23925" s="309"/>
      <c r="I23925" s="309"/>
      <c r="J23925" s="309"/>
    </row>
    <row r="23926">
      <c r="B23926" s="309"/>
      <c r="C23926" s="309"/>
      <c r="I23926" s="309"/>
      <c r="J23926" s="309"/>
    </row>
    <row r="23927">
      <c r="B23927" s="309"/>
      <c r="C23927" s="309"/>
      <c r="I23927" s="309"/>
      <c r="J23927" s="309"/>
    </row>
    <row r="23928">
      <c r="B23928" s="309"/>
      <c r="C23928" s="309"/>
      <c r="I23928" s="309"/>
      <c r="J23928" s="309"/>
    </row>
    <row r="23929">
      <c r="B23929" s="309"/>
      <c r="C23929" s="309"/>
      <c r="I23929" s="309"/>
      <c r="J23929" s="309"/>
    </row>
    <row r="23930">
      <c r="B23930" s="309"/>
      <c r="C23930" s="309"/>
      <c r="I23930" s="309"/>
      <c r="J23930" s="309"/>
    </row>
    <row r="23931">
      <c r="B23931" s="309"/>
      <c r="C23931" s="309"/>
      <c r="I23931" s="309"/>
      <c r="J23931" s="309"/>
    </row>
    <row r="23932">
      <c r="B23932" s="309"/>
      <c r="C23932" s="309"/>
      <c r="I23932" s="309"/>
      <c r="J23932" s="309"/>
    </row>
    <row r="23933">
      <c r="B23933" s="309"/>
      <c r="C23933" s="309"/>
      <c r="I23933" s="309"/>
      <c r="J23933" s="309"/>
    </row>
    <row r="23934">
      <c r="B23934" s="309"/>
      <c r="C23934" s="309"/>
      <c r="I23934" s="309"/>
      <c r="J23934" s="309"/>
    </row>
    <row r="23935">
      <c r="B23935" s="309"/>
      <c r="C23935" s="309"/>
      <c r="I23935" s="309"/>
      <c r="J23935" s="309"/>
    </row>
    <row r="23936">
      <c r="B23936" s="309"/>
      <c r="C23936" s="309"/>
      <c r="I23936" s="309"/>
      <c r="J23936" s="309"/>
    </row>
    <row r="23937">
      <c r="B23937" s="309"/>
      <c r="C23937" s="309"/>
      <c r="I23937" s="309"/>
      <c r="J23937" s="309"/>
    </row>
    <row r="23938">
      <c r="B23938" s="309"/>
      <c r="C23938" s="309"/>
      <c r="I23938" s="309"/>
      <c r="J23938" s="309"/>
    </row>
    <row r="23939">
      <c r="B23939" s="309"/>
      <c r="C23939" s="309"/>
      <c r="I23939" s="309"/>
      <c r="J23939" s="309"/>
    </row>
    <row r="23940">
      <c r="B23940" s="309"/>
      <c r="C23940" s="309"/>
      <c r="I23940" s="309"/>
      <c r="J23940" s="309"/>
    </row>
    <row r="23941">
      <c r="B23941" s="309"/>
      <c r="C23941" s="309"/>
      <c r="I23941" s="309"/>
      <c r="J23941" s="309"/>
    </row>
    <row r="23942">
      <c r="B23942" s="309"/>
      <c r="C23942" s="309"/>
      <c r="I23942" s="309"/>
      <c r="J23942" s="309"/>
    </row>
    <row r="23943">
      <c r="B23943" s="309"/>
      <c r="C23943" s="309"/>
      <c r="I23943" s="309"/>
      <c r="J23943" s="309"/>
    </row>
    <row r="23944">
      <c r="B23944" s="309"/>
      <c r="C23944" s="309"/>
      <c r="I23944" s="309"/>
      <c r="J23944" s="309"/>
    </row>
    <row r="23945">
      <c r="B23945" s="309"/>
      <c r="C23945" s="309"/>
      <c r="I23945" s="309"/>
      <c r="J23945" s="309"/>
    </row>
    <row r="23946">
      <c r="B23946" s="309"/>
      <c r="C23946" s="309"/>
      <c r="I23946" s="309"/>
      <c r="J23946" s="309"/>
    </row>
    <row r="23947">
      <c r="B23947" s="309"/>
      <c r="C23947" s="309"/>
      <c r="I23947" s="309"/>
      <c r="J23947" s="309"/>
    </row>
    <row r="23948">
      <c r="B23948" s="309"/>
      <c r="C23948" s="309"/>
      <c r="I23948" s="309"/>
      <c r="J23948" s="309"/>
    </row>
    <row r="23949">
      <c r="B23949" s="309"/>
      <c r="C23949" s="309"/>
      <c r="I23949" s="309"/>
      <c r="J23949" s="309"/>
    </row>
    <row r="23950">
      <c r="B23950" s="309"/>
      <c r="C23950" s="309"/>
      <c r="I23950" s="309"/>
      <c r="J23950" s="309"/>
    </row>
    <row r="23951">
      <c r="B23951" s="309"/>
      <c r="C23951" s="309"/>
      <c r="I23951" s="309"/>
      <c r="J23951" s="309"/>
    </row>
    <row r="23952">
      <c r="B23952" s="309"/>
      <c r="C23952" s="309"/>
      <c r="I23952" s="309"/>
      <c r="J23952" s="309"/>
    </row>
    <row r="23953">
      <c r="B23953" s="309"/>
      <c r="C23953" s="309"/>
      <c r="I23953" s="309"/>
      <c r="J23953" s="309"/>
    </row>
    <row r="23954">
      <c r="B23954" s="309"/>
      <c r="C23954" s="309"/>
      <c r="I23954" s="309"/>
      <c r="J23954" s="309"/>
    </row>
    <row r="23955">
      <c r="B23955" s="309"/>
      <c r="C23955" s="309"/>
      <c r="I23955" s="309"/>
      <c r="J23955" s="309"/>
    </row>
    <row r="23956">
      <c r="B23956" s="309"/>
      <c r="C23956" s="309"/>
      <c r="I23956" s="309"/>
      <c r="J23956" s="309"/>
    </row>
    <row r="23957">
      <c r="B23957" s="309"/>
      <c r="C23957" s="309"/>
      <c r="I23957" s="309"/>
      <c r="J23957" s="309"/>
    </row>
    <row r="23958">
      <c r="B23958" s="309"/>
      <c r="C23958" s="309"/>
      <c r="I23958" s="309"/>
      <c r="J23958" s="309"/>
    </row>
    <row r="23959">
      <c r="B23959" s="309"/>
      <c r="C23959" s="309"/>
      <c r="I23959" s="309"/>
      <c r="J23959" s="309"/>
    </row>
    <row r="23960">
      <c r="B23960" s="309"/>
      <c r="C23960" s="309"/>
      <c r="I23960" s="309"/>
      <c r="J23960" s="309"/>
    </row>
    <row r="23961">
      <c r="B23961" s="309"/>
      <c r="C23961" s="309"/>
      <c r="I23961" s="309"/>
      <c r="J23961" s="309"/>
    </row>
    <row r="23962">
      <c r="B23962" s="309"/>
      <c r="C23962" s="309"/>
      <c r="I23962" s="309"/>
      <c r="J23962" s="309"/>
    </row>
    <row r="23963">
      <c r="B23963" s="309"/>
      <c r="C23963" s="309"/>
      <c r="I23963" s="309"/>
      <c r="J23963" s="309"/>
    </row>
    <row r="23964">
      <c r="B23964" s="309"/>
      <c r="C23964" s="309"/>
      <c r="I23964" s="309"/>
      <c r="J23964" s="309"/>
    </row>
    <row r="23965">
      <c r="B23965" s="309"/>
      <c r="C23965" s="309"/>
      <c r="I23965" s="309"/>
      <c r="J23965" s="309"/>
    </row>
    <row r="23966">
      <c r="B23966" s="309"/>
      <c r="C23966" s="309"/>
      <c r="I23966" s="309"/>
      <c r="J23966" s="309"/>
    </row>
    <row r="23967">
      <c r="B23967" s="309"/>
      <c r="C23967" s="309"/>
      <c r="I23967" s="309"/>
      <c r="J23967" s="309"/>
    </row>
    <row r="23968">
      <c r="B23968" s="309"/>
      <c r="C23968" s="309"/>
      <c r="I23968" s="309"/>
      <c r="J23968" s="309"/>
    </row>
    <row r="23969">
      <c r="B23969" s="309"/>
      <c r="C23969" s="309"/>
      <c r="I23969" s="309"/>
      <c r="J23969" s="309"/>
    </row>
    <row r="23970">
      <c r="B23970" s="309"/>
      <c r="C23970" s="309"/>
      <c r="I23970" s="309"/>
      <c r="J23970" s="309"/>
    </row>
    <row r="23971">
      <c r="B23971" s="309"/>
      <c r="C23971" s="309"/>
      <c r="I23971" s="309"/>
      <c r="J23971" s="309"/>
    </row>
    <row r="23972">
      <c r="B23972" s="309"/>
      <c r="C23972" s="309"/>
      <c r="I23972" s="309"/>
      <c r="J23972" s="309"/>
    </row>
    <row r="23973">
      <c r="B23973" s="309"/>
      <c r="C23973" s="309"/>
      <c r="I23973" s="309"/>
      <c r="J23973" s="309"/>
    </row>
    <row r="23974">
      <c r="B23974" s="309"/>
      <c r="C23974" s="309"/>
      <c r="I23974" s="309"/>
      <c r="J23974" s="309"/>
    </row>
    <row r="23975">
      <c r="B23975" s="309"/>
      <c r="C23975" s="309"/>
      <c r="I23975" s="309"/>
      <c r="J23975" s="309"/>
    </row>
    <row r="23976">
      <c r="B23976" s="309"/>
      <c r="C23976" s="309"/>
      <c r="I23976" s="309"/>
      <c r="J23976" s="309"/>
    </row>
    <row r="23977">
      <c r="B23977" s="309"/>
      <c r="C23977" s="309"/>
      <c r="I23977" s="309"/>
      <c r="J23977" s="309"/>
    </row>
    <row r="23978">
      <c r="B23978" s="309"/>
      <c r="C23978" s="309"/>
      <c r="I23978" s="309"/>
      <c r="J23978" s="309"/>
    </row>
    <row r="23979">
      <c r="B23979" s="309"/>
      <c r="C23979" s="309"/>
      <c r="I23979" s="309"/>
      <c r="J23979" s="309"/>
    </row>
    <row r="23980">
      <c r="B23980" s="309"/>
      <c r="C23980" s="309"/>
      <c r="I23980" s="309"/>
      <c r="J23980" s="309"/>
    </row>
    <row r="23981">
      <c r="B23981" s="309"/>
      <c r="C23981" s="309"/>
      <c r="I23981" s="309"/>
      <c r="J23981" s="309"/>
    </row>
    <row r="23982">
      <c r="B23982" s="309"/>
      <c r="C23982" s="309"/>
      <c r="I23982" s="309"/>
      <c r="J23982" s="309"/>
    </row>
    <row r="23983">
      <c r="B23983" s="309"/>
      <c r="C23983" s="309"/>
      <c r="I23983" s="309"/>
      <c r="J23983" s="309"/>
    </row>
    <row r="23984">
      <c r="B23984" s="309"/>
      <c r="C23984" s="309"/>
      <c r="I23984" s="309"/>
      <c r="J23984" s="309"/>
    </row>
    <row r="23985">
      <c r="B23985" s="309"/>
      <c r="C23985" s="309"/>
      <c r="I23985" s="309"/>
      <c r="J23985" s="309"/>
    </row>
    <row r="23986">
      <c r="B23986" s="309"/>
      <c r="C23986" s="309"/>
      <c r="I23986" s="309"/>
      <c r="J23986" s="309"/>
    </row>
    <row r="23987">
      <c r="B23987" s="309"/>
      <c r="C23987" s="309"/>
      <c r="I23987" s="309"/>
      <c r="J23987" s="309"/>
    </row>
    <row r="23988">
      <c r="B23988" s="309"/>
      <c r="C23988" s="309"/>
      <c r="I23988" s="309"/>
      <c r="J23988" s="309"/>
    </row>
    <row r="23989">
      <c r="B23989" s="309"/>
      <c r="C23989" s="309"/>
      <c r="I23989" s="309"/>
      <c r="J23989" s="309"/>
    </row>
    <row r="23990">
      <c r="B23990" s="309"/>
      <c r="C23990" s="309"/>
      <c r="I23990" s="309"/>
      <c r="J23990" s="309"/>
    </row>
    <row r="23991">
      <c r="B23991" s="309"/>
      <c r="C23991" s="309"/>
      <c r="I23991" s="309"/>
      <c r="J23991" s="309"/>
    </row>
    <row r="23992">
      <c r="B23992" s="309"/>
      <c r="C23992" s="309"/>
      <c r="I23992" s="309"/>
      <c r="J23992" s="309"/>
    </row>
    <row r="23993">
      <c r="B23993" s="309"/>
      <c r="C23993" s="309"/>
      <c r="I23993" s="309"/>
      <c r="J23993" s="309"/>
    </row>
    <row r="23994">
      <c r="B23994" s="309"/>
      <c r="C23994" s="309"/>
      <c r="I23994" s="309"/>
      <c r="J23994" s="309"/>
    </row>
    <row r="23995">
      <c r="B23995" s="309"/>
      <c r="C23995" s="309"/>
      <c r="I23995" s="309"/>
      <c r="J23995" s="309"/>
    </row>
    <row r="23996">
      <c r="B23996" s="309"/>
      <c r="C23996" s="309"/>
      <c r="I23996" s="309"/>
      <c r="J23996" s="309"/>
    </row>
    <row r="23997">
      <c r="B23997" s="309"/>
      <c r="C23997" s="309"/>
      <c r="I23997" s="309"/>
      <c r="J23997" s="309"/>
    </row>
    <row r="23998">
      <c r="B23998" s="309"/>
      <c r="C23998" s="309"/>
      <c r="I23998" s="309"/>
      <c r="J23998" s="309"/>
    </row>
    <row r="23999">
      <c r="B23999" s="309"/>
      <c r="C23999" s="309"/>
      <c r="I23999" s="309"/>
      <c r="J23999" s="309"/>
    </row>
    <row r="24000">
      <c r="B24000" s="309"/>
      <c r="C24000" s="309"/>
      <c r="I24000" s="309"/>
      <c r="J24000" s="309"/>
    </row>
    <row r="24001">
      <c r="B24001" s="309"/>
      <c r="C24001" s="309"/>
      <c r="I24001" s="309"/>
      <c r="J24001" s="309"/>
    </row>
    <row r="24002">
      <c r="B24002" s="309"/>
      <c r="C24002" s="309"/>
      <c r="I24002" s="309"/>
      <c r="J24002" s="309"/>
    </row>
    <row r="24003">
      <c r="B24003" s="309"/>
      <c r="C24003" s="309"/>
      <c r="I24003" s="309"/>
      <c r="J24003" s="309"/>
    </row>
    <row r="24004">
      <c r="B24004" s="309"/>
      <c r="C24004" s="309"/>
      <c r="I24004" s="309"/>
      <c r="J24004" s="309"/>
    </row>
    <row r="24005">
      <c r="B24005" s="309"/>
      <c r="C24005" s="309"/>
      <c r="I24005" s="309"/>
      <c r="J24005" s="309"/>
    </row>
    <row r="24006">
      <c r="B24006" s="309"/>
      <c r="C24006" s="309"/>
      <c r="I24006" s="309"/>
      <c r="J24006" s="309"/>
    </row>
    <row r="24007">
      <c r="B24007" s="309"/>
      <c r="C24007" s="309"/>
      <c r="I24007" s="309"/>
      <c r="J24007" s="309"/>
    </row>
    <row r="24008">
      <c r="B24008" s="309"/>
      <c r="C24008" s="309"/>
      <c r="I24008" s="309"/>
      <c r="J24008" s="309"/>
    </row>
    <row r="24009">
      <c r="B24009" s="309"/>
      <c r="C24009" s="309"/>
      <c r="I24009" s="309"/>
      <c r="J24009" s="309"/>
    </row>
    <row r="24010">
      <c r="B24010" s="309"/>
      <c r="C24010" s="309"/>
      <c r="I24010" s="309"/>
      <c r="J24010" s="309"/>
    </row>
    <row r="24011">
      <c r="B24011" s="309"/>
      <c r="C24011" s="309"/>
      <c r="I24011" s="309"/>
      <c r="J24011" s="309"/>
    </row>
    <row r="24012">
      <c r="B24012" s="309"/>
      <c r="C24012" s="309"/>
      <c r="I24012" s="309"/>
      <c r="J24012" s="309"/>
    </row>
    <row r="24013">
      <c r="B24013" s="309"/>
      <c r="C24013" s="309"/>
      <c r="I24013" s="309"/>
      <c r="J24013" s="309"/>
    </row>
    <row r="24014">
      <c r="B24014" s="309"/>
      <c r="C24014" s="309"/>
      <c r="I24014" s="309"/>
      <c r="J24014" s="309"/>
    </row>
    <row r="24015">
      <c r="B24015" s="309"/>
      <c r="C24015" s="309"/>
      <c r="I24015" s="309"/>
      <c r="J24015" s="309"/>
    </row>
    <row r="24016">
      <c r="B24016" s="309"/>
      <c r="C24016" s="309"/>
      <c r="I24016" s="309"/>
      <c r="J24016" s="309"/>
    </row>
    <row r="24017">
      <c r="B24017" s="309"/>
      <c r="C24017" s="309"/>
      <c r="I24017" s="309"/>
      <c r="J24017" s="309"/>
    </row>
    <row r="24018">
      <c r="B24018" s="309"/>
      <c r="C24018" s="309"/>
      <c r="I24018" s="309"/>
      <c r="J24018" s="309"/>
    </row>
    <row r="24019">
      <c r="B24019" s="309"/>
      <c r="C24019" s="309"/>
      <c r="I24019" s="309"/>
      <c r="J24019" s="309"/>
    </row>
    <row r="24020">
      <c r="B24020" s="309"/>
      <c r="C24020" s="309"/>
      <c r="I24020" s="309"/>
      <c r="J24020" s="309"/>
    </row>
    <row r="24021">
      <c r="B24021" s="309"/>
      <c r="C24021" s="309"/>
      <c r="I24021" s="309"/>
      <c r="J24021" s="309"/>
    </row>
    <row r="24022">
      <c r="B24022" s="309"/>
      <c r="C24022" s="309"/>
      <c r="I24022" s="309"/>
      <c r="J24022" s="309"/>
    </row>
    <row r="24023">
      <c r="B24023" s="309"/>
      <c r="C24023" s="309"/>
      <c r="I24023" s="309"/>
      <c r="J24023" s="309"/>
    </row>
    <row r="24024">
      <c r="B24024" s="309"/>
      <c r="C24024" s="309"/>
      <c r="I24024" s="309"/>
      <c r="J24024" s="309"/>
    </row>
    <row r="24025">
      <c r="B24025" s="309"/>
      <c r="C24025" s="309"/>
      <c r="I24025" s="309"/>
      <c r="J24025" s="309"/>
    </row>
    <row r="24026">
      <c r="B24026" s="309"/>
      <c r="C24026" s="309"/>
      <c r="I24026" s="309"/>
      <c r="J24026" s="309"/>
    </row>
    <row r="24027">
      <c r="B24027" s="309"/>
      <c r="C24027" s="309"/>
      <c r="I24027" s="309"/>
      <c r="J24027" s="309"/>
    </row>
    <row r="24028">
      <c r="B24028" s="309"/>
      <c r="C24028" s="309"/>
      <c r="I24028" s="309"/>
      <c r="J24028" s="309"/>
    </row>
    <row r="24029">
      <c r="B24029" s="309"/>
      <c r="C24029" s="309"/>
      <c r="I24029" s="309"/>
      <c r="J24029" s="309"/>
    </row>
    <row r="24030">
      <c r="B24030" s="309"/>
      <c r="C24030" s="309"/>
      <c r="I24030" s="309"/>
      <c r="J24030" s="309"/>
    </row>
    <row r="24031">
      <c r="B24031" s="309"/>
      <c r="C24031" s="309"/>
      <c r="I24031" s="309"/>
      <c r="J24031" s="309"/>
    </row>
    <row r="24032">
      <c r="B24032" s="309"/>
      <c r="C24032" s="309"/>
      <c r="I24032" s="309"/>
      <c r="J24032" s="309"/>
    </row>
    <row r="24033">
      <c r="B24033" s="309"/>
      <c r="C24033" s="309"/>
      <c r="I24033" s="309"/>
      <c r="J24033" s="309"/>
    </row>
    <row r="24034">
      <c r="B24034" s="309"/>
      <c r="C24034" s="309"/>
      <c r="I24034" s="309"/>
      <c r="J24034" s="309"/>
    </row>
    <row r="24035">
      <c r="B24035" s="309"/>
      <c r="C24035" s="309"/>
      <c r="I24035" s="309"/>
      <c r="J24035" s="309"/>
    </row>
    <row r="24036">
      <c r="B24036" s="309"/>
      <c r="C24036" s="309"/>
      <c r="I24036" s="309"/>
      <c r="J24036" s="309"/>
    </row>
    <row r="24037">
      <c r="B24037" s="309"/>
      <c r="C24037" s="309"/>
      <c r="I24037" s="309"/>
      <c r="J24037" s="309"/>
    </row>
    <row r="24038">
      <c r="B24038" s="309"/>
      <c r="C24038" s="309"/>
      <c r="I24038" s="309"/>
      <c r="J24038" s="309"/>
    </row>
    <row r="24039">
      <c r="B24039" s="309"/>
      <c r="C24039" s="309"/>
      <c r="I24039" s="309"/>
      <c r="J24039" s="309"/>
    </row>
    <row r="24040">
      <c r="B24040" s="309"/>
      <c r="C24040" s="309"/>
      <c r="I24040" s="309"/>
      <c r="J24040" s="309"/>
    </row>
    <row r="24041">
      <c r="B24041" s="309"/>
      <c r="C24041" s="309"/>
      <c r="I24041" s="309"/>
      <c r="J24041" s="309"/>
    </row>
    <row r="24042">
      <c r="B24042" s="309"/>
      <c r="C24042" s="309"/>
      <c r="I24042" s="309"/>
      <c r="J24042" s="309"/>
    </row>
    <row r="24043">
      <c r="B24043" s="309"/>
      <c r="C24043" s="309"/>
      <c r="I24043" s="309"/>
      <c r="J24043" s="309"/>
    </row>
    <row r="24044">
      <c r="B24044" s="309"/>
      <c r="C24044" s="309"/>
      <c r="I24044" s="309"/>
      <c r="J24044" s="309"/>
    </row>
    <row r="24045">
      <c r="B24045" s="309"/>
      <c r="C24045" s="309"/>
      <c r="I24045" s="309"/>
      <c r="J24045" s="309"/>
    </row>
    <row r="24046">
      <c r="B24046" s="309"/>
      <c r="C24046" s="309"/>
      <c r="I24046" s="309"/>
      <c r="J24046" s="309"/>
    </row>
    <row r="24047">
      <c r="B24047" s="309"/>
      <c r="C24047" s="309"/>
      <c r="I24047" s="309"/>
      <c r="J24047" s="309"/>
    </row>
    <row r="24048">
      <c r="B24048" s="309"/>
      <c r="C24048" s="309"/>
      <c r="I24048" s="309"/>
      <c r="J24048" s="309"/>
    </row>
    <row r="24049">
      <c r="B24049" s="309"/>
      <c r="C24049" s="309"/>
      <c r="I24049" s="309"/>
      <c r="J24049" s="309"/>
    </row>
    <row r="24050">
      <c r="B24050" s="309"/>
      <c r="C24050" s="309"/>
      <c r="I24050" s="309"/>
      <c r="J24050" s="309"/>
    </row>
    <row r="24051">
      <c r="B24051" s="309"/>
      <c r="C24051" s="309"/>
      <c r="I24051" s="309"/>
      <c r="J24051" s="309"/>
    </row>
    <row r="24052">
      <c r="B24052" s="309"/>
      <c r="C24052" s="309"/>
      <c r="I24052" s="309"/>
      <c r="J24052" s="309"/>
    </row>
    <row r="24053">
      <c r="B24053" s="309"/>
      <c r="C24053" s="309"/>
      <c r="I24053" s="309"/>
      <c r="J24053" s="309"/>
    </row>
    <row r="24054">
      <c r="B24054" s="309"/>
      <c r="C24054" s="309"/>
      <c r="I24054" s="309"/>
      <c r="J24054" s="309"/>
    </row>
    <row r="24055">
      <c r="B24055" s="309"/>
      <c r="C24055" s="309"/>
      <c r="I24055" s="309"/>
      <c r="J24055" s="309"/>
    </row>
    <row r="24056">
      <c r="B24056" s="309"/>
      <c r="C24056" s="309"/>
      <c r="I24056" s="309"/>
      <c r="J24056" s="309"/>
    </row>
    <row r="24057">
      <c r="B24057" s="309"/>
      <c r="C24057" s="309"/>
      <c r="I24057" s="309"/>
      <c r="J24057" s="309"/>
    </row>
    <row r="24058">
      <c r="B24058" s="309"/>
      <c r="C24058" s="309"/>
      <c r="I24058" s="309"/>
      <c r="J24058" s="309"/>
    </row>
    <row r="24059">
      <c r="B24059" s="309"/>
      <c r="C24059" s="309"/>
      <c r="I24059" s="309"/>
      <c r="J24059" s="309"/>
    </row>
    <row r="24060">
      <c r="B24060" s="309"/>
      <c r="C24060" s="309"/>
      <c r="I24060" s="309"/>
      <c r="J24060" s="309"/>
    </row>
    <row r="24061">
      <c r="B24061" s="309"/>
      <c r="C24061" s="309"/>
      <c r="I24061" s="309"/>
      <c r="J24061" s="309"/>
    </row>
    <row r="24062">
      <c r="B24062" s="309"/>
      <c r="C24062" s="309"/>
      <c r="I24062" s="309"/>
      <c r="J24062" s="309"/>
    </row>
    <row r="24063">
      <c r="B24063" s="309"/>
      <c r="C24063" s="309"/>
      <c r="I24063" s="309"/>
      <c r="J24063" s="309"/>
    </row>
    <row r="24064">
      <c r="B24064" s="309"/>
      <c r="C24064" s="309"/>
      <c r="I24064" s="309"/>
      <c r="J24064" s="309"/>
    </row>
    <row r="24065">
      <c r="B24065" s="309"/>
      <c r="C24065" s="309"/>
      <c r="I24065" s="309"/>
      <c r="J24065" s="309"/>
    </row>
    <row r="24066">
      <c r="B24066" s="309"/>
      <c r="C24066" s="309"/>
      <c r="I24066" s="309"/>
      <c r="J24066" s="309"/>
    </row>
    <row r="24067">
      <c r="B24067" s="309"/>
      <c r="C24067" s="309"/>
      <c r="I24067" s="309"/>
      <c r="J24067" s="309"/>
    </row>
    <row r="24068">
      <c r="B24068" s="309"/>
      <c r="C24068" s="309"/>
      <c r="I24068" s="309"/>
      <c r="J24068" s="309"/>
    </row>
    <row r="24069">
      <c r="B24069" s="309"/>
      <c r="C24069" s="309"/>
      <c r="I24069" s="309"/>
      <c r="J24069" s="309"/>
    </row>
    <row r="24070">
      <c r="B24070" s="309"/>
      <c r="C24070" s="309"/>
      <c r="I24070" s="309"/>
      <c r="J24070" s="309"/>
    </row>
    <row r="24071">
      <c r="B24071" s="309"/>
      <c r="C24071" s="309"/>
      <c r="I24071" s="309"/>
      <c r="J24071" s="309"/>
    </row>
    <row r="24072">
      <c r="B24072" s="309"/>
      <c r="C24072" s="309"/>
      <c r="I24072" s="309"/>
      <c r="J24072" s="309"/>
    </row>
    <row r="24073">
      <c r="B24073" s="309"/>
      <c r="C24073" s="309"/>
      <c r="I24073" s="309"/>
      <c r="J24073" s="309"/>
    </row>
    <row r="24074">
      <c r="B24074" s="309"/>
      <c r="C24074" s="309"/>
      <c r="I24074" s="309"/>
      <c r="J24074" s="309"/>
    </row>
    <row r="24075">
      <c r="B24075" s="309"/>
      <c r="C24075" s="309"/>
      <c r="I24075" s="309"/>
      <c r="J24075" s="309"/>
    </row>
    <row r="24076">
      <c r="B24076" s="309"/>
      <c r="C24076" s="309"/>
      <c r="I24076" s="309"/>
      <c r="J24076" s="309"/>
    </row>
    <row r="24077">
      <c r="B24077" s="309"/>
      <c r="C24077" s="309"/>
      <c r="I24077" s="309"/>
      <c r="J24077" s="309"/>
    </row>
    <row r="24078">
      <c r="B24078" s="309"/>
      <c r="C24078" s="309"/>
      <c r="I24078" s="309"/>
      <c r="J24078" s="309"/>
    </row>
    <row r="24079">
      <c r="B24079" s="309"/>
      <c r="C24079" s="309"/>
      <c r="I24079" s="309"/>
      <c r="J24079" s="309"/>
    </row>
    <row r="24080">
      <c r="B24080" s="309"/>
      <c r="C24080" s="309"/>
      <c r="I24080" s="309"/>
      <c r="J24080" s="309"/>
    </row>
    <row r="24081">
      <c r="B24081" s="309"/>
      <c r="C24081" s="309"/>
      <c r="I24081" s="309"/>
      <c r="J24081" s="309"/>
    </row>
    <row r="24082">
      <c r="B24082" s="309"/>
      <c r="C24082" s="309"/>
      <c r="I24082" s="309"/>
      <c r="J24082" s="309"/>
    </row>
    <row r="24083">
      <c r="B24083" s="309"/>
      <c r="C24083" s="309"/>
      <c r="I24083" s="309"/>
      <c r="J24083" s="309"/>
    </row>
    <row r="24084">
      <c r="B24084" s="309"/>
      <c r="C24084" s="309"/>
      <c r="I24084" s="309"/>
      <c r="J24084" s="309"/>
    </row>
    <row r="24085">
      <c r="B24085" s="309"/>
      <c r="C24085" s="309"/>
      <c r="I24085" s="309"/>
      <c r="J24085" s="309"/>
    </row>
    <row r="24086">
      <c r="B24086" s="309"/>
      <c r="C24086" s="309"/>
      <c r="I24086" s="309"/>
      <c r="J24086" s="309"/>
    </row>
    <row r="24087">
      <c r="B24087" s="309"/>
      <c r="C24087" s="309"/>
      <c r="I24087" s="309"/>
      <c r="J24087" s="309"/>
    </row>
    <row r="24088">
      <c r="B24088" s="309"/>
      <c r="C24088" s="309"/>
      <c r="I24088" s="309"/>
      <c r="J24088" s="309"/>
    </row>
    <row r="24089">
      <c r="B24089" s="309"/>
      <c r="C24089" s="309"/>
      <c r="I24089" s="309"/>
      <c r="J24089" s="309"/>
    </row>
    <row r="24090">
      <c r="B24090" s="309"/>
      <c r="C24090" s="309"/>
      <c r="I24090" s="309"/>
      <c r="J24090" s="309"/>
    </row>
    <row r="24091">
      <c r="B24091" s="309"/>
      <c r="C24091" s="309"/>
      <c r="I24091" s="309"/>
      <c r="J24091" s="309"/>
    </row>
    <row r="24092">
      <c r="B24092" s="309"/>
      <c r="C24092" s="309"/>
      <c r="I24092" s="309"/>
      <c r="J24092" s="309"/>
    </row>
    <row r="24093">
      <c r="B24093" s="309"/>
      <c r="C24093" s="309"/>
      <c r="I24093" s="309"/>
      <c r="J24093" s="309"/>
    </row>
    <row r="24094">
      <c r="B24094" s="309"/>
      <c r="C24094" s="309"/>
      <c r="I24094" s="309"/>
      <c r="J24094" s="309"/>
    </row>
    <row r="24095">
      <c r="B24095" s="309"/>
      <c r="C24095" s="309"/>
      <c r="I24095" s="309"/>
      <c r="J24095" s="309"/>
    </row>
    <row r="24096">
      <c r="B24096" s="309"/>
      <c r="C24096" s="309"/>
      <c r="I24096" s="309"/>
      <c r="J24096" s="309"/>
    </row>
    <row r="24097">
      <c r="B24097" s="309"/>
      <c r="C24097" s="309"/>
      <c r="I24097" s="309"/>
      <c r="J24097" s="309"/>
    </row>
    <row r="24098">
      <c r="B24098" s="309"/>
      <c r="C24098" s="309"/>
      <c r="I24098" s="309"/>
      <c r="J24098" s="309"/>
    </row>
    <row r="24099">
      <c r="B24099" s="309"/>
      <c r="C24099" s="309"/>
      <c r="I24099" s="309"/>
      <c r="J24099" s="309"/>
    </row>
    <row r="24100">
      <c r="B24100" s="309"/>
      <c r="C24100" s="309"/>
      <c r="I24100" s="309"/>
      <c r="J24100" s="309"/>
    </row>
    <row r="24101">
      <c r="B24101" s="309"/>
      <c r="C24101" s="309"/>
      <c r="I24101" s="309"/>
      <c r="J24101" s="309"/>
    </row>
    <row r="24102">
      <c r="B24102" s="309"/>
      <c r="C24102" s="309"/>
      <c r="I24102" s="309"/>
      <c r="J24102" s="309"/>
    </row>
    <row r="24103">
      <c r="B24103" s="309"/>
      <c r="C24103" s="309"/>
      <c r="I24103" s="309"/>
      <c r="J24103" s="309"/>
    </row>
    <row r="24104">
      <c r="B24104" s="309"/>
      <c r="C24104" s="309"/>
      <c r="I24104" s="309"/>
      <c r="J24104" s="309"/>
    </row>
    <row r="24105">
      <c r="B24105" s="309"/>
      <c r="C24105" s="309"/>
      <c r="I24105" s="309"/>
      <c r="J24105" s="309"/>
    </row>
    <row r="24106">
      <c r="B24106" s="309"/>
      <c r="C24106" s="309"/>
      <c r="I24106" s="309"/>
      <c r="J24106" s="309"/>
    </row>
    <row r="24107">
      <c r="B24107" s="309"/>
      <c r="C24107" s="309"/>
      <c r="I24107" s="309"/>
      <c r="J24107" s="309"/>
    </row>
    <row r="24108">
      <c r="B24108" s="309"/>
      <c r="C24108" s="309"/>
      <c r="I24108" s="309"/>
      <c r="J24108" s="309"/>
    </row>
    <row r="24109">
      <c r="B24109" s="309"/>
      <c r="C24109" s="309"/>
      <c r="I24109" s="309"/>
      <c r="J24109" s="309"/>
    </row>
    <row r="24110">
      <c r="B24110" s="309"/>
      <c r="C24110" s="309"/>
      <c r="I24110" s="309"/>
      <c r="J24110" s="309"/>
    </row>
    <row r="24111">
      <c r="B24111" s="309"/>
      <c r="C24111" s="309"/>
      <c r="I24111" s="309"/>
      <c r="J24111" s="309"/>
    </row>
    <row r="24112">
      <c r="B24112" s="309"/>
      <c r="C24112" s="309"/>
      <c r="I24112" s="309"/>
      <c r="J24112" s="309"/>
    </row>
    <row r="24113">
      <c r="B24113" s="309"/>
      <c r="C24113" s="309"/>
      <c r="I24113" s="309"/>
      <c r="J24113" s="309"/>
    </row>
    <row r="24114">
      <c r="B24114" s="309"/>
      <c r="C24114" s="309"/>
      <c r="I24114" s="309"/>
      <c r="J24114" s="309"/>
    </row>
    <row r="24115">
      <c r="B24115" s="309"/>
      <c r="C24115" s="309"/>
      <c r="I24115" s="309"/>
      <c r="J24115" s="309"/>
    </row>
    <row r="24116">
      <c r="B24116" s="309"/>
      <c r="C24116" s="309"/>
      <c r="I24116" s="309"/>
      <c r="J24116" s="309"/>
    </row>
    <row r="24117">
      <c r="B24117" s="309"/>
      <c r="C24117" s="309"/>
      <c r="I24117" s="309"/>
      <c r="J24117" s="309"/>
    </row>
    <row r="24118">
      <c r="B24118" s="309"/>
      <c r="C24118" s="309"/>
      <c r="I24118" s="309"/>
      <c r="J24118" s="309"/>
    </row>
    <row r="24119">
      <c r="B24119" s="309"/>
      <c r="C24119" s="309"/>
      <c r="I24119" s="309"/>
      <c r="J24119" s="309"/>
    </row>
    <row r="24120">
      <c r="B24120" s="309"/>
      <c r="C24120" s="309"/>
      <c r="I24120" s="309"/>
      <c r="J24120" s="309"/>
    </row>
    <row r="24121">
      <c r="B24121" s="309"/>
      <c r="C24121" s="309"/>
      <c r="I24121" s="309"/>
      <c r="J24121" s="309"/>
    </row>
    <row r="24122">
      <c r="B24122" s="309"/>
      <c r="C24122" s="309"/>
      <c r="I24122" s="309"/>
      <c r="J24122" s="309"/>
    </row>
    <row r="24123">
      <c r="B24123" s="309"/>
      <c r="C24123" s="309"/>
      <c r="I24123" s="309"/>
      <c r="J24123" s="309"/>
    </row>
    <row r="24124">
      <c r="B24124" s="309"/>
      <c r="C24124" s="309"/>
      <c r="I24124" s="309"/>
      <c r="J24124" s="309"/>
    </row>
    <row r="24125">
      <c r="B24125" s="309"/>
      <c r="C24125" s="309"/>
      <c r="I24125" s="309"/>
      <c r="J24125" s="309"/>
    </row>
    <row r="24126">
      <c r="B24126" s="309"/>
      <c r="C24126" s="309"/>
      <c r="I24126" s="309"/>
      <c r="J24126" s="309"/>
    </row>
    <row r="24127">
      <c r="B24127" s="309"/>
      <c r="C24127" s="309"/>
      <c r="I24127" s="309"/>
      <c r="J24127" s="309"/>
    </row>
    <row r="24128">
      <c r="B24128" s="309"/>
      <c r="C24128" s="309"/>
      <c r="I24128" s="309"/>
      <c r="J24128" s="309"/>
    </row>
    <row r="24129">
      <c r="B24129" s="309"/>
      <c r="C24129" s="309"/>
      <c r="I24129" s="309"/>
      <c r="J24129" s="309"/>
    </row>
    <row r="24130">
      <c r="B24130" s="309"/>
      <c r="C24130" s="309"/>
      <c r="I24130" s="309"/>
      <c r="J24130" s="309"/>
    </row>
    <row r="24131">
      <c r="B24131" s="309"/>
      <c r="C24131" s="309"/>
      <c r="I24131" s="309"/>
      <c r="J24131" s="309"/>
    </row>
    <row r="24132">
      <c r="B24132" s="309"/>
      <c r="C24132" s="309"/>
      <c r="I24132" s="309"/>
      <c r="J24132" s="309"/>
    </row>
    <row r="24133">
      <c r="B24133" s="309"/>
      <c r="C24133" s="309"/>
      <c r="I24133" s="309"/>
      <c r="J24133" s="309"/>
    </row>
    <row r="24134">
      <c r="B24134" s="309"/>
      <c r="C24134" s="309"/>
      <c r="I24134" s="309"/>
      <c r="J24134" s="309"/>
    </row>
    <row r="24135">
      <c r="B24135" s="309"/>
      <c r="C24135" s="309"/>
      <c r="I24135" s="309"/>
      <c r="J24135" s="309"/>
    </row>
    <row r="24136">
      <c r="B24136" s="309"/>
      <c r="C24136" s="309"/>
      <c r="I24136" s="309"/>
      <c r="J24136" s="309"/>
    </row>
    <row r="24137">
      <c r="B24137" s="309"/>
      <c r="C24137" s="309"/>
      <c r="I24137" s="309"/>
      <c r="J24137" s="309"/>
    </row>
    <row r="24138">
      <c r="B24138" s="309"/>
      <c r="C24138" s="309"/>
      <c r="I24138" s="309"/>
      <c r="J24138" s="309"/>
    </row>
    <row r="24139">
      <c r="B24139" s="309"/>
      <c r="C24139" s="309"/>
      <c r="I24139" s="309"/>
      <c r="J24139" s="309"/>
    </row>
    <row r="24140">
      <c r="B24140" s="309"/>
      <c r="C24140" s="309"/>
      <c r="I24140" s="309"/>
      <c r="J24140" s="309"/>
    </row>
    <row r="24141">
      <c r="B24141" s="309"/>
      <c r="C24141" s="309"/>
      <c r="I24141" s="309"/>
      <c r="J24141" s="309"/>
    </row>
    <row r="24142">
      <c r="B24142" s="309"/>
      <c r="C24142" s="309"/>
      <c r="I24142" s="309"/>
      <c r="J24142" s="309"/>
    </row>
    <row r="24143">
      <c r="B24143" s="309"/>
      <c r="C24143" s="309"/>
      <c r="I24143" s="309"/>
      <c r="J24143" s="309"/>
    </row>
    <row r="24144">
      <c r="B24144" s="309"/>
      <c r="C24144" s="309"/>
      <c r="I24144" s="309"/>
      <c r="J24144" s="309"/>
    </row>
    <row r="24145">
      <c r="B24145" s="309"/>
      <c r="C24145" s="309"/>
      <c r="I24145" s="309"/>
      <c r="J24145" s="309"/>
    </row>
    <row r="24146">
      <c r="B24146" s="309"/>
      <c r="C24146" s="309"/>
      <c r="I24146" s="309"/>
      <c r="J24146" s="309"/>
    </row>
    <row r="24147">
      <c r="B24147" s="309"/>
      <c r="C24147" s="309"/>
      <c r="I24147" s="309"/>
      <c r="J24147" s="309"/>
    </row>
    <row r="24148">
      <c r="B24148" s="309"/>
      <c r="C24148" s="309"/>
      <c r="I24148" s="309"/>
      <c r="J24148" s="309"/>
    </row>
    <row r="24149">
      <c r="B24149" s="309"/>
      <c r="C24149" s="309"/>
      <c r="I24149" s="309"/>
      <c r="J24149" s="309"/>
    </row>
    <row r="24150">
      <c r="B24150" s="309"/>
      <c r="C24150" s="309"/>
      <c r="I24150" s="309"/>
      <c r="J24150" s="309"/>
    </row>
    <row r="24151">
      <c r="B24151" s="309"/>
      <c r="C24151" s="309"/>
      <c r="I24151" s="309"/>
      <c r="J24151" s="309"/>
    </row>
    <row r="24152">
      <c r="B24152" s="309"/>
      <c r="C24152" s="309"/>
      <c r="I24152" s="309"/>
      <c r="J24152" s="309"/>
    </row>
    <row r="24153">
      <c r="B24153" s="309"/>
      <c r="C24153" s="309"/>
      <c r="I24153" s="309"/>
      <c r="J24153" s="309"/>
    </row>
    <row r="24154">
      <c r="B24154" s="309"/>
      <c r="C24154" s="309"/>
      <c r="I24154" s="309"/>
      <c r="J24154" s="309"/>
    </row>
    <row r="24155">
      <c r="B24155" s="309"/>
      <c r="C24155" s="309"/>
      <c r="I24155" s="309"/>
      <c r="J24155" s="309"/>
    </row>
    <row r="24156">
      <c r="B24156" s="309"/>
      <c r="C24156" s="309"/>
      <c r="I24156" s="309"/>
      <c r="J24156" s="309"/>
    </row>
    <row r="24157">
      <c r="B24157" s="309"/>
      <c r="C24157" s="309"/>
      <c r="I24157" s="309"/>
      <c r="J24157" s="309"/>
    </row>
    <row r="24158">
      <c r="B24158" s="309"/>
      <c r="C24158" s="309"/>
      <c r="I24158" s="309"/>
      <c r="J24158" s="309"/>
    </row>
    <row r="24159">
      <c r="B24159" s="309"/>
      <c r="C24159" s="309"/>
      <c r="I24159" s="309"/>
      <c r="J24159" s="309"/>
    </row>
    <row r="24160">
      <c r="B24160" s="309"/>
      <c r="C24160" s="309"/>
      <c r="I24160" s="309"/>
      <c r="J24160" s="309"/>
    </row>
    <row r="24161">
      <c r="B24161" s="309"/>
      <c r="C24161" s="309"/>
      <c r="I24161" s="309"/>
      <c r="J24161" s="309"/>
    </row>
    <row r="24162">
      <c r="B24162" s="309"/>
      <c r="C24162" s="309"/>
      <c r="I24162" s="309"/>
      <c r="J24162" s="309"/>
    </row>
    <row r="24163">
      <c r="B24163" s="309"/>
      <c r="C24163" s="309"/>
      <c r="I24163" s="309"/>
      <c r="J24163" s="309"/>
    </row>
    <row r="24164">
      <c r="B24164" s="309"/>
      <c r="C24164" s="309"/>
      <c r="I24164" s="309"/>
      <c r="J24164" s="309"/>
    </row>
    <row r="24165">
      <c r="B24165" s="309"/>
      <c r="C24165" s="309"/>
      <c r="I24165" s="309"/>
      <c r="J24165" s="309"/>
    </row>
    <row r="24166">
      <c r="B24166" s="309"/>
      <c r="C24166" s="309"/>
      <c r="I24166" s="309"/>
      <c r="J24166" s="309"/>
    </row>
    <row r="24167">
      <c r="B24167" s="309"/>
      <c r="C24167" s="309"/>
      <c r="I24167" s="309"/>
      <c r="J24167" s="309"/>
    </row>
    <row r="24168">
      <c r="B24168" s="309"/>
      <c r="C24168" s="309"/>
      <c r="I24168" s="309"/>
      <c r="J24168" s="309"/>
    </row>
    <row r="24169">
      <c r="B24169" s="309"/>
      <c r="C24169" s="309"/>
      <c r="I24169" s="309"/>
      <c r="J24169" s="309"/>
    </row>
    <row r="24170">
      <c r="B24170" s="309"/>
      <c r="C24170" s="309"/>
      <c r="I24170" s="309"/>
      <c r="J24170" s="309"/>
    </row>
    <row r="24171">
      <c r="B24171" s="309"/>
      <c r="C24171" s="309"/>
      <c r="I24171" s="309"/>
      <c r="J24171" s="309"/>
    </row>
    <row r="24172">
      <c r="B24172" s="309"/>
      <c r="C24172" s="309"/>
      <c r="I24172" s="309"/>
      <c r="J24172" s="309"/>
    </row>
    <row r="24173">
      <c r="B24173" s="309"/>
      <c r="C24173" s="309"/>
      <c r="I24173" s="309"/>
      <c r="J24173" s="309"/>
    </row>
    <row r="24174">
      <c r="B24174" s="309"/>
      <c r="C24174" s="309"/>
      <c r="I24174" s="309"/>
      <c r="J24174" s="309"/>
    </row>
    <row r="24175">
      <c r="B24175" s="309"/>
      <c r="C24175" s="309"/>
      <c r="I24175" s="309"/>
      <c r="J24175" s="309"/>
    </row>
    <row r="24176">
      <c r="B24176" s="309"/>
      <c r="C24176" s="309"/>
      <c r="I24176" s="309"/>
      <c r="J24176" s="309"/>
    </row>
    <row r="24177">
      <c r="B24177" s="309"/>
      <c r="C24177" s="309"/>
      <c r="I24177" s="309"/>
      <c r="J24177" s="309"/>
    </row>
    <row r="24178">
      <c r="B24178" s="309"/>
      <c r="C24178" s="309"/>
      <c r="I24178" s="309"/>
      <c r="J24178" s="309"/>
    </row>
    <row r="24179">
      <c r="B24179" s="309"/>
      <c r="C24179" s="309"/>
      <c r="I24179" s="309"/>
      <c r="J24179" s="309"/>
    </row>
    <row r="24180">
      <c r="B24180" s="309"/>
      <c r="C24180" s="309"/>
      <c r="I24180" s="309"/>
      <c r="J24180" s="309"/>
    </row>
    <row r="24181">
      <c r="B24181" s="309"/>
      <c r="C24181" s="309"/>
      <c r="I24181" s="309"/>
      <c r="J24181" s="309"/>
    </row>
    <row r="24182">
      <c r="B24182" s="309"/>
      <c r="C24182" s="309"/>
      <c r="I24182" s="309"/>
      <c r="J24182" s="309"/>
    </row>
    <row r="24183">
      <c r="B24183" s="309"/>
      <c r="C24183" s="309"/>
      <c r="I24183" s="309"/>
      <c r="J24183" s="309"/>
    </row>
    <row r="24184">
      <c r="B24184" s="309"/>
      <c r="C24184" s="309"/>
      <c r="I24184" s="309"/>
      <c r="J24184" s="309"/>
    </row>
    <row r="24185">
      <c r="B24185" s="309"/>
      <c r="C24185" s="309"/>
      <c r="I24185" s="309"/>
      <c r="J24185" s="309"/>
    </row>
    <row r="24186">
      <c r="B24186" s="309"/>
      <c r="C24186" s="309"/>
      <c r="I24186" s="309"/>
      <c r="J24186" s="309"/>
    </row>
    <row r="24187">
      <c r="B24187" s="309"/>
      <c r="C24187" s="309"/>
      <c r="I24187" s="309"/>
      <c r="J24187" s="309"/>
    </row>
    <row r="24188">
      <c r="B24188" s="309"/>
      <c r="C24188" s="309"/>
      <c r="I24188" s="309"/>
      <c r="J24188" s="309"/>
    </row>
    <row r="24189">
      <c r="B24189" s="309"/>
      <c r="C24189" s="309"/>
      <c r="I24189" s="309"/>
      <c r="J24189" s="309"/>
    </row>
    <row r="24190">
      <c r="B24190" s="309"/>
      <c r="C24190" s="309"/>
      <c r="I24190" s="309"/>
      <c r="J24190" s="309"/>
    </row>
    <row r="24191">
      <c r="B24191" s="309"/>
      <c r="C24191" s="309"/>
      <c r="I24191" s="309"/>
      <c r="J24191" s="309"/>
    </row>
    <row r="24192">
      <c r="B24192" s="309"/>
      <c r="C24192" s="309"/>
      <c r="I24192" s="309"/>
      <c r="J24192" s="309"/>
    </row>
    <row r="24193">
      <c r="B24193" s="309"/>
      <c r="C24193" s="309"/>
      <c r="I24193" s="309"/>
      <c r="J24193" s="309"/>
    </row>
    <row r="24194">
      <c r="B24194" s="309"/>
      <c r="C24194" s="309"/>
      <c r="I24194" s="309"/>
      <c r="J24194" s="309"/>
    </row>
    <row r="24195">
      <c r="B24195" s="309"/>
      <c r="C24195" s="309"/>
      <c r="I24195" s="309"/>
      <c r="J24195" s="309"/>
    </row>
    <row r="24196">
      <c r="B24196" s="309"/>
      <c r="C24196" s="309"/>
      <c r="I24196" s="309"/>
      <c r="J24196" s="309"/>
    </row>
    <row r="24197">
      <c r="B24197" s="309"/>
      <c r="C24197" s="309"/>
      <c r="I24197" s="309"/>
      <c r="J24197" s="309"/>
    </row>
    <row r="24198">
      <c r="B24198" s="309"/>
      <c r="C24198" s="309"/>
      <c r="I24198" s="309"/>
      <c r="J24198" s="309"/>
    </row>
    <row r="24199">
      <c r="B24199" s="309"/>
      <c r="C24199" s="309"/>
      <c r="I24199" s="309"/>
      <c r="J24199" s="309"/>
    </row>
    <row r="24200">
      <c r="B24200" s="309"/>
      <c r="C24200" s="309"/>
      <c r="I24200" s="309"/>
      <c r="J24200" s="309"/>
    </row>
    <row r="24201">
      <c r="B24201" s="309"/>
      <c r="C24201" s="309"/>
      <c r="I24201" s="309"/>
      <c r="J24201" s="309"/>
    </row>
    <row r="24202">
      <c r="B24202" s="309"/>
      <c r="C24202" s="309"/>
      <c r="I24202" s="309"/>
      <c r="J24202" s="309"/>
    </row>
    <row r="24203">
      <c r="B24203" s="309"/>
      <c r="C24203" s="309"/>
      <c r="I24203" s="309"/>
      <c r="J24203" s="309"/>
    </row>
    <row r="24204">
      <c r="B24204" s="309"/>
      <c r="C24204" s="309"/>
      <c r="I24204" s="309"/>
      <c r="J24204" s="309"/>
    </row>
    <row r="24205">
      <c r="B24205" s="309"/>
      <c r="C24205" s="309"/>
      <c r="I24205" s="309"/>
      <c r="J24205" s="309"/>
    </row>
    <row r="24206">
      <c r="B24206" s="309"/>
      <c r="C24206" s="309"/>
      <c r="I24206" s="309"/>
      <c r="J24206" s="309"/>
    </row>
    <row r="24207">
      <c r="B24207" s="309"/>
      <c r="C24207" s="309"/>
      <c r="I24207" s="309"/>
      <c r="J24207" s="309"/>
    </row>
    <row r="24208">
      <c r="B24208" s="309"/>
      <c r="C24208" s="309"/>
      <c r="I24208" s="309"/>
      <c r="J24208" s="309"/>
    </row>
    <row r="24209">
      <c r="B24209" s="309"/>
      <c r="C24209" s="309"/>
      <c r="I24209" s="309"/>
      <c r="J24209" s="309"/>
    </row>
    <row r="24210">
      <c r="B24210" s="309"/>
      <c r="C24210" s="309"/>
      <c r="I24210" s="309"/>
      <c r="J24210" s="309"/>
    </row>
    <row r="24211">
      <c r="B24211" s="309"/>
      <c r="C24211" s="309"/>
      <c r="I24211" s="309"/>
      <c r="J24211" s="309"/>
    </row>
    <row r="24212">
      <c r="B24212" s="309"/>
      <c r="C24212" s="309"/>
      <c r="I24212" s="309"/>
      <c r="J24212" s="309"/>
    </row>
    <row r="24213">
      <c r="B24213" s="309"/>
      <c r="C24213" s="309"/>
      <c r="I24213" s="309"/>
      <c r="J24213" s="309"/>
    </row>
    <row r="24214">
      <c r="B24214" s="309"/>
      <c r="C24214" s="309"/>
      <c r="I24214" s="309"/>
      <c r="J24214" s="309"/>
    </row>
    <row r="24215">
      <c r="B24215" s="309"/>
      <c r="C24215" s="309"/>
      <c r="I24215" s="309"/>
      <c r="J24215" s="309"/>
    </row>
    <row r="24216">
      <c r="B24216" s="309"/>
      <c r="C24216" s="309"/>
      <c r="I24216" s="309"/>
      <c r="J24216" s="309"/>
    </row>
    <row r="24217">
      <c r="B24217" s="309"/>
      <c r="C24217" s="309"/>
      <c r="I24217" s="309"/>
      <c r="J24217" s="309"/>
    </row>
    <row r="24218">
      <c r="B24218" s="309"/>
      <c r="C24218" s="309"/>
      <c r="I24218" s="309"/>
      <c r="J24218" s="309"/>
    </row>
    <row r="24219">
      <c r="B24219" s="309"/>
      <c r="C24219" s="309"/>
      <c r="I24219" s="309"/>
      <c r="J24219" s="309"/>
    </row>
    <row r="24220">
      <c r="B24220" s="309"/>
      <c r="C24220" s="309"/>
      <c r="I24220" s="309"/>
      <c r="J24220" s="309"/>
    </row>
    <row r="24221">
      <c r="B24221" s="309"/>
      <c r="C24221" s="309"/>
      <c r="I24221" s="309"/>
      <c r="J24221" s="309"/>
    </row>
    <row r="24222">
      <c r="B24222" s="309"/>
      <c r="C24222" s="309"/>
      <c r="I24222" s="309"/>
      <c r="J24222" s="309"/>
    </row>
    <row r="24223">
      <c r="B24223" s="309"/>
      <c r="C24223" s="309"/>
      <c r="I24223" s="309"/>
      <c r="J24223" s="309"/>
    </row>
    <row r="24224">
      <c r="B24224" s="309"/>
      <c r="C24224" s="309"/>
      <c r="I24224" s="309"/>
      <c r="J24224" s="309"/>
    </row>
    <row r="24225">
      <c r="B24225" s="309"/>
      <c r="C24225" s="309"/>
      <c r="I24225" s="309"/>
      <c r="J24225" s="309"/>
    </row>
    <row r="24226">
      <c r="B24226" s="309"/>
      <c r="C24226" s="309"/>
      <c r="I24226" s="309"/>
      <c r="J24226" s="309"/>
    </row>
    <row r="24227">
      <c r="B24227" s="309"/>
      <c r="C24227" s="309"/>
      <c r="I24227" s="309"/>
      <c r="J24227" s="309"/>
    </row>
    <row r="24228">
      <c r="B24228" s="309"/>
      <c r="C24228" s="309"/>
      <c r="I24228" s="309"/>
      <c r="J24228" s="309"/>
    </row>
    <row r="24229">
      <c r="B24229" s="309"/>
      <c r="C24229" s="309"/>
      <c r="I24229" s="309"/>
      <c r="J24229" s="309"/>
    </row>
    <row r="24230">
      <c r="B24230" s="309"/>
      <c r="C24230" s="309"/>
      <c r="I24230" s="309"/>
      <c r="J24230" s="309"/>
    </row>
    <row r="24231">
      <c r="B24231" s="309"/>
      <c r="C24231" s="309"/>
      <c r="I24231" s="309"/>
      <c r="J24231" s="309"/>
    </row>
    <row r="24232">
      <c r="B24232" s="309"/>
      <c r="C24232" s="309"/>
      <c r="I24232" s="309"/>
      <c r="J24232" s="309"/>
    </row>
    <row r="24233">
      <c r="B24233" s="309"/>
      <c r="C24233" s="309"/>
      <c r="I24233" s="309"/>
      <c r="J24233" s="309"/>
    </row>
    <row r="24234">
      <c r="B24234" s="309"/>
      <c r="C24234" s="309"/>
      <c r="I24234" s="309"/>
      <c r="J24234" s="309"/>
    </row>
    <row r="24235">
      <c r="B24235" s="309"/>
      <c r="C24235" s="309"/>
      <c r="I24235" s="309"/>
      <c r="J24235" s="309"/>
    </row>
    <row r="24236">
      <c r="B24236" s="309"/>
      <c r="C24236" s="309"/>
      <c r="I24236" s="309"/>
      <c r="J24236" s="309"/>
    </row>
    <row r="24237">
      <c r="B24237" s="309"/>
      <c r="C24237" s="309"/>
      <c r="I24237" s="309"/>
      <c r="J24237" s="309"/>
    </row>
    <row r="24238">
      <c r="B24238" s="309"/>
      <c r="C24238" s="309"/>
      <c r="I24238" s="309"/>
      <c r="J24238" s="309"/>
    </row>
    <row r="24239">
      <c r="B24239" s="309"/>
      <c r="C24239" s="309"/>
      <c r="I24239" s="309"/>
      <c r="J24239" s="309"/>
    </row>
    <row r="24240">
      <c r="B24240" s="309"/>
      <c r="C24240" s="309"/>
      <c r="I24240" s="309"/>
      <c r="J24240" s="309"/>
    </row>
    <row r="24241">
      <c r="B24241" s="309"/>
      <c r="C24241" s="309"/>
      <c r="I24241" s="309"/>
      <c r="J24241" s="309"/>
    </row>
    <row r="24242">
      <c r="B24242" s="309"/>
      <c r="C24242" s="309"/>
      <c r="I24242" s="309"/>
      <c r="J24242" s="309"/>
    </row>
    <row r="24243">
      <c r="B24243" s="309"/>
      <c r="C24243" s="309"/>
      <c r="I24243" s="309"/>
      <c r="J24243" s="309"/>
    </row>
    <row r="24244">
      <c r="B24244" s="309"/>
      <c r="C24244" s="309"/>
      <c r="I24244" s="309"/>
      <c r="J24244" s="309"/>
    </row>
    <row r="24245">
      <c r="B24245" s="309"/>
      <c r="C24245" s="309"/>
      <c r="I24245" s="309"/>
      <c r="J24245" s="309"/>
    </row>
    <row r="24246">
      <c r="B24246" s="309"/>
      <c r="C24246" s="309"/>
      <c r="I24246" s="309"/>
      <c r="J24246" s="309"/>
    </row>
    <row r="24247">
      <c r="B24247" s="309"/>
      <c r="C24247" s="309"/>
      <c r="I24247" s="309"/>
      <c r="J24247" s="309"/>
    </row>
    <row r="24248">
      <c r="B24248" s="309"/>
      <c r="C24248" s="309"/>
      <c r="I24248" s="309"/>
      <c r="J24248" s="309"/>
    </row>
    <row r="24249">
      <c r="B24249" s="309"/>
      <c r="C24249" s="309"/>
      <c r="I24249" s="309"/>
      <c r="J24249" s="309"/>
    </row>
    <row r="24250">
      <c r="B24250" s="309"/>
      <c r="C24250" s="309"/>
      <c r="I24250" s="309"/>
      <c r="J24250" s="309"/>
    </row>
    <row r="24251">
      <c r="B24251" s="309"/>
      <c r="C24251" s="309"/>
      <c r="I24251" s="309"/>
      <c r="J24251" s="309"/>
    </row>
    <row r="24252">
      <c r="B24252" s="309"/>
      <c r="C24252" s="309"/>
      <c r="I24252" s="309"/>
      <c r="J24252" s="309"/>
    </row>
    <row r="24253">
      <c r="B24253" s="309"/>
      <c r="C24253" s="309"/>
      <c r="I24253" s="309"/>
      <c r="J24253" s="309"/>
    </row>
    <row r="24254">
      <c r="B24254" s="309"/>
      <c r="C24254" s="309"/>
      <c r="I24254" s="309"/>
      <c r="J24254" s="309"/>
    </row>
    <row r="24255">
      <c r="B24255" s="309"/>
      <c r="C24255" s="309"/>
      <c r="I24255" s="309"/>
      <c r="J24255" s="309"/>
    </row>
    <row r="24256">
      <c r="B24256" s="309"/>
      <c r="C24256" s="309"/>
      <c r="I24256" s="309"/>
      <c r="J24256" s="309"/>
    </row>
    <row r="24257">
      <c r="B24257" s="309"/>
      <c r="C24257" s="309"/>
      <c r="I24257" s="309"/>
      <c r="J24257" s="309"/>
    </row>
    <row r="24258">
      <c r="B24258" s="309"/>
      <c r="C24258" s="309"/>
      <c r="I24258" s="309"/>
      <c r="J24258" s="309"/>
    </row>
    <row r="24259">
      <c r="B24259" s="309"/>
      <c r="C24259" s="309"/>
      <c r="I24259" s="309"/>
      <c r="J24259" s="309"/>
    </row>
    <row r="24260">
      <c r="B24260" s="309"/>
      <c r="C24260" s="309"/>
      <c r="I24260" s="309"/>
      <c r="J24260" s="309"/>
    </row>
    <row r="24261">
      <c r="B24261" s="309"/>
      <c r="C24261" s="309"/>
      <c r="I24261" s="309"/>
      <c r="J24261" s="309"/>
    </row>
    <row r="24262">
      <c r="B24262" s="309"/>
      <c r="C24262" s="309"/>
      <c r="I24262" s="309"/>
      <c r="J24262" s="309"/>
    </row>
    <row r="24263">
      <c r="B24263" s="309"/>
      <c r="C24263" s="309"/>
      <c r="I24263" s="309"/>
      <c r="J24263" s="309"/>
    </row>
    <row r="24264">
      <c r="B24264" s="309"/>
      <c r="C24264" s="309"/>
      <c r="I24264" s="309"/>
      <c r="J24264" s="309"/>
    </row>
    <row r="24265">
      <c r="B24265" s="309"/>
      <c r="C24265" s="309"/>
      <c r="I24265" s="309"/>
      <c r="J24265" s="309"/>
    </row>
    <row r="24266">
      <c r="B24266" s="309"/>
      <c r="C24266" s="309"/>
      <c r="I24266" s="309"/>
      <c r="J24266" s="309"/>
    </row>
    <row r="24267">
      <c r="B24267" s="309"/>
      <c r="C24267" s="309"/>
      <c r="I24267" s="309"/>
      <c r="J24267" s="309"/>
    </row>
    <row r="24268">
      <c r="B24268" s="309"/>
      <c r="C24268" s="309"/>
      <c r="I24268" s="309"/>
      <c r="J24268" s="309"/>
    </row>
    <row r="24269">
      <c r="B24269" s="309"/>
      <c r="C24269" s="309"/>
      <c r="I24269" s="309"/>
      <c r="J24269" s="309"/>
    </row>
    <row r="24270">
      <c r="B24270" s="309"/>
      <c r="C24270" s="309"/>
      <c r="I24270" s="309"/>
      <c r="J24270" s="309"/>
    </row>
    <row r="24271">
      <c r="B24271" s="309"/>
      <c r="C24271" s="309"/>
      <c r="I24271" s="309"/>
      <c r="J24271" s="309"/>
    </row>
    <row r="24272">
      <c r="B24272" s="309"/>
      <c r="C24272" s="309"/>
      <c r="I24272" s="309"/>
      <c r="J24272" s="309"/>
    </row>
    <row r="24273">
      <c r="B24273" s="309"/>
      <c r="C24273" s="309"/>
      <c r="I24273" s="309"/>
      <c r="J24273" s="309"/>
    </row>
    <row r="24274">
      <c r="B24274" s="309"/>
      <c r="C24274" s="309"/>
      <c r="I24274" s="309"/>
      <c r="J24274" s="309"/>
    </row>
    <row r="24275">
      <c r="B24275" s="309"/>
      <c r="C24275" s="309"/>
      <c r="I24275" s="309"/>
      <c r="J24275" s="309"/>
    </row>
    <row r="24276">
      <c r="B24276" s="309"/>
      <c r="C24276" s="309"/>
      <c r="I24276" s="309"/>
      <c r="J24276" s="309"/>
    </row>
    <row r="24277">
      <c r="B24277" s="309"/>
      <c r="C24277" s="309"/>
      <c r="I24277" s="309"/>
      <c r="J24277" s="309"/>
    </row>
    <row r="24278">
      <c r="B24278" s="309"/>
      <c r="C24278" s="309"/>
      <c r="I24278" s="309"/>
      <c r="J24278" s="309"/>
    </row>
    <row r="24279">
      <c r="B24279" s="309"/>
      <c r="C24279" s="309"/>
      <c r="I24279" s="309"/>
      <c r="J24279" s="309"/>
    </row>
    <row r="24280">
      <c r="B24280" s="309"/>
      <c r="C24280" s="309"/>
      <c r="I24280" s="309"/>
      <c r="J24280" s="309"/>
    </row>
    <row r="24281">
      <c r="B24281" s="309"/>
      <c r="C24281" s="309"/>
      <c r="I24281" s="309"/>
      <c r="J24281" s="309"/>
    </row>
    <row r="24282">
      <c r="B24282" s="309"/>
      <c r="C24282" s="309"/>
      <c r="I24282" s="309"/>
      <c r="J24282" s="309"/>
    </row>
    <row r="24283">
      <c r="B24283" s="309"/>
      <c r="C24283" s="309"/>
      <c r="I24283" s="309"/>
      <c r="J24283" s="309"/>
    </row>
    <row r="24284">
      <c r="B24284" s="309"/>
      <c r="C24284" s="309"/>
      <c r="I24284" s="309"/>
      <c r="J24284" s="309"/>
    </row>
    <row r="24285">
      <c r="B24285" s="309"/>
      <c r="C24285" s="309"/>
      <c r="I24285" s="309"/>
      <c r="J24285" s="309"/>
    </row>
    <row r="24286">
      <c r="B24286" s="309"/>
      <c r="C24286" s="309"/>
      <c r="I24286" s="309"/>
      <c r="J24286" s="309"/>
    </row>
    <row r="24287">
      <c r="B24287" s="309"/>
      <c r="C24287" s="309"/>
      <c r="I24287" s="309"/>
      <c r="J24287" s="309"/>
    </row>
    <row r="24288">
      <c r="B24288" s="309"/>
      <c r="C24288" s="309"/>
      <c r="I24288" s="309"/>
      <c r="J24288" s="309"/>
    </row>
    <row r="24289">
      <c r="B24289" s="309"/>
      <c r="C24289" s="309"/>
      <c r="I24289" s="309"/>
      <c r="J24289" s="309"/>
    </row>
    <row r="24290">
      <c r="B24290" s="309"/>
      <c r="C24290" s="309"/>
      <c r="I24290" s="309"/>
      <c r="J24290" s="309"/>
    </row>
    <row r="24291">
      <c r="B24291" s="309"/>
      <c r="C24291" s="309"/>
      <c r="I24291" s="309"/>
      <c r="J24291" s="309"/>
    </row>
    <row r="24292">
      <c r="B24292" s="309"/>
      <c r="C24292" s="309"/>
      <c r="I24292" s="309"/>
      <c r="J24292" s="309"/>
    </row>
    <row r="24293">
      <c r="B24293" s="309"/>
      <c r="C24293" s="309"/>
      <c r="I24293" s="309"/>
      <c r="J24293" s="309"/>
    </row>
    <row r="24294">
      <c r="B24294" s="309"/>
      <c r="C24294" s="309"/>
      <c r="I24294" s="309"/>
      <c r="J24294" s="309"/>
    </row>
    <row r="24295">
      <c r="B24295" s="309"/>
      <c r="C24295" s="309"/>
      <c r="I24295" s="309"/>
      <c r="J24295" s="309"/>
    </row>
    <row r="24296">
      <c r="B24296" s="309"/>
      <c r="C24296" s="309"/>
      <c r="I24296" s="309"/>
      <c r="J24296" s="309"/>
    </row>
    <row r="24297">
      <c r="B24297" s="309"/>
      <c r="C24297" s="309"/>
      <c r="I24297" s="309"/>
      <c r="J24297" s="309"/>
    </row>
    <row r="24298">
      <c r="B24298" s="309"/>
      <c r="C24298" s="309"/>
      <c r="I24298" s="309"/>
      <c r="J24298" s="309"/>
    </row>
    <row r="24299">
      <c r="B24299" s="309"/>
      <c r="C24299" s="309"/>
      <c r="I24299" s="309"/>
      <c r="J24299" s="309"/>
    </row>
    <row r="24300">
      <c r="B24300" s="309"/>
      <c r="C24300" s="309"/>
      <c r="I24300" s="309"/>
      <c r="J24300" s="309"/>
    </row>
    <row r="24301">
      <c r="B24301" s="309"/>
      <c r="C24301" s="309"/>
      <c r="I24301" s="309"/>
      <c r="J24301" s="309"/>
    </row>
    <row r="24302">
      <c r="B24302" s="309"/>
      <c r="C24302" s="309"/>
      <c r="I24302" s="309"/>
      <c r="J24302" s="309"/>
    </row>
    <row r="24303">
      <c r="B24303" s="309"/>
      <c r="C24303" s="309"/>
      <c r="I24303" s="309"/>
      <c r="J24303" s="309"/>
    </row>
    <row r="24304">
      <c r="B24304" s="309"/>
      <c r="C24304" s="309"/>
      <c r="I24304" s="309"/>
      <c r="J24304" s="309"/>
    </row>
    <row r="24305">
      <c r="B24305" s="309"/>
      <c r="C24305" s="309"/>
      <c r="I24305" s="309"/>
      <c r="J24305" s="309"/>
    </row>
    <row r="24306">
      <c r="B24306" s="309"/>
      <c r="C24306" s="309"/>
      <c r="I24306" s="309"/>
      <c r="J24306" s="309"/>
    </row>
    <row r="24307">
      <c r="B24307" s="309"/>
      <c r="C24307" s="309"/>
      <c r="I24307" s="309"/>
      <c r="J24307" s="309"/>
    </row>
    <row r="24308">
      <c r="B24308" s="309"/>
      <c r="C24308" s="309"/>
      <c r="I24308" s="309"/>
      <c r="J24308" s="309"/>
    </row>
    <row r="24309">
      <c r="B24309" s="309"/>
      <c r="C24309" s="309"/>
      <c r="I24309" s="309"/>
      <c r="J24309" s="309"/>
    </row>
    <row r="24310">
      <c r="B24310" s="309"/>
      <c r="C24310" s="309"/>
      <c r="I24310" s="309"/>
      <c r="J24310" s="309"/>
    </row>
    <row r="24311">
      <c r="B24311" s="309"/>
      <c r="C24311" s="309"/>
      <c r="I24311" s="309"/>
      <c r="J24311" s="309"/>
    </row>
    <row r="24312">
      <c r="B24312" s="309"/>
      <c r="C24312" s="309"/>
      <c r="I24312" s="309"/>
      <c r="J24312" s="309"/>
    </row>
    <row r="24313">
      <c r="B24313" s="309"/>
      <c r="C24313" s="309"/>
      <c r="I24313" s="309"/>
      <c r="J24313" s="309"/>
    </row>
    <row r="24314">
      <c r="B24314" s="309"/>
      <c r="C24314" s="309"/>
      <c r="I24314" s="309"/>
      <c r="J24314" s="309"/>
    </row>
    <row r="24315">
      <c r="B24315" s="309"/>
      <c r="C24315" s="309"/>
      <c r="I24315" s="309"/>
      <c r="J24315" s="309"/>
    </row>
    <row r="24316">
      <c r="B24316" s="309"/>
      <c r="C24316" s="309"/>
      <c r="I24316" s="309"/>
      <c r="J24316" s="309"/>
    </row>
    <row r="24317">
      <c r="B24317" s="309"/>
      <c r="C24317" s="309"/>
      <c r="I24317" s="309"/>
      <c r="J24317" s="309"/>
    </row>
    <row r="24318">
      <c r="B24318" s="309"/>
      <c r="C24318" s="309"/>
      <c r="I24318" s="309"/>
      <c r="J24318" s="309"/>
    </row>
    <row r="24319">
      <c r="B24319" s="309"/>
      <c r="C24319" s="309"/>
      <c r="I24319" s="309"/>
      <c r="J24319" s="309"/>
    </row>
    <row r="24320">
      <c r="B24320" s="309"/>
      <c r="C24320" s="309"/>
      <c r="I24320" s="309"/>
      <c r="J24320" s="309"/>
    </row>
    <row r="24321">
      <c r="B24321" s="309"/>
      <c r="C24321" s="309"/>
      <c r="I24321" s="309"/>
      <c r="J24321" s="309"/>
    </row>
    <row r="24322">
      <c r="B24322" s="309"/>
      <c r="C24322" s="309"/>
      <c r="I24322" s="309"/>
      <c r="J24322" s="309"/>
    </row>
    <row r="24323">
      <c r="B24323" s="309"/>
      <c r="C24323" s="309"/>
      <c r="I24323" s="309"/>
      <c r="J24323" s="309"/>
    </row>
    <row r="24324">
      <c r="B24324" s="309"/>
      <c r="C24324" s="309"/>
      <c r="I24324" s="309"/>
      <c r="J24324" s="309"/>
    </row>
    <row r="24325">
      <c r="B24325" s="309"/>
      <c r="C24325" s="309"/>
      <c r="I24325" s="309"/>
      <c r="J24325" s="309"/>
    </row>
    <row r="24326">
      <c r="B24326" s="309"/>
      <c r="C24326" s="309"/>
      <c r="I24326" s="309"/>
      <c r="J24326" s="309"/>
    </row>
    <row r="24327">
      <c r="B24327" s="309"/>
      <c r="C24327" s="309"/>
      <c r="I24327" s="309"/>
      <c r="J24327" s="309"/>
    </row>
    <row r="24328">
      <c r="B24328" s="309"/>
      <c r="C24328" s="309"/>
      <c r="I24328" s="309"/>
      <c r="J24328" s="309"/>
    </row>
    <row r="24329">
      <c r="B24329" s="309"/>
      <c r="C24329" s="309"/>
      <c r="I24329" s="309"/>
      <c r="J24329" s="309"/>
    </row>
    <row r="24330">
      <c r="B24330" s="309"/>
      <c r="C24330" s="309"/>
      <c r="I24330" s="309"/>
      <c r="J24330" s="309"/>
    </row>
    <row r="24331">
      <c r="B24331" s="309"/>
      <c r="C24331" s="309"/>
      <c r="I24331" s="309"/>
      <c r="J24331" s="309"/>
    </row>
    <row r="24332">
      <c r="B24332" s="309"/>
      <c r="C24332" s="309"/>
      <c r="I24332" s="309"/>
      <c r="J24332" s="309"/>
    </row>
    <row r="24333">
      <c r="B24333" s="309"/>
      <c r="C24333" s="309"/>
      <c r="I24333" s="309"/>
      <c r="J24333" s="309"/>
    </row>
    <row r="24334">
      <c r="B24334" s="309"/>
      <c r="C24334" s="309"/>
      <c r="I24334" s="309"/>
      <c r="J24334" s="309"/>
    </row>
    <row r="24335">
      <c r="B24335" s="309"/>
      <c r="C24335" s="309"/>
      <c r="I24335" s="309"/>
      <c r="J24335" s="309"/>
    </row>
    <row r="24336">
      <c r="B24336" s="309"/>
      <c r="C24336" s="309"/>
      <c r="I24336" s="309"/>
      <c r="J24336" s="309"/>
    </row>
    <row r="24337">
      <c r="B24337" s="309"/>
      <c r="C24337" s="309"/>
      <c r="I24337" s="309"/>
      <c r="J24337" s="309"/>
    </row>
    <row r="24338">
      <c r="B24338" s="309"/>
      <c r="C24338" s="309"/>
      <c r="I24338" s="309"/>
      <c r="J24338" s="309"/>
    </row>
    <row r="24339">
      <c r="B24339" s="309"/>
      <c r="C24339" s="309"/>
      <c r="I24339" s="309"/>
      <c r="J24339" s="309"/>
    </row>
    <row r="24340">
      <c r="B24340" s="309"/>
      <c r="C24340" s="309"/>
      <c r="I24340" s="309"/>
      <c r="J24340" s="309"/>
    </row>
    <row r="24341">
      <c r="B24341" s="309"/>
      <c r="C24341" s="309"/>
      <c r="I24341" s="309"/>
      <c r="J24341" s="309"/>
    </row>
    <row r="24342">
      <c r="B24342" s="309"/>
      <c r="C24342" s="309"/>
      <c r="I24342" s="309"/>
      <c r="J24342" s="309"/>
    </row>
    <row r="24343">
      <c r="B24343" s="309"/>
      <c r="C24343" s="309"/>
      <c r="I24343" s="309"/>
      <c r="J24343" s="309"/>
    </row>
    <row r="24344">
      <c r="B24344" s="309"/>
      <c r="C24344" s="309"/>
      <c r="I24344" s="309"/>
      <c r="J24344" s="309"/>
    </row>
    <row r="24345">
      <c r="B24345" s="309"/>
      <c r="C24345" s="309"/>
      <c r="I24345" s="309"/>
      <c r="J24345" s="309"/>
    </row>
    <row r="24346">
      <c r="B24346" s="309"/>
      <c r="C24346" s="309"/>
      <c r="I24346" s="309"/>
      <c r="J24346" s="309"/>
    </row>
    <row r="24347">
      <c r="B24347" s="309"/>
      <c r="C24347" s="309"/>
      <c r="I24347" s="309"/>
      <c r="J24347" s="309"/>
    </row>
    <row r="24348">
      <c r="B24348" s="309"/>
      <c r="C24348" s="309"/>
      <c r="I24348" s="309"/>
      <c r="J24348" s="309"/>
    </row>
    <row r="24349">
      <c r="B24349" s="309"/>
      <c r="C24349" s="309"/>
      <c r="I24349" s="309"/>
      <c r="J24349" s="309"/>
    </row>
    <row r="24350">
      <c r="B24350" s="309"/>
      <c r="C24350" s="309"/>
      <c r="I24350" s="309"/>
      <c r="J24350" s="309"/>
    </row>
    <row r="24351">
      <c r="B24351" s="309"/>
      <c r="C24351" s="309"/>
      <c r="I24351" s="309"/>
      <c r="J24351" s="309"/>
    </row>
    <row r="24352">
      <c r="B24352" s="309"/>
      <c r="C24352" s="309"/>
      <c r="I24352" s="309"/>
      <c r="J24352" s="309"/>
    </row>
    <row r="24353">
      <c r="B24353" s="309"/>
      <c r="C24353" s="309"/>
      <c r="I24353" s="309"/>
      <c r="J24353" s="309"/>
    </row>
    <row r="24354">
      <c r="B24354" s="309"/>
      <c r="C24354" s="309"/>
      <c r="I24354" s="309"/>
      <c r="J24354" s="309"/>
    </row>
    <row r="24355">
      <c r="B24355" s="309"/>
      <c r="C24355" s="309"/>
      <c r="I24355" s="309"/>
      <c r="J24355" s="309"/>
    </row>
    <row r="24356">
      <c r="B24356" s="309"/>
      <c r="C24356" s="309"/>
      <c r="I24356" s="309"/>
      <c r="J24356" s="309"/>
    </row>
    <row r="24357">
      <c r="B24357" s="309"/>
      <c r="C24357" s="309"/>
      <c r="I24357" s="309"/>
      <c r="J24357" s="309"/>
    </row>
    <row r="24358">
      <c r="B24358" s="309"/>
      <c r="C24358" s="309"/>
      <c r="I24358" s="309"/>
      <c r="J24358" s="309"/>
    </row>
    <row r="24359">
      <c r="B24359" s="309"/>
      <c r="C24359" s="309"/>
      <c r="I24359" s="309"/>
      <c r="J24359" s="309"/>
    </row>
    <row r="24360">
      <c r="B24360" s="309"/>
      <c r="C24360" s="309"/>
      <c r="I24360" s="309"/>
      <c r="J24360" s="309"/>
    </row>
    <row r="24361">
      <c r="B24361" s="309"/>
      <c r="C24361" s="309"/>
      <c r="I24361" s="309"/>
      <c r="J24361" s="309"/>
    </row>
    <row r="24362">
      <c r="B24362" s="309"/>
      <c r="C24362" s="309"/>
      <c r="I24362" s="309"/>
      <c r="J24362" s="309"/>
    </row>
    <row r="24363">
      <c r="B24363" s="309"/>
      <c r="C24363" s="309"/>
      <c r="I24363" s="309"/>
      <c r="J24363" s="309"/>
    </row>
    <row r="24364">
      <c r="B24364" s="309"/>
      <c r="C24364" s="309"/>
      <c r="I24364" s="309"/>
      <c r="J24364" s="309"/>
    </row>
    <row r="24365">
      <c r="B24365" s="309"/>
      <c r="C24365" s="309"/>
      <c r="I24365" s="309"/>
      <c r="J24365" s="309"/>
    </row>
    <row r="24366">
      <c r="B24366" s="309"/>
      <c r="C24366" s="309"/>
      <c r="I24366" s="309"/>
      <c r="J24366" s="309"/>
    </row>
    <row r="24367">
      <c r="B24367" s="309"/>
      <c r="C24367" s="309"/>
      <c r="I24367" s="309"/>
      <c r="J24367" s="309"/>
    </row>
    <row r="24368">
      <c r="B24368" s="309"/>
      <c r="C24368" s="309"/>
      <c r="I24368" s="309"/>
      <c r="J24368" s="309"/>
    </row>
    <row r="24369">
      <c r="B24369" s="309"/>
      <c r="C24369" s="309"/>
      <c r="I24369" s="309"/>
      <c r="J24369" s="309"/>
    </row>
    <row r="24370">
      <c r="B24370" s="309"/>
      <c r="C24370" s="309"/>
      <c r="I24370" s="309"/>
      <c r="J24370" s="309"/>
    </row>
    <row r="24371">
      <c r="B24371" s="309"/>
      <c r="C24371" s="309"/>
      <c r="I24371" s="309"/>
      <c r="J24371" s="309"/>
    </row>
    <row r="24372">
      <c r="B24372" s="309"/>
      <c r="C24372" s="309"/>
      <c r="I24372" s="309"/>
      <c r="J24372" s="309"/>
    </row>
    <row r="24373">
      <c r="B24373" s="309"/>
      <c r="C24373" s="309"/>
      <c r="I24373" s="309"/>
      <c r="J24373" s="309"/>
    </row>
    <row r="24374">
      <c r="B24374" s="309"/>
      <c r="C24374" s="309"/>
      <c r="I24374" s="309"/>
      <c r="J24374" s="309"/>
    </row>
    <row r="24375">
      <c r="B24375" s="309"/>
      <c r="C24375" s="309"/>
      <c r="I24375" s="309"/>
      <c r="J24375" s="309"/>
    </row>
    <row r="24376">
      <c r="B24376" s="309"/>
      <c r="C24376" s="309"/>
      <c r="I24376" s="309"/>
      <c r="J24376" s="309"/>
    </row>
    <row r="24377">
      <c r="B24377" s="309"/>
      <c r="C24377" s="309"/>
      <c r="I24377" s="309"/>
      <c r="J24377" s="309"/>
    </row>
    <row r="24378">
      <c r="B24378" s="309"/>
      <c r="C24378" s="309"/>
      <c r="I24378" s="309"/>
      <c r="J24378" s="309"/>
    </row>
    <row r="24379">
      <c r="B24379" s="309"/>
      <c r="C24379" s="309"/>
      <c r="I24379" s="309"/>
      <c r="J24379" s="309"/>
    </row>
    <row r="24380">
      <c r="B24380" s="309"/>
      <c r="C24380" s="309"/>
      <c r="I24380" s="309"/>
      <c r="J24380" s="309"/>
    </row>
    <row r="24381">
      <c r="B24381" s="309"/>
      <c r="C24381" s="309"/>
      <c r="I24381" s="309"/>
      <c r="J24381" s="309"/>
    </row>
    <row r="24382">
      <c r="B24382" s="309"/>
      <c r="C24382" s="309"/>
      <c r="I24382" s="309"/>
      <c r="J24382" s="309"/>
    </row>
    <row r="24383">
      <c r="B24383" s="309"/>
      <c r="C24383" s="309"/>
      <c r="I24383" s="309"/>
      <c r="J24383" s="309"/>
    </row>
    <row r="24384">
      <c r="B24384" s="309"/>
      <c r="C24384" s="309"/>
      <c r="I24384" s="309"/>
      <c r="J24384" s="309"/>
    </row>
    <row r="24385">
      <c r="B24385" s="309"/>
      <c r="C24385" s="309"/>
      <c r="I24385" s="309"/>
      <c r="J24385" s="309"/>
    </row>
    <row r="24386">
      <c r="B24386" s="309"/>
      <c r="C24386" s="309"/>
      <c r="I24386" s="309"/>
      <c r="J24386" s="309"/>
    </row>
    <row r="24387">
      <c r="B24387" s="309"/>
      <c r="C24387" s="309"/>
      <c r="I24387" s="309"/>
      <c r="J24387" s="309"/>
    </row>
    <row r="24388">
      <c r="B24388" s="309"/>
      <c r="C24388" s="309"/>
      <c r="I24388" s="309"/>
      <c r="J24388" s="309"/>
    </row>
    <row r="24389">
      <c r="B24389" s="309"/>
      <c r="C24389" s="309"/>
      <c r="I24389" s="309"/>
      <c r="J24389" s="309"/>
    </row>
    <row r="24390">
      <c r="B24390" s="309"/>
      <c r="C24390" s="309"/>
      <c r="I24390" s="309"/>
      <c r="J24390" s="309"/>
    </row>
    <row r="24391">
      <c r="B24391" s="309"/>
      <c r="C24391" s="309"/>
      <c r="I24391" s="309"/>
      <c r="J24391" s="309"/>
    </row>
    <row r="24392">
      <c r="B24392" s="309"/>
      <c r="C24392" s="309"/>
      <c r="I24392" s="309"/>
      <c r="J24392" s="309"/>
    </row>
    <row r="24393">
      <c r="B24393" s="309"/>
      <c r="C24393" s="309"/>
      <c r="I24393" s="309"/>
      <c r="J24393" s="309"/>
    </row>
    <row r="24394">
      <c r="B24394" s="309"/>
      <c r="C24394" s="309"/>
      <c r="I24394" s="309"/>
      <c r="J24394" s="309"/>
    </row>
    <row r="24395">
      <c r="B24395" s="309"/>
      <c r="C24395" s="309"/>
      <c r="I24395" s="309"/>
      <c r="J24395" s="309"/>
    </row>
    <row r="24396">
      <c r="B24396" s="309"/>
      <c r="C24396" s="309"/>
      <c r="I24396" s="309"/>
      <c r="J24396" s="309"/>
    </row>
    <row r="24397">
      <c r="B24397" s="309"/>
      <c r="C24397" s="309"/>
      <c r="I24397" s="309"/>
      <c r="J24397" s="309"/>
    </row>
    <row r="24398">
      <c r="B24398" s="309"/>
      <c r="C24398" s="309"/>
      <c r="I24398" s="309"/>
      <c r="J24398" s="309"/>
    </row>
    <row r="24399">
      <c r="B24399" s="309"/>
      <c r="C24399" s="309"/>
      <c r="I24399" s="309"/>
      <c r="J24399" s="309"/>
    </row>
    <row r="24400">
      <c r="B24400" s="309"/>
      <c r="C24400" s="309"/>
      <c r="I24400" s="309"/>
      <c r="J24400" s="309"/>
    </row>
    <row r="24401">
      <c r="B24401" s="309"/>
      <c r="C24401" s="309"/>
      <c r="I24401" s="309"/>
      <c r="J24401" s="309"/>
    </row>
    <row r="24402">
      <c r="B24402" s="309"/>
      <c r="C24402" s="309"/>
      <c r="I24402" s="309"/>
      <c r="J24402" s="309"/>
    </row>
    <row r="24403">
      <c r="B24403" s="309"/>
      <c r="C24403" s="309"/>
      <c r="I24403" s="309"/>
      <c r="J24403" s="309"/>
    </row>
    <row r="24404">
      <c r="B24404" s="309"/>
      <c r="C24404" s="309"/>
      <c r="I24404" s="309"/>
      <c r="J24404" s="309"/>
    </row>
    <row r="24405">
      <c r="B24405" s="309"/>
      <c r="C24405" s="309"/>
      <c r="I24405" s="309"/>
      <c r="J24405" s="309"/>
    </row>
    <row r="24406">
      <c r="B24406" s="309"/>
      <c r="C24406" s="309"/>
      <c r="I24406" s="309"/>
      <c r="J24406" s="309"/>
    </row>
    <row r="24407">
      <c r="B24407" s="309"/>
      <c r="C24407" s="309"/>
      <c r="I24407" s="309"/>
      <c r="J24407" s="309"/>
    </row>
    <row r="24408">
      <c r="B24408" s="309"/>
      <c r="C24408" s="309"/>
      <c r="I24408" s="309"/>
      <c r="J24408" s="309"/>
    </row>
    <row r="24409">
      <c r="B24409" s="309"/>
      <c r="C24409" s="309"/>
      <c r="I24409" s="309"/>
      <c r="J24409" s="309"/>
    </row>
    <row r="24410">
      <c r="B24410" s="309"/>
      <c r="C24410" s="309"/>
      <c r="I24410" s="309"/>
      <c r="J24410" s="309"/>
    </row>
    <row r="24411">
      <c r="B24411" s="309"/>
      <c r="C24411" s="309"/>
      <c r="I24411" s="309"/>
      <c r="J24411" s="309"/>
    </row>
    <row r="24412">
      <c r="B24412" s="309"/>
      <c r="C24412" s="309"/>
      <c r="I24412" s="309"/>
      <c r="J24412" s="309"/>
    </row>
    <row r="24413">
      <c r="B24413" s="309"/>
      <c r="C24413" s="309"/>
      <c r="I24413" s="309"/>
      <c r="J24413" s="309"/>
    </row>
    <row r="24414">
      <c r="B24414" s="309"/>
      <c r="C24414" s="309"/>
      <c r="I24414" s="309"/>
      <c r="J24414" s="309"/>
    </row>
    <row r="24415">
      <c r="B24415" s="309"/>
      <c r="C24415" s="309"/>
      <c r="I24415" s="309"/>
      <c r="J24415" s="309"/>
    </row>
    <row r="24416">
      <c r="B24416" s="309"/>
      <c r="C24416" s="309"/>
      <c r="I24416" s="309"/>
      <c r="J24416" s="309"/>
    </row>
    <row r="24417">
      <c r="B24417" s="309"/>
      <c r="C24417" s="309"/>
      <c r="I24417" s="309"/>
      <c r="J24417" s="309"/>
    </row>
    <row r="24418">
      <c r="B24418" s="309"/>
      <c r="C24418" s="309"/>
      <c r="I24418" s="309"/>
      <c r="J24418" s="309"/>
    </row>
    <row r="24419">
      <c r="B24419" s="309"/>
      <c r="C24419" s="309"/>
      <c r="I24419" s="309"/>
      <c r="J24419" s="309"/>
    </row>
    <row r="24420">
      <c r="B24420" s="309"/>
      <c r="C24420" s="309"/>
      <c r="I24420" s="309"/>
      <c r="J24420" s="309"/>
    </row>
    <row r="24421">
      <c r="B24421" s="309"/>
      <c r="C24421" s="309"/>
      <c r="I24421" s="309"/>
      <c r="J24421" s="309"/>
    </row>
    <row r="24422">
      <c r="B24422" s="309"/>
      <c r="C24422" s="309"/>
      <c r="I24422" s="309"/>
      <c r="J24422" s="309"/>
    </row>
    <row r="24423">
      <c r="B24423" s="309"/>
      <c r="C24423" s="309"/>
      <c r="I24423" s="309"/>
      <c r="J24423" s="309"/>
    </row>
    <row r="24424">
      <c r="B24424" s="309"/>
      <c r="C24424" s="309"/>
      <c r="I24424" s="309"/>
      <c r="J24424" s="309"/>
    </row>
    <row r="24425">
      <c r="B24425" s="309"/>
      <c r="C24425" s="309"/>
      <c r="I24425" s="309"/>
      <c r="J24425" s="309"/>
    </row>
    <row r="24426">
      <c r="B24426" s="309"/>
      <c r="C24426" s="309"/>
      <c r="I24426" s="309"/>
      <c r="J24426" s="309"/>
    </row>
    <row r="24427">
      <c r="B24427" s="309"/>
      <c r="C24427" s="309"/>
      <c r="I24427" s="309"/>
      <c r="J24427" s="309"/>
    </row>
    <row r="24428">
      <c r="B24428" s="309"/>
      <c r="C24428" s="309"/>
      <c r="I24428" s="309"/>
      <c r="J24428" s="309"/>
    </row>
    <row r="24429">
      <c r="B24429" s="309"/>
      <c r="C24429" s="309"/>
      <c r="I24429" s="309"/>
      <c r="J24429" s="309"/>
    </row>
    <row r="24430">
      <c r="B24430" s="309"/>
      <c r="C24430" s="309"/>
      <c r="I24430" s="309"/>
      <c r="J24430" s="309"/>
    </row>
    <row r="24431">
      <c r="B24431" s="309"/>
      <c r="C24431" s="309"/>
      <c r="I24431" s="309"/>
      <c r="J24431" s="309"/>
    </row>
    <row r="24432">
      <c r="B24432" s="309"/>
      <c r="C24432" s="309"/>
      <c r="I24432" s="309"/>
      <c r="J24432" s="309"/>
    </row>
    <row r="24433">
      <c r="B24433" s="309"/>
      <c r="C24433" s="309"/>
      <c r="I24433" s="309"/>
      <c r="J24433" s="309"/>
    </row>
    <row r="24434">
      <c r="B24434" s="309"/>
      <c r="C24434" s="309"/>
      <c r="I24434" s="309"/>
      <c r="J24434" s="309"/>
    </row>
    <row r="24435">
      <c r="B24435" s="309"/>
      <c r="C24435" s="309"/>
      <c r="I24435" s="309"/>
      <c r="J24435" s="309"/>
    </row>
    <row r="24436">
      <c r="B24436" s="309"/>
      <c r="C24436" s="309"/>
      <c r="I24436" s="309"/>
      <c r="J24436" s="309"/>
    </row>
    <row r="24437">
      <c r="B24437" s="309"/>
      <c r="C24437" s="309"/>
      <c r="I24437" s="309"/>
      <c r="J24437" s="309"/>
    </row>
    <row r="24438">
      <c r="B24438" s="309"/>
      <c r="C24438" s="309"/>
      <c r="I24438" s="309"/>
      <c r="J24438" s="309"/>
    </row>
    <row r="24439">
      <c r="B24439" s="309"/>
      <c r="C24439" s="309"/>
      <c r="I24439" s="309"/>
      <c r="J24439" s="309"/>
    </row>
    <row r="24440">
      <c r="B24440" s="309"/>
      <c r="C24440" s="309"/>
      <c r="I24440" s="309"/>
      <c r="J24440" s="309"/>
    </row>
    <row r="24441">
      <c r="B24441" s="309"/>
      <c r="C24441" s="309"/>
      <c r="I24441" s="309"/>
      <c r="J24441" s="309"/>
    </row>
    <row r="24442">
      <c r="B24442" s="309"/>
      <c r="C24442" s="309"/>
      <c r="I24442" s="309"/>
      <c r="J24442" s="309"/>
    </row>
    <row r="24443">
      <c r="B24443" s="309"/>
      <c r="C24443" s="309"/>
      <c r="I24443" s="309"/>
      <c r="J24443" s="309"/>
    </row>
    <row r="24444">
      <c r="B24444" s="309"/>
      <c r="C24444" s="309"/>
      <c r="I24444" s="309"/>
      <c r="J24444" s="309"/>
    </row>
    <row r="24445">
      <c r="B24445" s="309"/>
      <c r="C24445" s="309"/>
      <c r="I24445" s="309"/>
      <c r="J24445" s="309"/>
    </row>
    <row r="24446">
      <c r="B24446" s="309"/>
      <c r="C24446" s="309"/>
      <c r="I24446" s="309"/>
      <c r="J24446" s="309"/>
    </row>
    <row r="24447">
      <c r="B24447" s="309"/>
      <c r="C24447" s="309"/>
      <c r="I24447" s="309"/>
      <c r="J24447" s="309"/>
    </row>
    <row r="24448">
      <c r="B24448" s="309"/>
      <c r="C24448" s="309"/>
      <c r="I24448" s="309"/>
      <c r="J24448" s="309"/>
    </row>
    <row r="24449">
      <c r="B24449" s="309"/>
      <c r="C24449" s="309"/>
      <c r="I24449" s="309"/>
      <c r="J24449" s="309"/>
    </row>
    <row r="24450">
      <c r="B24450" s="309"/>
      <c r="C24450" s="309"/>
      <c r="I24450" s="309"/>
      <c r="J24450" s="309"/>
    </row>
    <row r="24451">
      <c r="B24451" s="309"/>
      <c r="C24451" s="309"/>
      <c r="I24451" s="309"/>
      <c r="J24451" s="309"/>
    </row>
    <row r="24452">
      <c r="B24452" s="309"/>
      <c r="C24452" s="309"/>
      <c r="I24452" s="309"/>
      <c r="J24452" s="309"/>
    </row>
    <row r="24453">
      <c r="B24453" s="309"/>
      <c r="C24453" s="309"/>
      <c r="I24453" s="309"/>
      <c r="J24453" s="309"/>
    </row>
    <row r="24454">
      <c r="B24454" s="309"/>
      <c r="C24454" s="309"/>
      <c r="I24454" s="309"/>
      <c r="J24454" s="309"/>
    </row>
    <row r="24455">
      <c r="B24455" s="309"/>
      <c r="C24455" s="309"/>
      <c r="I24455" s="309"/>
      <c r="J24455" s="309"/>
    </row>
    <row r="24456">
      <c r="B24456" s="309"/>
      <c r="C24456" s="309"/>
      <c r="I24456" s="309"/>
      <c r="J24456" s="309"/>
    </row>
    <row r="24457">
      <c r="B24457" s="309"/>
      <c r="C24457" s="309"/>
      <c r="I24457" s="309"/>
      <c r="J24457" s="309"/>
    </row>
    <row r="24458">
      <c r="B24458" s="309"/>
      <c r="C24458" s="309"/>
      <c r="I24458" s="309"/>
      <c r="J24458" s="309"/>
    </row>
    <row r="24459">
      <c r="B24459" s="309"/>
      <c r="C24459" s="309"/>
      <c r="I24459" s="309"/>
      <c r="J24459" s="309"/>
    </row>
    <row r="24460">
      <c r="B24460" s="309"/>
      <c r="C24460" s="309"/>
      <c r="I24460" s="309"/>
      <c r="J24460" s="309"/>
    </row>
    <row r="24461">
      <c r="B24461" s="309"/>
      <c r="C24461" s="309"/>
      <c r="I24461" s="309"/>
      <c r="J24461" s="309"/>
    </row>
    <row r="24462">
      <c r="B24462" s="309"/>
      <c r="C24462" s="309"/>
      <c r="I24462" s="309"/>
      <c r="J24462" s="309"/>
    </row>
    <row r="24463">
      <c r="B24463" s="309"/>
      <c r="C24463" s="309"/>
      <c r="I24463" s="309"/>
      <c r="J24463" s="309"/>
    </row>
    <row r="24464">
      <c r="B24464" s="309"/>
      <c r="C24464" s="309"/>
      <c r="I24464" s="309"/>
      <c r="J24464" s="309"/>
    </row>
    <row r="24465">
      <c r="B24465" s="309"/>
      <c r="C24465" s="309"/>
      <c r="I24465" s="309"/>
      <c r="J24465" s="309"/>
    </row>
    <row r="24466">
      <c r="B24466" s="309"/>
      <c r="C24466" s="309"/>
      <c r="I24466" s="309"/>
      <c r="J24466" s="309"/>
    </row>
    <row r="24467">
      <c r="B24467" s="309"/>
      <c r="C24467" s="309"/>
      <c r="I24467" s="309"/>
      <c r="J24467" s="309"/>
    </row>
    <row r="24468">
      <c r="B24468" s="309"/>
      <c r="C24468" s="309"/>
      <c r="I24468" s="309"/>
      <c r="J24468" s="309"/>
    </row>
    <row r="24469">
      <c r="B24469" s="309"/>
      <c r="C24469" s="309"/>
      <c r="I24469" s="309"/>
      <c r="J24469" s="309"/>
    </row>
    <row r="24470">
      <c r="B24470" s="309"/>
      <c r="C24470" s="309"/>
      <c r="I24470" s="309"/>
      <c r="J24470" s="309"/>
    </row>
    <row r="24471">
      <c r="B24471" s="309"/>
      <c r="C24471" s="309"/>
      <c r="I24471" s="309"/>
      <c r="J24471" s="309"/>
    </row>
    <row r="24472">
      <c r="B24472" s="309"/>
      <c r="C24472" s="309"/>
      <c r="I24472" s="309"/>
      <c r="J24472" s="309"/>
    </row>
    <row r="24473">
      <c r="B24473" s="309"/>
      <c r="C24473" s="309"/>
      <c r="I24473" s="309"/>
      <c r="J24473" s="309"/>
    </row>
    <row r="24474">
      <c r="B24474" s="309"/>
      <c r="C24474" s="309"/>
      <c r="I24474" s="309"/>
      <c r="J24474" s="309"/>
    </row>
    <row r="24475">
      <c r="B24475" s="309"/>
      <c r="C24475" s="309"/>
      <c r="I24475" s="309"/>
      <c r="J24475" s="309"/>
    </row>
    <row r="24476">
      <c r="B24476" s="309"/>
      <c r="C24476" s="309"/>
      <c r="I24476" s="309"/>
      <c r="J24476" s="309"/>
    </row>
    <row r="24477">
      <c r="B24477" s="309"/>
      <c r="C24477" s="309"/>
      <c r="I24477" s="309"/>
      <c r="J24477" s="309"/>
    </row>
    <row r="24478">
      <c r="B24478" s="309"/>
      <c r="C24478" s="309"/>
      <c r="I24478" s="309"/>
      <c r="J24478" s="309"/>
    </row>
    <row r="24479">
      <c r="B24479" s="309"/>
      <c r="C24479" s="309"/>
      <c r="I24479" s="309"/>
      <c r="J24479" s="309"/>
    </row>
    <row r="24480">
      <c r="B24480" s="309"/>
      <c r="C24480" s="309"/>
      <c r="I24480" s="309"/>
      <c r="J24480" s="309"/>
    </row>
    <row r="24481">
      <c r="B24481" s="309"/>
      <c r="C24481" s="309"/>
      <c r="I24481" s="309"/>
      <c r="J24481" s="309"/>
    </row>
    <row r="24482">
      <c r="B24482" s="309"/>
      <c r="C24482" s="309"/>
      <c r="I24482" s="309"/>
      <c r="J24482" s="309"/>
    </row>
    <row r="24483">
      <c r="B24483" s="309"/>
      <c r="C24483" s="309"/>
      <c r="I24483" s="309"/>
      <c r="J24483" s="309"/>
    </row>
    <row r="24484">
      <c r="B24484" s="309"/>
      <c r="C24484" s="309"/>
      <c r="I24484" s="309"/>
      <c r="J24484" s="309"/>
    </row>
    <row r="24485">
      <c r="B24485" s="309"/>
      <c r="C24485" s="309"/>
      <c r="I24485" s="309"/>
      <c r="J24485" s="309"/>
    </row>
    <row r="24486">
      <c r="B24486" s="309"/>
      <c r="C24486" s="309"/>
      <c r="I24486" s="309"/>
      <c r="J24486" s="309"/>
    </row>
    <row r="24487">
      <c r="B24487" s="309"/>
      <c r="C24487" s="309"/>
      <c r="I24487" s="309"/>
      <c r="J24487" s="309"/>
    </row>
    <row r="24488">
      <c r="B24488" s="309"/>
      <c r="C24488" s="309"/>
      <c r="I24488" s="309"/>
      <c r="J24488" s="309"/>
    </row>
    <row r="24489">
      <c r="B24489" s="309"/>
      <c r="C24489" s="309"/>
      <c r="I24489" s="309"/>
      <c r="J24489" s="309"/>
    </row>
    <row r="24490">
      <c r="B24490" s="309"/>
      <c r="C24490" s="309"/>
      <c r="I24490" s="309"/>
      <c r="J24490" s="309"/>
    </row>
    <row r="24491">
      <c r="B24491" s="309"/>
      <c r="C24491" s="309"/>
      <c r="I24491" s="309"/>
      <c r="J24491" s="309"/>
    </row>
    <row r="24492">
      <c r="B24492" s="309"/>
      <c r="C24492" s="309"/>
      <c r="I24492" s="309"/>
      <c r="J24492" s="309"/>
    </row>
    <row r="24493">
      <c r="B24493" s="309"/>
      <c r="C24493" s="309"/>
      <c r="I24493" s="309"/>
      <c r="J24493" s="309"/>
    </row>
    <row r="24494">
      <c r="B24494" s="309"/>
      <c r="C24494" s="309"/>
      <c r="I24494" s="309"/>
      <c r="J24494" s="309"/>
    </row>
    <row r="24495">
      <c r="B24495" s="309"/>
      <c r="C24495" s="309"/>
      <c r="I24495" s="309"/>
      <c r="J24495" s="309"/>
    </row>
    <row r="24496">
      <c r="B24496" s="309"/>
      <c r="C24496" s="309"/>
      <c r="I24496" s="309"/>
      <c r="J24496" s="309"/>
    </row>
    <row r="24497">
      <c r="B24497" s="309"/>
      <c r="C24497" s="309"/>
      <c r="I24497" s="309"/>
      <c r="J24497" s="309"/>
    </row>
    <row r="24498">
      <c r="B24498" s="309"/>
      <c r="C24498" s="309"/>
      <c r="I24498" s="309"/>
      <c r="J24498" s="309"/>
    </row>
    <row r="24499">
      <c r="B24499" s="309"/>
      <c r="C24499" s="309"/>
      <c r="I24499" s="309"/>
      <c r="J24499" s="309"/>
    </row>
    <row r="24500">
      <c r="B24500" s="309"/>
      <c r="C24500" s="309"/>
      <c r="I24500" s="309"/>
      <c r="J24500" s="309"/>
    </row>
    <row r="24501">
      <c r="B24501" s="309"/>
      <c r="C24501" s="309"/>
      <c r="I24501" s="309"/>
      <c r="J24501" s="309"/>
    </row>
    <row r="24502">
      <c r="B24502" s="309"/>
      <c r="C24502" s="309"/>
      <c r="I24502" s="309"/>
      <c r="J24502" s="309"/>
    </row>
    <row r="24503">
      <c r="B24503" s="309"/>
      <c r="C24503" s="309"/>
      <c r="I24503" s="309"/>
      <c r="J24503" s="309"/>
    </row>
    <row r="24504">
      <c r="B24504" s="309"/>
      <c r="C24504" s="309"/>
      <c r="I24504" s="309"/>
      <c r="J24504" s="309"/>
    </row>
    <row r="24505">
      <c r="B24505" s="309"/>
      <c r="C24505" s="309"/>
      <c r="I24505" s="309"/>
      <c r="J24505" s="309"/>
    </row>
    <row r="24506">
      <c r="B24506" s="309"/>
      <c r="C24506" s="309"/>
      <c r="I24506" s="309"/>
      <c r="J24506" s="309"/>
    </row>
    <row r="24507">
      <c r="B24507" s="309"/>
      <c r="C24507" s="309"/>
      <c r="I24507" s="309"/>
      <c r="J24507" s="309"/>
    </row>
    <row r="24508">
      <c r="B24508" s="309"/>
      <c r="C24508" s="309"/>
      <c r="I24508" s="309"/>
      <c r="J24508" s="309"/>
    </row>
    <row r="24509">
      <c r="B24509" s="309"/>
      <c r="C24509" s="309"/>
      <c r="I24509" s="309"/>
      <c r="J24509" s="309"/>
    </row>
    <row r="24510">
      <c r="B24510" s="309"/>
      <c r="C24510" s="309"/>
      <c r="I24510" s="309"/>
      <c r="J24510" s="309"/>
    </row>
    <row r="24511">
      <c r="B24511" s="309"/>
      <c r="C24511" s="309"/>
      <c r="I24511" s="309"/>
      <c r="J24511" s="309"/>
    </row>
    <row r="24512">
      <c r="B24512" s="309"/>
      <c r="C24512" s="309"/>
      <c r="I24512" s="309"/>
      <c r="J24512" s="309"/>
    </row>
    <row r="24513">
      <c r="B24513" s="309"/>
      <c r="C24513" s="309"/>
      <c r="I24513" s="309"/>
      <c r="J24513" s="309"/>
    </row>
    <row r="24514">
      <c r="B24514" s="309"/>
      <c r="C24514" s="309"/>
      <c r="I24514" s="309"/>
      <c r="J24514" s="309"/>
    </row>
    <row r="24515">
      <c r="B24515" s="309"/>
      <c r="C24515" s="309"/>
      <c r="I24515" s="309"/>
      <c r="J24515" s="309"/>
    </row>
    <row r="24516">
      <c r="B24516" s="309"/>
      <c r="C24516" s="309"/>
      <c r="I24516" s="309"/>
      <c r="J24516" s="309"/>
    </row>
    <row r="24517">
      <c r="B24517" s="309"/>
      <c r="C24517" s="309"/>
      <c r="I24517" s="309"/>
      <c r="J24517" s="309"/>
    </row>
    <row r="24518">
      <c r="B24518" s="309"/>
      <c r="C24518" s="309"/>
      <c r="I24518" s="309"/>
      <c r="J24518" s="309"/>
    </row>
    <row r="24519">
      <c r="B24519" s="309"/>
      <c r="C24519" s="309"/>
      <c r="I24519" s="309"/>
      <c r="J24519" s="309"/>
    </row>
    <row r="24520">
      <c r="B24520" s="309"/>
      <c r="C24520" s="309"/>
      <c r="I24520" s="309"/>
      <c r="J24520" s="309"/>
    </row>
    <row r="24521">
      <c r="B24521" s="309"/>
      <c r="C24521" s="309"/>
      <c r="I24521" s="309"/>
      <c r="J24521" s="309"/>
    </row>
    <row r="24522">
      <c r="B24522" s="309"/>
      <c r="C24522" s="309"/>
      <c r="I24522" s="309"/>
      <c r="J24522" s="309"/>
    </row>
    <row r="24523">
      <c r="B24523" s="309"/>
      <c r="C24523" s="309"/>
      <c r="I24523" s="309"/>
      <c r="J24523" s="309"/>
    </row>
    <row r="24524">
      <c r="B24524" s="309"/>
      <c r="C24524" s="309"/>
      <c r="I24524" s="309"/>
      <c r="J24524" s="309"/>
    </row>
    <row r="24525">
      <c r="B24525" s="309"/>
      <c r="C24525" s="309"/>
      <c r="I24525" s="309"/>
      <c r="J24525" s="309"/>
    </row>
    <row r="24526">
      <c r="B24526" s="309"/>
      <c r="C24526" s="309"/>
      <c r="I24526" s="309"/>
      <c r="J24526" s="309"/>
    </row>
    <row r="24527">
      <c r="B24527" s="309"/>
      <c r="C24527" s="309"/>
      <c r="I24527" s="309"/>
      <c r="J24527" s="309"/>
    </row>
    <row r="24528">
      <c r="B24528" s="309"/>
      <c r="C24528" s="309"/>
      <c r="I24528" s="309"/>
      <c r="J24528" s="309"/>
    </row>
    <row r="24529">
      <c r="B24529" s="309"/>
      <c r="C24529" s="309"/>
      <c r="I24529" s="309"/>
      <c r="J24529" s="309"/>
    </row>
    <row r="24530">
      <c r="B24530" s="309"/>
      <c r="C24530" s="309"/>
      <c r="I24530" s="309"/>
      <c r="J24530" s="309"/>
    </row>
    <row r="24531">
      <c r="B24531" s="309"/>
      <c r="C24531" s="309"/>
      <c r="I24531" s="309"/>
      <c r="J24531" s="309"/>
    </row>
    <row r="24532">
      <c r="B24532" s="309"/>
      <c r="C24532" s="309"/>
      <c r="I24532" s="309"/>
      <c r="J24532" s="309"/>
    </row>
    <row r="24533">
      <c r="B24533" s="309"/>
      <c r="C24533" s="309"/>
      <c r="I24533" s="309"/>
      <c r="J24533" s="309"/>
    </row>
    <row r="24534">
      <c r="B24534" s="309"/>
      <c r="C24534" s="309"/>
      <c r="I24534" s="309"/>
      <c r="J24534" s="309"/>
    </row>
    <row r="24535">
      <c r="B24535" s="309"/>
      <c r="C24535" s="309"/>
      <c r="I24535" s="309"/>
      <c r="J24535" s="309"/>
    </row>
    <row r="24536">
      <c r="B24536" s="309"/>
      <c r="C24536" s="309"/>
      <c r="I24536" s="309"/>
      <c r="J24536" s="309"/>
    </row>
    <row r="24537">
      <c r="B24537" s="309"/>
      <c r="C24537" s="309"/>
      <c r="I24537" s="309"/>
      <c r="J24537" s="309"/>
    </row>
    <row r="24538">
      <c r="B24538" s="309"/>
      <c r="C24538" s="309"/>
      <c r="I24538" s="309"/>
      <c r="J24538" s="309"/>
    </row>
    <row r="24539">
      <c r="B24539" s="309"/>
      <c r="C24539" s="309"/>
      <c r="I24539" s="309"/>
      <c r="J24539" s="309"/>
    </row>
    <row r="24540">
      <c r="B24540" s="309"/>
      <c r="C24540" s="309"/>
      <c r="I24540" s="309"/>
      <c r="J24540" s="309"/>
    </row>
    <row r="24541">
      <c r="B24541" s="309"/>
      <c r="C24541" s="309"/>
      <c r="I24541" s="309"/>
      <c r="J24541" s="309"/>
    </row>
    <row r="24542">
      <c r="B24542" s="309"/>
      <c r="C24542" s="309"/>
      <c r="I24542" s="309"/>
      <c r="J24542" s="309"/>
    </row>
    <row r="24543">
      <c r="B24543" s="309"/>
      <c r="C24543" s="309"/>
      <c r="I24543" s="309"/>
      <c r="J24543" s="309"/>
    </row>
    <row r="24544">
      <c r="B24544" s="309"/>
      <c r="C24544" s="309"/>
      <c r="I24544" s="309"/>
      <c r="J24544" s="309"/>
    </row>
    <row r="24545">
      <c r="B24545" s="309"/>
      <c r="C24545" s="309"/>
      <c r="I24545" s="309"/>
      <c r="J24545" s="309"/>
    </row>
    <row r="24546">
      <c r="B24546" s="309"/>
      <c r="C24546" s="309"/>
      <c r="I24546" s="309"/>
      <c r="J24546" s="309"/>
    </row>
    <row r="24547">
      <c r="B24547" s="309"/>
      <c r="C24547" s="309"/>
      <c r="I24547" s="309"/>
      <c r="J24547" s="309"/>
    </row>
    <row r="24548">
      <c r="B24548" s="309"/>
      <c r="C24548" s="309"/>
      <c r="I24548" s="309"/>
      <c r="J24548" s="309"/>
    </row>
    <row r="24549">
      <c r="B24549" s="309"/>
      <c r="C24549" s="309"/>
      <c r="I24549" s="309"/>
      <c r="J24549" s="309"/>
    </row>
    <row r="24550">
      <c r="B24550" s="309"/>
      <c r="C24550" s="309"/>
      <c r="I24550" s="309"/>
      <c r="J24550" s="309"/>
    </row>
    <row r="24551">
      <c r="B24551" s="309"/>
      <c r="C24551" s="309"/>
      <c r="I24551" s="309"/>
      <c r="J24551" s="309"/>
    </row>
    <row r="24552">
      <c r="B24552" s="309"/>
      <c r="C24552" s="309"/>
      <c r="I24552" s="309"/>
      <c r="J24552" s="309"/>
    </row>
    <row r="24553">
      <c r="B24553" s="309"/>
      <c r="C24553" s="309"/>
      <c r="I24553" s="309"/>
      <c r="J24553" s="309"/>
    </row>
    <row r="24554">
      <c r="B24554" s="309"/>
      <c r="C24554" s="309"/>
      <c r="I24554" s="309"/>
      <c r="J24554" s="309"/>
    </row>
    <row r="24555">
      <c r="B24555" s="309"/>
      <c r="C24555" s="309"/>
      <c r="I24555" s="309"/>
      <c r="J24555" s="309"/>
    </row>
    <row r="24556">
      <c r="B24556" s="309"/>
      <c r="C24556" s="309"/>
      <c r="I24556" s="309"/>
      <c r="J24556" s="309"/>
    </row>
    <row r="24557">
      <c r="B24557" s="309"/>
      <c r="C24557" s="309"/>
      <c r="I24557" s="309"/>
      <c r="J24557" s="309"/>
    </row>
    <row r="24558">
      <c r="B24558" s="309"/>
      <c r="C24558" s="309"/>
      <c r="I24558" s="309"/>
      <c r="J24558" s="309"/>
    </row>
    <row r="24559">
      <c r="B24559" s="309"/>
      <c r="C24559" s="309"/>
      <c r="I24559" s="309"/>
      <c r="J24559" s="309"/>
    </row>
    <row r="24560">
      <c r="B24560" s="309"/>
      <c r="C24560" s="309"/>
      <c r="I24560" s="309"/>
      <c r="J24560" s="309"/>
    </row>
    <row r="24561">
      <c r="B24561" s="309"/>
      <c r="C24561" s="309"/>
      <c r="I24561" s="309"/>
      <c r="J24561" s="309"/>
    </row>
    <row r="24562">
      <c r="B24562" s="309"/>
      <c r="C24562" s="309"/>
      <c r="I24562" s="309"/>
      <c r="J24562" s="309"/>
    </row>
    <row r="24563">
      <c r="B24563" s="309"/>
      <c r="C24563" s="309"/>
      <c r="I24563" s="309"/>
      <c r="J24563" s="309"/>
    </row>
    <row r="24564">
      <c r="B24564" s="309"/>
      <c r="C24564" s="309"/>
      <c r="I24564" s="309"/>
      <c r="J24564" s="309"/>
    </row>
    <row r="24565">
      <c r="B24565" s="309"/>
      <c r="C24565" s="309"/>
      <c r="I24565" s="309"/>
      <c r="J24565" s="309"/>
    </row>
    <row r="24566">
      <c r="B24566" s="309"/>
      <c r="C24566" s="309"/>
      <c r="I24566" s="309"/>
      <c r="J24566" s="309"/>
    </row>
    <row r="24567">
      <c r="B24567" s="309"/>
      <c r="C24567" s="309"/>
      <c r="I24567" s="309"/>
      <c r="J24567" s="309"/>
    </row>
    <row r="24568">
      <c r="B24568" s="309"/>
      <c r="C24568" s="309"/>
      <c r="I24568" s="309"/>
      <c r="J24568" s="309"/>
    </row>
    <row r="24569">
      <c r="B24569" s="309"/>
      <c r="C24569" s="309"/>
      <c r="I24569" s="309"/>
      <c r="J24569" s="309"/>
    </row>
    <row r="24570">
      <c r="B24570" s="309"/>
      <c r="C24570" s="309"/>
      <c r="I24570" s="309"/>
      <c r="J24570" s="309"/>
    </row>
    <row r="24571">
      <c r="B24571" s="309"/>
      <c r="C24571" s="309"/>
      <c r="I24571" s="309"/>
      <c r="J24571" s="309"/>
    </row>
    <row r="24572">
      <c r="B24572" s="309"/>
      <c r="C24572" s="309"/>
      <c r="I24572" s="309"/>
      <c r="J24572" s="309"/>
    </row>
    <row r="24573">
      <c r="B24573" s="309"/>
      <c r="C24573" s="309"/>
      <c r="I24573" s="309"/>
      <c r="J24573" s="309"/>
    </row>
    <row r="24574">
      <c r="B24574" s="309"/>
      <c r="C24574" s="309"/>
      <c r="I24574" s="309"/>
      <c r="J24574" s="309"/>
    </row>
    <row r="24575">
      <c r="B24575" s="309"/>
      <c r="C24575" s="309"/>
      <c r="I24575" s="309"/>
      <c r="J24575" s="309"/>
    </row>
    <row r="24576">
      <c r="B24576" s="309"/>
      <c r="C24576" s="309"/>
      <c r="I24576" s="309"/>
      <c r="J24576" s="309"/>
    </row>
    <row r="24577">
      <c r="B24577" s="309"/>
      <c r="C24577" s="309"/>
      <c r="I24577" s="309"/>
      <c r="J24577" s="309"/>
    </row>
    <row r="24578">
      <c r="B24578" s="309"/>
      <c r="C24578" s="309"/>
      <c r="I24578" s="309"/>
      <c r="J24578" s="309"/>
    </row>
    <row r="24579">
      <c r="B24579" s="309"/>
      <c r="C24579" s="309"/>
      <c r="I24579" s="309"/>
      <c r="J24579" s="309"/>
    </row>
    <row r="24580">
      <c r="B24580" s="309"/>
      <c r="C24580" s="309"/>
      <c r="I24580" s="309"/>
      <c r="J24580" s="309"/>
    </row>
    <row r="24581">
      <c r="B24581" s="309"/>
      <c r="C24581" s="309"/>
      <c r="I24581" s="309"/>
      <c r="J24581" s="309"/>
    </row>
    <row r="24582">
      <c r="B24582" s="309"/>
      <c r="C24582" s="309"/>
      <c r="I24582" s="309"/>
      <c r="J24582" s="309"/>
    </row>
    <row r="24583">
      <c r="B24583" s="309"/>
      <c r="C24583" s="309"/>
      <c r="I24583" s="309"/>
      <c r="J24583" s="309"/>
    </row>
    <row r="24584">
      <c r="B24584" s="309"/>
      <c r="C24584" s="309"/>
      <c r="I24584" s="309"/>
      <c r="J24584" s="309"/>
    </row>
    <row r="24585">
      <c r="B24585" s="309"/>
      <c r="C24585" s="309"/>
      <c r="I24585" s="309"/>
      <c r="J24585" s="309"/>
    </row>
    <row r="24586">
      <c r="B24586" s="309"/>
      <c r="C24586" s="309"/>
      <c r="I24586" s="309"/>
      <c r="J24586" s="309"/>
    </row>
    <row r="24587">
      <c r="B24587" s="309"/>
      <c r="C24587" s="309"/>
      <c r="I24587" s="309"/>
      <c r="J24587" s="309"/>
    </row>
    <row r="24588">
      <c r="B24588" s="309"/>
      <c r="C24588" s="309"/>
      <c r="I24588" s="309"/>
      <c r="J24588" s="309"/>
    </row>
    <row r="24589">
      <c r="B24589" s="309"/>
      <c r="C24589" s="309"/>
      <c r="I24589" s="309"/>
      <c r="J24589" s="309"/>
    </row>
    <row r="24590">
      <c r="B24590" s="309"/>
      <c r="C24590" s="309"/>
      <c r="I24590" s="309"/>
      <c r="J24590" s="309"/>
    </row>
    <row r="24591">
      <c r="B24591" s="309"/>
      <c r="C24591" s="309"/>
      <c r="I24591" s="309"/>
      <c r="J24591" s="309"/>
    </row>
    <row r="24592">
      <c r="B24592" s="309"/>
      <c r="C24592" s="309"/>
      <c r="I24592" s="309"/>
      <c r="J24592" s="309"/>
    </row>
    <row r="24593">
      <c r="B24593" s="309"/>
      <c r="C24593" s="309"/>
      <c r="I24593" s="309"/>
      <c r="J24593" s="309"/>
    </row>
    <row r="24594">
      <c r="B24594" s="309"/>
      <c r="C24594" s="309"/>
      <c r="I24594" s="309"/>
      <c r="J24594" s="309"/>
    </row>
    <row r="24595">
      <c r="B24595" s="309"/>
      <c r="C24595" s="309"/>
      <c r="I24595" s="309"/>
      <c r="J24595" s="309"/>
    </row>
    <row r="24596">
      <c r="B24596" s="309"/>
      <c r="C24596" s="309"/>
      <c r="I24596" s="309"/>
      <c r="J24596" s="309"/>
    </row>
    <row r="24597">
      <c r="B24597" s="309"/>
      <c r="C24597" s="309"/>
      <c r="I24597" s="309"/>
      <c r="J24597" s="309"/>
    </row>
    <row r="24598">
      <c r="B24598" s="309"/>
      <c r="C24598" s="309"/>
      <c r="I24598" s="309"/>
      <c r="J24598" s="309"/>
    </row>
    <row r="24599">
      <c r="B24599" s="309"/>
      <c r="C24599" s="309"/>
      <c r="I24599" s="309"/>
      <c r="J24599" s="309"/>
    </row>
    <row r="24600">
      <c r="B24600" s="309"/>
      <c r="C24600" s="309"/>
      <c r="I24600" s="309"/>
      <c r="J24600" s="309"/>
    </row>
    <row r="24601">
      <c r="B24601" s="309"/>
      <c r="C24601" s="309"/>
      <c r="I24601" s="309"/>
      <c r="J24601" s="309"/>
    </row>
    <row r="24602">
      <c r="B24602" s="309"/>
      <c r="C24602" s="309"/>
      <c r="I24602" s="309"/>
      <c r="J24602" s="309"/>
    </row>
    <row r="24603">
      <c r="B24603" s="309"/>
      <c r="C24603" s="309"/>
      <c r="I24603" s="309"/>
      <c r="J24603" s="309"/>
    </row>
    <row r="24604">
      <c r="B24604" s="309"/>
      <c r="C24604" s="309"/>
      <c r="I24604" s="309"/>
      <c r="J24604" s="309"/>
    </row>
    <row r="24605">
      <c r="B24605" s="309"/>
      <c r="C24605" s="309"/>
      <c r="I24605" s="309"/>
      <c r="J24605" s="309"/>
    </row>
    <row r="24606">
      <c r="B24606" s="309"/>
      <c r="C24606" s="309"/>
      <c r="I24606" s="309"/>
      <c r="J24606" s="309"/>
    </row>
    <row r="24607">
      <c r="B24607" s="309"/>
      <c r="C24607" s="309"/>
      <c r="I24607" s="309"/>
      <c r="J24607" s="309"/>
    </row>
    <row r="24608">
      <c r="B24608" s="309"/>
      <c r="C24608" s="309"/>
      <c r="I24608" s="309"/>
      <c r="J24608" s="309"/>
    </row>
    <row r="24609">
      <c r="B24609" s="309"/>
      <c r="C24609" s="309"/>
      <c r="I24609" s="309"/>
      <c r="J24609" s="309"/>
    </row>
    <row r="24610">
      <c r="B24610" s="309"/>
      <c r="C24610" s="309"/>
      <c r="I24610" s="309"/>
      <c r="J24610" s="309"/>
    </row>
    <row r="24611">
      <c r="B24611" s="309"/>
      <c r="C24611" s="309"/>
      <c r="I24611" s="309"/>
      <c r="J24611" s="309"/>
    </row>
    <row r="24612">
      <c r="B24612" s="309"/>
      <c r="C24612" s="309"/>
      <c r="I24612" s="309"/>
      <c r="J24612" s="309"/>
    </row>
    <row r="24613">
      <c r="B24613" s="309"/>
      <c r="C24613" s="309"/>
      <c r="I24613" s="309"/>
      <c r="J24613" s="309"/>
    </row>
    <row r="24614">
      <c r="B24614" s="309"/>
      <c r="C24614" s="309"/>
      <c r="I24614" s="309"/>
      <c r="J24614" s="309"/>
    </row>
    <row r="24615">
      <c r="B24615" s="309"/>
      <c r="C24615" s="309"/>
      <c r="I24615" s="309"/>
      <c r="J24615" s="309"/>
    </row>
    <row r="24616">
      <c r="B24616" s="309"/>
      <c r="C24616" s="309"/>
      <c r="I24616" s="309"/>
      <c r="J24616" s="309"/>
    </row>
    <row r="24617">
      <c r="B24617" s="309"/>
      <c r="C24617" s="309"/>
      <c r="I24617" s="309"/>
      <c r="J24617" s="309"/>
    </row>
    <row r="24618">
      <c r="B24618" s="309"/>
      <c r="C24618" s="309"/>
      <c r="I24618" s="309"/>
      <c r="J24618" s="309"/>
    </row>
    <row r="24619">
      <c r="B24619" s="309"/>
      <c r="C24619" s="309"/>
      <c r="I24619" s="309"/>
      <c r="J24619" s="309"/>
    </row>
    <row r="24620">
      <c r="B24620" s="309"/>
      <c r="C24620" s="309"/>
      <c r="I24620" s="309"/>
      <c r="J24620" s="309"/>
    </row>
    <row r="24621">
      <c r="B24621" s="309"/>
      <c r="C24621" s="309"/>
      <c r="I24621" s="309"/>
      <c r="J24621" s="309"/>
    </row>
    <row r="24622">
      <c r="B24622" s="309"/>
      <c r="C24622" s="309"/>
      <c r="I24622" s="309"/>
      <c r="J24622" s="309"/>
    </row>
    <row r="24623">
      <c r="B24623" s="309"/>
      <c r="C24623" s="309"/>
      <c r="I24623" s="309"/>
      <c r="J24623" s="309"/>
    </row>
    <row r="24624">
      <c r="B24624" s="309"/>
      <c r="C24624" s="309"/>
      <c r="I24624" s="309"/>
      <c r="J24624" s="309"/>
    </row>
    <row r="24625">
      <c r="B24625" s="309"/>
      <c r="C24625" s="309"/>
      <c r="I24625" s="309"/>
      <c r="J24625" s="309"/>
    </row>
    <row r="24626">
      <c r="B24626" s="309"/>
      <c r="C24626" s="309"/>
      <c r="I24626" s="309"/>
      <c r="J24626" s="309"/>
    </row>
    <row r="24627">
      <c r="B24627" s="309"/>
      <c r="C24627" s="309"/>
      <c r="I24627" s="309"/>
      <c r="J24627" s="309"/>
    </row>
    <row r="24628">
      <c r="B24628" s="309"/>
      <c r="C24628" s="309"/>
      <c r="I24628" s="309"/>
      <c r="J24628" s="309"/>
    </row>
    <row r="24629">
      <c r="B24629" s="309"/>
      <c r="C24629" s="309"/>
      <c r="I24629" s="309"/>
      <c r="J24629" s="309"/>
    </row>
    <row r="24630">
      <c r="B24630" s="309"/>
      <c r="C24630" s="309"/>
      <c r="I24630" s="309"/>
      <c r="J24630" s="309"/>
    </row>
    <row r="24631">
      <c r="B24631" s="309"/>
      <c r="C24631" s="309"/>
      <c r="I24631" s="309"/>
      <c r="J24631" s="309"/>
    </row>
    <row r="24632">
      <c r="B24632" s="309"/>
      <c r="C24632" s="309"/>
      <c r="I24632" s="309"/>
      <c r="J24632" s="309"/>
    </row>
    <row r="24633">
      <c r="B24633" s="309"/>
      <c r="C24633" s="309"/>
      <c r="I24633" s="309"/>
      <c r="J24633" s="309"/>
    </row>
    <row r="24634">
      <c r="B24634" s="309"/>
      <c r="C24634" s="309"/>
      <c r="I24634" s="309"/>
      <c r="J24634" s="309"/>
    </row>
    <row r="24635">
      <c r="B24635" s="309"/>
      <c r="C24635" s="309"/>
      <c r="I24635" s="309"/>
      <c r="J24635" s="309"/>
    </row>
    <row r="24636">
      <c r="B24636" s="309"/>
      <c r="C24636" s="309"/>
      <c r="I24636" s="309"/>
      <c r="J24636" s="309"/>
    </row>
    <row r="24637">
      <c r="B24637" s="309"/>
      <c r="C24637" s="309"/>
      <c r="I24637" s="309"/>
      <c r="J24637" s="309"/>
    </row>
    <row r="24638">
      <c r="B24638" s="309"/>
      <c r="C24638" s="309"/>
      <c r="I24638" s="309"/>
      <c r="J24638" s="309"/>
    </row>
    <row r="24639">
      <c r="B24639" s="309"/>
      <c r="C24639" s="309"/>
      <c r="I24639" s="309"/>
      <c r="J24639" s="309"/>
    </row>
    <row r="24640">
      <c r="B24640" s="309"/>
      <c r="C24640" s="309"/>
      <c r="I24640" s="309"/>
      <c r="J24640" s="309"/>
    </row>
    <row r="24641">
      <c r="B24641" s="309"/>
      <c r="C24641" s="309"/>
      <c r="I24641" s="309"/>
      <c r="J24641" s="309"/>
    </row>
    <row r="24642">
      <c r="B24642" s="309"/>
      <c r="C24642" s="309"/>
      <c r="I24642" s="309"/>
      <c r="J24642" s="309"/>
    </row>
    <row r="24643">
      <c r="B24643" s="309"/>
      <c r="C24643" s="309"/>
      <c r="I24643" s="309"/>
      <c r="J24643" s="309"/>
    </row>
    <row r="24644">
      <c r="B24644" s="309"/>
      <c r="C24644" s="309"/>
      <c r="I24644" s="309"/>
      <c r="J24644" s="309"/>
    </row>
    <row r="24645">
      <c r="B24645" s="309"/>
      <c r="C24645" s="309"/>
      <c r="I24645" s="309"/>
      <c r="J24645" s="309"/>
    </row>
    <row r="24646">
      <c r="B24646" s="309"/>
      <c r="C24646" s="309"/>
      <c r="I24646" s="309"/>
      <c r="J24646" s="309"/>
    </row>
    <row r="24647">
      <c r="B24647" s="309"/>
      <c r="C24647" s="309"/>
      <c r="I24647" s="309"/>
      <c r="J24647" s="309"/>
    </row>
    <row r="24648">
      <c r="B24648" s="309"/>
      <c r="C24648" s="309"/>
      <c r="I24648" s="309"/>
      <c r="J24648" s="309"/>
    </row>
    <row r="24649">
      <c r="B24649" s="309"/>
      <c r="C24649" s="309"/>
      <c r="I24649" s="309"/>
      <c r="J24649" s="309"/>
    </row>
    <row r="24650">
      <c r="B24650" s="309"/>
      <c r="C24650" s="309"/>
      <c r="I24650" s="309"/>
      <c r="J24650" s="309"/>
    </row>
    <row r="24651">
      <c r="B24651" s="309"/>
      <c r="C24651" s="309"/>
      <c r="I24651" s="309"/>
      <c r="J24651" s="309"/>
    </row>
    <row r="24652">
      <c r="B24652" s="309"/>
      <c r="C24652" s="309"/>
      <c r="I24652" s="309"/>
      <c r="J24652" s="309"/>
    </row>
    <row r="24653">
      <c r="B24653" s="309"/>
      <c r="C24653" s="309"/>
      <c r="I24653" s="309"/>
      <c r="J24653" s="309"/>
    </row>
    <row r="24654">
      <c r="B24654" s="309"/>
      <c r="C24654" s="309"/>
      <c r="I24654" s="309"/>
      <c r="J24654" s="309"/>
    </row>
    <row r="24655">
      <c r="B24655" s="309"/>
      <c r="C24655" s="309"/>
      <c r="I24655" s="309"/>
      <c r="J24655" s="309"/>
    </row>
    <row r="24656">
      <c r="B24656" s="309"/>
      <c r="C24656" s="309"/>
      <c r="I24656" s="309"/>
      <c r="J24656" s="309"/>
    </row>
    <row r="24657">
      <c r="B24657" s="309"/>
      <c r="C24657" s="309"/>
      <c r="I24657" s="309"/>
      <c r="J24657" s="309"/>
    </row>
    <row r="24658">
      <c r="B24658" s="309"/>
      <c r="C24658" s="309"/>
      <c r="I24658" s="309"/>
      <c r="J24658" s="309"/>
    </row>
    <row r="24659">
      <c r="B24659" s="309"/>
      <c r="C24659" s="309"/>
      <c r="I24659" s="309"/>
      <c r="J24659" s="309"/>
    </row>
    <row r="24660">
      <c r="B24660" s="309"/>
      <c r="C24660" s="309"/>
      <c r="I24660" s="309"/>
      <c r="J24660" s="309"/>
    </row>
    <row r="24661">
      <c r="B24661" s="309"/>
      <c r="C24661" s="309"/>
      <c r="I24661" s="309"/>
      <c r="J24661" s="309"/>
    </row>
    <row r="24662">
      <c r="B24662" s="309"/>
      <c r="C24662" s="309"/>
      <c r="I24662" s="309"/>
      <c r="J24662" s="309"/>
    </row>
    <row r="24663">
      <c r="B24663" s="309"/>
      <c r="C24663" s="309"/>
      <c r="I24663" s="309"/>
      <c r="J24663" s="309"/>
    </row>
    <row r="24664">
      <c r="B24664" s="309"/>
      <c r="C24664" s="309"/>
      <c r="I24664" s="309"/>
      <c r="J24664" s="309"/>
    </row>
    <row r="24665">
      <c r="B24665" s="309"/>
      <c r="C24665" s="309"/>
      <c r="I24665" s="309"/>
      <c r="J24665" s="309"/>
    </row>
    <row r="24666">
      <c r="B24666" s="309"/>
      <c r="C24666" s="309"/>
      <c r="I24666" s="309"/>
      <c r="J24666" s="309"/>
    </row>
    <row r="24667">
      <c r="B24667" s="309"/>
      <c r="C24667" s="309"/>
      <c r="I24667" s="309"/>
      <c r="J24667" s="309"/>
    </row>
    <row r="24668">
      <c r="B24668" s="309"/>
      <c r="C24668" s="309"/>
      <c r="I24668" s="309"/>
      <c r="J24668" s="309"/>
    </row>
    <row r="24669">
      <c r="B24669" s="309"/>
      <c r="C24669" s="309"/>
      <c r="I24669" s="309"/>
      <c r="J24669" s="309"/>
    </row>
    <row r="24670">
      <c r="B24670" s="309"/>
      <c r="C24670" s="309"/>
      <c r="I24670" s="309"/>
      <c r="J24670" s="309"/>
    </row>
    <row r="24671">
      <c r="B24671" s="309"/>
      <c r="C24671" s="309"/>
      <c r="I24671" s="309"/>
      <c r="J24671" s="309"/>
    </row>
    <row r="24672">
      <c r="B24672" s="309"/>
      <c r="C24672" s="309"/>
      <c r="I24672" s="309"/>
      <c r="J24672" s="309"/>
    </row>
    <row r="24673">
      <c r="B24673" s="309"/>
      <c r="C24673" s="309"/>
      <c r="I24673" s="309"/>
      <c r="J24673" s="309"/>
    </row>
    <row r="24674">
      <c r="B24674" s="309"/>
      <c r="C24674" s="309"/>
      <c r="I24674" s="309"/>
      <c r="J24674" s="309"/>
    </row>
    <row r="24675">
      <c r="B24675" s="309"/>
      <c r="C24675" s="309"/>
      <c r="I24675" s="309"/>
      <c r="J24675" s="309"/>
    </row>
    <row r="24676">
      <c r="B24676" s="309"/>
      <c r="C24676" s="309"/>
      <c r="I24676" s="309"/>
      <c r="J24676" s="309"/>
    </row>
    <row r="24677">
      <c r="B24677" s="309"/>
      <c r="C24677" s="309"/>
      <c r="I24677" s="309"/>
      <c r="J24677" s="309"/>
    </row>
    <row r="24678">
      <c r="B24678" s="309"/>
      <c r="C24678" s="309"/>
      <c r="I24678" s="309"/>
      <c r="J24678" s="309"/>
    </row>
    <row r="24679">
      <c r="B24679" s="309"/>
      <c r="C24679" s="309"/>
      <c r="I24679" s="309"/>
      <c r="J24679" s="309"/>
    </row>
    <row r="24680">
      <c r="B24680" s="309"/>
      <c r="C24680" s="309"/>
      <c r="I24680" s="309"/>
      <c r="J24680" s="309"/>
    </row>
    <row r="24681">
      <c r="B24681" s="309"/>
      <c r="C24681" s="309"/>
      <c r="I24681" s="309"/>
      <c r="J24681" s="309"/>
    </row>
    <row r="24682">
      <c r="B24682" s="309"/>
      <c r="C24682" s="309"/>
      <c r="I24682" s="309"/>
      <c r="J24682" s="309"/>
    </row>
    <row r="24683">
      <c r="B24683" s="309"/>
      <c r="C24683" s="309"/>
      <c r="I24683" s="309"/>
      <c r="J24683" s="309"/>
    </row>
    <row r="24684">
      <c r="B24684" s="309"/>
      <c r="C24684" s="309"/>
      <c r="I24684" s="309"/>
      <c r="J24684" s="309"/>
    </row>
    <row r="24685">
      <c r="B24685" s="309"/>
      <c r="C24685" s="309"/>
      <c r="I24685" s="309"/>
      <c r="J24685" s="309"/>
    </row>
    <row r="24686">
      <c r="B24686" s="309"/>
      <c r="C24686" s="309"/>
      <c r="I24686" s="309"/>
      <c r="J24686" s="309"/>
    </row>
    <row r="24687">
      <c r="B24687" s="309"/>
      <c r="C24687" s="309"/>
      <c r="I24687" s="309"/>
      <c r="J24687" s="309"/>
    </row>
    <row r="24688">
      <c r="B24688" s="309"/>
      <c r="C24688" s="309"/>
      <c r="I24688" s="309"/>
      <c r="J24688" s="309"/>
    </row>
    <row r="24689">
      <c r="B24689" s="309"/>
      <c r="C24689" s="309"/>
      <c r="I24689" s="309"/>
      <c r="J24689" s="309"/>
    </row>
    <row r="24690">
      <c r="B24690" s="309"/>
      <c r="C24690" s="309"/>
      <c r="I24690" s="309"/>
      <c r="J24690" s="309"/>
    </row>
    <row r="24691">
      <c r="B24691" s="309"/>
      <c r="C24691" s="309"/>
      <c r="I24691" s="309"/>
      <c r="J24691" s="309"/>
    </row>
    <row r="24692">
      <c r="B24692" s="309"/>
      <c r="C24692" s="309"/>
      <c r="I24692" s="309"/>
      <c r="J24692" s="309"/>
    </row>
    <row r="24693">
      <c r="B24693" s="309"/>
      <c r="C24693" s="309"/>
      <c r="I24693" s="309"/>
      <c r="J24693" s="309"/>
    </row>
    <row r="24694">
      <c r="B24694" s="309"/>
      <c r="C24694" s="309"/>
      <c r="I24694" s="309"/>
      <c r="J24694" s="309"/>
    </row>
    <row r="24695">
      <c r="B24695" s="309"/>
      <c r="C24695" s="309"/>
      <c r="I24695" s="309"/>
      <c r="J24695" s="309"/>
    </row>
    <row r="24696">
      <c r="B24696" s="309"/>
      <c r="C24696" s="309"/>
      <c r="I24696" s="309"/>
      <c r="J24696" s="309"/>
    </row>
    <row r="24697">
      <c r="B24697" s="309"/>
      <c r="C24697" s="309"/>
      <c r="I24697" s="309"/>
      <c r="J24697" s="309"/>
    </row>
    <row r="24698">
      <c r="B24698" s="309"/>
      <c r="C24698" s="309"/>
      <c r="I24698" s="309"/>
      <c r="J24698" s="309"/>
    </row>
    <row r="24699">
      <c r="B24699" s="309"/>
      <c r="C24699" s="309"/>
      <c r="I24699" s="309"/>
      <c r="J24699" s="309"/>
    </row>
    <row r="24700">
      <c r="B24700" s="309"/>
      <c r="C24700" s="309"/>
      <c r="I24700" s="309"/>
      <c r="J24700" s="309"/>
    </row>
    <row r="24701">
      <c r="B24701" s="309"/>
      <c r="C24701" s="309"/>
      <c r="I24701" s="309"/>
      <c r="J24701" s="309"/>
    </row>
    <row r="24702">
      <c r="B24702" s="309"/>
      <c r="C24702" s="309"/>
      <c r="I24702" s="309"/>
      <c r="J24702" s="309"/>
    </row>
    <row r="24703">
      <c r="B24703" s="309"/>
      <c r="C24703" s="309"/>
      <c r="I24703" s="309"/>
      <c r="J24703" s="309"/>
    </row>
    <row r="24704">
      <c r="B24704" s="309"/>
      <c r="C24704" s="309"/>
      <c r="I24704" s="309"/>
      <c r="J24704" s="309"/>
    </row>
    <row r="24705">
      <c r="B24705" s="309"/>
      <c r="C24705" s="309"/>
      <c r="I24705" s="309"/>
      <c r="J24705" s="309"/>
    </row>
    <row r="24706">
      <c r="B24706" s="309"/>
      <c r="C24706" s="309"/>
      <c r="I24706" s="309"/>
      <c r="J24706" s="309"/>
    </row>
    <row r="24707">
      <c r="B24707" s="309"/>
      <c r="C24707" s="309"/>
      <c r="I24707" s="309"/>
      <c r="J24707" s="309"/>
    </row>
    <row r="24708">
      <c r="B24708" s="309"/>
      <c r="C24708" s="309"/>
      <c r="I24708" s="309"/>
      <c r="J24708" s="309"/>
    </row>
    <row r="24709">
      <c r="B24709" s="309"/>
      <c r="C24709" s="309"/>
      <c r="I24709" s="309"/>
      <c r="J24709" s="309"/>
    </row>
    <row r="24710">
      <c r="B24710" s="309"/>
      <c r="C24710" s="309"/>
      <c r="I24710" s="309"/>
      <c r="J24710" s="309"/>
    </row>
    <row r="24711">
      <c r="B24711" s="309"/>
      <c r="C24711" s="309"/>
      <c r="I24711" s="309"/>
      <c r="J24711" s="309"/>
    </row>
    <row r="24712">
      <c r="B24712" s="309"/>
      <c r="C24712" s="309"/>
      <c r="I24712" s="309"/>
      <c r="J24712" s="309"/>
    </row>
    <row r="24713">
      <c r="B24713" s="309"/>
      <c r="C24713" s="309"/>
      <c r="I24713" s="309"/>
      <c r="J24713" s="309"/>
    </row>
    <row r="24714">
      <c r="B24714" s="309"/>
      <c r="C24714" s="309"/>
      <c r="I24714" s="309"/>
      <c r="J24714" s="309"/>
    </row>
    <row r="24715">
      <c r="B24715" s="309"/>
      <c r="C24715" s="309"/>
      <c r="I24715" s="309"/>
      <c r="J24715" s="309"/>
    </row>
    <row r="24716">
      <c r="B24716" s="309"/>
      <c r="C24716" s="309"/>
      <c r="I24716" s="309"/>
      <c r="J24716" s="309"/>
    </row>
    <row r="24717">
      <c r="B24717" s="309"/>
      <c r="C24717" s="309"/>
      <c r="I24717" s="309"/>
      <c r="J24717" s="309"/>
    </row>
    <row r="24718">
      <c r="B24718" s="309"/>
      <c r="C24718" s="309"/>
      <c r="I24718" s="309"/>
      <c r="J24718" s="309"/>
    </row>
    <row r="24719">
      <c r="B24719" s="309"/>
      <c r="C24719" s="309"/>
      <c r="I24719" s="309"/>
      <c r="J24719" s="309"/>
    </row>
    <row r="24720">
      <c r="B24720" s="309"/>
      <c r="C24720" s="309"/>
      <c r="I24720" s="309"/>
      <c r="J24720" s="309"/>
    </row>
    <row r="24721">
      <c r="B24721" s="309"/>
      <c r="C24721" s="309"/>
      <c r="I24721" s="309"/>
      <c r="J24721" s="309"/>
    </row>
    <row r="24722">
      <c r="B24722" s="309"/>
      <c r="C24722" s="309"/>
      <c r="I24722" s="309"/>
      <c r="J24722" s="309"/>
    </row>
    <row r="24723">
      <c r="B24723" s="309"/>
      <c r="C24723" s="309"/>
      <c r="I24723" s="309"/>
      <c r="J24723" s="309"/>
    </row>
    <row r="24724">
      <c r="B24724" s="309"/>
      <c r="C24724" s="309"/>
      <c r="I24724" s="309"/>
      <c r="J24724" s="309"/>
    </row>
    <row r="24725">
      <c r="B24725" s="309"/>
      <c r="C24725" s="309"/>
      <c r="I24725" s="309"/>
      <c r="J24725" s="309"/>
    </row>
    <row r="24726">
      <c r="B24726" s="309"/>
      <c r="C24726" s="309"/>
      <c r="I24726" s="309"/>
      <c r="J24726" s="309"/>
    </row>
    <row r="24727">
      <c r="B24727" s="309"/>
      <c r="C24727" s="309"/>
      <c r="I24727" s="309"/>
      <c r="J24727" s="309"/>
    </row>
    <row r="24728">
      <c r="B24728" s="309"/>
      <c r="C24728" s="309"/>
      <c r="I24728" s="309"/>
      <c r="J24728" s="309"/>
    </row>
    <row r="24729">
      <c r="B24729" s="309"/>
      <c r="C24729" s="309"/>
      <c r="I24729" s="309"/>
      <c r="J24729" s="309"/>
    </row>
    <row r="24730">
      <c r="B24730" s="309"/>
      <c r="C24730" s="309"/>
      <c r="I24730" s="309"/>
      <c r="J24730" s="309"/>
    </row>
    <row r="24731">
      <c r="B24731" s="309"/>
      <c r="C24731" s="309"/>
      <c r="I24731" s="309"/>
      <c r="J24731" s="309"/>
    </row>
    <row r="24732">
      <c r="B24732" s="309"/>
      <c r="C24732" s="309"/>
      <c r="I24732" s="309"/>
      <c r="J24732" s="309"/>
    </row>
    <row r="24733">
      <c r="B24733" s="309"/>
      <c r="C24733" s="309"/>
      <c r="I24733" s="309"/>
      <c r="J24733" s="309"/>
    </row>
    <row r="24734">
      <c r="B24734" s="309"/>
      <c r="C24734" s="309"/>
      <c r="I24734" s="309"/>
      <c r="J24734" s="309"/>
    </row>
    <row r="24735">
      <c r="B24735" s="309"/>
      <c r="C24735" s="309"/>
      <c r="I24735" s="309"/>
      <c r="J24735" s="309"/>
    </row>
    <row r="24736">
      <c r="B24736" s="309"/>
      <c r="C24736" s="309"/>
      <c r="I24736" s="309"/>
      <c r="J24736" s="309"/>
    </row>
    <row r="24737">
      <c r="B24737" s="309"/>
      <c r="C24737" s="309"/>
      <c r="I24737" s="309"/>
      <c r="J24737" s="309"/>
    </row>
    <row r="24738">
      <c r="B24738" s="309"/>
      <c r="C24738" s="309"/>
      <c r="I24738" s="309"/>
      <c r="J24738" s="309"/>
    </row>
    <row r="24739">
      <c r="B24739" s="309"/>
      <c r="C24739" s="309"/>
      <c r="I24739" s="309"/>
      <c r="J24739" s="309"/>
    </row>
    <row r="24740">
      <c r="B24740" s="309"/>
      <c r="C24740" s="309"/>
      <c r="I24740" s="309"/>
      <c r="J24740" s="309"/>
    </row>
    <row r="24741">
      <c r="B24741" s="309"/>
      <c r="C24741" s="309"/>
      <c r="I24741" s="309"/>
      <c r="J24741" s="309"/>
    </row>
    <row r="24742">
      <c r="B24742" s="309"/>
      <c r="C24742" s="309"/>
      <c r="I24742" s="309"/>
      <c r="J24742" s="309"/>
    </row>
    <row r="24743">
      <c r="B24743" s="309"/>
      <c r="C24743" s="309"/>
      <c r="I24743" s="309"/>
      <c r="J24743" s="309"/>
    </row>
    <row r="24744">
      <c r="B24744" s="309"/>
      <c r="C24744" s="309"/>
      <c r="I24744" s="309"/>
      <c r="J24744" s="309"/>
    </row>
    <row r="24745">
      <c r="B24745" s="309"/>
      <c r="C24745" s="309"/>
      <c r="I24745" s="309"/>
      <c r="J24745" s="309"/>
    </row>
    <row r="24746">
      <c r="B24746" s="309"/>
      <c r="C24746" s="309"/>
      <c r="I24746" s="309"/>
      <c r="J24746" s="309"/>
    </row>
    <row r="24747">
      <c r="B24747" s="309"/>
      <c r="C24747" s="309"/>
      <c r="I24747" s="309"/>
      <c r="J24747" s="309"/>
    </row>
    <row r="24748">
      <c r="B24748" s="309"/>
      <c r="C24748" s="309"/>
      <c r="I24748" s="309"/>
      <c r="J24748" s="309"/>
    </row>
    <row r="24749">
      <c r="B24749" s="309"/>
      <c r="C24749" s="309"/>
      <c r="I24749" s="309"/>
      <c r="J24749" s="309"/>
    </row>
    <row r="24750">
      <c r="B24750" s="309"/>
      <c r="C24750" s="309"/>
      <c r="I24750" s="309"/>
      <c r="J24750" s="309"/>
    </row>
    <row r="24751">
      <c r="B24751" s="309"/>
      <c r="C24751" s="309"/>
      <c r="I24751" s="309"/>
      <c r="J24751" s="309"/>
    </row>
    <row r="24752">
      <c r="B24752" s="309"/>
      <c r="C24752" s="309"/>
      <c r="I24752" s="309"/>
      <c r="J24752" s="309"/>
    </row>
    <row r="24753">
      <c r="B24753" s="309"/>
      <c r="C24753" s="309"/>
      <c r="I24753" s="309"/>
      <c r="J24753" s="309"/>
    </row>
    <row r="24754">
      <c r="B24754" s="309"/>
      <c r="C24754" s="309"/>
      <c r="I24754" s="309"/>
      <c r="J24754" s="309"/>
    </row>
    <row r="24755">
      <c r="B24755" s="309"/>
      <c r="C24755" s="309"/>
      <c r="I24755" s="309"/>
      <c r="J24755" s="309"/>
    </row>
    <row r="24756">
      <c r="B24756" s="309"/>
      <c r="C24756" s="309"/>
      <c r="I24756" s="309"/>
      <c r="J24756" s="309"/>
    </row>
    <row r="24757">
      <c r="B24757" s="309"/>
      <c r="C24757" s="309"/>
      <c r="I24757" s="309"/>
      <c r="J24757" s="309"/>
    </row>
    <row r="24758">
      <c r="B24758" s="309"/>
      <c r="C24758" s="309"/>
      <c r="I24758" s="309"/>
      <c r="J24758" s="309"/>
    </row>
    <row r="24759">
      <c r="B24759" s="309"/>
      <c r="C24759" s="309"/>
      <c r="I24759" s="309"/>
      <c r="J24759" s="309"/>
    </row>
    <row r="24760">
      <c r="B24760" s="309"/>
      <c r="C24760" s="309"/>
      <c r="I24760" s="309"/>
      <c r="J24760" s="309"/>
    </row>
    <row r="24761">
      <c r="B24761" s="309"/>
      <c r="C24761" s="309"/>
      <c r="I24761" s="309"/>
      <c r="J24761" s="309"/>
    </row>
    <row r="24762">
      <c r="B24762" s="309"/>
      <c r="C24762" s="309"/>
      <c r="I24762" s="309"/>
      <c r="J24762" s="309"/>
    </row>
    <row r="24763">
      <c r="B24763" s="309"/>
      <c r="C24763" s="309"/>
      <c r="I24763" s="309"/>
      <c r="J24763" s="309"/>
    </row>
    <row r="24764">
      <c r="B24764" s="309"/>
      <c r="C24764" s="309"/>
      <c r="I24764" s="309"/>
      <c r="J24764" s="309"/>
    </row>
    <row r="24765">
      <c r="B24765" s="309"/>
      <c r="C24765" s="309"/>
      <c r="I24765" s="309"/>
      <c r="J24765" s="309"/>
    </row>
    <row r="24766">
      <c r="B24766" s="309"/>
      <c r="C24766" s="309"/>
      <c r="I24766" s="309"/>
      <c r="J24766" s="309"/>
    </row>
    <row r="24767">
      <c r="B24767" s="309"/>
      <c r="C24767" s="309"/>
      <c r="I24767" s="309"/>
      <c r="J24767" s="309"/>
    </row>
    <row r="24768">
      <c r="B24768" s="309"/>
      <c r="C24768" s="309"/>
      <c r="I24768" s="309"/>
      <c r="J24768" s="309"/>
    </row>
    <row r="24769">
      <c r="B24769" s="309"/>
      <c r="C24769" s="309"/>
      <c r="I24769" s="309"/>
      <c r="J24769" s="309"/>
    </row>
    <row r="24770">
      <c r="B24770" s="309"/>
      <c r="C24770" s="309"/>
      <c r="I24770" s="309"/>
      <c r="J24770" s="309"/>
    </row>
    <row r="24771">
      <c r="B24771" s="309"/>
      <c r="C24771" s="309"/>
      <c r="I24771" s="309"/>
      <c r="J24771" s="309"/>
    </row>
    <row r="24772">
      <c r="B24772" s="309"/>
      <c r="C24772" s="309"/>
      <c r="I24772" s="309"/>
      <c r="J24772" s="309"/>
    </row>
    <row r="24773">
      <c r="B24773" s="309"/>
      <c r="C24773" s="309"/>
      <c r="I24773" s="309"/>
      <c r="J24773" s="309"/>
    </row>
    <row r="24774">
      <c r="B24774" s="309"/>
      <c r="C24774" s="309"/>
      <c r="I24774" s="309"/>
      <c r="J24774" s="309"/>
    </row>
    <row r="24775">
      <c r="B24775" s="309"/>
      <c r="C24775" s="309"/>
      <c r="I24775" s="309"/>
      <c r="J24775" s="309"/>
    </row>
    <row r="24776">
      <c r="B24776" s="309"/>
      <c r="C24776" s="309"/>
      <c r="I24776" s="309"/>
      <c r="J24776" s="309"/>
    </row>
    <row r="24777">
      <c r="B24777" s="309"/>
      <c r="C24777" s="309"/>
      <c r="I24777" s="309"/>
      <c r="J24777" s="309"/>
    </row>
    <row r="24778">
      <c r="B24778" s="309"/>
      <c r="C24778" s="309"/>
      <c r="I24778" s="309"/>
      <c r="J24778" s="309"/>
    </row>
    <row r="24779">
      <c r="B24779" s="309"/>
      <c r="C24779" s="309"/>
      <c r="I24779" s="309"/>
      <c r="J24779" s="309"/>
    </row>
    <row r="24780">
      <c r="B24780" s="309"/>
      <c r="C24780" s="309"/>
      <c r="I24780" s="309"/>
      <c r="J24780" s="309"/>
    </row>
    <row r="24781">
      <c r="B24781" s="309"/>
      <c r="C24781" s="309"/>
      <c r="I24781" s="309"/>
      <c r="J24781" s="309"/>
    </row>
    <row r="24782">
      <c r="B24782" s="309"/>
      <c r="C24782" s="309"/>
      <c r="I24782" s="309"/>
      <c r="J24782" s="309"/>
    </row>
    <row r="24783">
      <c r="B24783" s="309"/>
      <c r="C24783" s="309"/>
      <c r="I24783" s="309"/>
      <c r="J24783" s="309"/>
    </row>
    <row r="24784">
      <c r="B24784" s="309"/>
      <c r="C24784" s="309"/>
      <c r="I24784" s="309"/>
      <c r="J24784" s="309"/>
    </row>
    <row r="24785">
      <c r="B24785" s="309"/>
      <c r="C24785" s="309"/>
      <c r="I24785" s="309"/>
      <c r="J24785" s="309"/>
    </row>
    <row r="24786">
      <c r="B24786" s="309"/>
      <c r="C24786" s="309"/>
      <c r="I24786" s="309"/>
      <c r="J24786" s="309"/>
    </row>
    <row r="24787">
      <c r="B24787" s="309"/>
      <c r="C24787" s="309"/>
      <c r="I24787" s="309"/>
      <c r="J24787" s="309"/>
    </row>
    <row r="24788">
      <c r="B24788" s="309"/>
      <c r="C24788" s="309"/>
      <c r="I24788" s="309"/>
      <c r="J24788" s="309"/>
    </row>
    <row r="24789">
      <c r="B24789" s="309"/>
      <c r="C24789" s="309"/>
      <c r="I24789" s="309"/>
      <c r="J24789" s="309"/>
    </row>
    <row r="24790">
      <c r="B24790" s="309"/>
      <c r="C24790" s="309"/>
      <c r="I24790" s="309"/>
      <c r="J24790" s="309"/>
    </row>
    <row r="24791">
      <c r="B24791" s="309"/>
      <c r="C24791" s="309"/>
      <c r="I24791" s="309"/>
      <c r="J24791" s="309"/>
    </row>
    <row r="24792">
      <c r="B24792" s="309"/>
      <c r="C24792" s="309"/>
      <c r="I24792" s="309"/>
      <c r="J24792" s="309"/>
    </row>
    <row r="24793">
      <c r="B24793" s="309"/>
      <c r="C24793" s="309"/>
      <c r="I24793" s="309"/>
      <c r="J24793" s="309"/>
    </row>
    <row r="24794">
      <c r="B24794" s="309"/>
      <c r="C24794" s="309"/>
      <c r="I24794" s="309"/>
      <c r="J24794" s="309"/>
    </row>
    <row r="24795">
      <c r="B24795" s="309"/>
      <c r="C24795" s="309"/>
      <c r="I24795" s="309"/>
      <c r="J24795" s="309"/>
    </row>
    <row r="24796">
      <c r="B24796" s="309"/>
      <c r="C24796" s="309"/>
      <c r="I24796" s="309"/>
      <c r="J24796" s="309"/>
    </row>
    <row r="24797">
      <c r="B24797" s="309"/>
      <c r="C24797" s="309"/>
      <c r="I24797" s="309"/>
      <c r="J24797" s="309"/>
    </row>
    <row r="24798">
      <c r="B24798" s="309"/>
      <c r="C24798" s="309"/>
      <c r="I24798" s="309"/>
      <c r="J24798" s="309"/>
    </row>
    <row r="24799">
      <c r="B24799" s="309"/>
      <c r="C24799" s="309"/>
      <c r="I24799" s="309"/>
      <c r="J24799" s="309"/>
    </row>
    <row r="24800">
      <c r="B24800" s="309"/>
      <c r="C24800" s="309"/>
      <c r="I24800" s="309"/>
      <c r="J24800" s="309"/>
    </row>
    <row r="24801">
      <c r="B24801" s="309"/>
      <c r="C24801" s="309"/>
      <c r="I24801" s="309"/>
      <c r="J24801" s="309"/>
    </row>
    <row r="24802">
      <c r="B24802" s="309"/>
      <c r="C24802" s="309"/>
      <c r="I24802" s="309"/>
      <c r="J24802" s="309"/>
    </row>
    <row r="24803">
      <c r="B24803" s="309"/>
      <c r="C24803" s="309"/>
      <c r="I24803" s="309"/>
      <c r="J24803" s="309"/>
    </row>
    <row r="24804">
      <c r="B24804" s="309"/>
      <c r="C24804" s="309"/>
      <c r="I24804" s="309"/>
      <c r="J24804" s="309"/>
    </row>
    <row r="24805">
      <c r="B24805" s="309"/>
      <c r="C24805" s="309"/>
      <c r="I24805" s="309"/>
      <c r="J24805" s="309"/>
    </row>
    <row r="24806">
      <c r="B24806" s="309"/>
      <c r="C24806" s="309"/>
      <c r="I24806" s="309"/>
      <c r="J24806" s="309"/>
    </row>
    <row r="24807">
      <c r="B24807" s="309"/>
      <c r="C24807" s="309"/>
      <c r="I24807" s="309"/>
      <c r="J24807" s="309"/>
    </row>
    <row r="24808">
      <c r="B24808" s="309"/>
      <c r="C24808" s="309"/>
      <c r="I24808" s="309"/>
      <c r="J24808" s="309"/>
    </row>
    <row r="24809">
      <c r="B24809" s="309"/>
      <c r="C24809" s="309"/>
      <c r="I24809" s="309"/>
      <c r="J24809" s="309"/>
    </row>
    <row r="24810">
      <c r="B24810" s="309"/>
      <c r="C24810" s="309"/>
      <c r="I24810" s="309"/>
      <c r="J24810" s="309"/>
    </row>
    <row r="24811">
      <c r="B24811" s="309"/>
      <c r="C24811" s="309"/>
      <c r="I24811" s="309"/>
      <c r="J24811" s="309"/>
    </row>
    <row r="24812">
      <c r="B24812" s="309"/>
      <c r="C24812" s="309"/>
      <c r="I24812" s="309"/>
      <c r="J24812" s="309"/>
    </row>
    <row r="24813">
      <c r="B24813" s="309"/>
      <c r="C24813" s="309"/>
      <c r="I24813" s="309"/>
      <c r="J24813" s="309"/>
    </row>
    <row r="24814">
      <c r="B24814" s="309"/>
      <c r="C24814" s="309"/>
      <c r="I24814" s="309"/>
      <c r="J24814" s="309"/>
    </row>
    <row r="24815">
      <c r="B24815" s="309"/>
      <c r="C24815" s="309"/>
      <c r="I24815" s="309"/>
      <c r="J24815" s="309"/>
    </row>
    <row r="24816">
      <c r="B24816" s="309"/>
      <c r="C24816" s="309"/>
      <c r="I24816" s="309"/>
      <c r="J24816" s="309"/>
    </row>
    <row r="24817">
      <c r="B24817" s="309"/>
      <c r="C24817" s="309"/>
      <c r="I24817" s="309"/>
      <c r="J24817" s="309"/>
    </row>
    <row r="24818">
      <c r="B24818" s="309"/>
      <c r="C24818" s="309"/>
      <c r="I24818" s="309"/>
      <c r="J24818" s="309"/>
    </row>
    <row r="24819">
      <c r="B24819" s="309"/>
      <c r="C24819" s="309"/>
      <c r="I24819" s="309"/>
      <c r="J24819" s="309"/>
    </row>
    <row r="24820">
      <c r="B24820" s="309"/>
      <c r="C24820" s="309"/>
      <c r="I24820" s="309"/>
      <c r="J24820" s="309"/>
    </row>
    <row r="24821">
      <c r="B24821" s="309"/>
      <c r="C24821" s="309"/>
      <c r="I24821" s="309"/>
      <c r="J24821" s="309"/>
    </row>
    <row r="24822">
      <c r="B24822" s="309"/>
      <c r="C24822" s="309"/>
      <c r="I24822" s="309"/>
      <c r="J24822" s="309"/>
    </row>
    <row r="24823">
      <c r="B24823" s="309"/>
      <c r="C24823" s="309"/>
      <c r="I24823" s="309"/>
      <c r="J24823" s="309"/>
    </row>
    <row r="24824">
      <c r="B24824" s="309"/>
      <c r="C24824" s="309"/>
      <c r="I24824" s="309"/>
      <c r="J24824" s="309"/>
    </row>
    <row r="24825">
      <c r="B24825" s="309"/>
      <c r="C24825" s="309"/>
      <c r="I24825" s="309"/>
      <c r="J24825" s="309"/>
    </row>
    <row r="24826">
      <c r="B24826" s="309"/>
      <c r="C24826" s="309"/>
      <c r="I24826" s="309"/>
      <c r="J24826" s="309"/>
    </row>
    <row r="24827">
      <c r="B24827" s="309"/>
      <c r="C24827" s="309"/>
      <c r="I24827" s="309"/>
      <c r="J24827" s="309"/>
    </row>
    <row r="24828">
      <c r="B24828" s="309"/>
      <c r="C24828" s="309"/>
      <c r="I24828" s="309"/>
      <c r="J24828" s="309"/>
    </row>
    <row r="24829">
      <c r="B24829" s="309"/>
      <c r="C24829" s="309"/>
      <c r="I24829" s="309"/>
      <c r="J24829" s="309"/>
    </row>
    <row r="24830">
      <c r="B24830" s="309"/>
      <c r="C24830" s="309"/>
      <c r="I24830" s="309"/>
      <c r="J24830" s="309"/>
    </row>
    <row r="24831">
      <c r="B24831" s="309"/>
      <c r="C24831" s="309"/>
      <c r="I24831" s="309"/>
      <c r="J24831" s="309"/>
    </row>
    <row r="24832">
      <c r="B24832" s="309"/>
      <c r="C24832" s="309"/>
      <c r="I24832" s="309"/>
      <c r="J24832" s="309"/>
    </row>
    <row r="24833">
      <c r="B24833" s="309"/>
      <c r="C24833" s="309"/>
      <c r="I24833" s="309"/>
      <c r="J24833" s="309"/>
    </row>
    <row r="24834">
      <c r="B24834" s="309"/>
      <c r="C24834" s="309"/>
      <c r="I24834" s="309"/>
      <c r="J24834" s="309"/>
    </row>
    <row r="24835">
      <c r="B24835" s="309"/>
      <c r="C24835" s="309"/>
      <c r="I24835" s="309"/>
      <c r="J24835" s="309"/>
    </row>
    <row r="24836">
      <c r="B24836" s="309"/>
      <c r="C24836" s="309"/>
      <c r="I24836" s="309"/>
      <c r="J24836" s="309"/>
    </row>
    <row r="24837">
      <c r="B24837" s="309"/>
      <c r="C24837" s="309"/>
      <c r="I24837" s="309"/>
      <c r="J24837" s="309"/>
    </row>
    <row r="24838">
      <c r="B24838" s="309"/>
      <c r="C24838" s="309"/>
      <c r="I24838" s="309"/>
      <c r="J24838" s="309"/>
    </row>
    <row r="24839">
      <c r="B24839" s="309"/>
      <c r="C24839" s="309"/>
      <c r="I24839" s="309"/>
      <c r="J24839" s="309"/>
    </row>
    <row r="24840">
      <c r="B24840" s="309"/>
      <c r="C24840" s="309"/>
      <c r="I24840" s="309"/>
      <c r="J24840" s="309"/>
    </row>
    <row r="24841">
      <c r="B24841" s="309"/>
      <c r="C24841" s="309"/>
      <c r="I24841" s="309"/>
      <c r="J24841" s="309"/>
    </row>
    <row r="24842">
      <c r="B24842" s="309"/>
      <c r="C24842" s="309"/>
      <c r="I24842" s="309"/>
      <c r="J24842" s="309"/>
    </row>
    <row r="24843">
      <c r="B24843" s="309"/>
      <c r="C24843" s="309"/>
      <c r="I24843" s="309"/>
      <c r="J24843" s="309"/>
    </row>
    <row r="24844">
      <c r="B24844" s="309"/>
      <c r="C24844" s="309"/>
      <c r="I24844" s="309"/>
      <c r="J24844" s="309"/>
    </row>
    <row r="24845">
      <c r="B24845" s="309"/>
      <c r="C24845" s="309"/>
      <c r="I24845" s="309"/>
      <c r="J24845" s="309"/>
    </row>
    <row r="24846">
      <c r="B24846" s="309"/>
      <c r="C24846" s="309"/>
      <c r="I24846" s="309"/>
      <c r="J24846" s="309"/>
    </row>
    <row r="24847">
      <c r="B24847" s="309"/>
      <c r="C24847" s="309"/>
      <c r="I24847" s="309"/>
      <c r="J24847" s="309"/>
    </row>
    <row r="24848">
      <c r="B24848" s="309"/>
      <c r="C24848" s="309"/>
      <c r="I24848" s="309"/>
      <c r="J24848" s="309"/>
    </row>
    <row r="24849">
      <c r="B24849" s="309"/>
      <c r="C24849" s="309"/>
      <c r="I24849" s="309"/>
      <c r="J24849" s="309"/>
    </row>
    <row r="24850">
      <c r="B24850" s="309"/>
      <c r="C24850" s="309"/>
      <c r="I24850" s="309"/>
      <c r="J24850" s="309"/>
    </row>
    <row r="24851">
      <c r="B24851" s="309"/>
      <c r="C24851" s="309"/>
      <c r="I24851" s="309"/>
      <c r="J24851" s="309"/>
    </row>
    <row r="24852">
      <c r="B24852" s="309"/>
      <c r="C24852" s="309"/>
      <c r="I24852" s="309"/>
      <c r="J24852" s="309"/>
    </row>
    <row r="24853">
      <c r="B24853" s="309"/>
      <c r="C24853" s="309"/>
      <c r="I24853" s="309"/>
      <c r="J24853" s="309"/>
    </row>
    <row r="24854">
      <c r="B24854" s="309"/>
      <c r="C24854" s="309"/>
      <c r="I24854" s="309"/>
      <c r="J24854" s="309"/>
    </row>
    <row r="24855">
      <c r="B24855" s="309"/>
      <c r="C24855" s="309"/>
      <c r="I24855" s="309"/>
      <c r="J24855" s="309"/>
    </row>
    <row r="24856">
      <c r="B24856" s="309"/>
      <c r="C24856" s="309"/>
      <c r="I24856" s="309"/>
      <c r="J24856" s="309"/>
    </row>
    <row r="24857">
      <c r="B24857" s="309"/>
      <c r="C24857" s="309"/>
      <c r="I24857" s="309"/>
      <c r="J24857" s="309"/>
    </row>
    <row r="24858">
      <c r="B24858" s="309"/>
      <c r="C24858" s="309"/>
      <c r="I24858" s="309"/>
      <c r="J24858" s="309"/>
    </row>
    <row r="24859">
      <c r="B24859" s="309"/>
      <c r="C24859" s="309"/>
      <c r="I24859" s="309"/>
      <c r="J24859" s="309"/>
    </row>
    <row r="24860">
      <c r="B24860" s="309"/>
      <c r="C24860" s="309"/>
      <c r="I24860" s="309"/>
      <c r="J24860" s="309"/>
    </row>
    <row r="24861">
      <c r="B24861" s="309"/>
      <c r="C24861" s="309"/>
      <c r="I24861" s="309"/>
      <c r="J24861" s="309"/>
    </row>
    <row r="24862">
      <c r="B24862" s="309"/>
      <c r="C24862" s="309"/>
      <c r="I24862" s="309"/>
      <c r="J24862" s="309"/>
    </row>
    <row r="24863">
      <c r="B24863" s="309"/>
      <c r="C24863" s="309"/>
      <c r="I24863" s="309"/>
      <c r="J24863" s="309"/>
    </row>
    <row r="24864">
      <c r="B24864" s="309"/>
      <c r="C24864" s="309"/>
      <c r="I24864" s="309"/>
      <c r="J24864" s="309"/>
    </row>
    <row r="24865">
      <c r="B24865" s="309"/>
      <c r="C24865" s="309"/>
      <c r="I24865" s="309"/>
      <c r="J24865" s="309"/>
    </row>
    <row r="24866">
      <c r="B24866" s="309"/>
      <c r="C24866" s="309"/>
      <c r="I24866" s="309"/>
      <c r="J24866" s="309"/>
    </row>
    <row r="24867">
      <c r="B24867" s="309"/>
      <c r="C24867" s="309"/>
      <c r="I24867" s="309"/>
      <c r="J24867" s="309"/>
    </row>
    <row r="24868">
      <c r="B24868" s="309"/>
      <c r="C24868" s="309"/>
      <c r="I24868" s="309"/>
      <c r="J24868" s="309"/>
    </row>
    <row r="24869">
      <c r="B24869" s="309"/>
      <c r="C24869" s="309"/>
      <c r="I24869" s="309"/>
      <c r="J24869" s="309"/>
    </row>
    <row r="24870">
      <c r="B24870" s="309"/>
      <c r="C24870" s="309"/>
      <c r="I24870" s="309"/>
      <c r="J24870" s="309"/>
    </row>
    <row r="24871">
      <c r="B24871" s="309"/>
      <c r="C24871" s="309"/>
      <c r="I24871" s="309"/>
      <c r="J24871" s="309"/>
    </row>
    <row r="24872">
      <c r="B24872" s="309"/>
      <c r="C24872" s="309"/>
      <c r="I24872" s="309"/>
      <c r="J24872" s="309"/>
    </row>
    <row r="24873">
      <c r="B24873" s="309"/>
      <c r="C24873" s="309"/>
      <c r="I24873" s="309"/>
      <c r="J24873" s="309"/>
    </row>
    <row r="24874">
      <c r="B24874" s="309"/>
      <c r="C24874" s="309"/>
      <c r="I24874" s="309"/>
      <c r="J24874" s="309"/>
    </row>
    <row r="24875">
      <c r="B24875" s="309"/>
      <c r="C24875" s="309"/>
      <c r="I24875" s="309"/>
      <c r="J24875" s="309"/>
    </row>
    <row r="24876">
      <c r="B24876" s="309"/>
      <c r="C24876" s="309"/>
      <c r="I24876" s="309"/>
      <c r="J24876" s="309"/>
    </row>
    <row r="24877">
      <c r="B24877" s="309"/>
      <c r="C24877" s="309"/>
      <c r="I24877" s="309"/>
      <c r="J24877" s="309"/>
    </row>
    <row r="24878">
      <c r="B24878" s="309"/>
      <c r="C24878" s="309"/>
      <c r="I24878" s="309"/>
      <c r="J24878" s="309"/>
    </row>
    <row r="24879">
      <c r="B24879" s="309"/>
      <c r="C24879" s="309"/>
      <c r="I24879" s="309"/>
      <c r="J24879" s="309"/>
    </row>
    <row r="24880">
      <c r="B24880" s="309"/>
      <c r="C24880" s="309"/>
      <c r="I24880" s="309"/>
      <c r="J24880" s="309"/>
    </row>
    <row r="24881">
      <c r="B24881" s="309"/>
      <c r="C24881" s="309"/>
      <c r="I24881" s="309"/>
      <c r="J24881" s="309"/>
    </row>
    <row r="24882">
      <c r="B24882" s="309"/>
      <c r="C24882" s="309"/>
      <c r="I24882" s="309"/>
      <c r="J24882" s="309"/>
    </row>
    <row r="24883">
      <c r="B24883" s="309"/>
      <c r="C24883" s="309"/>
      <c r="I24883" s="309"/>
      <c r="J24883" s="309"/>
    </row>
    <row r="24884">
      <c r="B24884" s="309"/>
      <c r="C24884" s="309"/>
      <c r="I24884" s="309"/>
      <c r="J24884" s="309"/>
    </row>
    <row r="24885">
      <c r="B24885" s="309"/>
      <c r="C24885" s="309"/>
      <c r="I24885" s="309"/>
      <c r="J24885" s="309"/>
    </row>
    <row r="24886">
      <c r="B24886" s="309"/>
      <c r="C24886" s="309"/>
      <c r="I24886" s="309"/>
      <c r="J24886" s="309"/>
    </row>
    <row r="24887">
      <c r="B24887" s="309"/>
      <c r="C24887" s="309"/>
      <c r="I24887" s="309"/>
      <c r="J24887" s="309"/>
    </row>
    <row r="24888">
      <c r="B24888" s="309"/>
      <c r="C24888" s="309"/>
      <c r="I24888" s="309"/>
      <c r="J24888" s="309"/>
    </row>
    <row r="24889">
      <c r="B24889" s="309"/>
      <c r="C24889" s="309"/>
      <c r="I24889" s="309"/>
      <c r="J24889" s="309"/>
    </row>
    <row r="24890">
      <c r="B24890" s="309"/>
      <c r="C24890" s="309"/>
      <c r="I24890" s="309"/>
      <c r="J24890" s="309"/>
    </row>
    <row r="24891">
      <c r="B24891" s="309"/>
      <c r="C24891" s="309"/>
      <c r="I24891" s="309"/>
      <c r="J24891" s="309"/>
    </row>
    <row r="24892">
      <c r="B24892" s="309"/>
      <c r="C24892" s="309"/>
      <c r="I24892" s="309"/>
      <c r="J24892" s="309"/>
    </row>
    <row r="24893">
      <c r="B24893" s="309"/>
      <c r="C24893" s="309"/>
      <c r="I24893" s="309"/>
      <c r="J24893" s="309"/>
    </row>
    <row r="24894">
      <c r="B24894" s="309"/>
      <c r="C24894" s="309"/>
      <c r="I24894" s="309"/>
      <c r="J24894" s="309"/>
    </row>
    <row r="24895">
      <c r="B24895" s="309"/>
      <c r="C24895" s="309"/>
      <c r="I24895" s="309"/>
      <c r="J24895" s="309"/>
    </row>
    <row r="24896">
      <c r="B24896" s="309"/>
      <c r="C24896" s="309"/>
      <c r="I24896" s="309"/>
      <c r="J24896" s="309"/>
    </row>
    <row r="24897">
      <c r="B24897" s="309"/>
      <c r="C24897" s="309"/>
      <c r="I24897" s="309"/>
      <c r="J24897" s="309"/>
    </row>
    <row r="24898">
      <c r="B24898" s="309"/>
      <c r="C24898" s="309"/>
      <c r="I24898" s="309"/>
      <c r="J24898" s="309"/>
    </row>
    <row r="24899">
      <c r="B24899" s="309"/>
      <c r="C24899" s="309"/>
      <c r="I24899" s="309"/>
      <c r="J24899" s="309"/>
    </row>
    <row r="24900">
      <c r="B24900" s="309"/>
      <c r="C24900" s="309"/>
      <c r="I24900" s="309"/>
      <c r="J24900" s="309"/>
    </row>
    <row r="24901">
      <c r="B24901" s="309"/>
      <c r="C24901" s="309"/>
      <c r="I24901" s="309"/>
      <c r="J24901" s="309"/>
    </row>
    <row r="24902">
      <c r="B24902" s="309"/>
      <c r="C24902" s="309"/>
      <c r="I24902" s="309"/>
      <c r="J24902" s="309"/>
    </row>
    <row r="24903">
      <c r="B24903" s="309"/>
      <c r="C24903" s="309"/>
      <c r="I24903" s="309"/>
      <c r="J24903" s="309"/>
    </row>
    <row r="24904">
      <c r="B24904" s="309"/>
      <c r="C24904" s="309"/>
      <c r="I24904" s="309"/>
      <c r="J24904" s="309"/>
    </row>
    <row r="24905">
      <c r="B24905" s="309"/>
      <c r="C24905" s="309"/>
      <c r="I24905" s="309"/>
      <c r="J24905" s="309"/>
    </row>
    <row r="24906">
      <c r="B24906" s="309"/>
      <c r="C24906" s="309"/>
      <c r="I24906" s="309"/>
      <c r="J24906" s="309"/>
    </row>
    <row r="24907">
      <c r="B24907" s="309"/>
      <c r="C24907" s="309"/>
      <c r="I24907" s="309"/>
      <c r="J24907" s="309"/>
    </row>
    <row r="24908">
      <c r="B24908" s="309"/>
      <c r="C24908" s="309"/>
      <c r="I24908" s="309"/>
      <c r="J24908" s="309"/>
    </row>
    <row r="24909">
      <c r="B24909" s="309"/>
      <c r="C24909" s="309"/>
      <c r="I24909" s="309"/>
      <c r="J24909" s="309"/>
    </row>
    <row r="24910">
      <c r="B24910" s="309"/>
      <c r="C24910" s="309"/>
      <c r="I24910" s="309"/>
      <c r="J24910" s="309"/>
    </row>
    <row r="24911">
      <c r="B24911" s="309"/>
      <c r="C24911" s="309"/>
      <c r="I24911" s="309"/>
      <c r="J24911" s="309"/>
    </row>
    <row r="24912">
      <c r="B24912" s="309"/>
      <c r="C24912" s="309"/>
      <c r="I24912" s="309"/>
      <c r="J24912" s="309"/>
    </row>
    <row r="24913">
      <c r="B24913" s="309"/>
      <c r="C24913" s="309"/>
      <c r="I24913" s="309"/>
      <c r="J24913" s="309"/>
    </row>
    <row r="24914">
      <c r="B24914" s="309"/>
      <c r="C24914" s="309"/>
      <c r="I24914" s="309"/>
      <c r="J24914" s="309"/>
    </row>
    <row r="24915">
      <c r="B24915" s="309"/>
      <c r="C24915" s="309"/>
      <c r="I24915" s="309"/>
      <c r="J24915" s="309"/>
    </row>
    <row r="24916">
      <c r="B24916" s="309"/>
      <c r="C24916" s="309"/>
      <c r="I24916" s="309"/>
      <c r="J24916" s="309"/>
    </row>
    <row r="24917">
      <c r="B24917" s="309"/>
      <c r="C24917" s="309"/>
      <c r="I24917" s="309"/>
      <c r="J24917" s="309"/>
    </row>
    <row r="24918">
      <c r="B24918" s="309"/>
      <c r="C24918" s="309"/>
      <c r="I24918" s="309"/>
      <c r="J24918" s="309"/>
    </row>
    <row r="24919">
      <c r="B24919" s="309"/>
      <c r="C24919" s="309"/>
      <c r="I24919" s="309"/>
      <c r="J24919" s="309"/>
    </row>
    <row r="24920">
      <c r="B24920" s="309"/>
      <c r="C24920" s="309"/>
      <c r="I24920" s="309"/>
      <c r="J24920" s="309"/>
    </row>
    <row r="24921">
      <c r="B24921" s="309"/>
      <c r="C24921" s="309"/>
      <c r="I24921" s="309"/>
      <c r="J24921" s="309"/>
    </row>
    <row r="24922">
      <c r="B24922" s="309"/>
      <c r="C24922" s="309"/>
      <c r="I24922" s="309"/>
      <c r="J24922" s="309"/>
    </row>
    <row r="24923">
      <c r="B24923" s="309"/>
      <c r="C24923" s="309"/>
      <c r="I24923" s="309"/>
      <c r="J24923" s="309"/>
    </row>
    <row r="24924">
      <c r="B24924" s="309"/>
      <c r="C24924" s="309"/>
      <c r="I24924" s="309"/>
      <c r="J24924" s="309"/>
    </row>
    <row r="24925">
      <c r="B24925" s="309"/>
      <c r="C24925" s="309"/>
      <c r="I24925" s="309"/>
      <c r="J24925" s="309"/>
    </row>
    <row r="24926">
      <c r="B24926" s="309"/>
      <c r="C24926" s="309"/>
      <c r="I24926" s="309"/>
      <c r="J24926" s="309"/>
    </row>
    <row r="24927">
      <c r="B24927" s="309"/>
      <c r="C24927" s="309"/>
      <c r="I24927" s="309"/>
      <c r="J24927" s="309"/>
    </row>
    <row r="24928">
      <c r="B24928" s="309"/>
      <c r="C24928" s="309"/>
      <c r="I24928" s="309"/>
      <c r="J24928" s="309"/>
    </row>
    <row r="24929">
      <c r="B24929" s="309"/>
      <c r="C24929" s="309"/>
      <c r="I24929" s="309"/>
      <c r="J24929" s="309"/>
    </row>
    <row r="24930">
      <c r="B24930" s="309"/>
      <c r="C24930" s="309"/>
      <c r="I24930" s="309"/>
      <c r="J24930" s="309"/>
    </row>
    <row r="24931">
      <c r="B24931" s="309"/>
      <c r="C24931" s="309"/>
      <c r="I24931" s="309"/>
      <c r="J24931" s="309"/>
    </row>
    <row r="24932">
      <c r="B24932" s="309"/>
      <c r="C24932" s="309"/>
      <c r="I24932" s="309"/>
      <c r="J24932" s="309"/>
    </row>
    <row r="24933">
      <c r="B24933" s="309"/>
      <c r="C24933" s="309"/>
      <c r="I24933" s="309"/>
      <c r="J24933" s="309"/>
    </row>
    <row r="24934">
      <c r="B24934" s="309"/>
      <c r="C24934" s="309"/>
      <c r="I24934" s="309"/>
      <c r="J24934" s="309"/>
    </row>
    <row r="24935">
      <c r="B24935" s="309"/>
      <c r="C24935" s="309"/>
      <c r="I24935" s="309"/>
      <c r="J24935" s="309"/>
    </row>
    <row r="24936">
      <c r="B24936" s="309"/>
      <c r="C24936" s="309"/>
      <c r="I24936" s="309"/>
      <c r="J24936" s="309"/>
    </row>
    <row r="24937">
      <c r="B24937" s="309"/>
      <c r="C24937" s="309"/>
      <c r="I24937" s="309"/>
      <c r="J24937" s="309"/>
    </row>
    <row r="24938">
      <c r="B24938" s="309"/>
      <c r="C24938" s="309"/>
      <c r="I24938" s="309"/>
      <c r="J24938" s="309"/>
    </row>
    <row r="24939">
      <c r="B24939" s="309"/>
      <c r="C24939" s="309"/>
      <c r="I24939" s="309"/>
      <c r="J24939" s="309"/>
    </row>
    <row r="24940">
      <c r="B24940" s="309"/>
      <c r="C24940" s="309"/>
      <c r="I24940" s="309"/>
      <c r="J24940" s="309"/>
    </row>
    <row r="24941">
      <c r="B24941" s="309"/>
      <c r="C24941" s="309"/>
      <c r="I24941" s="309"/>
      <c r="J24941" s="309"/>
    </row>
    <row r="24942">
      <c r="B24942" s="309"/>
      <c r="C24942" s="309"/>
      <c r="I24942" s="309"/>
      <c r="J24942" s="309"/>
    </row>
    <row r="24943">
      <c r="B24943" s="309"/>
      <c r="C24943" s="309"/>
      <c r="I24943" s="309"/>
      <c r="J24943" s="309"/>
    </row>
    <row r="24944">
      <c r="B24944" s="309"/>
      <c r="C24944" s="309"/>
      <c r="I24944" s="309"/>
      <c r="J24944" s="309"/>
    </row>
    <row r="24945">
      <c r="B24945" s="309"/>
      <c r="C24945" s="309"/>
      <c r="I24945" s="309"/>
      <c r="J24945" s="309"/>
    </row>
    <row r="24946">
      <c r="B24946" s="309"/>
      <c r="C24946" s="309"/>
      <c r="I24946" s="309"/>
      <c r="J24946" s="309"/>
    </row>
    <row r="24947">
      <c r="B24947" s="309"/>
      <c r="C24947" s="309"/>
      <c r="I24947" s="309"/>
      <c r="J24947" s="309"/>
    </row>
    <row r="24948">
      <c r="B24948" s="309"/>
      <c r="C24948" s="309"/>
      <c r="I24948" s="309"/>
      <c r="J24948" s="309"/>
    </row>
    <row r="24949">
      <c r="B24949" s="309"/>
      <c r="C24949" s="309"/>
      <c r="I24949" s="309"/>
      <c r="J24949" s="309"/>
    </row>
    <row r="24950">
      <c r="B24950" s="309"/>
      <c r="C24950" s="309"/>
      <c r="I24950" s="309"/>
      <c r="J24950" s="309"/>
    </row>
    <row r="24951">
      <c r="B24951" s="309"/>
      <c r="C24951" s="309"/>
      <c r="I24951" s="309"/>
      <c r="J24951" s="309"/>
    </row>
    <row r="24952">
      <c r="B24952" s="309"/>
      <c r="C24952" s="309"/>
      <c r="I24952" s="309"/>
      <c r="J24952" s="309"/>
    </row>
    <row r="24953">
      <c r="B24953" s="309"/>
      <c r="C24953" s="309"/>
      <c r="I24953" s="309"/>
      <c r="J24953" s="309"/>
    </row>
    <row r="24954">
      <c r="B24954" s="309"/>
      <c r="C24954" s="309"/>
      <c r="I24954" s="309"/>
      <c r="J24954" s="309"/>
    </row>
    <row r="24955">
      <c r="B24955" s="309"/>
      <c r="C24955" s="309"/>
      <c r="I24955" s="309"/>
      <c r="J24955" s="309"/>
    </row>
    <row r="24956">
      <c r="B24956" s="309"/>
      <c r="C24956" s="309"/>
      <c r="I24956" s="309"/>
      <c r="J24956" s="309"/>
    </row>
    <row r="24957">
      <c r="B24957" s="309"/>
      <c r="C24957" s="309"/>
      <c r="I24957" s="309"/>
      <c r="J24957" s="309"/>
    </row>
    <row r="24958">
      <c r="B24958" s="309"/>
      <c r="C24958" s="309"/>
      <c r="I24958" s="309"/>
      <c r="J24958" s="309"/>
    </row>
    <row r="24959">
      <c r="B24959" s="309"/>
      <c r="C24959" s="309"/>
      <c r="I24959" s="309"/>
      <c r="J24959" s="309"/>
    </row>
    <row r="24960">
      <c r="B24960" s="309"/>
      <c r="C24960" s="309"/>
      <c r="I24960" s="309"/>
      <c r="J24960" s="309"/>
    </row>
    <row r="24961">
      <c r="B24961" s="309"/>
      <c r="C24961" s="309"/>
      <c r="I24961" s="309"/>
      <c r="J24961" s="309"/>
    </row>
    <row r="24962">
      <c r="B24962" s="309"/>
      <c r="C24962" s="309"/>
      <c r="I24962" s="309"/>
      <c r="J24962" s="309"/>
    </row>
    <row r="24963">
      <c r="B24963" s="309"/>
      <c r="C24963" s="309"/>
      <c r="I24963" s="309"/>
      <c r="J24963" s="309"/>
    </row>
    <row r="24964">
      <c r="B24964" s="309"/>
      <c r="C24964" s="309"/>
      <c r="I24964" s="309"/>
      <c r="J24964" s="309"/>
    </row>
    <row r="24965">
      <c r="B24965" s="309"/>
      <c r="C24965" s="309"/>
      <c r="I24965" s="309"/>
      <c r="J24965" s="309"/>
    </row>
    <row r="24966">
      <c r="B24966" s="309"/>
      <c r="C24966" s="309"/>
      <c r="I24966" s="309"/>
      <c r="J24966" s="309"/>
    </row>
    <row r="24967">
      <c r="B24967" s="309"/>
      <c r="C24967" s="309"/>
      <c r="I24967" s="309"/>
      <c r="J24967" s="309"/>
    </row>
    <row r="24968">
      <c r="B24968" s="309"/>
      <c r="C24968" s="309"/>
      <c r="I24968" s="309"/>
      <c r="J24968" s="309"/>
    </row>
    <row r="24969">
      <c r="B24969" s="309"/>
      <c r="C24969" s="309"/>
      <c r="I24969" s="309"/>
      <c r="J24969" s="309"/>
    </row>
    <row r="24970">
      <c r="B24970" s="309"/>
      <c r="C24970" s="309"/>
      <c r="I24970" s="309"/>
      <c r="J24970" s="309"/>
    </row>
    <row r="24971">
      <c r="B24971" s="309"/>
      <c r="C24971" s="309"/>
      <c r="I24971" s="309"/>
      <c r="J24971" s="309"/>
    </row>
    <row r="24972">
      <c r="B24972" s="309"/>
      <c r="C24972" s="309"/>
      <c r="I24972" s="309"/>
      <c r="J24972" s="309"/>
    </row>
    <row r="24973">
      <c r="B24973" s="309"/>
      <c r="C24973" s="309"/>
      <c r="I24973" s="309"/>
      <c r="J24973" s="309"/>
    </row>
    <row r="24974">
      <c r="B24974" s="309"/>
      <c r="C24974" s="309"/>
      <c r="I24974" s="309"/>
      <c r="J24974" s="309"/>
    </row>
    <row r="24975">
      <c r="B24975" s="309"/>
      <c r="C24975" s="309"/>
      <c r="I24975" s="309"/>
      <c r="J24975" s="309"/>
    </row>
    <row r="24976">
      <c r="B24976" s="309"/>
      <c r="C24976" s="309"/>
      <c r="I24976" s="309"/>
      <c r="J24976" s="309"/>
    </row>
    <row r="24977">
      <c r="B24977" s="309"/>
      <c r="C24977" s="309"/>
      <c r="I24977" s="309"/>
      <c r="J24977" s="309"/>
    </row>
    <row r="24978">
      <c r="B24978" s="309"/>
      <c r="C24978" s="309"/>
      <c r="I24978" s="309"/>
      <c r="J24978" s="309"/>
    </row>
    <row r="24979">
      <c r="B24979" s="309"/>
      <c r="C24979" s="309"/>
      <c r="I24979" s="309"/>
      <c r="J24979" s="309"/>
    </row>
    <row r="24980">
      <c r="B24980" s="309"/>
      <c r="C24980" s="309"/>
      <c r="I24980" s="309"/>
      <c r="J24980" s="309"/>
    </row>
    <row r="24981">
      <c r="B24981" s="309"/>
      <c r="C24981" s="309"/>
      <c r="I24981" s="309"/>
      <c r="J24981" s="309"/>
    </row>
    <row r="24982">
      <c r="B24982" s="309"/>
      <c r="C24982" s="309"/>
      <c r="I24982" s="309"/>
      <c r="J24982" s="309"/>
    </row>
    <row r="24983">
      <c r="B24983" s="309"/>
      <c r="C24983" s="309"/>
      <c r="I24983" s="309"/>
      <c r="J24983" s="309"/>
    </row>
    <row r="24984">
      <c r="B24984" s="309"/>
      <c r="C24984" s="309"/>
      <c r="I24984" s="309"/>
      <c r="J24984" s="309"/>
    </row>
    <row r="24985">
      <c r="B24985" s="309"/>
      <c r="C24985" s="309"/>
      <c r="I24985" s="309"/>
      <c r="J24985" s="309"/>
    </row>
    <row r="24986">
      <c r="B24986" s="309"/>
      <c r="C24986" s="309"/>
      <c r="I24986" s="309"/>
      <c r="J24986" s="309"/>
    </row>
    <row r="24987">
      <c r="B24987" s="309"/>
      <c r="C24987" s="309"/>
      <c r="I24987" s="309"/>
      <c r="J24987" s="309"/>
    </row>
    <row r="24988">
      <c r="B24988" s="309"/>
      <c r="C24988" s="309"/>
      <c r="I24988" s="309"/>
      <c r="J24988" s="309"/>
    </row>
    <row r="24989">
      <c r="B24989" s="309"/>
      <c r="C24989" s="309"/>
      <c r="I24989" s="309"/>
      <c r="J24989" s="309"/>
    </row>
    <row r="24990">
      <c r="B24990" s="309"/>
      <c r="C24990" s="309"/>
      <c r="I24990" s="309"/>
      <c r="J24990" s="309"/>
    </row>
    <row r="24991">
      <c r="B24991" s="309"/>
      <c r="C24991" s="309"/>
      <c r="I24991" s="309"/>
      <c r="J24991" s="309"/>
    </row>
    <row r="24992">
      <c r="B24992" s="309"/>
      <c r="C24992" s="309"/>
      <c r="I24992" s="309"/>
      <c r="J24992" s="309"/>
    </row>
    <row r="24993">
      <c r="B24993" s="309"/>
      <c r="C24993" s="309"/>
      <c r="I24993" s="309"/>
      <c r="J24993" s="309"/>
    </row>
    <row r="24994">
      <c r="B24994" s="309"/>
      <c r="C24994" s="309"/>
      <c r="I24994" s="309"/>
      <c r="J24994" s="309"/>
    </row>
    <row r="24995">
      <c r="B24995" s="309"/>
      <c r="C24995" s="309"/>
      <c r="I24995" s="309"/>
      <c r="J24995" s="309"/>
    </row>
    <row r="24996">
      <c r="B24996" s="309"/>
      <c r="C24996" s="309"/>
      <c r="I24996" s="309"/>
      <c r="J24996" s="309"/>
    </row>
    <row r="24997">
      <c r="B24997" s="309"/>
      <c r="C24997" s="309"/>
      <c r="I24997" s="309"/>
      <c r="J24997" s="309"/>
    </row>
    <row r="24998">
      <c r="B24998" s="309"/>
      <c r="C24998" s="309"/>
      <c r="I24998" s="309"/>
      <c r="J24998" s="309"/>
    </row>
    <row r="24999">
      <c r="B24999" s="309"/>
      <c r="C24999" s="309"/>
      <c r="I24999" s="309"/>
      <c r="J24999" s="309"/>
    </row>
    <row r="25000">
      <c r="B25000" s="309"/>
      <c r="C25000" s="309"/>
      <c r="I25000" s="309"/>
      <c r="J25000" s="309"/>
    </row>
    <row r="25001">
      <c r="B25001" s="309"/>
      <c r="C25001" s="309"/>
      <c r="I25001" s="309"/>
      <c r="J25001" s="309"/>
    </row>
    <row r="25002">
      <c r="B25002" s="309"/>
      <c r="C25002" s="309"/>
      <c r="I25002" s="309"/>
      <c r="J25002" s="309"/>
    </row>
    <row r="25003">
      <c r="B25003" s="309"/>
      <c r="C25003" s="309"/>
      <c r="I25003" s="309"/>
      <c r="J25003" s="309"/>
    </row>
    <row r="25004">
      <c r="B25004" s="309"/>
      <c r="C25004" s="309"/>
      <c r="I25004" s="309"/>
      <c r="J25004" s="309"/>
    </row>
    <row r="25005">
      <c r="B25005" s="309"/>
      <c r="C25005" s="309"/>
      <c r="I25005" s="309"/>
      <c r="J25005" s="309"/>
    </row>
    <row r="25006">
      <c r="B25006" s="309"/>
      <c r="C25006" s="309"/>
      <c r="I25006" s="309"/>
      <c r="J25006" s="309"/>
    </row>
    <row r="25007">
      <c r="B25007" s="309"/>
      <c r="C25007" s="309"/>
      <c r="I25007" s="309"/>
      <c r="J25007" s="309"/>
    </row>
    <row r="25008">
      <c r="B25008" s="309"/>
      <c r="C25008" s="309"/>
      <c r="I25008" s="309"/>
      <c r="J25008" s="309"/>
    </row>
    <row r="25009">
      <c r="B25009" s="309"/>
      <c r="C25009" s="309"/>
      <c r="I25009" s="309"/>
      <c r="J25009" s="309"/>
    </row>
    <row r="25010">
      <c r="B25010" s="309"/>
      <c r="C25010" s="309"/>
      <c r="I25010" s="309"/>
      <c r="J25010" s="309"/>
    </row>
    <row r="25011">
      <c r="B25011" s="309"/>
      <c r="C25011" s="309"/>
      <c r="I25011" s="309"/>
      <c r="J25011" s="309"/>
    </row>
    <row r="25012">
      <c r="B25012" s="309"/>
      <c r="C25012" s="309"/>
      <c r="I25012" s="309"/>
      <c r="J25012" s="309"/>
    </row>
    <row r="25013">
      <c r="B25013" s="309"/>
      <c r="C25013" s="309"/>
      <c r="I25013" s="309"/>
      <c r="J25013" s="309"/>
    </row>
    <row r="25014">
      <c r="B25014" s="309"/>
      <c r="C25014" s="309"/>
      <c r="I25014" s="309"/>
      <c r="J25014" s="309"/>
    </row>
    <row r="25015">
      <c r="B25015" s="309"/>
      <c r="C25015" s="309"/>
      <c r="I25015" s="309"/>
      <c r="J25015" s="309"/>
    </row>
    <row r="25016">
      <c r="B25016" s="309"/>
      <c r="C25016" s="309"/>
      <c r="I25016" s="309"/>
      <c r="J25016" s="309"/>
    </row>
    <row r="25017">
      <c r="B25017" s="309"/>
      <c r="C25017" s="309"/>
      <c r="I25017" s="309"/>
      <c r="J25017" s="309"/>
    </row>
    <row r="25018">
      <c r="B25018" s="309"/>
      <c r="C25018" s="309"/>
      <c r="I25018" s="309"/>
      <c r="J25018" s="309"/>
    </row>
    <row r="25019">
      <c r="B25019" s="309"/>
      <c r="C25019" s="309"/>
      <c r="I25019" s="309"/>
      <c r="J25019" s="309"/>
    </row>
    <row r="25020">
      <c r="B25020" s="309"/>
      <c r="C25020" s="309"/>
      <c r="I25020" s="309"/>
      <c r="J25020" s="309"/>
    </row>
    <row r="25021">
      <c r="B25021" s="309"/>
      <c r="C25021" s="309"/>
      <c r="I25021" s="309"/>
      <c r="J25021" s="309"/>
    </row>
    <row r="25022">
      <c r="B25022" s="309"/>
      <c r="C25022" s="309"/>
      <c r="I25022" s="309"/>
      <c r="J25022" s="309"/>
    </row>
    <row r="25023">
      <c r="B25023" s="309"/>
      <c r="C25023" s="309"/>
      <c r="I25023" s="309"/>
      <c r="J25023" s="309"/>
    </row>
    <row r="25024">
      <c r="B25024" s="309"/>
      <c r="C25024" s="309"/>
      <c r="I25024" s="309"/>
      <c r="J25024" s="309"/>
    </row>
    <row r="25025">
      <c r="B25025" s="309"/>
      <c r="C25025" s="309"/>
      <c r="I25025" s="309"/>
      <c r="J25025" s="309"/>
    </row>
    <row r="25026">
      <c r="B25026" s="309"/>
      <c r="C25026" s="309"/>
      <c r="I25026" s="309"/>
      <c r="J25026" s="309"/>
    </row>
    <row r="25027">
      <c r="B25027" s="309"/>
      <c r="C25027" s="309"/>
      <c r="I25027" s="309"/>
      <c r="J25027" s="309"/>
    </row>
    <row r="25028">
      <c r="B25028" s="309"/>
      <c r="C25028" s="309"/>
      <c r="I25028" s="309"/>
      <c r="J25028" s="309"/>
    </row>
    <row r="25029">
      <c r="B25029" s="309"/>
      <c r="C25029" s="309"/>
      <c r="I25029" s="309"/>
      <c r="J25029" s="309"/>
    </row>
    <row r="25030">
      <c r="B25030" s="309"/>
      <c r="C25030" s="309"/>
      <c r="I25030" s="309"/>
      <c r="J25030" s="309"/>
    </row>
    <row r="25031">
      <c r="B25031" s="309"/>
      <c r="C25031" s="309"/>
      <c r="I25031" s="309"/>
      <c r="J25031" s="309"/>
    </row>
    <row r="25032">
      <c r="B25032" s="309"/>
      <c r="C25032" s="309"/>
      <c r="I25032" s="309"/>
      <c r="J25032" s="309"/>
    </row>
    <row r="25033">
      <c r="B25033" s="309"/>
      <c r="C25033" s="309"/>
      <c r="I25033" s="309"/>
      <c r="J25033" s="309"/>
    </row>
    <row r="25034">
      <c r="B25034" s="309"/>
      <c r="C25034" s="309"/>
      <c r="I25034" s="309"/>
      <c r="J25034" s="309"/>
    </row>
    <row r="25035">
      <c r="B25035" s="309"/>
      <c r="C25035" s="309"/>
      <c r="I25035" s="309"/>
      <c r="J25035" s="309"/>
    </row>
    <row r="25036">
      <c r="B25036" s="309"/>
      <c r="C25036" s="309"/>
      <c r="I25036" s="309"/>
      <c r="J25036" s="309"/>
    </row>
    <row r="25037">
      <c r="B25037" s="309"/>
      <c r="C25037" s="309"/>
      <c r="I25037" s="309"/>
      <c r="J25037" s="309"/>
    </row>
    <row r="25038">
      <c r="B25038" s="309"/>
      <c r="C25038" s="309"/>
      <c r="I25038" s="309"/>
      <c r="J25038" s="309"/>
    </row>
    <row r="25039">
      <c r="B25039" s="309"/>
      <c r="C25039" s="309"/>
      <c r="I25039" s="309"/>
      <c r="J25039" s="309"/>
    </row>
    <row r="25040">
      <c r="B25040" s="309"/>
      <c r="C25040" s="309"/>
      <c r="I25040" s="309"/>
      <c r="J25040" s="309"/>
    </row>
    <row r="25041">
      <c r="B25041" s="309"/>
      <c r="C25041" s="309"/>
      <c r="I25041" s="309"/>
      <c r="J25041" s="309"/>
    </row>
    <row r="25042">
      <c r="B25042" s="309"/>
      <c r="C25042" s="309"/>
      <c r="I25042" s="309"/>
      <c r="J25042" s="309"/>
    </row>
    <row r="25043">
      <c r="B25043" s="309"/>
      <c r="C25043" s="309"/>
      <c r="I25043" s="309"/>
      <c r="J25043" s="309"/>
    </row>
    <row r="25044">
      <c r="B25044" s="309"/>
      <c r="C25044" s="309"/>
      <c r="I25044" s="309"/>
      <c r="J25044" s="309"/>
    </row>
    <row r="25045">
      <c r="B25045" s="309"/>
      <c r="C25045" s="309"/>
      <c r="I25045" s="309"/>
      <c r="J25045" s="309"/>
    </row>
    <row r="25046">
      <c r="B25046" s="309"/>
      <c r="C25046" s="309"/>
      <c r="I25046" s="309"/>
      <c r="J25046" s="309"/>
    </row>
    <row r="25047">
      <c r="B25047" s="309"/>
      <c r="C25047" s="309"/>
      <c r="I25047" s="309"/>
      <c r="J25047" s="309"/>
    </row>
    <row r="25048">
      <c r="B25048" s="309"/>
      <c r="C25048" s="309"/>
      <c r="I25048" s="309"/>
      <c r="J25048" s="309"/>
    </row>
    <row r="25049">
      <c r="B25049" s="309"/>
      <c r="C25049" s="309"/>
      <c r="I25049" s="309"/>
      <c r="J25049" s="309"/>
    </row>
    <row r="25050">
      <c r="B25050" s="309"/>
      <c r="C25050" s="309"/>
      <c r="I25050" s="309"/>
      <c r="J25050" s="309"/>
    </row>
    <row r="25051">
      <c r="B25051" s="309"/>
      <c r="C25051" s="309"/>
      <c r="I25051" s="309"/>
      <c r="J25051" s="309"/>
    </row>
    <row r="25052">
      <c r="B25052" s="309"/>
      <c r="C25052" s="309"/>
      <c r="I25052" s="309"/>
      <c r="J25052" s="309"/>
    </row>
    <row r="25053">
      <c r="B25053" s="309"/>
      <c r="C25053" s="309"/>
      <c r="I25053" s="309"/>
      <c r="J25053" s="309"/>
    </row>
    <row r="25054">
      <c r="B25054" s="309"/>
      <c r="C25054" s="309"/>
      <c r="I25054" s="309"/>
      <c r="J25054" s="309"/>
    </row>
    <row r="25055">
      <c r="B25055" s="309"/>
      <c r="C25055" s="309"/>
      <c r="I25055" s="309"/>
      <c r="J25055" s="309"/>
    </row>
    <row r="25056">
      <c r="B25056" s="309"/>
      <c r="C25056" s="309"/>
      <c r="I25056" s="309"/>
      <c r="J25056" s="309"/>
    </row>
    <row r="25057">
      <c r="B25057" s="309"/>
      <c r="C25057" s="309"/>
      <c r="I25057" s="309"/>
      <c r="J25057" s="309"/>
    </row>
    <row r="25058">
      <c r="B25058" s="309"/>
      <c r="C25058" s="309"/>
      <c r="I25058" s="309"/>
      <c r="J25058" s="309"/>
    </row>
    <row r="25059">
      <c r="B25059" s="309"/>
      <c r="C25059" s="309"/>
      <c r="I25059" s="309"/>
      <c r="J25059" s="309"/>
    </row>
    <row r="25060">
      <c r="B25060" s="309"/>
      <c r="C25060" s="309"/>
      <c r="I25060" s="309"/>
      <c r="J25060" s="309"/>
    </row>
    <row r="25061">
      <c r="B25061" s="309"/>
      <c r="C25061" s="309"/>
      <c r="I25061" s="309"/>
      <c r="J25061" s="309"/>
    </row>
    <row r="25062">
      <c r="B25062" s="309"/>
      <c r="C25062" s="309"/>
      <c r="I25062" s="309"/>
      <c r="J25062" s="309"/>
    </row>
    <row r="25063">
      <c r="B25063" s="309"/>
      <c r="C25063" s="309"/>
      <c r="I25063" s="309"/>
      <c r="J25063" s="309"/>
    </row>
    <row r="25064">
      <c r="B25064" s="309"/>
      <c r="C25064" s="309"/>
      <c r="I25064" s="309"/>
      <c r="J25064" s="309"/>
    </row>
    <row r="25065">
      <c r="B25065" s="309"/>
      <c r="C25065" s="309"/>
      <c r="I25065" s="309"/>
      <c r="J25065" s="309"/>
    </row>
    <row r="25066">
      <c r="B25066" s="309"/>
      <c r="C25066" s="309"/>
      <c r="I25066" s="309"/>
      <c r="J25066" s="309"/>
    </row>
    <row r="25067">
      <c r="B25067" s="309"/>
      <c r="C25067" s="309"/>
      <c r="I25067" s="309"/>
      <c r="J25067" s="309"/>
    </row>
    <row r="25068">
      <c r="B25068" s="309"/>
      <c r="C25068" s="309"/>
      <c r="I25068" s="309"/>
      <c r="J25068" s="309"/>
    </row>
    <row r="25069">
      <c r="B25069" s="309"/>
      <c r="C25069" s="309"/>
      <c r="I25069" s="309"/>
      <c r="J25069" s="309"/>
    </row>
    <row r="25070">
      <c r="B25070" s="309"/>
      <c r="C25070" s="309"/>
      <c r="I25070" s="309"/>
      <c r="J25070" s="309"/>
    </row>
    <row r="25071">
      <c r="B25071" s="309"/>
      <c r="C25071" s="309"/>
      <c r="I25071" s="309"/>
      <c r="J25071" s="309"/>
    </row>
    <row r="25072">
      <c r="B25072" s="309"/>
      <c r="C25072" s="309"/>
      <c r="I25072" s="309"/>
      <c r="J25072" s="309"/>
    </row>
    <row r="25073">
      <c r="B25073" s="309"/>
      <c r="C25073" s="309"/>
      <c r="I25073" s="309"/>
      <c r="J25073" s="309"/>
    </row>
    <row r="25074">
      <c r="B25074" s="309"/>
      <c r="C25074" s="309"/>
      <c r="I25074" s="309"/>
      <c r="J25074" s="309"/>
    </row>
    <row r="25075">
      <c r="B25075" s="309"/>
      <c r="C25075" s="309"/>
      <c r="I25075" s="309"/>
      <c r="J25075" s="309"/>
    </row>
    <row r="25076">
      <c r="B25076" s="309"/>
      <c r="C25076" s="309"/>
      <c r="I25076" s="309"/>
      <c r="J25076" s="309"/>
    </row>
    <row r="25077">
      <c r="B25077" s="309"/>
      <c r="C25077" s="309"/>
      <c r="I25077" s="309"/>
      <c r="J25077" s="309"/>
    </row>
    <row r="25078">
      <c r="B25078" s="309"/>
      <c r="C25078" s="309"/>
      <c r="I25078" s="309"/>
      <c r="J25078" s="309"/>
    </row>
    <row r="25079">
      <c r="B25079" s="309"/>
      <c r="C25079" s="309"/>
      <c r="I25079" s="309"/>
      <c r="J25079" s="309"/>
    </row>
    <row r="25080">
      <c r="B25080" s="309"/>
      <c r="C25080" s="309"/>
      <c r="I25080" s="309"/>
      <c r="J25080" s="309"/>
    </row>
    <row r="25081">
      <c r="B25081" s="309"/>
      <c r="C25081" s="309"/>
      <c r="I25081" s="309"/>
      <c r="J25081" s="309"/>
    </row>
    <row r="25082">
      <c r="B25082" s="309"/>
      <c r="C25082" s="309"/>
      <c r="I25082" s="309"/>
      <c r="J25082" s="309"/>
    </row>
    <row r="25083">
      <c r="B25083" s="309"/>
      <c r="C25083" s="309"/>
      <c r="I25083" s="309"/>
      <c r="J25083" s="309"/>
    </row>
    <row r="25084">
      <c r="B25084" s="309"/>
      <c r="C25084" s="309"/>
      <c r="I25084" s="309"/>
      <c r="J25084" s="309"/>
    </row>
    <row r="25085">
      <c r="B25085" s="309"/>
      <c r="C25085" s="309"/>
      <c r="I25085" s="309"/>
      <c r="J25085" s="309"/>
    </row>
    <row r="25086">
      <c r="B25086" s="309"/>
      <c r="C25086" s="309"/>
      <c r="I25086" s="309"/>
      <c r="J25086" s="309"/>
    </row>
    <row r="25087">
      <c r="B25087" s="309"/>
      <c r="C25087" s="309"/>
      <c r="I25087" s="309"/>
      <c r="J25087" s="309"/>
    </row>
    <row r="25088">
      <c r="B25088" s="309"/>
      <c r="C25088" s="309"/>
      <c r="I25088" s="309"/>
      <c r="J25088" s="309"/>
    </row>
    <row r="25089">
      <c r="B25089" s="309"/>
      <c r="C25089" s="309"/>
      <c r="I25089" s="309"/>
      <c r="J25089" s="309"/>
    </row>
    <row r="25090">
      <c r="B25090" s="309"/>
      <c r="C25090" s="309"/>
      <c r="I25090" s="309"/>
      <c r="J25090" s="309"/>
    </row>
    <row r="25091">
      <c r="B25091" s="309"/>
      <c r="C25091" s="309"/>
      <c r="I25091" s="309"/>
      <c r="J25091" s="309"/>
    </row>
    <row r="25092">
      <c r="B25092" s="309"/>
      <c r="C25092" s="309"/>
      <c r="I25092" s="309"/>
      <c r="J25092" s="309"/>
    </row>
    <row r="25093">
      <c r="B25093" s="309"/>
      <c r="C25093" s="309"/>
      <c r="I25093" s="309"/>
      <c r="J25093" s="309"/>
    </row>
    <row r="25094">
      <c r="B25094" s="309"/>
      <c r="C25094" s="309"/>
      <c r="I25094" s="309"/>
      <c r="J25094" s="309"/>
    </row>
    <row r="25095">
      <c r="B25095" s="309"/>
      <c r="C25095" s="309"/>
      <c r="I25095" s="309"/>
      <c r="J25095" s="309"/>
    </row>
    <row r="25096">
      <c r="B25096" s="309"/>
      <c r="C25096" s="309"/>
      <c r="I25096" s="309"/>
      <c r="J25096" s="309"/>
    </row>
    <row r="25097">
      <c r="B25097" s="309"/>
      <c r="C25097" s="309"/>
      <c r="I25097" s="309"/>
      <c r="J25097" s="309"/>
    </row>
    <row r="25098">
      <c r="B25098" s="309"/>
      <c r="C25098" s="309"/>
      <c r="I25098" s="309"/>
      <c r="J25098" s="309"/>
    </row>
    <row r="25099">
      <c r="B25099" s="309"/>
      <c r="C25099" s="309"/>
      <c r="I25099" s="309"/>
      <c r="J25099" s="309"/>
    </row>
    <row r="25100">
      <c r="B25100" s="309"/>
      <c r="C25100" s="309"/>
      <c r="I25100" s="309"/>
      <c r="J25100" s="309"/>
    </row>
    <row r="25101">
      <c r="B25101" s="309"/>
      <c r="C25101" s="309"/>
      <c r="I25101" s="309"/>
      <c r="J25101" s="309"/>
    </row>
    <row r="25102">
      <c r="B25102" s="309"/>
      <c r="C25102" s="309"/>
      <c r="I25102" s="309"/>
      <c r="J25102" s="309"/>
    </row>
    <row r="25103">
      <c r="B25103" s="309"/>
      <c r="C25103" s="309"/>
      <c r="I25103" s="309"/>
      <c r="J25103" s="309"/>
    </row>
    <row r="25104">
      <c r="B25104" s="309"/>
      <c r="C25104" s="309"/>
      <c r="I25104" s="309"/>
      <c r="J25104" s="309"/>
    </row>
    <row r="25105">
      <c r="B25105" s="309"/>
      <c r="C25105" s="309"/>
      <c r="I25105" s="309"/>
      <c r="J25105" s="309"/>
    </row>
    <row r="25106">
      <c r="B25106" s="309"/>
      <c r="C25106" s="309"/>
      <c r="I25106" s="309"/>
      <c r="J25106" s="309"/>
    </row>
    <row r="25107">
      <c r="B25107" s="309"/>
      <c r="C25107" s="309"/>
      <c r="I25107" s="309"/>
      <c r="J25107" s="309"/>
    </row>
    <row r="25108">
      <c r="B25108" s="309"/>
      <c r="C25108" s="309"/>
      <c r="I25108" s="309"/>
      <c r="J25108" s="309"/>
    </row>
    <row r="25109">
      <c r="B25109" s="309"/>
      <c r="C25109" s="309"/>
      <c r="I25109" s="309"/>
      <c r="J25109" s="309"/>
    </row>
    <row r="25110">
      <c r="B25110" s="309"/>
      <c r="C25110" s="309"/>
      <c r="I25110" s="309"/>
      <c r="J25110" s="309"/>
    </row>
    <row r="25111">
      <c r="B25111" s="309"/>
      <c r="C25111" s="309"/>
      <c r="I25111" s="309"/>
      <c r="J25111" s="309"/>
    </row>
    <row r="25112">
      <c r="B25112" s="309"/>
      <c r="C25112" s="309"/>
      <c r="I25112" s="309"/>
      <c r="J25112" s="309"/>
    </row>
    <row r="25113">
      <c r="B25113" s="309"/>
      <c r="C25113" s="309"/>
      <c r="I25113" s="309"/>
      <c r="J25113" s="309"/>
    </row>
    <row r="25114">
      <c r="B25114" s="309"/>
      <c r="C25114" s="309"/>
      <c r="I25114" s="309"/>
      <c r="J25114" s="309"/>
    </row>
    <row r="25115">
      <c r="B25115" s="309"/>
      <c r="C25115" s="309"/>
      <c r="I25115" s="309"/>
      <c r="J25115" s="309"/>
    </row>
    <row r="25116">
      <c r="B25116" s="309"/>
      <c r="C25116" s="309"/>
      <c r="I25116" s="309"/>
      <c r="J25116" s="309"/>
    </row>
    <row r="25117">
      <c r="B25117" s="309"/>
      <c r="C25117" s="309"/>
      <c r="I25117" s="309"/>
      <c r="J25117" s="309"/>
    </row>
    <row r="25118">
      <c r="B25118" s="309"/>
      <c r="C25118" s="309"/>
      <c r="I25118" s="309"/>
      <c r="J25118" s="309"/>
    </row>
    <row r="25119">
      <c r="B25119" s="309"/>
      <c r="C25119" s="309"/>
      <c r="I25119" s="309"/>
      <c r="J25119" s="309"/>
    </row>
    <row r="25120">
      <c r="B25120" s="309"/>
      <c r="C25120" s="309"/>
      <c r="I25120" s="309"/>
      <c r="J25120" s="309"/>
    </row>
    <row r="25121">
      <c r="B25121" s="309"/>
      <c r="C25121" s="309"/>
      <c r="I25121" s="309"/>
      <c r="J25121" s="309"/>
    </row>
    <row r="25122">
      <c r="B25122" s="309"/>
      <c r="C25122" s="309"/>
      <c r="I25122" s="309"/>
      <c r="J25122" s="309"/>
    </row>
    <row r="25123">
      <c r="B25123" s="309"/>
      <c r="C25123" s="309"/>
      <c r="I25123" s="309"/>
      <c r="J25123" s="309"/>
    </row>
    <row r="25124">
      <c r="B25124" s="309"/>
      <c r="C25124" s="309"/>
      <c r="I25124" s="309"/>
      <c r="J25124" s="309"/>
    </row>
    <row r="25125">
      <c r="B25125" s="309"/>
      <c r="C25125" s="309"/>
      <c r="I25125" s="309"/>
      <c r="J25125" s="309"/>
    </row>
    <row r="25126">
      <c r="B25126" s="309"/>
      <c r="C25126" s="309"/>
      <c r="I25126" s="309"/>
      <c r="J25126" s="309"/>
    </row>
    <row r="25127">
      <c r="B25127" s="309"/>
      <c r="C25127" s="309"/>
      <c r="I25127" s="309"/>
      <c r="J25127" s="309"/>
    </row>
    <row r="25128">
      <c r="B25128" s="309"/>
      <c r="C25128" s="309"/>
      <c r="I25128" s="309"/>
      <c r="J25128" s="309"/>
    </row>
    <row r="25129">
      <c r="B25129" s="309"/>
      <c r="C25129" s="309"/>
      <c r="I25129" s="309"/>
      <c r="J25129" s="309"/>
    </row>
    <row r="25130">
      <c r="B25130" s="309"/>
      <c r="C25130" s="309"/>
      <c r="I25130" s="309"/>
      <c r="J25130" s="309"/>
    </row>
    <row r="25131">
      <c r="B25131" s="309"/>
      <c r="C25131" s="309"/>
      <c r="I25131" s="309"/>
      <c r="J25131" s="309"/>
    </row>
    <row r="25132">
      <c r="B25132" s="309"/>
      <c r="C25132" s="309"/>
      <c r="I25132" s="309"/>
      <c r="J25132" s="309"/>
    </row>
    <row r="25133">
      <c r="B25133" s="309"/>
      <c r="C25133" s="309"/>
      <c r="I25133" s="309"/>
      <c r="J25133" s="309"/>
    </row>
    <row r="25134">
      <c r="B25134" s="309"/>
      <c r="C25134" s="309"/>
      <c r="I25134" s="309"/>
      <c r="J25134" s="309"/>
    </row>
    <row r="25135">
      <c r="B25135" s="309"/>
      <c r="C25135" s="309"/>
      <c r="I25135" s="309"/>
      <c r="J25135" s="309"/>
    </row>
    <row r="25136">
      <c r="B25136" s="309"/>
      <c r="C25136" s="309"/>
      <c r="I25136" s="309"/>
      <c r="J25136" s="309"/>
    </row>
    <row r="25137">
      <c r="B25137" s="309"/>
      <c r="C25137" s="309"/>
      <c r="I25137" s="309"/>
      <c r="J25137" s="309"/>
    </row>
    <row r="25138">
      <c r="B25138" s="309"/>
      <c r="C25138" s="309"/>
      <c r="I25138" s="309"/>
      <c r="J25138" s="309"/>
    </row>
    <row r="25139">
      <c r="B25139" s="309"/>
      <c r="C25139" s="309"/>
      <c r="I25139" s="309"/>
      <c r="J25139" s="309"/>
    </row>
    <row r="25140">
      <c r="B25140" s="309"/>
      <c r="C25140" s="309"/>
      <c r="I25140" s="309"/>
      <c r="J25140" s="309"/>
    </row>
    <row r="25141">
      <c r="B25141" s="309"/>
      <c r="C25141" s="309"/>
      <c r="I25141" s="309"/>
      <c r="J25141" s="309"/>
    </row>
    <row r="25142">
      <c r="B25142" s="309"/>
      <c r="C25142" s="309"/>
      <c r="I25142" s="309"/>
      <c r="J25142" s="309"/>
    </row>
    <row r="25143">
      <c r="B25143" s="309"/>
      <c r="C25143" s="309"/>
      <c r="I25143" s="309"/>
      <c r="J25143" s="309"/>
    </row>
    <row r="25144">
      <c r="B25144" s="309"/>
      <c r="C25144" s="309"/>
      <c r="I25144" s="309"/>
      <c r="J25144" s="309"/>
    </row>
    <row r="25145">
      <c r="B25145" s="309"/>
      <c r="C25145" s="309"/>
      <c r="I25145" s="309"/>
      <c r="J25145" s="309"/>
    </row>
    <row r="25146">
      <c r="B25146" s="309"/>
      <c r="C25146" s="309"/>
      <c r="I25146" s="309"/>
      <c r="J25146" s="309"/>
    </row>
    <row r="25147">
      <c r="B25147" s="309"/>
      <c r="C25147" s="309"/>
      <c r="I25147" s="309"/>
      <c r="J25147" s="309"/>
    </row>
    <row r="25148">
      <c r="B25148" s="309"/>
      <c r="C25148" s="309"/>
      <c r="I25148" s="309"/>
      <c r="J25148" s="309"/>
    </row>
    <row r="25149">
      <c r="B25149" s="309"/>
      <c r="C25149" s="309"/>
      <c r="I25149" s="309"/>
      <c r="J25149" s="309"/>
    </row>
    <row r="25150">
      <c r="B25150" s="309"/>
      <c r="C25150" s="309"/>
      <c r="I25150" s="309"/>
      <c r="J25150" s="309"/>
    </row>
    <row r="25151">
      <c r="B25151" s="309"/>
      <c r="C25151" s="309"/>
      <c r="I25151" s="309"/>
      <c r="J25151" s="309"/>
    </row>
    <row r="25152">
      <c r="B25152" s="309"/>
      <c r="C25152" s="309"/>
      <c r="I25152" s="309"/>
      <c r="J25152" s="309"/>
    </row>
    <row r="25153">
      <c r="B25153" s="309"/>
      <c r="C25153" s="309"/>
      <c r="I25153" s="309"/>
      <c r="J25153" s="309"/>
    </row>
    <row r="25154">
      <c r="B25154" s="309"/>
      <c r="C25154" s="309"/>
      <c r="I25154" s="309"/>
      <c r="J25154" s="309"/>
    </row>
    <row r="25155">
      <c r="B25155" s="309"/>
      <c r="C25155" s="309"/>
      <c r="I25155" s="309"/>
      <c r="J25155" s="309"/>
    </row>
    <row r="25156">
      <c r="B25156" s="309"/>
      <c r="C25156" s="309"/>
      <c r="I25156" s="309"/>
      <c r="J25156" s="309"/>
    </row>
    <row r="25157">
      <c r="B25157" s="309"/>
      <c r="C25157" s="309"/>
      <c r="I25157" s="309"/>
      <c r="J25157" s="309"/>
    </row>
    <row r="25158">
      <c r="B25158" s="309"/>
      <c r="C25158" s="309"/>
      <c r="I25158" s="309"/>
      <c r="J25158" s="309"/>
    </row>
    <row r="25159">
      <c r="B25159" s="309"/>
      <c r="C25159" s="309"/>
      <c r="I25159" s="309"/>
      <c r="J25159" s="309"/>
    </row>
    <row r="25160">
      <c r="B25160" s="309"/>
      <c r="C25160" s="309"/>
      <c r="I25160" s="309"/>
      <c r="J25160" s="309"/>
    </row>
    <row r="25161">
      <c r="B25161" s="309"/>
      <c r="C25161" s="309"/>
      <c r="I25161" s="309"/>
      <c r="J25161" s="309"/>
    </row>
    <row r="25162">
      <c r="B25162" s="309"/>
      <c r="C25162" s="309"/>
      <c r="I25162" s="309"/>
      <c r="J25162" s="309"/>
    </row>
    <row r="25163">
      <c r="B25163" s="309"/>
      <c r="C25163" s="309"/>
      <c r="I25163" s="309"/>
      <c r="J25163" s="309"/>
    </row>
    <row r="25164">
      <c r="B25164" s="309"/>
      <c r="C25164" s="309"/>
      <c r="I25164" s="309"/>
      <c r="J25164" s="309"/>
    </row>
    <row r="25165">
      <c r="B25165" s="309"/>
      <c r="C25165" s="309"/>
      <c r="I25165" s="309"/>
      <c r="J25165" s="309"/>
    </row>
    <row r="25166">
      <c r="B25166" s="309"/>
      <c r="C25166" s="309"/>
      <c r="I25166" s="309"/>
      <c r="J25166" s="309"/>
    </row>
    <row r="25167">
      <c r="B25167" s="309"/>
      <c r="C25167" s="309"/>
      <c r="I25167" s="309"/>
      <c r="J25167" s="309"/>
    </row>
    <row r="25168">
      <c r="B25168" s="309"/>
      <c r="C25168" s="309"/>
      <c r="I25168" s="309"/>
      <c r="J25168" s="309"/>
    </row>
    <row r="25169">
      <c r="B25169" s="309"/>
      <c r="C25169" s="309"/>
      <c r="I25169" s="309"/>
      <c r="J25169" s="309"/>
    </row>
    <row r="25170">
      <c r="B25170" s="309"/>
      <c r="C25170" s="309"/>
      <c r="I25170" s="309"/>
      <c r="J25170" s="309"/>
    </row>
    <row r="25171">
      <c r="B25171" s="309"/>
      <c r="C25171" s="309"/>
      <c r="I25171" s="309"/>
      <c r="J25171" s="309"/>
    </row>
    <row r="25172">
      <c r="B25172" s="309"/>
      <c r="C25172" s="309"/>
      <c r="I25172" s="309"/>
      <c r="J25172" s="309"/>
    </row>
    <row r="25173">
      <c r="B25173" s="309"/>
      <c r="C25173" s="309"/>
      <c r="I25173" s="309"/>
      <c r="J25173" s="309"/>
    </row>
    <row r="25174">
      <c r="B25174" s="309"/>
      <c r="C25174" s="309"/>
      <c r="I25174" s="309"/>
      <c r="J25174" s="309"/>
    </row>
    <row r="25175">
      <c r="B25175" s="309"/>
      <c r="C25175" s="309"/>
      <c r="I25175" s="309"/>
      <c r="J25175" s="309"/>
    </row>
    <row r="25176">
      <c r="B25176" s="309"/>
      <c r="C25176" s="309"/>
      <c r="I25176" s="309"/>
      <c r="J25176" s="309"/>
    </row>
    <row r="25177">
      <c r="B25177" s="309"/>
      <c r="C25177" s="309"/>
      <c r="I25177" s="309"/>
      <c r="J25177" s="309"/>
    </row>
    <row r="25178">
      <c r="B25178" s="309"/>
      <c r="C25178" s="309"/>
      <c r="I25178" s="309"/>
      <c r="J25178" s="309"/>
    </row>
    <row r="25179">
      <c r="B25179" s="309"/>
      <c r="C25179" s="309"/>
      <c r="I25179" s="309"/>
      <c r="J25179" s="309"/>
    </row>
    <row r="25180">
      <c r="B25180" s="309"/>
      <c r="C25180" s="309"/>
      <c r="I25180" s="309"/>
      <c r="J25180" s="309"/>
    </row>
    <row r="25181">
      <c r="B25181" s="309"/>
      <c r="C25181" s="309"/>
      <c r="I25181" s="309"/>
      <c r="J25181" s="309"/>
    </row>
    <row r="25182">
      <c r="B25182" s="309"/>
      <c r="C25182" s="309"/>
      <c r="I25182" s="309"/>
      <c r="J25182" s="309"/>
    </row>
    <row r="25183">
      <c r="B25183" s="309"/>
      <c r="C25183" s="309"/>
      <c r="I25183" s="309"/>
      <c r="J25183" s="309"/>
    </row>
    <row r="25184">
      <c r="B25184" s="309"/>
      <c r="C25184" s="309"/>
      <c r="I25184" s="309"/>
      <c r="J25184" s="309"/>
    </row>
    <row r="25185">
      <c r="B25185" s="309"/>
      <c r="C25185" s="309"/>
      <c r="I25185" s="309"/>
      <c r="J25185" s="309"/>
    </row>
    <row r="25186">
      <c r="B25186" s="309"/>
      <c r="C25186" s="309"/>
      <c r="I25186" s="309"/>
      <c r="J25186" s="309"/>
    </row>
    <row r="25187">
      <c r="B25187" s="309"/>
      <c r="C25187" s="309"/>
      <c r="I25187" s="309"/>
      <c r="J25187" s="309"/>
    </row>
    <row r="25188">
      <c r="B25188" s="309"/>
      <c r="C25188" s="309"/>
      <c r="I25188" s="309"/>
      <c r="J25188" s="309"/>
    </row>
    <row r="25189">
      <c r="B25189" s="309"/>
      <c r="C25189" s="309"/>
      <c r="I25189" s="309"/>
      <c r="J25189" s="309"/>
    </row>
    <row r="25190">
      <c r="B25190" s="309"/>
      <c r="C25190" s="309"/>
      <c r="I25190" s="309"/>
      <c r="J25190" s="309"/>
    </row>
    <row r="25191">
      <c r="B25191" s="309"/>
      <c r="C25191" s="309"/>
      <c r="I25191" s="309"/>
      <c r="J25191" s="309"/>
    </row>
    <row r="25192">
      <c r="B25192" s="309"/>
      <c r="C25192" s="309"/>
      <c r="I25192" s="309"/>
      <c r="J25192" s="309"/>
    </row>
    <row r="25193">
      <c r="B25193" s="309"/>
      <c r="C25193" s="309"/>
      <c r="I25193" s="309"/>
      <c r="J25193" s="309"/>
    </row>
    <row r="25194">
      <c r="B25194" s="309"/>
      <c r="C25194" s="309"/>
      <c r="I25194" s="309"/>
      <c r="J25194" s="309"/>
    </row>
    <row r="25195">
      <c r="B25195" s="309"/>
      <c r="C25195" s="309"/>
      <c r="I25195" s="309"/>
      <c r="J25195" s="309"/>
    </row>
    <row r="25196">
      <c r="B25196" s="309"/>
      <c r="C25196" s="309"/>
      <c r="I25196" s="309"/>
      <c r="J25196" s="309"/>
    </row>
    <row r="25197">
      <c r="B25197" s="309"/>
      <c r="C25197" s="309"/>
      <c r="I25197" s="309"/>
      <c r="J25197" s="309"/>
    </row>
    <row r="25198">
      <c r="B25198" s="309"/>
      <c r="C25198" s="309"/>
      <c r="I25198" s="309"/>
      <c r="J25198" s="309"/>
    </row>
    <row r="25199">
      <c r="B25199" s="309"/>
      <c r="C25199" s="309"/>
      <c r="I25199" s="309"/>
      <c r="J25199" s="309"/>
    </row>
    <row r="25200">
      <c r="B25200" s="309"/>
      <c r="C25200" s="309"/>
      <c r="I25200" s="309"/>
      <c r="J25200" s="309"/>
    </row>
    <row r="25201">
      <c r="B25201" s="309"/>
      <c r="C25201" s="309"/>
      <c r="I25201" s="309"/>
      <c r="J25201" s="309"/>
    </row>
    <row r="25202">
      <c r="B25202" s="309"/>
      <c r="C25202" s="309"/>
      <c r="I25202" s="309"/>
      <c r="J25202" s="309"/>
    </row>
    <row r="25203">
      <c r="B25203" s="309"/>
      <c r="C25203" s="309"/>
      <c r="I25203" s="309"/>
      <c r="J25203" s="309"/>
    </row>
    <row r="25204">
      <c r="B25204" s="309"/>
      <c r="C25204" s="309"/>
      <c r="I25204" s="309"/>
      <c r="J25204" s="309"/>
    </row>
    <row r="25205">
      <c r="B25205" s="309"/>
      <c r="C25205" s="309"/>
      <c r="I25205" s="309"/>
      <c r="J25205" s="309"/>
    </row>
    <row r="25206">
      <c r="B25206" s="309"/>
      <c r="C25206" s="309"/>
      <c r="I25206" s="309"/>
      <c r="J25206" s="309"/>
    </row>
    <row r="25207">
      <c r="B25207" s="309"/>
      <c r="C25207" s="309"/>
      <c r="I25207" s="309"/>
      <c r="J25207" s="309"/>
    </row>
    <row r="25208">
      <c r="B25208" s="309"/>
      <c r="C25208" s="309"/>
      <c r="I25208" s="309"/>
      <c r="J25208" s="309"/>
    </row>
    <row r="25209">
      <c r="B25209" s="309"/>
      <c r="C25209" s="309"/>
      <c r="I25209" s="309"/>
      <c r="J25209" s="309"/>
    </row>
    <row r="25210">
      <c r="B25210" s="309"/>
      <c r="C25210" s="309"/>
      <c r="I25210" s="309"/>
      <c r="J25210" s="309"/>
    </row>
    <row r="25211">
      <c r="B25211" s="309"/>
      <c r="C25211" s="309"/>
      <c r="I25211" s="309"/>
      <c r="J25211" s="309"/>
    </row>
    <row r="25212">
      <c r="B25212" s="309"/>
      <c r="C25212" s="309"/>
      <c r="I25212" s="309"/>
      <c r="J25212" s="309"/>
    </row>
    <row r="25213">
      <c r="B25213" s="309"/>
      <c r="C25213" s="309"/>
      <c r="I25213" s="309"/>
      <c r="J25213" s="309"/>
    </row>
    <row r="25214">
      <c r="B25214" s="309"/>
      <c r="C25214" s="309"/>
      <c r="I25214" s="309"/>
      <c r="J25214" s="309"/>
    </row>
    <row r="25215">
      <c r="B25215" s="309"/>
      <c r="C25215" s="309"/>
      <c r="I25215" s="309"/>
      <c r="J25215" s="309"/>
    </row>
    <row r="25216">
      <c r="B25216" s="309"/>
      <c r="C25216" s="309"/>
      <c r="I25216" s="309"/>
      <c r="J25216" s="309"/>
    </row>
    <row r="25217">
      <c r="B25217" s="309"/>
      <c r="C25217" s="309"/>
      <c r="I25217" s="309"/>
      <c r="J25217" s="309"/>
    </row>
    <row r="25218">
      <c r="B25218" s="309"/>
      <c r="C25218" s="309"/>
      <c r="I25218" s="309"/>
      <c r="J25218" s="309"/>
    </row>
    <row r="25219">
      <c r="B25219" s="309"/>
      <c r="C25219" s="309"/>
      <c r="I25219" s="309"/>
      <c r="J25219" s="309"/>
    </row>
    <row r="25220">
      <c r="B25220" s="309"/>
      <c r="C25220" s="309"/>
      <c r="I25220" s="309"/>
      <c r="J25220" s="309"/>
    </row>
    <row r="25221">
      <c r="B25221" s="309"/>
      <c r="C25221" s="309"/>
      <c r="I25221" s="309"/>
      <c r="J25221" s="309"/>
    </row>
    <row r="25222">
      <c r="B25222" s="309"/>
      <c r="C25222" s="309"/>
      <c r="I25222" s="309"/>
      <c r="J25222" s="309"/>
    </row>
    <row r="25223">
      <c r="B25223" s="309"/>
      <c r="C25223" s="309"/>
      <c r="I25223" s="309"/>
      <c r="J25223" s="309"/>
    </row>
    <row r="25224">
      <c r="B25224" s="309"/>
      <c r="C25224" s="309"/>
      <c r="I25224" s="309"/>
      <c r="J25224" s="309"/>
    </row>
    <row r="25225">
      <c r="B25225" s="309"/>
      <c r="C25225" s="309"/>
      <c r="I25225" s="309"/>
      <c r="J25225" s="309"/>
    </row>
    <row r="25226">
      <c r="B25226" s="309"/>
      <c r="C25226" s="309"/>
      <c r="I25226" s="309"/>
      <c r="J25226" s="309"/>
    </row>
    <row r="25227">
      <c r="B25227" s="309"/>
      <c r="C25227" s="309"/>
      <c r="I25227" s="309"/>
      <c r="J25227" s="309"/>
    </row>
    <row r="25228">
      <c r="B25228" s="309"/>
      <c r="C25228" s="309"/>
      <c r="I25228" s="309"/>
      <c r="J25228" s="309"/>
    </row>
    <row r="25229">
      <c r="B25229" s="309"/>
      <c r="C25229" s="309"/>
      <c r="I25229" s="309"/>
      <c r="J25229" s="309"/>
    </row>
    <row r="25230">
      <c r="B25230" s="309"/>
      <c r="C25230" s="309"/>
      <c r="I25230" s="309"/>
      <c r="J25230" s="309"/>
    </row>
    <row r="25231">
      <c r="B25231" s="309"/>
      <c r="C25231" s="309"/>
      <c r="I25231" s="309"/>
      <c r="J25231" s="309"/>
    </row>
    <row r="25232">
      <c r="B25232" s="309"/>
      <c r="C25232" s="309"/>
      <c r="I25232" s="309"/>
      <c r="J25232" s="309"/>
    </row>
    <row r="25233">
      <c r="B25233" s="309"/>
      <c r="C25233" s="309"/>
      <c r="I25233" s="309"/>
      <c r="J25233" s="309"/>
    </row>
    <row r="25234">
      <c r="B25234" s="309"/>
      <c r="C25234" s="309"/>
      <c r="I25234" s="309"/>
      <c r="J25234" s="309"/>
    </row>
    <row r="25235">
      <c r="B25235" s="309"/>
      <c r="C25235" s="309"/>
      <c r="I25235" s="309"/>
      <c r="J25235" s="309"/>
    </row>
    <row r="25236">
      <c r="B25236" s="309"/>
      <c r="C25236" s="309"/>
      <c r="I25236" s="309"/>
      <c r="J25236" s="309"/>
    </row>
    <row r="25237">
      <c r="B25237" s="309"/>
      <c r="C25237" s="309"/>
      <c r="I25237" s="309"/>
      <c r="J25237" s="309"/>
    </row>
    <row r="25238">
      <c r="B25238" s="309"/>
      <c r="C25238" s="309"/>
      <c r="I25238" s="309"/>
      <c r="J25238" s="309"/>
    </row>
    <row r="25239">
      <c r="B25239" s="309"/>
      <c r="C25239" s="309"/>
      <c r="I25239" s="309"/>
      <c r="J25239" s="309"/>
    </row>
    <row r="25240">
      <c r="B25240" s="309"/>
      <c r="C25240" s="309"/>
      <c r="I25240" s="309"/>
      <c r="J25240" s="309"/>
    </row>
    <row r="25241">
      <c r="B25241" s="309"/>
      <c r="C25241" s="309"/>
      <c r="I25241" s="309"/>
      <c r="J25241" s="309"/>
    </row>
    <row r="25242">
      <c r="B25242" s="309"/>
      <c r="C25242" s="309"/>
      <c r="I25242" s="309"/>
      <c r="J25242" s="309"/>
    </row>
    <row r="25243">
      <c r="B25243" s="309"/>
      <c r="C25243" s="309"/>
      <c r="I25243" s="309"/>
      <c r="J25243" s="309"/>
    </row>
    <row r="25244">
      <c r="B25244" s="309"/>
      <c r="C25244" s="309"/>
      <c r="I25244" s="309"/>
      <c r="J25244" s="309"/>
    </row>
    <row r="25245">
      <c r="B25245" s="309"/>
      <c r="C25245" s="309"/>
      <c r="I25245" s="309"/>
      <c r="J25245" s="309"/>
    </row>
    <row r="25246">
      <c r="B25246" s="309"/>
      <c r="C25246" s="309"/>
      <c r="I25246" s="309"/>
      <c r="J25246" s="309"/>
    </row>
    <row r="25247">
      <c r="B25247" s="309"/>
      <c r="C25247" s="309"/>
      <c r="I25247" s="309"/>
      <c r="J25247" s="309"/>
    </row>
    <row r="25248">
      <c r="B25248" s="309"/>
      <c r="C25248" s="309"/>
      <c r="I25248" s="309"/>
      <c r="J25248" s="309"/>
    </row>
    <row r="25249">
      <c r="B25249" s="309"/>
      <c r="C25249" s="309"/>
      <c r="I25249" s="309"/>
      <c r="J25249" s="309"/>
    </row>
    <row r="25250">
      <c r="B25250" s="309"/>
      <c r="C25250" s="309"/>
      <c r="I25250" s="309"/>
      <c r="J25250" s="309"/>
    </row>
    <row r="25251">
      <c r="B25251" s="309"/>
      <c r="C25251" s="309"/>
      <c r="I25251" s="309"/>
      <c r="J25251" s="309"/>
    </row>
    <row r="25252">
      <c r="B25252" s="309"/>
      <c r="C25252" s="309"/>
      <c r="I25252" s="309"/>
      <c r="J25252" s="309"/>
    </row>
    <row r="25253">
      <c r="B25253" s="309"/>
      <c r="C25253" s="309"/>
      <c r="I25253" s="309"/>
      <c r="J25253" s="309"/>
    </row>
    <row r="25254">
      <c r="B25254" s="309"/>
      <c r="C25254" s="309"/>
      <c r="I25254" s="309"/>
      <c r="J25254" s="309"/>
    </row>
    <row r="25255">
      <c r="B25255" s="309"/>
      <c r="C25255" s="309"/>
      <c r="I25255" s="309"/>
      <c r="J25255" s="309"/>
    </row>
    <row r="25256">
      <c r="B25256" s="309"/>
      <c r="C25256" s="309"/>
      <c r="I25256" s="309"/>
      <c r="J25256" s="309"/>
    </row>
    <row r="25257">
      <c r="B25257" s="309"/>
      <c r="C25257" s="309"/>
      <c r="I25257" s="309"/>
      <c r="J25257" s="309"/>
    </row>
    <row r="25258">
      <c r="B25258" s="309"/>
      <c r="C25258" s="309"/>
      <c r="I25258" s="309"/>
      <c r="J25258" s="309"/>
    </row>
    <row r="25259">
      <c r="B25259" s="309"/>
      <c r="C25259" s="309"/>
      <c r="I25259" s="309"/>
      <c r="J25259" s="309"/>
    </row>
    <row r="25260">
      <c r="B25260" s="309"/>
      <c r="C25260" s="309"/>
      <c r="I25260" s="309"/>
      <c r="J25260" s="309"/>
    </row>
    <row r="25261">
      <c r="B25261" s="309"/>
      <c r="C25261" s="309"/>
      <c r="I25261" s="309"/>
      <c r="J25261" s="309"/>
    </row>
    <row r="25262">
      <c r="B25262" s="309"/>
      <c r="C25262" s="309"/>
      <c r="I25262" s="309"/>
      <c r="J25262" s="309"/>
    </row>
    <row r="25263">
      <c r="B25263" s="309"/>
      <c r="C25263" s="309"/>
      <c r="I25263" s="309"/>
      <c r="J25263" s="309"/>
    </row>
    <row r="25264">
      <c r="B25264" s="309"/>
      <c r="C25264" s="309"/>
      <c r="I25264" s="309"/>
      <c r="J25264" s="309"/>
    </row>
    <row r="25265">
      <c r="B25265" s="309"/>
      <c r="C25265" s="309"/>
      <c r="I25265" s="309"/>
      <c r="J25265" s="309"/>
    </row>
    <row r="25266">
      <c r="B25266" s="309"/>
      <c r="C25266" s="309"/>
      <c r="I25266" s="309"/>
      <c r="J25266" s="309"/>
    </row>
    <row r="25267">
      <c r="B25267" s="309"/>
      <c r="C25267" s="309"/>
      <c r="I25267" s="309"/>
      <c r="J25267" s="309"/>
    </row>
    <row r="25268">
      <c r="B25268" s="309"/>
      <c r="C25268" s="309"/>
      <c r="I25268" s="309"/>
      <c r="J25268" s="309"/>
    </row>
    <row r="25269">
      <c r="B25269" s="309"/>
      <c r="C25269" s="309"/>
      <c r="I25269" s="309"/>
      <c r="J25269" s="309"/>
    </row>
    <row r="25270">
      <c r="B25270" s="309"/>
      <c r="C25270" s="309"/>
      <c r="I25270" s="309"/>
      <c r="J25270" s="309"/>
    </row>
    <row r="25271">
      <c r="B25271" s="309"/>
      <c r="C25271" s="309"/>
      <c r="I25271" s="309"/>
      <c r="J25271" s="309"/>
    </row>
    <row r="25272">
      <c r="B25272" s="309"/>
      <c r="C25272" s="309"/>
      <c r="I25272" s="309"/>
      <c r="J25272" s="309"/>
    </row>
    <row r="25273">
      <c r="B25273" s="309"/>
      <c r="C25273" s="309"/>
      <c r="I25273" s="309"/>
      <c r="J25273" s="309"/>
    </row>
    <row r="25274">
      <c r="B25274" s="309"/>
      <c r="C25274" s="309"/>
      <c r="I25274" s="309"/>
      <c r="J25274" s="309"/>
    </row>
    <row r="25275">
      <c r="B25275" s="309"/>
      <c r="C25275" s="309"/>
      <c r="I25275" s="309"/>
      <c r="J25275" s="309"/>
    </row>
    <row r="25276">
      <c r="B25276" s="309"/>
      <c r="C25276" s="309"/>
      <c r="I25276" s="309"/>
      <c r="J25276" s="309"/>
    </row>
    <row r="25277">
      <c r="B25277" s="309"/>
      <c r="C25277" s="309"/>
      <c r="I25277" s="309"/>
      <c r="J25277" s="309"/>
    </row>
    <row r="25278">
      <c r="B25278" s="309"/>
      <c r="C25278" s="309"/>
      <c r="I25278" s="309"/>
      <c r="J25278" s="309"/>
    </row>
    <row r="25279">
      <c r="B25279" s="309"/>
      <c r="C25279" s="309"/>
      <c r="I25279" s="309"/>
      <c r="J25279" s="309"/>
    </row>
    <row r="25280">
      <c r="B25280" s="309"/>
      <c r="C25280" s="309"/>
      <c r="I25280" s="309"/>
      <c r="J25280" s="309"/>
    </row>
    <row r="25281">
      <c r="B25281" s="309"/>
      <c r="C25281" s="309"/>
      <c r="I25281" s="309"/>
      <c r="J25281" s="309"/>
    </row>
    <row r="25282">
      <c r="B25282" s="309"/>
      <c r="C25282" s="309"/>
      <c r="I25282" s="309"/>
      <c r="J25282" s="309"/>
    </row>
    <row r="25283">
      <c r="B25283" s="309"/>
      <c r="C25283" s="309"/>
      <c r="I25283" s="309"/>
      <c r="J25283" s="309"/>
    </row>
    <row r="25284">
      <c r="B25284" s="309"/>
      <c r="C25284" s="309"/>
      <c r="I25284" s="309"/>
      <c r="J25284" s="309"/>
    </row>
    <row r="25285">
      <c r="B25285" s="309"/>
      <c r="C25285" s="309"/>
      <c r="I25285" s="309"/>
      <c r="J25285" s="309"/>
    </row>
    <row r="25286">
      <c r="B25286" s="309"/>
      <c r="C25286" s="309"/>
      <c r="I25286" s="309"/>
      <c r="J25286" s="309"/>
    </row>
    <row r="25287">
      <c r="B25287" s="309"/>
      <c r="C25287" s="309"/>
      <c r="I25287" s="309"/>
      <c r="J25287" s="309"/>
    </row>
    <row r="25288">
      <c r="B25288" s="309"/>
      <c r="C25288" s="309"/>
      <c r="I25288" s="309"/>
      <c r="J25288" s="309"/>
    </row>
    <row r="25289">
      <c r="B25289" s="309"/>
      <c r="C25289" s="309"/>
      <c r="I25289" s="309"/>
      <c r="J25289" s="309"/>
    </row>
    <row r="25290">
      <c r="B25290" s="309"/>
      <c r="C25290" s="309"/>
      <c r="I25290" s="309"/>
      <c r="J25290" s="309"/>
    </row>
    <row r="25291">
      <c r="B25291" s="309"/>
      <c r="C25291" s="309"/>
      <c r="I25291" s="309"/>
      <c r="J25291" s="309"/>
    </row>
    <row r="25292">
      <c r="B25292" s="309"/>
      <c r="C25292" s="309"/>
      <c r="I25292" s="309"/>
      <c r="J25292" s="309"/>
    </row>
    <row r="25293">
      <c r="B25293" s="309"/>
      <c r="C25293" s="309"/>
      <c r="I25293" s="309"/>
      <c r="J25293" s="309"/>
    </row>
    <row r="25294">
      <c r="B25294" s="309"/>
      <c r="C25294" s="309"/>
      <c r="I25294" s="309"/>
      <c r="J25294" s="309"/>
    </row>
    <row r="25295">
      <c r="B25295" s="309"/>
      <c r="C25295" s="309"/>
      <c r="I25295" s="309"/>
      <c r="J25295" s="309"/>
    </row>
    <row r="25296">
      <c r="B25296" s="309"/>
      <c r="C25296" s="309"/>
      <c r="I25296" s="309"/>
      <c r="J25296" s="309"/>
    </row>
    <row r="25297">
      <c r="B25297" s="309"/>
      <c r="C25297" s="309"/>
      <c r="I25297" s="309"/>
      <c r="J25297" s="309"/>
    </row>
    <row r="25298">
      <c r="B25298" s="309"/>
      <c r="C25298" s="309"/>
      <c r="I25298" s="309"/>
      <c r="J25298" s="309"/>
    </row>
    <row r="25299">
      <c r="B25299" s="309"/>
      <c r="C25299" s="309"/>
      <c r="I25299" s="309"/>
      <c r="J25299" s="309"/>
    </row>
    <row r="25300">
      <c r="B25300" s="309"/>
      <c r="C25300" s="309"/>
      <c r="I25300" s="309"/>
      <c r="J25300" s="309"/>
    </row>
    <row r="25301">
      <c r="B25301" s="309"/>
      <c r="C25301" s="309"/>
      <c r="I25301" s="309"/>
      <c r="J25301" s="309"/>
    </row>
    <row r="25302">
      <c r="B25302" s="309"/>
      <c r="C25302" s="309"/>
      <c r="I25302" s="309"/>
      <c r="J25302" s="309"/>
    </row>
    <row r="25303">
      <c r="B25303" s="309"/>
      <c r="C25303" s="309"/>
      <c r="I25303" s="309"/>
      <c r="J25303" s="309"/>
    </row>
    <row r="25304">
      <c r="B25304" s="309"/>
      <c r="C25304" s="309"/>
      <c r="I25304" s="309"/>
      <c r="J25304" s="309"/>
    </row>
    <row r="25305">
      <c r="B25305" s="309"/>
      <c r="C25305" s="309"/>
      <c r="I25305" s="309"/>
      <c r="J25305" s="309"/>
    </row>
    <row r="25306">
      <c r="B25306" s="309"/>
      <c r="C25306" s="309"/>
      <c r="I25306" s="309"/>
      <c r="J25306" s="309"/>
    </row>
    <row r="25307">
      <c r="B25307" s="309"/>
      <c r="C25307" s="309"/>
      <c r="I25307" s="309"/>
      <c r="J25307" s="309"/>
    </row>
    <row r="25308">
      <c r="B25308" s="309"/>
      <c r="C25308" s="309"/>
      <c r="I25308" s="309"/>
      <c r="J25308" s="309"/>
    </row>
    <row r="25309">
      <c r="B25309" s="309"/>
      <c r="C25309" s="309"/>
      <c r="I25309" s="309"/>
      <c r="J25309" s="309"/>
    </row>
    <row r="25310">
      <c r="B25310" s="309"/>
      <c r="C25310" s="309"/>
      <c r="I25310" s="309"/>
      <c r="J25310" s="309"/>
    </row>
    <row r="25311">
      <c r="B25311" s="309"/>
      <c r="C25311" s="309"/>
      <c r="I25311" s="309"/>
      <c r="J25311" s="309"/>
    </row>
    <row r="25312">
      <c r="B25312" s="309"/>
      <c r="C25312" s="309"/>
      <c r="I25312" s="309"/>
      <c r="J25312" s="309"/>
    </row>
    <row r="25313">
      <c r="B25313" s="309"/>
      <c r="C25313" s="309"/>
      <c r="I25313" s="309"/>
      <c r="J25313" s="309"/>
    </row>
    <row r="25314">
      <c r="B25314" s="309"/>
      <c r="C25314" s="309"/>
      <c r="I25314" s="309"/>
      <c r="J25314" s="309"/>
    </row>
    <row r="25315">
      <c r="B25315" s="309"/>
      <c r="C25315" s="309"/>
      <c r="I25315" s="309"/>
      <c r="J25315" s="309"/>
    </row>
    <row r="25316">
      <c r="B25316" s="309"/>
      <c r="C25316" s="309"/>
      <c r="I25316" s="309"/>
      <c r="J25316" s="309"/>
    </row>
    <row r="25317">
      <c r="B25317" s="309"/>
      <c r="C25317" s="309"/>
      <c r="I25317" s="309"/>
      <c r="J25317" s="309"/>
    </row>
    <row r="25318">
      <c r="B25318" s="309"/>
      <c r="C25318" s="309"/>
      <c r="I25318" s="309"/>
      <c r="J25318" s="309"/>
    </row>
    <row r="25319">
      <c r="B25319" s="309"/>
      <c r="C25319" s="309"/>
      <c r="I25319" s="309"/>
      <c r="J25319" s="309"/>
    </row>
    <row r="25320">
      <c r="B25320" s="309"/>
      <c r="C25320" s="309"/>
      <c r="I25320" s="309"/>
      <c r="J25320" s="309"/>
    </row>
    <row r="25321">
      <c r="B25321" s="309"/>
      <c r="C25321" s="309"/>
      <c r="I25321" s="309"/>
      <c r="J25321" s="309"/>
    </row>
    <row r="25322">
      <c r="B25322" s="309"/>
      <c r="C25322" s="309"/>
      <c r="I25322" s="309"/>
      <c r="J25322" s="309"/>
    </row>
    <row r="25323">
      <c r="B25323" s="309"/>
      <c r="C25323" s="309"/>
      <c r="I25323" s="309"/>
      <c r="J25323" s="309"/>
    </row>
    <row r="25324">
      <c r="B25324" s="309"/>
      <c r="C25324" s="309"/>
      <c r="I25324" s="309"/>
      <c r="J25324" s="309"/>
    </row>
    <row r="25325">
      <c r="B25325" s="309"/>
      <c r="C25325" s="309"/>
      <c r="I25325" s="309"/>
      <c r="J25325" s="309"/>
    </row>
    <row r="25326">
      <c r="B25326" s="309"/>
      <c r="C25326" s="309"/>
      <c r="I25326" s="309"/>
      <c r="J25326" s="309"/>
    </row>
    <row r="25327">
      <c r="B25327" s="309"/>
      <c r="C25327" s="309"/>
      <c r="I25327" s="309"/>
      <c r="J25327" s="309"/>
    </row>
    <row r="25328">
      <c r="B25328" s="309"/>
      <c r="C25328" s="309"/>
      <c r="I25328" s="309"/>
      <c r="J25328" s="309"/>
    </row>
    <row r="25329">
      <c r="B25329" s="309"/>
      <c r="C25329" s="309"/>
      <c r="I25329" s="309"/>
      <c r="J25329" s="309"/>
    </row>
    <row r="25330">
      <c r="B25330" s="309"/>
      <c r="C25330" s="309"/>
      <c r="I25330" s="309"/>
      <c r="J25330" s="309"/>
    </row>
    <row r="25331">
      <c r="B25331" s="309"/>
      <c r="C25331" s="309"/>
      <c r="I25331" s="309"/>
      <c r="J25331" s="309"/>
    </row>
    <row r="25332">
      <c r="B25332" s="309"/>
      <c r="C25332" s="309"/>
      <c r="I25332" s="309"/>
      <c r="J25332" s="309"/>
    </row>
    <row r="25333">
      <c r="B25333" s="309"/>
      <c r="C25333" s="309"/>
      <c r="I25333" s="309"/>
      <c r="J25333" s="309"/>
    </row>
    <row r="25334">
      <c r="B25334" s="309"/>
      <c r="C25334" s="309"/>
      <c r="I25334" s="309"/>
      <c r="J25334" s="309"/>
    </row>
    <row r="25335">
      <c r="B25335" s="309"/>
      <c r="C25335" s="309"/>
      <c r="I25335" s="309"/>
      <c r="J25335" s="309"/>
    </row>
    <row r="25336">
      <c r="B25336" s="309"/>
      <c r="C25336" s="309"/>
      <c r="I25336" s="309"/>
      <c r="J25336" s="309"/>
    </row>
    <row r="25337">
      <c r="B25337" s="309"/>
      <c r="C25337" s="309"/>
      <c r="I25337" s="309"/>
      <c r="J25337" s="309"/>
    </row>
    <row r="25338">
      <c r="B25338" s="309"/>
      <c r="C25338" s="309"/>
      <c r="I25338" s="309"/>
      <c r="J25338" s="309"/>
    </row>
    <row r="25339">
      <c r="B25339" s="309"/>
      <c r="C25339" s="309"/>
      <c r="I25339" s="309"/>
      <c r="J25339" s="309"/>
    </row>
    <row r="25340">
      <c r="B25340" s="309"/>
      <c r="C25340" s="309"/>
      <c r="I25340" s="309"/>
      <c r="J25340" s="309"/>
    </row>
    <row r="25341">
      <c r="B25341" s="309"/>
      <c r="C25341" s="309"/>
      <c r="I25341" s="309"/>
      <c r="J25341" s="309"/>
    </row>
    <row r="25342">
      <c r="B25342" s="309"/>
      <c r="C25342" s="309"/>
      <c r="I25342" s="309"/>
      <c r="J25342" s="309"/>
    </row>
    <row r="25343">
      <c r="B25343" s="309"/>
      <c r="C25343" s="309"/>
      <c r="I25343" s="309"/>
      <c r="J25343" s="309"/>
    </row>
    <row r="25344">
      <c r="B25344" s="309"/>
      <c r="C25344" s="309"/>
      <c r="I25344" s="309"/>
      <c r="J25344" s="309"/>
    </row>
    <row r="25345">
      <c r="B25345" s="309"/>
      <c r="C25345" s="309"/>
      <c r="I25345" s="309"/>
      <c r="J25345" s="309"/>
    </row>
    <row r="25346">
      <c r="B25346" s="309"/>
      <c r="C25346" s="309"/>
      <c r="I25346" s="309"/>
      <c r="J25346" s="309"/>
    </row>
    <row r="25347">
      <c r="B25347" s="309"/>
      <c r="C25347" s="309"/>
      <c r="I25347" s="309"/>
      <c r="J25347" s="309"/>
    </row>
    <row r="25348">
      <c r="B25348" s="309"/>
      <c r="C25348" s="309"/>
      <c r="I25348" s="309"/>
      <c r="J25348" s="309"/>
    </row>
    <row r="25349">
      <c r="B25349" s="309"/>
      <c r="C25349" s="309"/>
      <c r="I25349" s="309"/>
      <c r="J25349" s="309"/>
    </row>
    <row r="25350">
      <c r="B25350" s="309"/>
      <c r="C25350" s="309"/>
      <c r="I25350" s="309"/>
      <c r="J25350" s="309"/>
    </row>
    <row r="25351">
      <c r="B25351" s="309"/>
      <c r="C25351" s="309"/>
      <c r="I25351" s="309"/>
      <c r="J25351" s="309"/>
    </row>
    <row r="25352">
      <c r="B25352" s="309"/>
      <c r="C25352" s="309"/>
      <c r="I25352" s="309"/>
      <c r="J25352" s="309"/>
    </row>
    <row r="25353">
      <c r="B25353" s="309"/>
      <c r="C25353" s="309"/>
      <c r="I25353" s="309"/>
      <c r="J25353" s="309"/>
    </row>
    <row r="25354">
      <c r="B25354" s="309"/>
      <c r="C25354" s="309"/>
      <c r="I25354" s="309"/>
      <c r="J25354" s="309"/>
    </row>
    <row r="25355">
      <c r="B25355" s="309"/>
      <c r="C25355" s="309"/>
      <c r="I25355" s="309"/>
      <c r="J25355" s="309"/>
    </row>
    <row r="25356">
      <c r="B25356" s="309"/>
      <c r="C25356" s="309"/>
      <c r="I25356" s="309"/>
      <c r="J25356" s="309"/>
    </row>
    <row r="25357">
      <c r="B25357" s="309"/>
      <c r="C25357" s="309"/>
      <c r="I25357" s="309"/>
      <c r="J25357" s="309"/>
    </row>
    <row r="25358">
      <c r="B25358" s="309"/>
      <c r="C25358" s="309"/>
      <c r="I25358" s="309"/>
      <c r="J25358" s="309"/>
    </row>
    <row r="25359">
      <c r="B25359" s="309"/>
      <c r="C25359" s="309"/>
      <c r="I25359" s="309"/>
      <c r="J25359" s="309"/>
    </row>
    <row r="25360">
      <c r="B25360" s="309"/>
      <c r="C25360" s="309"/>
      <c r="I25360" s="309"/>
      <c r="J25360" s="309"/>
    </row>
    <row r="25361">
      <c r="B25361" s="309"/>
      <c r="C25361" s="309"/>
      <c r="I25361" s="309"/>
      <c r="J25361" s="309"/>
    </row>
    <row r="25362">
      <c r="B25362" s="309"/>
      <c r="C25362" s="309"/>
      <c r="I25362" s="309"/>
      <c r="J25362" s="309"/>
    </row>
    <row r="25363">
      <c r="B25363" s="309"/>
      <c r="C25363" s="309"/>
      <c r="I25363" s="309"/>
      <c r="J25363" s="309"/>
    </row>
    <row r="25364">
      <c r="B25364" s="309"/>
      <c r="C25364" s="309"/>
      <c r="I25364" s="309"/>
      <c r="J25364" s="309"/>
    </row>
    <row r="25365">
      <c r="B25365" s="309"/>
      <c r="C25365" s="309"/>
      <c r="I25365" s="309"/>
      <c r="J25365" s="309"/>
    </row>
    <row r="25366">
      <c r="B25366" s="309"/>
      <c r="C25366" s="309"/>
      <c r="I25366" s="309"/>
      <c r="J25366" s="309"/>
    </row>
    <row r="25367">
      <c r="B25367" s="309"/>
      <c r="C25367" s="309"/>
      <c r="I25367" s="309"/>
      <c r="J25367" s="309"/>
    </row>
    <row r="25368">
      <c r="B25368" s="309"/>
      <c r="C25368" s="309"/>
      <c r="I25368" s="309"/>
      <c r="J25368" s="309"/>
    </row>
    <row r="25369">
      <c r="B25369" s="309"/>
      <c r="C25369" s="309"/>
      <c r="I25369" s="309"/>
      <c r="J25369" s="309"/>
    </row>
    <row r="25370">
      <c r="B25370" s="309"/>
      <c r="C25370" s="309"/>
      <c r="I25370" s="309"/>
      <c r="J25370" s="309"/>
    </row>
    <row r="25371">
      <c r="B25371" s="309"/>
      <c r="C25371" s="309"/>
      <c r="I25371" s="309"/>
      <c r="J25371" s="309"/>
    </row>
    <row r="25372">
      <c r="B25372" s="309"/>
      <c r="C25372" s="309"/>
      <c r="I25372" s="309"/>
      <c r="J25372" s="309"/>
    </row>
    <row r="25373">
      <c r="B25373" s="309"/>
      <c r="C25373" s="309"/>
      <c r="I25373" s="309"/>
      <c r="J25373" s="309"/>
    </row>
    <row r="25374">
      <c r="B25374" s="309"/>
      <c r="C25374" s="309"/>
      <c r="I25374" s="309"/>
      <c r="J25374" s="309"/>
    </row>
    <row r="25375">
      <c r="B25375" s="309"/>
      <c r="C25375" s="309"/>
      <c r="I25375" s="309"/>
      <c r="J25375" s="309"/>
    </row>
    <row r="25376">
      <c r="B25376" s="309"/>
      <c r="C25376" s="309"/>
      <c r="I25376" s="309"/>
      <c r="J25376" s="309"/>
    </row>
    <row r="25377">
      <c r="B25377" s="309"/>
      <c r="C25377" s="309"/>
      <c r="I25377" s="309"/>
      <c r="J25377" s="309"/>
    </row>
    <row r="25378">
      <c r="B25378" s="309"/>
      <c r="C25378" s="309"/>
      <c r="I25378" s="309"/>
      <c r="J25378" s="309"/>
    </row>
    <row r="25379">
      <c r="B25379" s="309"/>
      <c r="C25379" s="309"/>
      <c r="I25379" s="309"/>
      <c r="J25379" s="309"/>
    </row>
    <row r="25380">
      <c r="B25380" s="309"/>
      <c r="C25380" s="309"/>
      <c r="I25380" s="309"/>
      <c r="J25380" s="309"/>
    </row>
    <row r="25381">
      <c r="B25381" s="309"/>
      <c r="C25381" s="309"/>
      <c r="I25381" s="309"/>
      <c r="J25381" s="309"/>
    </row>
    <row r="25382">
      <c r="B25382" s="309"/>
      <c r="C25382" s="309"/>
      <c r="I25382" s="309"/>
      <c r="J25382" s="309"/>
    </row>
    <row r="25383">
      <c r="B25383" s="309"/>
      <c r="C25383" s="309"/>
      <c r="I25383" s="309"/>
      <c r="J25383" s="309"/>
    </row>
    <row r="25384">
      <c r="B25384" s="309"/>
      <c r="C25384" s="309"/>
      <c r="I25384" s="309"/>
      <c r="J25384" s="309"/>
    </row>
    <row r="25385">
      <c r="B25385" s="309"/>
      <c r="C25385" s="309"/>
      <c r="I25385" s="309"/>
      <c r="J25385" s="309"/>
    </row>
    <row r="25386">
      <c r="B25386" s="309"/>
      <c r="C25386" s="309"/>
      <c r="I25386" s="309"/>
      <c r="J25386" s="309"/>
    </row>
    <row r="25387">
      <c r="B25387" s="309"/>
      <c r="C25387" s="309"/>
      <c r="I25387" s="309"/>
      <c r="J25387" s="309"/>
    </row>
    <row r="25388">
      <c r="B25388" s="309"/>
      <c r="C25388" s="309"/>
      <c r="I25388" s="309"/>
      <c r="J25388" s="309"/>
    </row>
    <row r="25389">
      <c r="B25389" s="309"/>
      <c r="C25389" s="309"/>
      <c r="I25389" s="309"/>
      <c r="J25389" s="309"/>
    </row>
    <row r="25390">
      <c r="B25390" s="309"/>
      <c r="C25390" s="309"/>
      <c r="I25390" s="309"/>
      <c r="J25390" s="309"/>
    </row>
    <row r="25391">
      <c r="B25391" s="309"/>
      <c r="C25391" s="309"/>
      <c r="I25391" s="309"/>
      <c r="J25391" s="309"/>
    </row>
    <row r="25392">
      <c r="B25392" s="309"/>
      <c r="C25392" s="309"/>
      <c r="I25392" s="309"/>
      <c r="J25392" s="309"/>
    </row>
    <row r="25393">
      <c r="B25393" s="309"/>
      <c r="C25393" s="309"/>
      <c r="I25393" s="309"/>
      <c r="J25393" s="309"/>
    </row>
    <row r="25394">
      <c r="B25394" s="309"/>
      <c r="C25394" s="309"/>
      <c r="I25394" s="309"/>
      <c r="J25394" s="309"/>
    </row>
    <row r="25395">
      <c r="B25395" s="309"/>
      <c r="C25395" s="309"/>
      <c r="I25395" s="309"/>
      <c r="J25395" s="309"/>
    </row>
    <row r="25396">
      <c r="B25396" s="309"/>
      <c r="C25396" s="309"/>
      <c r="I25396" s="309"/>
      <c r="J25396" s="309"/>
    </row>
    <row r="25397">
      <c r="B25397" s="309"/>
      <c r="C25397" s="309"/>
      <c r="I25397" s="309"/>
      <c r="J25397" s="309"/>
    </row>
    <row r="25398">
      <c r="B25398" s="309"/>
      <c r="C25398" s="309"/>
      <c r="I25398" s="309"/>
      <c r="J25398" s="309"/>
    </row>
    <row r="25399">
      <c r="B25399" s="309"/>
      <c r="C25399" s="309"/>
      <c r="I25399" s="309"/>
      <c r="J25399" s="309"/>
    </row>
    <row r="25400">
      <c r="B25400" s="309"/>
      <c r="C25400" s="309"/>
      <c r="I25400" s="309"/>
      <c r="J25400" s="309"/>
    </row>
    <row r="25401">
      <c r="B25401" s="309"/>
      <c r="C25401" s="309"/>
      <c r="I25401" s="309"/>
      <c r="J25401" s="309"/>
    </row>
    <row r="25402">
      <c r="B25402" s="309"/>
      <c r="C25402" s="309"/>
      <c r="I25402" s="309"/>
      <c r="J25402" s="309"/>
    </row>
    <row r="25403">
      <c r="B25403" s="309"/>
      <c r="C25403" s="309"/>
      <c r="I25403" s="309"/>
      <c r="J25403" s="309"/>
    </row>
    <row r="25404">
      <c r="B25404" s="309"/>
      <c r="C25404" s="309"/>
      <c r="I25404" s="309"/>
      <c r="J25404" s="309"/>
    </row>
    <row r="25405">
      <c r="B25405" s="309"/>
      <c r="C25405" s="309"/>
      <c r="I25405" s="309"/>
      <c r="J25405" s="309"/>
    </row>
    <row r="25406">
      <c r="B25406" s="309"/>
      <c r="C25406" s="309"/>
      <c r="I25406" s="309"/>
      <c r="J25406" s="309"/>
    </row>
    <row r="25407">
      <c r="B25407" s="309"/>
      <c r="C25407" s="309"/>
      <c r="I25407" s="309"/>
      <c r="J25407" s="309"/>
    </row>
    <row r="25408">
      <c r="B25408" s="309"/>
      <c r="C25408" s="309"/>
      <c r="I25408" s="309"/>
      <c r="J25408" s="309"/>
    </row>
    <row r="25409">
      <c r="B25409" s="309"/>
      <c r="C25409" s="309"/>
      <c r="I25409" s="309"/>
      <c r="J25409" s="309"/>
    </row>
    <row r="25410">
      <c r="B25410" s="309"/>
      <c r="C25410" s="309"/>
      <c r="I25410" s="309"/>
      <c r="J25410" s="309"/>
    </row>
    <row r="25411">
      <c r="B25411" s="309"/>
      <c r="C25411" s="309"/>
      <c r="I25411" s="309"/>
      <c r="J25411" s="309"/>
    </row>
    <row r="25412">
      <c r="B25412" s="309"/>
      <c r="C25412" s="309"/>
      <c r="I25412" s="309"/>
      <c r="J25412" s="309"/>
    </row>
    <row r="25413">
      <c r="B25413" s="309"/>
      <c r="C25413" s="309"/>
      <c r="I25413" s="309"/>
      <c r="J25413" s="309"/>
    </row>
    <row r="25414">
      <c r="B25414" s="309"/>
      <c r="C25414" s="309"/>
      <c r="I25414" s="309"/>
      <c r="J25414" s="309"/>
    </row>
    <row r="25415">
      <c r="B25415" s="309"/>
      <c r="C25415" s="309"/>
      <c r="I25415" s="309"/>
      <c r="J25415" s="309"/>
    </row>
    <row r="25416">
      <c r="B25416" s="309"/>
      <c r="C25416" s="309"/>
      <c r="I25416" s="309"/>
      <c r="J25416" s="309"/>
    </row>
    <row r="25417">
      <c r="B25417" s="309"/>
      <c r="C25417" s="309"/>
      <c r="I25417" s="309"/>
      <c r="J25417" s="309"/>
    </row>
    <row r="25418">
      <c r="B25418" s="309"/>
      <c r="C25418" s="309"/>
      <c r="I25418" s="309"/>
      <c r="J25418" s="309"/>
    </row>
    <row r="25419">
      <c r="B25419" s="309"/>
      <c r="C25419" s="309"/>
      <c r="I25419" s="309"/>
      <c r="J25419" s="309"/>
    </row>
    <row r="25420">
      <c r="B25420" s="309"/>
      <c r="C25420" s="309"/>
      <c r="I25420" s="309"/>
      <c r="J25420" s="309"/>
    </row>
    <row r="25421">
      <c r="B25421" s="309"/>
      <c r="C25421" s="309"/>
      <c r="I25421" s="309"/>
      <c r="J25421" s="309"/>
    </row>
    <row r="25422">
      <c r="B25422" s="309"/>
      <c r="C25422" s="309"/>
      <c r="I25422" s="309"/>
      <c r="J25422" s="309"/>
    </row>
    <row r="25423">
      <c r="B25423" s="309"/>
      <c r="C25423" s="309"/>
      <c r="I25423" s="309"/>
      <c r="J25423" s="309"/>
    </row>
    <row r="25424">
      <c r="B25424" s="309"/>
      <c r="C25424" s="309"/>
      <c r="I25424" s="309"/>
      <c r="J25424" s="309"/>
    </row>
    <row r="25425">
      <c r="B25425" s="309"/>
      <c r="C25425" s="309"/>
      <c r="I25425" s="309"/>
      <c r="J25425" s="309"/>
    </row>
    <row r="25426">
      <c r="B25426" s="309"/>
      <c r="C25426" s="309"/>
      <c r="I25426" s="309"/>
      <c r="J25426" s="309"/>
    </row>
    <row r="25427">
      <c r="B25427" s="309"/>
      <c r="C25427" s="309"/>
      <c r="I25427" s="309"/>
      <c r="J25427" s="309"/>
    </row>
    <row r="25428">
      <c r="B25428" s="309"/>
      <c r="C25428" s="309"/>
      <c r="I25428" s="309"/>
      <c r="J25428" s="309"/>
    </row>
    <row r="25429">
      <c r="B25429" s="309"/>
      <c r="C25429" s="309"/>
      <c r="I25429" s="309"/>
      <c r="J25429" s="309"/>
    </row>
    <row r="25430">
      <c r="B25430" s="309"/>
      <c r="C25430" s="309"/>
      <c r="I25430" s="309"/>
      <c r="J25430" s="309"/>
    </row>
    <row r="25431">
      <c r="B25431" s="309"/>
      <c r="C25431" s="309"/>
      <c r="I25431" s="309"/>
      <c r="J25431" s="309"/>
    </row>
    <row r="25432">
      <c r="B25432" s="309"/>
      <c r="C25432" s="309"/>
      <c r="I25432" s="309"/>
      <c r="J25432" s="309"/>
    </row>
    <row r="25433">
      <c r="B25433" s="309"/>
      <c r="C25433" s="309"/>
      <c r="I25433" s="309"/>
      <c r="J25433" s="309"/>
    </row>
    <row r="25434">
      <c r="B25434" s="309"/>
      <c r="C25434" s="309"/>
      <c r="I25434" s="309"/>
      <c r="J25434" s="309"/>
    </row>
    <row r="25435">
      <c r="B25435" s="309"/>
      <c r="C25435" s="309"/>
      <c r="I25435" s="309"/>
      <c r="J25435" s="309"/>
    </row>
    <row r="25436">
      <c r="B25436" s="309"/>
      <c r="C25436" s="309"/>
      <c r="I25436" s="309"/>
      <c r="J25436" s="309"/>
    </row>
    <row r="25437">
      <c r="B25437" s="309"/>
      <c r="C25437" s="309"/>
      <c r="I25437" s="309"/>
      <c r="J25437" s="309"/>
    </row>
    <row r="25438">
      <c r="B25438" s="309"/>
      <c r="C25438" s="309"/>
      <c r="I25438" s="309"/>
      <c r="J25438" s="309"/>
    </row>
    <row r="25439">
      <c r="B25439" s="309"/>
      <c r="C25439" s="309"/>
      <c r="I25439" s="309"/>
      <c r="J25439" s="309"/>
    </row>
    <row r="25440">
      <c r="B25440" s="309"/>
      <c r="C25440" s="309"/>
      <c r="I25440" s="309"/>
      <c r="J25440" s="309"/>
    </row>
    <row r="25441">
      <c r="B25441" s="309"/>
      <c r="C25441" s="309"/>
      <c r="I25441" s="309"/>
      <c r="J25441" s="309"/>
    </row>
    <row r="25442">
      <c r="B25442" s="309"/>
      <c r="C25442" s="309"/>
      <c r="I25442" s="309"/>
      <c r="J25442" s="309"/>
    </row>
    <row r="25443">
      <c r="B25443" s="309"/>
      <c r="C25443" s="309"/>
      <c r="I25443" s="309"/>
      <c r="J25443" s="309"/>
    </row>
    <row r="25444">
      <c r="B25444" s="309"/>
      <c r="C25444" s="309"/>
      <c r="I25444" s="309"/>
      <c r="J25444" s="309"/>
    </row>
    <row r="25445">
      <c r="B25445" s="309"/>
      <c r="C25445" s="309"/>
      <c r="I25445" s="309"/>
      <c r="J25445" s="309"/>
    </row>
    <row r="25446">
      <c r="B25446" s="309"/>
      <c r="C25446" s="309"/>
      <c r="I25446" s="309"/>
      <c r="J25446" s="309"/>
    </row>
    <row r="25447">
      <c r="B25447" s="309"/>
      <c r="C25447" s="309"/>
      <c r="I25447" s="309"/>
      <c r="J25447" s="309"/>
    </row>
    <row r="25448">
      <c r="B25448" s="309"/>
      <c r="C25448" s="309"/>
      <c r="I25448" s="309"/>
      <c r="J25448" s="309"/>
    </row>
    <row r="25449">
      <c r="B25449" s="309"/>
      <c r="C25449" s="309"/>
      <c r="I25449" s="309"/>
      <c r="J25449" s="309"/>
    </row>
    <row r="25450">
      <c r="B25450" s="309"/>
      <c r="C25450" s="309"/>
      <c r="I25450" s="309"/>
      <c r="J25450" s="309"/>
    </row>
    <row r="25451">
      <c r="B25451" s="309"/>
      <c r="C25451" s="309"/>
      <c r="I25451" s="309"/>
      <c r="J25451" s="309"/>
    </row>
    <row r="25452">
      <c r="B25452" s="309"/>
      <c r="C25452" s="309"/>
      <c r="I25452" s="309"/>
      <c r="J25452" s="309"/>
    </row>
    <row r="25453">
      <c r="B25453" s="309"/>
      <c r="C25453" s="309"/>
      <c r="I25453" s="309"/>
      <c r="J25453" s="309"/>
    </row>
    <row r="25454">
      <c r="B25454" s="309"/>
      <c r="C25454" s="309"/>
      <c r="I25454" s="309"/>
      <c r="J25454" s="309"/>
    </row>
    <row r="25455">
      <c r="B25455" s="309"/>
      <c r="C25455" s="309"/>
      <c r="I25455" s="309"/>
      <c r="J25455" s="309"/>
    </row>
    <row r="25456">
      <c r="B25456" s="309"/>
      <c r="C25456" s="309"/>
      <c r="I25456" s="309"/>
      <c r="J25456" s="309"/>
    </row>
    <row r="25457">
      <c r="B25457" s="309"/>
      <c r="C25457" s="309"/>
      <c r="I25457" s="309"/>
      <c r="J25457" s="309"/>
    </row>
    <row r="25458">
      <c r="B25458" s="309"/>
      <c r="C25458" s="309"/>
      <c r="I25458" s="309"/>
      <c r="J25458" s="309"/>
    </row>
    <row r="25459">
      <c r="B25459" s="309"/>
      <c r="C25459" s="309"/>
      <c r="I25459" s="309"/>
      <c r="J25459" s="309"/>
    </row>
    <row r="25460">
      <c r="B25460" s="309"/>
      <c r="C25460" s="309"/>
      <c r="I25460" s="309"/>
      <c r="J25460" s="309"/>
    </row>
    <row r="25461">
      <c r="B25461" s="309"/>
      <c r="C25461" s="309"/>
      <c r="I25461" s="309"/>
      <c r="J25461" s="309"/>
    </row>
    <row r="25462">
      <c r="B25462" s="309"/>
      <c r="C25462" s="309"/>
      <c r="I25462" s="309"/>
      <c r="J25462" s="309"/>
    </row>
    <row r="25463">
      <c r="B25463" s="309"/>
      <c r="C25463" s="309"/>
      <c r="I25463" s="309"/>
      <c r="J25463" s="309"/>
    </row>
    <row r="25464">
      <c r="B25464" s="309"/>
      <c r="C25464" s="309"/>
      <c r="I25464" s="309"/>
      <c r="J25464" s="309"/>
    </row>
    <row r="25465">
      <c r="B25465" s="309"/>
      <c r="C25465" s="309"/>
      <c r="I25465" s="309"/>
      <c r="J25465" s="309"/>
    </row>
    <row r="25466">
      <c r="B25466" s="309"/>
      <c r="C25466" s="309"/>
      <c r="I25466" s="309"/>
      <c r="J25466" s="309"/>
    </row>
    <row r="25467">
      <c r="B25467" s="309"/>
      <c r="C25467" s="309"/>
      <c r="I25467" s="309"/>
      <c r="J25467" s="309"/>
    </row>
    <row r="25468">
      <c r="B25468" s="309"/>
      <c r="C25468" s="309"/>
      <c r="I25468" s="309"/>
      <c r="J25468" s="309"/>
    </row>
    <row r="25469">
      <c r="B25469" s="309"/>
      <c r="C25469" s="309"/>
      <c r="I25469" s="309"/>
      <c r="J25469" s="309"/>
    </row>
    <row r="25470">
      <c r="B25470" s="309"/>
      <c r="C25470" s="309"/>
      <c r="I25470" s="309"/>
      <c r="J25470" s="309"/>
    </row>
    <row r="25471">
      <c r="B25471" s="309"/>
      <c r="C25471" s="309"/>
      <c r="I25471" s="309"/>
      <c r="J25471" s="309"/>
    </row>
    <row r="25472">
      <c r="B25472" s="309"/>
      <c r="C25472" s="309"/>
      <c r="I25472" s="309"/>
      <c r="J25472" s="309"/>
    </row>
    <row r="25473">
      <c r="B25473" s="309"/>
      <c r="C25473" s="309"/>
      <c r="I25473" s="309"/>
      <c r="J25473" s="309"/>
    </row>
    <row r="25474">
      <c r="B25474" s="309"/>
      <c r="C25474" s="309"/>
      <c r="I25474" s="309"/>
      <c r="J25474" s="309"/>
    </row>
    <row r="25475">
      <c r="B25475" s="309"/>
      <c r="C25475" s="309"/>
      <c r="I25475" s="309"/>
      <c r="J25475" s="309"/>
    </row>
    <row r="25476">
      <c r="B25476" s="309"/>
      <c r="C25476" s="309"/>
      <c r="I25476" s="309"/>
      <c r="J25476" s="309"/>
    </row>
    <row r="25477">
      <c r="B25477" s="309"/>
      <c r="C25477" s="309"/>
      <c r="I25477" s="309"/>
      <c r="J25477" s="309"/>
    </row>
    <row r="25478">
      <c r="B25478" s="309"/>
      <c r="C25478" s="309"/>
      <c r="I25478" s="309"/>
      <c r="J25478" s="309"/>
    </row>
    <row r="25479">
      <c r="B25479" s="309"/>
      <c r="C25479" s="309"/>
      <c r="I25479" s="309"/>
      <c r="J25479" s="309"/>
    </row>
    <row r="25480">
      <c r="B25480" s="309"/>
      <c r="C25480" s="309"/>
      <c r="I25480" s="309"/>
      <c r="J25480" s="309"/>
    </row>
    <row r="25481">
      <c r="B25481" s="309"/>
      <c r="C25481" s="309"/>
      <c r="I25481" s="309"/>
      <c r="J25481" s="309"/>
    </row>
    <row r="25482">
      <c r="B25482" s="309"/>
      <c r="C25482" s="309"/>
      <c r="I25482" s="309"/>
      <c r="J25482" s="309"/>
    </row>
    <row r="25483">
      <c r="B25483" s="309"/>
      <c r="C25483" s="309"/>
      <c r="I25483" s="309"/>
      <c r="J25483" s="309"/>
    </row>
    <row r="25484">
      <c r="B25484" s="309"/>
      <c r="C25484" s="309"/>
      <c r="I25484" s="309"/>
      <c r="J25484" s="309"/>
    </row>
    <row r="25485">
      <c r="B25485" s="309"/>
      <c r="C25485" s="309"/>
      <c r="I25485" s="309"/>
      <c r="J25485" s="309"/>
    </row>
    <row r="25486">
      <c r="B25486" s="309"/>
      <c r="C25486" s="309"/>
      <c r="I25486" s="309"/>
      <c r="J25486" s="309"/>
    </row>
    <row r="25487">
      <c r="B25487" s="309"/>
      <c r="C25487" s="309"/>
      <c r="I25487" s="309"/>
      <c r="J25487" s="309"/>
    </row>
    <row r="25488">
      <c r="B25488" s="309"/>
      <c r="C25488" s="309"/>
      <c r="I25488" s="309"/>
      <c r="J25488" s="309"/>
    </row>
    <row r="25489">
      <c r="B25489" s="309"/>
      <c r="C25489" s="309"/>
      <c r="I25489" s="309"/>
      <c r="J25489" s="309"/>
    </row>
    <row r="25490">
      <c r="B25490" s="309"/>
      <c r="C25490" s="309"/>
      <c r="I25490" s="309"/>
      <c r="J25490" s="309"/>
    </row>
    <row r="25491">
      <c r="B25491" s="309"/>
      <c r="C25491" s="309"/>
      <c r="I25491" s="309"/>
      <c r="J25491" s="309"/>
    </row>
    <row r="25492">
      <c r="B25492" s="309"/>
      <c r="C25492" s="309"/>
      <c r="I25492" s="309"/>
      <c r="J25492" s="309"/>
    </row>
    <row r="25493">
      <c r="B25493" s="309"/>
      <c r="C25493" s="309"/>
      <c r="I25493" s="309"/>
      <c r="J25493" s="309"/>
    </row>
    <row r="25494">
      <c r="B25494" s="309"/>
      <c r="C25494" s="309"/>
      <c r="I25494" s="309"/>
      <c r="J25494" s="309"/>
    </row>
    <row r="25495">
      <c r="B25495" s="309"/>
      <c r="C25495" s="309"/>
      <c r="I25495" s="309"/>
      <c r="J25495" s="309"/>
    </row>
    <row r="25496">
      <c r="B25496" s="309"/>
      <c r="C25496" s="309"/>
      <c r="I25496" s="309"/>
      <c r="J25496" s="309"/>
    </row>
    <row r="25497">
      <c r="B25497" s="309"/>
      <c r="C25497" s="309"/>
      <c r="I25497" s="309"/>
      <c r="J25497" s="309"/>
    </row>
    <row r="25498">
      <c r="B25498" s="309"/>
      <c r="C25498" s="309"/>
      <c r="I25498" s="309"/>
      <c r="J25498" s="309"/>
    </row>
    <row r="25499">
      <c r="B25499" s="309"/>
      <c r="C25499" s="309"/>
      <c r="I25499" s="309"/>
      <c r="J25499" s="309"/>
    </row>
    <row r="25500">
      <c r="B25500" s="309"/>
      <c r="C25500" s="309"/>
      <c r="I25500" s="309"/>
      <c r="J25500" s="309"/>
    </row>
    <row r="25501">
      <c r="B25501" s="309"/>
      <c r="C25501" s="309"/>
      <c r="I25501" s="309"/>
      <c r="J25501" s="309"/>
    </row>
    <row r="25502">
      <c r="B25502" s="309"/>
      <c r="C25502" s="309"/>
      <c r="I25502" s="309"/>
      <c r="J25502" s="309"/>
    </row>
    <row r="25503">
      <c r="B25503" s="309"/>
      <c r="C25503" s="309"/>
      <c r="I25503" s="309"/>
      <c r="J25503" s="309"/>
    </row>
    <row r="25504">
      <c r="B25504" s="309"/>
      <c r="C25504" s="309"/>
      <c r="I25504" s="309"/>
      <c r="J25504" s="309"/>
    </row>
    <row r="25505">
      <c r="B25505" s="309"/>
      <c r="C25505" s="309"/>
      <c r="I25505" s="309"/>
      <c r="J25505" s="309"/>
    </row>
    <row r="25506">
      <c r="B25506" s="309"/>
      <c r="C25506" s="309"/>
      <c r="I25506" s="309"/>
      <c r="J25506" s="309"/>
    </row>
    <row r="25507">
      <c r="B25507" s="309"/>
      <c r="C25507" s="309"/>
      <c r="I25507" s="309"/>
      <c r="J25507" s="309"/>
    </row>
    <row r="25508">
      <c r="B25508" s="309"/>
      <c r="C25508" s="309"/>
      <c r="I25508" s="309"/>
      <c r="J25508" s="309"/>
    </row>
    <row r="25509">
      <c r="B25509" s="309"/>
      <c r="C25509" s="309"/>
      <c r="I25509" s="309"/>
      <c r="J25509" s="309"/>
    </row>
    <row r="25510">
      <c r="B25510" s="309"/>
      <c r="C25510" s="309"/>
      <c r="I25510" s="309"/>
      <c r="J25510" s="309"/>
    </row>
    <row r="25511">
      <c r="B25511" s="309"/>
      <c r="C25511" s="309"/>
      <c r="I25511" s="309"/>
      <c r="J25511" s="309"/>
    </row>
    <row r="25512">
      <c r="B25512" s="309"/>
      <c r="C25512" s="309"/>
      <c r="I25512" s="309"/>
      <c r="J25512" s="309"/>
    </row>
    <row r="25513">
      <c r="B25513" s="309"/>
      <c r="C25513" s="309"/>
      <c r="I25513" s="309"/>
      <c r="J25513" s="309"/>
    </row>
    <row r="25514">
      <c r="B25514" s="309"/>
      <c r="C25514" s="309"/>
      <c r="I25514" s="309"/>
      <c r="J25514" s="309"/>
    </row>
    <row r="25515">
      <c r="B25515" s="309"/>
      <c r="C25515" s="309"/>
      <c r="I25515" s="309"/>
      <c r="J25515" s="309"/>
    </row>
    <row r="25516">
      <c r="B25516" s="309"/>
      <c r="C25516" s="309"/>
      <c r="I25516" s="309"/>
      <c r="J25516" s="309"/>
    </row>
    <row r="25517">
      <c r="B25517" s="309"/>
      <c r="C25517" s="309"/>
      <c r="I25517" s="309"/>
      <c r="J25517" s="309"/>
    </row>
    <row r="25518">
      <c r="B25518" s="309"/>
      <c r="C25518" s="309"/>
      <c r="I25518" s="309"/>
      <c r="J25518" s="309"/>
    </row>
    <row r="25519">
      <c r="B25519" s="309"/>
      <c r="C25519" s="309"/>
      <c r="I25519" s="309"/>
      <c r="J25519" s="309"/>
    </row>
    <row r="25520">
      <c r="B25520" s="309"/>
      <c r="C25520" s="309"/>
      <c r="I25520" s="309"/>
      <c r="J25520" s="309"/>
    </row>
    <row r="25521">
      <c r="B25521" s="309"/>
      <c r="C25521" s="309"/>
      <c r="I25521" s="309"/>
      <c r="J25521" s="309"/>
    </row>
    <row r="25522">
      <c r="B25522" s="309"/>
      <c r="C25522" s="309"/>
      <c r="I25522" s="309"/>
      <c r="J25522" s="309"/>
    </row>
    <row r="25523">
      <c r="B25523" s="309"/>
      <c r="C25523" s="309"/>
      <c r="I25523" s="309"/>
      <c r="J25523" s="309"/>
    </row>
    <row r="25524">
      <c r="B25524" s="309"/>
      <c r="C25524" s="309"/>
      <c r="I25524" s="309"/>
      <c r="J25524" s="309"/>
    </row>
    <row r="25525">
      <c r="B25525" s="309"/>
      <c r="C25525" s="309"/>
      <c r="I25525" s="309"/>
      <c r="J25525" s="309"/>
    </row>
    <row r="25526">
      <c r="B25526" s="309"/>
      <c r="C25526" s="309"/>
      <c r="I25526" s="309"/>
      <c r="J25526" s="309"/>
    </row>
    <row r="25527">
      <c r="B25527" s="309"/>
      <c r="C25527" s="309"/>
      <c r="I25527" s="309"/>
      <c r="J25527" s="309"/>
    </row>
    <row r="25528">
      <c r="B25528" s="309"/>
      <c r="C25528" s="309"/>
      <c r="I25528" s="309"/>
      <c r="J25528" s="309"/>
    </row>
    <row r="25529">
      <c r="B25529" s="309"/>
      <c r="C25529" s="309"/>
      <c r="I25529" s="309"/>
      <c r="J25529" s="309"/>
    </row>
    <row r="25530">
      <c r="B25530" s="309"/>
      <c r="C25530" s="309"/>
      <c r="I25530" s="309"/>
      <c r="J25530" s="309"/>
    </row>
    <row r="25531">
      <c r="B25531" s="309"/>
      <c r="C25531" s="309"/>
      <c r="I25531" s="309"/>
      <c r="J25531" s="309"/>
    </row>
    <row r="25532">
      <c r="B25532" s="309"/>
      <c r="C25532" s="309"/>
      <c r="I25532" s="309"/>
      <c r="J25532" s="309"/>
    </row>
    <row r="25533">
      <c r="B25533" s="309"/>
      <c r="C25533" s="309"/>
      <c r="I25533" s="309"/>
      <c r="J25533" s="309"/>
    </row>
    <row r="25534">
      <c r="B25534" s="309"/>
      <c r="C25534" s="309"/>
      <c r="I25534" s="309"/>
      <c r="J25534" s="309"/>
    </row>
    <row r="25535">
      <c r="B25535" s="309"/>
      <c r="C25535" s="309"/>
      <c r="I25535" s="309"/>
      <c r="J25535" s="309"/>
    </row>
    <row r="25536">
      <c r="B25536" s="309"/>
      <c r="C25536" s="309"/>
      <c r="I25536" s="309"/>
      <c r="J25536" s="309"/>
    </row>
    <row r="25537">
      <c r="B25537" s="309"/>
      <c r="C25537" s="309"/>
      <c r="I25537" s="309"/>
      <c r="J25537" s="309"/>
    </row>
    <row r="25538">
      <c r="B25538" s="309"/>
      <c r="C25538" s="309"/>
      <c r="I25538" s="309"/>
      <c r="J25538" s="309"/>
    </row>
    <row r="25539">
      <c r="B25539" s="309"/>
      <c r="C25539" s="309"/>
      <c r="I25539" s="309"/>
      <c r="J25539" s="309"/>
    </row>
    <row r="25540">
      <c r="B25540" s="309"/>
      <c r="C25540" s="309"/>
      <c r="I25540" s="309"/>
      <c r="J25540" s="309"/>
    </row>
    <row r="25541">
      <c r="B25541" s="309"/>
      <c r="C25541" s="309"/>
      <c r="I25541" s="309"/>
      <c r="J25541" s="309"/>
    </row>
    <row r="25542">
      <c r="B25542" s="309"/>
      <c r="C25542" s="309"/>
      <c r="I25542" s="309"/>
      <c r="J25542" s="309"/>
    </row>
    <row r="25543">
      <c r="B25543" s="309"/>
      <c r="C25543" s="309"/>
      <c r="I25543" s="309"/>
      <c r="J25543" s="309"/>
    </row>
    <row r="25544">
      <c r="B25544" s="309"/>
      <c r="C25544" s="309"/>
      <c r="I25544" s="309"/>
      <c r="J25544" s="309"/>
    </row>
    <row r="25545">
      <c r="B25545" s="309"/>
      <c r="C25545" s="309"/>
      <c r="I25545" s="309"/>
      <c r="J25545" s="309"/>
    </row>
    <row r="25546">
      <c r="B25546" s="309"/>
      <c r="C25546" s="309"/>
      <c r="I25546" s="309"/>
      <c r="J25546" s="309"/>
    </row>
    <row r="25547">
      <c r="B25547" s="309"/>
      <c r="C25547" s="309"/>
      <c r="I25547" s="309"/>
      <c r="J25547" s="309"/>
    </row>
    <row r="25548">
      <c r="B25548" s="309"/>
      <c r="C25548" s="309"/>
      <c r="I25548" s="309"/>
      <c r="J25548" s="309"/>
    </row>
    <row r="25549">
      <c r="B25549" s="309"/>
      <c r="C25549" s="309"/>
      <c r="I25549" s="309"/>
      <c r="J25549" s="309"/>
    </row>
    <row r="25550">
      <c r="B25550" s="309"/>
      <c r="C25550" s="309"/>
      <c r="I25550" s="309"/>
      <c r="J25550" s="309"/>
    </row>
    <row r="25551">
      <c r="B25551" s="309"/>
      <c r="C25551" s="309"/>
      <c r="I25551" s="309"/>
      <c r="J25551" s="309"/>
    </row>
    <row r="25552">
      <c r="B25552" s="309"/>
      <c r="C25552" s="309"/>
      <c r="I25552" s="309"/>
      <c r="J25552" s="309"/>
    </row>
    <row r="25553">
      <c r="B25553" s="309"/>
      <c r="C25553" s="309"/>
      <c r="I25553" s="309"/>
      <c r="J25553" s="309"/>
    </row>
    <row r="25554">
      <c r="B25554" s="309"/>
      <c r="C25554" s="309"/>
      <c r="I25554" s="309"/>
      <c r="J25554" s="309"/>
    </row>
    <row r="25555">
      <c r="B25555" s="309"/>
      <c r="C25555" s="309"/>
      <c r="I25555" s="309"/>
      <c r="J25555" s="309"/>
    </row>
    <row r="25556">
      <c r="B25556" s="309"/>
      <c r="C25556" s="309"/>
      <c r="I25556" s="309"/>
      <c r="J25556" s="309"/>
    </row>
    <row r="25557">
      <c r="B25557" s="309"/>
      <c r="C25557" s="309"/>
      <c r="I25557" s="309"/>
      <c r="J25557" s="309"/>
    </row>
    <row r="25558">
      <c r="B25558" s="309"/>
      <c r="C25558" s="309"/>
      <c r="I25558" s="309"/>
      <c r="J25558" s="309"/>
    </row>
    <row r="25559">
      <c r="B25559" s="309"/>
      <c r="C25559" s="309"/>
      <c r="I25559" s="309"/>
      <c r="J25559" s="309"/>
    </row>
    <row r="25560">
      <c r="B25560" s="309"/>
      <c r="C25560" s="309"/>
      <c r="I25560" s="309"/>
      <c r="J25560" s="309"/>
    </row>
    <row r="25561">
      <c r="B25561" s="309"/>
      <c r="C25561" s="309"/>
      <c r="I25561" s="309"/>
      <c r="J25561" s="309"/>
    </row>
    <row r="25562">
      <c r="B25562" s="309"/>
      <c r="C25562" s="309"/>
      <c r="I25562" s="309"/>
      <c r="J25562" s="309"/>
    </row>
    <row r="25563">
      <c r="B25563" s="309"/>
      <c r="C25563" s="309"/>
      <c r="I25563" s="309"/>
      <c r="J25563" s="309"/>
    </row>
    <row r="25564">
      <c r="B25564" s="309"/>
      <c r="C25564" s="309"/>
      <c r="I25564" s="309"/>
      <c r="J25564" s="309"/>
    </row>
    <row r="25565">
      <c r="B25565" s="309"/>
      <c r="C25565" s="309"/>
      <c r="I25565" s="309"/>
      <c r="J25565" s="309"/>
    </row>
    <row r="25566">
      <c r="B25566" s="309"/>
      <c r="C25566" s="309"/>
      <c r="I25566" s="309"/>
      <c r="J25566" s="309"/>
    </row>
    <row r="25567">
      <c r="B25567" s="309"/>
      <c r="C25567" s="309"/>
      <c r="I25567" s="309"/>
      <c r="J25567" s="309"/>
    </row>
    <row r="25568">
      <c r="B25568" s="309"/>
      <c r="C25568" s="309"/>
      <c r="I25568" s="309"/>
      <c r="J25568" s="309"/>
    </row>
    <row r="25569">
      <c r="B25569" s="309"/>
      <c r="C25569" s="309"/>
      <c r="I25569" s="309"/>
      <c r="J25569" s="309"/>
    </row>
    <row r="25570">
      <c r="B25570" s="309"/>
      <c r="C25570" s="309"/>
      <c r="I25570" s="309"/>
      <c r="J25570" s="309"/>
    </row>
    <row r="25571">
      <c r="B25571" s="309"/>
      <c r="C25571" s="309"/>
      <c r="I25571" s="309"/>
      <c r="J25571" s="309"/>
    </row>
    <row r="25572">
      <c r="B25572" s="309"/>
      <c r="C25572" s="309"/>
      <c r="I25572" s="309"/>
      <c r="J25572" s="309"/>
    </row>
    <row r="25573">
      <c r="B25573" s="309"/>
      <c r="C25573" s="309"/>
      <c r="I25573" s="309"/>
      <c r="J25573" s="309"/>
    </row>
    <row r="25574">
      <c r="B25574" s="309"/>
      <c r="C25574" s="309"/>
      <c r="I25574" s="309"/>
      <c r="J25574" s="309"/>
    </row>
    <row r="25575">
      <c r="B25575" s="309"/>
      <c r="C25575" s="309"/>
      <c r="I25575" s="309"/>
      <c r="J25575" s="309"/>
    </row>
    <row r="25576">
      <c r="B25576" s="309"/>
      <c r="C25576" s="309"/>
      <c r="I25576" s="309"/>
      <c r="J25576" s="309"/>
    </row>
    <row r="25577">
      <c r="B25577" s="309"/>
      <c r="C25577" s="309"/>
      <c r="I25577" s="309"/>
      <c r="J25577" s="309"/>
    </row>
    <row r="25578">
      <c r="B25578" s="309"/>
      <c r="C25578" s="309"/>
      <c r="I25578" s="309"/>
      <c r="J25578" s="309"/>
    </row>
    <row r="25579">
      <c r="B25579" s="309"/>
      <c r="C25579" s="309"/>
      <c r="I25579" s="309"/>
      <c r="J25579" s="309"/>
    </row>
    <row r="25580">
      <c r="B25580" s="309"/>
      <c r="C25580" s="309"/>
      <c r="I25580" s="309"/>
      <c r="J25580" s="309"/>
    </row>
    <row r="25581">
      <c r="B25581" s="309"/>
      <c r="C25581" s="309"/>
      <c r="I25581" s="309"/>
      <c r="J25581" s="309"/>
    </row>
    <row r="25582">
      <c r="B25582" s="309"/>
      <c r="C25582" s="309"/>
      <c r="I25582" s="309"/>
      <c r="J25582" s="309"/>
    </row>
    <row r="25583">
      <c r="B25583" s="309"/>
      <c r="C25583" s="309"/>
      <c r="I25583" s="309"/>
      <c r="J25583" s="309"/>
    </row>
    <row r="25584">
      <c r="B25584" s="309"/>
      <c r="C25584" s="309"/>
      <c r="I25584" s="309"/>
      <c r="J25584" s="309"/>
    </row>
    <row r="25585">
      <c r="B25585" s="309"/>
      <c r="C25585" s="309"/>
      <c r="I25585" s="309"/>
      <c r="J25585" s="309"/>
    </row>
    <row r="25586">
      <c r="B25586" s="309"/>
      <c r="C25586" s="309"/>
      <c r="I25586" s="309"/>
      <c r="J25586" s="309"/>
    </row>
    <row r="25587">
      <c r="B25587" s="309"/>
      <c r="C25587" s="309"/>
      <c r="I25587" s="309"/>
      <c r="J25587" s="309"/>
    </row>
    <row r="25588">
      <c r="B25588" s="309"/>
      <c r="C25588" s="309"/>
      <c r="I25588" s="309"/>
      <c r="J25588" s="309"/>
    </row>
    <row r="25589">
      <c r="B25589" s="309"/>
      <c r="C25589" s="309"/>
      <c r="I25589" s="309"/>
      <c r="J25589" s="309"/>
    </row>
    <row r="25590">
      <c r="B25590" s="309"/>
      <c r="C25590" s="309"/>
      <c r="I25590" s="309"/>
      <c r="J25590" s="309"/>
    </row>
    <row r="25591">
      <c r="B25591" s="309"/>
      <c r="C25591" s="309"/>
      <c r="I25591" s="309"/>
      <c r="J25591" s="309"/>
    </row>
    <row r="25592">
      <c r="B25592" s="309"/>
      <c r="C25592" s="309"/>
      <c r="I25592" s="309"/>
      <c r="J25592" s="309"/>
    </row>
    <row r="25593">
      <c r="B25593" s="309"/>
      <c r="C25593" s="309"/>
      <c r="I25593" s="309"/>
      <c r="J25593" s="309"/>
    </row>
    <row r="25594">
      <c r="B25594" s="309"/>
      <c r="C25594" s="309"/>
      <c r="I25594" s="309"/>
      <c r="J25594" s="309"/>
    </row>
    <row r="25595">
      <c r="B25595" s="309"/>
      <c r="C25595" s="309"/>
      <c r="I25595" s="309"/>
      <c r="J25595" s="309"/>
    </row>
    <row r="25596">
      <c r="B25596" s="309"/>
      <c r="C25596" s="309"/>
      <c r="I25596" s="309"/>
      <c r="J25596" s="309"/>
    </row>
    <row r="25597">
      <c r="B25597" s="309"/>
      <c r="C25597" s="309"/>
      <c r="I25597" s="309"/>
      <c r="J25597" s="309"/>
    </row>
    <row r="25598">
      <c r="B25598" s="309"/>
      <c r="C25598" s="309"/>
      <c r="I25598" s="309"/>
      <c r="J25598" s="309"/>
    </row>
    <row r="25599">
      <c r="B25599" s="309"/>
      <c r="C25599" s="309"/>
      <c r="I25599" s="309"/>
      <c r="J25599" s="309"/>
    </row>
    <row r="25600">
      <c r="B25600" s="309"/>
      <c r="C25600" s="309"/>
      <c r="I25600" s="309"/>
      <c r="J25600" s="309"/>
    </row>
    <row r="25601">
      <c r="B25601" s="309"/>
      <c r="C25601" s="309"/>
      <c r="I25601" s="309"/>
      <c r="J25601" s="309"/>
    </row>
    <row r="25602">
      <c r="B25602" s="309"/>
      <c r="C25602" s="309"/>
      <c r="I25602" s="309"/>
      <c r="J25602" s="309"/>
    </row>
    <row r="25603">
      <c r="B25603" s="309"/>
      <c r="C25603" s="309"/>
      <c r="I25603" s="309"/>
      <c r="J25603" s="309"/>
    </row>
    <row r="25604">
      <c r="B25604" s="309"/>
      <c r="C25604" s="309"/>
      <c r="I25604" s="309"/>
      <c r="J25604" s="309"/>
    </row>
    <row r="25605">
      <c r="B25605" s="309"/>
      <c r="C25605" s="309"/>
      <c r="I25605" s="309"/>
      <c r="J25605" s="309"/>
    </row>
    <row r="25606">
      <c r="B25606" s="309"/>
      <c r="C25606" s="309"/>
      <c r="I25606" s="309"/>
      <c r="J25606" s="309"/>
    </row>
    <row r="25607">
      <c r="B25607" s="309"/>
      <c r="C25607" s="309"/>
      <c r="I25607" s="309"/>
      <c r="J25607" s="309"/>
    </row>
    <row r="25608">
      <c r="B25608" s="309"/>
      <c r="C25608" s="309"/>
      <c r="I25608" s="309"/>
      <c r="J25608" s="309"/>
    </row>
    <row r="25609">
      <c r="B25609" s="309"/>
      <c r="C25609" s="309"/>
      <c r="I25609" s="309"/>
      <c r="J25609" s="309"/>
    </row>
    <row r="25610">
      <c r="B25610" s="309"/>
      <c r="C25610" s="309"/>
      <c r="I25610" s="309"/>
      <c r="J25610" s="309"/>
    </row>
    <row r="25611">
      <c r="B25611" s="309"/>
      <c r="C25611" s="309"/>
      <c r="I25611" s="309"/>
      <c r="J25611" s="309"/>
    </row>
    <row r="25612">
      <c r="B25612" s="309"/>
      <c r="C25612" s="309"/>
      <c r="I25612" s="309"/>
      <c r="J25612" s="309"/>
    </row>
    <row r="25613">
      <c r="B25613" s="309"/>
      <c r="C25613" s="309"/>
      <c r="I25613" s="309"/>
      <c r="J25613" s="309"/>
    </row>
    <row r="25614">
      <c r="B25614" s="309"/>
      <c r="C25614" s="309"/>
      <c r="I25614" s="309"/>
      <c r="J25614" s="309"/>
    </row>
    <row r="25615">
      <c r="B25615" s="309"/>
      <c r="C25615" s="309"/>
      <c r="I25615" s="309"/>
      <c r="J25615" s="309"/>
    </row>
    <row r="25616">
      <c r="B25616" s="309"/>
      <c r="C25616" s="309"/>
      <c r="I25616" s="309"/>
      <c r="J25616" s="309"/>
    </row>
    <row r="25617">
      <c r="B25617" s="309"/>
      <c r="C25617" s="309"/>
      <c r="I25617" s="309"/>
      <c r="J25617" s="309"/>
    </row>
    <row r="25618">
      <c r="B25618" s="309"/>
      <c r="C25618" s="309"/>
      <c r="I25618" s="309"/>
      <c r="J25618" s="309"/>
    </row>
    <row r="25619">
      <c r="B25619" s="309"/>
      <c r="C25619" s="309"/>
      <c r="I25619" s="309"/>
      <c r="J25619" s="309"/>
    </row>
    <row r="25620">
      <c r="B25620" s="309"/>
      <c r="C25620" s="309"/>
      <c r="I25620" s="309"/>
      <c r="J25620" s="309"/>
    </row>
    <row r="25621">
      <c r="B25621" s="309"/>
      <c r="C25621" s="309"/>
      <c r="I25621" s="309"/>
      <c r="J25621" s="309"/>
    </row>
    <row r="25622">
      <c r="B25622" s="309"/>
      <c r="C25622" s="309"/>
      <c r="I25622" s="309"/>
      <c r="J25622" s="309"/>
    </row>
    <row r="25623">
      <c r="B25623" s="309"/>
      <c r="C25623" s="309"/>
      <c r="I25623" s="309"/>
      <c r="J25623" s="309"/>
    </row>
    <row r="25624">
      <c r="B25624" s="309"/>
      <c r="C25624" s="309"/>
      <c r="I25624" s="309"/>
      <c r="J25624" s="309"/>
    </row>
    <row r="25625">
      <c r="B25625" s="309"/>
      <c r="C25625" s="309"/>
      <c r="I25625" s="309"/>
      <c r="J25625" s="309"/>
    </row>
    <row r="25626">
      <c r="B25626" s="309"/>
      <c r="C25626" s="309"/>
      <c r="I25626" s="309"/>
      <c r="J25626" s="309"/>
    </row>
    <row r="25627">
      <c r="B25627" s="309"/>
      <c r="C25627" s="309"/>
      <c r="I25627" s="309"/>
      <c r="J25627" s="309"/>
    </row>
    <row r="25628">
      <c r="B25628" s="309"/>
      <c r="C25628" s="309"/>
      <c r="I25628" s="309"/>
      <c r="J25628" s="309"/>
    </row>
    <row r="25629">
      <c r="B25629" s="309"/>
      <c r="C25629" s="309"/>
      <c r="I25629" s="309"/>
      <c r="J25629" s="309"/>
    </row>
    <row r="25630">
      <c r="B25630" s="309"/>
      <c r="C25630" s="309"/>
      <c r="I25630" s="309"/>
      <c r="J25630" s="309"/>
    </row>
    <row r="25631">
      <c r="B25631" s="309"/>
      <c r="C25631" s="309"/>
      <c r="I25631" s="309"/>
      <c r="J25631" s="309"/>
    </row>
    <row r="25632">
      <c r="B25632" s="309"/>
      <c r="C25632" s="309"/>
      <c r="I25632" s="309"/>
      <c r="J25632" s="309"/>
    </row>
    <row r="25633">
      <c r="B25633" s="309"/>
      <c r="C25633" s="309"/>
      <c r="I25633" s="309"/>
      <c r="J25633" s="309"/>
    </row>
    <row r="25634">
      <c r="B25634" s="309"/>
      <c r="C25634" s="309"/>
      <c r="I25634" s="309"/>
      <c r="J25634" s="309"/>
    </row>
    <row r="25635">
      <c r="B25635" s="309"/>
      <c r="C25635" s="309"/>
      <c r="I25635" s="309"/>
      <c r="J25635" s="309"/>
    </row>
    <row r="25636">
      <c r="B25636" s="309"/>
      <c r="C25636" s="309"/>
      <c r="I25636" s="309"/>
      <c r="J25636" s="309"/>
    </row>
    <row r="25637">
      <c r="B25637" s="309"/>
      <c r="C25637" s="309"/>
      <c r="I25637" s="309"/>
      <c r="J25637" s="309"/>
    </row>
    <row r="25638">
      <c r="B25638" s="309"/>
      <c r="C25638" s="309"/>
      <c r="I25638" s="309"/>
      <c r="J25638" s="309"/>
    </row>
    <row r="25639">
      <c r="B25639" s="309"/>
      <c r="C25639" s="309"/>
      <c r="I25639" s="309"/>
      <c r="J25639" s="309"/>
    </row>
    <row r="25640">
      <c r="B25640" s="309"/>
      <c r="C25640" s="309"/>
      <c r="I25640" s="309"/>
      <c r="J25640" s="309"/>
    </row>
    <row r="25641">
      <c r="B25641" s="309"/>
      <c r="C25641" s="309"/>
      <c r="I25641" s="309"/>
      <c r="J25641" s="309"/>
    </row>
    <row r="25642">
      <c r="B25642" s="309"/>
      <c r="C25642" s="309"/>
      <c r="I25642" s="309"/>
      <c r="J25642" s="309"/>
    </row>
    <row r="25643">
      <c r="B25643" s="309"/>
      <c r="C25643" s="309"/>
      <c r="I25643" s="309"/>
      <c r="J25643" s="309"/>
    </row>
    <row r="25644">
      <c r="B25644" s="309"/>
      <c r="C25644" s="309"/>
      <c r="I25644" s="309"/>
      <c r="J25644" s="309"/>
    </row>
    <row r="25645">
      <c r="B25645" s="309"/>
      <c r="C25645" s="309"/>
      <c r="I25645" s="309"/>
      <c r="J25645" s="309"/>
    </row>
    <row r="25646">
      <c r="B25646" s="309"/>
      <c r="C25646" s="309"/>
      <c r="I25646" s="309"/>
      <c r="J25646" s="309"/>
    </row>
    <row r="25647">
      <c r="B25647" s="309"/>
      <c r="C25647" s="309"/>
      <c r="I25647" s="309"/>
      <c r="J25647" s="309"/>
    </row>
    <row r="25648">
      <c r="B25648" s="309"/>
      <c r="C25648" s="309"/>
      <c r="I25648" s="309"/>
      <c r="J25648" s="309"/>
    </row>
    <row r="25649">
      <c r="B25649" s="309"/>
      <c r="C25649" s="309"/>
      <c r="I25649" s="309"/>
      <c r="J25649" s="309"/>
    </row>
    <row r="25650">
      <c r="B25650" s="309"/>
      <c r="C25650" s="309"/>
      <c r="I25650" s="309"/>
      <c r="J25650" s="309"/>
    </row>
    <row r="25651">
      <c r="B25651" s="309"/>
      <c r="C25651" s="309"/>
      <c r="I25651" s="309"/>
      <c r="J25651" s="309"/>
    </row>
    <row r="25652">
      <c r="B25652" s="309"/>
      <c r="C25652" s="309"/>
      <c r="I25652" s="309"/>
      <c r="J25652" s="309"/>
    </row>
    <row r="25653">
      <c r="B25653" s="309"/>
      <c r="C25653" s="309"/>
      <c r="I25653" s="309"/>
      <c r="J25653" s="309"/>
    </row>
    <row r="25654">
      <c r="B25654" s="309"/>
      <c r="C25654" s="309"/>
      <c r="I25654" s="309"/>
      <c r="J25654" s="309"/>
    </row>
    <row r="25655">
      <c r="B25655" s="309"/>
      <c r="C25655" s="309"/>
      <c r="I25655" s="309"/>
      <c r="J25655" s="309"/>
    </row>
    <row r="25656">
      <c r="B25656" s="309"/>
      <c r="C25656" s="309"/>
      <c r="I25656" s="309"/>
      <c r="J25656" s="309"/>
    </row>
    <row r="25657">
      <c r="B25657" s="309"/>
      <c r="C25657" s="309"/>
      <c r="I25657" s="309"/>
      <c r="J25657" s="309"/>
    </row>
    <row r="25658">
      <c r="B25658" s="309"/>
      <c r="C25658" s="309"/>
      <c r="I25658" s="309"/>
      <c r="J25658" s="309"/>
    </row>
    <row r="25659">
      <c r="B25659" s="309"/>
      <c r="C25659" s="309"/>
      <c r="I25659" s="309"/>
      <c r="J25659" s="309"/>
    </row>
    <row r="25660">
      <c r="B25660" s="309"/>
      <c r="C25660" s="309"/>
      <c r="I25660" s="309"/>
      <c r="J25660" s="309"/>
    </row>
    <row r="25661">
      <c r="B25661" s="309"/>
      <c r="C25661" s="309"/>
      <c r="I25661" s="309"/>
      <c r="J25661" s="309"/>
    </row>
    <row r="25662">
      <c r="B25662" s="309"/>
      <c r="C25662" s="309"/>
      <c r="I25662" s="309"/>
      <c r="J25662" s="309"/>
    </row>
    <row r="25663">
      <c r="B25663" s="309"/>
      <c r="C25663" s="309"/>
      <c r="I25663" s="309"/>
      <c r="J25663" s="309"/>
    </row>
    <row r="25664">
      <c r="B25664" s="309"/>
      <c r="C25664" s="309"/>
      <c r="I25664" s="309"/>
      <c r="J25664" s="309"/>
    </row>
    <row r="25665">
      <c r="B25665" s="309"/>
      <c r="C25665" s="309"/>
      <c r="I25665" s="309"/>
      <c r="J25665" s="309"/>
    </row>
    <row r="25666">
      <c r="B25666" s="309"/>
      <c r="C25666" s="309"/>
      <c r="I25666" s="309"/>
      <c r="J25666" s="309"/>
    </row>
    <row r="25667">
      <c r="B25667" s="309"/>
      <c r="C25667" s="309"/>
      <c r="I25667" s="309"/>
      <c r="J25667" s="309"/>
    </row>
    <row r="25668">
      <c r="B25668" s="309"/>
      <c r="C25668" s="309"/>
      <c r="I25668" s="309"/>
      <c r="J25668" s="309"/>
    </row>
    <row r="25669">
      <c r="B25669" s="309"/>
      <c r="C25669" s="309"/>
      <c r="I25669" s="309"/>
      <c r="J25669" s="309"/>
    </row>
    <row r="25670">
      <c r="B25670" s="309"/>
      <c r="C25670" s="309"/>
      <c r="I25670" s="309"/>
      <c r="J25670" s="309"/>
    </row>
    <row r="25671">
      <c r="B25671" s="309"/>
      <c r="C25671" s="309"/>
      <c r="I25671" s="309"/>
      <c r="J25671" s="309"/>
    </row>
    <row r="25672">
      <c r="B25672" s="309"/>
      <c r="C25672" s="309"/>
      <c r="I25672" s="309"/>
      <c r="J25672" s="309"/>
    </row>
    <row r="25673">
      <c r="B25673" s="309"/>
      <c r="C25673" s="309"/>
      <c r="I25673" s="309"/>
      <c r="J25673" s="309"/>
    </row>
    <row r="25674">
      <c r="B25674" s="309"/>
      <c r="C25674" s="309"/>
      <c r="I25674" s="309"/>
      <c r="J25674" s="309"/>
    </row>
    <row r="25675">
      <c r="B25675" s="309"/>
      <c r="C25675" s="309"/>
      <c r="I25675" s="309"/>
      <c r="J25675" s="309"/>
    </row>
    <row r="25676">
      <c r="B25676" s="309"/>
      <c r="C25676" s="309"/>
      <c r="I25676" s="309"/>
      <c r="J25676" s="309"/>
    </row>
    <row r="25677">
      <c r="B25677" s="309"/>
      <c r="C25677" s="309"/>
      <c r="I25677" s="309"/>
      <c r="J25677" s="309"/>
    </row>
    <row r="25678">
      <c r="B25678" s="309"/>
      <c r="C25678" s="309"/>
      <c r="I25678" s="309"/>
      <c r="J25678" s="309"/>
    </row>
    <row r="25679">
      <c r="B25679" s="309"/>
      <c r="C25679" s="309"/>
      <c r="I25679" s="309"/>
      <c r="J25679" s="309"/>
    </row>
    <row r="25680">
      <c r="B25680" s="309"/>
      <c r="C25680" s="309"/>
      <c r="I25680" s="309"/>
      <c r="J25680" s="309"/>
    </row>
    <row r="25681">
      <c r="B25681" s="309"/>
      <c r="C25681" s="309"/>
      <c r="I25681" s="309"/>
      <c r="J25681" s="309"/>
    </row>
    <row r="25682">
      <c r="B25682" s="309"/>
      <c r="C25682" s="309"/>
      <c r="I25682" s="309"/>
      <c r="J25682" s="309"/>
    </row>
    <row r="25683">
      <c r="B25683" s="309"/>
      <c r="C25683" s="309"/>
      <c r="I25683" s="309"/>
      <c r="J25683" s="309"/>
    </row>
    <row r="25684">
      <c r="B25684" s="309"/>
      <c r="C25684" s="309"/>
      <c r="I25684" s="309"/>
      <c r="J25684" s="309"/>
    </row>
    <row r="25685">
      <c r="B25685" s="309"/>
      <c r="C25685" s="309"/>
      <c r="I25685" s="309"/>
      <c r="J25685" s="309"/>
    </row>
    <row r="25686">
      <c r="B25686" s="309"/>
      <c r="C25686" s="309"/>
      <c r="I25686" s="309"/>
      <c r="J25686" s="309"/>
    </row>
    <row r="25687">
      <c r="B25687" s="309"/>
      <c r="C25687" s="309"/>
      <c r="I25687" s="309"/>
      <c r="J25687" s="309"/>
    </row>
    <row r="25688">
      <c r="B25688" s="309"/>
      <c r="C25688" s="309"/>
      <c r="I25688" s="309"/>
      <c r="J25688" s="309"/>
    </row>
    <row r="25689">
      <c r="B25689" s="309"/>
      <c r="C25689" s="309"/>
      <c r="I25689" s="309"/>
      <c r="J25689" s="309"/>
    </row>
    <row r="25690">
      <c r="B25690" s="309"/>
      <c r="C25690" s="309"/>
      <c r="I25690" s="309"/>
      <c r="J25690" s="309"/>
    </row>
    <row r="25691">
      <c r="B25691" s="309"/>
      <c r="C25691" s="309"/>
      <c r="I25691" s="309"/>
      <c r="J25691" s="309"/>
    </row>
    <row r="25692">
      <c r="B25692" s="309"/>
      <c r="C25692" s="309"/>
      <c r="I25692" s="309"/>
      <c r="J25692" s="309"/>
    </row>
    <row r="25693">
      <c r="B25693" s="309"/>
      <c r="C25693" s="309"/>
      <c r="I25693" s="309"/>
      <c r="J25693" s="309"/>
    </row>
    <row r="25694">
      <c r="B25694" s="309"/>
      <c r="C25694" s="309"/>
      <c r="I25694" s="309"/>
      <c r="J25694" s="309"/>
    </row>
    <row r="25695">
      <c r="B25695" s="309"/>
      <c r="C25695" s="309"/>
      <c r="I25695" s="309"/>
      <c r="J25695" s="309"/>
    </row>
    <row r="25696">
      <c r="B25696" s="309"/>
      <c r="C25696" s="309"/>
      <c r="I25696" s="309"/>
      <c r="J25696" s="309"/>
    </row>
    <row r="25697">
      <c r="B25697" s="309"/>
      <c r="C25697" s="309"/>
      <c r="I25697" s="309"/>
      <c r="J25697" s="309"/>
    </row>
    <row r="25698">
      <c r="B25698" s="309"/>
      <c r="C25698" s="309"/>
      <c r="I25698" s="309"/>
      <c r="J25698" s="309"/>
    </row>
    <row r="25699">
      <c r="B25699" s="309"/>
      <c r="C25699" s="309"/>
      <c r="I25699" s="309"/>
      <c r="J25699" s="309"/>
    </row>
    <row r="25700">
      <c r="B25700" s="309"/>
      <c r="C25700" s="309"/>
      <c r="I25700" s="309"/>
      <c r="J25700" s="309"/>
    </row>
    <row r="25701">
      <c r="B25701" s="309"/>
      <c r="C25701" s="309"/>
      <c r="I25701" s="309"/>
      <c r="J25701" s="309"/>
    </row>
    <row r="25702">
      <c r="B25702" s="309"/>
      <c r="C25702" s="309"/>
      <c r="I25702" s="309"/>
      <c r="J25702" s="309"/>
    </row>
    <row r="25703">
      <c r="B25703" s="309"/>
      <c r="C25703" s="309"/>
      <c r="I25703" s="309"/>
      <c r="J25703" s="309"/>
    </row>
    <row r="25704">
      <c r="B25704" s="309"/>
      <c r="C25704" s="309"/>
      <c r="I25704" s="309"/>
      <c r="J25704" s="309"/>
    </row>
    <row r="25705">
      <c r="B25705" s="309"/>
      <c r="C25705" s="309"/>
      <c r="I25705" s="309"/>
      <c r="J25705" s="309"/>
    </row>
    <row r="25706">
      <c r="B25706" s="309"/>
      <c r="C25706" s="309"/>
      <c r="I25706" s="309"/>
      <c r="J25706" s="309"/>
    </row>
    <row r="25707">
      <c r="B25707" s="309"/>
      <c r="C25707" s="309"/>
      <c r="I25707" s="309"/>
      <c r="J25707" s="309"/>
    </row>
    <row r="25708">
      <c r="B25708" s="309"/>
      <c r="C25708" s="309"/>
      <c r="I25708" s="309"/>
      <c r="J25708" s="309"/>
    </row>
    <row r="25709">
      <c r="B25709" s="309"/>
      <c r="C25709" s="309"/>
      <c r="I25709" s="309"/>
      <c r="J25709" s="309"/>
    </row>
    <row r="25710">
      <c r="B25710" s="309"/>
      <c r="C25710" s="309"/>
      <c r="I25710" s="309"/>
      <c r="J25710" s="309"/>
    </row>
    <row r="25711">
      <c r="B25711" s="309"/>
      <c r="C25711" s="309"/>
      <c r="I25711" s="309"/>
      <c r="J25711" s="309"/>
    </row>
    <row r="25712">
      <c r="B25712" s="309"/>
      <c r="C25712" s="309"/>
      <c r="I25712" s="309"/>
      <c r="J25712" s="309"/>
    </row>
    <row r="25713">
      <c r="B25713" s="309"/>
      <c r="C25713" s="309"/>
      <c r="I25713" s="309"/>
      <c r="J25713" s="309"/>
    </row>
    <row r="25714">
      <c r="B25714" s="309"/>
      <c r="C25714" s="309"/>
      <c r="I25714" s="309"/>
      <c r="J25714" s="309"/>
    </row>
    <row r="25715">
      <c r="B25715" s="309"/>
      <c r="C25715" s="309"/>
      <c r="I25715" s="309"/>
      <c r="J25715" s="309"/>
    </row>
    <row r="25716">
      <c r="B25716" s="309"/>
      <c r="C25716" s="309"/>
      <c r="I25716" s="309"/>
      <c r="J25716" s="309"/>
    </row>
    <row r="25717">
      <c r="B25717" s="309"/>
      <c r="C25717" s="309"/>
      <c r="I25717" s="309"/>
      <c r="J25717" s="309"/>
    </row>
    <row r="25718">
      <c r="B25718" s="309"/>
      <c r="C25718" s="309"/>
      <c r="I25718" s="309"/>
      <c r="J25718" s="309"/>
    </row>
    <row r="25719">
      <c r="B25719" s="309"/>
      <c r="C25719" s="309"/>
      <c r="I25719" s="309"/>
      <c r="J25719" s="309"/>
    </row>
    <row r="25720">
      <c r="B25720" s="309"/>
      <c r="C25720" s="309"/>
      <c r="I25720" s="309"/>
      <c r="J25720" s="309"/>
    </row>
    <row r="25721">
      <c r="B25721" s="309"/>
      <c r="C25721" s="309"/>
      <c r="I25721" s="309"/>
      <c r="J25721" s="309"/>
    </row>
    <row r="25722">
      <c r="B25722" s="309"/>
      <c r="C25722" s="309"/>
      <c r="I25722" s="309"/>
      <c r="J25722" s="309"/>
    </row>
    <row r="25723">
      <c r="B25723" s="309"/>
      <c r="C25723" s="309"/>
      <c r="I25723" s="309"/>
      <c r="J25723" s="309"/>
    </row>
    <row r="25724">
      <c r="B25724" s="309"/>
      <c r="C25724" s="309"/>
      <c r="I25724" s="309"/>
      <c r="J25724" s="309"/>
    </row>
    <row r="25725">
      <c r="B25725" s="309"/>
      <c r="C25725" s="309"/>
      <c r="I25725" s="309"/>
      <c r="J25725" s="309"/>
    </row>
    <row r="25726">
      <c r="B25726" s="309"/>
      <c r="C25726" s="309"/>
      <c r="I25726" s="309"/>
      <c r="J25726" s="309"/>
    </row>
    <row r="25727">
      <c r="B25727" s="309"/>
      <c r="C25727" s="309"/>
      <c r="I25727" s="309"/>
      <c r="J25727" s="309"/>
    </row>
    <row r="25728">
      <c r="B25728" s="309"/>
      <c r="C25728" s="309"/>
      <c r="I25728" s="309"/>
      <c r="J25728" s="309"/>
    </row>
    <row r="25729">
      <c r="B25729" s="309"/>
      <c r="C25729" s="309"/>
      <c r="I25729" s="309"/>
      <c r="J25729" s="309"/>
    </row>
    <row r="25730">
      <c r="B25730" s="309"/>
      <c r="C25730" s="309"/>
      <c r="I25730" s="309"/>
      <c r="J25730" s="309"/>
    </row>
    <row r="25731">
      <c r="B25731" s="309"/>
      <c r="C25731" s="309"/>
      <c r="I25731" s="309"/>
      <c r="J25731" s="309"/>
    </row>
    <row r="25732">
      <c r="B25732" s="309"/>
      <c r="C25732" s="309"/>
      <c r="I25732" s="309"/>
      <c r="J25732" s="309"/>
    </row>
    <row r="25733">
      <c r="B25733" s="309"/>
      <c r="C25733" s="309"/>
      <c r="I25733" s="309"/>
      <c r="J25733" s="309"/>
    </row>
    <row r="25734">
      <c r="B25734" s="309"/>
      <c r="C25734" s="309"/>
      <c r="I25734" s="309"/>
      <c r="J25734" s="309"/>
    </row>
    <row r="25735">
      <c r="B25735" s="309"/>
      <c r="C25735" s="309"/>
      <c r="I25735" s="309"/>
      <c r="J25735" s="309"/>
    </row>
    <row r="25736">
      <c r="B25736" s="309"/>
      <c r="C25736" s="309"/>
      <c r="I25736" s="309"/>
      <c r="J25736" s="309"/>
    </row>
    <row r="25737">
      <c r="B25737" s="309"/>
      <c r="C25737" s="309"/>
      <c r="I25737" s="309"/>
      <c r="J25737" s="309"/>
    </row>
    <row r="25738">
      <c r="B25738" s="309"/>
      <c r="C25738" s="309"/>
      <c r="I25738" s="309"/>
      <c r="J25738" s="309"/>
    </row>
    <row r="25739">
      <c r="B25739" s="309"/>
      <c r="C25739" s="309"/>
      <c r="I25739" s="309"/>
      <c r="J25739" s="309"/>
    </row>
    <row r="25740">
      <c r="B25740" s="309"/>
      <c r="C25740" s="309"/>
      <c r="I25740" s="309"/>
      <c r="J25740" s="309"/>
    </row>
    <row r="25741">
      <c r="B25741" s="309"/>
      <c r="C25741" s="309"/>
      <c r="I25741" s="309"/>
      <c r="J25741" s="309"/>
    </row>
    <row r="25742">
      <c r="B25742" s="309"/>
      <c r="C25742" s="309"/>
      <c r="I25742" s="309"/>
      <c r="J25742" s="309"/>
    </row>
    <row r="25743">
      <c r="B25743" s="309"/>
      <c r="C25743" s="309"/>
      <c r="I25743" s="309"/>
      <c r="J25743" s="309"/>
    </row>
    <row r="25744">
      <c r="B25744" s="309"/>
      <c r="C25744" s="309"/>
      <c r="I25744" s="309"/>
      <c r="J25744" s="309"/>
    </row>
    <row r="25745">
      <c r="B25745" s="309"/>
      <c r="C25745" s="309"/>
      <c r="I25745" s="309"/>
      <c r="J25745" s="309"/>
    </row>
    <row r="25746">
      <c r="B25746" s="309"/>
      <c r="C25746" s="309"/>
      <c r="I25746" s="309"/>
      <c r="J25746" s="309"/>
    </row>
    <row r="25747">
      <c r="B25747" s="309"/>
      <c r="C25747" s="309"/>
      <c r="I25747" s="309"/>
      <c r="J25747" s="309"/>
    </row>
    <row r="25748">
      <c r="B25748" s="309"/>
      <c r="C25748" s="309"/>
      <c r="I25748" s="309"/>
      <c r="J25748" s="309"/>
    </row>
    <row r="25749">
      <c r="B25749" s="309"/>
      <c r="C25749" s="309"/>
      <c r="I25749" s="309"/>
      <c r="J25749" s="309"/>
    </row>
    <row r="25750">
      <c r="B25750" s="309"/>
      <c r="C25750" s="309"/>
      <c r="I25750" s="309"/>
      <c r="J25750" s="309"/>
    </row>
    <row r="25751">
      <c r="B25751" s="309"/>
      <c r="C25751" s="309"/>
      <c r="I25751" s="309"/>
      <c r="J25751" s="309"/>
    </row>
    <row r="25752">
      <c r="B25752" s="309"/>
      <c r="C25752" s="309"/>
      <c r="I25752" s="309"/>
      <c r="J25752" s="309"/>
    </row>
    <row r="25753">
      <c r="B25753" s="309"/>
      <c r="C25753" s="309"/>
      <c r="I25753" s="309"/>
      <c r="J25753" s="309"/>
    </row>
    <row r="25754">
      <c r="B25754" s="309"/>
      <c r="C25754" s="309"/>
      <c r="I25754" s="309"/>
      <c r="J25754" s="309"/>
    </row>
    <row r="25755">
      <c r="B25755" s="309"/>
      <c r="C25755" s="309"/>
      <c r="I25755" s="309"/>
      <c r="J25755" s="309"/>
    </row>
    <row r="25756">
      <c r="B25756" s="309"/>
      <c r="C25756" s="309"/>
      <c r="I25756" s="309"/>
      <c r="J25756" s="309"/>
    </row>
    <row r="25757">
      <c r="B25757" s="309"/>
      <c r="C25757" s="309"/>
      <c r="I25757" s="309"/>
      <c r="J25757" s="309"/>
    </row>
    <row r="25758">
      <c r="B25758" s="309"/>
      <c r="C25758" s="309"/>
      <c r="I25758" s="309"/>
      <c r="J25758" s="309"/>
    </row>
    <row r="25759">
      <c r="B25759" s="309"/>
      <c r="C25759" s="309"/>
      <c r="I25759" s="309"/>
      <c r="J25759" s="309"/>
    </row>
    <row r="25760">
      <c r="B25760" s="309"/>
      <c r="C25760" s="309"/>
      <c r="I25760" s="309"/>
      <c r="J25760" s="309"/>
    </row>
    <row r="25761">
      <c r="B25761" s="309"/>
      <c r="C25761" s="309"/>
      <c r="I25761" s="309"/>
      <c r="J25761" s="309"/>
    </row>
    <row r="25762">
      <c r="B25762" s="309"/>
      <c r="C25762" s="309"/>
      <c r="I25762" s="309"/>
      <c r="J25762" s="309"/>
    </row>
    <row r="25763">
      <c r="B25763" s="309"/>
      <c r="C25763" s="309"/>
      <c r="I25763" s="309"/>
      <c r="J25763" s="309"/>
    </row>
    <row r="25764">
      <c r="B25764" s="309"/>
      <c r="C25764" s="309"/>
      <c r="I25764" s="309"/>
      <c r="J25764" s="309"/>
    </row>
    <row r="25765">
      <c r="B25765" s="309"/>
      <c r="C25765" s="309"/>
      <c r="I25765" s="309"/>
      <c r="J25765" s="309"/>
    </row>
    <row r="25766">
      <c r="B25766" s="309"/>
      <c r="C25766" s="309"/>
      <c r="I25766" s="309"/>
      <c r="J25766" s="309"/>
    </row>
    <row r="25767">
      <c r="B25767" s="309"/>
      <c r="C25767" s="309"/>
      <c r="I25767" s="309"/>
      <c r="J25767" s="309"/>
    </row>
    <row r="25768">
      <c r="B25768" s="309"/>
      <c r="C25768" s="309"/>
      <c r="I25768" s="309"/>
      <c r="J25768" s="309"/>
    </row>
    <row r="25769">
      <c r="B25769" s="309"/>
      <c r="C25769" s="309"/>
      <c r="I25769" s="309"/>
      <c r="J25769" s="309"/>
    </row>
    <row r="25770">
      <c r="B25770" s="309"/>
      <c r="C25770" s="309"/>
      <c r="I25770" s="309"/>
      <c r="J25770" s="309"/>
    </row>
    <row r="25771">
      <c r="B25771" s="309"/>
      <c r="C25771" s="309"/>
      <c r="I25771" s="309"/>
      <c r="J25771" s="309"/>
    </row>
    <row r="25772">
      <c r="B25772" s="309"/>
      <c r="C25772" s="309"/>
      <c r="I25772" s="309"/>
      <c r="J25772" s="309"/>
    </row>
    <row r="25773">
      <c r="B25773" s="309"/>
      <c r="C25773" s="309"/>
      <c r="I25773" s="309"/>
      <c r="J25773" s="309"/>
    </row>
    <row r="25774">
      <c r="B25774" s="309"/>
      <c r="C25774" s="309"/>
      <c r="I25774" s="309"/>
      <c r="J25774" s="309"/>
    </row>
    <row r="25775">
      <c r="B25775" s="309"/>
      <c r="C25775" s="309"/>
      <c r="I25775" s="309"/>
      <c r="J25775" s="309"/>
    </row>
    <row r="25776">
      <c r="B25776" s="309"/>
      <c r="C25776" s="309"/>
      <c r="I25776" s="309"/>
      <c r="J25776" s="309"/>
    </row>
    <row r="25777">
      <c r="B25777" s="309"/>
      <c r="C25777" s="309"/>
      <c r="I25777" s="309"/>
      <c r="J25777" s="309"/>
    </row>
    <row r="25778">
      <c r="B25778" s="309"/>
      <c r="C25778" s="309"/>
      <c r="I25778" s="309"/>
      <c r="J25778" s="309"/>
    </row>
    <row r="25779">
      <c r="B25779" s="309"/>
      <c r="C25779" s="309"/>
      <c r="I25779" s="309"/>
      <c r="J25779" s="309"/>
    </row>
    <row r="25780">
      <c r="B25780" s="309"/>
      <c r="C25780" s="309"/>
      <c r="I25780" s="309"/>
      <c r="J25780" s="309"/>
    </row>
    <row r="25781">
      <c r="B25781" s="309"/>
      <c r="C25781" s="309"/>
      <c r="I25781" s="309"/>
      <c r="J25781" s="309"/>
    </row>
    <row r="25782">
      <c r="B25782" s="309"/>
      <c r="C25782" s="309"/>
      <c r="I25782" s="309"/>
      <c r="J25782" s="309"/>
    </row>
    <row r="25783">
      <c r="B25783" s="309"/>
      <c r="C25783" s="309"/>
      <c r="I25783" s="309"/>
      <c r="J25783" s="309"/>
    </row>
    <row r="25784">
      <c r="B25784" s="309"/>
      <c r="C25784" s="309"/>
      <c r="I25784" s="309"/>
      <c r="J25784" s="309"/>
    </row>
    <row r="25785">
      <c r="B25785" s="309"/>
      <c r="C25785" s="309"/>
      <c r="I25785" s="309"/>
      <c r="J25785" s="309"/>
    </row>
    <row r="25786">
      <c r="B25786" s="309"/>
      <c r="C25786" s="309"/>
      <c r="I25786" s="309"/>
      <c r="J25786" s="309"/>
    </row>
    <row r="25787">
      <c r="B25787" s="309"/>
      <c r="C25787" s="309"/>
      <c r="I25787" s="309"/>
      <c r="J25787" s="309"/>
    </row>
    <row r="25788">
      <c r="B25788" s="309"/>
      <c r="C25788" s="309"/>
      <c r="I25788" s="309"/>
      <c r="J25788" s="309"/>
    </row>
    <row r="25789">
      <c r="B25789" s="309"/>
      <c r="C25789" s="309"/>
      <c r="I25789" s="309"/>
      <c r="J25789" s="309"/>
    </row>
    <row r="25790">
      <c r="B25790" s="309"/>
      <c r="C25790" s="309"/>
      <c r="I25790" s="309"/>
      <c r="J25790" s="309"/>
    </row>
    <row r="25791">
      <c r="B25791" s="309"/>
      <c r="C25791" s="309"/>
      <c r="I25791" s="309"/>
      <c r="J25791" s="309"/>
    </row>
    <row r="25792">
      <c r="B25792" s="309"/>
      <c r="C25792" s="309"/>
      <c r="I25792" s="309"/>
      <c r="J25792" s="309"/>
    </row>
    <row r="25793">
      <c r="B25793" s="309"/>
      <c r="C25793" s="309"/>
      <c r="I25793" s="309"/>
      <c r="J25793" s="309"/>
    </row>
    <row r="25794">
      <c r="B25794" s="309"/>
      <c r="C25794" s="309"/>
      <c r="I25794" s="309"/>
      <c r="J25794" s="309"/>
    </row>
    <row r="25795">
      <c r="B25795" s="309"/>
      <c r="C25795" s="309"/>
      <c r="I25795" s="309"/>
      <c r="J25795" s="309"/>
    </row>
    <row r="25796">
      <c r="B25796" s="309"/>
      <c r="C25796" s="309"/>
      <c r="I25796" s="309"/>
      <c r="J25796" s="309"/>
    </row>
    <row r="25797">
      <c r="B25797" s="309"/>
      <c r="C25797" s="309"/>
      <c r="I25797" s="309"/>
      <c r="J25797" s="309"/>
    </row>
    <row r="25798">
      <c r="B25798" s="309"/>
      <c r="C25798" s="309"/>
      <c r="I25798" s="309"/>
      <c r="J25798" s="309"/>
    </row>
    <row r="25799">
      <c r="B25799" s="309"/>
      <c r="C25799" s="309"/>
      <c r="I25799" s="309"/>
      <c r="J25799" s="309"/>
    </row>
    <row r="25800">
      <c r="B25800" s="309"/>
      <c r="C25800" s="309"/>
      <c r="I25800" s="309"/>
      <c r="J25800" s="309"/>
    </row>
    <row r="25801">
      <c r="B25801" s="309"/>
      <c r="C25801" s="309"/>
      <c r="I25801" s="309"/>
      <c r="J25801" s="309"/>
    </row>
    <row r="25802">
      <c r="B25802" s="309"/>
      <c r="C25802" s="309"/>
      <c r="I25802" s="309"/>
      <c r="J25802" s="309"/>
    </row>
    <row r="25803">
      <c r="B25803" s="309"/>
      <c r="C25803" s="309"/>
      <c r="I25803" s="309"/>
      <c r="J25803" s="309"/>
    </row>
    <row r="25804">
      <c r="B25804" s="309"/>
      <c r="C25804" s="309"/>
      <c r="I25804" s="309"/>
      <c r="J25804" s="309"/>
    </row>
    <row r="25805">
      <c r="B25805" s="309"/>
      <c r="C25805" s="309"/>
      <c r="I25805" s="309"/>
      <c r="J25805" s="309"/>
    </row>
    <row r="25806">
      <c r="B25806" s="309"/>
      <c r="C25806" s="309"/>
      <c r="I25806" s="309"/>
      <c r="J25806" s="309"/>
    </row>
    <row r="25807">
      <c r="B25807" s="309"/>
      <c r="C25807" s="309"/>
      <c r="I25807" s="309"/>
      <c r="J25807" s="309"/>
    </row>
    <row r="25808">
      <c r="B25808" s="309"/>
      <c r="C25808" s="309"/>
      <c r="I25808" s="309"/>
      <c r="J25808" s="309"/>
    </row>
    <row r="25809">
      <c r="B25809" s="309"/>
      <c r="C25809" s="309"/>
      <c r="I25809" s="309"/>
      <c r="J25809" s="309"/>
    </row>
    <row r="25810">
      <c r="B25810" s="309"/>
      <c r="C25810" s="309"/>
      <c r="I25810" s="309"/>
      <c r="J25810" s="309"/>
    </row>
    <row r="25811">
      <c r="B25811" s="309"/>
      <c r="C25811" s="309"/>
      <c r="I25811" s="309"/>
      <c r="J25811" s="309"/>
    </row>
    <row r="25812">
      <c r="B25812" s="309"/>
      <c r="C25812" s="309"/>
      <c r="I25812" s="309"/>
      <c r="J25812" s="309"/>
    </row>
    <row r="25813">
      <c r="B25813" s="309"/>
      <c r="C25813" s="309"/>
      <c r="I25813" s="309"/>
      <c r="J25813" s="309"/>
    </row>
    <row r="25814">
      <c r="B25814" s="309"/>
      <c r="C25814" s="309"/>
      <c r="I25814" s="309"/>
      <c r="J25814" s="309"/>
    </row>
    <row r="25815">
      <c r="B25815" s="309"/>
      <c r="C25815" s="309"/>
      <c r="I25815" s="309"/>
      <c r="J25815" s="309"/>
    </row>
    <row r="25816">
      <c r="B25816" s="309"/>
      <c r="C25816" s="309"/>
      <c r="I25816" s="309"/>
      <c r="J25816" s="309"/>
    </row>
    <row r="25817">
      <c r="B25817" s="309"/>
      <c r="C25817" s="309"/>
      <c r="I25817" s="309"/>
      <c r="J25817" s="309"/>
    </row>
    <row r="25818">
      <c r="B25818" s="309"/>
      <c r="C25818" s="309"/>
      <c r="I25818" s="309"/>
      <c r="J25818" s="309"/>
    </row>
    <row r="25819">
      <c r="B25819" s="309"/>
      <c r="C25819" s="309"/>
      <c r="I25819" s="309"/>
      <c r="J25819" s="309"/>
    </row>
    <row r="25820">
      <c r="B25820" s="309"/>
      <c r="C25820" s="309"/>
      <c r="I25820" s="309"/>
      <c r="J25820" s="309"/>
    </row>
    <row r="25821">
      <c r="B25821" s="309"/>
      <c r="C25821" s="309"/>
      <c r="I25821" s="309"/>
      <c r="J25821" s="309"/>
    </row>
    <row r="25822">
      <c r="B25822" s="309"/>
      <c r="C25822" s="309"/>
      <c r="I25822" s="309"/>
      <c r="J25822" s="309"/>
    </row>
    <row r="25823">
      <c r="B25823" s="309"/>
      <c r="C25823" s="309"/>
      <c r="I25823" s="309"/>
      <c r="J25823" s="309"/>
    </row>
    <row r="25824">
      <c r="B25824" s="309"/>
      <c r="C25824" s="309"/>
      <c r="I25824" s="309"/>
      <c r="J25824" s="309"/>
    </row>
    <row r="25825">
      <c r="B25825" s="309"/>
      <c r="C25825" s="309"/>
      <c r="I25825" s="309"/>
      <c r="J25825" s="309"/>
    </row>
    <row r="25826">
      <c r="B25826" s="309"/>
      <c r="C25826" s="309"/>
      <c r="I25826" s="309"/>
      <c r="J25826" s="309"/>
    </row>
    <row r="25827">
      <c r="B25827" s="309"/>
      <c r="C25827" s="309"/>
      <c r="I25827" s="309"/>
      <c r="J25827" s="309"/>
    </row>
    <row r="25828">
      <c r="B25828" s="309"/>
      <c r="C25828" s="309"/>
      <c r="I25828" s="309"/>
      <c r="J25828" s="309"/>
    </row>
    <row r="25829">
      <c r="B25829" s="309"/>
      <c r="C25829" s="309"/>
      <c r="I25829" s="309"/>
      <c r="J25829" s="309"/>
    </row>
    <row r="25830">
      <c r="B25830" s="309"/>
      <c r="C25830" s="309"/>
      <c r="I25830" s="309"/>
      <c r="J25830" s="309"/>
    </row>
    <row r="25831">
      <c r="B25831" s="309"/>
      <c r="C25831" s="309"/>
      <c r="I25831" s="309"/>
      <c r="J25831" s="309"/>
    </row>
    <row r="25832">
      <c r="B25832" s="309"/>
      <c r="C25832" s="309"/>
      <c r="I25832" s="309"/>
      <c r="J25832" s="309"/>
    </row>
    <row r="25833">
      <c r="B25833" s="309"/>
      <c r="C25833" s="309"/>
      <c r="I25833" s="309"/>
      <c r="J25833" s="309"/>
    </row>
    <row r="25834">
      <c r="B25834" s="309"/>
      <c r="C25834" s="309"/>
      <c r="I25834" s="309"/>
      <c r="J25834" s="309"/>
    </row>
    <row r="25835">
      <c r="B25835" s="309"/>
      <c r="C25835" s="309"/>
      <c r="I25835" s="309"/>
      <c r="J25835" s="309"/>
    </row>
    <row r="25836">
      <c r="B25836" s="309"/>
      <c r="C25836" s="309"/>
      <c r="I25836" s="309"/>
      <c r="J25836" s="309"/>
    </row>
    <row r="25837">
      <c r="B25837" s="309"/>
      <c r="C25837" s="309"/>
      <c r="I25837" s="309"/>
      <c r="J25837" s="309"/>
    </row>
    <row r="25838">
      <c r="B25838" s="309"/>
      <c r="C25838" s="309"/>
      <c r="I25838" s="309"/>
      <c r="J25838" s="309"/>
    </row>
    <row r="25839">
      <c r="B25839" s="309"/>
      <c r="C25839" s="309"/>
      <c r="I25839" s="309"/>
      <c r="J25839" s="309"/>
    </row>
    <row r="25840">
      <c r="B25840" s="309"/>
      <c r="C25840" s="309"/>
      <c r="I25840" s="309"/>
      <c r="J25840" s="309"/>
    </row>
    <row r="25841">
      <c r="B25841" s="309"/>
      <c r="C25841" s="309"/>
      <c r="I25841" s="309"/>
      <c r="J25841" s="309"/>
    </row>
    <row r="25842">
      <c r="B25842" s="309"/>
      <c r="C25842" s="309"/>
      <c r="I25842" s="309"/>
      <c r="J25842" s="309"/>
    </row>
    <row r="25843">
      <c r="B25843" s="309"/>
      <c r="C25843" s="309"/>
      <c r="I25843" s="309"/>
      <c r="J25843" s="309"/>
    </row>
    <row r="25844">
      <c r="B25844" s="309"/>
      <c r="C25844" s="309"/>
      <c r="I25844" s="309"/>
      <c r="J25844" s="309"/>
    </row>
    <row r="25845">
      <c r="B25845" s="309"/>
      <c r="C25845" s="309"/>
      <c r="I25845" s="309"/>
      <c r="J25845" s="309"/>
    </row>
    <row r="25846">
      <c r="B25846" s="309"/>
      <c r="C25846" s="309"/>
      <c r="I25846" s="309"/>
      <c r="J25846" s="309"/>
    </row>
    <row r="25847">
      <c r="B25847" s="309"/>
      <c r="C25847" s="309"/>
      <c r="I25847" s="309"/>
      <c r="J25847" s="309"/>
    </row>
    <row r="25848">
      <c r="B25848" s="309"/>
      <c r="C25848" s="309"/>
      <c r="I25848" s="309"/>
      <c r="J25848" s="309"/>
    </row>
    <row r="25849">
      <c r="B25849" s="309"/>
      <c r="C25849" s="309"/>
      <c r="I25849" s="309"/>
      <c r="J25849" s="309"/>
    </row>
    <row r="25850">
      <c r="B25850" s="309"/>
      <c r="C25850" s="309"/>
      <c r="I25850" s="309"/>
      <c r="J25850" s="309"/>
    </row>
    <row r="25851">
      <c r="B25851" s="309"/>
      <c r="C25851" s="309"/>
      <c r="I25851" s="309"/>
      <c r="J25851" s="309"/>
    </row>
    <row r="25852">
      <c r="B25852" s="309"/>
      <c r="C25852" s="309"/>
      <c r="I25852" s="309"/>
      <c r="J25852" s="309"/>
    </row>
    <row r="25853">
      <c r="B25853" s="309"/>
      <c r="C25853" s="309"/>
      <c r="I25853" s="309"/>
      <c r="J25853" s="309"/>
    </row>
    <row r="25854">
      <c r="B25854" s="309"/>
      <c r="C25854" s="309"/>
      <c r="I25854" s="309"/>
      <c r="J25854" s="309"/>
    </row>
    <row r="25855">
      <c r="B25855" s="309"/>
      <c r="C25855" s="309"/>
      <c r="I25855" s="309"/>
      <c r="J25855" s="309"/>
    </row>
    <row r="25856">
      <c r="B25856" s="309"/>
      <c r="C25856" s="309"/>
      <c r="I25856" s="309"/>
      <c r="J25856" s="309"/>
    </row>
    <row r="25857">
      <c r="B25857" s="309"/>
      <c r="C25857" s="309"/>
      <c r="I25857" s="309"/>
      <c r="J25857" s="309"/>
    </row>
    <row r="25858">
      <c r="B25858" s="309"/>
      <c r="C25858" s="309"/>
      <c r="I25858" s="309"/>
      <c r="J25858" s="309"/>
    </row>
    <row r="25859">
      <c r="B25859" s="309"/>
      <c r="C25859" s="309"/>
      <c r="I25859" s="309"/>
      <c r="J25859" s="309"/>
    </row>
    <row r="25860">
      <c r="B25860" s="309"/>
      <c r="C25860" s="309"/>
      <c r="I25860" s="309"/>
      <c r="J25860" s="309"/>
    </row>
    <row r="25861">
      <c r="B25861" s="309"/>
      <c r="C25861" s="309"/>
      <c r="I25861" s="309"/>
      <c r="J25861" s="309"/>
    </row>
    <row r="25862">
      <c r="B25862" s="309"/>
      <c r="C25862" s="309"/>
      <c r="I25862" s="309"/>
      <c r="J25862" s="309"/>
    </row>
    <row r="25863">
      <c r="B25863" s="309"/>
      <c r="C25863" s="309"/>
      <c r="I25863" s="309"/>
      <c r="J25863" s="309"/>
    </row>
    <row r="25864">
      <c r="B25864" s="309"/>
      <c r="C25864" s="309"/>
      <c r="I25864" s="309"/>
      <c r="J25864" s="309"/>
    </row>
    <row r="25865">
      <c r="B25865" s="309"/>
      <c r="C25865" s="309"/>
      <c r="I25865" s="309"/>
      <c r="J25865" s="309"/>
    </row>
    <row r="25866">
      <c r="B25866" s="309"/>
      <c r="C25866" s="309"/>
      <c r="I25866" s="309"/>
      <c r="J25866" s="309"/>
    </row>
    <row r="25867">
      <c r="B25867" s="309"/>
      <c r="C25867" s="309"/>
      <c r="I25867" s="309"/>
      <c r="J25867" s="309"/>
    </row>
    <row r="25868">
      <c r="B25868" s="309"/>
      <c r="C25868" s="309"/>
      <c r="I25868" s="309"/>
      <c r="J25868" s="309"/>
    </row>
    <row r="25869">
      <c r="B25869" s="309"/>
      <c r="C25869" s="309"/>
      <c r="I25869" s="309"/>
      <c r="J25869" s="309"/>
    </row>
    <row r="25870">
      <c r="B25870" s="309"/>
      <c r="C25870" s="309"/>
      <c r="I25870" s="309"/>
      <c r="J25870" s="309"/>
    </row>
    <row r="25871">
      <c r="B25871" s="309"/>
      <c r="C25871" s="309"/>
      <c r="I25871" s="309"/>
      <c r="J25871" s="309"/>
    </row>
    <row r="25872">
      <c r="B25872" s="309"/>
      <c r="C25872" s="309"/>
      <c r="I25872" s="309"/>
      <c r="J25872" s="309"/>
    </row>
    <row r="25873">
      <c r="B25873" s="309"/>
      <c r="C25873" s="309"/>
      <c r="I25873" s="309"/>
      <c r="J25873" s="309"/>
    </row>
    <row r="25874">
      <c r="B25874" s="309"/>
      <c r="C25874" s="309"/>
      <c r="I25874" s="309"/>
      <c r="J25874" s="309"/>
    </row>
    <row r="25875">
      <c r="B25875" s="309"/>
      <c r="C25875" s="309"/>
      <c r="I25875" s="309"/>
      <c r="J25875" s="309"/>
    </row>
    <row r="25876">
      <c r="B25876" s="309"/>
      <c r="C25876" s="309"/>
      <c r="I25876" s="309"/>
      <c r="J25876" s="309"/>
    </row>
    <row r="25877">
      <c r="B25877" s="309"/>
      <c r="C25877" s="309"/>
      <c r="I25877" s="309"/>
      <c r="J25877" s="309"/>
    </row>
    <row r="25878">
      <c r="B25878" s="309"/>
      <c r="C25878" s="309"/>
      <c r="I25878" s="309"/>
      <c r="J25878" s="309"/>
    </row>
    <row r="25879">
      <c r="B25879" s="309"/>
      <c r="C25879" s="309"/>
      <c r="I25879" s="309"/>
      <c r="J25879" s="309"/>
    </row>
    <row r="25880">
      <c r="B25880" s="309"/>
      <c r="C25880" s="309"/>
      <c r="I25880" s="309"/>
      <c r="J25880" s="309"/>
    </row>
    <row r="25881">
      <c r="B25881" s="309"/>
      <c r="C25881" s="309"/>
      <c r="I25881" s="309"/>
      <c r="J25881" s="309"/>
    </row>
    <row r="25882">
      <c r="B25882" s="309"/>
      <c r="C25882" s="309"/>
      <c r="I25882" s="309"/>
      <c r="J25882" s="309"/>
    </row>
    <row r="25883">
      <c r="B25883" s="309"/>
      <c r="C25883" s="309"/>
      <c r="I25883" s="309"/>
      <c r="J25883" s="309"/>
    </row>
    <row r="25884">
      <c r="B25884" s="309"/>
      <c r="C25884" s="309"/>
      <c r="I25884" s="309"/>
      <c r="J25884" s="309"/>
    </row>
    <row r="25885">
      <c r="B25885" s="309"/>
      <c r="C25885" s="309"/>
      <c r="I25885" s="309"/>
      <c r="J25885" s="309"/>
    </row>
    <row r="25886">
      <c r="B25886" s="309"/>
      <c r="C25886" s="309"/>
      <c r="I25886" s="309"/>
      <c r="J25886" s="309"/>
    </row>
    <row r="25887">
      <c r="B25887" s="309"/>
      <c r="C25887" s="309"/>
      <c r="I25887" s="309"/>
      <c r="J25887" s="309"/>
    </row>
    <row r="25888">
      <c r="B25888" s="309"/>
      <c r="C25888" s="309"/>
      <c r="I25888" s="309"/>
      <c r="J25888" s="309"/>
    </row>
    <row r="25889">
      <c r="B25889" s="309"/>
      <c r="C25889" s="309"/>
      <c r="I25889" s="309"/>
      <c r="J25889" s="309"/>
    </row>
    <row r="25890">
      <c r="B25890" s="309"/>
      <c r="C25890" s="309"/>
      <c r="I25890" s="309"/>
      <c r="J25890" s="309"/>
    </row>
    <row r="25891">
      <c r="B25891" s="309"/>
      <c r="C25891" s="309"/>
      <c r="I25891" s="309"/>
      <c r="J25891" s="309"/>
    </row>
    <row r="25892">
      <c r="B25892" s="309"/>
      <c r="C25892" s="309"/>
      <c r="I25892" s="309"/>
      <c r="J25892" s="309"/>
    </row>
    <row r="25893">
      <c r="B25893" s="309"/>
      <c r="C25893" s="309"/>
      <c r="I25893" s="309"/>
      <c r="J25893" s="309"/>
    </row>
    <row r="25894">
      <c r="B25894" s="309"/>
      <c r="C25894" s="309"/>
      <c r="I25894" s="309"/>
      <c r="J25894" s="309"/>
    </row>
    <row r="25895">
      <c r="B25895" s="309"/>
      <c r="C25895" s="309"/>
      <c r="I25895" s="309"/>
      <c r="J25895" s="309"/>
    </row>
    <row r="25896">
      <c r="B25896" s="309"/>
      <c r="C25896" s="309"/>
      <c r="I25896" s="309"/>
      <c r="J25896" s="309"/>
    </row>
    <row r="25897">
      <c r="B25897" s="309"/>
      <c r="C25897" s="309"/>
      <c r="I25897" s="309"/>
      <c r="J25897" s="309"/>
    </row>
    <row r="25898">
      <c r="B25898" s="309"/>
      <c r="C25898" s="309"/>
      <c r="I25898" s="309"/>
      <c r="J25898" s="309"/>
    </row>
    <row r="25899">
      <c r="B25899" s="309"/>
      <c r="C25899" s="309"/>
      <c r="I25899" s="309"/>
      <c r="J25899" s="309"/>
    </row>
    <row r="25900">
      <c r="B25900" s="309"/>
      <c r="C25900" s="309"/>
      <c r="I25900" s="309"/>
      <c r="J25900" s="309"/>
    </row>
    <row r="25901">
      <c r="B25901" s="309"/>
      <c r="C25901" s="309"/>
      <c r="I25901" s="309"/>
      <c r="J25901" s="309"/>
    </row>
    <row r="25902">
      <c r="B25902" s="309"/>
      <c r="C25902" s="309"/>
      <c r="I25902" s="309"/>
      <c r="J25902" s="309"/>
    </row>
    <row r="25903">
      <c r="B25903" s="309"/>
      <c r="C25903" s="309"/>
      <c r="I25903" s="309"/>
      <c r="J25903" s="309"/>
    </row>
    <row r="25904">
      <c r="B25904" s="309"/>
      <c r="C25904" s="309"/>
      <c r="I25904" s="309"/>
      <c r="J25904" s="309"/>
    </row>
    <row r="25905">
      <c r="B25905" s="309"/>
      <c r="C25905" s="309"/>
      <c r="I25905" s="309"/>
      <c r="J25905" s="309"/>
    </row>
    <row r="25906">
      <c r="B25906" s="309"/>
      <c r="C25906" s="309"/>
      <c r="I25906" s="309"/>
      <c r="J25906" s="309"/>
    </row>
    <row r="25907">
      <c r="B25907" s="309"/>
      <c r="C25907" s="309"/>
      <c r="I25907" s="309"/>
      <c r="J25907" s="309"/>
    </row>
    <row r="25908">
      <c r="B25908" s="309"/>
      <c r="C25908" s="309"/>
      <c r="I25908" s="309"/>
      <c r="J25908" s="309"/>
    </row>
    <row r="25909">
      <c r="B25909" s="309"/>
      <c r="C25909" s="309"/>
      <c r="I25909" s="309"/>
      <c r="J25909" s="309"/>
    </row>
    <row r="25910">
      <c r="B25910" s="309"/>
      <c r="C25910" s="309"/>
      <c r="I25910" s="309"/>
      <c r="J25910" s="309"/>
    </row>
    <row r="25911">
      <c r="B25911" s="309"/>
      <c r="C25911" s="309"/>
      <c r="I25911" s="309"/>
      <c r="J25911" s="309"/>
    </row>
    <row r="25912">
      <c r="B25912" s="309"/>
      <c r="C25912" s="309"/>
      <c r="I25912" s="309"/>
      <c r="J25912" s="309"/>
    </row>
    <row r="25913">
      <c r="B25913" s="309"/>
      <c r="C25913" s="309"/>
      <c r="I25913" s="309"/>
      <c r="J25913" s="309"/>
    </row>
    <row r="25914">
      <c r="B25914" s="309"/>
      <c r="C25914" s="309"/>
      <c r="I25914" s="309"/>
      <c r="J25914" s="309"/>
    </row>
    <row r="25915">
      <c r="B25915" s="309"/>
      <c r="C25915" s="309"/>
      <c r="I25915" s="309"/>
      <c r="J25915" s="309"/>
    </row>
    <row r="25916">
      <c r="B25916" s="309"/>
      <c r="C25916" s="309"/>
      <c r="I25916" s="309"/>
      <c r="J25916" s="309"/>
    </row>
    <row r="25917">
      <c r="B25917" s="309"/>
      <c r="C25917" s="309"/>
      <c r="I25917" s="309"/>
      <c r="J25917" s="309"/>
    </row>
    <row r="25918">
      <c r="B25918" s="309"/>
      <c r="C25918" s="309"/>
      <c r="I25918" s="309"/>
      <c r="J25918" s="309"/>
    </row>
    <row r="25919">
      <c r="B25919" s="309"/>
      <c r="C25919" s="309"/>
      <c r="I25919" s="309"/>
      <c r="J25919" s="309"/>
    </row>
    <row r="25920">
      <c r="B25920" s="309"/>
      <c r="C25920" s="309"/>
      <c r="I25920" s="309"/>
      <c r="J25920" s="309"/>
    </row>
    <row r="25921">
      <c r="B25921" s="309"/>
      <c r="C25921" s="309"/>
      <c r="I25921" s="309"/>
      <c r="J25921" s="309"/>
    </row>
    <row r="25922">
      <c r="B25922" s="309"/>
      <c r="C25922" s="309"/>
      <c r="I25922" s="309"/>
      <c r="J25922" s="309"/>
    </row>
    <row r="25923">
      <c r="B25923" s="309"/>
      <c r="C25923" s="309"/>
      <c r="I25923" s="309"/>
      <c r="J25923" s="309"/>
    </row>
    <row r="25924">
      <c r="B25924" s="309"/>
      <c r="C25924" s="309"/>
      <c r="I25924" s="309"/>
      <c r="J25924" s="309"/>
    </row>
    <row r="25925">
      <c r="B25925" s="309"/>
      <c r="C25925" s="309"/>
      <c r="I25925" s="309"/>
      <c r="J25925" s="309"/>
    </row>
    <row r="25926">
      <c r="B25926" s="309"/>
      <c r="C25926" s="309"/>
      <c r="I25926" s="309"/>
      <c r="J25926" s="309"/>
    </row>
    <row r="25927">
      <c r="B25927" s="309"/>
      <c r="C25927" s="309"/>
      <c r="I25927" s="309"/>
      <c r="J25927" s="309"/>
    </row>
    <row r="25928">
      <c r="B25928" s="309"/>
      <c r="C25928" s="309"/>
      <c r="I25928" s="309"/>
      <c r="J25928" s="309"/>
    </row>
    <row r="25929">
      <c r="B25929" s="309"/>
      <c r="C25929" s="309"/>
      <c r="I25929" s="309"/>
      <c r="J25929" s="309"/>
    </row>
    <row r="25930">
      <c r="B25930" s="309"/>
      <c r="C25930" s="309"/>
      <c r="I25930" s="309"/>
      <c r="J25930" s="309"/>
    </row>
    <row r="25931">
      <c r="B25931" s="309"/>
      <c r="C25931" s="309"/>
      <c r="I25931" s="309"/>
      <c r="J25931" s="309"/>
    </row>
    <row r="25932">
      <c r="B25932" s="309"/>
      <c r="C25932" s="309"/>
      <c r="I25932" s="309"/>
      <c r="J25932" s="309"/>
    </row>
    <row r="25933">
      <c r="B25933" s="309"/>
      <c r="C25933" s="309"/>
      <c r="I25933" s="309"/>
      <c r="J25933" s="309"/>
    </row>
    <row r="25934">
      <c r="B25934" s="309"/>
      <c r="C25934" s="309"/>
      <c r="I25934" s="309"/>
      <c r="J25934" s="309"/>
    </row>
    <row r="25935">
      <c r="B25935" s="309"/>
      <c r="C25935" s="309"/>
      <c r="I25935" s="309"/>
      <c r="J25935" s="309"/>
    </row>
    <row r="25936">
      <c r="B25936" s="309"/>
      <c r="C25936" s="309"/>
      <c r="I25936" s="309"/>
      <c r="J25936" s="309"/>
    </row>
    <row r="25937">
      <c r="B25937" s="309"/>
      <c r="C25937" s="309"/>
      <c r="I25937" s="309"/>
      <c r="J25937" s="309"/>
    </row>
    <row r="25938">
      <c r="B25938" s="309"/>
      <c r="C25938" s="309"/>
      <c r="I25938" s="309"/>
      <c r="J25938" s="309"/>
    </row>
    <row r="25939">
      <c r="B25939" s="309"/>
      <c r="C25939" s="309"/>
      <c r="I25939" s="309"/>
      <c r="J25939" s="309"/>
    </row>
    <row r="25940">
      <c r="B25940" s="309"/>
      <c r="C25940" s="309"/>
      <c r="I25940" s="309"/>
      <c r="J25940" s="309"/>
    </row>
    <row r="25941">
      <c r="B25941" s="309"/>
      <c r="C25941" s="309"/>
      <c r="I25941" s="309"/>
      <c r="J25941" s="309"/>
    </row>
    <row r="25942">
      <c r="B25942" s="309"/>
      <c r="C25942" s="309"/>
      <c r="I25942" s="309"/>
      <c r="J25942" s="309"/>
    </row>
    <row r="25943">
      <c r="B25943" s="309"/>
      <c r="C25943" s="309"/>
      <c r="I25943" s="309"/>
      <c r="J25943" s="309"/>
    </row>
    <row r="25944">
      <c r="B25944" s="309"/>
      <c r="C25944" s="309"/>
      <c r="I25944" s="309"/>
      <c r="J25944" s="309"/>
    </row>
    <row r="25945">
      <c r="B25945" s="309"/>
      <c r="C25945" s="309"/>
      <c r="I25945" s="309"/>
      <c r="J25945" s="309"/>
    </row>
    <row r="25946">
      <c r="B25946" s="309"/>
      <c r="C25946" s="309"/>
      <c r="I25946" s="309"/>
      <c r="J25946" s="309"/>
    </row>
    <row r="25947">
      <c r="B25947" s="309"/>
      <c r="C25947" s="309"/>
      <c r="I25947" s="309"/>
      <c r="J25947" s="309"/>
    </row>
    <row r="25948">
      <c r="B25948" s="309"/>
      <c r="C25948" s="309"/>
      <c r="I25948" s="309"/>
      <c r="J25948" s="309"/>
    </row>
    <row r="25949">
      <c r="B25949" s="309"/>
      <c r="C25949" s="309"/>
      <c r="I25949" s="309"/>
      <c r="J25949" s="309"/>
    </row>
    <row r="25950">
      <c r="B25950" s="309"/>
      <c r="C25950" s="309"/>
      <c r="I25950" s="309"/>
      <c r="J25950" s="309"/>
    </row>
    <row r="25951">
      <c r="B25951" s="309"/>
      <c r="C25951" s="309"/>
      <c r="I25951" s="309"/>
      <c r="J25951" s="309"/>
    </row>
    <row r="25952">
      <c r="B25952" s="309"/>
      <c r="C25952" s="309"/>
      <c r="I25952" s="309"/>
      <c r="J25952" s="309"/>
    </row>
    <row r="25953">
      <c r="B25953" s="309"/>
      <c r="C25953" s="309"/>
      <c r="I25953" s="309"/>
      <c r="J25953" s="309"/>
    </row>
    <row r="25954">
      <c r="B25954" s="309"/>
      <c r="C25954" s="309"/>
      <c r="I25954" s="309"/>
      <c r="J25954" s="309"/>
    </row>
    <row r="25955">
      <c r="B25955" s="309"/>
      <c r="C25955" s="309"/>
      <c r="I25955" s="309"/>
      <c r="J25955" s="309"/>
    </row>
    <row r="25956">
      <c r="B25956" s="309"/>
      <c r="C25956" s="309"/>
      <c r="I25956" s="309"/>
      <c r="J25956" s="309"/>
    </row>
    <row r="25957">
      <c r="B25957" s="309"/>
      <c r="C25957" s="309"/>
      <c r="I25957" s="309"/>
      <c r="J25957" s="309"/>
    </row>
    <row r="25958">
      <c r="B25958" s="309"/>
      <c r="C25958" s="309"/>
      <c r="I25958" s="309"/>
      <c r="J25958" s="309"/>
    </row>
    <row r="25959">
      <c r="B25959" s="309"/>
      <c r="C25959" s="309"/>
      <c r="I25959" s="309"/>
      <c r="J25959" s="309"/>
    </row>
    <row r="25960">
      <c r="B25960" s="309"/>
      <c r="C25960" s="309"/>
      <c r="I25960" s="309"/>
      <c r="J25960" s="309"/>
    </row>
    <row r="25961">
      <c r="B25961" s="309"/>
      <c r="C25961" s="309"/>
      <c r="I25961" s="309"/>
      <c r="J25961" s="309"/>
    </row>
    <row r="25962">
      <c r="B25962" s="309"/>
      <c r="C25962" s="309"/>
      <c r="I25962" s="309"/>
      <c r="J25962" s="309"/>
    </row>
    <row r="25963">
      <c r="B25963" s="309"/>
      <c r="C25963" s="309"/>
      <c r="I25963" s="309"/>
      <c r="J25963" s="309"/>
    </row>
    <row r="25964">
      <c r="B25964" s="309"/>
      <c r="C25964" s="309"/>
      <c r="I25964" s="309"/>
      <c r="J25964" s="309"/>
    </row>
    <row r="25965">
      <c r="B25965" s="309"/>
      <c r="C25965" s="309"/>
      <c r="I25965" s="309"/>
      <c r="J25965" s="309"/>
    </row>
    <row r="25966">
      <c r="B25966" s="309"/>
      <c r="C25966" s="309"/>
      <c r="I25966" s="309"/>
      <c r="J25966" s="309"/>
    </row>
    <row r="25967">
      <c r="B25967" s="309"/>
      <c r="C25967" s="309"/>
      <c r="I25967" s="309"/>
      <c r="J25967" s="309"/>
    </row>
    <row r="25968">
      <c r="B25968" s="309"/>
      <c r="C25968" s="309"/>
      <c r="I25968" s="309"/>
      <c r="J25968" s="309"/>
    </row>
    <row r="25969">
      <c r="B25969" s="309"/>
      <c r="C25969" s="309"/>
      <c r="I25969" s="309"/>
      <c r="J25969" s="309"/>
    </row>
    <row r="25970">
      <c r="B25970" s="309"/>
      <c r="C25970" s="309"/>
      <c r="I25970" s="309"/>
      <c r="J25970" s="309"/>
    </row>
    <row r="25971">
      <c r="B25971" s="309"/>
      <c r="C25971" s="309"/>
      <c r="I25971" s="309"/>
      <c r="J25971" s="309"/>
    </row>
    <row r="25972">
      <c r="B25972" s="309"/>
      <c r="C25972" s="309"/>
      <c r="I25972" s="309"/>
      <c r="J25972" s="309"/>
    </row>
    <row r="25973">
      <c r="B25973" s="309"/>
      <c r="C25973" s="309"/>
      <c r="I25973" s="309"/>
      <c r="J25973" s="309"/>
    </row>
    <row r="25974">
      <c r="B25974" s="309"/>
      <c r="C25974" s="309"/>
      <c r="I25974" s="309"/>
      <c r="J25974" s="309"/>
    </row>
    <row r="25975">
      <c r="B25975" s="309"/>
      <c r="C25975" s="309"/>
      <c r="I25975" s="309"/>
      <c r="J25975" s="309"/>
    </row>
    <row r="25976">
      <c r="B25976" s="309"/>
      <c r="C25976" s="309"/>
      <c r="I25976" s="309"/>
      <c r="J25976" s="309"/>
    </row>
    <row r="25977">
      <c r="B25977" s="309"/>
      <c r="C25977" s="309"/>
      <c r="I25977" s="309"/>
      <c r="J25977" s="309"/>
    </row>
    <row r="25978">
      <c r="B25978" s="309"/>
      <c r="C25978" s="309"/>
      <c r="I25978" s="309"/>
      <c r="J25978" s="309"/>
    </row>
    <row r="25979">
      <c r="B25979" s="309"/>
      <c r="C25979" s="309"/>
      <c r="I25979" s="309"/>
      <c r="J25979" s="309"/>
    </row>
    <row r="25980">
      <c r="B25980" s="309"/>
      <c r="C25980" s="309"/>
      <c r="I25980" s="309"/>
      <c r="J25980" s="309"/>
    </row>
    <row r="25981">
      <c r="B25981" s="309"/>
      <c r="C25981" s="309"/>
      <c r="I25981" s="309"/>
      <c r="J25981" s="309"/>
    </row>
    <row r="25982">
      <c r="B25982" s="309"/>
      <c r="C25982" s="309"/>
      <c r="I25982" s="309"/>
      <c r="J25982" s="309"/>
    </row>
    <row r="25983">
      <c r="B25983" s="309"/>
      <c r="C25983" s="309"/>
      <c r="I25983" s="309"/>
      <c r="J25983" s="309"/>
    </row>
    <row r="25984">
      <c r="B25984" s="309"/>
      <c r="C25984" s="309"/>
      <c r="I25984" s="309"/>
      <c r="J25984" s="309"/>
    </row>
    <row r="25985">
      <c r="B25985" s="309"/>
      <c r="C25985" s="309"/>
      <c r="I25985" s="309"/>
      <c r="J25985" s="309"/>
    </row>
    <row r="25986">
      <c r="B25986" s="309"/>
      <c r="C25986" s="309"/>
      <c r="I25986" s="309"/>
      <c r="J25986" s="309"/>
    </row>
    <row r="25987">
      <c r="B25987" s="309"/>
      <c r="C25987" s="309"/>
      <c r="I25987" s="309"/>
      <c r="J25987" s="309"/>
    </row>
    <row r="25988">
      <c r="B25988" s="309"/>
      <c r="C25988" s="309"/>
      <c r="I25988" s="309"/>
      <c r="J25988" s="309"/>
    </row>
    <row r="25989">
      <c r="B25989" s="309"/>
      <c r="C25989" s="309"/>
      <c r="I25989" s="309"/>
      <c r="J25989" s="309"/>
    </row>
    <row r="25990">
      <c r="B25990" s="309"/>
      <c r="C25990" s="309"/>
      <c r="I25990" s="309"/>
      <c r="J25990" s="309"/>
    </row>
    <row r="25991">
      <c r="B25991" s="309"/>
      <c r="C25991" s="309"/>
      <c r="I25991" s="309"/>
      <c r="J25991" s="309"/>
    </row>
    <row r="25992">
      <c r="B25992" s="309"/>
      <c r="C25992" s="309"/>
      <c r="I25992" s="309"/>
      <c r="J25992" s="309"/>
    </row>
    <row r="25993">
      <c r="B25993" s="309"/>
      <c r="C25993" s="309"/>
      <c r="I25993" s="309"/>
      <c r="J25993" s="309"/>
    </row>
    <row r="25994">
      <c r="B25994" s="309"/>
      <c r="C25994" s="309"/>
      <c r="I25994" s="309"/>
      <c r="J25994" s="309"/>
    </row>
    <row r="25995">
      <c r="B25995" s="309"/>
      <c r="C25995" s="309"/>
      <c r="I25995" s="309"/>
      <c r="J25995" s="309"/>
    </row>
    <row r="25996">
      <c r="B25996" s="309"/>
      <c r="C25996" s="309"/>
      <c r="I25996" s="309"/>
      <c r="J25996" s="309"/>
    </row>
    <row r="25997">
      <c r="B25997" s="309"/>
      <c r="C25997" s="309"/>
      <c r="I25997" s="309"/>
      <c r="J25997" s="309"/>
    </row>
    <row r="25998">
      <c r="B25998" s="309"/>
      <c r="C25998" s="309"/>
      <c r="I25998" s="309"/>
      <c r="J25998" s="309"/>
    </row>
    <row r="25999">
      <c r="B25999" s="309"/>
      <c r="C25999" s="309"/>
      <c r="I25999" s="309"/>
      <c r="J25999" s="309"/>
    </row>
    <row r="26000">
      <c r="B26000" s="309"/>
      <c r="C26000" s="309"/>
      <c r="I26000" s="309"/>
      <c r="J26000" s="309"/>
    </row>
    <row r="26001">
      <c r="B26001" s="309"/>
      <c r="C26001" s="309"/>
      <c r="I26001" s="309"/>
      <c r="J26001" s="309"/>
    </row>
    <row r="26002">
      <c r="B26002" s="309"/>
      <c r="C26002" s="309"/>
      <c r="I26002" s="309"/>
      <c r="J26002" s="309"/>
    </row>
    <row r="26003">
      <c r="B26003" s="309"/>
      <c r="C26003" s="309"/>
      <c r="I26003" s="309"/>
      <c r="J26003" s="309"/>
    </row>
    <row r="26004">
      <c r="B26004" s="309"/>
      <c r="C26004" s="309"/>
      <c r="I26004" s="309"/>
      <c r="J26004" s="309"/>
    </row>
    <row r="26005">
      <c r="B26005" s="309"/>
      <c r="C26005" s="309"/>
      <c r="I26005" s="309"/>
      <c r="J26005" s="309"/>
    </row>
    <row r="26006">
      <c r="B26006" s="309"/>
      <c r="C26006" s="309"/>
      <c r="I26006" s="309"/>
      <c r="J26006" s="309"/>
    </row>
    <row r="26007">
      <c r="B26007" s="309"/>
      <c r="C26007" s="309"/>
      <c r="I26007" s="309"/>
      <c r="J26007" s="309"/>
    </row>
    <row r="26008">
      <c r="B26008" s="309"/>
      <c r="C26008" s="309"/>
      <c r="I26008" s="309"/>
      <c r="J26008" s="309"/>
    </row>
    <row r="26009">
      <c r="B26009" s="309"/>
      <c r="C26009" s="309"/>
      <c r="I26009" s="309"/>
      <c r="J26009" s="309"/>
    </row>
    <row r="26010">
      <c r="B26010" s="309"/>
      <c r="C26010" s="309"/>
      <c r="I26010" s="309"/>
      <c r="J26010" s="309"/>
    </row>
    <row r="26011">
      <c r="B26011" s="309"/>
      <c r="C26011" s="309"/>
      <c r="I26011" s="309"/>
      <c r="J26011" s="309"/>
    </row>
    <row r="26012">
      <c r="B26012" s="309"/>
      <c r="C26012" s="309"/>
      <c r="I26012" s="309"/>
      <c r="J26012" s="309"/>
    </row>
    <row r="26013">
      <c r="B26013" s="309"/>
      <c r="C26013" s="309"/>
      <c r="I26013" s="309"/>
      <c r="J26013" s="309"/>
    </row>
    <row r="26014">
      <c r="B26014" s="309"/>
      <c r="C26014" s="309"/>
      <c r="I26014" s="309"/>
      <c r="J26014" s="309"/>
    </row>
    <row r="26015">
      <c r="B26015" s="309"/>
      <c r="C26015" s="309"/>
      <c r="I26015" s="309"/>
      <c r="J26015" s="309"/>
    </row>
    <row r="26016">
      <c r="B26016" s="309"/>
      <c r="C26016" s="309"/>
      <c r="I26016" s="309"/>
      <c r="J26016" s="309"/>
    </row>
    <row r="26017">
      <c r="B26017" s="309"/>
      <c r="C26017" s="309"/>
      <c r="I26017" s="309"/>
      <c r="J26017" s="309"/>
    </row>
    <row r="26018">
      <c r="B26018" s="309"/>
      <c r="C26018" s="309"/>
      <c r="I26018" s="309"/>
      <c r="J26018" s="309"/>
    </row>
    <row r="26019">
      <c r="B26019" s="309"/>
      <c r="C26019" s="309"/>
      <c r="I26019" s="309"/>
      <c r="J26019" s="309"/>
    </row>
    <row r="26020">
      <c r="B26020" s="309"/>
      <c r="C26020" s="309"/>
      <c r="I26020" s="309"/>
      <c r="J26020" s="309"/>
    </row>
    <row r="26021">
      <c r="B26021" s="309"/>
      <c r="C26021" s="309"/>
      <c r="I26021" s="309"/>
      <c r="J26021" s="309"/>
    </row>
    <row r="26022">
      <c r="B26022" s="309"/>
      <c r="C26022" s="309"/>
      <c r="I26022" s="309"/>
      <c r="J26022" s="309"/>
    </row>
    <row r="26023">
      <c r="B26023" s="309"/>
      <c r="C26023" s="309"/>
      <c r="I26023" s="309"/>
      <c r="J26023" s="309"/>
    </row>
    <row r="26024">
      <c r="B26024" s="309"/>
      <c r="C26024" s="309"/>
      <c r="I26024" s="309"/>
      <c r="J26024" s="309"/>
    </row>
    <row r="26025">
      <c r="B26025" s="309"/>
      <c r="C26025" s="309"/>
      <c r="I26025" s="309"/>
      <c r="J26025" s="309"/>
    </row>
    <row r="26026">
      <c r="B26026" s="309"/>
      <c r="C26026" s="309"/>
      <c r="I26026" s="309"/>
      <c r="J26026" s="309"/>
    </row>
    <row r="26027">
      <c r="B26027" s="309"/>
      <c r="C26027" s="309"/>
      <c r="I26027" s="309"/>
      <c r="J26027" s="309"/>
    </row>
    <row r="26028">
      <c r="B26028" s="309"/>
      <c r="C26028" s="309"/>
      <c r="I26028" s="309"/>
      <c r="J26028" s="309"/>
    </row>
    <row r="26029">
      <c r="B26029" s="309"/>
      <c r="C26029" s="309"/>
      <c r="I26029" s="309"/>
      <c r="J26029" s="309"/>
    </row>
    <row r="26030">
      <c r="B26030" s="309"/>
      <c r="C26030" s="309"/>
      <c r="I26030" s="309"/>
      <c r="J26030" s="309"/>
    </row>
    <row r="26031">
      <c r="B26031" s="309"/>
      <c r="C26031" s="309"/>
      <c r="I26031" s="309"/>
      <c r="J26031" s="309"/>
    </row>
    <row r="26032">
      <c r="B26032" s="309"/>
      <c r="C26032" s="309"/>
      <c r="I26032" s="309"/>
      <c r="J26032" s="309"/>
    </row>
    <row r="26033">
      <c r="B26033" s="309"/>
      <c r="C26033" s="309"/>
      <c r="I26033" s="309"/>
      <c r="J26033" s="309"/>
    </row>
    <row r="26034">
      <c r="B26034" s="309"/>
      <c r="C26034" s="309"/>
      <c r="I26034" s="309"/>
      <c r="J26034" s="309"/>
    </row>
    <row r="26035">
      <c r="B26035" s="309"/>
      <c r="C26035" s="309"/>
      <c r="I26035" s="309"/>
      <c r="J26035" s="309"/>
    </row>
    <row r="26036">
      <c r="B26036" s="309"/>
      <c r="C26036" s="309"/>
      <c r="I26036" s="309"/>
      <c r="J26036" s="309"/>
    </row>
    <row r="26037">
      <c r="B26037" s="309"/>
      <c r="C26037" s="309"/>
      <c r="I26037" s="309"/>
      <c r="J26037" s="309"/>
    </row>
    <row r="26038">
      <c r="B26038" s="309"/>
      <c r="C26038" s="309"/>
      <c r="I26038" s="309"/>
      <c r="J26038" s="309"/>
    </row>
    <row r="26039">
      <c r="B26039" s="309"/>
      <c r="C26039" s="309"/>
      <c r="I26039" s="309"/>
      <c r="J26039" s="309"/>
    </row>
    <row r="26040">
      <c r="B26040" s="309"/>
      <c r="C26040" s="309"/>
      <c r="I26040" s="309"/>
      <c r="J26040" s="309"/>
    </row>
    <row r="26041">
      <c r="B26041" s="309"/>
      <c r="C26041" s="309"/>
      <c r="I26041" s="309"/>
      <c r="J26041" s="309"/>
    </row>
    <row r="26042">
      <c r="B26042" s="309"/>
      <c r="C26042" s="309"/>
      <c r="I26042" s="309"/>
      <c r="J26042" s="309"/>
    </row>
    <row r="26043">
      <c r="B26043" s="309"/>
      <c r="C26043" s="309"/>
      <c r="I26043" s="309"/>
      <c r="J26043" s="309"/>
    </row>
    <row r="26044">
      <c r="B26044" s="309"/>
      <c r="C26044" s="309"/>
      <c r="I26044" s="309"/>
      <c r="J26044" s="309"/>
    </row>
    <row r="26045">
      <c r="B26045" s="309"/>
      <c r="C26045" s="309"/>
      <c r="I26045" s="309"/>
      <c r="J26045" s="309"/>
    </row>
    <row r="26046">
      <c r="B26046" s="309"/>
      <c r="C26046" s="309"/>
      <c r="I26046" s="309"/>
      <c r="J26046" s="309"/>
    </row>
    <row r="26047">
      <c r="B26047" s="309"/>
      <c r="C26047" s="309"/>
      <c r="I26047" s="309"/>
      <c r="J26047" s="309"/>
    </row>
    <row r="26048">
      <c r="B26048" s="309"/>
      <c r="C26048" s="309"/>
      <c r="I26048" s="309"/>
      <c r="J26048" s="309"/>
    </row>
    <row r="26049">
      <c r="B26049" s="309"/>
      <c r="C26049" s="309"/>
      <c r="I26049" s="309"/>
      <c r="J26049" s="309"/>
    </row>
    <row r="26050">
      <c r="B26050" s="309"/>
      <c r="C26050" s="309"/>
      <c r="I26050" s="309"/>
      <c r="J26050" s="309"/>
    </row>
    <row r="26051">
      <c r="B26051" s="309"/>
      <c r="C26051" s="309"/>
      <c r="I26051" s="309"/>
      <c r="J26051" s="309"/>
    </row>
    <row r="26052">
      <c r="B26052" s="309"/>
      <c r="C26052" s="309"/>
      <c r="I26052" s="309"/>
      <c r="J26052" s="309"/>
    </row>
    <row r="26053">
      <c r="B26053" s="309"/>
      <c r="C26053" s="309"/>
      <c r="I26053" s="309"/>
      <c r="J26053" s="309"/>
    </row>
    <row r="26054">
      <c r="B26054" s="309"/>
      <c r="C26054" s="309"/>
      <c r="I26054" s="309"/>
      <c r="J26054" s="309"/>
    </row>
    <row r="26055">
      <c r="B26055" s="309"/>
      <c r="C26055" s="309"/>
      <c r="I26055" s="309"/>
      <c r="J26055" s="309"/>
    </row>
    <row r="26056">
      <c r="B26056" s="309"/>
      <c r="C26056" s="309"/>
      <c r="I26056" s="309"/>
      <c r="J26056" s="309"/>
    </row>
    <row r="26057">
      <c r="B26057" s="309"/>
      <c r="C26057" s="309"/>
      <c r="I26057" s="309"/>
      <c r="J26057" s="309"/>
    </row>
    <row r="26058">
      <c r="B26058" s="309"/>
      <c r="C26058" s="309"/>
      <c r="I26058" s="309"/>
      <c r="J26058" s="309"/>
    </row>
    <row r="26059">
      <c r="B26059" s="309"/>
      <c r="C26059" s="309"/>
      <c r="I26059" s="309"/>
      <c r="J26059" s="309"/>
    </row>
    <row r="26060">
      <c r="B26060" s="309"/>
      <c r="C26060" s="309"/>
      <c r="I26060" s="309"/>
      <c r="J26060" s="309"/>
    </row>
    <row r="26061">
      <c r="B26061" s="309"/>
      <c r="C26061" s="309"/>
      <c r="I26061" s="309"/>
      <c r="J26061" s="309"/>
    </row>
    <row r="26062">
      <c r="B26062" s="309"/>
      <c r="C26062" s="309"/>
      <c r="I26062" s="309"/>
      <c r="J26062" s="309"/>
    </row>
    <row r="26063">
      <c r="B26063" s="309"/>
      <c r="C26063" s="309"/>
      <c r="I26063" s="309"/>
      <c r="J26063" s="309"/>
    </row>
    <row r="26064">
      <c r="B26064" s="309"/>
      <c r="C26064" s="309"/>
      <c r="I26064" s="309"/>
      <c r="J26064" s="309"/>
    </row>
    <row r="26065">
      <c r="B26065" s="309"/>
      <c r="C26065" s="309"/>
      <c r="I26065" s="309"/>
      <c r="J26065" s="309"/>
    </row>
    <row r="26066">
      <c r="B26066" s="309"/>
      <c r="C26066" s="309"/>
      <c r="I26066" s="309"/>
      <c r="J26066" s="309"/>
    </row>
    <row r="26067">
      <c r="B26067" s="309"/>
      <c r="C26067" s="309"/>
      <c r="I26067" s="309"/>
      <c r="J26067" s="309"/>
    </row>
    <row r="26068">
      <c r="B26068" s="309"/>
      <c r="C26068" s="309"/>
      <c r="I26068" s="309"/>
      <c r="J26068" s="309"/>
    </row>
    <row r="26069">
      <c r="B26069" s="309"/>
      <c r="C26069" s="309"/>
      <c r="I26069" s="309"/>
      <c r="J26069" s="309"/>
    </row>
    <row r="26070">
      <c r="B26070" s="309"/>
      <c r="C26070" s="309"/>
      <c r="I26070" s="309"/>
      <c r="J26070" s="309"/>
    </row>
    <row r="26071">
      <c r="B26071" s="309"/>
      <c r="C26071" s="309"/>
      <c r="I26071" s="309"/>
      <c r="J26071" s="309"/>
    </row>
    <row r="26072">
      <c r="B26072" s="309"/>
      <c r="C26072" s="309"/>
      <c r="I26072" s="309"/>
      <c r="J26072" s="309"/>
    </row>
    <row r="26073">
      <c r="B26073" s="309"/>
      <c r="C26073" s="309"/>
      <c r="I26073" s="309"/>
      <c r="J26073" s="309"/>
    </row>
    <row r="26074">
      <c r="B26074" s="309"/>
      <c r="C26074" s="309"/>
      <c r="I26074" s="309"/>
      <c r="J26074" s="309"/>
    </row>
    <row r="26075">
      <c r="B26075" s="309"/>
      <c r="C26075" s="309"/>
      <c r="I26075" s="309"/>
      <c r="J26075" s="309"/>
    </row>
    <row r="26076">
      <c r="B26076" s="309"/>
      <c r="C26076" s="309"/>
      <c r="I26076" s="309"/>
      <c r="J26076" s="309"/>
    </row>
    <row r="26077">
      <c r="B26077" s="309"/>
      <c r="C26077" s="309"/>
      <c r="I26077" s="309"/>
      <c r="J26077" s="309"/>
    </row>
    <row r="26078">
      <c r="B26078" s="309"/>
      <c r="C26078" s="309"/>
      <c r="I26078" s="309"/>
      <c r="J26078" s="309"/>
    </row>
    <row r="26079">
      <c r="B26079" s="309"/>
      <c r="C26079" s="309"/>
      <c r="I26079" s="309"/>
      <c r="J26079" s="309"/>
    </row>
    <row r="26080">
      <c r="B26080" s="309"/>
      <c r="C26080" s="309"/>
      <c r="I26080" s="309"/>
      <c r="J26080" s="309"/>
    </row>
    <row r="26081">
      <c r="B26081" s="309"/>
      <c r="C26081" s="309"/>
      <c r="I26081" s="309"/>
      <c r="J26081" s="309"/>
    </row>
    <row r="26082">
      <c r="B26082" s="309"/>
      <c r="C26082" s="309"/>
      <c r="I26082" s="309"/>
      <c r="J26082" s="309"/>
    </row>
    <row r="26083">
      <c r="B26083" s="309"/>
      <c r="C26083" s="309"/>
      <c r="I26083" s="309"/>
      <c r="J26083" s="309"/>
    </row>
    <row r="26084">
      <c r="B26084" s="309"/>
      <c r="C26084" s="309"/>
      <c r="I26084" s="309"/>
      <c r="J26084" s="309"/>
    </row>
    <row r="26085">
      <c r="B26085" s="309"/>
      <c r="C26085" s="309"/>
      <c r="I26085" s="309"/>
      <c r="J26085" s="309"/>
    </row>
    <row r="26086">
      <c r="B26086" s="309"/>
      <c r="C26086" s="309"/>
      <c r="I26086" s="309"/>
      <c r="J26086" s="309"/>
    </row>
    <row r="26087">
      <c r="B26087" s="309"/>
      <c r="C26087" s="309"/>
      <c r="I26087" s="309"/>
      <c r="J26087" s="309"/>
    </row>
    <row r="26088">
      <c r="B26088" s="309"/>
      <c r="C26088" s="309"/>
      <c r="I26088" s="309"/>
      <c r="J26088" s="309"/>
    </row>
    <row r="26089">
      <c r="B26089" s="309"/>
      <c r="C26089" s="309"/>
      <c r="I26089" s="309"/>
      <c r="J26089" s="309"/>
    </row>
    <row r="26090">
      <c r="B26090" s="309"/>
      <c r="C26090" s="309"/>
      <c r="I26090" s="309"/>
      <c r="J26090" s="309"/>
    </row>
    <row r="26091">
      <c r="B26091" s="309"/>
      <c r="C26091" s="309"/>
      <c r="I26091" s="309"/>
      <c r="J26091" s="309"/>
    </row>
    <row r="26092">
      <c r="B26092" s="309"/>
      <c r="C26092" s="309"/>
      <c r="I26092" s="309"/>
      <c r="J26092" s="309"/>
    </row>
    <row r="26093">
      <c r="B26093" s="309"/>
      <c r="C26093" s="309"/>
      <c r="I26093" s="309"/>
      <c r="J26093" s="309"/>
    </row>
    <row r="26094">
      <c r="B26094" s="309"/>
      <c r="C26094" s="309"/>
      <c r="I26094" s="309"/>
      <c r="J26094" s="309"/>
    </row>
    <row r="26095">
      <c r="B26095" s="309"/>
      <c r="C26095" s="309"/>
      <c r="I26095" s="309"/>
      <c r="J26095" s="309"/>
    </row>
    <row r="26096">
      <c r="B26096" s="309"/>
      <c r="C26096" s="309"/>
      <c r="I26096" s="309"/>
      <c r="J26096" s="309"/>
    </row>
    <row r="26097">
      <c r="B26097" s="309"/>
      <c r="C26097" s="309"/>
      <c r="I26097" s="309"/>
      <c r="J26097" s="309"/>
    </row>
    <row r="26098">
      <c r="B26098" s="309"/>
      <c r="C26098" s="309"/>
      <c r="I26098" s="309"/>
      <c r="J26098" s="309"/>
    </row>
    <row r="26099">
      <c r="B26099" s="309"/>
      <c r="C26099" s="309"/>
      <c r="I26099" s="309"/>
      <c r="J26099" s="309"/>
    </row>
    <row r="26100">
      <c r="B26100" s="309"/>
      <c r="C26100" s="309"/>
      <c r="I26100" s="309"/>
      <c r="J26100" s="309"/>
    </row>
    <row r="26101">
      <c r="B26101" s="309"/>
      <c r="C26101" s="309"/>
      <c r="I26101" s="309"/>
      <c r="J26101" s="309"/>
    </row>
    <row r="26102">
      <c r="B26102" s="309"/>
      <c r="C26102" s="309"/>
      <c r="I26102" s="309"/>
      <c r="J26102" s="309"/>
    </row>
    <row r="26103">
      <c r="B26103" s="309"/>
      <c r="C26103" s="309"/>
      <c r="I26103" s="309"/>
      <c r="J26103" s="309"/>
    </row>
    <row r="26104">
      <c r="B26104" s="309"/>
      <c r="C26104" s="309"/>
      <c r="I26104" s="309"/>
      <c r="J26104" s="309"/>
    </row>
    <row r="26105">
      <c r="B26105" s="309"/>
      <c r="C26105" s="309"/>
      <c r="I26105" s="309"/>
      <c r="J26105" s="309"/>
    </row>
    <row r="26106">
      <c r="B26106" s="309"/>
      <c r="C26106" s="309"/>
      <c r="I26106" s="309"/>
      <c r="J26106" s="309"/>
    </row>
    <row r="26107">
      <c r="B26107" s="309"/>
      <c r="C26107" s="309"/>
      <c r="I26107" s="309"/>
      <c r="J26107" s="309"/>
    </row>
    <row r="26108">
      <c r="B26108" s="309"/>
      <c r="C26108" s="309"/>
      <c r="I26108" s="309"/>
      <c r="J26108" s="309"/>
    </row>
    <row r="26109">
      <c r="B26109" s="309"/>
      <c r="C26109" s="309"/>
      <c r="I26109" s="309"/>
      <c r="J26109" s="309"/>
    </row>
    <row r="26110">
      <c r="B26110" s="309"/>
      <c r="C26110" s="309"/>
      <c r="I26110" s="309"/>
      <c r="J26110" s="309"/>
    </row>
    <row r="26111">
      <c r="B26111" s="309"/>
      <c r="C26111" s="309"/>
      <c r="I26111" s="309"/>
      <c r="J26111" s="309"/>
    </row>
    <row r="26112">
      <c r="B26112" s="309"/>
      <c r="C26112" s="309"/>
      <c r="I26112" s="309"/>
      <c r="J26112" s="309"/>
    </row>
    <row r="26113">
      <c r="B26113" s="309"/>
      <c r="C26113" s="309"/>
      <c r="I26113" s="309"/>
      <c r="J26113" s="309"/>
    </row>
    <row r="26114">
      <c r="B26114" s="309"/>
      <c r="C26114" s="309"/>
      <c r="I26114" s="309"/>
      <c r="J26114" s="309"/>
    </row>
    <row r="26115">
      <c r="B26115" s="309"/>
      <c r="C26115" s="309"/>
      <c r="I26115" s="309"/>
      <c r="J26115" s="309"/>
    </row>
    <row r="26116">
      <c r="B26116" s="309"/>
      <c r="C26116" s="309"/>
      <c r="I26116" s="309"/>
      <c r="J26116" s="309"/>
    </row>
    <row r="26117">
      <c r="B26117" s="309"/>
      <c r="C26117" s="309"/>
      <c r="I26117" s="309"/>
      <c r="J26117" s="309"/>
    </row>
    <row r="26118">
      <c r="B26118" s="309"/>
      <c r="C26118" s="309"/>
      <c r="I26118" s="309"/>
      <c r="J26118" s="309"/>
    </row>
    <row r="26119">
      <c r="B26119" s="309"/>
      <c r="C26119" s="309"/>
      <c r="I26119" s="309"/>
      <c r="J26119" s="309"/>
    </row>
    <row r="26120">
      <c r="B26120" s="309"/>
      <c r="C26120" s="309"/>
      <c r="I26120" s="309"/>
      <c r="J26120" s="309"/>
    </row>
    <row r="26121">
      <c r="B26121" s="309"/>
      <c r="C26121" s="309"/>
      <c r="I26121" s="309"/>
      <c r="J26121" s="309"/>
    </row>
    <row r="26122">
      <c r="B26122" s="309"/>
      <c r="C26122" s="309"/>
      <c r="I26122" s="309"/>
      <c r="J26122" s="309"/>
    </row>
    <row r="26123">
      <c r="B26123" s="309"/>
      <c r="C26123" s="309"/>
      <c r="I26123" s="309"/>
      <c r="J26123" s="309"/>
    </row>
    <row r="26124">
      <c r="B26124" s="309"/>
      <c r="C26124" s="309"/>
      <c r="I26124" s="309"/>
      <c r="J26124" s="309"/>
    </row>
    <row r="26125">
      <c r="B26125" s="309"/>
      <c r="C26125" s="309"/>
      <c r="I26125" s="309"/>
      <c r="J26125" s="309"/>
    </row>
    <row r="26126">
      <c r="B26126" s="309"/>
      <c r="C26126" s="309"/>
      <c r="I26126" s="309"/>
      <c r="J26126" s="309"/>
    </row>
    <row r="26127">
      <c r="B26127" s="309"/>
      <c r="C26127" s="309"/>
      <c r="I26127" s="309"/>
      <c r="J26127" s="309"/>
    </row>
    <row r="26128">
      <c r="B26128" s="309"/>
      <c r="C26128" s="309"/>
      <c r="I26128" s="309"/>
      <c r="J26128" s="309"/>
    </row>
    <row r="26129">
      <c r="B26129" s="309"/>
      <c r="C26129" s="309"/>
      <c r="I26129" s="309"/>
      <c r="J26129" s="309"/>
    </row>
    <row r="26130">
      <c r="B26130" s="309"/>
      <c r="C26130" s="309"/>
      <c r="I26130" s="309"/>
      <c r="J26130" s="309"/>
    </row>
    <row r="26131">
      <c r="B26131" s="309"/>
      <c r="C26131" s="309"/>
      <c r="I26131" s="309"/>
      <c r="J26131" s="309"/>
    </row>
    <row r="26132">
      <c r="B26132" s="309"/>
      <c r="C26132" s="309"/>
      <c r="I26132" s="309"/>
      <c r="J26132" s="309"/>
    </row>
    <row r="26133">
      <c r="B26133" s="309"/>
      <c r="C26133" s="309"/>
      <c r="I26133" s="309"/>
      <c r="J26133" s="309"/>
    </row>
    <row r="26134">
      <c r="B26134" s="309"/>
      <c r="C26134" s="309"/>
      <c r="I26134" s="309"/>
      <c r="J26134" s="309"/>
    </row>
    <row r="26135">
      <c r="B26135" s="309"/>
      <c r="C26135" s="309"/>
      <c r="I26135" s="309"/>
      <c r="J26135" s="309"/>
    </row>
    <row r="26136">
      <c r="B26136" s="309"/>
      <c r="C26136" s="309"/>
      <c r="I26136" s="309"/>
      <c r="J26136" s="309"/>
    </row>
    <row r="26137">
      <c r="B26137" s="309"/>
      <c r="C26137" s="309"/>
      <c r="I26137" s="309"/>
      <c r="J26137" s="309"/>
    </row>
    <row r="26138">
      <c r="B26138" s="309"/>
      <c r="C26138" s="309"/>
      <c r="I26138" s="309"/>
      <c r="J26138" s="309"/>
    </row>
    <row r="26139">
      <c r="B26139" s="309"/>
      <c r="C26139" s="309"/>
      <c r="I26139" s="309"/>
      <c r="J26139" s="309"/>
    </row>
    <row r="26140">
      <c r="B26140" s="309"/>
      <c r="C26140" s="309"/>
      <c r="I26140" s="309"/>
      <c r="J26140" s="309"/>
    </row>
    <row r="26141">
      <c r="B26141" s="309"/>
      <c r="C26141" s="309"/>
      <c r="I26141" s="309"/>
      <c r="J26141" s="309"/>
    </row>
    <row r="26142">
      <c r="B26142" s="309"/>
      <c r="C26142" s="309"/>
      <c r="I26142" s="309"/>
      <c r="J26142" s="309"/>
    </row>
    <row r="26143">
      <c r="B26143" s="309"/>
      <c r="C26143" s="309"/>
      <c r="I26143" s="309"/>
      <c r="J26143" s="309"/>
    </row>
    <row r="26144">
      <c r="B26144" s="309"/>
      <c r="C26144" s="309"/>
      <c r="I26144" s="309"/>
      <c r="J26144" s="309"/>
    </row>
    <row r="26145">
      <c r="B26145" s="309"/>
      <c r="C26145" s="309"/>
      <c r="I26145" s="309"/>
      <c r="J26145" s="309"/>
    </row>
    <row r="26146">
      <c r="B26146" s="309"/>
      <c r="C26146" s="309"/>
      <c r="I26146" s="309"/>
      <c r="J26146" s="309"/>
    </row>
    <row r="26147">
      <c r="B26147" s="309"/>
      <c r="C26147" s="309"/>
      <c r="I26147" s="309"/>
      <c r="J26147" s="309"/>
    </row>
    <row r="26148">
      <c r="B26148" s="309"/>
      <c r="C26148" s="309"/>
      <c r="I26148" s="309"/>
      <c r="J26148" s="309"/>
    </row>
    <row r="26149">
      <c r="B26149" s="309"/>
      <c r="C26149" s="309"/>
      <c r="I26149" s="309"/>
      <c r="J26149" s="309"/>
    </row>
    <row r="26150">
      <c r="B26150" s="309"/>
      <c r="C26150" s="309"/>
      <c r="I26150" s="309"/>
      <c r="J26150" s="309"/>
    </row>
    <row r="26151">
      <c r="B26151" s="309"/>
      <c r="C26151" s="309"/>
      <c r="I26151" s="309"/>
      <c r="J26151" s="309"/>
    </row>
    <row r="26152">
      <c r="B26152" s="309"/>
      <c r="C26152" s="309"/>
      <c r="I26152" s="309"/>
      <c r="J26152" s="309"/>
    </row>
    <row r="26153">
      <c r="B26153" s="309"/>
      <c r="C26153" s="309"/>
      <c r="I26153" s="309"/>
      <c r="J26153" s="309"/>
    </row>
    <row r="26154">
      <c r="B26154" s="309"/>
      <c r="C26154" s="309"/>
      <c r="I26154" s="309"/>
      <c r="J26154" s="309"/>
    </row>
    <row r="26155">
      <c r="B26155" s="309"/>
      <c r="C26155" s="309"/>
      <c r="I26155" s="309"/>
      <c r="J26155" s="309"/>
    </row>
    <row r="26156">
      <c r="B26156" s="309"/>
      <c r="C26156" s="309"/>
      <c r="I26156" s="309"/>
      <c r="J26156" s="309"/>
    </row>
    <row r="26157">
      <c r="B26157" s="309"/>
      <c r="C26157" s="309"/>
      <c r="I26157" s="309"/>
      <c r="J26157" s="309"/>
    </row>
    <row r="26158">
      <c r="B26158" s="309"/>
      <c r="C26158" s="309"/>
      <c r="I26158" s="309"/>
      <c r="J26158" s="309"/>
    </row>
    <row r="26159">
      <c r="B26159" s="309"/>
      <c r="C26159" s="309"/>
      <c r="I26159" s="309"/>
      <c r="J26159" s="309"/>
    </row>
    <row r="26160">
      <c r="B26160" s="309"/>
      <c r="C26160" s="309"/>
      <c r="I26160" s="309"/>
      <c r="J26160" s="309"/>
    </row>
    <row r="26161">
      <c r="B26161" s="309"/>
      <c r="C26161" s="309"/>
      <c r="I26161" s="309"/>
      <c r="J26161" s="309"/>
    </row>
    <row r="26162">
      <c r="B26162" s="309"/>
      <c r="C26162" s="309"/>
      <c r="I26162" s="309"/>
      <c r="J26162" s="309"/>
    </row>
    <row r="26163">
      <c r="B26163" s="309"/>
      <c r="C26163" s="309"/>
      <c r="I26163" s="309"/>
      <c r="J26163" s="309"/>
    </row>
    <row r="26164">
      <c r="B26164" s="309"/>
      <c r="C26164" s="309"/>
      <c r="I26164" s="309"/>
      <c r="J26164" s="309"/>
    </row>
    <row r="26165">
      <c r="B26165" s="309"/>
      <c r="C26165" s="309"/>
      <c r="I26165" s="309"/>
      <c r="J26165" s="309"/>
    </row>
    <row r="26166">
      <c r="B26166" s="309"/>
      <c r="C26166" s="309"/>
      <c r="I26166" s="309"/>
      <c r="J26166" s="309"/>
    </row>
    <row r="26167">
      <c r="B26167" s="309"/>
      <c r="C26167" s="309"/>
      <c r="I26167" s="309"/>
      <c r="J26167" s="309"/>
    </row>
    <row r="26168">
      <c r="B26168" s="309"/>
      <c r="C26168" s="309"/>
      <c r="I26168" s="309"/>
      <c r="J26168" s="309"/>
    </row>
    <row r="26169">
      <c r="B26169" s="309"/>
      <c r="C26169" s="309"/>
      <c r="I26169" s="309"/>
      <c r="J26169" s="309"/>
    </row>
    <row r="26170">
      <c r="B26170" s="309"/>
      <c r="C26170" s="309"/>
      <c r="I26170" s="309"/>
      <c r="J26170" s="309"/>
    </row>
    <row r="26171">
      <c r="B26171" s="309"/>
      <c r="C26171" s="309"/>
      <c r="I26171" s="309"/>
      <c r="J26171" s="309"/>
    </row>
    <row r="26172">
      <c r="B26172" s="309"/>
      <c r="C26172" s="309"/>
      <c r="I26172" s="309"/>
      <c r="J26172" s="309"/>
    </row>
    <row r="26173">
      <c r="B26173" s="309"/>
      <c r="C26173" s="309"/>
      <c r="I26173" s="309"/>
      <c r="J26173" s="309"/>
    </row>
    <row r="26174">
      <c r="B26174" s="309"/>
      <c r="C26174" s="309"/>
      <c r="I26174" s="309"/>
      <c r="J26174" s="309"/>
    </row>
    <row r="26175">
      <c r="B26175" s="309"/>
      <c r="C26175" s="309"/>
      <c r="I26175" s="309"/>
      <c r="J26175" s="309"/>
    </row>
    <row r="26176">
      <c r="B26176" s="309"/>
      <c r="C26176" s="309"/>
      <c r="I26176" s="309"/>
      <c r="J26176" s="309"/>
    </row>
    <row r="26177">
      <c r="B26177" s="309"/>
      <c r="C26177" s="309"/>
      <c r="I26177" s="309"/>
      <c r="J26177" s="309"/>
    </row>
    <row r="26178">
      <c r="B26178" s="309"/>
      <c r="C26178" s="309"/>
      <c r="I26178" s="309"/>
      <c r="J26178" s="309"/>
    </row>
    <row r="26179">
      <c r="B26179" s="309"/>
      <c r="C26179" s="309"/>
      <c r="I26179" s="309"/>
      <c r="J26179" s="309"/>
    </row>
    <row r="26180">
      <c r="B26180" s="309"/>
      <c r="C26180" s="309"/>
      <c r="I26180" s="309"/>
      <c r="J26180" s="309"/>
    </row>
    <row r="26181">
      <c r="B26181" s="309"/>
      <c r="C26181" s="309"/>
      <c r="I26181" s="309"/>
      <c r="J26181" s="309"/>
    </row>
    <row r="26182">
      <c r="B26182" s="309"/>
      <c r="C26182" s="309"/>
      <c r="I26182" s="309"/>
      <c r="J26182" s="309"/>
    </row>
    <row r="26183">
      <c r="B26183" s="309"/>
      <c r="C26183" s="309"/>
      <c r="I26183" s="309"/>
      <c r="J26183" s="309"/>
    </row>
    <row r="26184">
      <c r="B26184" s="309"/>
      <c r="C26184" s="309"/>
      <c r="I26184" s="309"/>
      <c r="J26184" s="309"/>
    </row>
    <row r="26185">
      <c r="B26185" s="309"/>
      <c r="C26185" s="309"/>
      <c r="I26185" s="309"/>
      <c r="J26185" s="309"/>
    </row>
    <row r="26186">
      <c r="B26186" s="309"/>
      <c r="C26186" s="309"/>
      <c r="I26186" s="309"/>
      <c r="J26186" s="309"/>
    </row>
    <row r="26187">
      <c r="B26187" s="309"/>
      <c r="C26187" s="309"/>
      <c r="I26187" s="309"/>
      <c r="J26187" s="309"/>
    </row>
    <row r="26188">
      <c r="B26188" s="309"/>
      <c r="C26188" s="309"/>
      <c r="I26188" s="309"/>
      <c r="J26188" s="309"/>
    </row>
    <row r="26189">
      <c r="B26189" s="309"/>
      <c r="C26189" s="309"/>
      <c r="I26189" s="309"/>
      <c r="J26189" s="309"/>
    </row>
    <row r="26190">
      <c r="B26190" s="309"/>
      <c r="C26190" s="309"/>
      <c r="I26190" s="309"/>
      <c r="J26190" s="309"/>
    </row>
    <row r="26191">
      <c r="B26191" s="309"/>
      <c r="C26191" s="309"/>
      <c r="I26191" s="309"/>
      <c r="J26191" s="309"/>
    </row>
    <row r="26192">
      <c r="B26192" s="309"/>
      <c r="C26192" s="309"/>
      <c r="I26192" s="309"/>
      <c r="J26192" s="309"/>
    </row>
    <row r="26193">
      <c r="B26193" s="309"/>
      <c r="C26193" s="309"/>
      <c r="I26193" s="309"/>
      <c r="J26193" s="309"/>
    </row>
    <row r="26194">
      <c r="B26194" s="309"/>
      <c r="C26194" s="309"/>
      <c r="I26194" s="309"/>
      <c r="J26194" s="309"/>
    </row>
    <row r="26195">
      <c r="B26195" s="309"/>
      <c r="C26195" s="309"/>
      <c r="I26195" s="309"/>
      <c r="J26195" s="309"/>
    </row>
    <row r="26196">
      <c r="B26196" s="309"/>
      <c r="C26196" s="309"/>
      <c r="I26196" s="309"/>
      <c r="J26196" s="309"/>
    </row>
    <row r="26197">
      <c r="B26197" s="309"/>
      <c r="C26197" s="309"/>
      <c r="I26197" s="309"/>
      <c r="J26197" s="309"/>
    </row>
    <row r="26198">
      <c r="B26198" s="309"/>
      <c r="C26198" s="309"/>
      <c r="I26198" s="309"/>
      <c r="J26198" s="309"/>
    </row>
    <row r="26199">
      <c r="B26199" s="309"/>
      <c r="C26199" s="309"/>
      <c r="I26199" s="309"/>
      <c r="J26199" s="309"/>
    </row>
    <row r="26200">
      <c r="B26200" s="309"/>
      <c r="C26200" s="309"/>
      <c r="I26200" s="309"/>
      <c r="J26200" s="309"/>
    </row>
    <row r="26201">
      <c r="B26201" s="309"/>
      <c r="C26201" s="309"/>
      <c r="I26201" s="309"/>
      <c r="J26201" s="309"/>
    </row>
    <row r="26202">
      <c r="B26202" s="309"/>
      <c r="C26202" s="309"/>
      <c r="I26202" s="309"/>
      <c r="J26202" s="309"/>
    </row>
    <row r="26203">
      <c r="B26203" s="309"/>
      <c r="C26203" s="309"/>
      <c r="I26203" s="309"/>
      <c r="J26203" s="309"/>
    </row>
    <row r="26204">
      <c r="B26204" s="309"/>
      <c r="C26204" s="309"/>
      <c r="I26204" s="309"/>
      <c r="J26204" s="309"/>
    </row>
    <row r="26205">
      <c r="B26205" s="309"/>
      <c r="C26205" s="309"/>
      <c r="I26205" s="309"/>
      <c r="J26205" s="309"/>
    </row>
    <row r="26206">
      <c r="B26206" s="309"/>
      <c r="C26206" s="309"/>
      <c r="I26206" s="309"/>
      <c r="J26206" s="309"/>
    </row>
    <row r="26207">
      <c r="B26207" s="309"/>
      <c r="C26207" s="309"/>
      <c r="I26207" s="309"/>
      <c r="J26207" s="309"/>
    </row>
    <row r="26208">
      <c r="B26208" s="309"/>
      <c r="C26208" s="309"/>
      <c r="I26208" s="309"/>
      <c r="J26208" s="309"/>
    </row>
    <row r="26209">
      <c r="B26209" s="309"/>
      <c r="C26209" s="309"/>
      <c r="I26209" s="309"/>
      <c r="J26209" s="309"/>
    </row>
    <row r="26210">
      <c r="B26210" s="309"/>
      <c r="C26210" s="309"/>
      <c r="I26210" s="309"/>
      <c r="J26210" s="309"/>
    </row>
    <row r="26211">
      <c r="B26211" s="309"/>
      <c r="C26211" s="309"/>
      <c r="I26211" s="309"/>
      <c r="J26211" s="309"/>
    </row>
    <row r="26212">
      <c r="B26212" s="309"/>
      <c r="C26212" s="309"/>
      <c r="I26212" s="309"/>
      <c r="J26212" s="309"/>
    </row>
    <row r="26213">
      <c r="B26213" s="309"/>
      <c r="C26213" s="309"/>
      <c r="I26213" s="309"/>
      <c r="J26213" s="309"/>
    </row>
    <row r="26214">
      <c r="B26214" s="309"/>
      <c r="C26214" s="309"/>
      <c r="I26214" s="309"/>
      <c r="J26214" s="309"/>
    </row>
    <row r="26215">
      <c r="B26215" s="309"/>
      <c r="C26215" s="309"/>
      <c r="I26215" s="309"/>
      <c r="J26215" s="309"/>
    </row>
    <row r="26216">
      <c r="B26216" s="309"/>
      <c r="C26216" s="309"/>
      <c r="I26216" s="309"/>
      <c r="J26216" s="309"/>
    </row>
    <row r="26217">
      <c r="B26217" s="309"/>
      <c r="C26217" s="309"/>
      <c r="I26217" s="309"/>
      <c r="J26217" s="309"/>
    </row>
    <row r="26218">
      <c r="B26218" s="309"/>
      <c r="C26218" s="309"/>
      <c r="I26218" s="309"/>
      <c r="J26218" s="309"/>
    </row>
    <row r="26219">
      <c r="B26219" s="309"/>
      <c r="C26219" s="309"/>
      <c r="I26219" s="309"/>
      <c r="J26219" s="309"/>
    </row>
    <row r="26220">
      <c r="B26220" s="309"/>
      <c r="C26220" s="309"/>
      <c r="I26220" s="309"/>
      <c r="J26220" s="309"/>
    </row>
    <row r="26221">
      <c r="B26221" s="309"/>
      <c r="C26221" s="309"/>
      <c r="I26221" s="309"/>
      <c r="J26221" s="309"/>
    </row>
    <row r="26222">
      <c r="B26222" s="309"/>
      <c r="C26222" s="309"/>
      <c r="I26222" s="309"/>
      <c r="J26222" s="309"/>
    </row>
    <row r="26223">
      <c r="B26223" s="309"/>
      <c r="C26223" s="309"/>
      <c r="I26223" s="309"/>
      <c r="J26223" s="309"/>
    </row>
    <row r="26224">
      <c r="B26224" s="309"/>
      <c r="C26224" s="309"/>
      <c r="I26224" s="309"/>
      <c r="J26224" s="309"/>
    </row>
    <row r="26225">
      <c r="B26225" s="309"/>
      <c r="C26225" s="309"/>
      <c r="I26225" s="309"/>
      <c r="J26225" s="309"/>
    </row>
    <row r="26226">
      <c r="B26226" s="309"/>
      <c r="C26226" s="309"/>
      <c r="I26226" s="309"/>
      <c r="J26226" s="309"/>
    </row>
    <row r="26227">
      <c r="B26227" s="309"/>
      <c r="C26227" s="309"/>
      <c r="I26227" s="309"/>
      <c r="J26227" s="309"/>
    </row>
    <row r="26228">
      <c r="B26228" s="309"/>
      <c r="C26228" s="309"/>
      <c r="I26228" s="309"/>
      <c r="J26228" s="309"/>
    </row>
    <row r="26229">
      <c r="B26229" s="309"/>
      <c r="C26229" s="309"/>
      <c r="I26229" s="309"/>
      <c r="J26229" s="309"/>
    </row>
    <row r="26230">
      <c r="B26230" s="309"/>
      <c r="C26230" s="309"/>
      <c r="I26230" s="309"/>
      <c r="J26230" s="309"/>
    </row>
    <row r="26231">
      <c r="B26231" s="309"/>
      <c r="C26231" s="309"/>
      <c r="I26231" s="309"/>
      <c r="J26231" s="309"/>
    </row>
    <row r="26232">
      <c r="B26232" s="309"/>
      <c r="C26232" s="309"/>
      <c r="I26232" s="309"/>
      <c r="J26232" s="309"/>
    </row>
    <row r="26233">
      <c r="B26233" s="309"/>
      <c r="C26233" s="309"/>
      <c r="I26233" s="309"/>
      <c r="J26233" s="309"/>
    </row>
    <row r="26234">
      <c r="B26234" s="309"/>
      <c r="C26234" s="309"/>
      <c r="I26234" s="309"/>
      <c r="J26234" s="309"/>
    </row>
    <row r="26235">
      <c r="B26235" s="309"/>
      <c r="C26235" s="309"/>
      <c r="I26235" s="309"/>
      <c r="J26235" s="309"/>
    </row>
    <row r="26236">
      <c r="B26236" s="309"/>
      <c r="C26236" s="309"/>
      <c r="I26236" s="309"/>
      <c r="J26236" s="309"/>
    </row>
    <row r="26237">
      <c r="B26237" s="309"/>
      <c r="C26237" s="309"/>
      <c r="I26237" s="309"/>
      <c r="J26237" s="309"/>
    </row>
    <row r="26238">
      <c r="B26238" s="309"/>
      <c r="C26238" s="309"/>
      <c r="I26238" s="309"/>
      <c r="J26238" s="309"/>
    </row>
    <row r="26239">
      <c r="B26239" s="309"/>
      <c r="C26239" s="309"/>
      <c r="I26239" s="309"/>
      <c r="J26239" s="309"/>
    </row>
    <row r="26240">
      <c r="B26240" s="309"/>
      <c r="C26240" s="309"/>
      <c r="I26240" s="309"/>
      <c r="J26240" s="309"/>
    </row>
    <row r="26241">
      <c r="B26241" s="309"/>
      <c r="C26241" s="309"/>
      <c r="I26241" s="309"/>
      <c r="J26241" s="309"/>
    </row>
    <row r="26242">
      <c r="B26242" s="309"/>
      <c r="C26242" s="309"/>
      <c r="I26242" s="309"/>
      <c r="J26242" s="309"/>
    </row>
    <row r="26243">
      <c r="B26243" s="309"/>
      <c r="C26243" s="309"/>
      <c r="I26243" s="309"/>
      <c r="J26243" s="309"/>
    </row>
    <row r="26244">
      <c r="B26244" s="309"/>
      <c r="C26244" s="309"/>
      <c r="I26244" s="309"/>
      <c r="J26244" s="309"/>
    </row>
    <row r="26245">
      <c r="B26245" s="309"/>
      <c r="C26245" s="309"/>
      <c r="I26245" s="309"/>
      <c r="J26245" s="309"/>
    </row>
    <row r="26246">
      <c r="B26246" s="309"/>
      <c r="C26246" s="309"/>
      <c r="I26246" s="309"/>
      <c r="J26246" s="309"/>
    </row>
    <row r="26247">
      <c r="B26247" s="309"/>
      <c r="C26247" s="309"/>
      <c r="I26247" s="309"/>
      <c r="J26247" s="309"/>
    </row>
    <row r="26248">
      <c r="B26248" s="309"/>
      <c r="C26248" s="309"/>
      <c r="I26248" s="309"/>
      <c r="J26248" s="309"/>
    </row>
    <row r="26249">
      <c r="B26249" s="309"/>
      <c r="C26249" s="309"/>
      <c r="I26249" s="309"/>
      <c r="J26249" s="309"/>
    </row>
    <row r="26250">
      <c r="B26250" s="309"/>
      <c r="C26250" s="309"/>
      <c r="I26250" s="309"/>
      <c r="J26250" s="309"/>
    </row>
    <row r="26251">
      <c r="B26251" s="309"/>
      <c r="C26251" s="309"/>
      <c r="I26251" s="309"/>
      <c r="J26251" s="309"/>
    </row>
    <row r="26252">
      <c r="B26252" s="309"/>
      <c r="C26252" s="309"/>
      <c r="I26252" s="309"/>
      <c r="J26252" s="309"/>
    </row>
    <row r="26253">
      <c r="B26253" s="309"/>
      <c r="C26253" s="309"/>
      <c r="I26253" s="309"/>
      <c r="J26253" s="309"/>
    </row>
    <row r="26254">
      <c r="B26254" s="309"/>
      <c r="C26254" s="309"/>
      <c r="I26254" s="309"/>
      <c r="J26254" s="309"/>
    </row>
    <row r="26255">
      <c r="B26255" s="309"/>
      <c r="C26255" s="309"/>
      <c r="I26255" s="309"/>
      <c r="J26255" s="309"/>
    </row>
    <row r="26256">
      <c r="B26256" s="309"/>
      <c r="C26256" s="309"/>
      <c r="I26256" s="309"/>
      <c r="J26256" s="309"/>
    </row>
    <row r="26257">
      <c r="B26257" s="309"/>
      <c r="C26257" s="309"/>
      <c r="I26257" s="309"/>
      <c r="J26257" s="309"/>
    </row>
    <row r="26258">
      <c r="B26258" s="309"/>
      <c r="C26258" s="309"/>
      <c r="I26258" s="309"/>
      <c r="J26258" s="309"/>
    </row>
    <row r="26259">
      <c r="B26259" s="309"/>
      <c r="C26259" s="309"/>
      <c r="I26259" s="309"/>
      <c r="J26259" s="309"/>
    </row>
    <row r="26260">
      <c r="B26260" s="309"/>
      <c r="C26260" s="309"/>
      <c r="I26260" s="309"/>
      <c r="J26260" s="309"/>
    </row>
    <row r="26261">
      <c r="B26261" s="309"/>
      <c r="C26261" s="309"/>
      <c r="I26261" s="309"/>
      <c r="J26261" s="309"/>
    </row>
    <row r="26262">
      <c r="B26262" s="309"/>
      <c r="C26262" s="309"/>
      <c r="I26262" s="309"/>
      <c r="J26262" s="309"/>
    </row>
    <row r="26263">
      <c r="B26263" s="309"/>
      <c r="C26263" s="309"/>
      <c r="I26263" s="309"/>
      <c r="J26263" s="309"/>
    </row>
    <row r="26264">
      <c r="B26264" s="309"/>
      <c r="C26264" s="309"/>
      <c r="I26264" s="309"/>
      <c r="J26264" s="309"/>
    </row>
    <row r="26265">
      <c r="B26265" s="309"/>
      <c r="C26265" s="309"/>
      <c r="I26265" s="309"/>
      <c r="J26265" s="309"/>
    </row>
    <row r="26266">
      <c r="B26266" s="309"/>
      <c r="C26266" s="309"/>
      <c r="I26266" s="309"/>
      <c r="J26266" s="309"/>
    </row>
    <row r="26267">
      <c r="B26267" s="309"/>
      <c r="C26267" s="309"/>
      <c r="I26267" s="309"/>
      <c r="J26267" s="309"/>
    </row>
    <row r="26268">
      <c r="B26268" s="309"/>
      <c r="C26268" s="309"/>
      <c r="I26268" s="309"/>
      <c r="J26268" s="309"/>
    </row>
    <row r="26269">
      <c r="B26269" s="309"/>
      <c r="C26269" s="309"/>
      <c r="I26269" s="309"/>
      <c r="J26269" s="309"/>
    </row>
    <row r="26270">
      <c r="B26270" s="309"/>
      <c r="C26270" s="309"/>
      <c r="I26270" s="309"/>
      <c r="J26270" s="309"/>
    </row>
    <row r="26271">
      <c r="B26271" s="309"/>
      <c r="C26271" s="309"/>
      <c r="I26271" s="309"/>
      <c r="J26271" s="309"/>
    </row>
    <row r="26272">
      <c r="B26272" s="309"/>
      <c r="C26272" s="309"/>
      <c r="I26272" s="309"/>
      <c r="J26272" s="309"/>
    </row>
    <row r="26273">
      <c r="B26273" s="309"/>
      <c r="C26273" s="309"/>
      <c r="I26273" s="309"/>
      <c r="J26273" s="309"/>
    </row>
    <row r="26274">
      <c r="B26274" s="309"/>
      <c r="C26274" s="309"/>
      <c r="I26274" s="309"/>
      <c r="J26274" s="309"/>
    </row>
    <row r="26275">
      <c r="B26275" s="309"/>
      <c r="C26275" s="309"/>
      <c r="I26275" s="309"/>
      <c r="J26275" s="309"/>
    </row>
    <row r="26276">
      <c r="B26276" s="309"/>
      <c r="C26276" s="309"/>
      <c r="I26276" s="309"/>
      <c r="J26276" s="309"/>
    </row>
    <row r="26277">
      <c r="B26277" s="309"/>
      <c r="C26277" s="309"/>
      <c r="I26277" s="309"/>
      <c r="J26277" s="309"/>
    </row>
    <row r="26278">
      <c r="B26278" s="309"/>
      <c r="C26278" s="309"/>
      <c r="I26278" s="309"/>
      <c r="J26278" s="309"/>
    </row>
    <row r="26279">
      <c r="B26279" s="309"/>
      <c r="C26279" s="309"/>
      <c r="I26279" s="309"/>
      <c r="J26279" s="309"/>
    </row>
    <row r="26280">
      <c r="B26280" s="309"/>
      <c r="C26280" s="309"/>
      <c r="I26280" s="309"/>
      <c r="J26280" s="309"/>
    </row>
    <row r="26281">
      <c r="B26281" s="309"/>
      <c r="C26281" s="309"/>
      <c r="I26281" s="309"/>
      <c r="J26281" s="309"/>
    </row>
    <row r="26282">
      <c r="B26282" s="309"/>
      <c r="C26282" s="309"/>
      <c r="I26282" s="309"/>
      <c r="J26282" s="309"/>
    </row>
    <row r="26283">
      <c r="B26283" s="309"/>
      <c r="C26283" s="309"/>
      <c r="I26283" s="309"/>
      <c r="J26283" s="309"/>
    </row>
    <row r="26284">
      <c r="B26284" s="309"/>
      <c r="C26284" s="309"/>
      <c r="I26284" s="309"/>
      <c r="J26284" s="309"/>
    </row>
    <row r="26285">
      <c r="B26285" s="309"/>
      <c r="C26285" s="309"/>
      <c r="I26285" s="309"/>
      <c r="J26285" s="309"/>
    </row>
    <row r="26286">
      <c r="B26286" s="309"/>
      <c r="C26286" s="309"/>
      <c r="I26286" s="309"/>
      <c r="J26286" s="309"/>
    </row>
    <row r="26287">
      <c r="B26287" s="309"/>
      <c r="C26287" s="309"/>
      <c r="I26287" s="309"/>
      <c r="J26287" s="309"/>
    </row>
    <row r="26288">
      <c r="B26288" s="309"/>
      <c r="C26288" s="309"/>
      <c r="I26288" s="309"/>
      <c r="J26288" s="309"/>
    </row>
    <row r="26289">
      <c r="B26289" s="309"/>
      <c r="C26289" s="309"/>
      <c r="I26289" s="309"/>
      <c r="J26289" s="309"/>
    </row>
    <row r="26290">
      <c r="B26290" s="309"/>
      <c r="C26290" s="309"/>
      <c r="I26290" s="309"/>
      <c r="J26290" s="309"/>
    </row>
    <row r="26291">
      <c r="B26291" s="309"/>
      <c r="C26291" s="309"/>
      <c r="I26291" s="309"/>
      <c r="J26291" s="309"/>
    </row>
    <row r="26292">
      <c r="B26292" s="309"/>
      <c r="C26292" s="309"/>
      <c r="I26292" s="309"/>
      <c r="J26292" s="309"/>
    </row>
    <row r="26293">
      <c r="B26293" s="309"/>
      <c r="C26293" s="309"/>
      <c r="I26293" s="309"/>
      <c r="J26293" s="309"/>
    </row>
    <row r="26294">
      <c r="B26294" s="309"/>
      <c r="C26294" s="309"/>
      <c r="I26294" s="309"/>
      <c r="J26294" s="309"/>
    </row>
    <row r="26295">
      <c r="B26295" s="309"/>
      <c r="C26295" s="309"/>
      <c r="I26295" s="309"/>
      <c r="J26295" s="309"/>
    </row>
    <row r="26296">
      <c r="B26296" s="309"/>
      <c r="C26296" s="309"/>
      <c r="I26296" s="309"/>
      <c r="J26296" s="309"/>
    </row>
    <row r="26297">
      <c r="B26297" s="309"/>
      <c r="C26297" s="309"/>
      <c r="I26297" s="309"/>
      <c r="J26297" s="309"/>
    </row>
    <row r="26298">
      <c r="B26298" s="309"/>
      <c r="C26298" s="309"/>
      <c r="I26298" s="309"/>
      <c r="J26298" s="309"/>
    </row>
    <row r="26299">
      <c r="B26299" s="309"/>
      <c r="C26299" s="309"/>
      <c r="I26299" s="309"/>
      <c r="J26299" s="309"/>
    </row>
    <row r="26300">
      <c r="B26300" s="309"/>
      <c r="C26300" s="309"/>
      <c r="I26300" s="309"/>
      <c r="J26300" s="309"/>
    </row>
    <row r="26301">
      <c r="B26301" s="309"/>
      <c r="C26301" s="309"/>
      <c r="I26301" s="309"/>
      <c r="J26301" s="309"/>
    </row>
    <row r="26302">
      <c r="B26302" s="309"/>
      <c r="C26302" s="309"/>
      <c r="I26302" s="309"/>
      <c r="J26302" s="309"/>
    </row>
    <row r="26303">
      <c r="B26303" s="309"/>
      <c r="C26303" s="309"/>
      <c r="I26303" s="309"/>
      <c r="J26303" s="309"/>
    </row>
    <row r="26304">
      <c r="B26304" s="309"/>
      <c r="C26304" s="309"/>
      <c r="I26304" s="309"/>
      <c r="J26304" s="309"/>
    </row>
    <row r="26305">
      <c r="B26305" s="309"/>
      <c r="C26305" s="309"/>
      <c r="I26305" s="309"/>
      <c r="J26305" s="309"/>
    </row>
    <row r="26306">
      <c r="B26306" s="309"/>
      <c r="C26306" s="309"/>
      <c r="I26306" s="309"/>
      <c r="J26306" s="309"/>
    </row>
    <row r="26307">
      <c r="B26307" s="309"/>
      <c r="C26307" s="309"/>
      <c r="I26307" s="309"/>
      <c r="J26307" s="309"/>
    </row>
    <row r="26308">
      <c r="B26308" s="309"/>
      <c r="C26308" s="309"/>
      <c r="I26308" s="309"/>
      <c r="J26308" s="309"/>
    </row>
    <row r="26309">
      <c r="B26309" s="309"/>
      <c r="C26309" s="309"/>
      <c r="I26309" s="309"/>
      <c r="J26309" s="309"/>
    </row>
    <row r="26310">
      <c r="B26310" s="309"/>
      <c r="C26310" s="309"/>
      <c r="I26310" s="309"/>
      <c r="J26310" s="309"/>
    </row>
    <row r="26311">
      <c r="B26311" s="309"/>
      <c r="C26311" s="309"/>
      <c r="I26311" s="309"/>
      <c r="J26311" s="309"/>
    </row>
    <row r="26312">
      <c r="B26312" s="309"/>
      <c r="C26312" s="309"/>
      <c r="I26312" s="309"/>
      <c r="J26312" s="309"/>
    </row>
    <row r="26313">
      <c r="B26313" s="309"/>
      <c r="C26313" s="309"/>
      <c r="I26313" s="309"/>
      <c r="J26313" s="309"/>
    </row>
    <row r="26314">
      <c r="B26314" s="309"/>
      <c r="C26314" s="309"/>
      <c r="I26314" s="309"/>
      <c r="J26314" s="309"/>
    </row>
    <row r="26315">
      <c r="B26315" s="309"/>
      <c r="C26315" s="309"/>
      <c r="I26315" s="309"/>
      <c r="J26315" s="309"/>
    </row>
    <row r="26316">
      <c r="B26316" s="309"/>
      <c r="C26316" s="309"/>
      <c r="I26316" s="309"/>
      <c r="J26316" s="309"/>
    </row>
    <row r="26317">
      <c r="B26317" s="309"/>
      <c r="C26317" s="309"/>
      <c r="I26317" s="309"/>
      <c r="J26317" s="309"/>
    </row>
    <row r="26318">
      <c r="B26318" s="309"/>
      <c r="C26318" s="309"/>
      <c r="I26318" s="309"/>
      <c r="J26318" s="309"/>
    </row>
    <row r="26319">
      <c r="B26319" s="309"/>
      <c r="C26319" s="309"/>
      <c r="I26319" s="309"/>
      <c r="J26319" s="309"/>
    </row>
    <row r="26320">
      <c r="B26320" s="309"/>
      <c r="C26320" s="309"/>
      <c r="I26320" s="309"/>
      <c r="J26320" s="309"/>
    </row>
    <row r="26321">
      <c r="B26321" s="309"/>
      <c r="C26321" s="309"/>
      <c r="I26321" s="309"/>
      <c r="J26321" s="309"/>
    </row>
    <row r="26322">
      <c r="B26322" s="309"/>
      <c r="C26322" s="309"/>
      <c r="I26322" s="309"/>
      <c r="J26322" s="309"/>
    </row>
    <row r="26323">
      <c r="B26323" s="309"/>
      <c r="C26323" s="309"/>
      <c r="I26323" s="309"/>
      <c r="J26323" s="309"/>
    </row>
    <row r="26324">
      <c r="B26324" s="309"/>
      <c r="C26324" s="309"/>
      <c r="I26324" s="309"/>
      <c r="J26324" s="309"/>
    </row>
    <row r="26325">
      <c r="B26325" s="309"/>
      <c r="C26325" s="309"/>
      <c r="I26325" s="309"/>
      <c r="J26325" s="309"/>
    </row>
    <row r="26326">
      <c r="B26326" s="309"/>
      <c r="C26326" s="309"/>
      <c r="I26326" s="309"/>
      <c r="J26326" s="309"/>
    </row>
    <row r="26327">
      <c r="B26327" s="309"/>
      <c r="C26327" s="309"/>
      <c r="I26327" s="309"/>
      <c r="J26327" s="309"/>
    </row>
    <row r="26328">
      <c r="B26328" s="309"/>
      <c r="C26328" s="309"/>
      <c r="I26328" s="309"/>
      <c r="J26328" s="309"/>
    </row>
    <row r="26329">
      <c r="B26329" s="309"/>
      <c r="C26329" s="309"/>
      <c r="I26329" s="309"/>
      <c r="J26329" s="309"/>
    </row>
    <row r="26330">
      <c r="B26330" s="309"/>
      <c r="C26330" s="309"/>
      <c r="I26330" s="309"/>
      <c r="J26330" s="309"/>
    </row>
    <row r="26331">
      <c r="B26331" s="309"/>
      <c r="C26331" s="309"/>
      <c r="I26331" s="309"/>
      <c r="J26331" s="309"/>
    </row>
    <row r="26332">
      <c r="B26332" s="309"/>
      <c r="C26332" s="309"/>
      <c r="I26332" s="309"/>
      <c r="J26332" s="309"/>
    </row>
    <row r="26333">
      <c r="B26333" s="309"/>
      <c r="C26333" s="309"/>
      <c r="I26333" s="309"/>
      <c r="J26333" s="309"/>
    </row>
    <row r="26334">
      <c r="B26334" s="309"/>
      <c r="C26334" s="309"/>
      <c r="I26334" s="309"/>
      <c r="J26334" s="309"/>
    </row>
    <row r="26335">
      <c r="B26335" s="309"/>
      <c r="C26335" s="309"/>
      <c r="I26335" s="309"/>
      <c r="J26335" s="309"/>
    </row>
    <row r="26336">
      <c r="B26336" s="309"/>
      <c r="C26336" s="309"/>
      <c r="I26336" s="309"/>
      <c r="J26336" s="309"/>
    </row>
    <row r="26337">
      <c r="B26337" s="309"/>
      <c r="C26337" s="309"/>
      <c r="I26337" s="309"/>
      <c r="J26337" s="309"/>
    </row>
    <row r="26338">
      <c r="B26338" s="309"/>
      <c r="C26338" s="309"/>
      <c r="I26338" s="309"/>
      <c r="J26338" s="309"/>
    </row>
    <row r="26339">
      <c r="B26339" s="309"/>
      <c r="C26339" s="309"/>
      <c r="I26339" s="309"/>
      <c r="J26339" s="309"/>
    </row>
    <row r="26340">
      <c r="B26340" s="309"/>
      <c r="C26340" s="309"/>
      <c r="I26340" s="309"/>
      <c r="J26340" s="309"/>
    </row>
    <row r="26341">
      <c r="B26341" s="309"/>
      <c r="C26341" s="309"/>
      <c r="I26341" s="309"/>
      <c r="J26341" s="309"/>
    </row>
    <row r="26342">
      <c r="B26342" s="309"/>
      <c r="C26342" s="309"/>
      <c r="I26342" s="309"/>
      <c r="J26342" s="309"/>
    </row>
    <row r="26343">
      <c r="B26343" s="309"/>
      <c r="C26343" s="309"/>
      <c r="I26343" s="309"/>
      <c r="J26343" s="309"/>
    </row>
    <row r="26344">
      <c r="B26344" s="309"/>
      <c r="C26344" s="309"/>
      <c r="I26344" s="309"/>
      <c r="J26344" s="309"/>
    </row>
    <row r="26345">
      <c r="B26345" s="309"/>
      <c r="C26345" s="309"/>
      <c r="I26345" s="309"/>
      <c r="J26345" s="309"/>
    </row>
    <row r="26346">
      <c r="B26346" s="309"/>
      <c r="C26346" s="309"/>
      <c r="I26346" s="309"/>
      <c r="J26346" s="309"/>
    </row>
    <row r="26347">
      <c r="B26347" s="309"/>
      <c r="C26347" s="309"/>
      <c r="I26347" s="309"/>
      <c r="J26347" s="309"/>
    </row>
    <row r="26348">
      <c r="B26348" s="309"/>
      <c r="C26348" s="309"/>
      <c r="I26348" s="309"/>
      <c r="J26348" s="309"/>
    </row>
    <row r="26349">
      <c r="B26349" s="309"/>
      <c r="C26349" s="309"/>
      <c r="I26349" s="309"/>
      <c r="J26349" s="309"/>
    </row>
    <row r="26350">
      <c r="B26350" s="309"/>
      <c r="C26350" s="309"/>
      <c r="I26350" s="309"/>
      <c r="J26350" s="309"/>
    </row>
    <row r="26351">
      <c r="B26351" s="309"/>
      <c r="C26351" s="309"/>
      <c r="I26351" s="309"/>
      <c r="J26351" s="309"/>
    </row>
    <row r="26352">
      <c r="B26352" s="309"/>
      <c r="C26352" s="309"/>
      <c r="I26352" s="309"/>
      <c r="J26352" s="309"/>
    </row>
    <row r="26353">
      <c r="B26353" s="309"/>
      <c r="C26353" s="309"/>
      <c r="I26353" s="309"/>
      <c r="J26353" s="309"/>
    </row>
    <row r="26354">
      <c r="B26354" s="309"/>
      <c r="C26354" s="309"/>
      <c r="I26354" s="309"/>
      <c r="J26354" s="309"/>
    </row>
    <row r="26355">
      <c r="B26355" s="309"/>
      <c r="C26355" s="309"/>
      <c r="I26355" s="309"/>
      <c r="J26355" s="309"/>
    </row>
    <row r="26356">
      <c r="B26356" s="309"/>
      <c r="C26356" s="309"/>
      <c r="I26356" s="309"/>
      <c r="J26356" s="309"/>
    </row>
    <row r="26357">
      <c r="B26357" s="309"/>
      <c r="C26357" s="309"/>
      <c r="I26357" s="309"/>
      <c r="J26357" s="309"/>
    </row>
    <row r="26358">
      <c r="B26358" s="309"/>
      <c r="C26358" s="309"/>
      <c r="I26358" s="309"/>
      <c r="J26358" s="309"/>
    </row>
    <row r="26359">
      <c r="B26359" s="309"/>
      <c r="C26359" s="309"/>
      <c r="I26359" s="309"/>
      <c r="J26359" s="309"/>
    </row>
    <row r="26360">
      <c r="B26360" s="309"/>
      <c r="C26360" s="309"/>
      <c r="I26360" s="309"/>
      <c r="J26360" s="309"/>
    </row>
    <row r="26361">
      <c r="B26361" s="309"/>
      <c r="C26361" s="309"/>
      <c r="I26361" s="309"/>
      <c r="J26361" s="309"/>
    </row>
    <row r="26362">
      <c r="B26362" s="309"/>
      <c r="C26362" s="309"/>
      <c r="I26362" s="309"/>
      <c r="J26362" s="309"/>
    </row>
    <row r="26363">
      <c r="B26363" s="309"/>
      <c r="C26363" s="309"/>
      <c r="I26363" s="309"/>
      <c r="J26363" s="309"/>
    </row>
    <row r="26364">
      <c r="B26364" s="309"/>
      <c r="C26364" s="309"/>
      <c r="I26364" s="309"/>
      <c r="J26364" s="309"/>
    </row>
    <row r="26365">
      <c r="B26365" s="309"/>
      <c r="C26365" s="309"/>
      <c r="I26365" s="309"/>
      <c r="J26365" s="309"/>
    </row>
    <row r="26366">
      <c r="B26366" s="309"/>
      <c r="C26366" s="309"/>
      <c r="I26366" s="309"/>
      <c r="J26366" s="309"/>
    </row>
    <row r="26367">
      <c r="B26367" s="309"/>
      <c r="C26367" s="309"/>
      <c r="I26367" s="309"/>
      <c r="J26367" s="309"/>
    </row>
    <row r="26368">
      <c r="B26368" s="309"/>
      <c r="C26368" s="309"/>
      <c r="I26368" s="309"/>
      <c r="J26368" s="309"/>
    </row>
    <row r="26369">
      <c r="B26369" s="309"/>
      <c r="C26369" s="309"/>
      <c r="I26369" s="309"/>
      <c r="J26369" s="309"/>
    </row>
    <row r="26370">
      <c r="B26370" s="309"/>
      <c r="C26370" s="309"/>
      <c r="I26370" s="309"/>
      <c r="J26370" s="309"/>
    </row>
    <row r="26371">
      <c r="B26371" s="309"/>
      <c r="C26371" s="309"/>
      <c r="I26371" s="309"/>
      <c r="J26371" s="309"/>
    </row>
    <row r="26372">
      <c r="B26372" s="309"/>
      <c r="C26372" s="309"/>
      <c r="I26372" s="309"/>
      <c r="J26372" s="309"/>
    </row>
    <row r="26373">
      <c r="B26373" s="309"/>
      <c r="C26373" s="309"/>
      <c r="I26373" s="309"/>
      <c r="J26373" s="309"/>
    </row>
    <row r="26374">
      <c r="B26374" s="309"/>
      <c r="C26374" s="309"/>
      <c r="I26374" s="309"/>
      <c r="J26374" s="309"/>
    </row>
    <row r="26375">
      <c r="B26375" s="309"/>
      <c r="C26375" s="309"/>
      <c r="I26375" s="309"/>
      <c r="J26375" s="309"/>
    </row>
    <row r="26376">
      <c r="B26376" s="309"/>
      <c r="C26376" s="309"/>
      <c r="I26376" s="309"/>
      <c r="J26376" s="309"/>
    </row>
    <row r="26377">
      <c r="B26377" s="309"/>
      <c r="C26377" s="309"/>
      <c r="I26377" s="309"/>
      <c r="J26377" s="309"/>
    </row>
    <row r="26378">
      <c r="B26378" s="309"/>
      <c r="C26378" s="309"/>
      <c r="I26378" s="309"/>
      <c r="J26378" s="309"/>
    </row>
    <row r="26379">
      <c r="B26379" s="309"/>
      <c r="C26379" s="309"/>
      <c r="I26379" s="309"/>
      <c r="J26379" s="309"/>
    </row>
    <row r="26380">
      <c r="B26380" s="309"/>
      <c r="C26380" s="309"/>
      <c r="I26380" s="309"/>
      <c r="J26380" s="309"/>
    </row>
    <row r="26381">
      <c r="B26381" s="309"/>
      <c r="C26381" s="309"/>
      <c r="I26381" s="309"/>
      <c r="J26381" s="309"/>
    </row>
    <row r="26382">
      <c r="B26382" s="309"/>
      <c r="C26382" s="309"/>
      <c r="I26382" s="309"/>
      <c r="J26382" s="309"/>
    </row>
    <row r="26383">
      <c r="B26383" s="309"/>
      <c r="C26383" s="309"/>
      <c r="I26383" s="309"/>
      <c r="J26383" s="309"/>
    </row>
    <row r="26384">
      <c r="B26384" s="309"/>
      <c r="C26384" s="309"/>
      <c r="I26384" s="309"/>
      <c r="J26384" s="309"/>
    </row>
    <row r="26385">
      <c r="B26385" s="309"/>
      <c r="C26385" s="309"/>
      <c r="I26385" s="309"/>
      <c r="J26385" s="309"/>
    </row>
    <row r="26386">
      <c r="B26386" s="309"/>
      <c r="C26386" s="309"/>
      <c r="I26386" s="309"/>
      <c r="J26386" s="309"/>
    </row>
    <row r="26387">
      <c r="B26387" s="309"/>
      <c r="C26387" s="309"/>
      <c r="I26387" s="309"/>
      <c r="J26387" s="309"/>
    </row>
    <row r="26388">
      <c r="B26388" s="309"/>
      <c r="C26388" s="309"/>
      <c r="I26388" s="309"/>
      <c r="J26388" s="309"/>
    </row>
    <row r="26389">
      <c r="B26389" s="309"/>
      <c r="C26389" s="309"/>
      <c r="I26389" s="309"/>
      <c r="J26389" s="309"/>
    </row>
    <row r="26390">
      <c r="B26390" s="309"/>
      <c r="C26390" s="309"/>
      <c r="I26390" s="309"/>
      <c r="J26390" s="309"/>
    </row>
    <row r="26391">
      <c r="B26391" s="309"/>
      <c r="C26391" s="309"/>
      <c r="I26391" s="309"/>
      <c r="J26391" s="309"/>
    </row>
    <row r="26392">
      <c r="B26392" s="309"/>
      <c r="C26392" s="309"/>
      <c r="I26392" s="309"/>
      <c r="J26392" s="309"/>
    </row>
    <row r="26393">
      <c r="B26393" s="309"/>
      <c r="C26393" s="309"/>
      <c r="I26393" s="309"/>
      <c r="J26393" s="309"/>
    </row>
    <row r="26394">
      <c r="B26394" s="309"/>
      <c r="C26394" s="309"/>
      <c r="I26394" s="309"/>
      <c r="J26394" s="309"/>
    </row>
    <row r="26395">
      <c r="B26395" s="309"/>
      <c r="C26395" s="309"/>
      <c r="I26395" s="309"/>
      <c r="J26395" s="309"/>
    </row>
    <row r="26396">
      <c r="B26396" s="309"/>
      <c r="C26396" s="309"/>
      <c r="I26396" s="309"/>
      <c r="J26396" s="309"/>
    </row>
    <row r="26397">
      <c r="B26397" s="309"/>
      <c r="C26397" s="309"/>
      <c r="I26397" s="309"/>
      <c r="J26397" s="309"/>
    </row>
    <row r="26398">
      <c r="B26398" s="309"/>
      <c r="C26398" s="309"/>
      <c r="I26398" s="309"/>
      <c r="J26398" s="309"/>
    </row>
    <row r="26399">
      <c r="B26399" s="309"/>
      <c r="C26399" s="309"/>
      <c r="I26399" s="309"/>
      <c r="J26399" s="309"/>
    </row>
    <row r="26400">
      <c r="B26400" s="309"/>
      <c r="C26400" s="309"/>
      <c r="I26400" s="309"/>
      <c r="J26400" s="309"/>
    </row>
    <row r="26401">
      <c r="B26401" s="309"/>
      <c r="C26401" s="309"/>
      <c r="I26401" s="309"/>
      <c r="J26401" s="309"/>
    </row>
    <row r="26402">
      <c r="B26402" s="309"/>
      <c r="C26402" s="309"/>
      <c r="I26402" s="309"/>
      <c r="J26402" s="309"/>
    </row>
    <row r="26403">
      <c r="B26403" s="309"/>
      <c r="C26403" s="309"/>
      <c r="I26403" s="309"/>
      <c r="J26403" s="309"/>
    </row>
    <row r="26404">
      <c r="B26404" s="309"/>
      <c r="C26404" s="309"/>
      <c r="I26404" s="309"/>
      <c r="J26404" s="309"/>
    </row>
    <row r="26405">
      <c r="B26405" s="309"/>
      <c r="C26405" s="309"/>
      <c r="I26405" s="309"/>
      <c r="J26405" s="309"/>
    </row>
    <row r="26406">
      <c r="B26406" s="309"/>
      <c r="C26406" s="309"/>
      <c r="I26406" s="309"/>
      <c r="J26406" s="309"/>
    </row>
    <row r="26407">
      <c r="B26407" s="309"/>
      <c r="C26407" s="309"/>
      <c r="I26407" s="309"/>
      <c r="J26407" s="309"/>
    </row>
    <row r="26408">
      <c r="B26408" s="309"/>
      <c r="C26408" s="309"/>
      <c r="I26408" s="309"/>
      <c r="J26408" s="309"/>
    </row>
    <row r="26409">
      <c r="B26409" s="309"/>
      <c r="C26409" s="309"/>
      <c r="I26409" s="309"/>
      <c r="J26409" s="309"/>
    </row>
    <row r="26410">
      <c r="B26410" s="309"/>
      <c r="C26410" s="309"/>
      <c r="I26410" s="309"/>
      <c r="J26410" s="309"/>
    </row>
    <row r="26411">
      <c r="B26411" s="309"/>
      <c r="C26411" s="309"/>
      <c r="I26411" s="309"/>
      <c r="J26411" s="309"/>
    </row>
    <row r="26412">
      <c r="B26412" s="309"/>
      <c r="C26412" s="309"/>
      <c r="I26412" s="309"/>
      <c r="J26412" s="309"/>
    </row>
    <row r="26413">
      <c r="B26413" s="309"/>
      <c r="C26413" s="309"/>
      <c r="I26413" s="309"/>
      <c r="J26413" s="309"/>
    </row>
    <row r="26414">
      <c r="B26414" s="309"/>
      <c r="C26414" s="309"/>
      <c r="I26414" s="309"/>
      <c r="J26414" s="309"/>
    </row>
    <row r="26415">
      <c r="B26415" s="309"/>
      <c r="C26415" s="309"/>
      <c r="I26415" s="309"/>
      <c r="J26415" s="309"/>
    </row>
    <row r="26416">
      <c r="B26416" s="309"/>
      <c r="C26416" s="309"/>
      <c r="I26416" s="309"/>
      <c r="J26416" s="309"/>
    </row>
    <row r="26417">
      <c r="B26417" s="309"/>
      <c r="C26417" s="309"/>
      <c r="I26417" s="309"/>
      <c r="J26417" s="309"/>
    </row>
    <row r="26418">
      <c r="B26418" s="309"/>
      <c r="C26418" s="309"/>
      <c r="I26418" s="309"/>
      <c r="J26418" s="309"/>
    </row>
    <row r="26419">
      <c r="B26419" s="309"/>
      <c r="C26419" s="309"/>
      <c r="I26419" s="309"/>
      <c r="J26419" s="309"/>
    </row>
    <row r="26420">
      <c r="B26420" s="309"/>
      <c r="C26420" s="309"/>
      <c r="I26420" s="309"/>
      <c r="J26420" s="309"/>
    </row>
    <row r="26421">
      <c r="B26421" s="309"/>
      <c r="C26421" s="309"/>
      <c r="I26421" s="309"/>
      <c r="J26421" s="309"/>
    </row>
    <row r="26422">
      <c r="B26422" s="309"/>
      <c r="C26422" s="309"/>
      <c r="I26422" s="309"/>
      <c r="J26422" s="309"/>
    </row>
    <row r="26423">
      <c r="B26423" s="309"/>
      <c r="C26423" s="309"/>
      <c r="I26423" s="309"/>
      <c r="J26423" s="309"/>
    </row>
    <row r="26424">
      <c r="B26424" s="309"/>
      <c r="C26424" s="309"/>
      <c r="I26424" s="309"/>
      <c r="J26424" s="309"/>
    </row>
    <row r="26425">
      <c r="B26425" s="309"/>
      <c r="C26425" s="309"/>
      <c r="I26425" s="309"/>
      <c r="J26425" s="309"/>
    </row>
    <row r="26426">
      <c r="B26426" s="309"/>
      <c r="C26426" s="309"/>
      <c r="I26426" s="309"/>
      <c r="J26426" s="309"/>
    </row>
    <row r="26427">
      <c r="B26427" s="309"/>
      <c r="C26427" s="309"/>
      <c r="I26427" s="309"/>
      <c r="J26427" s="309"/>
    </row>
    <row r="26428">
      <c r="B26428" s="309"/>
      <c r="C26428" s="309"/>
      <c r="I26428" s="309"/>
      <c r="J26428" s="309"/>
    </row>
    <row r="26429">
      <c r="B26429" s="309"/>
      <c r="C26429" s="309"/>
      <c r="I26429" s="309"/>
      <c r="J26429" s="309"/>
    </row>
    <row r="26430">
      <c r="B26430" s="309"/>
      <c r="C26430" s="309"/>
      <c r="I26430" s="309"/>
      <c r="J26430" s="309"/>
    </row>
    <row r="26431">
      <c r="B26431" s="309"/>
      <c r="C26431" s="309"/>
      <c r="I26431" s="309"/>
      <c r="J26431" s="309"/>
    </row>
    <row r="26432">
      <c r="B26432" s="309"/>
      <c r="C26432" s="309"/>
      <c r="I26432" s="309"/>
      <c r="J26432" s="309"/>
    </row>
    <row r="26433">
      <c r="B26433" s="309"/>
      <c r="C26433" s="309"/>
      <c r="I26433" s="309"/>
      <c r="J26433" s="309"/>
    </row>
    <row r="26434">
      <c r="B26434" s="309"/>
      <c r="C26434" s="309"/>
      <c r="I26434" s="309"/>
      <c r="J26434" s="309"/>
    </row>
    <row r="26435">
      <c r="B26435" s="309"/>
      <c r="C26435" s="309"/>
      <c r="I26435" s="309"/>
      <c r="J26435" s="309"/>
    </row>
    <row r="26436">
      <c r="B26436" s="309"/>
      <c r="C26436" s="309"/>
      <c r="I26436" s="309"/>
      <c r="J26436" s="309"/>
    </row>
    <row r="26437">
      <c r="B26437" s="309"/>
      <c r="C26437" s="309"/>
      <c r="I26437" s="309"/>
      <c r="J26437" s="309"/>
    </row>
    <row r="26438">
      <c r="B26438" s="309"/>
      <c r="C26438" s="309"/>
      <c r="I26438" s="309"/>
      <c r="J26438" s="309"/>
    </row>
    <row r="26439">
      <c r="B26439" s="309"/>
      <c r="C26439" s="309"/>
      <c r="I26439" s="309"/>
      <c r="J26439" s="309"/>
    </row>
    <row r="26440">
      <c r="B26440" s="309"/>
      <c r="C26440" s="309"/>
      <c r="I26440" s="309"/>
      <c r="J26440" s="309"/>
    </row>
    <row r="26441">
      <c r="B26441" s="309"/>
      <c r="C26441" s="309"/>
      <c r="I26441" s="309"/>
      <c r="J26441" s="309"/>
    </row>
    <row r="26442">
      <c r="B26442" s="309"/>
      <c r="C26442" s="309"/>
      <c r="I26442" s="309"/>
      <c r="J26442" s="309"/>
    </row>
    <row r="26443">
      <c r="B26443" s="309"/>
      <c r="C26443" s="309"/>
      <c r="I26443" s="309"/>
      <c r="J26443" s="309"/>
    </row>
    <row r="26444">
      <c r="B26444" s="309"/>
      <c r="C26444" s="309"/>
      <c r="I26444" s="309"/>
      <c r="J26444" s="309"/>
    </row>
    <row r="26445">
      <c r="B26445" s="309"/>
      <c r="C26445" s="309"/>
      <c r="I26445" s="309"/>
      <c r="J26445" s="309"/>
    </row>
    <row r="26446">
      <c r="B26446" s="309"/>
      <c r="C26446" s="309"/>
      <c r="I26446" s="309"/>
      <c r="J26446" s="309"/>
    </row>
    <row r="26447">
      <c r="B26447" s="309"/>
      <c r="C26447" s="309"/>
      <c r="I26447" s="309"/>
      <c r="J26447" s="309"/>
    </row>
    <row r="26448">
      <c r="B26448" s="309"/>
      <c r="C26448" s="309"/>
      <c r="I26448" s="309"/>
      <c r="J26448" s="309"/>
    </row>
    <row r="26449">
      <c r="B26449" s="309"/>
      <c r="C26449" s="309"/>
      <c r="I26449" s="309"/>
      <c r="J26449" s="309"/>
    </row>
    <row r="26450">
      <c r="B26450" s="309"/>
      <c r="C26450" s="309"/>
      <c r="I26450" s="309"/>
      <c r="J26450" s="309"/>
    </row>
    <row r="26451">
      <c r="B26451" s="309"/>
      <c r="C26451" s="309"/>
      <c r="I26451" s="309"/>
      <c r="J26451" s="309"/>
    </row>
    <row r="26452">
      <c r="B26452" s="309"/>
      <c r="C26452" s="309"/>
      <c r="I26452" s="309"/>
      <c r="J26452" s="309"/>
    </row>
    <row r="26453">
      <c r="B26453" s="309"/>
      <c r="C26453" s="309"/>
      <c r="I26453" s="309"/>
      <c r="J26453" s="309"/>
    </row>
    <row r="26454">
      <c r="B26454" s="309"/>
      <c r="C26454" s="309"/>
      <c r="I26454" s="309"/>
      <c r="J26454" s="309"/>
    </row>
    <row r="26455">
      <c r="B26455" s="309"/>
      <c r="C26455" s="309"/>
      <c r="I26455" s="309"/>
      <c r="J26455" s="309"/>
    </row>
    <row r="26456">
      <c r="B26456" s="309"/>
      <c r="C26456" s="309"/>
      <c r="I26456" s="309"/>
      <c r="J26456" s="309"/>
    </row>
    <row r="26457">
      <c r="B26457" s="309"/>
      <c r="C26457" s="309"/>
      <c r="I26457" s="309"/>
      <c r="J26457" s="309"/>
    </row>
    <row r="26458">
      <c r="B26458" s="309"/>
      <c r="C26458" s="309"/>
      <c r="I26458" s="309"/>
      <c r="J26458" s="309"/>
    </row>
    <row r="26459">
      <c r="B26459" s="309"/>
      <c r="C26459" s="309"/>
      <c r="I26459" s="309"/>
      <c r="J26459" s="309"/>
    </row>
    <row r="26460">
      <c r="B26460" s="309"/>
      <c r="C26460" s="309"/>
      <c r="I26460" s="309"/>
      <c r="J26460" s="309"/>
    </row>
    <row r="26461">
      <c r="B26461" s="309"/>
      <c r="C26461" s="309"/>
      <c r="I26461" s="309"/>
      <c r="J26461" s="309"/>
    </row>
    <row r="26462">
      <c r="B26462" s="309"/>
      <c r="C26462" s="309"/>
      <c r="I26462" s="309"/>
      <c r="J26462" s="309"/>
    </row>
    <row r="26463">
      <c r="B26463" s="309"/>
      <c r="C26463" s="309"/>
      <c r="I26463" s="309"/>
      <c r="J26463" s="309"/>
    </row>
    <row r="26464">
      <c r="B26464" s="309"/>
      <c r="C26464" s="309"/>
      <c r="I26464" s="309"/>
      <c r="J26464" s="309"/>
    </row>
    <row r="26465">
      <c r="B26465" s="309"/>
      <c r="C26465" s="309"/>
      <c r="I26465" s="309"/>
      <c r="J26465" s="309"/>
    </row>
    <row r="26466">
      <c r="B26466" s="309"/>
      <c r="C26466" s="309"/>
      <c r="I26466" s="309"/>
      <c r="J26466" s="309"/>
    </row>
    <row r="26467">
      <c r="B26467" s="309"/>
      <c r="C26467" s="309"/>
      <c r="I26467" s="309"/>
      <c r="J26467" s="309"/>
    </row>
    <row r="26468">
      <c r="B26468" s="309"/>
      <c r="C26468" s="309"/>
      <c r="I26468" s="309"/>
      <c r="J26468" s="309"/>
    </row>
    <row r="26469">
      <c r="B26469" s="309"/>
      <c r="C26469" s="309"/>
      <c r="I26469" s="309"/>
      <c r="J26469" s="309"/>
    </row>
    <row r="26470">
      <c r="B26470" s="309"/>
      <c r="C26470" s="309"/>
      <c r="I26470" s="309"/>
      <c r="J26470" s="309"/>
    </row>
    <row r="26471">
      <c r="B26471" s="309"/>
      <c r="C26471" s="309"/>
      <c r="I26471" s="309"/>
      <c r="J26471" s="309"/>
    </row>
    <row r="26472">
      <c r="B26472" s="309"/>
      <c r="C26472" s="309"/>
      <c r="I26472" s="309"/>
      <c r="J26472" s="309"/>
    </row>
    <row r="26473">
      <c r="B26473" s="309"/>
      <c r="C26473" s="309"/>
      <c r="I26473" s="309"/>
      <c r="J26473" s="309"/>
    </row>
    <row r="26474">
      <c r="B26474" s="309"/>
      <c r="C26474" s="309"/>
      <c r="I26474" s="309"/>
      <c r="J26474" s="309"/>
    </row>
    <row r="26475">
      <c r="B26475" s="309"/>
      <c r="C26475" s="309"/>
      <c r="I26475" s="309"/>
      <c r="J26475" s="309"/>
    </row>
    <row r="26476">
      <c r="B26476" s="309"/>
      <c r="C26476" s="309"/>
      <c r="I26476" s="309"/>
      <c r="J26476" s="309"/>
    </row>
    <row r="26477">
      <c r="B26477" s="309"/>
      <c r="C26477" s="309"/>
      <c r="I26477" s="309"/>
      <c r="J26477" s="309"/>
    </row>
    <row r="26478">
      <c r="B26478" s="309"/>
      <c r="C26478" s="309"/>
      <c r="I26478" s="309"/>
      <c r="J26478" s="309"/>
    </row>
    <row r="26479">
      <c r="B26479" s="309"/>
      <c r="C26479" s="309"/>
      <c r="I26479" s="309"/>
      <c r="J26479" s="309"/>
    </row>
    <row r="26480">
      <c r="B26480" s="309"/>
      <c r="C26480" s="309"/>
      <c r="I26480" s="309"/>
      <c r="J26480" s="309"/>
    </row>
    <row r="26481">
      <c r="B26481" s="309"/>
      <c r="C26481" s="309"/>
      <c r="I26481" s="309"/>
      <c r="J26481" s="309"/>
    </row>
    <row r="26482">
      <c r="B26482" s="309"/>
      <c r="C26482" s="309"/>
      <c r="I26482" s="309"/>
      <c r="J26482" s="309"/>
    </row>
    <row r="26483">
      <c r="B26483" s="309"/>
      <c r="C26483" s="309"/>
      <c r="I26483" s="309"/>
      <c r="J26483" s="309"/>
    </row>
    <row r="26484">
      <c r="B26484" s="309"/>
      <c r="C26484" s="309"/>
      <c r="I26484" s="309"/>
      <c r="J26484" s="309"/>
    </row>
    <row r="26485">
      <c r="B26485" s="309"/>
      <c r="C26485" s="309"/>
      <c r="I26485" s="309"/>
      <c r="J26485" s="309"/>
    </row>
    <row r="26486">
      <c r="B26486" s="309"/>
      <c r="C26486" s="309"/>
      <c r="I26486" s="309"/>
      <c r="J26486" s="309"/>
    </row>
    <row r="26487">
      <c r="B26487" s="309"/>
      <c r="C26487" s="309"/>
      <c r="I26487" s="309"/>
      <c r="J26487" s="309"/>
    </row>
    <row r="26488">
      <c r="B26488" s="309"/>
      <c r="C26488" s="309"/>
      <c r="I26488" s="309"/>
      <c r="J26488" s="309"/>
    </row>
    <row r="26489">
      <c r="B26489" s="309"/>
      <c r="C26489" s="309"/>
      <c r="I26489" s="309"/>
      <c r="J26489" s="309"/>
    </row>
    <row r="26490">
      <c r="B26490" s="309"/>
      <c r="C26490" s="309"/>
      <c r="I26490" s="309"/>
      <c r="J26490" s="309"/>
    </row>
    <row r="26491">
      <c r="B26491" s="309"/>
      <c r="C26491" s="309"/>
      <c r="I26491" s="309"/>
      <c r="J26491" s="309"/>
    </row>
    <row r="26492">
      <c r="B26492" s="309"/>
      <c r="C26492" s="309"/>
      <c r="I26492" s="309"/>
      <c r="J26492" s="309"/>
    </row>
    <row r="26493">
      <c r="B26493" s="309"/>
      <c r="C26493" s="309"/>
      <c r="I26493" s="309"/>
      <c r="J26493" s="309"/>
    </row>
    <row r="26494">
      <c r="B26494" s="309"/>
      <c r="C26494" s="309"/>
      <c r="I26494" s="309"/>
      <c r="J26494" s="309"/>
    </row>
    <row r="26495">
      <c r="B26495" s="309"/>
      <c r="C26495" s="309"/>
      <c r="I26495" s="309"/>
      <c r="J26495" s="309"/>
    </row>
    <row r="26496">
      <c r="B26496" s="309"/>
      <c r="C26496" s="309"/>
      <c r="I26496" s="309"/>
      <c r="J26496" s="309"/>
    </row>
    <row r="26497">
      <c r="B26497" s="309"/>
      <c r="C26497" s="309"/>
      <c r="I26497" s="309"/>
      <c r="J26497" s="309"/>
    </row>
    <row r="26498">
      <c r="B26498" s="309"/>
      <c r="C26498" s="309"/>
      <c r="I26498" s="309"/>
      <c r="J26498" s="309"/>
    </row>
    <row r="26499">
      <c r="B26499" s="309"/>
      <c r="C26499" s="309"/>
      <c r="I26499" s="309"/>
      <c r="J26499" s="309"/>
    </row>
    <row r="26500">
      <c r="B26500" s="309"/>
      <c r="C26500" s="309"/>
      <c r="I26500" s="309"/>
      <c r="J26500" s="309"/>
    </row>
    <row r="26501">
      <c r="B26501" s="309"/>
      <c r="C26501" s="309"/>
      <c r="I26501" s="309"/>
      <c r="J26501" s="309"/>
    </row>
    <row r="26502">
      <c r="B26502" s="309"/>
      <c r="C26502" s="309"/>
      <c r="I26502" s="309"/>
      <c r="J26502" s="309"/>
    </row>
    <row r="26503">
      <c r="B26503" s="309"/>
      <c r="C26503" s="309"/>
      <c r="I26503" s="309"/>
      <c r="J26503" s="309"/>
    </row>
    <row r="26504">
      <c r="B26504" s="309"/>
      <c r="C26504" s="309"/>
      <c r="I26504" s="309"/>
      <c r="J26504" s="309"/>
    </row>
    <row r="26505">
      <c r="B26505" s="309"/>
      <c r="C26505" s="309"/>
      <c r="I26505" s="309"/>
      <c r="J26505" s="309"/>
    </row>
    <row r="26506">
      <c r="B26506" s="309"/>
      <c r="C26506" s="309"/>
      <c r="I26506" s="309"/>
      <c r="J26506" s="309"/>
    </row>
    <row r="26507">
      <c r="B26507" s="309"/>
      <c r="C26507" s="309"/>
      <c r="I26507" s="309"/>
      <c r="J26507" s="309"/>
    </row>
    <row r="26508">
      <c r="B26508" s="309"/>
      <c r="C26508" s="309"/>
      <c r="I26508" s="309"/>
      <c r="J26508" s="309"/>
    </row>
    <row r="26509">
      <c r="B26509" s="309"/>
      <c r="C26509" s="309"/>
      <c r="I26509" s="309"/>
      <c r="J26509" s="309"/>
    </row>
    <row r="26510">
      <c r="B26510" s="309"/>
      <c r="C26510" s="309"/>
      <c r="I26510" s="309"/>
      <c r="J26510" s="309"/>
    </row>
    <row r="26511">
      <c r="B26511" s="309"/>
      <c r="C26511" s="309"/>
      <c r="I26511" s="309"/>
      <c r="J26511" s="309"/>
    </row>
    <row r="26512">
      <c r="B26512" s="309"/>
      <c r="C26512" s="309"/>
      <c r="I26512" s="309"/>
      <c r="J26512" s="309"/>
    </row>
    <row r="26513">
      <c r="B26513" s="309"/>
      <c r="C26513" s="309"/>
      <c r="I26513" s="309"/>
      <c r="J26513" s="309"/>
    </row>
    <row r="26514">
      <c r="B26514" s="309"/>
      <c r="C26514" s="309"/>
      <c r="I26514" s="309"/>
      <c r="J26514" s="309"/>
    </row>
    <row r="26515">
      <c r="B26515" s="309"/>
      <c r="C26515" s="309"/>
      <c r="I26515" s="309"/>
      <c r="J26515" s="309"/>
    </row>
    <row r="26516">
      <c r="B26516" s="309"/>
      <c r="C26516" s="309"/>
      <c r="I26516" s="309"/>
      <c r="J26516" s="309"/>
    </row>
    <row r="26517">
      <c r="B26517" s="309"/>
      <c r="C26517" s="309"/>
      <c r="I26517" s="309"/>
      <c r="J26517" s="309"/>
    </row>
    <row r="26518">
      <c r="B26518" s="309"/>
      <c r="C26518" s="309"/>
      <c r="I26518" s="309"/>
      <c r="J26518" s="309"/>
    </row>
    <row r="26519">
      <c r="B26519" s="309"/>
      <c r="C26519" s="309"/>
      <c r="I26519" s="309"/>
      <c r="J26519" s="309"/>
    </row>
    <row r="26520">
      <c r="B26520" s="309"/>
      <c r="C26520" s="309"/>
      <c r="I26520" s="309"/>
      <c r="J26520" s="309"/>
    </row>
    <row r="26521">
      <c r="B26521" s="309"/>
      <c r="C26521" s="309"/>
      <c r="I26521" s="309"/>
      <c r="J26521" s="309"/>
    </row>
    <row r="26522">
      <c r="B26522" s="309"/>
      <c r="C26522" s="309"/>
      <c r="I26522" s="309"/>
      <c r="J26522" s="309"/>
    </row>
    <row r="26523">
      <c r="B26523" s="309"/>
      <c r="C26523" s="309"/>
      <c r="I26523" s="309"/>
      <c r="J26523" s="309"/>
    </row>
    <row r="26524">
      <c r="B26524" s="309"/>
      <c r="C26524" s="309"/>
      <c r="I26524" s="309"/>
      <c r="J26524" s="309"/>
    </row>
    <row r="26525">
      <c r="B26525" s="309"/>
      <c r="C26525" s="309"/>
      <c r="I26525" s="309"/>
      <c r="J26525" s="309"/>
    </row>
    <row r="26526">
      <c r="B26526" s="309"/>
      <c r="C26526" s="309"/>
      <c r="I26526" s="309"/>
      <c r="J26526" s="309"/>
    </row>
    <row r="26527">
      <c r="B26527" s="309"/>
      <c r="C26527" s="309"/>
      <c r="I26527" s="309"/>
      <c r="J26527" s="309"/>
    </row>
    <row r="26528">
      <c r="B26528" s="309"/>
      <c r="C26528" s="309"/>
      <c r="I26528" s="309"/>
      <c r="J26528" s="309"/>
    </row>
    <row r="26529">
      <c r="B26529" s="309"/>
      <c r="C26529" s="309"/>
      <c r="I26529" s="309"/>
      <c r="J26529" s="309"/>
    </row>
    <row r="26530">
      <c r="B26530" s="309"/>
      <c r="C26530" s="309"/>
      <c r="I26530" s="309"/>
      <c r="J26530" s="309"/>
    </row>
    <row r="26531">
      <c r="B26531" s="309"/>
      <c r="C26531" s="309"/>
      <c r="I26531" s="309"/>
      <c r="J26531" s="309"/>
    </row>
    <row r="26532">
      <c r="B26532" s="309"/>
      <c r="C26532" s="309"/>
      <c r="I26532" s="309"/>
      <c r="J26532" s="309"/>
    </row>
    <row r="26533">
      <c r="B26533" s="309"/>
      <c r="C26533" s="309"/>
      <c r="I26533" s="309"/>
      <c r="J26533" s="309"/>
    </row>
    <row r="26534">
      <c r="B26534" s="309"/>
      <c r="C26534" s="309"/>
      <c r="I26534" s="309"/>
      <c r="J26534" s="309"/>
    </row>
    <row r="26535">
      <c r="B26535" s="309"/>
      <c r="C26535" s="309"/>
      <c r="I26535" s="309"/>
      <c r="J26535" s="309"/>
    </row>
    <row r="26536">
      <c r="B26536" s="309"/>
      <c r="C26536" s="309"/>
      <c r="I26536" s="309"/>
      <c r="J26536" s="309"/>
    </row>
    <row r="26537">
      <c r="B26537" s="309"/>
      <c r="C26537" s="309"/>
      <c r="I26537" s="309"/>
      <c r="J26537" s="309"/>
    </row>
    <row r="26538">
      <c r="B26538" s="309"/>
      <c r="C26538" s="309"/>
      <c r="I26538" s="309"/>
      <c r="J26538" s="309"/>
    </row>
    <row r="26539">
      <c r="B26539" s="309"/>
      <c r="C26539" s="309"/>
      <c r="I26539" s="309"/>
      <c r="J26539" s="309"/>
    </row>
    <row r="26540">
      <c r="B26540" s="309"/>
      <c r="C26540" s="309"/>
      <c r="I26540" s="309"/>
      <c r="J26540" s="309"/>
    </row>
    <row r="26541">
      <c r="B26541" s="309"/>
      <c r="C26541" s="309"/>
      <c r="I26541" s="309"/>
      <c r="J26541" s="309"/>
    </row>
    <row r="26542">
      <c r="B26542" s="309"/>
      <c r="C26542" s="309"/>
      <c r="I26542" s="309"/>
      <c r="J26542" s="309"/>
    </row>
    <row r="26543">
      <c r="B26543" s="309"/>
      <c r="C26543" s="309"/>
      <c r="I26543" s="309"/>
      <c r="J26543" s="309"/>
    </row>
    <row r="26544">
      <c r="B26544" s="309"/>
      <c r="C26544" s="309"/>
      <c r="I26544" s="309"/>
      <c r="J26544" s="309"/>
    </row>
    <row r="26545">
      <c r="B26545" s="309"/>
      <c r="C26545" s="309"/>
      <c r="I26545" s="309"/>
      <c r="J26545" s="309"/>
    </row>
    <row r="26546">
      <c r="B26546" s="309"/>
      <c r="C26546" s="309"/>
      <c r="I26546" s="309"/>
      <c r="J26546" s="309"/>
    </row>
    <row r="26547">
      <c r="B26547" s="309"/>
      <c r="C26547" s="309"/>
      <c r="I26547" s="309"/>
      <c r="J26547" s="309"/>
    </row>
    <row r="26548">
      <c r="B26548" s="309"/>
      <c r="C26548" s="309"/>
      <c r="I26548" s="309"/>
      <c r="J26548" s="309"/>
    </row>
    <row r="26549">
      <c r="B26549" s="309"/>
      <c r="C26549" s="309"/>
      <c r="I26549" s="309"/>
      <c r="J26549" s="309"/>
    </row>
    <row r="26550">
      <c r="B26550" s="309"/>
      <c r="C26550" s="309"/>
      <c r="I26550" s="309"/>
      <c r="J26550" s="309"/>
    </row>
    <row r="26551">
      <c r="B26551" s="309"/>
      <c r="C26551" s="309"/>
      <c r="I26551" s="309"/>
      <c r="J26551" s="309"/>
    </row>
    <row r="26552">
      <c r="B26552" s="309"/>
      <c r="C26552" s="309"/>
      <c r="I26552" s="309"/>
      <c r="J26552" s="309"/>
    </row>
    <row r="26553">
      <c r="B26553" s="309"/>
      <c r="C26553" s="309"/>
      <c r="I26553" s="309"/>
      <c r="J26553" s="309"/>
    </row>
    <row r="26554">
      <c r="B26554" s="309"/>
      <c r="C26554" s="309"/>
      <c r="I26554" s="309"/>
      <c r="J26554" s="309"/>
    </row>
    <row r="26555">
      <c r="B26555" s="309"/>
      <c r="C26555" s="309"/>
      <c r="I26555" s="309"/>
      <c r="J26555" s="309"/>
    </row>
    <row r="26556">
      <c r="B26556" s="309"/>
      <c r="C26556" s="309"/>
      <c r="I26556" s="309"/>
      <c r="J26556" s="309"/>
    </row>
    <row r="26557">
      <c r="B26557" s="309"/>
      <c r="C26557" s="309"/>
      <c r="I26557" s="309"/>
      <c r="J26557" s="309"/>
    </row>
    <row r="26558">
      <c r="B26558" s="309"/>
      <c r="C26558" s="309"/>
      <c r="I26558" s="309"/>
      <c r="J26558" s="309"/>
    </row>
    <row r="26559">
      <c r="B26559" s="309"/>
      <c r="C26559" s="309"/>
      <c r="I26559" s="309"/>
      <c r="J26559" s="309"/>
    </row>
    <row r="26560">
      <c r="B26560" s="309"/>
      <c r="C26560" s="309"/>
      <c r="I26560" s="309"/>
      <c r="J26560" s="309"/>
    </row>
    <row r="26561">
      <c r="B26561" s="309"/>
      <c r="C26561" s="309"/>
      <c r="I26561" s="309"/>
      <c r="J26561" s="309"/>
    </row>
    <row r="26562">
      <c r="B26562" s="309"/>
      <c r="C26562" s="309"/>
      <c r="I26562" s="309"/>
      <c r="J26562" s="309"/>
    </row>
    <row r="26563">
      <c r="B26563" s="309"/>
      <c r="C26563" s="309"/>
      <c r="I26563" s="309"/>
      <c r="J26563" s="309"/>
    </row>
    <row r="26564">
      <c r="B26564" s="309"/>
      <c r="C26564" s="309"/>
      <c r="I26564" s="309"/>
      <c r="J26564" s="309"/>
    </row>
    <row r="26565">
      <c r="B26565" s="309"/>
      <c r="C26565" s="309"/>
      <c r="I26565" s="309"/>
      <c r="J26565" s="309"/>
    </row>
    <row r="26566">
      <c r="B26566" s="309"/>
      <c r="C26566" s="309"/>
      <c r="I26566" s="309"/>
      <c r="J26566" s="309"/>
    </row>
    <row r="26567">
      <c r="B26567" s="309"/>
      <c r="C26567" s="309"/>
      <c r="I26567" s="309"/>
      <c r="J26567" s="309"/>
    </row>
    <row r="26568">
      <c r="B26568" s="309"/>
      <c r="C26568" s="309"/>
      <c r="I26568" s="309"/>
      <c r="J26568" s="309"/>
    </row>
    <row r="26569">
      <c r="B26569" s="309"/>
      <c r="C26569" s="309"/>
      <c r="I26569" s="309"/>
      <c r="J26569" s="309"/>
    </row>
    <row r="26570">
      <c r="B26570" s="309"/>
      <c r="C26570" s="309"/>
      <c r="I26570" s="309"/>
      <c r="J26570" s="309"/>
    </row>
    <row r="26571">
      <c r="B26571" s="309"/>
      <c r="C26571" s="309"/>
      <c r="I26571" s="309"/>
      <c r="J26571" s="309"/>
    </row>
    <row r="26572">
      <c r="B26572" s="309"/>
      <c r="C26572" s="309"/>
      <c r="I26572" s="309"/>
      <c r="J26572" s="309"/>
    </row>
    <row r="26573">
      <c r="B26573" s="309"/>
      <c r="C26573" s="309"/>
      <c r="I26573" s="309"/>
      <c r="J26573" s="309"/>
    </row>
    <row r="26574">
      <c r="B26574" s="309"/>
      <c r="C26574" s="309"/>
      <c r="I26574" s="309"/>
      <c r="J26574" s="309"/>
    </row>
    <row r="26575">
      <c r="B26575" s="309"/>
      <c r="C26575" s="309"/>
      <c r="I26575" s="309"/>
      <c r="J26575" s="309"/>
    </row>
    <row r="26576">
      <c r="B26576" s="309"/>
      <c r="C26576" s="309"/>
      <c r="I26576" s="309"/>
      <c r="J26576" s="309"/>
    </row>
    <row r="26577">
      <c r="B26577" s="309"/>
      <c r="C26577" s="309"/>
      <c r="I26577" s="309"/>
      <c r="J26577" s="309"/>
    </row>
    <row r="26578">
      <c r="B26578" s="309"/>
      <c r="C26578" s="309"/>
      <c r="I26578" s="309"/>
      <c r="J26578" s="309"/>
    </row>
    <row r="26579">
      <c r="B26579" s="309"/>
      <c r="C26579" s="309"/>
      <c r="I26579" s="309"/>
      <c r="J26579" s="309"/>
    </row>
    <row r="26580">
      <c r="B26580" s="309"/>
      <c r="C26580" s="309"/>
      <c r="I26580" s="309"/>
      <c r="J26580" s="309"/>
    </row>
    <row r="26581">
      <c r="B26581" s="309"/>
      <c r="C26581" s="309"/>
      <c r="I26581" s="309"/>
      <c r="J26581" s="309"/>
    </row>
    <row r="26582">
      <c r="B26582" s="309"/>
      <c r="C26582" s="309"/>
      <c r="I26582" s="309"/>
      <c r="J26582" s="309"/>
    </row>
    <row r="26583">
      <c r="B26583" s="309"/>
      <c r="C26583" s="309"/>
      <c r="I26583" s="309"/>
      <c r="J26583" s="309"/>
    </row>
    <row r="26584">
      <c r="B26584" s="309"/>
      <c r="C26584" s="309"/>
      <c r="I26584" s="309"/>
      <c r="J26584" s="309"/>
    </row>
    <row r="26585">
      <c r="B26585" s="309"/>
      <c r="C26585" s="309"/>
      <c r="I26585" s="309"/>
      <c r="J26585" s="309"/>
    </row>
    <row r="26586">
      <c r="B26586" s="309"/>
      <c r="C26586" s="309"/>
      <c r="I26586" s="309"/>
      <c r="J26586" s="309"/>
    </row>
    <row r="26587">
      <c r="B26587" s="309"/>
      <c r="C26587" s="309"/>
      <c r="I26587" s="309"/>
      <c r="J26587" s="309"/>
    </row>
    <row r="26588">
      <c r="B26588" s="309"/>
      <c r="C26588" s="309"/>
      <c r="I26588" s="309"/>
      <c r="J26588" s="309"/>
    </row>
    <row r="26589">
      <c r="B26589" s="309"/>
      <c r="C26589" s="309"/>
      <c r="I26589" s="309"/>
      <c r="J26589" s="309"/>
    </row>
    <row r="26590">
      <c r="B26590" s="309"/>
      <c r="C26590" s="309"/>
      <c r="I26590" s="309"/>
      <c r="J26590" s="309"/>
    </row>
    <row r="26591">
      <c r="B26591" s="309"/>
      <c r="C26591" s="309"/>
      <c r="I26591" s="309"/>
      <c r="J26591" s="309"/>
    </row>
    <row r="26592">
      <c r="B26592" s="309"/>
      <c r="C26592" s="309"/>
      <c r="I26592" s="309"/>
      <c r="J26592" s="309"/>
    </row>
    <row r="26593">
      <c r="B26593" s="309"/>
      <c r="C26593" s="309"/>
      <c r="I26593" s="309"/>
      <c r="J26593" s="309"/>
    </row>
    <row r="26594">
      <c r="B26594" s="309"/>
      <c r="C26594" s="309"/>
      <c r="I26594" s="309"/>
      <c r="J26594" s="309"/>
    </row>
    <row r="26595">
      <c r="B26595" s="309"/>
      <c r="C26595" s="309"/>
      <c r="I26595" s="309"/>
      <c r="J26595" s="309"/>
    </row>
    <row r="26596">
      <c r="B26596" s="309"/>
      <c r="C26596" s="309"/>
      <c r="I26596" s="309"/>
      <c r="J26596" s="309"/>
    </row>
    <row r="26597">
      <c r="B26597" s="309"/>
      <c r="C26597" s="309"/>
      <c r="I26597" s="309"/>
      <c r="J26597" s="309"/>
    </row>
    <row r="26598">
      <c r="B26598" s="309"/>
      <c r="C26598" s="309"/>
      <c r="I26598" s="309"/>
      <c r="J26598" s="309"/>
    </row>
    <row r="26599">
      <c r="B26599" s="309"/>
      <c r="C26599" s="309"/>
      <c r="I26599" s="309"/>
      <c r="J26599" s="309"/>
    </row>
    <row r="26600">
      <c r="B26600" s="309"/>
      <c r="C26600" s="309"/>
      <c r="I26600" s="309"/>
      <c r="J26600" s="309"/>
    </row>
    <row r="26601">
      <c r="B26601" s="309"/>
      <c r="C26601" s="309"/>
      <c r="I26601" s="309"/>
      <c r="J26601" s="309"/>
    </row>
    <row r="26602">
      <c r="B26602" s="309"/>
      <c r="C26602" s="309"/>
      <c r="I26602" s="309"/>
      <c r="J26602" s="309"/>
    </row>
    <row r="26603">
      <c r="B26603" s="309"/>
      <c r="C26603" s="309"/>
      <c r="I26603" s="309"/>
      <c r="J26603" s="309"/>
    </row>
    <row r="26604">
      <c r="B26604" s="309"/>
      <c r="C26604" s="309"/>
      <c r="I26604" s="309"/>
      <c r="J26604" s="309"/>
    </row>
    <row r="26605">
      <c r="B26605" s="309"/>
      <c r="C26605" s="309"/>
      <c r="I26605" s="309"/>
      <c r="J26605" s="309"/>
    </row>
    <row r="26606">
      <c r="B26606" s="309"/>
      <c r="C26606" s="309"/>
      <c r="I26606" s="309"/>
      <c r="J26606" s="309"/>
    </row>
    <row r="26607">
      <c r="B26607" s="309"/>
      <c r="C26607" s="309"/>
      <c r="I26607" s="309"/>
      <c r="J26607" s="309"/>
    </row>
    <row r="26608">
      <c r="B26608" s="309"/>
      <c r="C26608" s="309"/>
      <c r="I26608" s="309"/>
      <c r="J26608" s="309"/>
    </row>
    <row r="26609">
      <c r="B26609" s="309"/>
      <c r="C26609" s="309"/>
      <c r="I26609" s="309"/>
      <c r="J26609" s="309"/>
    </row>
    <row r="26610">
      <c r="B26610" s="309"/>
      <c r="C26610" s="309"/>
      <c r="I26610" s="309"/>
      <c r="J26610" s="309"/>
    </row>
    <row r="26611">
      <c r="B26611" s="309"/>
      <c r="C26611" s="309"/>
      <c r="I26611" s="309"/>
      <c r="J26611" s="309"/>
    </row>
    <row r="26612">
      <c r="B26612" s="309"/>
      <c r="C26612" s="309"/>
      <c r="I26612" s="309"/>
      <c r="J26612" s="309"/>
    </row>
    <row r="26613">
      <c r="B26613" s="309"/>
      <c r="C26613" s="309"/>
      <c r="I26613" s="309"/>
      <c r="J26613" s="309"/>
    </row>
    <row r="26614">
      <c r="B26614" s="309"/>
      <c r="C26614" s="309"/>
      <c r="I26614" s="309"/>
      <c r="J26614" s="309"/>
    </row>
    <row r="26615">
      <c r="B26615" s="309"/>
      <c r="C26615" s="309"/>
      <c r="I26615" s="309"/>
      <c r="J26615" s="309"/>
    </row>
    <row r="26616">
      <c r="B26616" s="309"/>
      <c r="C26616" s="309"/>
      <c r="I26616" s="309"/>
      <c r="J26616" s="309"/>
    </row>
    <row r="26617">
      <c r="B26617" s="309"/>
      <c r="C26617" s="309"/>
      <c r="I26617" s="309"/>
      <c r="J26617" s="309"/>
    </row>
    <row r="26618">
      <c r="B26618" s="309"/>
      <c r="C26618" s="309"/>
      <c r="I26618" s="309"/>
      <c r="J26618" s="309"/>
    </row>
    <row r="26619">
      <c r="B26619" s="309"/>
      <c r="C26619" s="309"/>
      <c r="I26619" s="309"/>
      <c r="J26619" s="309"/>
    </row>
    <row r="26620">
      <c r="B26620" s="309"/>
      <c r="C26620" s="309"/>
      <c r="I26620" s="309"/>
      <c r="J26620" s="309"/>
    </row>
    <row r="26621">
      <c r="B26621" s="309"/>
      <c r="C26621" s="309"/>
      <c r="I26621" s="309"/>
      <c r="J26621" s="309"/>
    </row>
    <row r="26622">
      <c r="B26622" s="309"/>
      <c r="C26622" s="309"/>
      <c r="I26622" s="309"/>
      <c r="J26622" s="309"/>
    </row>
    <row r="26623">
      <c r="B26623" s="309"/>
      <c r="C26623" s="309"/>
      <c r="I26623" s="309"/>
      <c r="J26623" s="309"/>
    </row>
    <row r="26624">
      <c r="B26624" s="309"/>
      <c r="C26624" s="309"/>
      <c r="I26624" s="309"/>
      <c r="J26624" s="309"/>
    </row>
    <row r="26625">
      <c r="B26625" s="309"/>
      <c r="C26625" s="309"/>
      <c r="I26625" s="309"/>
      <c r="J26625" s="309"/>
    </row>
    <row r="26626">
      <c r="B26626" s="309"/>
      <c r="C26626" s="309"/>
      <c r="I26626" s="309"/>
      <c r="J26626" s="309"/>
    </row>
    <row r="26627">
      <c r="B26627" s="309"/>
      <c r="C26627" s="309"/>
      <c r="I26627" s="309"/>
      <c r="J26627" s="309"/>
    </row>
    <row r="26628">
      <c r="B26628" s="309"/>
      <c r="C26628" s="309"/>
      <c r="I26628" s="309"/>
      <c r="J26628" s="309"/>
    </row>
    <row r="26629">
      <c r="B26629" s="309"/>
      <c r="C26629" s="309"/>
      <c r="I26629" s="309"/>
      <c r="J26629" s="309"/>
    </row>
    <row r="26630">
      <c r="B26630" s="309"/>
      <c r="C26630" s="309"/>
      <c r="I26630" s="309"/>
      <c r="J26630" s="309"/>
    </row>
    <row r="26631">
      <c r="B26631" s="309"/>
      <c r="C26631" s="309"/>
      <c r="I26631" s="309"/>
      <c r="J26631" s="309"/>
    </row>
    <row r="26632">
      <c r="B26632" s="309"/>
      <c r="C26632" s="309"/>
      <c r="I26632" s="309"/>
      <c r="J26632" s="309"/>
    </row>
    <row r="26633">
      <c r="B26633" s="309"/>
      <c r="C26633" s="309"/>
      <c r="I26633" s="309"/>
      <c r="J26633" s="309"/>
    </row>
    <row r="26634">
      <c r="B26634" s="309"/>
      <c r="C26634" s="309"/>
      <c r="I26634" s="309"/>
      <c r="J26634" s="309"/>
    </row>
    <row r="26635">
      <c r="B26635" s="309"/>
      <c r="C26635" s="309"/>
      <c r="I26635" s="309"/>
      <c r="J26635" s="309"/>
    </row>
    <row r="26636">
      <c r="B26636" s="309"/>
      <c r="C26636" s="309"/>
      <c r="I26636" s="309"/>
      <c r="J26636" s="309"/>
    </row>
    <row r="26637">
      <c r="B26637" s="309"/>
      <c r="C26637" s="309"/>
      <c r="I26637" s="309"/>
      <c r="J26637" s="309"/>
    </row>
    <row r="26638">
      <c r="B26638" s="309"/>
      <c r="C26638" s="309"/>
      <c r="I26638" s="309"/>
      <c r="J26638" s="309"/>
    </row>
    <row r="26639">
      <c r="B26639" s="309"/>
      <c r="C26639" s="309"/>
      <c r="I26639" s="309"/>
      <c r="J26639" s="309"/>
    </row>
    <row r="26640">
      <c r="B26640" s="309"/>
      <c r="C26640" s="309"/>
      <c r="I26640" s="309"/>
      <c r="J26640" s="309"/>
    </row>
    <row r="26641">
      <c r="B26641" s="309"/>
      <c r="C26641" s="309"/>
      <c r="I26641" s="309"/>
      <c r="J26641" s="309"/>
    </row>
    <row r="26642">
      <c r="B26642" s="309"/>
      <c r="C26642" s="309"/>
      <c r="I26642" s="309"/>
      <c r="J26642" s="309"/>
    </row>
    <row r="26643">
      <c r="B26643" s="309"/>
      <c r="C26643" s="309"/>
      <c r="I26643" s="309"/>
      <c r="J26643" s="309"/>
    </row>
    <row r="26644">
      <c r="B26644" s="309"/>
      <c r="C26644" s="309"/>
      <c r="I26644" s="309"/>
      <c r="J26644" s="309"/>
    </row>
    <row r="26645">
      <c r="B26645" s="309"/>
      <c r="C26645" s="309"/>
      <c r="I26645" s="309"/>
      <c r="J26645" s="309"/>
    </row>
    <row r="26646">
      <c r="B26646" s="309"/>
      <c r="C26646" s="309"/>
      <c r="I26646" s="309"/>
      <c r="J26646" s="309"/>
    </row>
    <row r="26647">
      <c r="B26647" s="309"/>
      <c r="C26647" s="309"/>
      <c r="I26647" s="309"/>
      <c r="J26647" s="309"/>
    </row>
    <row r="26648">
      <c r="B26648" s="309"/>
      <c r="C26648" s="309"/>
      <c r="I26648" s="309"/>
      <c r="J26648" s="309"/>
    </row>
    <row r="26649">
      <c r="B26649" s="309"/>
      <c r="C26649" s="309"/>
      <c r="I26649" s="309"/>
      <c r="J26649" s="309"/>
    </row>
    <row r="26650">
      <c r="B26650" s="309"/>
      <c r="C26650" s="309"/>
      <c r="I26650" s="309"/>
      <c r="J26650" s="309"/>
    </row>
    <row r="26651">
      <c r="B26651" s="309"/>
      <c r="C26651" s="309"/>
      <c r="I26651" s="309"/>
      <c r="J26651" s="309"/>
    </row>
    <row r="26652">
      <c r="B26652" s="309"/>
      <c r="C26652" s="309"/>
      <c r="I26652" s="309"/>
      <c r="J26652" s="309"/>
    </row>
    <row r="26653">
      <c r="B26653" s="309"/>
      <c r="C26653" s="309"/>
      <c r="I26653" s="309"/>
      <c r="J26653" s="309"/>
    </row>
    <row r="26654">
      <c r="B26654" s="309"/>
      <c r="C26654" s="309"/>
      <c r="I26654" s="309"/>
      <c r="J26654" s="309"/>
    </row>
    <row r="26655">
      <c r="B26655" s="309"/>
      <c r="C26655" s="309"/>
      <c r="I26655" s="309"/>
      <c r="J26655" s="309"/>
    </row>
    <row r="26656">
      <c r="B26656" s="309"/>
      <c r="C26656" s="309"/>
      <c r="I26656" s="309"/>
      <c r="J26656" s="309"/>
    </row>
    <row r="26657">
      <c r="B26657" s="309"/>
      <c r="C26657" s="309"/>
      <c r="I26657" s="309"/>
      <c r="J26657" s="309"/>
    </row>
    <row r="26658">
      <c r="B26658" s="309"/>
      <c r="C26658" s="309"/>
      <c r="I26658" s="309"/>
      <c r="J26658" s="309"/>
    </row>
    <row r="26659">
      <c r="B26659" s="309"/>
      <c r="C26659" s="309"/>
      <c r="I26659" s="309"/>
      <c r="J26659" s="309"/>
    </row>
    <row r="26660">
      <c r="B26660" s="309"/>
      <c r="C26660" s="309"/>
      <c r="I26660" s="309"/>
      <c r="J26660" s="309"/>
    </row>
    <row r="26661">
      <c r="B26661" s="309"/>
      <c r="C26661" s="309"/>
      <c r="I26661" s="309"/>
      <c r="J26661" s="309"/>
    </row>
    <row r="26662">
      <c r="B26662" s="309"/>
      <c r="C26662" s="309"/>
      <c r="I26662" s="309"/>
      <c r="J26662" s="309"/>
    </row>
    <row r="26663">
      <c r="B26663" s="309"/>
      <c r="C26663" s="309"/>
      <c r="I26663" s="309"/>
      <c r="J26663" s="309"/>
    </row>
    <row r="26664">
      <c r="B26664" s="309"/>
      <c r="C26664" s="309"/>
      <c r="I26664" s="309"/>
      <c r="J26664" s="309"/>
    </row>
    <row r="26665">
      <c r="B26665" s="309"/>
      <c r="C26665" s="309"/>
      <c r="I26665" s="309"/>
      <c r="J26665" s="309"/>
    </row>
    <row r="26666">
      <c r="B26666" s="309"/>
      <c r="C26666" s="309"/>
      <c r="I26666" s="309"/>
      <c r="J26666" s="309"/>
    </row>
    <row r="26667">
      <c r="B26667" s="309"/>
      <c r="C26667" s="309"/>
      <c r="I26667" s="309"/>
      <c r="J26667" s="309"/>
    </row>
    <row r="26668">
      <c r="B26668" s="309"/>
      <c r="C26668" s="309"/>
      <c r="I26668" s="309"/>
      <c r="J26668" s="309"/>
    </row>
    <row r="26669">
      <c r="B26669" s="309"/>
      <c r="C26669" s="309"/>
      <c r="I26669" s="309"/>
      <c r="J26669" s="309"/>
    </row>
    <row r="26670">
      <c r="B26670" s="309"/>
      <c r="C26670" s="309"/>
      <c r="I26670" s="309"/>
      <c r="J26670" s="309"/>
    </row>
    <row r="26671">
      <c r="B26671" s="309"/>
      <c r="C26671" s="309"/>
      <c r="I26671" s="309"/>
      <c r="J26671" s="309"/>
    </row>
    <row r="26672">
      <c r="B26672" s="309"/>
      <c r="C26672" s="309"/>
      <c r="I26672" s="309"/>
      <c r="J26672" s="309"/>
    </row>
    <row r="26673">
      <c r="B26673" s="309"/>
      <c r="C26673" s="309"/>
      <c r="I26673" s="309"/>
      <c r="J26673" s="309"/>
    </row>
    <row r="26674">
      <c r="B26674" s="309"/>
      <c r="C26674" s="309"/>
      <c r="I26674" s="309"/>
      <c r="J26674" s="309"/>
    </row>
    <row r="26675">
      <c r="B26675" s="309"/>
      <c r="C26675" s="309"/>
      <c r="I26675" s="309"/>
      <c r="J26675" s="309"/>
    </row>
    <row r="26676">
      <c r="B26676" s="309"/>
      <c r="C26676" s="309"/>
      <c r="I26676" s="309"/>
      <c r="J26676" s="309"/>
    </row>
    <row r="26677">
      <c r="B26677" s="309"/>
      <c r="C26677" s="309"/>
      <c r="I26677" s="309"/>
      <c r="J26677" s="309"/>
    </row>
    <row r="26678">
      <c r="B26678" s="309"/>
      <c r="C26678" s="309"/>
      <c r="I26678" s="309"/>
      <c r="J26678" s="309"/>
    </row>
    <row r="26679">
      <c r="B26679" s="309"/>
      <c r="C26679" s="309"/>
      <c r="I26679" s="309"/>
      <c r="J26679" s="309"/>
    </row>
    <row r="26680">
      <c r="B26680" s="309"/>
      <c r="C26680" s="309"/>
      <c r="I26680" s="309"/>
      <c r="J26680" s="309"/>
    </row>
    <row r="26681">
      <c r="B26681" s="309"/>
      <c r="C26681" s="309"/>
      <c r="I26681" s="309"/>
      <c r="J26681" s="309"/>
    </row>
    <row r="26682">
      <c r="B26682" s="309"/>
      <c r="C26682" s="309"/>
      <c r="I26682" s="309"/>
      <c r="J26682" s="309"/>
    </row>
    <row r="26683">
      <c r="B26683" s="309"/>
      <c r="C26683" s="309"/>
      <c r="I26683" s="309"/>
      <c r="J26683" s="309"/>
    </row>
    <row r="26684">
      <c r="B26684" s="309"/>
      <c r="C26684" s="309"/>
      <c r="I26684" s="309"/>
      <c r="J26684" s="309"/>
    </row>
    <row r="26685">
      <c r="B26685" s="309"/>
      <c r="C26685" s="309"/>
      <c r="I26685" s="309"/>
      <c r="J26685" s="309"/>
    </row>
    <row r="26686">
      <c r="B26686" s="309"/>
      <c r="C26686" s="309"/>
      <c r="I26686" s="309"/>
      <c r="J26686" s="309"/>
    </row>
    <row r="26687">
      <c r="B26687" s="309"/>
      <c r="C26687" s="309"/>
      <c r="I26687" s="309"/>
      <c r="J26687" s="309"/>
    </row>
    <row r="26688">
      <c r="B26688" s="309"/>
      <c r="C26688" s="309"/>
      <c r="I26688" s="309"/>
      <c r="J26688" s="309"/>
    </row>
    <row r="26689">
      <c r="B26689" s="309"/>
      <c r="C26689" s="309"/>
      <c r="I26689" s="309"/>
      <c r="J26689" s="309"/>
    </row>
    <row r="26690">
      <c r="B26690" s="309"/>
      <c r="C26690" s="309"/>
      <c r="I26690" s="309"/>
      <c r="J26690" s="309"/>
    </row>
    <row r="26691">
      <c r="B26691" s="309"/>
      <c r="C26691" s="309"/>
      <c r="I26691" s="309"/>
      <c r="J26691" s="309"/>
    </row>
    <row r="26692">
      <c r="B26692" s="309"/>
      <c r="C26692" s="309"/>
      <c r="I26692" s="309"/>
      <c r="J26692" s="309"/>
    </row>
    <row r="26693">
      <c r="B26693" s="309"/>
      <c r="C26693" s="309"/>
      <c r="I26693" s="309"/>
      <c r="J26693" s="309"/>
    </row>
    <row r="26694">
      <c r="B26694" s="309"/>
      <c r="C26694" s="309"/>
      <c r="I26694" s="309"/>
      <c r="J26694" s="309"/>
    </row>
    <row r="26695">
      <c r="B26695" s="309"/>
      <c r="C26695" s="309"/>
      <c r="I26695" s="309"/>
      <c r="J26695" s="309"/>
    </row>
    <row r="26696">
      <c r="B26696" s="309"/>
      <c r="C26696" s="309"/>
      <c r="I26696" s="309"/>
      <c r="J26696" s="309"/>
    </row>
    <row r="26697">
      <c r="B26697" s="309"/>
      <c r="C26697" s="309"/>
      <c r="I26697" s="309"/>
      <c r="J26697" s="309"/>
    </row>
    <row r="26698">
      <c r="B26698" s="309"/>
      <c r="C26698" s="309"/>
      <c r="I26698" s="309"/>
      <c r="J26698" s="309"/>
    </row>
    <row r="26699">
      <c r="B26699" s="309"/>
      <c r="C26699" s="309"/>
      <c r="I26699" s="309"/>
      <c r="J26699" s="309"/>
    </row>
    <row r="26700">
      <c r="B26700" s="309"/>
      <c r="C26700" s="309"/>
      <c r="I26700" s="309"/>
      <c r="J26700" s="309"/>
    </row>
    <row r="26701">
      <c r="B26701" s="309"/>
      <c r="C26701" s="309"/>
      <c r="I26701" s="309"/>
      <c r="J26701" s="309"/>
    </row>
    <row r="26702">
      <c r="B26702" s="309"/>
      <c r="C26702" s="309"/>
      <c r="I26702" s="309"/>
      <c r="J26702" s="309"/>
    </row>
    <row r="26703">
      <c r="B26703" s="309"/>
      <c r="C26703" s="309"/>
      <c r="I26703" s="309"/>
      <c r="J26703" s="309"/>
    </row>
    <row r="26704">
      <c r="B26704" s="309"/>
      <c r="C26704" s="309"/>
      <c r="I26704" s="309"/>
      <c r="J26704" s="309"/>
    </row>
    <row r="26705">
      <c r="B26705" s="309"/>
      <c r="C26705" s="309"/>
      <c r="I26705" s="309"/>
      <c r="J26705" s="309"/>
    </row>
    <row r="26706">
      <c r="B26706" s="309"/>
      <c r="C26706" s="309"/>
      <c r="I26706" s="309"/>
      <c r="J26706" s="309"/>
    </row>
    <row r="26707">
      <c r="B26707" s="309"/>
      <c r="C26707" s="309"/>
      <c r="I26707" s="309"/>
      <c r="J26707" s="309"/>
    </row>
    <row r="26708">
      <c r="B26708" s="309"/>
      <c r="C26708" s="309"/>
      <c r="I26708" s="309"/>
      <c r="J26708" s="309"/>
    </row>
    <row r="26709">
      <c r="B26709" s="309"/>
      <c r="C26709" s="309"/>
      <c r="I26709" s="309"/>
      <c r="J26709" s="309"/>
    </row>
    <row r="26710">
      <c r="B26710" s="309"/>
      <c r="C26710" s="309"/>
      <c r="I26710" s="309"/>
      <c r="J26710" s="309"/>
    </row>
    <row r="26711">
      <c r="B26711" s="309"/>
      <c r="C26711" s="309"/>
      <c r="I26711" s="309"/>
      <c r="J26711" s="309"/>
    </row>
    <row r="26712">
      <c r="B26712" s="309"/>
      <c r="C26712" s="309"/>
      <c r="I26712" s="309"/>
      <c r="J26712" s="309"/>
    </row>
    <row r="26713">
      <c r="B26713" s="309"/>
      <c r="C26713" s="309"/>
      <c r="I26713" s="309"/>
      <c r="J26713" s="309"/>
    </row>
    <row r="26714">
      <c r="B26714" s="309"/>
      <c r="C26714" s="309"/>
      <c r="I26714" s="309"/>
      <c r="J26714" s="309"/>
    </row>
    <row r="26715">
      <c r="B26715" s="309"/>
      <c r="C26715" s="309"/>
      <c r="I26715" s="309"/>
      <c r="J26715" s="309"/>
    </row>
    <row r="26716">
      <c r="B26716" s="309"/>
      <c r="C26716" s="309"/>
      <c r="I26716" s="309"/>
      <c r="J26716" s="309"/>
    </row>
    <row r="26717">
      <c r="B26717" s="309"/>
      <c r="C26717" s="309"/>
      <c r="I26717" s="309"/>
      <c r="J26717" s="309"/>
    </row>
    <row r="26718">
      <c r="B26718" s="309"/>
      <c r="C26718" s="309"/>
      <c r="I26718" s="309"/>
      <c r="J26718" s="309"/>
    </row>
    <row r="26719">
      <c r="B26719" s="309"/>
      <c r="C26719" s="309"/>
      <c r="I26719" s="309"/>
      <c r="J26719" s="309"/>
    </row>
    <row r="26720">
      <c r="B26720" s="309"/>
      <c r="C26720" s="309"/>
      <c r="I26720" s="309"/>
      <c r="J26720" s="309"/>
    </row>
    <row r="26721">
      <c r="B26721" s="309"/>
      <c r="C26721" s="309"/>
      <c r="I26721" s="309"/>
      <c r="J26721" s="309"/>
    </row>
    <row r="26722">
      <c r="B26722" s="309"/>
      <c r="C26722" s="309"/>
      <c r="I26722" s="309"/>
      <c r="J26722" s="309"/>
    </row>
    <row r="26723">
      <c r="B26723" s="309"/>
      <c r="C26723" s="309"/>
      <c r="I26723" s="309"/>
      <c r="J26723" s="309"/>
    </row>
    <row r="26724">
      <c r="B26724" s="309"/>
      <c r="C26724" s="309"/>
      <c r="I26724" s="309"/>
      <c r="J26724" s="309"/>
    </row>
    <row r="26725">
      <c r="B26725" s="309"/>
      <c r="C26725" s="309"/>
      <c r="I26725" s="309"/>
      <c r="J26725" s="309"/>
    </row>
    <row r="26726">
      <c r="B26726" s="309"/>
      <c r="C26726" s="309"/>
      <c r="I26726" s="309"/>
      <c r="J26726" s="309"/>
    </row>
    <row r="26727">
      <c r="B26727" s="309"/>
      <c r="C26727" s="309"/>
      <c r="I26727" s="309"/>
      <c r="J26727" s="309"/>
    </row>
    <row r="26728">
      <c r="B26728" s="309"/>
      <c r="C26728" s="309"/>
      <c r="I26728" s="309"/>
      <c r="J26728" s="309"/>
    </row>
    <row r="26729">
      <c r="B26729" s="309"/>
      <c r="C26729" s="309"/>
      <c r="I26729" s="309"/>
      <c r="J26729" s="309"/>
    </row>
    <row r="26730">
      <c r="B26730" s="309"/>
      <c r="C26730" s="309"/>
      <c r="I26730" s="309"/>
      <c r="J26730" s="309"/>
    </row>
    <row r="26731">
      <c r="B26731" s="309"/>
      <c r="C26731" s="309"/>
      <c r="I26731" s="309"/>
      <c r="J26731" s="309"/>
    </row>
    <row r="26732">
      <c r="B26732" s="309"/>
      <c r="C26732" s="309"/>
      <c r="I26732" s="309"/>
      <c r="J26732" s="309"/>
    </row>
    <row r="26733">
      <c r="B26733" s="309"/>
      <c r="C26733" s="309"/>
      <c r="I26733" s="309"/>
      <c r="J26733" s="309"/>
    </row>
    <row r="26734">
      <c r="B26734" s="309"/>
      <c r="C26734" s="309"/>
      <c r="I26734" s="309"/>
      <c r="J26734" s="309"/>
    </row>
    <row r="26735">
      <c r="B26735" s="309"/>
      <c r="C26735" s="309"/>
      <c r="I26735" s="309"/>
      <c r="J26735" s="309"/>
    </row>
    <row r="26736">
      <c r="B26736" s="309"/>
      <c r="C26736" s="309"/>
      <c r="I26736" s="309"/>
      <c r="J26736" s="309"/>
    </row>
    <row r="26737">
      <c r="B26737" s="309"/>
      <c r="C26737" s="309"/>
      <c r="I26737" s="309"/>
      <c r="J26737" s="309"/>
    </row>
    <row r="26738">
      <c r="B26738" s="309"/>
      <c r="C26738" s="309"/>
      <c r="I26738" s="309"/>
      <c r="J26738" s="309"/>
    </row>
    <row r="26739">
      <c r="B26739" s="309"/>
      <c r="C26739" s="309"/>
      <c r="I26739" s="309"/>
      <c r="J26739" s="309"/>
    </row>
    <row r="26740">
      <c r="B26740" s="309"/>
      <c r="C26740" s="309"/>
      <c r="I26740" s="309"/>
      <c r="J26740" s="309"/>
    </row>
    <row r="26741">
      <c r="B26741" s="309"/>
      <c r="C26741" s="309"/>
      <c r="I26741" s="309"/>
      <c r="J26741" s="309"/>
    </row>
    <row r="26742">
      <c r="B26742" s="309"/>
      <c r="C26742" s="309"/>
      <c r="I26742" s="309"/>
      <c r="J26742" s="309"/>
    </row>
    <row r="26743">
      <c r="B26743" s="309"/>
      <c r="C26743" s="309"/>
      <c r="I26743" s="309"/>
      <c r="J26743" s="309"/>
    </row>
    <row r="26744">
      <c r="B26744" s="309"/>
      <c r="C26744" s="309"/>
      <c r="I26744" s="309"/>
      <c r="J26744" s="309"/>
    </row>
    <row r="26745">
      <c r="B26745" s="309"/>
      <c r="C26745" s="309"/>
      <c r="I26745" s="309"/>
      <c r="J26745" s="309"/>
    </row>
    <row r="26746">
      <c r="B26746" s="309"/>
      <c r="C26746" s="309"/>
      <c r="I26746" s="309"/>
      <c r="J26746" s="309"/>
    </row>
    <row r="26747">
      <c r="B26747" s="309"/>
      <c r="C26747" s="309"/>
      <c r="I26747" s="309"/>
      <c r="J26747" s="309"/>
    </row>
    <row r="26748">
      <c r="B26748" s="309"/>
      <c r="C26748" s="309"/>
      <c r="I26748" s="309"/>
      <c r="J26748" s="309"/>
    </row>
    <row r="26749">
      <c r="B26749" s="309"/>
      <c r="C26749" s="309"/>
      <c r="I26749" s="309"/>
      <c r="J26749" s="309"/>
    </row>
    <row r="26750">
      <c r="B26750" s="309"/>
      <c r="C26750" s="309"/>
      <c r="I26750" s="309"/>
      <c r="J26750" s="309"/>
    </row>
    <row r="26751">
      <c r="B26751" s="309"/>
      <c r="C26751" s="309"/>
      <c r="I26751" s="309"/>
      <c r="J26751" s="309"/>
    </row>
    <row r="26752">
      <c r="B26752" s="309"/>
      <c r="C26752" s="309"/>
      <c r="I26752" s="309"/>
      <c r="J26752" s="309"/>
    </row>
    <row r="26753">
      <c r="B26753" s="309"/>
      <c r="C26753" s="309"/>
      <c r="I26753" s="309"/>
      <c r="J26753" s="309"/>
    </row>
    <row r="26754">
      <c r="B26754" s="309"/>
      <c r="C26754" s="309"/>
      <c r="I26754" s="309"/>
      <c r="J26754" s="309"/>
    </row>
    <row r="26755">
      <c r="B26755" s="309"/>
      <c r="C26755" s="309"/>
      <c r="I26755" s="309"/>
      <c r="J26755" s="309"/>
    </row>
    <row r="26756">
      <c r="B26756" s="309"/>
      <c r="C26756" s="309"/>
      <c r="I26756" s="309"/>
      <c r="J26756" s="309"/>
    </row>
    <row r="26757">
      <c r="B26757" s="309"/>
      <c r="C26757" s="309"/>
      <c r="I26757" s="309"/>
      <c r="J26757" s="309"/>
    </row>
    <row r="26758">
      <c r="B26758" s="309"/>
      <c r="C26758" s="309"/>
      <c r="I26758" s="309"/>
      <c r="J26758" s="309"/>
    </row>
    <row r="26759">
      <c r="B26759" s="309"/>
      <c r="C26759" s="309"/>
      <c r="I26759" s="309"/>
      <c r="J26759" s="309"/>
    </row>
    <row r="26760">
      <c r="B26760" s="309"/>
      <c r="C26760" s="309"/>
      <c r="I26760" s="309"/>
      <c r="J26760" s="309"/>
    </row>
    <row r="26761">
      <c r="B26761" s="309"/>
      <c r="C26761" s="309"/>
      <c r="I26761" s="309"/>
      <c r="J26761" s="309"/>
    </row>
    <row r="26762">
      <c r="B26762" s="309"/>
      <c r="C26762" s="309"/>
      <c r="I26762" s="309"/>
      <c r="J26762" s="309"/>
    </row>
    <row r="26763">
      <c r="B26763" s="309"/>
      <c r="C26763" s="309"/>
      <c r="I26763" s="309"/>
      <c r="J26763" s="309"/>
    </row>
    <row r="26764">
      <c r="B26764" s="309"/>
      <c r="C26764" s="309"/>
      <c r="I26764" s="309"/>
      <c r="J26764" s="309"/>
    </row>
    <row r="26765">
      <c r="B26765" s="309"/>
      <c r="C26765" s="309"/>
      <c r="I26765" s="309"/>
      <c r="J26765" s="309"/>
    </row>
    <row r="26766">
      <c r="B26766" s="309"/>
      <c r="C26766" s="309"/>
      <c r="I26766" s="309"/>
      <c r="J26766" s="309"/>
    </row>
    <row r="26767">
      <c r="B26767" s="309"/>
      <c r="C26767" s="309"/>
      <c r="I26767" s="309"/>
      <c r="J26767" s="309"/>
    </row>
    <row r="26768">
      <c r="B26768" s="309"/>
      <c r="C26768" s="309"/>
      <c r="I26768" s="309"/>
      <c r="J26768" s="309"/>
    </row>
    <row r="26769">
      <c r="B26769" s="309"/>
      <c r="C26769" s="309"/>
      <c r="I26769" s="309"/>
      <c r="J26769" s="309"/>
    </row>
    <row r="26770">
      <c r="B26770" s="309"/>
      <c r="C26770" s="309"/>
      <c r="I26770" s="309"/>
      <c r="J26770" s="309"/>
    </row>
    <row r="26771">
      <c r="B26771" s="309"/>
      <c r="C26771" s="309"/>
      <c r="I26771" s="309"/>
      <c r="J26771" s="309"/>
    </row>
    <row r="26772">
      <c r="B26772" s="309"/>
      <c r="C26772" s="309"/>
      <c r="I26772" s="309"/>
      <c r="J26772" s="309"/>
    </row>
    <row r="26773">
      <c r="B26773" s="309"/>
      <c r="C26773" s="309"/>
      <c r="I26773" s="309"/>
      <c r="J26773" s="309"/>
    </row>
    <row r="26774">
      <c r="B26774" s="309"/>
      <c r="C26774" s="309"/>
      <c r="I26774" s="309"/>
      <c r="J26774" s="309"/>
    </row>
    <row r="26775">
      <c r="B26775" s="309"/>
      <c r="C26775" s="309"/>
      <c r="I26775" s="309"/>
      <c r="J26775" s="309"/>
    </row>
    <row r="26776">
      <c r="B26776" s="309"/>
      <c r="C26776" s="309"/>
      <c r="I26776" s="309"/>
      <c r="J26776" s="309"/>
    </row>
    <row r="26777">
      <c r="B26777" s="309"/>
      <c r="C26777" s="309"/>
      <c r="I26777" s="309"/>
      <c r="J26777" s="309"/>
    </row>
    <row r="26778">
      <c r="B26778" s="309"/>
      <c r="C26778" s="309"/>
      <c r="I26778" s="309"/>
      <c r="J26778" s="309"/>
    </row>
    <row r="26779">
      <c r="B26779" s="309"/>
      <c r="C26779" s="309"/>
      <c r="I26779" s="309"/>
      <c r="J26779" s="309"/>
    </row>
    <row r="26780">
      <c r="B26780" s="309"/>
      <c r="C26780" s="309"/>
      <c r="I26780" s="309"/>
      <c r="J26780" s="309"/>
    </row>
    <row r="26781">
      <c r="B26781" s="309"/>
      <c r="C26781" s="309"/>
      <c r="I26781" s="309"/>
      <c r="J26781" s="309"/>
    </row>
    <row r="26782">
      <c r="B26782" s="309"/>
      <c r="C26782" s="309"/>
      <c r="I26782" s="309"/>
      <c r="J26782" s="309"/>
    </row>
    <row r="26783">
      <c r="B26783" s="309"/>
      <c r="C26783" s="309"/>
      <c r="I26783" s="309"/>
      <c r="J26783" s="309"/>
    </row>
    <row r="26784">
      <c r="B26784" s="309"/>
      <c r="C26784" s="309"/>
      <c r="I26784" s="309"/>
      <c r="J26784" s="309"/>
    </row>
    <row r="26785">
      <c r="B26785" s="309"/>
      <c r="C26785" s="309"/>
      <c r="I26785" s="309"/>
      <c r="J26785" s="309"/>
    </row>
    <row r="26786">
      <c r="B26786" s="309"/>
      <c r="C26786" s="309"/>
      <c r="I26786" s="309"/>
      <c r="J26786" s="309"/>
    </row>
    <row r="26787">
      <c r="B26787" s="309"/>
      <c r="C26787" s="309"/>
      <c r="I26787" s="309"/>
      <c r="J26787" s="309"/>
    </row>
    <row r="26788">
      <c r="B26788" s="309"/>
      <c r="C26788" s="309"/>
      <c r="I26788" s="309"/>
      <c r="J26788" s="309"/>
    </row>
    <row r="26789">
      <c r="B26789" s="309"/>
      <c r="C26789" s="309"/>
      <c r="I26789" s="309"/>
      <c r="J26789" s="309"/>
    </row>
    <row r="26790">
      <c r="B26790" s="309"/>
      <c r="C26790" s="309"/>
      <c r="I26790" s="309"/>
      <c r="J26790" s="309"/>
    </row>
    <row r="26791">
      <c r="B26791" s="309"/>
      <c r="C26791" s="309"/>
      <c r="I26791" s="309"/>
      <c r="J26791" s="309"/>
    </row>
    <row r="26792">
      <c r="B26792" s="309"/>
      <c r="C26792" s="309"/>
      <c r="I26792" s="309"/>
      <c r="J26792" s="309"/>
    </row>
    <row r="26793">
      <c r="B26793" s="309"/>
      <c r="C26793" s="309"/>
      <c r="I26793" s="309"/>
      <c r="J26793" s="309"/>
    </row>
    <row r="26794">
      <c r="B26794" s="309"/>
      <c r="C26794" s="309"/>
      <c r="I26794" s="309"/>
      <c r="J26794" s="309"/>
    </row>
    <row r="26795">
      <c r="B26795" s="309"/>
      <c r="C26795" s="309"/>
      <c r="I26795" s="309"/>
      <c r="J26795" s="309"/>
    </row>
    <row r="26796">
      <c r="B26796" s="309"/>
      <c r="C26796" s="309"/>
      <c r="I26796" s="309"/>
      <c r="J26796" s="309"/>
    </row>
    <row r="26797">
      <c r="B26797" s="309"/>
      <c r="C26797" s="309"/>
      <c r="I26797" s="309"/>
      <c r="J26797" s="309"/>
    </row>
    <row r="26798">
      <c r="B26798" s="309"/>
      <c r="C26798" s="309"/>
      <c r="I26798" s="309"/>
      <c r="J26798" s="309"/>
    </row>
    <row r="26799">
      <c r="B26799" s="309"/>
      <c r="C26799" s="309"/>
      <c r="I26799" s="309"/>
      <c r="J26799" s="309"/>
    </row>
    <row r="26800">
      <c r="B26800" s="309"/>
      <c r="C26800" s="309"/>
      <c r="I26800" s="309"/>
      <c r="J26800" s="309"/>
    </row>
    <row r="26801">
      <c r="B26801" s="309"/>
      <c r="C26801" s="309"/>
      <c r="I26801" s="309"/>
      <c r="J26801" s="309"/>
    </row>
    <row r="26802">
      <c r="B26802" s="309"/>
      <c r="C26802" s="309"/>
      <c r="I26802" s="309"/>
      <c r="J26802" s="309"/>
    </row>
    <row r="26803">
      <c r="B26803" s="309"/>
      <c r="C26803" s="309"/>
      <c r="I26803" s="309"/>
      <c r="J26803" s="309"/>
    </row>
    <row r="26804">
      <c r="B26804" s="309"/>
      <c r="C26804" s="309"/>
      <c r="I26804" s="309"/>
      <c r="J26804" s="309"/>
    </row>
    <row r="26805">
      <c r="B26805" s="309"/>
      <c r="C26805" s="309"/>
      <c r="I26805" s="309"/>
      <c r="J26805" s="309"/>
    </row>
    <row r="26806">
      <c r="B26806" s="309"/>
      <c r="C26806" s="309"/>
      <c r="I26806" s="309"/>
      <c r="J26806" s="309"/>
    </row>
    <row r="26807">
      <c r="B26807" s="309"/>
      <c r="C26807" s="309"/>
      <c r="I26807" s="309"/>
      <c r="J26807" s="309"/>
    </row>
    <row r="26808">
      <c r="B26808" s="309"/>
      <c r="C26808" s="309"/>
      <c r="I26808" s="309"/>
      <c r="J26808" s="309"/>
    </row>
    <row r="26809">
      <c r="B26809" s="309"/>
      <c r="C26809" s="309"/>
      <c r="I26809" s="309"/>
      <c r="J26809" s="309"/>
    </row>
    <row r="26810">
      <c r="B26810" s="309"/>
      <c r="C26810" s="309"/>
      <c r="I26810" s="309"/>
      <c r="J26810" s="309"/>
    </row>
    <row r="26811">
      <c r="B26811" s="309"/>
      <c r="C26811" s="309"/>
      <c r="I26811" s="309"/>
      <c r="J26811" s="309"/>
    </row>
    <row r="26812">
      <c r="B26812" s="309"/>
      <c r="C26812" s="309"/>
      <c r="I26812" s="309"/>
      <c r="J26812" s="309"/>
    </row>
    <row r="26813">
      <c r="B26813" s="309"/>
      <c r="C26813" s="309"/>
      <c r="I26813" s="309"/>
      <c r="J26813" s="309"/>
    </row>
    <row r="26814">
      <c r="B26814" s="309"/>
      <c r="C26814" s="309"/>
      <c r="I26814" s="309"/>
      <c r="J26814" s="309"/>
    </row>
    <row r="26815">
      <c r="B26815" s="309"/>
      <c r="C26815" s="309"/>
      <c r="I26815" s="309"/>
      <c r="J26815" s="309"/>
    </row>
    <row r="26816">
      <c r="B26816" s="309"/>
      <c r="C26816" s="309"/>
      <c r="I26816" s="309"/>
      <c r="J26816" s="309"/>
    </row>
    <row r="26817">
      <c r="B26817" s="309"/>
      <c r="C26817" s="309"/>
      <c r="I26817" s="309"/>
      <c r="J26817" s="309"/>
    </row>
    <row r="26818">
      <c r="B26818" s="309"/>
      <c r="C26818" s="309"/>
      <c r="I26818" s="309"/>
      <c r="J26818" s="309"/>
    </row>
    <row r="26819">
      <c r="B26819" s="309"/>
      <c r="C26819" s="309"/>
      <c r="I26819" s="309"/>
      <c r="J26819" s="309"/>
    </row>
    <row r="26820">
      <c r="B26820" s="309"/>
      <c r="C26820" s="309"/>
      <c r="I26820" s="309"/>
      <c r="J26820" s="309"/>
    </row>
    <row r="26821">
      <c r="B26821" s="309"/>
      <c r="C26821" s="309"/>
      <c r="I26821" s="309"/>
      <c r="J26821" s="309"/>
    </row>
    <row r="26822">
      <c r="B26822" s="309"/>
      <c r="C26822" s="309"/>
      <c r="I26822" s="309"/>
      <c r="J26822" s="309"/>
    </row>
    <row r="26823">
      <c r="B26823" s="309"/>
      <c r="C26823" s="309"/>
      <c r="I26823" s="309"/>
      <c r="J26823" s="309"/>
    </row>
    <row r="26824">
      <c r="B26824" s="309"/>
      <c r="C26824" s="309"/>
      <c r="I26824" s="309"/>
      <c r="J26824" s="309"/>
    </row>
    <row r="26825">
      <c r="B26825" s="309"/>
      <c r="C26825" s="309"/>
      <c r="I26825" s="309"/>
      <c r="J26825" s="309"/>
    </row>
    <row r="26826">
      <c r="B26826" s="309"/>
      <c r="C26826" s="309"/>
      <c r="I26826" s="309"/>
      <c r="J26826" s="309"/>
    </row>
    <row r="26827">
      <c r="B26827" s="309"/>
      <c r="C26827" s="309"/>
      <c r="I26827" s="309"/>
      <c r="J26827" s="309"/>
    </row>
    <row r="26828">
      <c r="B26828" s="309"/>
      <c r="C26828" s="309"/>
      <c r="I26828" s="309"/>
      <c r="J26828" s="309"/>
    </row>
    <row r="26829">
      <c r="B26829" s="309"/>
      <c r="C26829" s="309"/>
      <c r="I26829" s="309"/>
      <c r="J26829" s="309"/>
    </row>
    <row r="26830">
      <c r="B26830" s="309"/>
      <c r="C26830" s="309"/>
      <c r="I26830" s="309"/>
      <c r="J26830" s="309"/>
    </row>
    <row r="26831">
      <c r="B26831" s="309"/>
      <c r="C26831" s="309"/>
      <c r="I26831" s="309"/>
      <c r="J26831" s="309"/>
    </row>
    <row r="26832">
      <c r="B26832" s="309"/>
      <c r="C26832" s="309"/>
      <c r="I26832" s="309"/>
      <c r="J26832" s="309"/>
    </row>
    <row r="26833">
      <c r="B26833" s="309"/>
      <c r="C26833" s="309"/>
      <c r="I26833" s="309"/>
      <c r="J26833" s="309"/>
    </row>
    <row r="26834">
      <c r="B26834" s="309"/>
      <c r="C26834" s="309"/>
      <c r="I26834" s="309"/>
      <c r="J26834" s="309"/>
    </row>
    <row r="26835">
      <c r="B26835" s="309"/>
      <c r="C26835" s="309"/>
      <c r="I26835" s="309"/>
      <c r="J26835" s="309"/>
    </row>
    <row r="26836">
      <c r="B26836" s="309"/>
      <c r="C26836" s="309"/>
      <c r="I26836" s="309"/>
      <c r="J26836" s="309"/>
    </row>
    <row r="26837">
      <c r="B26837" s="309"/>
      <c r="C26837" s="309"/>
      <c r="I26837" s="309"/>
      <c r="J26837" s="309"/>
    </row>
    <row r="26838">
      <c r="B26838" s="309"/>
      <c r="C26838" s="309"/>
      <c r="I26838" s="309"/>
      <c r="J26838" s="309"/>
    </row>
    <row r="26839">
      <c r="B26839" s="309"/>
      <c r="C26839" s="309"/>
      <c r="I26839" s="309"/>
      <c r="J26839" s="309"/>
    </row>
    <row r="26840">
      <c r="B26840" s="309"/>
      <c r="C26840" s="309"/>
      <c r="I26840" s="309"/>
      <c r="J26840" s="309"/>
    </row>
    <row r="26841">
      <c r="B26841" s="309"/>
      <c r="C26841" s="309"/>
      <c r="I26841" s="309"/>
      <c r="J26841" s="309"/>
    </row>
    <row r="26842">
      <c r="B26842" s="309"/>
      <c r="C26842" s="309"/>
      <c r="I26842" s="309"/>
      <c r="J26842" s="309"/>
    </row>
    <row r="26843">
      <c r="B26843" s="309"/>
      <c r="C26843" s="309"/>
      <c r="I26843" s="309"/>
      <c r="J26843" s="309"/>
    </row>
    <row r="26844">
      <c r="B26844" s="309"/>
      <c r="C26844" s="309"/>
      <c r="I26844" s="309"/>
      <c r="J26844" s="309"/>
    </row>
    <row r="26845">
      <c r="B26845" s="309"/>
      <c r="C26845" s="309"/>
      <c r="I26845" s="309"/>
      <c r="J26845" s="309"/>
    </row>
    <row r="26846">
      <c r="B26846" s="309"/>
      <c r="C26846" s="309"/>
      <c r="I26846" s="309"/>
      <c r="J26846" s="309"/>
    </row>
    <row r="26847">
      <c r="B26847" s="309"/>
      <c r="C26847" s="309"/>
      <c r="I26847" s="309"/>
      <c r="J26847" s="309"/>
    </row>
    <row r="26848">
      <c r="B26848" s="309"/>
      <c r="C26848" s="309"/>
      <c r="I26848" s="309"/>
      <c r="J26848" s="309"/>
    </row>
    <row r="26849">
      <c r="B26849" s="309"/>
      <c r="C26849" s="309"/>
      <c r="I26849" s="309"/>
      <c r="J26849" s="309"/>
    </row>
    <row r="26850">
      <c r="B26850" s="309"/>
      <c r="C26850" s="309"/>
      <c r="I26850" s="309"/>
      <c r="J26850" s="309"/>
    </row>
    <row r="26851">
      <c r="B26851" s="309"/>
      <c r="C26851" s="309"/>
      <c r="I26851" s="309"/>
      <c r="J26851" s="309"/>
    </row>
    <row r="26852">
      <c r="B26852" s="309"/>
      <c r="C26852" s="309"/>
      <c r="I26852" s="309"/>
      <c r="J26852" s="309"/>
    </row>
    <row r="26853">
      <c r="B26853" s="309"/>
      <c r="C26853" s="309"/>
      <c r="I26853" s="309"/>
      <c r="J26853" s="309"/>
    </row>
    <row r="26854">
      <c r="B26854" s="309"/>
      <c r="C26854" s="309"/>
      <c r="I26854" s="309"/>
      <c r="J26854" s="309"/>
    </row>
    <row r="26855">
      <c r="B26855" s="309"/>
      <c r="C26855" s="309"/>
      <c r="I26855" s="309"/>
      <c r="J26855" s="309"/>
    </row>
    <row r="26856">
      <c r="B26856" s="309"/>
      <c r="C26856" s="309"/>
      <c r="I26856" s="309"/>
      <c r="J26856" s="309"/>
    </row>
    <row r="26857">
      <c r="B26857" s="309"/>
      <c r="C26857" s="309"/>
      <c r="I26857" s="309"/>
      <c r="J26857" s="309"/>
    </row>
    <row r="26858">
      <c r="B26858" s="309"/>
      <c r="C26858" s="309"/>
      <c r="I26858" s="309"/>
      <c r="J26858" s="309"/>
    </row>
    <row r="26859">
      <c r="B26859" s="309"/>
      <c r="C26859" s="309"/>
      <c r="I26859" s="309"/>
      <c r="J26859" s="309"/>
    </row>
    <row r="26860">
      <c r="B26860" s="309"/>
      <c r="C26860" s="309"/>
      <c r="I26860" s="309"/>
      <c r="J26860" s="309"/>
    </row>
    <row r="26861">
      <c r="B26861" s="309"/>
      <c r="C26861" s="309"/>
      <c r="I26861" s="309"/>
      <c r="J26861" s="309"/>
    </row>
    <row r="26862">
      <c r="B26862" s="309"/>
      <c r="C26862" s="309"/>
      <c r="I26862" s="309"/>
      <c r="J26862" s="309"/>
    </row>
    <row r="26863">
      <c r="B26863" s="309"/>
      <c r="C26863" s="309"/>
      <c r="I26863" s="309"/>
      <c r="J26863" s="309"/>
    </row>
    <row r="26864">
      <c r="B26864" s="309"/>
      <c r="C26864" s="309"/>
      <c r="I26864" s="309"/>
      <c r="J26864" s="309"/>
    </row>
    <row r="26865">
      <c r="B26865" s="309"/>
      <c r="C26865" s="309"/>
      <c r="I26865" s="309"/>
      <c r="J26865" s="309"/>
    </row>
    <row r="26866">
      <c r="B26866" s="309"/>
      <c r="C26866" s="309"/>
      <c r="I26866" s="309"/>
      <c r="J26866" s="309"/>
    </row>
    <row r="26867">
      <c r="B26867" s="309"/>
      <c r="C26867" s="309"/>
      <c r="I26867" s="309"/>
      <c r="J26867" s="309"/>
    </row>
    <row r="26868">
      <c r="B26868" s="309"/>
      <c r="C26868" s="309"/>
      <c r="I26868" s="309"/>
      <c r="J26868" s="309"/>
    </row>
    <row r="26869">
      <c r="B26869" s="309"/>
      <c r="C26869" s="309"/>
      <c r="I26869" s="309"/>
      <c r="J26869" s="309"/>
    </row>
    <row r="26870">
      <c r="B26870" s="309"/>
      <c r="C26870" s="309"/>
      <c r="I26870" s="309"/>
      <c r="J26870" s="309"/>
    </row>
    <row r="26871">
      <c r="B26871" s="309"/>
      <c r="C26871" s="309"/>
      <c r="I26871" s="309"/>
      <c r="J26871" s="309"/>
    </row>
    <row r="26872">
      <c r="B26872" s="309"/>
      <c r="C26872" s="309"/>
      <c r="I26872" s="309"/>
      <c r="J26872" s="309"/>
    </row>
    <row r="26873">
      <c r="B26873" s="309"/>
      <c r="C26873" s="309"/>
      <c r="I26873" s="309"/>
      <c r="J26873" s="309"/>
    </row>
    <row r="26874">
      <c r="B26874" s="309"/>
      <c r="C26874" s="309"/>
      <c r="I26874" s="309"/>
      <c r="J26874" s="309"/>
    </row>
    <row r="26875">
      <c r="B26875" s="309"/>
      <c r="C26875" s="309"/>
      <c r="I26875" s="309"/>
      <c r="J26875" s="309"/>
    </row>
    <row r="26876">
      <c r="B26876" s="309"/>
      <c r="C26876" s="309"/>
      <c r="I26876" s="309"/>
      <c r="J26876" s="309"/>
    </row>
    <row r="26877">
      <c r="B26877" s="309"/>
      <c r="C26877" s="309"/>
      <c r="I26877" s="309"/>
      <c r="J26877" s="309"/>
    </row>
    <row r="26878">
      <c r="B26878" s="309"/>
      <c r="C26878" s="309"/>
      <c r="I26878" s="309"/>
      <c r="J26878" s="309"/>
    </row>
    <row r="26879">
      <c r="B26879" s="309"/>
      <c r="C26879" s="309"/>
      <c r="I26879" s="309"/>
      <c r="J26879" s="309"/>
    </row>
    <row r="26880">
      <c r="B26880" s="309"/>
      <c r="C26880" s="309"/>
      <c r="I26880" s="309"/>
      <c r="J26880" s="309"/>
    </row>
    <row r="26881">
      <c r="B26881" s="309"/>
      <c r="C26881" s="309"/>
      <c r="I26881" s="309"/>
      <c r="J26881" s="309"/>
    </row>
    <row r="26882">
      <c r="B26882" s="309"/>
      <c r="C26882" s="309"/>
      <c r="I26882" s="309"/>
      <c r="J26882" s="309"/>
    </row>
    <row r="26883">
      <c r="B26883" s="309"/>
      <c r="C26883" s="309"/>
      <c r="I26883" s="309"/>
      <c r="J26883" s="309"/>
    </row>
    <row r="26884">
      <c r="B26884" s="309"/>
      <c r="C26884" s="309"/>
      <c r="I26884" s="309"/>
      <c r="J26884" s="309"/>
    </row>
    <row r="26885">
      <c r="B26885" s="309"/>
      <c r="C26885" s="309"/>
      <c r="I26885" s="309"/>
      <c r="J26885" s="309"/>
    </row>
    <row r="26886">
      <c r="B26886" s="309"/>
      <c r="C26886" s="309"/>
      <c r="I26886" s="309"/>
      <c r="J26886" s="309"/>
    </row>
    <row r="26887">
      <c r="B26887" s="309"/>
      <c r="C26887" s="309"/>
      <c r="I26887" s="309"/>
      <c r="J26887" s="309"/>
    </row>
    <row r="26888">
      <c r="B26888" s="309"/>
      <c r="C26888" s="309"/>
      <c r="I26888" s="309"/>
      <c r="J26888" s="309"/>
    </row>
    <row r="26889">
      <c r="B26889" s="309"/>
      <c r="C26889" s="309"/>
      <c r="I26889" s="309"/>
      <c r="J26889" s="309"/>
    </row>
    <row r="26890">
      <c r="B26890" s="309"/>
      <c r="C26890" s="309"/>
      <c r="I26890" s="309"/>
      <c r="J26890" s="309"/>
    </row>
    <row r="26891">
      <c r="B26891" s="309"/>
      <c r="C26891" s="309"/>
      <c r="I26891" s="309"/>
      <c r="J26891" s="309"/>
    </row>
    <row r="26892">
      <c r="B26892" s="309"/>
      <c r="C26892" s="309"/>
      <c r="I26892" s="309"/>
      <c r="J26892" s="309"/>
    </row>
    <row r="26893">
      <c r="B26893" s="309"/>
      <c r="C26893" s="309"/>
      <c r="I26893" s="309"/>
      <c r="J26893" s="309"/>
    </row>
    <row r="26894">
      <c r="B26894" s="309"/>
      <c r="C26894" s="309"/>
      <c r="I26894" s="309"/>
      <c r="J26894" s="309"/>
    </row>
    <row r="26895">
      <c r="B26895" s="309"/>
      <c r="C26895" s="309"/>
      <c r="I26895" s="309"/>
      <c r="J26895" s="309"/>
    </row>
    <row r="26896">
      <c r="B26896" s="309"/>
      <c r="C26896" s="309"/>
      <c r="I26896" s="309"/>
      <c r="J26896" s="309"/>
    </row>
    <row r="26897">
      <c r="B26897" s="309"/>
      <c r="C26897" s="309"/>
      <c r="I26897" s="309"/>
      <c r="J26897" s="309"/>
    </row>
    <row r="26898">
      <c r="B26898" s="309"/>
      <c r="C26898" s="309"/>
      <c r="I26898" s="309"/>
      <c r="J26898" s="309"/>
    </row>
    <row r="26899">
      <c r="B26899" s="309"/>
      <c r="C26899" s="309"/>
      <c r="I26899" s="309"/>
      <c r="J26899" s="309"/>
    </row>
    <row r="26900">
      <c r="B26900" s="309"/>
      <c r="C26900" s="309"/>
      <c r="I26900" s="309"/>
      <c r="J26900" s="309"/>
    </row>
    <row r="26901">
      <c r="B26901" s="309"/>
      <c r="C26901" s="309"/>
      <c r="I26901" s="309"/>
      <c r="J26901" s="309"/>
    </row>
    <row r="26902">
      <c r="B26902" s="309"/>
      <c r="C26902" s="309"/>
      <c r="I26902" s="309"/>
      <c r="J26902" s="309"/>
    </row>
    <row r="26903">
      <c r="B26903" s="309"/>
      <c r="C26903" s="309"/>
      <c r="I26903" s="309"/>
      <c r="J26903" s="309"/>
    </row>
    <row r="26904">
      <c r="B26904" s="309"/>
      <c r="C26904" s="309"/>
      <c r="I26904" s="309"/>
      <c r="J26904" s="309"/>
    </row>
    <row r="26905">
      <c r="B26905" s="309"/>
      <c r="C26905" s="309"/>
      <c r="I26905" s="309"/>
      <c r="J26905" s="309"/>
    </row>
    <row r="26906">
      <c r="B26906" s="309"/>
      <c r="C26906" s="309"/>
      <c r="I26906" s="309"/>
      <c r="J26906" s="309"/>
    </row>
    <row r="26907">
      <c r="B26907" s="309"/>
      <c r="C26907" s="309"/>
      <c r="I26907" s="309"/>
      <c r="J26907" s="309"/>
    </row>
    <row r="26908">
      <c r="B26908" s="309"/>
      <c r="C26908" s="309"/>
      <c r="I26908" s="309"/>
      <c r="J26908" s="309"/>
    </row>
    <row r="26909">
      <c r="B26909" s="309"/>
      <c r="C26909" s="309"/>
      <c r="I26909" s="309"/>
      <c r="J26909" s="309"/>
    </row>
    <row r="26910">
      <c r="B26910" s="309"/>
      <c r="C26910" s="309"/>
      <c r="I26910" s="309"/>
      <c r="J26910" s="309"/>
    </row>
    <row r="26911">
      <c r="B26911" s="309"/>
      <c r="C26911" s="309"/>
      <c r="I26911" s="309"/>
      <c r="J26911" s="309"/>
    </row>
    <row r="26912">
      <c r="B26912" s="309"/>
      <c r="C26912" s="309"/>
      <c r="I26912" s="309"/>
      <c r="J26912" s="309"/>
    </row>
    <row r="26913">
      <c r="B26913" s="309"/>
      <c r="C26913" s="309"/>
      <c r="I26913" s="309"/>
      <c r="J26913" s="309"/>
    </row>
    <row r="26914">
      <c r="B26914" s="309"/>
      <c r="C26914" s="309"/>
      <c r="I26914" s="309"/>
      <c r="J26914" s="309"/>
    </row>
    <row r="26915">
      <c r="B26915" s="309"/>
      <c r="C26915" s="309"/>
      <c r="I26915" s="309"/>
      <c r="J26915" s="309"/>
    </row>
    <row r="26916">
      <c r="B26916" s="309"/>
      <c r="C26916" s="309"/>
      <c r="I26916" s="309"/>
      <c r="J26916" s="309"/>
    </row>
    <row r="26917">
      <c r="B26917" s="309"/>
      <c r="C26917" s="309"/>
      <c r="I26917" s="309"/>
      <c r="J26917" s="309"/>
    </row>
    <row r="26918">
      <c r="B26918" s="309"/>
      <c r="C26918" s="309"/>
      <c r="I26918" s="309"/>
      <c r="J26918" s="309"/>
    </row>
    <row r="26919">
      <c r="B26919" s="309"/>
      <c r="C26919" s="309"/>
      <c r="I26919" s="309"/>
      <c r="J26919" s="309"/>
    </row>
    <row r="26920">
      <c r="B26920" s="309"/>
      <c r="C26920" s="309"/>
      <c r="I26920" s="309"/>
      <c r="J26920" s="309"/>
    </row>
    <row r="26921">
      <c r="B26921" s="309"/>
      <c r="C26921" s="309"/>
      <c r="I26921" s="309"/>
      <c r="J26921" s="309"/>
    </row>
    <row r="26922">
      <c r="B26922" s="309"/>
      <c r="C26922" s="309"/>
      <c r="I26922" s="309"/>
      <c r="J26922" s="309"/>
    </row>
    <row r="26923">
      <c r="B26923" s="309"/>
      <c r="C26923" s="309"/>
      <c r="I26923" s="309"/>
      <c r="J26923" s="309"/>
    </row>
    <row r="26924">
      <c r="B26924" s="309"/>
      <c r="C26924" s="309"/>
      <c r="I26924" s="309"/>
      <c r="J26924" s="309"/>
    </row>
    <row r="26925">
      <c r="B26925" s="309"/>
      <c r="C26925" s="309"/>
      <c r="I26925" s="309"/>
      <c r="J26925" s="309"/>
    </row>
    <row r="26926">
      <c r="B26926" s="309"/>
      <c r="C26926" s="309"/>
      <c r="I26926" s="309"/>
      <c r="J26926" s="309"/>
    </row>
    <row r="26927">
      <c r="B26927" s="309"/>
      <c r="C26927" s="309"/>
      <c r="I26927" s="309"/>
      <c r="J26927" s="309"/>
    </row>
    <row r="26928">
      <c r="B26928" s="309"/>
      <c r="C26928" s="309"/>
      <c r="I26928" s="309"/>
      <c r="J26928" s="309"/>
    </row>
    <row r="26929">
      <c r="B26929" s="309"/>
      <c r="C26929" s="309"/>
      <c r="I26929" s="309"/>
      <c r="J26929" s="309"/>
    </row>
    <row r="26930">
      <c r="B26930" s="309"/>
      <c r="C26930" s="309"/>
      <c r="I26930" s="309"/>
      <c r="J26930" s="309"/>
    </row>
    <row r="26931">
      <c r="B26931" s="309"/>
      <c r="C26931" s="309"/>
      <c r="I26931" s="309"/>
      <c r="J26931" s="309"/>
    </row>
    <row r="26932">
      <c r="B26932" s="309"/>
      <c r="C26932" s="309"/>
      <c r="I26932" s="309"/>
      <c r="J26932" s="309"/>
    </row>
    <row r="26933">
      <c r="B26933" s="309"/>
      <c r="C26933" s="309"/>
      <c r="I26933" s="309"/>
      <c r="J26933" s="309"/>
    </row>
    <row r="26934">
      <c r="B26934" s="309"/>
      <c r="C26934" s="309"/>
      <c r="I26934" s="309"/>
      <c r="J26934" s="309"/>
    </row>
    <row r="26935">
      <c r="B26935" s="309"/>
      <c r="C26935" s="309"/>
      <c r="I26935" s="309"/>
      <c r="J26935" s="309"/>
    </row>
    <row r="26936">
      <c r="B26936" s="309"/>
      <c r="C26936" s="309"/>
      <c r="I26936" s="309"/>
      <c r="J26936" s="309"/>
    </row>
    <row r="26937">
      <c r="B26937" s="309"/>
      <c r="C26937" s="309"/>
      <c r="I26937" s="309"/>
      <c r="J26937" s="309"/>
    </row>
    <row r="26938">
      <c r="B26938" s="309"/>
      <c r="C26938" s="309"/>
      <c r="I26938" s="309"/>
      <c r="J26938" s="309"/>
    </row>
    <row r="26939">
      <c r="B26939" s="309"/>
      <c r="C26939" s="309"/>
      <c r="I26939" s="309"/>
      <c r="J26939" s="309"/>
    </row>
    <row r="26940">
      <c r="B26940" s="309"/>
      <c r="C26940" s="309"/>
      <c r="I26940" s="309"/>
      <c r="J26940" s="309"/>
    </row>
    <row r="26941">
      <c r="B26941" s="309"/>
      <c r="C26941" s="309"/>
      <c r="I26941" s="309"/>
      <c r="J26941" s="309"/>
    </row>
    <row r="26942">
      <c r="B26942" s="309"/>
      <c r="C26942" s="309"/>
      <c r="I26942" s="309"/>
      <c r="J26942" s="309"/>
    </row>
    <row r="26943">
      <c r="B26943" s="309"/>
      <c r="C26943" s="309"/>
      <c r="I26943" s="309"/>
      <c r="J26943" s="309"/>
    </row>
    <row r="26944">
      <c r="B26944" s="309"/>
      <c r="C26944" s="309"/>
      <c r="I26944" s="309"/>
      <c r="J26944" s="309"/>
    </row>
    <row r="26945">
      <c r="B26945" s="309"/>
      <c r="C26945" s="309"/>
      <c r="I26945" s="309"/>
      <c r="J26945" s="309"/>
    </row>
    <row r="26946">
      <c r="B26946" s="309"/>
      <c r="C26946" s="309"/>
      <c r="I26946" s="309"/>
      <c r="J26946" s="309"/>
    </row>
    <row r="26947">
      <c r="B26947" s="309"/>
      <c r="C26947" s="309"/>
      <c r="I26947" s="309"/>
      <c r="J26947" s="309"/>
    </row>
    <row r="26948">
      <c r="B26948" s="309"/>
      <c r="C26948" s="309"/>
      <c r="I26948" s="309"/>
      <c r="J26948" s="309"/>
    </row>
    <row r="26949">
      <c r="B26949" s="309"/>
      <c r="C26949" s="309"/>
      <c r="I26949" s="309"/>
      <c r="J26949" s="309"/>
    </row>
    <row r="26950">
      <c r="B26950" s="309"/>
      <c r="C26950" s="309"/>
      <c r="I26950" s="309"/>
      <c r="J26950" s="309"/>
    </row>
    <row r="26951">
      <c r="B26951" s="309"/>
      <c r="C26951" s="309"/>
      <c r="I26951" s="309"/>
      <c r="J26951" s="309"/>
    </row>
    <row r="26952">
      <c r="B26952" s="309"/>
      <c r="C26952" s="309"/>
      <c r="I26952" s="309"/>
      <c r="J26952" s="309"/>
    </row>
    <row r="26953">
      <c r="B26953" s="309"/>
      <c r="C26953" s="309"/>
      <c r="I26953" s="309"/>
      <c r="J26953" s="309"/>
    </row>
    <row r="26954">
      <c r="B26954" s="309"/>
      <c r="C26954" s="309"/>
      <c r="I26954" s="309"/>
      <c r="J26954" s="309"/>
    </row>
    <row r="26955">
      <c r="B26955" s="309"/>
      <c r="C26955" s="309"/>
      <c r="I26955" s="309"/>
      <c r="J26955" s="309"/>
    </row>
    <row r="26956">
      <c r="B26956" s="309"/>
      <c r="C26956" s="309"/>
      <c r="I26956" s="309"/>
      <c r="J26956" s="309"/>
    </row>
    <row r="26957">
      <c r="B26957" s="309"/>
      <c r="C26957" s="309"/>
      <c r="I26957" s="309"/>
      <c r="J26957" s="309"/>
    </row>
    <row r="26958">
      <c r="B26958" s="309"/>
      <c r="C26958" s="309"/>
      <c r="I26958" s="309"/>
      <c r="J26958" s="309"/>
    </row>
    <row r="26959">
      <c r="B26959" s="309"/>
      <c r="C26959" s="309"/>
      <c r="I26959" s="309"/>
      <c r="J26959" s="309"/>
    </row>
    <row r="26960">
      <c r="B26960" s="309"/>
      <c r="C26960" s="309"/>
      <c r="I26960" s="309"/>
      <c r="J26960" s="309"/>
    </row>
    <row r="26961">
      <c r="B26961" s="309"/>
      <c r="C26961" s="309"/>
      <c r="I26961" s="309"/>
      <c r="J26961" s="309"/>
    </row>
    <row r="26962">
      <c r="B26962" s="309"/>
      <c r="C26962" s="309"/>
      <c r="I26962" s="309"/>
      <c r="J26962" s="309"/>
    </row>
    <row r="26963">
      <c r="B26963" s="309"/>
      <c r="C26963" s="309"/>
      <c r="I26963" s="309"/>
      <c r="J26963" s="309"/>
    </row>
    <row r="26964">
      <c r="B26964" s="309"/>
      <c r="C26964" s="309"/>
      <c r="I26964" s="309"/>
      <c r="J26964" s="309"/>
    </row>
    <row r="26965">
      <c r="B26965" s="309"/>
      <c r="C26965" s="309"/>
      <c r="I26965" s="309"/>
      <c r="J26965" s="309"/>
    </row>
    <row r="26966">
      <c r="B26966" s="309"/>
      <c r="C26966" s="309"/>
      <c r="I26966" s="309"/>
      <c r="J26966" s="309"/>
    </row>
    <row r="26967">
      <c r="B26967" s="309"/>
      <c r="C26967" s="309"/>
      <c r="I26967" s="309"/>
      <c r="J26967" s="309"/>
    </row>
    <row r="26968">
      <c r="B26968" s="309"/>
      <c r="C26968" s="309"/>
      <c r="I26968" s="309"/>
      <c r="J26968" s="309"/>
    </row>
    <row r="26969">
      <c r="B26969" s="309"/>
      <c r="C26969" s="309"/>
      <c r="I26969" s="309"/>
      <c r="J26969" s="309"/>
    </row>
    <row r="26970">
      <c r="B26970" s="309"/>
      <c r="C26970" s="309"/>
      <c r="I26970" s="309"/>
      <c r="J26970" s="309"/>
    </row>
    <row r="26971">
      <c r="B26971" s="309"/>
      <c r="C26971" s="309"/>
      <c r="I26971" s="309"/>
      <c r="J26971" s="309"/>
    </row>
    <row r="26972">
      <c r="B26972" s="309"/>
      <c r="C26972" s="309"/>
      <c r="I26972" s="309"/>
      <c r="J26972" s="309"/>
    </row>
    <row r="26973">
      <c r="B26973" s="309"/>
      <c r="C26973" s="309"/>
      <c r="I26973" s="309"/>
      <c r="J26973" s="309"/>
    </row>
    <row r="26974">
      <c r="B26974" s="309"/>
      <c r="C26974" s="309"/>
      <c r="I26974" s="309"/>
      <c r="J26974" s="309"/>
    </row>
    <row r="26975">
      <c r="B26975" s="309"/>
      <c r="C26975" s="309"/>
      <c r="I26975" s="309"/>
      <c r="J26975" s="309"/>
    </row>
    <row r="26976">
      <c r="B26976" s="309"/>
      <c r="C26976" s="309"/>
      <c r="I26976" s="309"/>
      <c r="J26976" s="309"/>
    </row>
    <row r="26977">
      <c r="B26977" s="309"/>
      <c r="C26977" s="309"/>
      <c r="I26977" s="309"/>
      <c r="J26977" s="309"/>
    </row>
    <row r="26978">
      <c r="B26978" s="309"/>
      <c r="C26978" s="309"/>
      <c r="I26978" s="309"/>
      <c r="J26978" s="309"/>
    </row>
    <row r="26979">
      <c r="B26979" s="309"/>
      <c r="C26979" s="309"/>
      <c r="I26979" s="309"/>
      <c r="J26979" s="309"/>
    </row>
    <row r="26980">
      <c r="B26980" s="309"/>
      <c r="C26980" s="309"/>
      <c r="I26980" s="309"/>
      <c r="J26980" s="309"/>
    </row>
    <row r="26981">
      <c r="B26981" s="309"/>
      <c r="C26981" s="309"/>
      <c r="I26981" s="309"/>
      <c r="J26981" s="309"/>
    </row>
    <row r="26982">
      <c r="B26982" s="309"/>
      <c r="C26982" s="309"/>
      <c r="I26982" s="309"/>
      <c r="J26982" s="309"/>
    </row>
    <row r="26983">
      <c r="B26983" s="309"/>
      <c r="C26983" s="309"/>
      <c r="I26983" s="309"/>
      <c r="J26983" s="309"/>
    </row>
    <row r="26984">
      <c r="B26984" s="309"/>
      <c r="C26984" s="309"/>
      <c r="I26984" s="309"/>
      <c r="J26984" s="309"/>
    </row>
    <row r="26985">
      <c r="B26985" s="309"/>
      <c r="C26985" s="309"/>
      <c r="I26985" s="309"/>
      <c r="J26985" s="309"/>
    </row>
    <row r="26986">
      <c r="B26986" s="309"/>
      <c r="C26986" s="309"/>
      <c r="I26986" s="309"/>
      <c r="J26986" s="309"/>
    </row>
    <row r="26987">
      <c r="B26987" s="309"/>
      <c r="C26987" s="309"/>
      <c r="I26987" s="309"/>
      <c r="J26987" s="309"/>
    </row>
    <row r="26988">
      <c r="B26988" s="309"/>
      <c r="C26988" s="309"/>
      <c r="I26988" s="309"/>
      <c r="J26988" s="309"/>
    </row>
    <row r="26989">
      <c r="B26989" s="309"/>
      <c r="C26989" s="309"/>
      <c r="I26989" s="309"/>
      <c r="J26989" s="309"/>
    </row>
    <row r="26990">
      <c r="B26990" s="309"/>
      <c r="C26990" s="309"/>
      <c r="I26990" s="309"/>
      <c r="J26990" s="309"/>
    </row>
    <row r="26991">
      <c r="B26991" s="309"/>
      <c r="C26991" s="309"/>
      <c r="I26991" s="309"/>
      <c r="J26991" s="309"/>
    </row>
    <row r="26992">
      <c r="B26992" s="309"/>
      <c r="C26992" s="309"/>
      <c r="I26992" s="309"/>
      <c r="J26992" s="309"/>
    </row>
    <row r="26993">
      <c r="B26993" s="309"/>
      <c r="C26993" s="309"/>
      <c r="I26993" s="309"/>
      <c r="J26993" s="309"/>
    </row>
    <row r="26994">
      <c r="B26994" s="309"/>
      <c r="C26994" s="309"/>
      <c r="I26994" s="309"/>
      <c r="J26994" s="309"/>
    </row>
    <row r="26995">
      <c r="B26995" s="309"/>
      <c r="C26995" s="309"/>
      <c r="I26995" s="309"/>
      <c r="J26995" s="309"/>
    </row>
    <row r="26996">
      <c r="B26996" s="309"/>
      <c r="C26996" s="309"/>
      <c r="I26996" s="309"/>
      <c r="J26996" s="309"/>
    </row>
    <row r="26997">
      <c r="B26997" s="309"/>
      <c r="C26997" s="309"/>
      <c r="I26997" s="309"/>
      <c r="J26997" s="309"/>
    </row>
    <row r="26998">
      <c r="B26998" s="309"/>
      <c r="C26998" s="309"/>
      <c r="I26998" s="309"/>
      <c r="J26998" s="309"/>
    </row>
    <row r="26999">
      <c r="B26999" s="309"/>
      <c r="C26999" s="309"/>
      <c r="I26999" s="309"/>
      <c r="J26999" s="309"/>
    </row>
    <row r="27000">
      <c r="B27000" s="309"/>
      <c r="C27000" s="309"/>
      <c r="I27000" s="309"/>
      <c r="J27000" s="309"/>
    </row>
    <row r="27001">
      <c r="B27001" s="309"/>
      <c r="C27001" s="309"/>
      <c r="I27001" s="309"/>
      <c r="J27001" s="309"/>
    </row>
    <row r="27002">
      <c r="B27002" s="309"/>
      <c r="C27002" s="309"/>
      <c r="I27002" s="309"/>
      <c r="J27002" s="309"/>
    </row>
    <row r="27003">
      <c r="B27003" s="309"/>
      <c r="C27003" s="309"/>
      <c r="I27003" s="309"/>
      <c r="J27003" s="309"/>
    </row>
    <row r="27004">
      <c r="B27004" s="309"/>
      <c r="C27004" s="309"/>
      <c r="I27004" s="309"/>
      <c r="J27004" s="309"/>
    </row>
    <row r="27005">
      <c r="B27005" s="309"/>
      <c r="C27005" s="309"/>
      <c r="I27005" s="309"/>
      <c r="J27005" s="309"/>
    </row>
    <row r="27006">
      <c r="B27006" s="309"/>
      <c r="C27006" s="309"/>
      <c r="I27006" s="309"/>
      <c r="J27006" s="309"/>
    </row>
    <row r="27007">
      <c r="B27007" s="309"/>
      <c r="C27007" s="309"/>
      <c r="I27007" s="309"/>
      <c r="J27007" s="309"/>
    </row>
    <row r="27008">
      <c r="B27008" s="309"/>
      <c r="C27008" s="309"/>
      <c r="I27008" s="309"/>
      <c r="J27008" s="309"/>
    </row>
    <row r="27009">
      <c r="B27009" s="309"/>
      <c r="C27009" s="309"/>
      <c r="I27009" s="309"/>
      <c r="J27009" s="309"/>
    </row>
    <row r="27010">
      <c r="B27010" s="309"/>
      <c r="C27010" s="309"/>
      <c r="I27010" s="309"/>
      <c r="J27010" s="309"/>
    </row>
    <row r="27011">
      <c r="B27011" s="309"/>
      <c r="C27011" s="309"/>
      <c r="I27011" s="309"/>
      <c r="J27011" s="309"/>
    </row>
    <row r="27012">
      <c r="B27012" s="309"/>
      <c r="C27012" s="309"/>
      <c r="I27012" s="309"/>
      <c r="J27012" s="309"/>
    </row>
    <row r="27013">
      <c r="B27013" s="309"/>
      <c r="C27013" s="309"/>
      <c r="I27013" s="309"/>
      <c r="J27013" s="309"/>
    </row>
    <row r="27014">
      <c r="B27014" s="309"/>
      <c r="C27014" s="309"/>
      <c r="I27014" s="309"/>
      <c r="J27014" s="309"/>
    </row>
    <row r="27015">
      <c r="B27015" s="309"/>
      <c r="C27015" s="309"/>
      <c r="I27015" s="309"/>
      <c r="J27015" s="309"/>
    </row>
    <row r="27016">
      <c r="B27016" s="309"/>
      <c r="C27016" s="309"/>
      <c r="I27016" s="309"/>
      <c r="J27016" s="309"/>
    </row>
    <row r="27017">
      <c r="B27017" s="309"/>
      <c r="C27017" s="309"/>
      <c r="I27017" s="309"/>
      <c r="J27017" s="309"/>
    </row>
    <row r="27018">
      <c r="B27018" s="309"/>
      <c r="C27018" s="309"/>
      <c r="I27018" s="309"/>
      <c r="J27018" s="309"/>
    </row>
    <row r="27019">
      <c r="B27019" s="309"/>
      <c r="C27019" s="309"/>
      <c r="I27019" s="309"/>
      <c r="J27019" s="309"/>
    </row>
    <row r="27020">
      <c r="B27020" s="309"/>
      <c r="C27020" s="309"/>
      <c r="I27020" s="309"/>
      <c r="J27020" s="309"/>
    </row>
    <row r="27021">
      <c r="B27021" s="309"/>
      <c r="C27021" s="309"/>
      <c r="I27021" s="309"/>
      <c r="J27021" s="309"/>
    </row>
    <row r="27022">
      <c r="B27022" s="309"/>
      <c r="C27022" s="309"/>
      <c r="I27022" s="309"/>
      <c r="J27022" s="309"/>
    </row>
    <row r="27023">
      <c r="B27023" s="309"/>
      <c r="C27023" s="309"/>
      <c r="I27023" s="309"/>
      <c r="J27023" s="309"/>
    </row>
    <row r="27024">
      <c r="B27024" s="309"/>
      <c r="C27024" s="309"/>
      <c r="I27024" s="309"/>
      <c r="J27024" s="309"/>
    </row>
    <row r="27025">
      <c r="B27025" s="309"/>
      <c r="C27025" s="309"/>
      <c r="I27025" s="309"/>
      <c r="J27025" s="309"/>
    </row>
    <row r="27026">
      <c r="B27026" s="309"/>
      <c r="C27026" s="309"/>
      <c r="I27026" s="309"/>
      <c r="J27026" s="309"/>
    </row>
    <row r="27027">
      <c r="B27027" s="309"/>
      <c r="C27027" s="309"/>
      <c r="I27027" s="309"/>
      <c r="J27027" s="309"/>
    </row>
    <row r="27028">
      <c r="B27028" s="309"/>
      <c r="C27028" s="309"/>
      <c r="I27028" s="309"/>
      <c r="J27028" s="309"/>
    </row>
    <row r="27029">
      <c r="B27029" s="309"/>
      <c r="C27029" s="309"/>
      <c r="I27029" s="309"/>
      <c r="J27029" s="309"/>
    </row>
    <row r="27030">
      <c r="B27030" s="309"/>
      <c r="C27030" s="309"/>
      <c r="I27030" s="309"/>
      <c r="J27030" s="309"/>
    </row>
    <row r="27031">
      <c r="B27031" s="309"/>
      <c r="C27031" s="309"/>
      <c r="I27031" s="309"/>
      <c r="J27031" s="309"/>
    </row>
    <row r="27032">
      <c r="B27032" s="309"/>
      <c r="C27032" s="309"/>
      <c r="I27032" s="309"/>
      <c r="J27032" s="309"/>
    </row>
    <row r="27033">
      <c r="B27033" s="309"/>
      <c r="C27033" s="309"/>
      <c r="I27033" s="309"/>
      <c r="J27033" s="309"/>
    </row>
    <row r="27034">
      <c r="B27034" s="309"/>
      <c r="C27034" s="309"/>
      <c r="I27034" s="309"/>
      <c r="J27034" s="309"/>
    </row>
    <row r="27035">
      <c r="B27035" s="309"/>
      <c r="C27035" s="309"/>
      <c r="I27035" s="309"/>
      <c r="J27035" s="309"/>
    </row>
    <row r="27036">
      <c r="B27036" s="309"/>
      <c r="C27036" s="309"/>
      <c r="I27036" s="309"/>
      <c r="J27036" s="309"/>
    </row>
    <row r="27037">
      <c r="B27037" s="309"/>
      <c r="C27037" s="309"/>
      <c r="I27037" s="309"/>
      <c r="J27037" s="309"/>
    </row>
    <row r="27038">
      <c r="B27038" s="309"/>
      <c r="C27038" s="309"/>
      <c r="I27038" s="309"/>
      <c r="J27038" s="309"/>
    </row>
    <row r="27039">
      <c r="B27039" s="309"/>
      <c r="C27039" s="309"/>
      <c r="I27039" s="309"/>
      <c r="J27039" s="309"/>
    </row>
    <row r="27040">
      <c r="B27040" s="309"/>
      <c r="C27040" s="309"/>
      <c r="I27040" s="309"/>
      <c r="J27040" s="309"/>
    </row>
    <row r="27041">
      <c r="B27041" s="309"/>
      <c r="C27041" s="309"/>
      <c r="I27041" s="309"/>
      <c r="J27041" s="309"/>
    </row>
    <row r="27042">
      <c r="B27042" s="309"/>
      <c r="C27042" s="309"/>
      <c r="I27042" s="309"/>
      <c r="J27042" s="309"/>
    </row>
    <row r="27043">
      <c r="B27043" s="309"/>
      <c r="C27043" s="309"/>
      <c r="I27043" s="309"/>
      <c r="J27043" s="309"/>
    </row>
    <row r="27044">
      <c r="B27044" s="309"/>
      <c r="C27044" s="309"/>
      <c r="I27044" s="309"/>
      <c r="J27044" s="309"/>
    </row>
    <row r="27045">
      <c r="B27045" s="309"/>
      <c r="C27045" s="309"/>
      <c r="I27045" s="309"/>
      <c r="J27045" s="309"/>
    </row>
    <row r="27046">
      <c r="B27046" s="309"/>
      <c r="C27046" s="309"/>
      <c r="I27046" s="309"/>
      <c r="J27046" s="309"/>
    </row>
    <row r="27047">
      <c r="B27047" s="309"/>
      <c r="C27047" s="309"/>
      <c r="I27047" s="309"/>
      <c r="J27047" s="309"/>
    </row>
    <row r="27048">
      <c r="B27048" s="309"/>
      <c r="C27048" s="309"/>
      <c r="I27048" s="309"/>
      <c r="J27048" s="309"/>
    </row>
    <row r="27049">
      <c r="B27049" s="309"/>
      <c r="C27049" s="309"/>
      <c r="I27049" s="309"/>
      <c r="J27049" s="309"/>
    </row>
    <row r="27050">
      <c r="B27050" s="309"/>
      <c r="C27050" s="309"/>
      <c r="I27050" s="309"/>
      <c r="J27050" s="309"/>
    </row>
    <row r="27051">
      <c r="B27051" s="309"/>
      <c r="C27051" s="309"/>
      <c r="I27051" s="309"/>
      <c r="J27051" s="309"/>
    </row>
    <row r="27052">
      <c r="B27052" s="309"/>
      <c r="C27052" s="309"/>
      <c r="I27052" s="309"/>
      <c r="J27052" s="309"/>
    </row>
    <row r="27053">
      <c r="B27053" s="309"/>
      <c r="C27053" s="309"/>
      <c r="I27053" s="309"/>
      <c r="J27053" s="309"/>
    </row>
    <row r="27054">
      <c r="B27054" s="309"/>
      <c r="C27054" s="309"/>
      <c r="I27054" s="309"/>
      <c r="J27054" s="309"/>
    </row>
    <row r="27055">
      <c r="B27055" s="309"/>
      <c r="C27055" s="309"/>
      <c r="I27055" s="309"/>
      <c r="J27055" s="309"/>
    </row>
    <row r="27056">
      <c r="B27056" s="309"/>
      <c r="C27056" s="309"/>
      <c r="I27056" s="309"/>
      <c r="J27056" s="309"/>
    </row>
    <row r="27057">
      <c r="B27057" s="309"/>
      <c r="C27057" s="309"/>
      <c r="I27057" s="309"/>
      <c r="J27057" s="309"/>
    </row>
    <row r="27058">
      <c r="B27058" s="309"/>
      <c r="C27058" s="309"/>
      <c r="I27058" s="309"/>
      <c r="J27058" s="309"/>
    </row>
    <row r="27059">
      <c r="B27059" s="309"/>
      <c r="C27059" s="309"/>
      <c r="I27059" s="309"/>
      <c r="J27059" s="309"/>
    </row>
    <row r="27060">
      <c r="B27060" s="309"/>
      <c r="C27060" s="309"/>
      <c r="I27060" s="309"/>
      <c r="J27060" s="309"/>
    </row>
    <row r="27061">
      <c r="B27061" s="309"/>
      <c r="C27061" s="309"/>
      <c r="I27061" s="309"/>
      <c r="J27061" s="309"/>
    </row>
    <row r="27062">
      <c r="B27062" s="309"/>
      <c r="C27062" s="309"/>
      <c r="I27062" s="309"/>
      <c r="J27062" s="309"/>
    </row>
    <row r="27063">
      <c r="B27063" s="309"/>
      <c r="C27063" s="309"/>
      <c r="I27063" s="309"/>
      <c r="J27063" s="309"/>
    </row>
    <row r="27064">
      <c r="B27064" s="309"/>
      <c r="C27064" s="309"/>
      <c r="I27064" s="309"/>
      <c r="J27064" s="309"/>
    </row>
    <row r="27065">
      <c r="B27065" s="309"/>
      <c r="C27065" s="309"/>
      <c r="I27065" s="309"/>
      <c r="J27065" s="309"/>
    </row>
    <row r="27066">
      <c r="B27066" s="309"/>
      <c r="C27066" s="309"/>
      <c r="I27066" s="309"/>
      <c r="J27066" s="309"/>
    </row>
    <row r="27067">
      <c r="B27067" s="309"/>
      <c r="C27067" s="309"/>
      <c r="I27067" s="309"/>
      <c r="J27067" s="309"/>
    </row>
    <row r="27068">
      <c r="B27068" s="309"/>
      <c r="C27068" s="309"/>
      <c r="I27068" s="309"/>
      <c r="J27068" s="309"/>
    </row>
    <row r="27069">
      <c r="B27069" s="309"/>
      <c r="C27069" s="309"/>
      <c r="I27069" s="309"/>
      <c r="J27069" s="309"/>
    </row>
    <row r="27070">
      <c r="B27070" s="309"/>
      <c r="C27070" s="309"/>
      <c r="I27070" s="309"/>
      <c r="J27070" s="309"/>
    </row>
    <row r="27071">
      <c r="B27071" s="309"/>
      <c r="C27071" s="309"/>
      <c r="I27071" s="309"/>
      <c r="J27071" s="309"/>
    </row>
    <row r="27072">
      <c r="B27072" s="309"/>
      <c r="C27072" s="309"/>
      <c r="I27072" s="309"/>
      <c r="J27072" s="309"/>
    </row>
    <row r="27073">
      <c r="B27073" s="309"/>
      <c r="C27073" s="309"/>
      <c r="I27073" s="309"/>
      <c r="J27073" s="309"/>
    </row>
    <row r="27074">
      <c r="B27074" s="309"/>
      <c r="C27074" s="309"/>
      <c r="I27074" s="309"/>
      <c r="J27074" s="309"/>
    </row>
    <row r="27075">
      <c r="B27075" s="309"/>
      <c r="C27075" s="309"/>
      <c r="I27075" s="309"/>
      <c r="J27075" s="309"/>
    </row>
    <row r="27076">
      <c r="B27076" s="309"/>
      <c r="C27076" s="309"/>
      <c r="I27076" s="309"/>
      <c r="J27076" s="309"/>
    </row>
    <row r="27077">
      <c r="B27077" s="309"/>
      <c r="C27077" s="309"/>
      <c r="I27077" s="309"/>
      <c r="J27077" s="309"/>
    </row>
    <row r="27078">
      <c r="B27078" s="309"/>
      <c r="C27078" s="309"/>
      <c r="I27078" s="309"/>
      <c r="J27078" s="309"/>
    </row>
    <row r="27079">
      <c r="B27079" s="309"/>
      <c r="C27079" s="309"/>
      <c r="I27079" s="309"/>
      <c r="J27079" s="309"/>
    </row>
    <row r="27080">
      <c r="B27080" s="309"/>
      <c r="C27080" s="309"/>
      <c r="I27080" s="309"/>
      <c r="J27080" s="309"/>
    </row>
    <row r="27081">
      <c r="B27081" s="309"/>
      <c r="C27081" s="309"/>
      <c r="I27081" s="309"/>
      <c r="J27081" s="309"/>
    </row>
    <row r="27082">
      <c r="B27082" s="309"/>
      <c r="C27082" s="309"/>
      <c r="I27082" s="309"/>
      <c r="J27082" s="309"/>
    </row>
    <row r="27083">
      <c r="B27083" s="309"/>
      <c r="C27083" s="309"/>
      <c r="I27083" s="309"/>
      <c r="J27083" s="309"/>
    </row>
    <row r="27084">
      <c r="B27084" s="309"/>
      <c r="C27084" s="309"/>
      <c r="I27084" s="309"/>
      <c r="J27084" s="309"/>
    </row>
    <row r="27085">
      <c r="B27085" s="309"/>
      <c r="C27085" s="309"/>
      <c r="I27085" s="309"/>
      <c r="J27085" s="309"/>
    </row>
    <row r="27086">
      <c r="B27086" s="309"/>
      <c r="C27086" s="309"/>
      <c r="I27086" s="309"/>
      <c r="J27086" s="309"/>
    </row>
    <row r="27087">
      <c r="B27087" s="309"/>
      <c r="C27087" s="309"/>
      <c r="I27087" s="309"/>
      <c r="J27087" s="309"/>
    </row>
    <row r="27088">
      <c r="B27088" s="309"/>
      <c r="C27088" s="309"/>
      <c r="I27088" s="309"/>
      <c r="J27088" s="309"/>
    </row>
    <row r="27089">
      <c r="B27089" s="309"/>
      <c r="C27089" s="309"/>
      <c r="I27089" s="309"/>
      <c r="J27089" s="309"/>
    </row>
    <row r="27090">
      <c r="B27090" s="309"/>
      <c r="C27090" s="309"/>
      <c r="I27090" s="309"/>
      <c r="J27090" s="309"/>
    </row>
    <row r="27091">
      <c r="B27091" s="309"/>
      <c r="C27091" s="309"/>
      <c r="I27091" s="309"/>
      <c r="J27091" s="309"/>
    </row>
    <row r="27092">
      <c r="B27092" s="309"/>
      <c r="C27092" s="309"/>
      <c r="I27092" s="309"/>
      <c r="J27092" s="309"/>
    </row>
    <row r="27093">
      <c r="B27093" s="309"/>
      <c r="C27093" s="309"/>
      <c r="I27093" s="309"/>
      <c r="J27093" s="309"/>
    </row>
    <row r="27094">
      <c r="B27094" s="309"/>
      <c r="C27094" s="309"/>
      <c r="I27094" s="309"/>
      <c r="J27094" s="309"/>
    </row>
    <row r="27095">
      <c r="B27095" s="309"/>
      <c r="C27095" s="309"/>
      <c r="I27095" s="309"/>
      <c r="J27095" s="309"/>
    </row>
    <row r="27096">
      <c r="B27096" s="309"/>
      <c r="C27096" s="309"/>
      <c r="I27096" s="309"/>
      <c r="J27096" s="309"/>
    </row>
    <row r="27097">
      <c r="B27097" s="309"/>
      <c r="C27097" s="309"/>
      <c r="I27097" s="309"/>
      <c r="J27097" s="309"/>
    </row>
    <row r="27098">
      <c r="B27098" s="309"/>
      <c r="C27098" s="309"/>
      <c r="I27098" s="309"/>
      <c r="J27098" s="309"/>
    </row>
    <row r="27099">
      <c r="B27099" s="309"/>
      <c r="C27099" s="309"/>
      <c r="I27099" s="309"/>
      <c r="J27099" s="309"/>
    </row>
    <row r="27100">
      <c r="B27100" s="309"/>
      <c r="C27100" s="309"/>
      <c r="I27100" s="309"/>
      <c r="J27100" s="309"/>
    </row>
    <row r="27101">
      <c r="B27101" s="309"/>
      <c r="C27101" s="309"/>
      <c r="I27101" s="309"/>
      <c r="J27101" s="309"/>
    </row>
    <row r="27102">
      <c r="B27102" s="309"/>
      <c r="C27102" s="309"/>
      <c r="I27102" s="309"/>
      <c r="J27102" s="309"/>
    </row>
    <row r="27103">
      <c r="B27103" s="309"/>
      <c r="C27103" s="309"/>
      <c r="I27103" s="309"/>
      <c r="J27103" s="309"/>
    </row>
    <row r="27104">
      <c r="B27104" s="309"/>
      <c r="C27104" s="309"/>
      <c r="I27104" s="309"/>
      <c r="J27104" s="309"/>
    </row>
    <row r="27105">
      <c r="B27105" s="309"/>
      <c r="C27105" s="309"/>
      <c r="I27105" s="309"/>
      <c r="J27105" s="309"/>
    </row>
    <row r="27106">
      <c r="B27106" s="309"/>
      <c r="C27106" s="309"/>
      <c r="I27106" s="309"/>
      <c r="J27106" s="309"/>
    </row>
    <row r="27107">
      <c r="B27107" s="309"/>
      <c r="C27107" s="309"/>
      <c r="I27107" s="309"/>
      <c r="J27107" s="309"/>
    </row>
    <row r="27108">
      <c r="B27108" s="309"/>
      <c r="C27108" s="309"/>
      <c r="I27108" s="309"/>
      <c r="J27108" s="309"/>
    </row>
    <row r="27109">
      <c r="B27109" s="309"/>
      <c r="C27109" s="309"/>
      <c r="I27109" s="309"/>
      <c r="J27109" s="309"/>
    </row>
    <row r="27110">
      <c r="B27110" s="309"/>
      <c r="C27110" s="309"/>
      <c r="I27110" s="309"/>
      <c r="J27110" s="309"/>
    </row>
    <row r="27111">
      <c r="B27111" s="309"/>
      <c r="C27111" s="309"/>
      <c r="I27111" s="309"/>
      <c r="J27111" s="309"/>
    </row>
    <row r="27112">
      <c r="B27112" s="309"/>
      <c r="C27112" s="309"/>
      <c r="I27112" s="309"/>
      <c r="J27112" s="309"/>
    </row>
    <row r="27113">
      <c r="B27113" s="309"/>
      <c r="C27113" s="309"/>
      <c r="I27113" s="309"/>
      <c r="J27113" s="309"/>
    </row>
    <row r="27114">
      <c r="B27114" s="309"/>
      <c r="C27114" s="309"/>
      <c r="I27114" s="309"/>
      <c r="J27114" s="309"/>
    </row>
    <row r="27115">
      <c r="B27115" s="309"/>
      <c r="C27115" s="309"/>
      <c r="I27115" s="309"/>
      <c r="J27115" s="309"/>
    </row>
    <row r="27116">
      <c r="B27116" s="309"/>
      <c r="C27116" s="309"/>
      <c r="I27116" s="309"/>
      <c r="J27116" s="309"/>
    </row>
    <row r="27117">
      <c r="B27117" s="309"/>
      <c r="C27117" s="309"/>
      <c r="I27117" s="309"/>
      <c r="J27117" s="309"/>
    </row>
    <row r="27118">
      <c r="B27118" s="309"/>
      <c r="C27118" s="309"/>
      <c r="I27118" s="309"/>
      <c r="J27118" s="309"/>
    </row>
    <row r="27119">
      <c r="B27119" s="309"/>
      <c r="C27119" s="309"/>
      <c r="I27119" s="309"/>
      <c r="J27119" s="309"/>
    </row>
    <row r="27120">
      <c r="B27120" s="309"/>
      <c r="C27120" s="309"/>
      <c r="I27120" s="309"/>
      <c r="J27120" s="309"/>
    </row>
    <row r="27121">
      <c r="B27121" s="309"/>
      <c r="C27121" s="309"/>
      <c r="I27121" s="309"/>
      <c r="J27121" s="309"/>
    </row>
    <row r="27122">
      <c r="B27122" s="309"/>
      <c r="C27122" s="309"/>
      <c r="I27122" s="309"/>
      <c r="J27122" s="309"/>
    </row>
    <row r="27123">
      <c r="B27123" s="309"/>
      <c r="C27123" s="309"/>
      <c r="I27123" s="309"/>
      <c r="J27123" s="309"/>
    </row>
    <row r="27124">
      <c r="B27124" s="309"/>
      <c r="C27124" s="309"/>
      <c r="I27124" s="309"/>
      <c r="J27124" s="309"/>
    </row>
    <row r="27125">
      <c r="B27125" s="309"/>
      <c r="C27125" s="309"/>
      <c r="I27125" s="309"/>
      <c r="J27125" s="309"/>
    </row>
    <row r="27126">
      <c r="B27126" s="309"/>
      <c r="C27126" s="309"/>
      <c r="I27126" s="309"/>
      <c r="J27126" s="309"/>
    </row>
    <row r="27127">
      <c r="B27127" s="309"/>
      <c r="C27127" s="309"/>
      <c r="I27127" s="309"/>
      <c r="J27127" s="309"/>
    </row>
    <row r="27128">
      <c r="B27128" s="309"/>
      <c r="C27128" s="309"/>
      <c r="I27128" s="309"/>
      <c r="J27128" s="309"/>
    </row>
    <row r="27129">
      <c r="B27129" s="309"/>
      <c r="C27129" s="309"/>
      <c r="I27129" s="309"/>
      <c r="J27129" s="309"/>
    </row>
    <row r="27130">
      <c r="B27130" s="309"/>
      <c r="C27130" s="309"/>
      <c r="I27130" s="309"/>
      <c r="J27130" s="309"/>
    </row>
    <row r="27131">
      <c r="B27131" s="309"/>
      <c r="C27131" s="309"/>
      <c r="I27131" s="309"/>
      <c r="J27131" s="309"/>
    </row>
    <row r="27132">
      <c r="B27132" s="309"/>
      <c r="C27132" s="309"/>
      <c r="I27132" s="309"/>
      <c r="J27132" s="309"/>
    </row>
    <row r="27133">
      <c r="B27133" s="309"/>
      <c r="C27133" s="309"/>
      <c r="I27133" s="309"/>
      <c r="J27133" s="309"/>
    </row>
    <row r="27134">
      <c r="B27134" s="309"/>
      <c r="C27134" s="309"/>
      <c r="I27134" s="309"/>
      <c r="J27134" s="309"/>
    </row>
    <row r="27135">
      <c r="B27135" s="309"/>
      <c r="C27135" s="309"/>
      <c r="I27135" s="309"/>
      <c r="J27135" s="309"/>
    </row>
    <row r="27136">
      <c r="B27136" s="309"/>
      <c r="C27136" s="309"/>
      <c r="I27136" s="309"/>
      <c r="J27136" s="309"/>
    </row>
    <row r="27137">
      <c r="B27137" s="309"/>
      <c r="C27137" s="309"/>
      <c r="I27137" s="309"/>
      <c r="J27137" s="309"/>
    </row>
    <row r="27138">
      <c r="B27138" s="309"/>
      <c r="C27138" s="309"/>
      <c r="I27138" s="309"/>
      <c r="J27138" s="309"/>
    </row>
    <row r="27139">
      <c r="B27139" s="309"/>
      <c r="C27139" s="309"/>
      <c r="I27139" s="309"/>
      <c r="J27139" s="309"/>
    </row>
    <row r="27140">
      <c r="B27140" s="309"/>
      <c r="C27140" s="309"/>
      <c r="I27140" s="309"/>
      <c r="J27140" s="309"/>
    </row>
    <row r="27141">
      <c r="B27141" s="309"/>
      <c r="C27141" s="309"/>
      <c r="I27141" s="309"/>
      <c r="J27141" s="309"/>
    </row>
    <row r="27142">
      <c r="B27142" s="309"/>
      <c r="C27142" s="309"/>
      <c r="I27142" s="309"/>
      <c r="J27142" s="309"/>
    </row>
    <row r="27143">
      <c r="B27143" s="309"/>
      <c r="C27143" s="309"/>
      <c r="I27143" s="309"/>
      <c r="J27143" s="309"/>
    </row>
    <row r="27144">
      <c r="B27144" s="309"/>
      <c r="C27144" s="309"/>
      <c r="I27144" s="309"/>
      <c r="J27144" s="309"/>
    </row>
    <row r="27145">
      <c r="B27145" s="309"/>
      <c r="C27145" s="309"/>
      <c r="I27145" s="309"/>
      <c r="J27145" s="309"/>
    </row>
    <row r="27146">
      <c r="B27146" s="309"/>
      <c r="C27146" s="309"/>
      <c r="I27146" s="309"/>
      <c r="J27146" s="309"/>
    </row>
    <row r="27147">
      <c r="B27147" s="309"/>
      <c r="C27147" s="309"/>
      <c r="I27147" s="309"/>
      <c r="J27147" s="309"/>
    </row>
    <row r="27148">
      <c r="B27148" s="309"/>
      <c r="C27148" s="309"/>
      <c r="I27148" s="309"/>
      <c r="J27148" s="309"/>
    </row>
    <row r="27149">
      <c r="B27149" s="309"/>
      <c r="C27149" s="309"/>
      <c r="I27149" s="309"/>
      <c r="J27149" s="309"/>
    </row>
    <row r="27150">
      <c r="B27150" s="309"/>
      <c r="C27150" s="309"/>
      <c r="I27150" s="309"/>
      <c r="J27150" s="309"/>
    </row>
    <row r="27151">
      <c r="B27151" s="309"/>
      <c r="C27151" s="309"/>
      <c r="I27151" s="309"/>
      <c r="J27151" s="309"/>
    </row>
    <row r="27152">
      <c r="B27152" s="309"/>
      <c r="C27152" s="309"/>
      <c r="I27152" s="309"/>
      <c r="J27152" s="309"/>
    </row>
    <row r="27153">
      <c r="B27153" s="309"/>
      <c r="C27153" s="309"/>
      <c r="I27153" s="309"/>
      <c r="J27153" s="309"/>
    </row>
    <row r="27154">
      <c r="B27154" s="309"/>
      <c r="C27154" s="309"/>
      <c r="I27154" s="309"/>
      <c r="J27154" s="309"/>
    </row>
    <row r="27155">
      <c r="B27155" s="309"/>
      <c r="C27155" s="309"/>
      <c r="I27155" s="309"/>
      <c r="J27155" s="309"/>
    </row>
    <row r="27156">
      <c r="B27156" s="309"/>
      <c r="C27156" s="309"/>
      <c r="I27156" s="309"/>
      <c r="J27156" s="309"/>
    </row>
    <row r="27157">
      <c r="B27157" s="309"/>
      <c r="C27157" s="309"/>
      <c r="I27157" s="309"/>
      <c r="J27157" s="309"/>
    </row>
    <row r="27158">
      <c r="B27158" s="309"/>
      <c r="C27158" s="309"/>
      <c r="I27158" s="309"/>
      <c r="J27158" s="309"/>
    </row>
    <row r="27159">
      <c r="B27159" s="309"/>
      <c r="C27159" s="309"/>
      <c r="I27159" s="309"/>
      <c r="J27159" s="309"/>
    </row>
    <row r="27160">
      <c r="B27160" s="309"/>
      <c r="C27160" s="309"/>
      <c r="I27160" s="309"/>
      <c r="J27160" s="309"/>
    </row>
    <row r="27161">
      <c r="B27161" s="309"/>
      <c r="C27161" s="309"/>
      <c r="I27161" s="309"/>
      <c r="J27161" s="309"/>
    </row>
    <row r="27162">
      <c r="B27162" s="309"/>
      <c r="C27162" s="309"/>
      <c r="I27162" s="309"/>
      <c r="J27162" s="309"/>
    </row>
    <row r="27163">
      <c r="B27163" s="309"/>
      <c r="C27163" s="309"/>
      <c r="I27163" s="309"/>
      <c r="J27163" s="309"/>
    </row>
    <row r="27164">
      <c r="B27164" s="309"/>
      <c r="C27164" s="309"/>
      <c r="I27164" s="309"/>
      <c r="J27164" s="309"/>
    </row>
    <row r="27165">
      <c r="B27165" s="309"/>
      <c r="C27165" s="309"/>
      <c r="I27165" s="309"/>
      <c r="J27165" s="309"/>
    </row>
    <row r="27166">
      <c r="B27166" s="309"/>
      <c r="C27166" s="309"/>
      <c r="I27166" s="309"/>
      <c r="J27166" s="309"/>
    </row>
    <row r="27167">
      <c r="B27167" s="309"/>
      <c r="C27167" s="309"/>
      <c r="I27167" s="309"/>
      <c r="J27167" s="309"/>
    </row>
    <row r="27168">
      <c r="B27168" s="309"/>
      <c r="C27168" s="309"/>
      <c r="I27168" s="309"/>
      <c r="J27168" s="309"/>
    </row>
    <row r="27169">
      <c r="B27169" s="309"/>
      <c r="C27169" s="309"/>
      <c r="I27169" s="309"/>
      <c r="J27169" s="309"/>
    </row>
    <row r="27170">
      <c r="B27170" s="309"/>
      <c r="C27170" s="309"/>
      <c r="I27170" s="309"/>
      <c r="J27170" s="309"/>
    </row>
    <row r="27171">
      <c r="B27171" s="309"/>
      <c r="C27171" s="309"/>
      <c r="I27171" s="309"/>
      <c r="J27171" s="309"/>
    </row>
    <row r="27172">
      <c r="B27172" s="309"/>
      <c r="C27172" s="309"/>
      <c r="I27172" s="309"/>
      <c r="J27172" s="309"/>
    </row>
    <row r="27173">
      <c r="B27173" s="309"/>
      <c r="C27173" s="309"/>
      <c r="I27173" s="309"/>
      <c r="J27173" s="309"/>
    </row>
    <row r="27174">
      <c r="B27174" s="309"/>
      <c r="C27174" s="309"/>
      <c r="I27174" s="309"/>
      <c r="J27174" s="309"/>
    </row>
    <row r="27175">
      <c r="B27175" s="309"/>
      <c r="C27175" s="309"/>
      <c r="I27175" s="309"/>
      <c r="J27175" s="309"/>
    </row>
    <row r="27176">
      <c r="B27176" s="309"/>
      <c r="C27176" s="309"/>
      <c r="I27176" s="309"/>
      <c r="J27176" s="309"/>
    </row>
    <row r="27177">
      <c r="B27177" s="309"/>
      <c r="C27177" s="309"/>
      <c r="I27177" s="309"/>
      <c r="J27177" s="309"/>
    </row>
    <row r="27178">
      <c r="B27178" s="309"/>
      <c r="C27178" s="309"/>
      <c r="I27178" s="309"/>
      <c r="J27178" s="309"/>
    </row>
    <row r="27179">
      <c r="B27179" s="309"/>
      <c r="C27179" s="309"/>
      <c r="I27179" s="309"/>
      <c r="J27179" s="309"/>
    </row>
    <row r="27180">
      <c r="B27180" s="309"/>
      <c r="C27180" s="309"/>
      <c r="I27180" s="309"/>
      <c r="J27180" s="309"/>
    </row>
    <row r="27181">
      <c r="B27181" s="309"/>
      <c r="C27181" s="309"/>
      <c r="I27181" s="309"/>
      <c r="J27181" s="309"/>
    </row>
    <row r="27182">
      <c r="B27182" s="309"/>
      <c r="C27182" s="309"/>
      <c r="I27182" s="309"/>
      <c r="J27182" s="309"/>
    </row>
    <row r="27183">
      <c r="B27183" s="309"/>
      <c r="C27183" s="309"/>
      <c r="I27183" s="309"/>
      <c r="J27183" s="309"/>
    </row>
    <row r="27184">
      <c r="B27184" s="309"/>
      <c r="C27184" s="309"/>
      <c r="I27184" s="309"/>
      <c r="J27184" s="309"/>
    </row>
    <row r="27185">
      <c r="B27185" s="309"/>
      <c r="C27185" s="309"/>
      <c r="I27185" s="309"/>
      <c r="J27185" s="309"/>
    </row>
    <row r="27186">
      <c r="B27186" s="309"/>
      <c r="C27186" s="309"/>
      <c r="I27186" s="309"/>
      <c r="J27186" s="309"/>
    </row>
    <row r="27187">
      <c r="B27187" s="309"/>
      <c r="C27187" s="309"/>
      <c r="I27187" s="309"/>
      <c r="J27187" s="309"/>
    </row>
    <row r="27188">
      <c r="B27188" s="309"/>
      <c r="C27188" s="309"/>
      <c r="I27188" s="309"/>
      <c r="J27188" s="309"/>
    </row>
    <row r="27189">
      <c r="B27189" s="309"/>
      <c r="C27189" s="309"/>
      <c r="I27189" s="309"/>
      <c r="J27189" s="309"/>
    </row>
    <row r="27190">
      <c r="B27190" s="309"/>
      <c r="C27190" s="309"/>
      <c r="I27190" s="309"/>
      <c r="J27190" s="309"/>
    </row>
    <row r="27191">
      <c r="B27191" s="309"/>
      <c r="C27191" s="309"/>
      <c r="I27191" s="309"/>
      <c r="J27191" s="309"/>
    </row>
    <row r="27192">
      <c r="B27192" s="309"/>
      <c r="C27192" s="309"/>
      <c r="I27192" s="309"/>
      <c r="J27192" s="309"/>
    </row>
    <row r="27193">
      <c r="B27193" s="309"/>
      <c r="C27193" s="309"/>
      <c r="I27193" s="309"/>
      <c r="J27193" s="309"/>
    </row>
    <row r="27194">
      <c r="B27194" s="309"/>
      <c r="C27194" s="309"/>
      <c r="I27194" s="309"/>
      <c r="J27194" s="309"/>
    </row>
    <row r="27195">
      <c r="B27195" s="309"/>
      <c r="C27195" s="309"/>
      <c r="I27195" s="309"/>
      <c r="J27195" s="309"/>
    </row>
    <row r="27196">
      <c r="B27196" s="309"/>
      <c r="C27196" s="309"/>
      <c r="I27196" s="309"/>
      <c r="J27196" s="309"/>
    </row>
    <row r="27197">
      <c r="B27197" s="309"/>
      <c r="C27197" s="309"/>
      <c r="I27197" s="309"/>
      <c r="J27197" s="309"/>
    </row>
    <row r="27198">
      <c r="B27198" s="309"/>
      <c r="C27198" s="309"/>
      <c r="I27198" s="309"/>
      <c r="J27198" s="309"/>
    </row>
    <row r="27199">
      <c r="B27199" s="309"/>
      <c r="C27199" s="309"/>
      <c r="I27199" s="309"/>
      <c r="J27199" s="309"/>
    </row>
    <row r="27200">
      <c r="B27200" s="309"/>
      <c r="C27200" s="309"/>
      <c r="I27200" s="309"/>
      <c r="J27200" s="309"/>
    </row>
    <row r="27201">
      <c r="B27201" s="309"/>
      <c r="C27201" s="309"/>
      <c r="I27201" s="309"/>
      <c r="J27201" s="309"/>
    </row>
    <row r="27202">
      <c r="B27202" s="309"/>
      <c r="C27202" s="309"/>
      <c r="I27202" s="309"/>
      <c r="J27202" s="309"/>
    </row>
    <row r="27203">
      <c r="B27203" s="309"/>
      <c r="C27203" s="309"/>
      <c r="I27203" s="309"/>
      <c r="J27203" s="309"/>
    </row>
    <row r="27204">
      <c r="B27204" s="309"/>
      <c r="C27204" s="309"/>
      <c r="I27204" s="309"/>
      <c r="J27204" s="309"/>
    </row>
    <row r="27205">
      <c r="B27205" s="309"/>
      <c r="C27205" s="309"/>
      <c r="I27205" s="309"/>
      <c r="J27205" s="309"/>
    </row>
    <row r="27206">
      <c r="B27206" s="309"/>
      <c r="C27206" s="309"/>
      <c r="I27206" s="309"/>
      <c r="J27206" s="309"/>
    </row>
    <row r="27207">
      <c r="B27207" s="309"/>
      <c r="C27207" s="309"/>
      <c r="I27207" s="309"/>
      <c r="J27207" s="309"/>
    </row>
    <row r="27208">
      <c r="B27208" s="309"/>
      <c r="C27208" s="309"/>
      <c r="I27208" s="309"/>
      <c r="J27208" s="309"/>
    </row>
    <row r="27209">
      <c r="B27209" s="309"/>
      <c r="C27209" s="309"/>
      <c r="I27209" s="309"/>
      <c r="J27209" s="309"/>
    </row>
    <row r="27210">
      <c r="B27210" s="309"/>
      <c r="C27210" s="309"/>
      <c r="I27210" s="309"/>
      <c r="J27210" s="309"/>
    </row>
    <row r="27211">
      <c r="B27211" s="309"/>
      <c r="C27211" s="309"/>
      <c r="I27211" s="309"/>
      <c r="J27211" s="309"/>
    </row>
    <row r="27212">
      <c r="B27212" s="309"/>
      <c r="C27212" s="309"/>
      <c r="I27212" s="309"/>
      <c r="J27212" s="309"/>
    </row>
    <row r="27213">
      <c r="B27213" s="309"/>
      <c r="C27213" s="309"/>
      <c r="I27213" s="309"/>
      <c r="J27213" s="309"/>
    </row>
    <row r="27214">
      <c r="B27214" s="309"/>
      <c r="C27214" s="309"/>
      <c r="I27214" s="309"/>
      <c r="J27214" s="309"/>
    </row>
    <row r="27215">
      <c r="B27215" s="309"/>
      <c r="C27215" s="309"/>
      <c r="I27215" s="309"/>
      <c r="J27215" s="309"/>
    </row>
    <row r="27216">
      <c r="B27216" s="309"/>
      <c r="C27216" s="309"/>
      <c r="I27216" s="309"/>
      <c r="J27216" s="309"/>
    </row>
    <row r="27217">
      <c r="B27217" s="309"/>
      <c r="C27217" s="309"/>
      <c r="I27217" s="309"/>
      <c r="J27217" s="309"/>
    </row>
    <row r="27218">
      <c r="B27218" s="309"/>
      <c r="C27218" s="309"/>
      <c r="I27218" s="309"/>
      <c r="J27218" s="309"/>
    </row>
    <row r="27219">
      <c r="B27219" s="309"/>
      <c r="C27219" s="309"/>
      <c r="I27219" s="309"/>
      <c r="J27219" s="309"/>
    </row>
    <row r="27220">
      <c r="B27220" s="309"/>
      <c r="C27220" s="309"/>
      <c r="I27220" s="309"/>
      <c r="J27220" s="309"/>
    </row>
    <row r="27221">
      <c r="B27221" s="309"/>
      <c r="C27221" s="309"/>
      <c r="I27221" s="309"/>
      <c r="J27221" s="309"/>
    </row>
    <row r="27222">
      <c r="B27222" s="309"/>
      <c r="C27222" s="309"/>
      <c r="I27222" s="309"/>
      <c r="J27222" s="309"/>
    </row>
    <row r="27223">
      <c r="B27223" s="309"/>
      <c r="C27223" s="309"/>
      <c r="I27223" s="309"/>
      <c r="J27223" s="309"/>
    </row>
    <row r="27224">
      <c r="B27224" s="309"/>
      <c r="C27224" s="309"/>
      <c r="I27224" s="309"/>
      <c r="J27224" s="309"/>
    </row>
    <row r="27225">
      <c r="B27225" s="309"/>
      <c r="C27225" s="309"/>
      <c r="I27225" s="309"/>
      <c r="J27225" s="309"/>
    </row>
    <row r="27226">
      <c r="B27226" s="309"/>
      <c r="C27226" s="309"/>
      <c r="I27226" s="309"/>
      <c r="J27226" s="309"/>
    </row>
    <row r="27227">
      <c r="B27227" s="309"/>
      <c r="C27227" s="309"/>
      <c r="I27227" s="309"/>
      <c r="J27227" s="309"/>
    </row>
    <row r="27228">
      <c r="B27228" s="309"/>
      <c r="C27228" s="309"/>
      <c r="I27228" s="309"/>
      <c r="J27228" s="309"/>
    </row>
    <row r="27229">
      <c r="B27229" s="309"/>
      <c r="C27229" s="309"/>
      <c r="I27229" s="309"/>
      <c r="J27229" s="309"/>
    </row>
    <row r="27230">
      <c r="B27230" s="309"/>
      <c r="C27230" s="309"/>
      <c r="I27230" s="309"/>
      <c r="J27230" s="309"/>
    </row>
    <row r="27231">
      <c r="B27231" s="309"/>
      <c r="C27231" s="309"/>
      <c r="I27231" s="309"/>
      <c r="J27231" s="309"/>
    </row>
    <row r="27232">
      <c r="B27232" s="309"/>
      <c r="C27232" s="309"/>
      <c r="I27232" s="309"/>
      <c r="J27232" s="309"/>
    </row>
    <row r="27233">
      <c r="B27233" s="309"/>
      <c r="C27233" s="309"/>
      <c r="I27233" s="309"/>
      <c r="J27233" s="309"/>
    </row>
    <row r="27234">
      <c r="B27234" s="309"/>
      <c r="C27234" s="309"/>
      <c r="I27234" s="309"/>
      <c r="J27234" s="309"/>
    </row>
    <row r="27235">
      <c r="B27235" s="309"/>
      <c r="C27235" s="309"/>
      <c r="I27235" s="309"/>
      <c r="J27235" s="309"/>
    </row>
    <row r="27236">
      <c r="B27236" s="309"/>
      <c r="C27236" s="309"/>
      <c r="I27236" s="309"/>
      <c r="J27236" s="309"/>
    </row>
    <row r="27237">
      <c r="B27237" s="309"/>
      <c r="C27237" s="309"/>
      <c r="I27237" s="309"/>
      <c r="J27237" s="309"/>
    </row>
    <row r="27238">
      <c r="B27238" s="309"/>
      <c r="C27238" s="309"/>
      <c r="I27238" s="309"/>
      <c r="J27238" s="309"/>
    </row>
    <row r="27239">
      <c r="B27239" s="309"/>
      <c r="C27239" s="309"/>
      <c r="I27239" s="309"/>
      <c r="J27239" s="309"/>
    </row>
    <row r="27240">
      <c r="B27240" s="309"/>
      <c r="C27240" s="309"/>
      <c r="I27240" s="309"/>
      <c r="J27240" s="309"/>
    </row>
    <row r="27241">
      <c r="B27241" s="309"/>
      <c r="C27241" s="309"/>
      <c r="I27241" s="309"/>
      <c r="J27241" s="309"/>
    </row>
    <row r="27242">
      <c r="B27242" s="309"/>
      <c r="C27242" s="309"/>
      <c r="I27242" s="309"/>
      <c r="J27242" s="309"/>
    </row>
    <row r="27243">
      <c r="B27243" s="309"/>
      <c r="C27243" s="309"/>
      <c r="I27243" s="309"/>
      <c r="J27243" s="309"/>
    </row>
    <row r="27244">
      <c r="B27244" s="309"/>
      <c r="C27244" s="309"/>
      <c r="I27244" s="309"/>
      <c r="J27244" s="309"/>
    </row>
    <row r="27245">
      <c r="B27245" s="309"/>
      <c r="C27245" s="309"/>
      <c r="I27245" s="309"/>
      <c r="J27245" s="309"/>
    </row>
    <row r="27246">
      <c r="B27246" s="309"/>
      <c r="C27246" s="309"/>
      <c r="I27246" s="309"/>
      <c r="J27246" s="309"/>
    </row>
    <row r="27247">
      <c r="B27247" s="309"/>
      <c r="C27247" s="309"/>
      <c r="I27247" s="309"/>
      <c r="J27247" s="309"/>
    </row>
    <row r="27248">
      <c r="B27248" s="309"/>
      <c r="C27248" s="309"/>
      <c r="I27248" s="309"/>
      <c r="J27248" s="309"/>
    </row>
    <row r="27249">
      <c r="B27249" s="309"/>
      <c r="C27249" s="309"/>
      <c r="I27249" s="309"/>
      <c r="J27249" s="309"/>
    </row>
    <row r="27250">
      <c r="B27250" s="309"/>
      <c r="C27250" s="309"/>
      <c r="I27250" s="309"/>
      <c r="J27250" s="309"/>
    </row>
    <row r="27251">
      <c r="B27251" s="309"/>
      <c r="C27251" s="309"/>
      <c r="I27251" s="309"/>
      <c r="J27251" s="309"/>
    </row>
    <row r="27252">
      <c r="B27252" s="309"/>
      <c r="C27252" s="309"/>
      <c r="I27252" s="309"/>
      <c r="J27252" s="309"/>
    </row>
    <row r="27253">
      <c r="B27253" s="309"/>
      <c r="C27253" s="309"/>
      <c r="I27253" s="309"/>
      <c r="J27253" s="309"/>
    </row>
    <row r="27254">
      <c r="B27254" s="309"/>
      <c r="C27254" s="309"/>
      <c r="I27254" s="309"/>
      <c r="J27254" s="309"/>
    </row>
    <row r="27255">
      <c r="B27255" s="309"/>
      <c r="C27255" s="309"/>
      <c r="I27255" s="309"/>
      <c r="J27255" s="309"/>
    </row>
    <row r="27256">
      <c r="B27256" s="309"/>
      <c r="C27256" s="309"/>
      <c r="I27256" s="309"/>
      <c r="J27256" s="309"/>
    </row>
    <row r="27257">
      <c r="B27257" s="309"/>
      <c r="C27257" s="309"/>
      <c r="I27257" s="309"/>
      <c r="J27257" s="309"/>
    </row>
    <row r="27258">
      <c r="B27258" s="309"/>
      <c r="C27258" s="309"/>
      <c r="I27258" s="309"/>
      <c r="J27258" s="309"/>
    </row>
    <row r="27259">
      <c r="B27259" s="309"/>
      <c r="C27259" s="309"/>
      <c r="I27259" s="309"/>
      <c r="J27259" s="309"/>
    </row>
    <row r="27260">
      <c r="B27260" s="309"/>
      <c r="C27260" s="309"/>
      <c r="I27260" s="309"/>
      <c r="J27260" s="309"/>
    </row>
    <row r="27261">
      <c r="B27261" s="309"/>
      <c r="C27261" s="309"/>
      <c r="I27261" s="309"/>
      <c r="J27261" s="309"/>
    </row>
    <row r="27262">
      <c r="B27262" s="309"/>
      <c r="C27262" s="309"/>
      <c r="I27262" s="309"/>
      <c r="J27262" s="309"/>
    </row>
    <row r="27263">
      <c r="B27263" s="309"/>
      <c r="C27263" s="309"/>
      <c r="I27263" s="309"/>
      <c r="J27263" s="309"/>
    </row>
    <row r="27264">
      <c r="B27264" s="309"/>
      <c r="C27264" s="309"/>
      <c r="I27264" s="309"/>
      <c r="J27264" s="309"/>
    </row>
    <row r="27265">
      <c r="B27265" s="309"/>
      <c r="C27265" s="309"/>
      <c r="I27265" s="309"/>
      <c r="J27265" s="309"/>
    </row>
    <row r="27266">
      <c r="B27266" s="309"/>
      <c r="C27266" s="309"/>
      <c r="I27266" s="309"/>
      <c r="J27266" s="309"/>
    </row>
    <row r="27267">
      <c r="B27267" s="309"/>
      <c r="C27267" s="309"/>
      <c r="I27267" s="309"/>
      <c r="J27267" s="309"/>
    </row>
    <row r="27268">
      <c r="B27268" s="309"/>
      <c r="C27268" s="309"/>
      <c r="I27268" s="309"/>
      <c r="J27268" s="309"/>
    </row>
    <row r="27269">
      <c r="B27269" s="309"/>
      <c r="C27269" s="309"/>
      <c r="I27269" s="309"/>
      <c r="J27269" s="309"/>
    </row>
    <row r="27270">
      <c r="B27270" s="309"/>
      <c r="C27270" s="309"/>
      <c r="I27270" s="309"/>
      <c r="J27270" s="309"/>
    </row>
    <row r="27271">
      <c r="B27271" s="309"/>
      <c r="C27271" s="309"/>
      <c r="I27271" s="309"/>
      <c r="J27271" s="309"/>
    </row>
    <row r="27272">
      <c r="B27272" s="309"/>
      <c r="C27272" s="309"/>
      <c r="I27272" s="309"/>
      <c r="J27272" s="309"/>
    </row>
    <row r="27273">
      <c r="B27273" s="309"/>
      <c r="C27273" s="309"/>
      <c r="I27273" s="309"/>
      <c r="J27273" s="309"/>
    </row>
    <row r="27274">
      <c r="B27274" s="309"/>
      <c r="C27274" s="309"/>
      <c r="I27274" s="309"/>
      <c r="J27274" s="309"/>
    </row>
    <row r="27275">
      <c r="B27275" s="309"/>
      <c r="C27275" s="309"/>
      <c r="I27275" s="309"/>
      <c r="J27275" s="309"/>
    </row>
    <row r="27276">
      <c r="B27276" s="309"/>
      <c r="C27276" s="309"/>
      <c r="I27276" s="309"/>
      <c r="J27276" s="309"/>
    </row>
    <row r="27277">
      <c r="B27277" s="309"/>
      <c r="C27277" s="309"/>
      <c r="I27277" s="309"/>
      <c r="J27277" s="309"/>
    </row>
    <row r="27278">
      <c r="B27278" s="309"/>
      <c r="C27278" s="309"/>
      <c r="I27278" s="309"/>
      <c r="J27278" s="309"/>
    </row>
    <row r="27279">
      <c r="B27279" s="309"/>
      <c r="C27279" s="309"/>
      <c r="I27279" s="309"/>
      <c r="J27279" s="309"/>
    </row>
    <row r="27280">
      <c r="B27280" s="309"/>
      <c r="C27280" s="309"/>
      <c r="I27280" s="309"/>
      <c r="J27280" s="309"/>
    </row>
    <row r="27281">
      <c r="B27281" s="309"/>
      <c r="C27281" s="309"/>
      <c r="I27281" s="309"/>
      <c r="J27281" s="309"/>
    </row>
    <row r="27282">
      <c r="B27282" s="309"/>
      <c r="C27282" s="309"/>
      <c r="I27282" s="309"/>
      <c r="J27282" s="309"/>
    </row>
    <row r="27283">
      <c r="B27283" s="309"/>
      <c r="C27283" s="309"/>
      <c r="I27283" s="309"/>
      <c r="J27283" s="309"/>
    </row>
    <row r="27284">
      <c r="B27284" s="309"/>
      <c r="C27284" s="309"/>
      <c r="I27284" s="309"/>
      <c r="J27284" s="309"/>
    </row>
    <row r="27285">
      <c r="B27285" s="309"/>
      <c r="C27285" s="309"/>
      <c r="I27285" s="309"/>
      <c r="J27285" s="309"/>
    </row>
    <row r="27286">
      <c r="B27286" s="309"/>
      <c r="C27286" s="309"/>
      <c r="I27286" s="309"/>
      <c r="J27286" s="309"/>
    </row>
    <row r="27287">
      <c r="B27287" s="309"/>
      <c r="C27287" s="309"/>
      <c r="I27287" s="309"/>
      <c r="J27287" s="309"/>
    </row>
    <row r="27288">
      <c r="B27288" s="309"/>
      <c r="C27288" s="309"/>
      <c r="I27288" s="309"/>
      <c r="J27288" s="309"/>
    </row>
    <row r="27289">
      <c r="B27289" s="309"/>
      <c r="C27289" s="309"/>
      <c r="I27289" s="309"/>
      <c r="J27289" s="309"/>
    </row>
    <row r="27290">
      <c r="B27290" s="309"/>
      <c r="C27290" s="309"/>
      <c r="I27290" s="309"/>
      <c r="J27290" s="309"/>
    </row>
    <row r="27291">
      <c r="B27291" s="309"/>
      <c r="C27291" s="309"/>
      <c r="I27291" s="309"/>
      <c r="J27291" s="309"/>
    </row>
    <row r="27292">
      <c r="B27292" s="309"/>
      <c r="C27292" s="309"/>
      <c r="I27292" s="309"/>
      <c r="J27292" s="309"/>
    </row>
    <row r="27293">
      <c r="B27293" s="309"/>
      <c r="C27293" s="309"/>
      <c r="I27293" s="309"/>
      <c r="J27293" s="309"/>
    </row>
    <row r="27294">
      <c r="B27294" s="309"/>
      <c r="C27294" s="309"/>
      <c r="I27294" s="309"/>
      <c r="J27294" s="309"/>
    </row>
    <row r="27295">
      <c r="B27295" s="309"/>
      <c r="C27295" s="309"/>
      <c r="I27295" s="309"/>
      <c r="J27295" s="309"/>
    </row>
    <row r="27296">
      <c r="B27296" s="309"/>
      <c r="C27296" s="309"/>
      <c r="I27296" s="309"/>
      <c r="J27296" s="309"/>
    </row>
    <row r="27297">
      <c r="B27297" s="309"/>
      <c r="C27297" s="309"/>
      <c r="I27297" s="309"/>
      <c r="J27297" s="309"/>
    </row>
    <row r="27298">
      <c r="B27298" s="309"/>
      <c r="C27298" s="309"/>
      <c r="I27298" s="309"/>
      <c r="J27298" s="309"/>
    </row>
    <row r="27299">
      <c r="B27299" s="309"/>
      <c r="C27299" s="309"/>
      <c r="I27299" s="309"/>
      <c r="J27299" s="309"/>
    </row>
    <row r="27300">
      <c r="B27300" s="309"/>
      <c r="C27300" s="309"/>
      <c r="I27300" s="309"/>
      <c r="J27300" s="309"/>
    </row>
    <row r="27301">
      <c r="B27301" s="309"/>
      <c r="C27301" s="309"/>
      <c r="I27301" s="309"/>
      <c r="J27301" s="309"/>
    </row>
    <row r="27302">
      <c r="B27302" s="309"/>
      <c r="C27302" s="309"/>
      <c r="I27302" s="309"/>
      <c r="J27302" s="309"/>
    </row>
    <row r="27303">
      <c r="B27303" s="309"/>
      <c r="C27303" s="309"/>
      <c r="I27303" s="309"/>
      <c r="J27303" s="309"/>
    </row>
    <row r="27304">
      <c r="B27304" s="309"/>
      <c r="C27304" s="309"/>
      <c r="I27304" s="309"/>
      <c r="J27304" s="309"/>
    </row>
    <row r="27305">
      <c r="B27305" s="309"/>
      <c r="C27305" s="309"/>
      <c r="I27305" s="309"/>
      <c r="J27305" s="309"/>
    </row>
    <row r="27306">
      <c r="B27306" s="309"/>
      <c r="C27306" s="309"/>
      <c r="I27306" s="309"/>
      <c r="J27306" s="309"/>
    </row>
    <row r="27307">
      <c r="B27307" s="309"/>
      <c r="C27307" s="309"/>
      <c r="I27307" s="309"/>
      <c r="J27307" s="309"/>
    </row>
    <row r="27308">
      <c r="B27308" s="309"/>
      <c r="C27308" s="309"/>
      <c r="I27308" s="309"/>
      <c r="J27308" s="309"/>
    </row>
    <row r="27309">
      <c r="B27309" s="309"/>
      <c r="C27309" s="309"/>
      <c r="I27309" s="309"/>
      <c r="J27309" s="309"/>
    </row>
    <row r="27310">
      <c r="B27310" s="309"/>
      <c r="C27310" s="309"/>
      <c r="I27310" s="309"/>
      <c r="J27310" s="309"/>
    </row>
    <row r="27311">
      <c r="B27311" s="309"/>
      <c r="C27311" s="309"/>
      <c r="I27311" s="309"/>
      <c r="J27311" s="309"/>
    </row>
    <row r="27312">
      <c r="B27312" s="309"/>
      <c r="C27312" s="309"/>
      <c r="I27312" s="309"/>
      <c r="J27312" s="309"/>
    </row>
    <row r="27313">
      <c r="B27313" s="309"/>
      <c r="C27313" s="309"/>
      <c r="I27313" s="309"/>
      <c r="J27313" s="309"/>
    </row>
    <row r="27314">
      <c r="B27314" s="309"/>
      <c r="C27314" s="309"/>
      <c r="I27314" s="309"/>
      <c r="J27314" s="309"/>
    </row>
    <row r="27315">
      <c r="B27315" s="309"/>
      <c r="C27315" s="309"/>
      <c r="I27315" s="309"/>
      <c r="J27315" s="309"/>
    </row>
    <row r="27316">
      <c r="B27316" s="309"/>
      <c r="C27316" s="309"/>
      <c r="I27316" s="309"/>
      <c r="J27316" s="309"/>
    </row>
    <row r="27317">
      <c r="B27317" s="309"/>
      <c r="C27317" s="309"/>
      <c r="I27317" s="309"/>
      <c r="J27317" s="309"/>
    </row>
    <row r="27318">
      <c r="B27318" s="309"/>
      <c r="C27318" s="309"/>
      <c r="I27318" s="309"/>
      <c r="J27318" s="309"/>
    </row>
    <row r="27319">
      <c r="B27319" s="309"/>
      <c r="C27319" s="309"/>
      <c r="I27319" s="309"/>
      <c r="J27319" s="309"/>
    </row>
    <row r="27320">
      <c r="B27320" s="309"/>
      <c r="C27320" s="309"/>
      <c r="I27320" s="309"/>
      <c r="J27320" s="309"/>
    </row>
    <row r="27321">
      <c r="B27321" s="309"/>
      <c r="C27321" s="309"/>
      <c r="I27321" s="309"/>
      <c r="J27321" s="309"/>
    </row>
    <row r="27322">
      <c r="B27322" s="309"/>
      <c r="C27322" s="309"/>
      <c r="I27322" s="309"/>
      <c r="J27322" s="309"/>
    </row>
    <row r="27323">
      <c r="B27323" s="309"/>
      <c r="C27323" s="309"/>
      <c r="I27323" s="309"/>
      <c r="J27323" s="309"/>
    </row>
    <row r="27324">
      <c r="B27324" s="309"/>
      <c r="C27324" s="309"/>
      <c r="I27324" s="309"/>
      <c r="J27324" s="309"/>
    </row>
    <row r="27325">
      <c r="B27325" s="309"/>
      <c r="C27325" s="309"/>
      <c r="I27325" s="309"/>
      <c r="J27325" s="309"/>
    </row>
    <row r="27326">
      <c r="B27326" s="309"/>
      <c r="C27326" s="309"/>
      <c r="I27326" s="309"/>
      <c r="J27326" s="309"/>
    </row>
    <row r="27327">
      <c r="B27327" s="309"/>
      <c r="C27327" s="309"/>
      <c r="I27327" s="309"/>
      <c r="J27327" s="309"/>
    </row>
    <row r="27328">
      <c r="B27328" s="309"/>
      <c r="C27328" s="309"/>
      <c r="I27328" s="309"/>
      <c r="J27328" s="309"/>
    </row>
    <row r="27329">
      <c r="B27329" s="309"/>
      <c r="C27329" s="309"/>
      <c r="I27329" s="309"/>
      <c r="J27329" s="309"/>
    </row>
    <row r="27330">
      <c r="B27330" s="309"/>
      <c r="C27330" s="309"/>
      <c r="I27330" s="309"/>
      <c r="J27330" s="309"/>
    </row>
    <row r="27331">
      <c r="B27331" s="309"/>
      <c r="C27331" s="309"/>
      <c r="I27331" s="309"/>
      <c r="J27331" s="309"/>
    </row>
    <row r="27332">
      <c r="B27332" s="309"/>
      <c r="C27332" s="309"/>
      <c r="I27332" s="309"/>
      <c r="J27332" s="309"/>
    </row>
    <row r="27333">
      <c r="B27333" s="309"/>
      <c r="C27333" s="309"/>
      <c r="I27333" s="309"/>
      <c r="J27333" s="309"/>
    </row>
    <row r="27334">
      <c r="B27334" s="309"/>
      <c r="C27334" s="309"/>
      <c r="I27334" s="309"/>
      <c r="J27334" s="309"/>
    </row>
    <row r="27335">
      <c r="B27335" s="309"/>
      <c r="C27335" s="309"/>
      <c r="I27335" s="309"/>
      <c r="J27335" s="309"/>
    </row>
    <row r="27336">
      <c r="B27336" s="309"/>
      <c r="C27336" s="309"/>
      <c r="I27336" s="309"/>
      <c r="J27336" s="309"/>
    </row>
    <row r="27337">
      <c r="B27337" s="309"/>
      <c r="C27337" s="309"/>
      <c r="I27337" s="309"/>
      <c r="J27337" s="309"/>
    </row>
    <row r="27338">
      <c r="B27338" s="309"/>
      <c r="C27338" s="309"/>
      <c r="I27338" s="309"/>
      <c r="J27338" s="309"/>
    </row>
    <row r="27339">
      <c r="B27339" s="309"/>
      <c r="C27339" s="309"/>
      <c r="I27339" s="309"/>
      <c r="J27339" s="309"/>
    </row>
    <row r="27340">
      <c r="B27340" s="309"/>
      <c r="C27340" s="309"/>
      <c r="I27340" s="309"/>
      <c r="J27340" s="309"/>
    </row>
    <row r="27341">
      <c r="B27341" s="309"/>
      <c r="C27341" s="309"/>
      <c r="I27341" s="309"/>
      <c r="J27341" s="309"/>
    </row>
    <row r="27342">
      <c r="B27342" s="309"/>
      <c r="C27342" s="309"/>
      <c r="I27342" s="309"/>
      <c r="J27342" s="309"/>
    </row>
    <row r="27343">
      <c r="B27343" s="309"/>
      <c r="C27343" s="309"/>
      <c r="I27343" s="309"/>
      <c r="J27343" s="309"/>
    </row>
    <row r="27344">
      <c r="B27344" s="309"/>
      <c r="C27344" s="309"/>
      <c r="I27344" s="309"/>
      <c r="J27344" s="309"/>
    </row>
    <row r="27345">
      <c r="B27345" s="309"/>
      <c r="C27345" s="309"/>
      <c r="I27345" s="309"/>
      <c r="J27345" s="309"/>
    </row>
    <row r="27346">
      <c r="B27346" s="309"/>
      <c r="C27346" s="309"/>
      <c r="I27346" s="309"/>
      <c r="J27346" s="309"/>
    </row>
    <row r="27347">
      <c r="B27347" s="309"/>
      <c r="C27347" s="309"/>
      <c r="I27347" s="309"/>
      <c r="J27347" s="309"/>
    </row>
    <row r="27348">
      <c r="B27348" s="309"/>
      <c r="C27348" s="309"/>
      <c r="I27348" s="309"/>
      <c r="J27348" s="309"/>
    </row>
    <row r="27349">
      <c r="B27349" s="309"/>
      <c r="C27349" s="309"/>
      <c r="I27349" s="309"/>
      <c r="J27349" s="309"/>
    </row>
    <row r="27350">
      <c r="B27350" s="309"/>
      <c r="C27350" s="309"/>
      <c r="I27350" s="309"/>
      <c r="J27350" s="309"/>
    </row>
    <row r="27351">
      <c r="B27351" s="309"/>
      <c r="C27351" s="309"/>
      <c r="I27351" s="309"/>
      <c r="J27351" s="309"/>
    </row>
    <row r="27352">
      <c r="B27352" s="309"/>
      <c r="C27352" s="309"/>
      <c r="I27352" s="309"/>
      <c r="J27352" s="309"/>
    </row>
    <row r="27353">
      <c r="B27353" s="309"/>
      <c r="C27353" s="309"/>
      <c r="I27353" s="309"/>
      <c r="J27353" s="309"/>
    </row>
    <row r="27354">
      <c r="B27354" s="309"/>
      <c r="C27354" s="309"/>
      <c r="I27354" s="309"/>
      <c r="J27354" s="309"/>
    </row>
    <row r="27355">
      <c r="B27355" s="309"/>
      <c r="C27355" s="309"/>
      <c r="I27355" s="309"/>
      <c r="J27355" s="309"/>
    </row>
    <row r="27356">
      <c r="B27356" s="309"/>
      <c r="C27356" s="309"/>
      <c r="I27356" s="309"/>
      <c r="J27356" s="309"/>
    </row>
    <row r="27357">
      <c r="B27357" s="309"/>
      <c r="C27357" s="309"/>
      <c r="I27357" s="309"/>
      <c r="J27357" s="309"/>
    </row>
    <row r="27358">
      <c r="B27358" s="309"/>
      <c r="C27358" s="309"/>
      <c r="I27358" s="309"/>
      <c r="J27358" s="309"/>
    </row>
    <row r="27359">
      <c r="B27359" s="309"/>
      <c r="C27359" s="309"/>
      <c r="I27359" s="309"/>
      <c r="J27359" s="309"/>
    </row>
    <row r="27360">
      <c r="B27360" s="309"/>
      <c r="C27360" s="309"/>
      <c r="I27360" s="309"/>
      <c r="J27360" s="309"/>
    </row>
    <row r="27361">
      <c r="B27361" s="309"/>
      <c r="C27361" s="309"/>
      <c r="I27361" s="309"/>
      <c r="J27361" s="309"/>
    </row>
    <row r="27362">
      <c r="B27362" s="309"/>
      <c r="C27362" s="309"/>
      <c r="I27362" s="309"/>
      <c r="J27362" s="309"/>
    </row>
    <row r="27363">
      <c r="B27363" s="309"/>
      <c r="C27363" s="309"/>
      <c r="I27363" s="309"/>
      <c r="J27363" s="309"/>
    </row>
    <row r="27364">
      <c r="B27364" s="309"/>
      <c r="C27364" s="309"/>
      <c r="I27364" s="309"/>
      <c r="J27364" s="309"/>
    </row>
    <row r="27365">
      <c r="B27365" s="309"/>
      <c r="C27365" s="309"/>
      <c r="I27365" s="309"/>
      <c r="J27365" s="309"/>
    </row>
    <row r="27366">
      <c r="B27366" s="309"/>
      <c r="C27366" s="309"/>
      <c r="I27366" s="309"/>
      <c r="J27366" s="309"/>
    </row>
    <row r="27367">
      <c r="B27367" s="309"/>
      <c r="C27367" s="309"/>
      <c r="I27367" s="309"/>
      <c r="J27367" s="309"/>
    </row>
    <row r="27368">
      <c r="B27368" s="309"/>
      <c r="C27368" s="309"/>
      <c r="I27368" s="309"/>
      <c r="J27368" s="309"/>
    </row>
    <row r="27369">
      <c r="B27369" s="309"/>
      <c r="C27369" s="309"/>
      <c r="I27369" s="309"/>
      <c r="J27369" s="309"/>
    </row>
    <row r="27370">
      <c r="B27370" s="309"/>
      <c r="C27370" s="309"/>
      <c r="I27370" s="309"/>
      <c r="J27370" s="309"/>
    </row>
    <row r="27371">
      <c r="B27371" s="309"/>
      <c r="C27371" s="309"/>
      <c r="I27371" s="309"/>
      <c r="J27371" s="309"/>
    </row>
    <row r="27372">
      <c r="B27372" s="309"/>
      <c r="C27372" s="309"/>
      <c r="I27372" s="309"/>
      <c r="J27372" s="309"/>
    </row>
    <row r="27373">
      <c r="B27373" s="309"/>
      <c r="C27373" s="309"/>
      <c r="I27373" s="309"/>
      <c r="J27373" s="309"/>
    </row>
    <row r="27374">
      <c r="B27374" s="309"/>
      <c r="C27374" s="309"/>
      <c r="I27374" s="309"/>
      <c r="J27374" s="309"/>
    </row>
    <row r="27375">
      <c r="B27375" s="309"/>
      <c r="C27375" s="309"/>
      <c r="I27375" s="309"/>
      <c r="J27375" s="309"/>
    </row>
    <row r="27376">
      <c r="B27376" s="309"/>
      <c r="C27376" s="309"/>
      <c r="I27376" s="309"/>
      <c r="J27376" s="309"/>
    </row>
    <row r="27377">
      <c r="B27377" s="309"/>
      <c r="C27377" s="309"/>
      <c r="I27377" s="309"/>
      <c r="J27377" s="309"/>
    </row>
    <row r="27378">
      <c r="B27378" s="309"/>
      <c r="C27378" s="309"/>
      <c r="I27378" s="309"/>
      <c r="J27378" s="309"/>
    </row>
    <row r="27379">
      <c r="B27379" s="309"/>
      <c r="C27379" s="309"/>
      <c r="I27379" s="309"/>
      <c r="J27379" s="309"/>
    </row>
    <row r="27380">
      <c r="B27380" s="309"/>
      <c r="C27380" s="309"/>
      <c r="I27380" s="309"/>
      <c r="J27380" s="309"/>
    </row>
    <row r="27381">
      <c r="B27381" s="309"/>
      <c r="C27381" s="309"/>
      <c r="I27381" s="309"/>
      <c r="J27381" s="309"/>
    </row>
    <row r="27382">
      <c r="B27382" s="309"/>
      <c r="C27382" s="309"/>
      <c r="I27382" s="309"/>
      <c r="J27382" s="309"/>
    </row>
    <row r="27383">
      <c r="B27383" s="309"/>
      <c r="C27383" s="309"/>
      <c r="I27383" s="309"/>
      <c r="J27383" s="309"/>
    </row>
    <row r="27384">
      <c r="B27384" s="309"/>
      <c r="C27384" s="309"/>
      <c r="I27384" s="309"/>
      <c r="J27384" s="309"/>
    </row>
    <row r="27385">
      <c r="B27385" s="309"/>
      <c r="C27385" s="309"/>
      <c r="I27385" s="309"/>
      <c r="J27385" s="309"/>
    </row>
    <row r="27386">
      <c r="B27386" s="309"/>
      <c r="C27386" s="309"/>
      <c r="I27386" s="309"/>
      <c r="J27386" s="309"/>
    </row>
    <row r="27387">
      <c r="B27387" s="309"/>
      <c r="C27387" s="309"/>
      <c r="I27387" s="309"/>
      <c r="J27387" s="309"/>
    </row>
    <row r="27388">
      <c r="B27388" s="309"/>
      <c r="C27388" s="309"/>
      <c r="I27388" s="309"/>
      <c r="J27388" s="309"/>
    </row>
    <row r="27389">
      <c r="B27389" s="309"/>
      <c r="C27389" s="309"/>
      <c r="I27389" s="309"/>
      <c r="J27389" s="309"/>
    </row>
    <row r="27390">
      <c r="B27390" s="309"/>
      <c r="C27390" s="309"/>
      <c r="I27390" s="309"/>
      <c r="J27390" s="309"/>
    </row>
    <row r="27391">
      <c r="B27391" s="309"/>
      <c r="C27391" s="309"/>
      <c r="I27391" s="309"/>
      <c r="J27391" s="309"/>
    </row>
    <row r="27392">
      <c r="B27392" s="309"/>
      <c r="C27392" s="309"/>
      <c r="I27392" s="309"/>
      <c r="J27392" s="309"/>
    </row>
    <row r="27393">
      <c r="B27393" s="309"/>
      <c r="C27393" s="309"/>
      <c r="I27393" s="309"/>
      <c r="J27393" s="309"/>
    </row>
    <row r="27394">
      <c r="B27394" s="309"/>
      <c r="C27394" s="309"/>
      <c r="I27394" s="309"/>
      <c r="J27394" s="309"/>
    </row>
    <row r="27395">
      <c r="B27395" s="309"/>
      <c r="C27395" s="309"/>
      <c r="I27395" s="309"/>
      <c r="J27395" s="309"/>
    </row>
    <row r="27396">
      <c r="B27396" s="309"/>
      <c r="C27396" s="309"/>
      <c r="I27396" s="309"/>
      <c r="J27396" s="309"/>
    </row>
    <row r="27397">
      <c r="B27397" s="309"/>
      <c r="C27397" s="309"/>
      <c r="I27397" s="309"/>
      <c r="J27397" s="309"/>
    </row>
    <row r="27398">
      <c r="B27398" s="309"/>
      <c r="C27398" s="309"/>
      <c r="I27398" s="309"/>
      <c r="J27398" s="309"/>
    </row>
    <row r="27399">
      <c r="B27399" s="309"/>
      <c r="C27399" s="309"/>
      <c r="I27399" s="309"/>
      <c r="J27399" s="309"/>
    </row>
    <row r="27400">
      <c r="B27400" s="309"/>
      <c r="C27400" s="309"/>
      <c r="I27400" s="309"/>
      <c r="J27400" s="309"/>
    </row>
    <row r="27401">
      <c r="B27401" s="309"/>
      <c r="C27401" s="309"/>
      <c r="I27401" s="309"/>
      <c r="J27401" s="309"/>
    </row>
    <row r="27402">
      <c r="B27402" s="309"/>
      <c r="C27402" s="309"/>
      <c r="I27402" s="309"/>
      <c r="J27402" s="309"/>
    </row>
    <row r="27403">
      <c r="B27403" s="309"/>
      <c r="C27403" s="309"/>
      <c r="I27403" s="309"/>
      <c r="J27403" s="309"/>
    </row>
    <row r="27404">
      <c r="B27404" s="309"/>
      <c r="C27404" s="309"/>
      <c r="I27404" s="309"/>
      <c r="J27404" s="309"/>
    </row>
    <row r="27405">
      <c r="B27405" s="309"/>
      <c r="C27405" s="309"/>
      <c r="I27405" s="309"/>
      <c r="J27405" s="309"/>
    </row>
    <row r="27406">
      <c r="B27406" s="309"/>
      <c r="C27406" s="309"/>
      <c r="I27406" s="309"/>
      <c r="J27406" s="309"/>
    </row>
    <row r="27407">
      <c r="B27407" s="309"/>
      <c r="C27407" s="309"/>
      <c r="I27407" s="309"/>
      <c r="J27407" s="309"/>
    </row>
    <row r="27408">
      <c r="B27408" s="309"/>
      <c r="C27408" s="309"/>
      <c r="I27408" s="309"/>
      <c r="J27408" s="309"/>
    </row>
    <row r="27409">
      <c r="B27409" s="309"/>
      <c r="C27409" s="309"/>
      <c r="I27409" s="309"/>
      <c r="J27409" s="309"/>
    </row>
    <row r="27410">
      <c r="B27410" s="309"/>
      <c r="C27410" s="309"/>
      <c r="I27410" s="309"/>
      <c r="J27410" s="309"/>
    </row>
    <row r="27411">
      <c r="B27411" s="309"/>
      <c r="C27411" s="309"/>
      <c r="I27411" s="309"/>
      <c r="J27411" s="309"/>
    </row>
    <row r="27412">
      <c r="B27412" s="309"/>
      <c r="C27412" s="309"/>
      <c r="I27412" s="309"/>
      <c r="J27412" s="309"/>
    </row>
    <row r="27413">
      <c r="B27413" s="309"/>
      <c r="C27413" s="309"/>
      <c r="I27413" s="309"/>
      <c r="J27413" s="309"/>
    </row>
    <row r="27414">
      <c r="B27414" s="309"/>
      <c r="C27414" s="309"/>
      <c r="I27414" s="309"/>
      <c r="J27414" s="309"/>
    </row>
    <row r="27415">
      <c r="B27415" s="309"/>
      <c r="C27415" s="309"/>
      <c r="I27415" s="309"/>
      <c r="J27415" s="309"/>
    </row>
    <row r="27416">
      <c r="B27416" s="309"/>
      <c r="C27416" s="309"/>
      <c r="I27416" s="309"/>
      <c r="J27416" s="309"/>
    </row>
    <row r="27417">
      <c r="B27417" s="309"/>
      <c r="C27417" s="309"/>
      <c r="I27417" s="309"/>
      <c r="J27417" s="309"/>
    </row>
    <row r="27418">
      <c r="B27418" s="309"/>
      <c r="C27418" s="309"/>
      <c r="I27418" s="309"/>
      <c r="J27418" s="309"/>
    </row>
    <row r="27419">
      <c r="B27419" s="309"/>
      <c r="C27419" s="309"/>
      <c r="I27419" s="309"/>
      <c r="J27419" s="309"/>
    </row>
    <row r="27420">
      <c r="B27420" s="309"/>
      <c r="C27420" s="309"/>
      <c r="I27420" s="309"/>
      <c r="J27420" s="309"/>
    </row>
    <row r="27421">
      <c r="B27421" s="309"/>
      <c r="C27421" s="309"/>
      <c r="I27421" s="309"/>
      <c r="J27421" s="309"/>
    </row>
    <row r="27422">
      <c r="B27422" s="309"/>
      <c r="C27422" s="309"/>
      <c r="I27422" s="309"/>
      <c r="J27422" s="309"/>
    </row>
    <row r="27423">
      <c r="B27423" s="309"/>
      <c r="C27423" s="309"/>
      <c r="I27423" s="309"/>
      <c r="J27423" s="309"/>
    </row>
    <row r="27424">
      <c r="B27424" s="309"/>
      <c r="C27424" s="309"/>
      <c r="I27424" s="309"/>
      <c r="J27424" s="309"/>
    </row>
    <row r="27425">
      <c r="B27425" s="309"/>
      <c r="C27425" s="309"/>
      <c r="I27425" s="309"/>
      <c r="J27425" s="309"/>
    </row>
    <row r="27426">
      <c r="B27426" s="309"/>
      <c r="C27426" s="309"/>
      <c r="I27426" s="309"/>
      <c r="J27426" s="309"/>
    </row>
    <row r="27427">
      <c r="B27427" s="309"/>
      <c r="C27427" s="309"/>
      <c r="I27427" s="309"/>
      <c r="J27427" s="309"/>
    </row>
    <row r="27428">
      <c r="B27428" s="309"/>
      <c r="C27428" s="309"/>
      <c r="I27428" s="309"/>
      <c r="J27428" s="309"/>
    </row>
    <row r="27429">
      <c r="B27429" s="309"/>
      <c r="C27429" s="309"/>
      <c r="I27429" s="309"/>
      <c r="J27429" s="309"/>
    </row>
    <row r="27430">
      <c r="B27430" s="309"/>
      <c r="C27430" s="309"/>
      <c r="I27430" s="309"/>
      <c r="J27430" s="309"/>
    </row>
    <row r="27431">
      <c r="B27431" s="309"/>
      <c r="C27431" s="309"/>
      <c r="I27431" s="309"/>
      <c r="J27431" s="309"/>
    </row>
    <row r="27432">
      <c r="B27432" s="309"/>
      <c r="C27432" s="309"/>
      <c r="I27432" s="309"/>
      <c r="J27432" s="309"/>
    </row>
    <row r="27433">
      <c r="B27433" s="309"/>
      <c r="C27433" s="309"/>
      <c r="I27433" s="309"/>
      <c r="J27433" s="309"/>
    </row>
    <row r="27434">
      <c r="B27434" s="309"/>
      <c r="C27434" s="309"/>
      <c r="I27434" s="309"/>
      <c r="J27434" s="309"/>
    </row>
    <row r="27435">
      <c r="B27435" s="309"/>
      <c r="C27435" s="309"/>
      <c r="I27435" s="309"/>
      <c r="J27435" s="309"/>
    </row>
    <row r="27436">
      <c r="B27436" s="309"/>
      <c r="C27436" s="309"/>
      <c r="I27436" s="309"/>
      <c r="J27436" s="309"/>
    </row>
    <row r="27437">
      <c r="B27437" s="309"/>
      <c r="C27437" s="309"/>
      <c r="I27437" s="309"/>
      <c r="J27437" s="309"/>
    </row>
    <row r="27438">
      <c r="B27438" s="309"/>
      <c r="C27438" s="309"/>
      <c r="I27438" s="309"/>
      <c r="J27438" s="309"/>
    </row>
    <row r="27439">
      <c r="B27439" s="309"/>
      <c r="C27439" s="309"/>
      <c r="I27439" s="309"/>
      <c r="J27439" s="309"/>
    </row>
    <row r="27440">
      <c r="B27440" s="309"/>
      <c r="C27440" s="309"/>
      <c r="I27440" s="309"/>
      <c r="J27440" s="309"/>
    </row>
    <row r="27441">
      <c r="B27441" s="309"/>
      <c r="C27441" s="309"/>
      <c r="I27441" s="309"/>
      <c r="J27441" s="309"/>
    </row>
    <row r="27442">
      <c r="B27442" s="309"/>
      <c r="C27442" s="309"/>
      <c r="I27442" s="309"/>
      <c r="J27442" s="309"/>
    </row>
    <row r="27443">
      <c r="B27443" s="309"/>
      <c r="C27443" s="309"/>
      <c r="I27443" s="309"/>
      <c r="J27443" s="309"/>
    </row>
    <row r="27444">
      <c r="B27444" s="309"/>
      <c r="C27444" s="309"/>
      <c r="I27444" s="309"/>
      <c r="J27444" s="309"/>
    </row>
    <row r="27445">
      <c r="B27445" s="309"/>
      <c r="C27445" s="309"/>
      <c r="I27445" s="309"/>
      <c r="J27445" s="309"/>
    </row>
    <row r="27446">
      <c r="B27446" s="309"/>
      <c r="C27446" s="309"/>
      <c r="I27446" s="309"/>
      <c r="J27446" s="309"/>
    </row>
    <row r="27447">
      <c r="B27447" s="309"/>
      <c r="C27447" s="309"/>
      <c r="I27447" s="309"/>
      <c r="J27447" s="309"/>
    </row>
    <row r="27448">
      <c r="B27448" s="309"/>
      <c r="C27448" s="309"/>
      <c r="I27448" s="309"/>
      <c r="J27448" s="309"/>
    </row>
    <row r="27449">
      <c r="B27449" s="309"/>
      <c r="C27449" s="309"/>
      <c r="I27449" s="309"/>
      <c r="J27449" s="309"/>
    </row>
    <row r="27450">
      <c r="B27450" s="309"/>
      <c r="C27450" s="309"/>
      <c r="I27450" s="309"/>
      <c r="J27450" s="309"/>
    </row>
    <row r="27451">
      <c r="B27451" s="309"/>
      <c r="C27451" s="309"/>
      <c r="I27451" s="309"/>
      <c r="J27451" s="309"/>
    </row>
    <row r="27452">
      <c r="B27452" s="309"/>
      <c r="C27452" s="309"/>
      <c r="I27452" s="309"/>
      <c r="J27452" s="309"/>
    </row>
    <row r="27453">
      <c r="B27453" s="309"/>
      <c r="C27453" s="309"/>
      <c r="I27453" s="309"/>
      <c r="J27453" s="309"/>
    </row>
    <row r="27454">
      <c r="B27454" s="309"/>
      <c r="C27454" s="309"/>
      <c r="I27454" s="309"/>
      <c r="J27454" s="309"/>
    </row>
    <row r="27455">
      <c r="B27455" s="309"/>
      <c r="C27455" s="309"/>
      <c r="I27455" s="309"/>
      <c r="J27455" s="309"/>
    </row>
    <row r="27456">
      <c r="B27456" s="309"/>
      <c r="C27456" s="309"/>
      <c r="I27456" s="309"/>
      <c r="J27456" s="309"/>
    </row>
    <row r="27457">
      <c r="B27457" s="309"/>
      <c r="C27457" s="309"/>
      <c r="I27457" s="309"/>
      <c r="J27457" s="309"/>
    </row>
    <row r="27458">
      <c r="B27458" s="309"/>
      <c r="C27458" s="309"/>
      <c r="I27458" s="309"/>
      <c r="J27458" s="309"/>
    </row>
    <row r="27459">
      <c r="B27459" s="309"/>
      <c r="C27459" s="309"/>
      <c r="I27459" s="309"/>
      <c r="J27459" s="309"/>
    </row>
    <row r="27460">
      <c r="B27460" s="309"/>
      <c r="C27460" s="309"/>
      <c r="I27460" s="309"/>
      <c r="J27460" s="309"/>
    </row>
    <row r="27461">
      <c r="B27461" s="309"/>
      <c r="C27461" s="309"/>
      <c r="I27461" s="309"/>
      <c r="J27461" s="309"/>
    </row>
    <row r="27462">
      <c r="B27462" s="309"/>
      <c r="C27462" s="309"/>
      <c r="I27462" s="309"/>
      <c r="J27462" s="309"/>
    </row>
    <row r="27463">
      <c r="B27463" s="309"/>
      <c r="C27463" s="309"/>
      <c r="I27463" s="309"/>
      <c r="J27463" s="309"/>
    </row>
    <row r="27464">
      <c r="B27464" s="309"/>
      <c r="C27464" s="309"/>
      <c r="I27464" s="309"/>
      <c r="J27464" s="309"/>
    </row>
    <row r="27465">
      <c r="B27465" s="309"/>
      <c r="C27465" s="309"/>
      <c r="I27465" s="309"/>
      <c r="J27465" s="309"/>
    </row>
    <row r="27466">
      <c r="B27466" s="309"/>
      <c r="C27466" s="309"/>
      <c r="I27466" s="309"/>
      <c r="J27466" s="309"/>
    </row>
    <row r="27467">
      <c r="B27467" s="309"/>
      <c r="C27467" s="309"/>
      <c r="I27467" s="309"/>
      <c r="J27467" s="309"/>
    </row>
    <row r="27468">
      <c r="B27468" s="309"/>
      <c r="C27468" s="309"/>
      <c r="I27468" s="309"/>
      <c r="J27468" s="309"/>
    </row>
    <row r="27469">
      <c r="B27469" s="309"/>
      <c r="C27469" s="309"/>
      <c r="I27469" s="309"/>
      <c r="J27469" s="309"/>
    </row>
    <row r="27470">
      <c r="B27470" s="309"/>
      <c r="C27470" s="309"/>
      <c r="I27470" s="309"/>
      <c r="J27470" s="309"/>
    </row>
    <row r="27471">
      <c r="B27471" s="309"/>
      <c r="C27471" s="309"/>
      <c r="I27471" s="309"/>
      <c r="J27471" s="309"/>
    </row>
    <row r="27472">
      <c r="B27472" s="309"/>
      <c r="C27472" s="309"/>
      <c r="I27472" s="309"/>
      <c r="J27472" s="309"/>
    </row>
    <row r="27473">
      <c r="B27473" s="309"/>
      <c r="C27473" s="309"/>
      <c r="I27473" s="309"/>
      <c r="J27473" s="309"/>
    </row>
    <row r="27474">
      <c r="B27474" s="309"/>
      <c r="C27474" s="309"/>
      <c r="I27474" s="309"/>
      <c r="J27474" s="309"/>
    </row>
    <row r="27475">
      <c r="B27475" s="309"/>
      <c r="C27475" s="309"/>
      <c r="I27475" s="309"/>
      <c r="J27475" s="309"/>
    </row>
    <row r="27476">
      <c r="B27476" s="309"/>
      <c r="C27476" s="309"/>
      <c r="I27476" s="309"/>
      <c r="J27476" s="309"/>
    </row>
    <row r="27477">
      <c r="B27477" s="309"/>
      <c r="C27477" s="309"/>
      <c r="I27477" s="309"/>
      <c r="J27477" s="309"/>
    </row>
    <row r="27478">
      <c r="B27478" s="309"/>
      <c r="C27478" s="309"/>
      <c r="I27478" s="309"/>
      <c r="J27478" s="309"/>
    </row>
    <row r="27479">
      <c r="B27479" s="309"/>
      <c r="C27479" s="309"/>
      <c r="I27479" s="309"/>
      <c r="J27479" s="309"/>
    </row>
    <row r="27480">
      <c r="B27480" s="309"/>
      <c r="C27480" s="309"/>
      <c r="I27480" s="309"/>
      <c r="J27480" s="309"/>
    </row>
    <row r="27481">
      <c r="B27481" s="309"/>
      <c r="C27481" s="309"/>
      <c r="I27481" s="309"/>
      <c r="J27481" s="309"/>
    </row>
    <row r="27482">
      <c r="B27482" s="309"/>
      <c r="C27482" s="309"/>
      <c r="I27482" s="309"/>
      <c r="J27482" s="309"/>
    </row>
    <row r="27483">
      <c r="B27483" s="309"/>
      <c r="C27483" s="309"/>
      <c r="I27483" s="309"/>
      <c r="J27483" s="309"/>
    </row>
    <row r="27484">
      <c r="B27484" s="309"/>
      <c r="C27484" s="309"/>
      <c r="I27484" s="309"/>
      <c r="J27484" s="309"/>
    </row>
    <row r="27485">
      <c r="B27485" s="309"/>
      <c r="C27485" s="309"/>
      <c r="I27485" s="309"/>
      <c r="J27485" s="309"/>
    </row>
    <row r="27486">
      <c r="B27486" s="309"/>
      <c r="C27486" s="309"/>
      <c r="I27486" s="309"/>
      <c r="J27486" s="309"/>
    </row>
    <row r="27487">
      <c r="B27487" s="309"/>
      <c r="C27487" s="309"/>
      <c r="I27487" s="309"/>
      <c r="J27487" s="309"/>
    </row>
    <row r="27488">
      <c r="B27488" s="309"/>
      <c r="C27488" s="309"/>
      <c r="I27488" s="309"/>
      <c r="J27488" s="309"/>
    </row>
    <row r="27489">
      <c r="B27489" s="309"/>
      <c r="C27489" s="309"/>
      <c r="I27489" s="309"/>
      <c r="J27489" s="309"/>
    </row>
    <row r="27490">
      <c r="B27490" s="309"/>
      <c r="C27490" s="309"/>
      <c r="I27490" s="309"/>
      <c r="J27490" s="309"/>
    </row>
    <row r="27491">
      <c r="B27491" s="309"/>
      <c r="C27491" s="309"/>
      <c r="I27491" s="309"/>
      <c r="J27491" s="309"/>
    </row>
    <row r="27492">
      <c r="B27492" s="309"/>
      <c r="C27492" s="309"/>
      <c r="I27492" s="309"/>
      <c r="J27492" s="309"/>
    </row>
    <row r="27493">
      <c r="B27493" s="309"/>
      <c r="C27493" s="309"/>
      <c r="I27493" s="309"/>
      <c r="J27493" s="309"/>
    </row>
    <row r="27494">
      <c r="B27494" s="309"/>
      <c r="C27494" s="309"/>
      <c r="I27494" s="309"/>
      <c r="J27494" s="309"/>
    </row>
    <row r="27495">
      <c r="B27495" s="309"/>
      <c r="C27495" s="309"/>
      <c r="I27495" s="309"/>
      <c r="J27495" s="309"/>
    </row>
    <row r="27496">
      <c r="B27496" s="309"/>
      <c r="C27496" s="309"/>
      <c r="I27496" s="309"/>
      <c r="J27496" s="309"/>
    </row>
    <row r="27497">
      <c r="B27497" s="309"/>
      <c r="C27497" s="309"/>
      <c r="I27497" s="309"/>
      <c r="J27497" s="309"/>
    </row>
    <row r="27498">
      <c r="B27498" s="309"/>
      <c r="C27498" s="309"/>
      <c r="I27498" s="309"/>
      <c r="J27498" s="309"/>
    </row>
    <row r="27499">
      <c r="B27499" s="309"/>
      <c r="C27499" s="309"/>
      <c r="I27499" s="309"/>
      <c r="J27499" s="309"/>
    </row>
    <row r="27500">
      <c r="B27500" s="309"/>
      <c r="C27500" s="309"/>
      <c r="I27500" s="309"/>
      <c r="J27500" s="309"/>
    </row>
    <row r="27501">
      <c r="B27501" s="309"/>
      <c r="C27501" s="309"/>
      <c r="I27501" s="309"/>
      <c r="J27501" s="309"/>
    </row>
    <row r="27502">
      <c r="B27502" s="309"/>
      <c r="C27502" s="309"/>
      <c r="I27502" s="309"/>
      <c r="J27502" s="309"/>
    </row>
    <row r="27503">
      <c r="B27503" s="309"/>
      <c r="C27503" s="309"/>
      <c r="I27503" s="309"/>
      <c r="J27503" s="309"/>
    </row>
    <row r="27504">
      <c r="B27504" s="309"/>
      <c r="C27504" s="309"/>
      <c r="I27504" s="309"/>
      <c r="J27504" s="309"/>
    </row>
    <row r="27505">
      <c r="B27505" s="309"/>
      <c r="C27505" s="309"/>
      <c r="I27505" s="309"/>
      <c r="J27505" s="309"/>
    </row>
    <row r="27506">
      <c r="B27506" s="309"/>
      <c r="C27506" s="309"/>
      <c r="I27506" s="309"/>
      <c r="J27506" s="309"/>
    </row>
    <row r="27507">
      <c r="B27507" s="309"/>
      <c r="C27507" s="309"/>
      <c r="I27507" s="309"/>
      <c r="J27507" s="309"/>
    </row>
    <row r="27508">
      <c r="B27508" s="309"/>
      <c r="C27508" s="309"/>
      <c r="I27508" s="309"/>
      <c r="J27508" s="309"/>
    </row>
    <row r="27509">
      <c r="B27509" s="309"/>
      <c r="C27509" s="309"/>
      <c r="I27509" s="309"/>
      <c r="J27509" s="309"/>
    </row>
    <row r="27510">
      <c r="B27510" s="309"/>
      <c r="C27510" s="309"/>
      <c r="I27510" s="309"/>
      <c r="J27510" s="309"/>
    </row>
    <row r="27511">
      <c r="B27511" s="309"/>
      <c r="C27511" s="309"/>
      <c r="I27511" s="309"/>
      <c r="J27511" s="309"/>
    </row>
    <row r="27512">
      <c r="B27512" s="309"/>
      <c r="C27512" s="309"/>
      <c r="I27512" s="309"/>
      <c r="J27512" s="309"/>
    </row>
    <row r="27513">
      <c r="B27513" s="309"/>
      <c r="C27513" s="309"/>
      <c r="I27513" s="309"/>
      <c r="J27513" s="309"/>
    </row>
    <row r="27514">
      <c r="B27514" s="309"/>
      <c r="C27514" s="309"/>
      <c r="I27514" s="309"/>
      <c r="J27514" s="309"/>
    </row>
    <row r="27515">
      <c r="B27515" s="309"/>
      <c r="C27515" s="309"/>
      <c r="I27515" s="309"/>
      <c r="J27515" s="309"/>
    </row>
    <row r="27516">
      <c r="B27516" s="309"/>
      <c r="C27516" s="309"/>
      <c r="I27516" s="309"/>
      <c r="J27516" s="309"/>
    </row>
    <row r="27517">
      <c r="B27517" s="309"/>
      <c r="C27517" s="309"/>
      <c r="I27517" s="309"/>
      <c r="J27517" s="309"/>
    </row>
    <row r="27518">
      <c r="B27518" s="309"/>
      <c r="C27518" s="309"/>
      <c r="I27518" s="309"/>
      <c r="J27518" s="309"/>
    </row>
    <row r="27519">
      <c r="B27519" s="309"/>
      <c r="C27519" s="309"/>
      <c r="I27519" s="309"/>
      <c r="J27519" s="309"/>
    </row>
    <row r="27520">
      <c r="B27520" s="309"/>
      <c r="C27520" s="309"/>
      <c r="I27520" s="309"/>
      <c r="J27520" s="309"/>
    </row>
    <row r="27521">
      <c r="B27521" s="309"/>
      <c r="C27521" s="309"/>
      <c r="I27521" s="309"/>
      <c r="J27521" s="309"/>
    </row>
    <row r="27522">
      <c r="B27522" s="309"/>
      <c r="C27522" s="309"/>
      <c r="I27522" s="309"/>
      <c r="J27522" s="309"/>
    </row>
    <row r="27523">
      <c r="B27523" s="309"/>
      <c r="C27523" s="309"/>
      <c r="I27523" s="309"/>
      <c r="J27523" s="309"/>
    </row>
    <row r="27524">
      <c r="B27524" s="309"/>
      <c r="C27524" s="309"/>
      <c r="I27524" s="309"/>
      <c r="J27524" s="309"/>
    </row>
    <row r="27525">
      <c r="B27525" s="309"/>
      <c r="C27525" s="309"/>
      <c r="I27525" s="309"/>
      <c r="J27525" s="309"/>
    </row>
    <row r="27526">
      <c r="B27526" s="309"/>
      <c r="C27526" s="309"/>
      <c r="I27526" s="309"/>
      <c r="J27526" s="309"/>
    </row>
    <row r="27527">
      <c r="B27527" s="309"/>
      <c r="C27527" s="309"/>
      <c r="I27527" s="309"/>
      <c r="J27527" s="309"/>
    </row>
    <row r="27528">
      <c r="B27528" s="309"/>
      <c r="C27528" s="309"/>
      <c r="I27528" s="309"/>
      <c r="J27528" s="309"/>
    </row>
    <row r="27529">
      <c r="B27529" s="309"/>
      <c r="C27529" s="309"/>
      <c r="I27529" s="309"/>
      <c r="J27529" s="309"/>
    </row>
    <row r="27530">
      <c r="B27530" s="309"/>
      <c r="C27530" s="309"/>
      <c r="I27530" s="309"/>
      <c r="J27530" s="309"/>
    </row>
    <row r="27531">
      <c r="B27531" s="309"/>
      <c r="C27531" s="309"/>
      <c r="I27531" s="309"/>
      <c r="J27531" s="309"/>
    </row>
    <row r="27532">
      <c r="B27532" s="309"/>
      <c r="C27532" s="309"/>
      <c r="I27532" s="309"/>
      <c r="J27532" s="309"/>
    </row>
    <row r="27533">
      <c r="B27533" s="309"/>
      <c r="C27533" s="309"/>
      <c r="I27533" s="309"/>
      <c r="J27533" s="309"/>
    </row>
    <row r="27534">
      <c r="B27534" s="309"/>
      <c r="C27534" s="309"/>
      <c r="I27534" s="309"/>
      <c r="J27534" s="309"/>
    </row>
    <row r="27535">
      <c r="B27535" s="309"/>
      <c r="C27535" s="309"/>
      <c r="I27535" s="309"/>
      <c r="J27535" s="309"/>
    </row>
    <row r="27536">
      <c r="B27536" s="309"/>
      <c r="C27536" s="309"/>
      <c r="I27536" s="309"/>
      <c r="J27536" s="309"/>
    </row>
    <row r="27537">
      <c r="B27537" s="309"/>
      <c r="C27537" s="309"/>
      <c r="I27537" s="309"/>
      <c r="J27537" s="309"/>
    </row>
    <row r="27538">
      <c r="B27538" s="309"/>
      <c r="C27538" s="309"/>
      <c r="I27538" s="309"/>
      <c r="J27538" s="309"/>
    </row>
    <row r="27539">
      <c r="B27539" s="309"/>
      <c r="C27539" s="309"/>
      <c r="I27539" s="309"/>
      <c r="J27539" s="309"/>
    </row>
    <row r="27540">
      <c r="B27540" s="309"/>
      <c r="C27540" s="309"/>
      <c r="I27540" s="309"/>
      <c r="J27540" s="309"/>
    </row>
    <row r="27541">
      <c r="B27541" s="309"/>
      <c r="C27541" s="309"/>
      <c r="I27541" s="309"/>
      <c r="J27541" s="309"/>
    </row>
    <row r="27542">
      <c r="B27542" s="309"/>
      <c r="C27542" s="309"/>
      <c r="I27542" s="309"/>
      <c r="J27542" s="309"/>
    </row>
    <row r="27543">
      <c r="B27543" s="309"/>
      <c r="C27543" s="309"/>
      <c r="I27543" s="309"/>
      <c r="J27543" s="309"/>
    </row>
    <row r="27544">
      <c r="B27544" s="309"/>
      <c r="C27544" s="309"/>
      <c r="I27544" s="309"/>
      <c r="J27544" s="309"/>
    </row>
    <row r="27545">
      <c r="B27545" s="309"/>
      <c r="C27545" s="309"/>
      <c r="I27545" s="309"/>
      <c r="J27545" s="309"/>
    </row>
    <row r="27546">
      <c r="B27546" s="309"/>
      <c r="C27546" s="309"/>
      <c r="I27546" s="309"/>
      <c r="J27546" s="309"/>
    </row>
    <row r="27547">
      <c r="B27547" s="309"/>
      <c r="C27547" s="309"/>
      <c r="I27547" s="309"/>
      <c r="J27547" s="309"/>
    </row>
    <row r="27548">
      <c r="B27548" s="309"/>
      <c r="C27548" s="309"/>
      <c r="I27548" s="309"/>
      <c r="J27548" s="309"/>
    </row>
    <row r="27549">
      <c r="B27549" s="309"/>
      <c r="C27549" s="309"/>
      <c r="I27549" s="309"/>
      <c r="J27549" s="309"/>
    </row>
    <row r="27550">
      <c r="B27550" s="309"/>
      <c r="C27550" s="309"/>
      <c r="I27550" s="309"/>
      <c r="J27550" s="309"/>
    </row>
    <row r="27551">
      <c r="B27551" s="309"/>
      <c r="C27551" s="309"/>
      <c r="I27551" s="309"/>
      <c r="J27551" s="309"/>
    </row>
    <row r="27552">
      <c r="B27552" s="309"/>
      <c r="C27552" s="309"/>
      <c r="I27552" s="309"/>
      <c r="J27552" s="309"/>
    </row>
    <row r="27553">
      <c r="B27553" s="309"/>
      <c r="C27553" s="309"/>
      <c r="I27553" s="309"/>
      <c r="J27553" s="309"/>
    </row>
    <row r="27554">
      <c r="B27554" s="309"/>
      <c r="C27554" s="309"/>
      <c r="I27554" s="309"/>
      <c r="J27554" s="309"/>
    </row>
    <row r="27555">
      <c r="B27555" s="309"/>
      <c r="C27555" s="309"/>
      <c r="I27555" s="309"/>
      <c r="J27555" s="309"/>
    </row>
    <row r="27556">
      <c r="B27556" s="309"/>
      <c r="C27556" s="309"/>
      <c r="I27556" s="309"/>
      <c r="J27556" s="309"/>
    </row>
    <row r="27557">
      <c r="B27557" s="309"/>
      <c r="C27557" s="309"/>
      <c r="I27557" s="309"/>
      <c r="J27557" s="309"/>
    </row>
    <row r="27558">
      <c r="B27558" s="309"/>
      <c r="C27558" s="309"/>
      <c r="I27558" s="309"/>
      <c r="J27558" s="309"/>
    </row>
    <row r="27559">
      <c r="B27559" s="309"/>
      <c r="C27559" s="309"/>
      <c r="I27559" s="309"/>
      <c r="J27559" s="309"/>
    </row>
    <row r="27560">
      <c r="B27560" s="309"/>
      <c r="C27560" s="309"/>
      <c r="I27560" s="309"/>
      <c r="J27560" s="309"/>
    </row>
    <row r="27561">
      <c r="B27561" s="309"/>
      <c r="C27561" s="309"/>
      <c r="I27561" s="309"/>
      <c r="J27561" s="309"/>
    </row>
    <row r="27562">
      <c r="B27562" s="309"/>
      <c r="C27562" s="309"/>
      <c r="I27562" s="309"/>
      <c r="J27562" s="309"/>
    </row>
    <row r="27563">
      <c r="B27563" s="309"/>
      <c r="C27563" s="309"/>
      <c r="I27563" s="309"/>
      <c r="J27563" s="309"/>
    </row>
    <row r="27564">
      <c r="B27564" s="309"/>
      <c r="C27564" s="309"/>
      <c r="I27564" s="309"/>
      <c r="J27564" s="309"/>
    </row>
    <row r="27565">
      <c r="B27565" s="309"/>
      <c r="C27565" s="309"/>
      <c r="I27565" s="309"/>
      <c r="J27565" s="309"/>
    </row>
    <row r="27566">
      <c r="B27566" s="309"/>
      <c r="C27566" s="309"/>
      <c r="I27566" s="309"/>
      <c r="J27566" s="309"/>
    </row>
    <row r="27567">
      <c r="B27567" s="309"/>
      <c r="C27567" s="309"/>
      <c r="I27567" s="309"/>
      <c r="J27567" s="309"/>
    </row>
    <row r="27568">
      <c r="B27568" s="309"/>
      <c r="C27568" s="309"/>
      <c r="I27568" s="309"/>
      <c r="J27568" s="309"/>
    </row>
    <row r="27569">
      <c r="B27569" s="309"/>
      <c r="C27569" s="309"/>
      <c r="I27569" s="309"/>
      <c r="J27569" s="309"/>
    </row>
    <row r="27570">
      <c r="B27570" s="309"/>
      <c r="C27570" s="309"/>
      <c r="I27570" s="309"/>
      <c r="J27570" s="309"/>
    </row>
    <row r="27571">
      <c r="B27571" s="309"/>
      <c r="C27571" s="309"/>
      <c r="I27571" s="309"/>
      <c r="J27571" s="309"/>
    </row>
    <row r="27572">
      <c r="B27572" s="309"/>
      <c r="C27572" s="309"/>
      <c r="I27572" s="309"/>
      <c r="J27572" s="309"/>
    </row>
    <row r="27573">
      <c r="B27573" s="309"/>
      <c r="C27573" s="309"/>
      <c r="I27573" s="309"/>
      <c r="J27573" s="309"/>
    </row>
    <row r="27574">
      <c r="B27574" s="309"/>
      <c r="C27574" s="309"/>
      <c r="I27574" s="309"/>
      <c r="J27574" s="309"/>
    </row>
    <row r="27575">
      <c r="B27575" s="309"/>
      <c r="C27575" s="309"/>
      <c r="I27575" s="309"/>
      <c r="J27575" s="309"/>
    </row>
    <row r="27576">
      <c r="B27576" s="309"/>
      <c r="C27576" s="309"/>
      <c r="I27576" s="309"/>
      <c r="J27576" s="309"/>
    </row>
    <row r="27577">
      <c r="B27577" s="309"/>
      <c r="C27577" s="309"/>
      <c r="I27577" s="309"/>
      <c r="J27577" s="309"/>
    </row>
    <row r="27578">
      <c r="B27578" s="309"/>
      <c r="C27578" s="309"/>
      <c r="I27578" s="309"/>
      <c r="J27578" s="309"/>
    </row>
    <row r="27579">
      <c r="B27579" s="309"/>
      <c r="C27579" s="309"/>
      <c r="I27579" s="309"/>
      <c r="J27579" s="309"/>
    </row>
    <row r="27580">
      <c r="B27580" s="309"/>
      <c r="C27580" s="309"/>
      <c r="I27580" s="309"/>
      <c r="J27580" s="309"/>
    </row>
    <row r="27581">
      <c r="B27581" s="309"/>
      <c r="C27581" s="309"/>
      <c r="I27581" s="309"/>
      <c r="J27581" s="309"/>
    </row>
    <row r="27582">
      <c r="B27582" s="309"/>
      <c r="C27582" s="309"/>
      <c r="I27582" s="309"/>
      <c r="J27582" s="309"/>
    </row>
    <row r="27583">
      <c r="B27583" s="309"/>
      <c r="C27583" s="309"/>
      <c r="I27583" s="309"/>
      <c r="J27583" s="309"/>
    </row>
    <row r="27584">
      <c r="B27584" s="309"/>
      <c r="C27584" s="309"/>
      <c r="I27584" s="309"/>
      <c r="J27584" s="309"/>
    </row>
    <row r="27585">
      <c r="B27585" s="309"/>
      <c r="C27585" s="309"/>
      <c r="I27585" s="309"/>
      <c r="J27585" s="309"/>
    </row>
    <row r="27586">
      <c r="B27586" s="309"/>
      <c r="C27586" s="309"/>
      <c r="I27586" s="309"/>
      <c r="J27586" s="309"/>
    </row>
    <row r="27587">
      <c r="B27587" s="309"/>
      <c r="C27587" s="309"/>
      <c r="I27587" s="309"/>
      <c r="J27587" s="309"/>
    </row>
    <row r="27588">
      <c r="B27588" s="309"/>
      <c r="C27588" s="309"/>
      <c r="I27588" s="309"/>
      <c r="J27588" s="309"/>
    </row>
    <row r="27589">
      <c r="B27589" s="309"/>
      <c r="C27589" s="309"/>
      <c r="I27589" s="309"/>
      <c r="J27589" s="309"/>
    </row>
    <row r="27590">
      <c r="B27590" s="309"/>
      <c r="C27590" s="309"/>
      <c r="I27590" s="309"/>
      <c r="J27590" s="309"/>
    </row>
    <row r="27591">
      <c r="B27591" s="309"/>
      <c r="C27591" s="309"/>
      <c r="I27591" s="309"/>
      <c r="J27591" s="309"/>
    </row>
    <row r="27592">
      <c r="B27592" s="309"/>
      <c r="C27592" s="309"/>
      <c r="I27592" s="309"/>
      <c r="J27592" s="309"/>
    </row>
    <row r="27593">
      <c r="B27593" s="309"/>
      <c r="C27593" s="309"/>
      <c r="I27593" s="309"/>
      <c r="J27593" s="309"/>
    </row>
    <row r="27594">
      <c r="B27594" s="309"/>
      <c r="C27594" s="309"/>
      <c r="I27594" s="309"/>
      <c r="J27594" s="309"/>
    </row>
    <row r="27595">
      <c r="B27595" s="309"/>
      <c r="C27595" s="309"/>
      <c r="I27595" s="309"/>
      <c r="J27595" s="309"/>
    </row>
    <row r="27596">
      <c r="B27596" s="309"/>
      <c r="C27596" s="309"/>
      <c r="I27596" s="309"/>
      <c r="J27596" s="309"/>
    </row>
    <row r="27597">
      <c r="B27597" s="309"/>
      <c r="C27597" s="309"/>
      <c r="I27597" s="309"/>
      <c r="J27597" s="309"/>
    </row>
    <row r="27598">
      <c r="B27598" s="309"/>
      <c r="C27598" s="309"/>
      <c r="I27598" s="309"/>
      <c r="J27598" s="309"/>
    </row>
    <row r="27599">
      <c r="B27599" s="309"/>
      <c r="C27599" s="309"/>
      <c r="I27599" s="309"/>
      <c r="J27599" s="309"/>
    </row>
    <row r="27600">
      <c r="B27600" s="309"/>
      <c r="C27600" s="309"/>
      <c r="I27600" s="309"/>
      <c r="J27600" s="309"/>
    </row>
    <row r="27601">
      <c r="B27601" s="309"/>
      <c r="C27601" s="309"/>
      <c r="I27601" s="309"/>
      <c r="J27601" s="309"/>
    </row>
    <row r="27602">
      <c r="B27602" s="309"/>
      <c r="C27602" s="309"/>
      <c r="I27602" s="309"/>
      <c r="J27602" s="309"/>
    </row>
    <row r="27603">
      <c r="B27603" s="309"/>
      <c r="C27603" s="309"/>
      <c r="I27603" s="309"/>
      <c r="J27603" s="309"/>
    </row>
    <row r="27604">
      <c r="B27604" s="309"/>
      <c r="C27604" s="309"/>
      <c r="I27604" s="309"/>
      <c r="J27604" s="309"/>
    </row>
    <row r="27605">
      <c r="B27605" s="309"/>
      <c r="C27605" s="309"/>
      <c r="I27605" s="309"/>
      <c r="J27605" s="309"/>
    </row>
    <row r="27606">
      <c r="B27606" s="309"/>
      <c r="C27606" s="309"/>
      <c r="I27606" s="309"/>
      <c r="J27606" s="309"/>
    </row>
    <row r="27607">
      <c r="B27607" s="309"/>
      <c r="C27607" s="309"/>
      <c r="I27607" s="309"/>
      <c r="J27607" s="309"/>
    </row>
    <row r="27608">
      <c r="B27608" s="309"/>
      <c r="C27608" s="309"/>
      <c r="I27608" s="309"/>
      <c r="J27608" s="309"/>
    </row>
    <row r="27609">
      <c r="B27609" s="309"/>
      <c r="C27609" s="309"/>
      <c r="I27609" s="309"/>
      <c r="J27609" s="309"/>
    </row>
    <row r="27610">
      <c r="B27610" s="309"/>
      <c r="C27610" s="309"/>
      <c r="I27610" s="309"/>
      <c r="J27610" s="309"/>
    </row>
    <row r="27611">
      <c r="B27611" s="309"/>
      <c r="C27611" s="309"/>
      <c r="I27611" s="309"/>
      <c r="J27611" s="309"/>
    </row>
    <row r="27612">
      <c r="B27612" s="309"/>
      <c r="C27612" s="309"/>
      <c r="I27612" s="309"/>
      <c r="J27612" s="309"/>
    </row>
    <row r="27613">
      <c r="B27613" s="309"/>
      <c r="C27613" s="309"/>
      <c r="I27613" s="309"/>
      <c r="J27613" s="309"/>
    </row>
    <row r="27614">
      <c r="B27614" s="309"/>
      <c r="C27614" s="309"/>
      <c r="I27614" s="309"/>
      <c r="J27614" s="309"/>
    </row>
    <row r="27615">
      <c r="B27615" s="309"/>
      <c r="C27615" s="309"/>
      <c r="I27615" s="309"/>
      <c r="J27615" s="309"/>
    </row>
    <row r="27616">
      <c r="B27616" s="309"/>
      <c r="C27616" s="309"/>
      <c r="I27616" s="309"/>
      <c r="J27616" s="309"/>
    </row>
    <row r="27617">
      <c r="B27617" s="309"/>
      <c r="C27617" s="309"/>
      <c r="I27617" s="309"/>
      <c r="J27617" s="309"/>
    </row>
    <row r="27618">
      <c r="B27618" s="309"/>
      <c r="C27618" s="309"/>
      <c r="I27618" s="309"/>
      <c r="J27618" s="309"/>
    </row>
    <row r="27619">
      <c r="B27619" s="309"/>
      <c r="C27619" s="309"/>
      <c r="I27619" s="309"/>
      <c r="J27619" s="309"/>
    </row>
    <row r="27620">
      <c r="B27620" s="309"/>
      <c r="C27620" s="309"/>
      <c r="I27620" s="309"/>
      <c r="J27620" s="309"/>
    </row>
    <row r="27621">
      <c r="B27621" s="309"/>
      <c r="C27621" s="309"/>
      <c r="I27621" s="309"/>
      <c r="J27621" s="309"/>
    </row>
    <row r="27622">
      <c r="B27622" s="309"/>
      <c r="C27622" s="309"/>
      <c r="I27622" s="309"/>
      <c r="J27622" s="309"/>
    </row>
    <row r="27623">
      <c r="B27623" s="309"/>
      <c r="C27623" s="309"/>
      <c r="I27623" s="309"/>
      <c r="J27623" s="309"/>
    </row>
    <row r="27624">
      <c r="B27624" s="309"/>
      <c r="C27624" s="309"/>
      <c r="I27624" s="309"/>
      <c r="J27624" s="309"/>
    </row>
    <row r="27625">
      <c r="B27625" s="309"/>
      <c r="C27625" s="309"/>
      <c r="I27625" s="309"/>
      <c r="J27625" s="309"/>
    </row>
    <row r="27626">
      <c r="B27626" s="309"/>
      <c r="C27626" s="309"/>
      <c r="I27626" s="309"/>
      <c r="J27626" s="309"/>
    </row>
    <row r="27627">
      <c r="B27627" s="309"/>
      <c r="C27627" s="309"/>
      <c r="I27627" s="309"/>
      <c r="J27627" s="309"/>
    </row>
    <row r="27628">
      <c r="B27628" s="309"/>
      <c r="C27628" s="309"/>
      <c r="I27628" s="309"/>
      <c r="J27628" s="309"/>
    </row>
    <row r="27629">
      <c r="B27629" s="309"/>
      <c r="C27629" s="309"/>
      <c r="I27629" s="309"/>
      <c r="J27629" s="309"/>
    </row>
    <row r="27630">
      <c r="B27630" s="309"/>
      <c r="C27630" s="309"/>
      <c r="I27630" s="309"/>
      <c r="J27630" s="309"/>
    </row>
    <row r="27631">
      <c r="B27631" s="309"/>
      <c r="C27631" s="309"/>
      <c r="I27631" s="309"/>
      <c r="J27631" s="309"/>
    </row>
    <row r="27632">
      <c r="B27632" s="309"/>
      <c r="C27632" s="309"/>
      <c r="I27632" s="309"/>
      <c r="J27632" s="309"/>
    </row>
    <row r="27633">
      <c r="B27633" s="309"/>
      <c r="C27633" s="309"/>
      <c r="I27633" s="309"/>
      <c r="J27633" s="309"/>
    </row>
    <row r="27634">
      <c r="B27634" s="309"/>
      <c r="C27634" s="309"/>
      <c r="I27634" s="309"/>
      <c r="J27634" s="309"/>
    </row>
    <row r="27635">
      <c r="B27635" s="309"/>
      <c r="C27635" s="309"/>
      <c r="I27635" s="309"/>
      <c r="J27635" s="309"/>
    </row>
    <row r="27636">
      <c r="B27636" s="309"/>
      <c r="C27636" s="309"/>
      <c r="I27636" s="309"/>
      <c r="J27636" s="309"/>
    </row>
    <row r="27637">
      <c r="B27637" s="309"/>
      <c r="C27637" s="309"/>
      <c r="I27637" s="309"/>
      <c r="J27637" s="309"/>
    </row>
    <row r="27638">
      <c r="B27638" s="309"/>
      <c r="C27638" s="309"/>
      <c r="I27638" s="309"/>
      <c r="J27638" s="309"/>
    </row>
    <row r="27639">
      <c r="B27639" s="309"/>
      <c r="C27639" s="309"/>
      <c r="I27639" s="309"/>
      <c r="J27639" s="309"/>
    </row>
    <row r="27640">
      <c r="B27640" s="309"/>
      <c r="C27640" s="309"/>
      <c r="I27640" s="309"/>
      <c r="J27640" s="309"/>
    </row>
    <row r="27641">
      <c r="B27641" s="309"/>
      <c r="C27641" s="309"/>
      <c r="I27641" s="309"/>
      <c r="J27641" s="309"/>
    </row>
    <row r="27642">
      <c r="B27642" s="309"/>
      <c r="C27642" s="309"/>
      <c r="I27642" s="309"/>
      <c r="J27642" s="309"/>
    </row>
    <row r="27643">
      <c r="B27643" s="309"/>
      <c r="C27643" s="309"/>
      <c r="I27643" s="309"/>
      <c r="J27643" s="309"/>
    </row>
    <row r="27644">
      <c r="B27644" s="309"/>
      <c r="C27644" s="309"/>
      <c r="I27644" s="309"/>
      <c r="J27644" s="309"/>
    </row>
    <row r="27645">
      <c r="B27645" s="309"/>
      <c r="C27645" s="309"/>
      <c r="I27645" s="309"/>
      <c r="J27645" s="309"/>
    </row>
    <row r="27646">
      <c r="B27646" s="309"/>
      <c r="C27646" s="309"/>
      <c r="I27646" s="309"/>
      <c r="J27646" s="309"/>
    </row>
    <row r="27647">
      <c r="B27647" s="309"/>
      <c r="C27647" s="309"/>
      <c r="I27647" s="309"/>
      <c r="J27647" s="309"/>
    </row>
    <row r="27648">
      <c r="B27648" s="309"/>
      <c r="C27648" s="309"/>
      <c r="I27648" s="309"/>
      <c r="J27648" s="309"/>
    </row>
    <row r="27649">
      <c r="B27649" s="309"/>
      <c r="C27649" s="309"/>
      <c r="I27649" s="309"/>
      <c r="J27649" s="309"/>
    </row>
    <row r="27650">
      <c r="B27650" s="309"/>
      <c r="C27650" s="309"/>
      <c r="I27650" s="309"/>
      <c r="J27650" s="309"/>
    </row>
    <row r="27651">
      <c r="B27651" s="309"/>
      <c r="C27651" s="309"/>
      <c r="I27651" s="309"/>
      <c r="J27651" s="309"/>
    </row>
    <row r="27652">
      <c r="B27652" s="309"/>
      <c r="C27652" s="309"/>
      <c r="I27652" s="309"/>
      <c r="J27652" s="309"/>
    </row>
    <row r="27653">
      <c r="B27653" s="309"/>
      <c r="C27653" s="309"/>
      <c r="I27653" s="309"/>
      <c r="J27653" s="309"/>
    </row>
    <row r="27654">
      <c r="B27654" s="309"/>
      <c r="C27654" s="309"/>
      <c r="I27654" s="309"/>
      <c r="J27654" s="309"/>
    </row>
    <row r="27655">
      <c r="B27655" s="309"/>
      <c r="C27655" s="309"/>
      <c r="I27655" s="309"/>
      <c r="J27655" s="309"/>
    </row>
    <row r="27656">
      <c r="B27656" s="309"/>
      <c r="C27656" s="309"/>
      <c r="I27656" s="309"/>
      <c r="J27656" s="309"/>
    </row>
    <row r="27657">
      <c r="B27657" s="309"/>
      <c r="C27657" s="309"/>
      <c r="I27657" s="309"/>
      <c r="J27657" s="309"/>
    </row>
    <row r="27658">
      <c r="B27658" s="309"/>
      <c r="C27658" s="309"/>
      <c r="I27658" s="309"/>
      <c r="J27658" s="309"/>
    </row>
    <row r="27659">
      <c r="B27659" s="309"/>
      <c r="C27659" s="309"/>
      <c r="I27659" s="309"/>
      <c r="J27659" s="309"/>
    </row>
    <row r="27660">
      <c r="B27660" s="309"/>
      <c r="C27660" s="309"/>
      <c r="I27660" s="309"/>
      <c r="J27660" s="309"/>
    </row>
    <row r="27661">
      <c r="B27661" s="309"/>
      <c r="C27661" s="309"/>
      <c r="I27661" s="309"/>
      <c r="J27661" s="309"/>
    </row>
    <row r="27662">
      <c r="B27662" s="309"/>
      <c r="C27662" s="309"/>
      <c r="I27662" s="309"/>
      <c r="J27662" s="309"/>
    </row>
    <row r="27663">
      <c r="B27663" s="309"/>
      <c r="C27663" s="309"/>
      <c r="I27663" s="309"/>
      <c r="J27663" s="309"/>
    </row>
    <row r="27664">
      <c r="B27664" s="309"/>
      <c r="C27664" s="309"/>
      <c r="I27664" s="309"/>
      <c r="J27664" s="309"/>
    </row>
    <row r="27665">
      <c r="B27665" s="309"/>
      <c r="C27665" s="309"/>
      <c r="I27665" s="309"/>
      <c r="J27665" s="309"/>
    </row>
    <row r="27666">
      <c r="B27666" s="309"/>
      <c r="C27666" s="309"/>
      <c r="I27666" s="309"/>
      <c r="J27666" s="309"/>
    </row>
    <row r="27667">
      <c r="B27667" s="309"/>
      <c r="C27667" s="309"/>
      <c r="I27667" s="309"/>
      <c r="J27667" s="309"/>
    </row>
    <row r="27668">
      <c r="B27668" s="309"/>
      <c r="C27668" s="309"/>
      <c r="I27668" s="309"/>
      <c r="J27668" s="309"/>
    </row>
    <row r="27669">
      <c r="B27669" s="309"/>
      <c r="C27669" s="309"/>
      <c r="I27669" s="309"/>
      <c r="J27669" s="309"/>
    </row>
    <row r="27670">
      <c r="B27670" s="309"/>
      <c r="C27670" s="309"/>
      <c r="I27670" s="309"/>
      <c r="J27670" s="309"/>
    </row>
    <row r="27671">
      <c r="B27671" s="309"/>
      <c r="C27671" s="309"/>
      <c r="I27671" s="309"/>
      <c r="J27671" s="309"/>
    </row>
    <row r="27672">
      <c r="B27672" s="309"/>
      <c r="C27672" s="309"/>
      <c r="I27672" s="309"/>
      <c r="J27672" s="309"/>
    </row>
    <row r="27673">
      <c r="B27673" s="309"/>
      <c r="C27673" s="309"/>
      <c r="I27673" s="309"/>
      <c r="J27673" s="309"/>
    </row>
    <row r="27674">
      <c r="B27674" s="309"/>
      <c r="C27674" s="309"/>
      <c r="I27674" s="309"/>
      <c r="J27674" s="309"/>
    </row>
    <row r="27675">
      <c r="B27675" s="309"/>
      <c r="C27675" s="309"/>
      <c r="I27675" s="309"/>
      <c r="J27675" s="309"/>
    </row>
    <row r="27676">
      <c r="B27676" s="309"/>
      <c r="C27676" s="309"/>
      <c r="I27676" s="309"/>
      <c r="J27676" s="309"/>
    </row>
    <row r="27677">
      <c r="B27677" s="309"/>
      <c r="C27677" s="309"/>
      <c r="I27677" s="309"/>
      <c r="J27677" s="309"/>
    </row>
    <row r="27678">
      <c r="B27678" s="309"/>
      <c r="C27678" s="309"/>
      <c r="I27678" s="309"/>
      <c r="J27678" s="309"/>
    </row>
    <row r="27679">
      <c r="B27679" s="309"/>
      <c r="C27679" s="309"/>
      <c r="I27679" s="309"/>
      <c r="J27679" s="309"/>
    </row>
    <row r="27680">
      <c r="B27680" s="309"/>
      <c r="C27680" s="309"/>
      <c r="I27680" s="309"/>
      <c r="J27680" s="309"/>
    </row>
    <row r="27681">
      <c r="B27681" s="309"/>
      <c r="C27681" s="309"/>
      <c r="I27681" s="309"/>
      <c r="J27681" s="309"/>
    </row>
    <row r="27682">
      <c r="B27682" s="309"/>
      <c r="C27682" s="309"/>
      <c r="I27682" s="309"/>
      <c r="J27682" s="309"/>
    </row>
    <row r="27683">
      <c r="B27683" s="309"/>
      <c r="C27683" s="309"/>
      <c r="I27683" s="309"/>
      <c r="J27683" s="309"/>
    </row>
    <row r="27684">
      <c r="B27684" s="309"/>
      <c r="C27684" s="309"/>
      <c r="I27684" s="309"/>
      <c r="J27684" s="309"/>
    </row>
    <row r="27685">
      <c r="B27685" s="309"/>
      <c r="C27685" s="309"/>
      <c r="I27685" s="309"/>
      <c r="J27685" s="309"/>
    </row>
    <row r="27686">
      <c r="B27686" s="309"/>
      <c r="C27686" s="309"/>
      <c r="I27686" s="309"/>
      <c r="J27686" s="309"/>
    </row>
    <row r="27687">
      <c r="B27687" s="309"/>
      <c r="C27687" s="309"/>
      <c r="I27687" s="309"/>
      <c r="J27687" s="309"/>
    </row>
    <row r="27688">
      <c r="B27688" s="309"/>
      <c r="C27688" s="309"/>
      <c r="I27688" s="309"/>
      <c r="J27688" s="309"/>
    </row>
    <row r="27689">
      <c r="B27689" s="309"/>
      <c r="C27689" s="309"/>
      <c r="I27689" s="309"/>
      <c r="J27689" s="309"/>
    </row>
    <row r="27690">
      <c r="B27690" s="309"/>
      <c r="C27690" s="309"/>
      <c r="I27690" s="309"/>
      <c r="J27690" s="309"/>
    </row>
    <row r="27691">
      <c r="B27691" s="309"/>
      <c r="C27691" s="309"/>
      <c r="I27691" s="309"/>
      <c r="J27691" s="309"/>
    </row>
    <row r="27692">
      <c r="B27692" s="309"/>
      <c r="C27692" s="309"/>
      <c r="I27692" s="309"/>
      <c r="J27692" s="309"/>
    </row>
    <row r="27693">
      <c r="B27693" s="309"/>
      <c r="C27693" s="309"/>
      <c r="I27693" s="309"/>
      <c r="J27693" s="309"/>
    </row>
    <row r="27694">
      <c r="B27694" s="309"/>
      <c r="C27694" s="309"/>
      <c r="I27694" s="309"/>
      <c r="J27694" s="309"/>
    </row>
    <row r="27695">
      <c r="B27695" s="309"/>
      <c r="C27695" s="309"/>
      <c r="I27695" s="309"/>
      <c r="J27695" s="309"/>
    </row>
    <row r="27696">
      <c r="B27696" s="309"/>
      <c r="C27696" s="309"/>
      <c r="I27696" s="309"/>
      <c r="J27696" s="309"/>
    </row>
    <row r="27697">
      <c r="B27697" s="309"/>
      <c r="C27697" s="309"/>
      <c r="I27697" s="309"/>
      <c r="J27697" s="309"/>
    </row>
    <row r="27698">
      <c r="B27698" s="309"/>
      <c r="C27698" s="309"/>
      <c r="I27698" s="309"/>
      <c r="J27698" s="309"/>
    </row>
    <row r="27699">
      <c r="B27699" s="309"/>
      <c r="C27699" s="309"/>
      <c r="I27699" s="309"/>
      <c r="J27699" s="309"/>
    </row>
    <row r="27700">
      <c r="B27700" s="309"/>
      <c r="C27700" s="309"/>
      <c r="I27700" s="309"/>
      <c r="J27700" s="309"/>
    </row>
    <row r="27701">
      <c r="B27701" s="309"/>
      <c r="C27701" s="309"/>
      <c r="I27701" s="309"/>
      <c r="J27701" s="309"/>
    </row>
    <row r="27702">
      <c r="B27702" s="309"/>
      <c r="C27702" s="309"/>
      <c r="I27702" s="309"/>
      <c r="J27702" s="309"/>
    </row>
    <row r="27703">
      <c r="B27703" s="309"/>
      <c r="C27703" s="309"/>
      <c r="I27703" s="309"/>
      <c r="J27703" s="309"/>
    </row>
    <row r="27704">
      <c r="B27704" s="309"/>
      <c r="C27704" s="309"/>
      <c r="I27704" s="309"/>
      <c r="J27704" s="309"/>
    </row>
    <row r="27705">
      <c r="B27705" s="309"/>
      <c r="C27705" s="309"/>
      <c r="I27705" s="309"/>
      <c r="J27705" s="309"/>
    </row>
    <row r="27706">
      <c r="B27706" s="309"/>
      <c r="C27706" s="309"/>
      <c r="I27706" s="309"/>
      <c r="J27706" s="309"/>
    </row>
    <row r="27707">
      <c r="B27707" s="309"/>
      <c r="C27707" s="309"/>
      <c r="I27707" s="309"/>
      <c r="J27707" s="309"/>
    </row>
    <row r="27708">
      <c r="B27708" s="309"/>
      <c r="C27708" s="309"/>
      <c r="I27708" s="309"/>
      <c r="J27708" s="309"/>
    </row>
    <row r="27709">
      <c r="B27709" s="309"/>
      <c r="C27709" s="309"/>
      <c r="I27709" s="309"/>
      <c r="J27709" s="309"/>
    </row>
    <row r="27710">
      <c r="B27710" s="309"/>
      <c r="C27710" s="309"/>
      <c r="I27710" s="309"/>
      <c r="J27710" s="309"/>
    </row>
    <row r="27711">
      <c r="B27711" s="309"/>
      <c r="C27711" s="309"/>
      <c r="I27711" s="309"/>
      <c r="J27711" s="309"/>
    </row>
    <row r="27712">
      <c r="B27712" s="309"/>
      <c r="C27712" s="309"/>
      <c r="I27712" s="309"/>
      <c r="J27712" s="309"/>
    </row>
    <row r="27713">
      <c r="B27713" s="309"/>
      <c r="C27713" s="309"/>
      <c r="I27713" s="309"/>
      <c r="J27713" s="309"/>
    </row>
    <row r="27714">
      <c r="B27714" s="309"/>
      <c r="C27714" s="309"/>
      <c r="I27714" s="309"/>
      <c r="J27714" s="309"/>
    </row>
    <row r="27715">
      <c r="B27715" s="309"/>
      <c r="C27715" s="309"/>
      <c r="I27715" s="309"/>
      <c r="J27715" s="309"/>
    </row>
    <row r="27716">
      <c r="B27716" s="309"/>
      <c r="C27716" s="309"/>
      <c r="I27716" s="309"/>
      <c r="J27716" s="309"/>
    </row>
    <row r="27717">
      <c r="B27717" s="309"/>
      <c r="C27717" s="309"/>
      <c r="I27717" s="309"/>
      <c r="J27717" s="309"/>
    </row>
    <row r="27718">
      <c r="B27718" s="309"/>
      <c r="C27718" s="309"/>
      <c r="I27718" s="309"/>
      <c r="J27718" s="309"/>
    </row>
    <row r="27719">
      <c r="B27719" s="309"/>
      <c r="C27719" s="309"/>
      <c r="I27719" s="309"/>
      <c r="J27719" s="309"/>
    </row>
    <row r="27720">
      <c r="B27720" s="309"/>
      <c r="C27720" s="309"/>
      <c r="I27720" s="309"/>
      <c r="J27720" s="309"/>
    </row>
    <row r="27721">
      <c r="B27721" s="309"/>
      <c r="C27721" s="309"/>
      <c r="I27721" s="309"/>
      <c r="J27721" s="309"/>
    </row>
    <row r="27722">
      <c r="B27722" s="309"/>
      <c r="C27722" s="309"/>
      <c r="I27722" s="309"/>
      <c r="J27722" s="309"/>
    </row>
    <row r="27723">
      <c r="B27723" s="309"/>
      <c r="C27723" s="309"/>
      <c r="I27723" s="309"/>
      <c r="J27723" s="309"/>
    </row>
    <row r="27724">
      <c r="B27724" s="309"/>
      <c r="C27724" s="309"/>
      <c r="I27724" s="309"/>
      <c r="J27724" s="309"/>
    </row>
    <row r="27725">
      <c r="B27725" s="309"/>
      <c r="C27725" s="309"/>
      <c r="I27725" s="309"/>
      <c r="J27725" s="309"/>
    </row>
    <row r="27726">
      <c r="B27726" s="309"/>
      <c r="C27726" s="309"/>
      <c r="I27726" s="309"/>
      <c r="J27726" s="309"/>
    </row>
    <row r="27727">
      <c r="B27727" s="309"/>
      <c r="C27727" s="309"/>
      <c r="I27727" s="309"/>
      <c r="J27727" s="309"/>
    </row>
    <row r="27728">
      <c r="B27728" s="309"/>
      <c r="C27728" s="309"/>
      <c r="I27728" s="309"/>
      <c r="J27728" s="309"/>
    </row>
    <row r="27729">
      <c r="B27729" s="309"/>
      <c r="C27729" s="309"/>
      <c r="I27729" s="309"/>
      <c r="J27729" s="309"/>
    </row>
    <row r="27730">
      <c r="B27730" s="309"/>
      <c r="C27730" s="309"/>
      <c r="I27730" s="309"/>
      <c r="J27730" s="309"/>
    </row>
    <row r="27731">
      <c r="B27731" s="309"/>
      <c r="C27731" s="309"/>
      <c r="I27731" s="309"/>
      <c r="J27731" s="309"/>
    </row>
    <row r="27732">
      <c r="B27732" s="309"/>
      <c r="C27732" s="309"/>
      <c r="I27732" s="309"/>
      <c r="J27732" s="309"/>
    </row>
    <row r="27733">
      <c r="B27733" s="309"/>
      <c r="C27733" s="309"/>
      <c r="I27733" s="309"/>
      <c r="J27733" s="309"/>
    </row>
    <row r="27734">
      <c r="B27734" s="309"/>
      <c r="C27734" s="309"/>
      <c r="I27734" s="309"/>
      <c r="J27734" s="309"/>
    </row>
    <row r="27735">
      <c r="B27735" s="309"/>
      <c r="C27735" s="309"/>
      <c r="I27735" s="309"/>
      <c r="J27735" s="309"/>
    </row>
    <row r="27736">
      <c r="B27736" s="309"/>
      <c r="C27736" s="309"/>
      <c r="I27736" s="309"/>
      <c r="J27736" s="309"/>
    </row>
    <row r="27737">
      <c r="B27737" s="309"/>
      <c r="C27737" s="309"/>
      <c r="I27737" s="309"/>
      <c r="J27737" s="309"/>
    </row>
    <row r="27738">
      <c r="B27738" s="309"/>
      <c r="C27738" s="309"/>
      <c r="I27738" s="309"/>
      <c r="J27738" s="309"/>
    </row>
    <row r="27739">
      <c r="B27739" s="309"/>
      <c r="C27739" s="309"/>
      <c r="I27739" s="309"/>
      <c r="J27739" s="309"/>
    </row>
    <row r="27740">
      <c r="B27740" s="309"/>
      <c r="C27740" s="309"/>
      <c r="I27740" s="309"/>
      <c r="J27740" s="309"/>
    </row>
    <row r="27741">
      <c r="B27741" s="309"/>
      <c r="C27741" s="309"/>
      <c r="I27741" s="309"/>
      <c r="J27741" s="309"/>
    </row>
    <row r="27742">
      <c r="B27742" s="309"/>
      <c r="C27742" s="309"/>
      <c r="I27742" s="309"/>
      <c r="J27742" s="309"/>
    </row>
    <row r="27743">
      <c r="B27743" s="309"/>
      <c r="C27743" s="309"/>
      <c r="I27743" s="309"/>
      <c r="J27743" s="309"/>
    </row>
    <row r="27744">
      <c r="B27744" s="309"/>
      <c r="C27744" s="309"/>
      <c r="I27744" s="309"/>
      <c r="J27744" s="309"/>
    </row>
    <row r="27745">
      <c r="B27745" s="309"/>
      <c r="C27745" s="309"/>
      <c r="I27745" s="309"/>
      <c r="J27745" s="309"/>
    </row>
    <row r="27746">
      <c r="B27746" s="309"/>
      <c r="C27746" s="309"/>
      <c r="I27746" s="309"/>
      <c r="J27746" s="309"/>
    </row>
    <row r="27747">
      <c r="B27747" s="309"/>
      <c r="C27747" s="309"/>
      <c r="I27747" s="309"/>
      <c r="J27747" s="309"/>
    </row>
    <row r="27748">
      <c r="B27748" s="309"/>
      <c r="C27748" s="309"/>
      <c r="I27748" s="309"/>
      <c r="J27748" s="309"/>
    </row>
    <row r="27749">
      <c r="B27749" s="309"/>
      <c r="C27749" s="309"/>
      <c r="I27749" s="309"/>
      <c r="J27749" s="309"/>
    </row>
    <row r="27750">
      <c r="B27750" s="309"/>
      <c r="C27750" s="309"/>
      <c r="I27750" s="309"/>
      <c r="J27750" s="309"/>
    </row>
    <row r="27751">
      <c r="B27751" s="309"/>
      <c r="C27751" s="309"/>
      <c r="I27751" s="309"/>
      <c r="J27751" s="309"/>
    </row>
    <row r="27752">
      <c r="B27752" s="309"/>
      <c r="C27752" s="309"/>
      <c r="I27752" s="309"/>
      <c r="J27752" s="309"/>
    </row>
    <row r="27753">
      <c r="B27753" s="309"/>
      <c r="C27753" s="309"/>
      <c r="I27753" s="309"/>
      <c r="J27753" s="309"/>
    </row>
    <row r="27754">
      <c r="B27754" s="309"/>
      <c r="C27754" s="309"/>
      <c r="I27754" s="309"/>
      <c r="J27754" s="309"/>
    </row>
    <row r="27755">
      <c r="B27755" s="309"/>
      <c r="C27755" s="309"/>
      <c r="I27755" s="309"/>
      <c r="J27755" s="309"/>
    </row>
    <row r="27756">
      <c r="B27756" s="309"/>
      <c r="C27756" s="309"/>
      <c r="I27756" s="309"/>
      <c r="J27756" s="309"/>
    </row>
    <row r="27757">
      <c r="B27757" s="309"/>
      <c r="C27757" s="309"/>
      <c r="I27757" s="309"/>
      <c r="J27757" s="309"/>
    </row>
    <row r="27758">
      <c r="B27758" s="309"/>
      <c r="C27758" s="309"/>
      <c r="I27758" s="309"/>
      <c r="J27758" s="309"/>
    </row>
    <row r="27759">
      <c r="B27759" s="309"/>
      <c r="C27759" s="309"/>
      <c r="I27759" s="309"/>
      <c r="J27759" s="309"/>
    </row>
    <row r="27760">
      <c r="B27760" s="309"/>
      <c r="C27760" s="309"/>
      <c r="I27760" s="309"/>
      <c r="J27760" s="309"/>
    </row>
    <row r="27761">
      <c r="B27761" s="309"/>
      <c r="C27761" s="309"/>
      <c r="I27761" s="309"/>
      <c r="J27761" s="309"/>
    </row>
    <row r="27762">
      <c r="B27762" s="309"/>
      <c r="C27762" s="309"/>
      <c r="I27762" s="309"/>
      <c r="J27762" s="309"/>
    </row>
    <row r="27763">
      <c r="B27763" s="309"/>
      <c r="C27763" s="309"/>
      <c r="I27763" s="309"/>
      <c r="J27763" s="309"/>
    </row>
    <row r="27764">
      <c r="B27764" s="309"/>
      <c r="C27764" s="309"/>
      <c r="I27764" s="309"/>
      <c r="J27764" s="309"/>
    </row>
    <row r="27765">
      <c r="B27765" s="309"/>
      <c r="C27765" s="309"/>
      <c r="I27765" s="309"/>
      <c r="J27765" s="309"/>
    </row>
    <row r="27766">
      <c r="B27766" s="309"/>
      <c r="C27766" s="309"/>
      <c r="I27766" s="309"/>
      <c r="J27766" s="309"/>
    </row>
    <row r="27767">
      <c r="B27767" s="309"/>
      <c r="C27767" s="309"/>
      <c r="I27767" s="309"/>
      <c r="J27767" s="309"/>
    </row>
    <row r="27768">
      <c r="B27768" s="309"/>
      <c r="C27768" s="309"/>
      <c r="I27768" s="309"/>
      <c r="J27768" s="309"/>
    </row>
    <row r="27769">
      <c r="B27769" s="309"/>
      <c r="C27769" s="309"/>
      <c r="I27769" s="309"/>
      <c r="J27769" s="309"/>
    </row>
    <row r="27770">
      <c r="B27770" s="309"/>
      <c r="C27770" s="309"/>
      <c r="I27770" s="309"/>
      <c r="J27770" s="309"/>
    </row>
    <row r="27771">
      <c r="B27771" s="309"/>
      <c r="C27771" s="309"/>
      <c r="I27771" s="309"/>
      <c r="J27771" s="309"/>
    </row>
    <row r="27772">
      <c r="B27772" s="309"/>
      <c r="C27772" s="309"/>
      <c r="I27772" s="309"/>
      <c r="J27772" s="309"/>
    </row>
    <row r="27773">
      <c r="B27773" s="309"/>
      <c r="C27773" s="309"/>
      <c r="I27773" s="309"/>
      <c r="J27773" s="309"/>
    </row>
    <row r="27774">
      <c r="B27774" s="309"/>
      <c r="C27774" s="309"/>
      <c r="I27774" s="309"/>
      <c r="J27774" s="309"/>
    </row>
    <row r="27775">
      <c r="B27775" s="309"/>
      <c r="C27775" s="309"/>
      <c r="I27775" s="309"/>
      <c r="J27775" s="309"/>
    </row>
    <row r="27776">
      <c r="B27776" s="309"/>
      <c r="C27776" s="309"/>
      <c r="I27776" s="309"/>
      <c r="J27776" s="309"/>
    </row>
    <row r="27777">
      <c r="B27777" s="309"/>
      <c r="C27777" s="309"/>
      <c r="I27777" s="309"/>
      <c r="J27777" s="309"/>
    </row>
    <row r="27778">
      <c r="B27778" s="309"/>
      <c r="C27778" s="309"/>
      <c r="I27778" s="309"/>
      <c r="J27778" s="309"/>
    </row>
    <row r="27779">
      <c r="B27779" s="309"/>
      <c r="C27779" s="309"/>
      <c r="I27779" s="309"/>
      <c r="J27779" s="309"/>
    </row>
    <row r="27780">
      <c r="B27780" s="309"/>
      <c r="C27780" s="309"/>
      <c r="I27780" s="309"/>
      <c r="J27780" s="309"/>
    </row>
    <row r="27781">
      <c r="B27781" s="309"/>
      <c r="C27781" s="309"/>
      <c r="I27781" s="309"/>
      <c r="J27781" s="309"/>
    </row>
    <row r="27782">
      <c r="B27782" s="309"/>
      <c r="C27782" s="309"/>
      <c r="I27782" s="309"/>
      <c r="J27782" s="309"/>
    </row>
    <row r="27783">
      <c r="B27783" s="309"/>
      <c r="C27783" s="309"/>
      <c r="I27783" s="309"/>
      <c r="J27783" s="309"/>
    </row>
    <row r="27784">
      <c r="B27784" s="309"/>
      <c r="C27784" s="309"/>
      <c r="I27784" s="309"/>
      <c r="J27784" s="309"/>
    </row>
    <row r="27785">
      <c r="B27785" s="309"/>
      <c r="C27785" s="309"/>
      <c r="I27785" s="309"/>
      <c r="J27785" s="309"/>
    </row>
    <row r="27786">
      <c r="B27786" s="309"/>
      <c r="C27786" s="309"/>
      <c r="I27786" s="309"/>
      <c r="J27786" s="309"/>
    </row>
    <row r="27787">
      <c r="B27787" s="309"/>
      <c r="C27787" s="309"/>
      <c r="I27787" s="309"/>
      <c r="J27787" s="309"/>
    </row>
    <row r="27788">
      <c r="B27788" s="309"/>
      <c r="C27788" s="309"/>
      <c r="I27788" s="309"/>
      <c r="J27788" s="309"/>
    </row>
    <row r="27789">
      <c r="B27789" s="309"/>
      <c r="C27789" s="309"/>
      <c r="I27789" s="309"/>
      <c r="J27789" s="309"/>
    </row>
    <row r="27790">
      <c r="B27790" s="309"/>
      <c r="C27790" s="309"/>
      <c r="I27790" s="309"/>
      <c r="J27790" s="309"/>
    </row>
    <row r="27791">
      <c r="B27791" s="309"/>
      <c r="C27791" s="309"/>
      <c r="I27791" s="309"/>
      <c r="J27791" s="309"/>
    </row>
    <row r="27792">
      <c r="B27792" s="309"/>
      <c r="C27792" s="309"/>
      <c r="I27792" s="309"/>
      <c r="J27792" s="309"/>
    </row>
    <row r="27793">
      <c r="B27793" s="309"/>
      <c r="C27793" s="309"/>
      <c r="I27793" s="309"/>
      <c r="J27793" s="309"/>
    </row>
    <row r="27794">
      <c r="B27794" s="309"/>
      <c r="C27794" s="309"/>
      <c r="I27794" s="309"/>
      <c r="J27794" s="309"/>
    </row>
    <row r="27795">
      <c r="B27795" s="309"/>
      <c r="C27795" s="309"/>
      <c r="I27795" s="309"/>
      <c r="J27795" s="309"/>
    </row>
    <row r="27796">
      <c r="B27796" s="309"/>
      <c r="C27796" s="309"/>
      <c r="I27796" s="309"/>
      <c r="J27796" s="309"/>
    </row>
    <row r="27797">
      <c r="B27797" s="309"/>
      <c r="C27797" s="309"/>
      <c r="I27797" s="309"/>
      <c r="J27797" s="309"/>
    </row>
    <row r="27798">
      <c r="B27798" s="309"/>
      <c r="C27798" s="309"/>
      <c r="I27798" s="309"/>
      <c r="J27798" s="309"/>
    </row>
    <row r="27799">
      <c r="B27799" s="309"/>
      <c r="C27799" s="309"/>
      <c r="I27799" s="309"/>
      <c r="J27799" s="309"/>
    </row>
    <row r="27800">
      <c r="B27800" s="309"/>
      <c r="C27800" s="309"/>
      <c r="I27800" s="309"/>
      <c r="J27800" s="309"/>
    </row>
    <row r="27801">
      <c r="B27801" s="309"/>
      <c r="C27801" s="309"/>
      <c r="I27801" s="309"/>
      <c r="J27801" s="309"/>
    </row>
    <row r="27802">
      <c r="B27802" s="309"/>
      <c r="C27802" s="309"/>
      <c r="I27802" s="309"/>
      <c r="J27802" s="309"/>
    </row>
    <row r="27803">
      <c r="B27803" s="309"/>
      <c r="C27803" s="309"/>
      <c r="I27803" s="309"/>
      <c r="J27803" s="309"/>
    </row>
    <row r="27804">
      <c r="B27804" s="309"/>
      <c r="C27804" s="309"/>
      <c r="I27804" s="309"/>
      <c r="J27804" s="309"/>
    </row>
    <row r="27805">
      <c r="B27805" s="309"/>
      <c r="C27805" s="309"/>
      <c r="I27805" s="309"/>
      <c r="J27805" s="309"/>
    </row>
    <row r="27806">
      <c r="B27806" s="309"/>
      <c r="C27806" s="309"/>
      <c r="I27806" s="309"/>
      <c r="J27806" s="309"/>
    </row>
    <row r="27807">
      <c r="B27807" s="309"/>
      <c r="C27807" s="309"/>
      <c r="I27807" s="309"/>
      <c r="J27807" s="309"/>
    </row>
    <row r="27808">
      <c r="B27808" s="309"/>
      <c r="C27808" s="309"/>
      <c r="I27808" s="309"/>
      <c r="J27808" s="309"/>
    </row>
    <row r="27809">
      <c r="B27809" s="309"/>
      <c r="C27809" s="309"/>
      <c r="I27809" s="309"/>
      <c r="J27809" s="309"/>
    </row>
    <row r="27810">
      <c r="B27810" s="309"/>
      <c r="C27810" s="309"/>
      <c r="I27810" s="309"/>
      <c r="J27810" s="309"/>
    </row>
    <row r="27811">
      <c r="B27811" s="309"/>
      <c r="C27811" s="309"/>
      <c r="I27811" s="309"/>
      <c r="J27811" s="309"/>
    </row>
    <row r="27812">
      <c r="B27812" s="309"/>
      <c r="C27812" s="309"/>
      <c r="I27812" s="309"/>
      <c r="J27812" s="309"/>
    </row>
    <row r="27813">
      <c r="B27813" s="309"/>
      <c r="C27813" s="309"/>
      <c r="I27813" s="309"/>
      <c r="J27813" s="309"/>
    </row>
    <row r="27814">
      <c r="B27814" s="309"/>
      <c r="C27814" s="309"/>
      <c r="I27814" s="309"/>
      <c r="J27814" s="309"/>
    </row>
    <row r="27815">
      <c r="B27815" s="309"/>
      <c r="C27815" s="309"/>
      <c r="I27815" s="309"/>
      <c r="J27815" s="309"/>
    </row>
    <row r="27816">
      <c r="B27816" s="309"/>
      <c r="C27816" s="309"/>
      <c r="I27816" s="309"/>
      <c r="J27816" s="309"/>
    </row>
    <row r="27817">
      <c r="B27817" s="309"/>
      <c r="C27817" s="309"/>
      <c r="I27817" s="309"/>
      <c r="J27817" s="309"/>
    </row>
    <row r="27818">
      <c r="B27818" s="309"/>
      <c r="C27818" s="309"/>
      <c r="I27818" s="309"/>
      <c r="J27818" s="309"/>
    </row>
    <row r="27819">
      <c r="B27819" s="309"/>
      <c r="C27819" s="309"/>
      <c r="I27819" s="309"/>
      <c r="J27819" s="309"/>
    </row>
    <row r="27820">
      <c r="B27820" s="309"/>
      <c r="C27820" s="309"/>
      <c r="I27820" s="309"/>
      <c r="J27820" s="309"/>
    </row>
    <row r="27821">
      <c r="B27821" s="309"/>
      <c r="C27821" s="309"/>
      <c r="I27821" s="309"/>
      <c r="J27821" s="309"/>
    </row>
    <row r="27822">
      <c r="B27822" s="309"/>
      <c r="C27822" s="309"/>
      <c r="I27822" s="309"/>
      <c r="J27822" s="309"/>
    </row>
    <row r="27823">
      <c r="B27823" s="309"/>
      <c r="C27823" s="309"/>
      <c r="I27823" s="309"/>
      <c r="J27823" s="309"/>
    </row>
    <row r="27824">
      <c r="B27824" s="309"/>
      <c r="C27824" s="309"/>
      <c r="I27824" s="309"/>
      <c r="J27824" s="309"/>
    </row>
    <row r="27825">
      <c r="B27825" s="309"/>
      <c r="C27825" s="309"/>
      <c r="I27825" s="309"/>
      <c r="J27825" s="309"/>
    </row>
    <row r="27826">
      <c r="B27826" s="309"/>
      <c r="C27826" s="309"/>
      <c r="I27826" s="309"/>
      <c r="J27826" s="309"/>
    </row>
    <row r="27827">
      <c r="B27827" s="309"/>
      <c r="C27827" s="309"/>
      <c r="I27827" s="309"/>
      <c r="J27827" s="309"/>
    </row>
    <row r="27828">
      <c r="B27828" s="309"/>
      <c r="C27828" s="309"/>
      <c r="I27828" s="309"/>
      <c r="J27828" s="309"/>
    </row>
    <row r="27829">
      <c r="B27829" s="309"/>
      <c r="C27829" s="309"/>
      <c r="I27829" s="309"/>
      <c r="J27829" s="309"/>
    </row>
    <row r="27830">
      <c r="B27830" s="309"/>
      <c r="C27830" s="309"/>
      <c r="I27830" s="309"/>
      <c r="J27830" s="309"/>
    </row>
    <row r="27831">
      <c r="B27831" s="309"/>
      <c r="C27831" s="309"/>
      <c r="I27831" s="309"/>
      <c r="J27831" s="309"/>
    </row>
    <row r="27832">
      <c r="B27832" s="309"/>
      <c r="C27832" s="309"/>
      <c r="I27832" s="309"/>
      <c r="J27832" s="309"/>
    </row>
    <row r="27833">
      <c r="B27833" s="309"/>
      <c r="C27833" s="309"/>
      <c r="I27833" s="309"/>
      <c r="J27833" s="309"/>
    </row>
    <row r="27834">
      <c r="B27834" s="309"/>
      <c r="C27834" s="309"/>
      <c r="I27834" s="309"/>
      <c r="J27834" s="309"/>
    </row>
    <row r="27835">
      <c r="B27835" s="309"/>
      <c r="C27835" s="309"/>
      <c r="I27835" s="309"/>
      <c r="J27835" s="309"/>
    </row>
    <row r="27836">
      <c r="B27836" s="309"/>
      <c r="C27836" s="309"/>
      <c r="I27836" s="309"/>
      <c r="J27836" s="309"/>
    </row>
    <row r="27837">
      <c r="B27837" s="309"/>
      <c r="C27837" s="309"/>
      <c r="I27837" s="309"/>
      <c r="J27837" s="309"/>
    </row>
    <row r="27838">
      <c r="B27838" s="309"/>
      <c r="C27838" s="309"/>
      <c r="I27838" s="309"/>
      <c r="J27838" s="309"/>
    </row>
    <row r="27839">
      <c r="B27839" s="309"/>
      <c r="C27839" s="309"/>
      <c r="I27839" s="309"/>
      <c r="J27839" s="309"/>
    </row>
    <row r="27840">
      <c r="B27840" s="309"/>
      <c r="C27840" s="309"/>
      <c r="I27840" s="309"/>
      <c r="J27840" s="309"/>
    </row>
    <row r="27841">
      <c r="B27841" s="309"/>
      <c r="C27841" s="309"/>
      <c r="I27841" s="309"/>
      <c r="J27841" s="309"/>
    </row>
    <row r="27842">
      <c r="B27842" s="309"/>
      <c r="C27842" s="309"/>
      <c r="I27842" s="309"/>
      <c r="J27842" s="309"/>
    </row>
    <row r="27843">
      <c r="B27843" s="309"/>
      <c r="C27843" s="309"/>
      <c r="I27843" s="309"/>
      <c r="J27843" s="309"/>
    </row>
    <row r="27844">
      <c r="B27844" s="309"/>
      <c r="C27844" s="309"/>
      <c r="I27844" s="309"/>
      <c r="J27844" s="309"/>
    </row>
    <row r="27845">
      <c r="B27845" s="309"/>
      <c r="C27845" s="309"/>
      <c r="I27845" s="309"/>
      <c r="J27845" s="309"/>
    </row>
    <row r="27846">
      <c r="B27846" s="309"/>
      <c r="C27846" s="309"/>
      <c r="I27846" s="309"/>
      <c r="J27846" s="309"/>
    </row>
    <row r="27847">
      <c r="B27847" s="309"/>
      <c r="C27847" s="309"/>
      <c r="I27847" s="309"/>
      <c r="J27847" s="309"/>
    </row>
    <row r="27848">
      <c r="B27848" s="309"/>
      <c r="C27848" s="309"/>
      <c r="I27848" s="309"/>
      <c r="J27848" s="309"/>
    </row>
    <row r="27849">
      <c r="B27849" s="309"/>
      <c r="C27849" s="309"/>
      <c r="I27849" s="309"/>
      <c r="J27849" s="309"/>
    </row>
    <row r="27850">
      <c r="B27850" s="309"/>
      <c r="C27850" s="309"/>
      <c r="I27850" s="309"/>
      <c r="J27850" s="309"/>
    </row>
    <row r="27851">
      <c r="B27851" s="309"/>
      <c r="C27851" s="309"/>
      <c r="I27851" s="309"/>
      <c r="J27851" s="309"/>
    </row>
    <row r="27852">
      <c r="B27852" s="309"/>
      <c r="C27852" s="309"/>
      <c r="I27852" s="309"/>
      <c r="J27852" s="309"/>
    </row>
    <row r="27853">
      <c r="B27853" s="309"/>
      <c r="C27853" s="309"/>
      <c r="I27853" s="309"/>
      <c r="J27853" s="309"/>
    </row>
    <row r="27854">
      <c r="B27854" s="309"/>
      <c r="C27854" s="309"/>
      <c r="I27854" s="309"/>
      <c r="J27854" s="309"/>
    </row>
    <row r="27855">
      <c r="B27855" s="309"/>
      <c r="C27855" s="309"/>
      <c r="I27855" s="309"/>
      <c r="J27855" s="309"/>
    </row>
    <row r="27856">
      <c r="B27856" s="309"/>
      <c r="C27856" s="309"/>
      <c r="I27856" s="309"/>
      <c r="J27856" s="309"/>
    </row>
    <row r="27857">
      <c r="B27857" s="309"/>
      <c r="C27857" s="309"/>
      <c r="I27857" s="309"/>
      <c r="J27857" s="309"/>
    </row>
    <row r="27858">
      <c r="B27858" s="309"/>
      <c r="C27858" s="309"/>
      <c r="I27858" s="309"/>
      <c r="J27858" s="309"/>
    </row>
    <row r="27859">
      <c r="B27859" s="309"/>
      <c r="C27859" s="309"/>
      <c r="I27859" s="309"/>
      <c r="J27859" s="309"/>
    </row>
    <row r="27860">
      <c r="B27860" s="309"/>
      <c r="C27860" s="309"/>
      <c r="I27860" s="309"/>
      <c r="J27860" s="309"/>
    </row>
    <row r="27861">
      <c r="B27861" s="309"/>
      <c r="C27861" s="309"/>
      <c r="I27861" s="309"/>
      <c r="J27861" s="309"/>
    </row>
    <row r="27862">
      <c r="B27862" s="309"/>
      <c r="C27862" s="309"/>
      <c r="I27862" s="309"/>
      <c r="J27862" s="309"/>
    </row>
    <row r="27863">
      <c r="B27863" s="309"/>
      <c r="C27863" s="309"/>
      <c r="I27863" s="309"/>
      <c r="J27863" s="309"/>
    </row>
    <row r="27864">
      <c r="B27864" s="309"/>
      <c r="C27864" s="309"/>
      <c r="I27864" s="309"/>
      <c r="J27864" s="309"/>
    </row>
    <row r="27865">
      <c r="B27865" s="309"/>
      <c r="C27865" s="309"/>
      <c r="I27865" s="309"/>
      <c r="J27865" s="309"/>
    </row>
    <row r="27866">
      <c r="B27866" s="309"/>
      <c r="C27866" s="309"/>
      <c r="I27866" s="309"/>
      <c r="J27866" s="309"/>
    </row>
    <row r="27867">
      <c r="B27867" s="309"/>
      <c r="C27867" s="309"/>
      <c r="I27867" s="309"/>
      <c r="J27867" s="309"/>
    </row>
    <row r="27868">
      <c r="B27868" s="309"/>
      <c r="C27868" s="309"/>
      <c r="I27868" s="309"/>
      <c r="J27868" s="309"/>
    </row>
    <row r="27869">
      <c r="B27869" s="309"/>
      <c r="C27869" s="309"/>
      <c r="I27869" s="309"/>
      <c r="J27869" s="309"/>
    </row>
    <row r="27870">
      <c r="B27870" s="309"/>
      <c r="C27870" s="309"/>
      <c r="I27870" s="309"/>
      <c r="J27870" s="309"/>
    </row>
    <row r="27871">
      <c r="B27871" s="309"/>
      <c r="C27871" s="309"/>
      <c r="I27871" s="309"/>
      <c r="J27871" s="309"/>
    </row>
    <row r="27872">
      <c r="B27872" s="309"/>
      <c r="C27872" s="309"/>
      <c r="I27872" s="309"/>
      <c r="J27872" s="309"/>
    </row>
    <row r="27873">
      <c r="B27873" s="309"/>
      <c r="C27873" s="309"/>
      <c r="I27873" s="309"/>
      <c r="J27873" s="309"/>
    </row>
    <row r="27874">
      <c r="B27874" s="309"/>
      <c r="C27874" s="309"/>
      <c r="I27874" s="309"/>
      <c r="J27874" s="309"/>
    </row>
    <row r="27875">
      <c r="B27875" s="309"/>
      <c r="C27875" s="309"/>
      <c r="I27875" s="309"/>
      <c r="J27875" s="309"/>
    </row>
    <row r="27876">
      <c r="B27876" s="309"/>
      <c r="C27876" s="309"/>
      <c r="I27876" s="309"/>
      <c r="J27876" s="309"/>
    </row>
    <row r="27877">
      <c r="B27877" s="309"/>
      <c r="C27877" s="309"/>
      <c r="I27877" s="309"/>
      <c r="J27877" s="309"/>
    </row>
    <row r="27878">
      <c r="B27878" s="309"/>
      <c r="C27878" s="309"/>
      <c r="I27878" s="309"/>
      <c r="J27878" s="309"/>
    </row>
    <row r="27879">
      <c r="B27879" s="309"/>
      <c r="C27879" s="309"/>
      <c r="I27879" s="309"/>
      <c r="J27879" s="309"/>
    </row>
    <row r="27880">
      <c r="B27880" s="309"/>
      <c r="C27880" s="309"/>
      <c r="I27880" s="309"/>
      <c r="J27880" s="309"/>
    </row>
    <row r="27881">
      <c r="B27881" s="309"/>
      <c r="C27881" s="309"/>
      <c r="I27881" s="309"/>
      <c r="J27881" s="309"/>
    </row>
    <row r="27882">
      <c r="B27882" s="309"/>
      <c r="C27882" s="309"/>
      <c r="I27882" s="309"/>
      <c r="J27882" s="309"/>
    </row>
    <row r="27883">
      <c r="B27883" s="309"/>
      <c r="C27883" s="309"/>
      <c r="I27883" s="309"/>
      <c r="J27883" s="309"/>
    </row>
    <row r="27884">
      <c r="B27884" s="309"/>
      <c r="C27884" s="309"/>
      <c r="I27884" s="309"/>
      <c r="J27884" s="309"/>
    </row>
    <row r="27885">
      <c r="B27885" s="309"/>
      <c r="C27885" s="309"/>
      <c r="I27885" s="309"/>
      <c r="J27885" s="309"/>
    </row>
    <row r="27886">
      <c r="B27886" s="309"/>
      <c r="C27886" s="309"/>
      <c r="I27886" s="309"/>
      <c r="J27886" s="309"/>
    </row>
    <row r="27887">
      <c r="B27887" s="309"/>
      <c r="C27887" s="309"/>
      <c r="I27887" s="309"/>
      <c r="J27887" s="309"/>
    </row>
    <row r="27888">
      <c r="B27888" s="309"/>
      <c r="C27888" s="309"/>
      <c r="I27888" s="309"/>
      <c r="J27888" s="309"/>
    </row>
    <row r="27889">
      <c r="B27889" s="309"/>
      <c r="C27889" s="309"/>
      <c r="I27889" s="309"/>
      <c r="J27889" s="309"/>
    </row>
    <row r="27890">
      <c r="B27890" s="309"/>
      <c r="C27890" s="309"/>
      <c r="I27890" s="309"/>
      <c r="J27890" s="309"/>
    </row>
    <row r="27891">
      <c r="B27891" s="309"/>
      <c r="C27891" s="309"/>
      <c r="I27891" s="309"/>
      <c r="J27891" s="309"/>
    </row>
    <row r="27892">
      <c r="B27892" s="309"/>
      <c r="C27892" s="309"/>
      <c r="I27892" s="309"/>
      <c r="J27892" s="309"/>
    </row>
    <row r="27893">
      <c r="B27893" s="309"/>
      <c r="C27893" s="309"/>
      <c r="I27893" s="309"/>
      <c r="J27893" s="309"/>
    </row>
    <row r="27894">
      <c r="B27894" s="309"/>
      <c r="C27894" s="309"/>
      <c r="I27894" s="309"/>
      <c r="J27894" s="309"/>
    </row>
    <row r="27895">
      <c r="B27895" s="309"/>
      <c r="C27895" s="309"/>
      <c r="I27895" s="309"/>
      <c r="J27895" s="309"/>
    </row>
    <row r="27896">
      <c r="B27896" s="309"/>
      <c r="C27896" s="309"/>
      <c r="I27896" s="309"/>
      <c r="J27896" s="309"/>
    </row>
    <row r="27897">
      <c r="B27897" s="309"/>
      <c r="C27897" s="309"/>
      <c r="I27897" s="309"/>
      <c r="J27897" s="309"/>
    </row>
    <row r="27898">
      <c r="B27898" s="309"/>
      <c r="C27898" s="309"/>
      <c r="I27898" s="309"/>
      <c r="J27898" s="309"/>
    </row>
    <row r="27899">
      <c r="B27899" s="309"/>
      <c r="C27899" s="309"/>
      <c r="I27899" s="309"/>
      <c r="J27899" s="309"/>
    </row>
    <row r="27900">
      <c r="B27900" s="309"/>
      <c r="C27900" s="309"/>
      <c r="I27900" s="309"/>
      <c r="J27900" s="309"/>
    </row>
    <row r="27901">
      <c r="B27901" s="309"/>
      <c r="C27901" s="309"/>
      <c r="I27901" s="309"/>
      <c r="J27901" s="309"/>
    </row>
    <row r="27902">
      <c r="B27902" s="309"/>
      <c r="C27902" s="309"/>
      <c r="I27902" s="309"/>
      <c r="J27902" s="309"/>
    </row>
    <row r="27903">
      <c r="B27903" s="309"/>
      <c r="C27903" s="309"/>
      <c r="I27903" s="309"/>
      <c r="J27903" s="309"/>
    </row>
    <row r="27904">
      <c r="B27904" s="309"/>
      <c r="C27904" s="309"/>
      <c r="I27904" s="309"/>
      <c r="J27904" s="309"/>
    </row>
    <row r="27905">
      <c r="B27905" s="309"/>
      <c r="C27905" s="309"/>
      <c r="I27905" s="309"/>
      <c r="J27905" s="309"/>
    </row>
    <row r="27906">
      <c r="B27906" s="309"/>
      <c r="C27906" s="309"/>
      <c r="I27906" s="309"/>
      <c r="J27906" s="309"/>
    </row>
    <row r="27907">
      <c r="B27907" s="309"/>
      <c r="C27907" s="309"/>
      <c r="I27907" s="309"/>
      <c r="J27907" s="309"/>
    </row>
    <row r="27908">
      <c r="B27908" s="309"/>
      <c r="C27908" s="309"/>
      <c r="I27908" s="309"/>
      <c r="J27908" s="309"/>
    </row>
    <row r="27909">
      <c r="B27909" s="309"/>
      <c r="C27909" s="309"/>
      <c r="I27909" s="309"/>
      <c r="J27909" s="309"/>
    </row>
    <row r="27910">
      <c r="B27910" s="309"/>
      <c r="C27910" s="309"/>
      <c r="I27910" s="309"/>
      <c r="J27910" s="309"/>
    </row>
    <row r="27911">
      <c r="B27911" s="309"/>
      <c r="C27911" s="309"/>
      <c r="I27911" s="309"/>
      <c r="J27911" s="309"/>
    </row>
    <row r="27912">
      <c r="B27912" s="309"/>
      <c r="C27912" s="309"/>
      <c r="I27912" s="309"/>
      <c r="J27912" s="309"/>
    </row>
    <row r="27913">
      <c r="B27913" s="309"/>
      <c r="C27913" s="309"/>
      <c r="I27913" s="309"/>
      <c r="J27913" s="309"/>
    </row>
    <row r="27914">
      <c r="B27914" s="309"/>
      <c r="C27914" s="309"/>
      <c r="I27914" s="309"/>
      <c r="J27914" s="309"/>
    </row>
    <row r="27915">
      <c r="B27915" s="309"/>
      <c r="C27915" s="309"/>
      <c r="I27915" s="309"/>
      <c r="J27915" s="309"/>
    </row>
    <row r="27916">
      <c r="B27916" s="309"/>
      <c r="C27916" s="309"/>
      <c r="I27916" s="309"/>
      <c r="J27916" s="309"/>
    </row>
    <row r="27917">
      <c r="B27917" s="309"/>
      <c r="C27917" s="309"/>
      <c r="I27917" s="309"/>
      <c r="J27917" s="309"/>
    </row>
    <row r="27918">
      <c r="B27918" s="309"/>
      <c r="C27918" s="309"/>
      <c r="I27918" s="309"/>
      <c r="J27918" s="309"/>
    </row>
    <row r="27919">
      <c r="B27919" s="309"/>
      <c r="C27919" s="309"/>
      <c r="I27919" s="309"/>
      <c r="J27919" s="309"/>
    </row>
    <row r="27920">
      <c r="B27920" s="309"/>
      <c r="C27920" s="309"/>
      <c r="I27920" s="309"/>
      <c r="J27920" s="309"/>
    </row>
    <row r="27921">
      <c r="B27921" s="309"/>
      <c r="C27921" s="309"/>
      <c r="I27921" s="309"/>
      <c r="J27921" s="309"/>
    </row>
    <row r="27922">
      <c r="B27922" s="309"/>
      <c r="C27922" s="309"/>
      <c r="I27922" s="309"/>
      <c r="J27922" s="309"/>
    </row>
    <row r="27923">
      <c r="B27923" s="309"/>
      <c r="C27923" s="309"/>
      <c r="I27923" s="309"/>
      <c r="J27923" s="309"/>
    </row>
    <row r="27924">
      <c r="B27924" s="309"/>
      <c r="C27924" s="309"/>
      <c r="I27924" s="309"/>
      <c r="J27924" s="309"/>
    </row>
    <row r="27925">
      <c r="B27925" s="309"/>
      <c r="C27925" s="309"/>
      <c r="I27925" s="309"/>
      <c r="J27925" s="309"/>
    </row>
    <row r="27926">
      <c r="B27926" s="309"/>
      <c r="C27926" s="309"/>
      <c r="I27926" s="309"/>
      <c r="J27926" s="309"/>
    </row>
    <row r="27927">
      <c r="B27927" s="309"/>
      <c r="C27927" s="309"/>
      <c r="I27927" s="309"/>
      <c r="J27927" s="309"/>
    </row>
    <row r="27928">
      <c r="B27928" s="309"/>
      <c r="C27928" s="309"/>
      <c r="I27928" s="309"/>
      <c r="J27928" s="309"/>
    </row>
    <row r="27929">
      <c r="B27929" s="309"/>
      <c r="C27929" s="309"/>
      <c r="I27929" s="309"/>
      <c r="J27929" s="309"/>
    </row>
    <row r="27930">
      <c r="B27930" s="309"/>
      <c r="C27930" s="309"/>
      <c r="I27930" s="309"/>
      <c r="J27930" s="309"/>
    </row>
    <row r="27931">
      <c r="B27931" s="309"/>
      <c r="C27931" s="309"/>
      <c r="I27931" s="309"/>
      <c r="J27931" s="309"/>
    </row>
    <row r="27932">
      <c r="B27932" s="309"/>
      <c r="C27932" s="309"/>
      <c r="I27932" s="309"/>
      <c r="J27932" s="309"/>
    </row>
    <row r="27933">
      <c r="B27933" s="309"/>
      <c r="C27933" s="309"/>
      <c r="I27933" s="309"/>
      <c r="J27933" s="309"/>
    </row>
    <row r="27934">
      <c r="B27934" s="309"/>
      <c r="C27934" s="309"/>
      <c r="I27934" s="309"/>
      <c r="J27934" s="309"/>
    </row>
    <row r="27935">
      <c r="B27935" s="309"/>
      <c r="C27935" s="309"/>
      <c r="I27935" s="309"/>
      <c r="J27935" s="309"/>
    </row>
    <row r="27936">
      <c r="B27936" s="309"/>
      <c r="C27936" s="309"/>
      <c r="I27936" s="309"/>
      <c r="J27936" s="309"/>
    </row>
    <row r="27937">
      <c r="B27937" s="309"/>
      <c r="C27937" s="309"/>
      <c r="I27937" s="309"/>
      <c r="J27937" s="309"/>
    </row>
    <row r="27938">
      <c r="B27938" s="309"/>
      <c r="C27938" s="309"/>
      <c r="I27938" s="309"/>
      <c r="J27938" s="309"/>
    </row>
    <row r="27939">
      <c r="B27939" s="309"/>
      <c r="C27939" s="309"/>
      <c r="I27939" s="309"/>
      <c r="J27939" s="309"/>
    </row>
    <row r="27940">
      <c r="B27940" s="309"/>
      <c r="C27940" s="309"/>
      <c r="I27940" s="309"/>
      <c r="J27940" s="309"/>
    </row>
    <row r="27941">
      <c r="B27941" s="309"/>
      <c r="C27941" s="309"/>
      <c r="I27941" s="309"/>
      <c r="J27941" s="309"/>
    </row>
    <row r="27942">
      <c r="B27942" s="309"/>
      <c r="C27942" s="309"/>
      <c r="I27942" s="309"/>
      <c r="J27942" s="309"/>
    </row>
    <row r="27943">
      <c r="B27943" s="309"/>
      <c r="C27943" s="309"/>
      <c r="I27943" s="309"/>
      <c r="J27943" s="309"/>
    </row>
    <row r="27944">
      <c r="B27944" s="309"/>
      <c r="C27944" s="309"/>
      <c r="I27944" s="309"/>
      <c r="J27944" s="309"/>
    </row>
    <row r="27945">
      <c r="B27945" s="309"/>
      <c r="C27945" s="309"/>
      <c r="I27945" s="309"/>
      <c r="J27945" s="309"/>
    </row>
    <row r="27946">
      <c r="B27946" s="309"/>
      <c r="C27946" s="309"/>
      <c r="I27946" s="309"/>
      <c r="J27946" s="309"/>
    </row>
    <row r="27947">
      <c r="B27947" s="309"/>
      <c r="C27947" s="309"/>
      <c r="I27947" s="309"/>
      <c r="J27947" s="309"/>
    </row>
    <row r="27948">
      <c r="B27948" s="309"/>
      <c r="C27948" s="309"/>
      <c r="I27948" s="309"/>
      <c r="J27948" s="309"/>
    </row>
    <row r="27949">
      <c r="B27949" s="309"/>
      <c r="C27949" s="309"/>
      <c r="I27949" s="309"/>
      <c r="J27949" s="309"/>
    </row>
    <row r="27950">
      <c r="B27950" s="309"/>
      <c r="C27950" s="309"/>
      <c r="I27950" s="309"/>
      <c r="J27950" s="309"/>
    </row>
    <row r="27951">
      <c r="B27951" s="309"/>
      <c r="C27951" s="309"/>
      <c r="I27951" s="309"/>
      <c r="J27951" s="309"/>
    </row>
    <row r="27952">
      <c r="B27952" s="309"/>
      <c r="C27952" s="309"/>
      <c r="I27952" s="309"/>
      <c r="J27952" s="309"/>
    </row>
    <row r="27953">
      <c r="B27953" s="309"/>
      <c r="C27953" s="309"/>
      <c r="I27953" s="309"/>
      <c r="J27953" s="309"/>
    </row>
    <row r="27954">
      <c r="B27954" s="309"/>
      <c r="C27954" s="309"/>
      <c r="I27954" s="309"/>
      <c r="J27954" s="309"/>
    </row>
    <row r="27955">
      <c r="B27955" s="309"/>
      <c r="C27955" s="309"/>
      <c r="I27955" s="309"/>
      <c r="J27955" s="309"/>
    </row>
    <row r="27956">
      <c r="B27956" s="309"/>
      <c r="C27956" s="309"/>
      <c r="I27956" s="309"/>
      <c r="J27956" s="309"/>
    </row>
    <row r="27957">
      <c r="B27957" s="309"/>
      <c r="C27957" s="309"/>
      <c r="I27957" s="309"/>
      <c r="J27957" s="309"/>
    </row>
    <row r="27958">
      <c r="B27958" s="309"/>
      <c r="C27958" s="309"/>
      <c r="I27958" s="309"/>
      <c r="J27958" s="309"/>
    </row>
    <row r="27959">
      <c r="B27959" s="309"/>
      <c r="C27959" s="309"/>
      <c r="I27959" s="309"/>
      <c r="J27959" s="309"/>
    </row>
    <row r="27960">
      <c r="B27960" s="309"/>
      <c r="C27960" s="309"/>
      <c r="I27960" s="309"/>
      <c r="J27960" s="309"/>
    </row>
    <row r="27961">
      <c r="B27961" s="309"/>
      <c r="C27961" s="309"/>
      <c r="I27961" s="309"/>
      <c r="J27961" s="309"/>
    </row>
    <row r="27962">
      <c r="B27962" s="309"/>
      <c r="C27962" s="309"/>
      <c r="I27962" s="309"/>
      <c r="J27962" s="309"/>
    </row>
    <row r="27963">
      <c r="B27963" s="309"/>
      <c r="C27963" s="309"/>
      <c r="I27963" s="309"/>
      <c r="J27963" s="309"/>
    </row>
    <row r="27964">
      <c r="B27964" s="309"/>
      <c r="C27964" s="309"/>
      <c r="I27964" s="309"/>
      <c r="J27964" s="309"/>
    </row>
    <row r="27965">
      <c r="B27965" s="309"/>
      <c r="C27965" s="309"/>
      <c r="I27965" s="309"/>
      <c r="J27965" s="309"/>
    </row>
    <row r="27966">
      <c r="B27966" s="309"/>
      <c r="C27966" s="309"/>
      <c r="I27966" s="309"/>
      <c r="J27966" s="309"/>
    </row>
    <row r="27967">
      <c r="B27967" s="309"/>
      <c r="C27967" s="309"/>
      <c r="I27967" s="309"/>
      <c r="J27967" s="309"/>
    </row>
    <row r="27968">
      <c r="B27968" s="309"/>
      <c r="C27968" s="309"/>
      <c r="I27968" s="309"/>
      <c r="J27968" s="309"/>
    </row>
    <row r="27969">
      <c r="B27969" s="309"/>
      <c r="C27969" s="309"/>
      <c r="I27969" s="309"/>
      <c r="J27969" s="309"/>
    </row>
    <row r="27970">
      <c r="B27970" s="309"/>
      <c r="C27970" s="309"/>
      <c r="I27970" s="309"/>
      <c r="J27970" s="309"/>
    </row>
    <row r="27971">
      <c r="B27971" s="309"/>
      <c r="C27971" s="309"/>
      <c r="I27971" s="309"/>
      <c r="J27971" s="309"/>
    </row>
    <row r="27972">
      <c r="B27972" s="309"/>
      <c r="C27972" s="309"/>
      <c r="I27972" s="309"/>
      <c r="J27972" s="309"/>
    </row>
    <row r="27973">
      <c r="B27973" s="309"/>
      <c r="C27973" s="309"/>
      <c r="I27973" s="309"/>
      <c r="J27973" s="309"/>
    </row>
    <row r="27974">
      <c r="B27974" s="309"/>
      <c r="C27974" s="309"/>
      <c r="I27974" s="309"/>
      <c r="J27974" s="309"/>
    </row>
    <row r="27975">
      <c r="B27975" s="309"/>
      <c r="C27975" s="309"/>
      <c r="I27975" s="309"/>
      <c r="J27975" s="309"/>
    </row>
    <row r="27976">
      <c r="B27976" s="309"/>
      <c r="C27976" s="309"/>
      <c r="I27976" s="309"/>
      <c r="J27976" s="309"/>
    </row>
    <row r="27977">
      <c r="B27977" s="309"/>
      <c r="C27977" s="309"/>
      <c r="I27977" s="309"/>
      <c r="J27977" s="309"/>
    </row>
    <row r="27978">
      <c r="B27978" s="309"/>
      <c r="C27978" s="309"/>
      <c r="I27978" s="309"/>
      <c r="J27978" s="309"/>
    </row>
    <row r="27979">
      <c r="B27979" s="309"/>
      <c r="C27979" s="309"/>
      <c r="I27979" s="309"/>
      <c r="J27979" s="309"/>
    </row>
    <row r="27980">
      <c r="B27980" s="309"/>
      <c r="C27980" s="309"/>
      <c r="I27980" s="309"/>
      <c r="J27980" s="309"/>
    </row>
    <row r="27981">
      <c r="B27981" s="309"/>
      <c r="C27981" s="309"/>
      <c r="I27981" s="309"/>
      <c r="J27981" s="309"/>
    </row>
    <row r="27982">
      <c r="B27982" s="309"/>
      <c r="C27982" s="309"/>
      <c r="I27982" s="309"/>
      <c r="J27982" s="309"/>
    </row>
    <row r="27983">
      <c r="B27983" s="309"/>
      <c r="C27983" s="309"/>
      <c r="I27983" s="309"/>
      <c r="J27983" s="309"/>
    </row>
    <row r="27984">
      <c r="B27984" s="309"/>
      <c r="C27984" s="309"/>
      <c r="I27984" s="309"/>
      <c r="J27984" s="309"/>
    </row>
    <row r="27985">
      <c r="B27985" s="309"/>
      <c r="C27985" s="309"/>
      <c r="I27985" s="309"/>
      <c r="J27985" s="309"/>
    </row>
    <row r="27986">
      <c r="B27986" s="309"/>
      <c r="C27986" s="309"/>
      <c r="I27986" s="309"/>
      <c r="J27986" s="309"/>
    </row>
    <row r="27987">
      <c r="B27987" s="309"/>
      <c r="C27987" s="309"/>
      <c r="I27987" s="309"/>
      <c r="J27987" s="309"/>
    </row>
    <row r="27988">
      <c r="B27988" s="309"/>
      <c r="C27988" s="309"/>
      <c r="I27988" s="309"/>
      <c r="J27988" s="309"/>
    </row>
    <row r="27989">
      <c r="B27989" s="309"/>
      <c r="C27989" s="309"/>
      <c r="I27989" s="309"/>
      <c r="J27989" s="309"/>
    </row>
    <row r="27990">
      <c r="B27990" s="309"/>
      <c r="C27990" s="309"/>
      <c r="I27990" s="309"/>
      <c r="J27990" s="309"/>
    </row>
    <row r="27991">
      <c r="B27991" s="309"/>
      <c r="C27991" s="309"/>
      <c r="I27991" s="309"/>
      <c r="J27991" s="309"/>
    </row>
    <row r="27992">
      <c r="B27992" s="309"/>
      <c r="C27992" s="309"/>
      <c r="I27992" s="309"/>
      <c r="J27992" s="309"/>
    </row>
    <row r="27993">
      <c r="B27993" s="309"/>
      <c r="C27993" s="309"/>
      <c r="I27993" s="309"/>
      <c r="J27993" s="309"/>
    </row>
    <row r="27994">
      <c r="B27994" s="309"/>
      <c r="C27994" s="309"/>
      <c r="I27994" s="309"/>
      <c r="J27994" s="309"/>
    </row>
    <row r="27995">
      <c r="B27995" s="309"/>
      <c r="C27995" s="309"/>
      <c r="I27995" s="309"/>
      <c r="J27995" s="309"/>
    </row>
    <row r="27996">
      <c r="B27996" s="309"/>
      <c r="C27996" s="309"/>
      <c r="I27996" s="309"/>
      <c r="J27996" s="309"/>
    </row>
    <row r="27997">
      <c r="B27997" s="309"/>
      <c r="C27997" s="309"/>
      <c r="I27997" s="309"/>
      <c r="J27997" s="309"/>
    </row>
    <row r="27998">
      <c r="B27998" s="309"/>
      <c r="C27998" s="309"/>
      <c r="I27998" s="309"/>
      <c r="J27998" s="309"/>
    </row>
    <row r="27999">
      <c r="B27999" s="309"/>
      <c r="C27999" s="309"/>
      <c r="I27999" s="309"/>
      <c r="J27999" s="309"/>
    </row>
    <row r="28000">
      <c r="B28000" s="309"/>
      <c r="C28000" s="309"/>
      <c r="I28000" s="309"/>
      <c r="J28000" s="309"/>
    </row>
    <row r="28001">
      <c r="B28001" s="309"/>
      <c r="C28001" s="309"/>
      <c r="I28001" s="309"/>
      <c r="J28001" s="309"/>
    </row>
    <row r="28002">
      <c r="B28002" s="309"/>
      <c r="C28002" s="309"/>
      <c r="I28002" s="309"/>
      <c r="J28002" s="309"/>
    </row>
    <row r="28003">
      <c r="B28003" s="309"/>
      <c r="C28003" s="309"/>
      <c r="I28003" s="309"/>
      <c r="J28003" s="309"/>
    </row>
    <row r="28004">
      <c r="B28004" s="309"/>
      <c r="C28004" s="309"/>
      <c r="I28004" s="309"/>
      <c r="J28004" s="309"/>
    </row>
    <row r="28005">
      <c r="B28005" s="309"/>
      <c r="C28005" s="309"/>
      <c r="I28005" s="309"/>
      <c r="J28005" s="309"/>
    </row>
    <row r="28006">
      <c r="B28006" s="309"/>
      <c r="C28006" s="309"/>
      <c r="I28006" s="309"/>
      <c r="J28006" s="309"/>
    </row>
    <row r="28007">
      <c r="B28007" s="309"/>
      <c r="C28007" s="309"/>
      <c r="I28007" s="309"/>
      <c r="J28007" s="309"/>
    </row>
    <row r="28008">
      <c r="B28008" s="309"/>
      <c r="C28008" s="309"/>
      <c r="I28008" s="309"/>
      <c r="J28008" s="309"/>
    </row>
    <row r="28009">
      <c r="B28009" s="309"/>
      <c r="C28009" s="309"/>
      <c r="I28009" s="309"/>
      <c r="J28009" s="309"/>
    </row>
    <row r="28010">
      <c r="B28010" s="309"/>
      <c r="C28010" s="309"/>
      <c r="I28010" s="309"/>
      <c r="J28010" s="309"/>
    </row>
    <row r="28011">
      <c r="B28011" s="309"/>
      <c r="C28011" s="309"/>
      <c r="I28011" s="309"/>
      <c r="J28011" s="309"/>
    </row>
    <row r="28012">
      <c r="B28012" s="309"/>
      <c r="C28012" s="309"/>
      <c r="I28012" s="309"/>
      <c r="J28012" s="309"/>
    </row>
    <row r="28013">
      <c r="B28013" s="309"/>
      <c r="C28013" s="309"/>
      <c r="I28013" s="309"/>
      <c r="J28013" s="309"/>
    </row>
    <row r="28014">
      <c r="B28014" s="309"/>
      <c r="C28014" s="309"/>
      <c r="I28014" s="309"/>
      <c r="J28014" s="309"/>
    </row>
    <row r="28015">
      <c r="B28015" s="309"/>
      <c r="C28015" s="309"/>
      <c r="I28015" s="309"/>
      <c r="J28015" s="309"/>
    </row>
    <row r="28016">
      <c r="B28016" s="309"/>
      <c r="C28016" s="309"/>
      <c r="I28016" s="309"/>
      <c r="J28016" s="309"/>
    </row>
    <row r="28017">
      <c r="B28017" s="309"/>
      <c r="C28017" s="309"/>
      <c r="I28017" s="309"/>
      <c r="J28017" s="309"/>
    </row>
    <row r="28018">
      <c r="B28018" s="309"/>
      <c r="C28018" s="309"/>
      <c r="I28018" s="309"/>
      <c r="J28018" s="309"/>
    </row>
    <row r="28019">
      <c r="B28019" s="309"/>
      <c r="C28019" s="309"/>
      <c r="I28019" s="309"/>
      <c r="J28019" s="309"/>
    </row>
    <row r="28020">
      <c r="B28020" s="309"/>
      <c r="C28020" s="309"/>
      <c r="I28020" s="309"/>
      <c r="J28020" s="309"/>
    </row>
    <row r="28021">
      <c r="B28021" s="309"/>
      <c r="C28021" s="309"/>
      <c r="I28021" s="309"/>
      <c r="J28021" s="309"/>
    </row>
    <row r="28022">
      <c r="B28022" s="309"/>
      <c r="C28022" s="309"/>
      <c r="I28022" s="309"/>
      <c r="J28022" s="309"/>
    </row>
    <row r="28023">
      <c r="B28023" s="309"/>
      <c r="C28023" s="309"/>
      <c r="I28023" s="309"/>
      <c r="J28023" s="309"/>
    </row>
    <row r="28024">
      <c r="B28024" s="309"/>
      <c r="C28024" s="309"/>
      <c r="I28024" s="309"/>
      <c r="J28024" s="309"/>
    </row>
    <row r="28025">
      <c r="B28025" s="309"/>
      <c r="C28025" s="309"/>
      <c r="I28025" s="309"/>
      <c r="J28025" s="309"/>
    </row>
    <row r="28026">
      <c r="B28026" s="309"/>
      <c r="C28026" s="309"/>
      <c r="I28026" s="309"/>
      <c r="J28026" s="309"/>
    </row>
    <row r="28027">
      <c r="B28027" s="309"/>
      <c r="C28027" s="309"/>
      <c r="I28027" s="309"/>
      <c r="J28027" s="309"/>
    </row>
    <row r="28028">
      <c r="B28028" s="309"/>
      <c r="C28028" s="309"/>
      <c r="I28028" s="309"/>
      <c r="J28028" s="309"/>
    </row>
    <row r="28029">
      <c r="B28029" s="309"/>
      <c r="C28029" s="309"/>
      <c r="I28029" s="309"/>
      <c r="J28029" s="309"/>
    </row>
    <row r="28030">
      <c r="B28030" s="309"/>
      <c r="C28030" s="309"/>
      <c r="I28030" s="309"/>
      <c r="J28030" s="309"/>
    </row>
    <row r="28031">
      <c r="B28031" s="309"/>
      <c r="C28031" s="309"/>
      <c r="I28031" s="309"/>
      <c r="J28031" s="309"/>
    </row>
    <row r="28032">
      <c r="B28032" s="309"/>
      <c r="C28032" s="309"/>
      <c r="I28032" s="309"/>
      <c r="J28032" s="309"/>
    </row>
    <row r="28033">
      <c r="B28033" s="309"/>
      <c r="C28033" s="309"/>
      <c r="I28033" s="309"/>
      <c r="J28033" s="309"/>
    </row>
    <row r="28034">
      <c r="B28034" s="309"/>
      <c r="C28034" s="309"/>
      <c r="I28034" s="309"/>
      <c r="J28034" s="309"/>
    </row>
    <row r="28035">
      <c r="B28035" s="309"/>
      <c r="C28035" s="309"/>
      <c r="I28035" s="309"/>
      <c r="J28035" s="309"/>
    </row>
    <row r="28036">
      <c r="B28036" s="309"/>
      <c r="C28036" s="309"/>
      <c r="I28036" s="309"/>
      <c r="J28036" s="309"/>
    </row>
    <row r="28037">
      <c r="B28037" s="309"/>
      <c r="C28037" s="309"/>
      <c r="I28037" s="309"/>
      <c r="J28037" s="309"/>
    </row>
    <row r="28038">
      <c r="B28038" s="309"/>
      <c r="C28038" s="309"/>
      <c r="I28038" s="309"/>
      <c r="J28038" s="309"/>
    </row>
    <row r="28039">
      <c r="B28039" s="309"/>
      <c r="C28039" s="309"/>
      <c r="I28039" s="309"/>
      <c r="J28039" s="309"/>
    </row>
    <row r="28040">
      <c r="B28040" s="309"/>
      <c r="C28040" s="309"/>
      <c r="I28040" s="309"/>
      <c r="J28040" s="309"/>
    </row>
    <row r="28041">
      <c r="B28041" s="309"/>
      <c r="C28041" s="309"/>
      <c r="I28041" s="309"/>
      <c r="J28041" s="309"/>
    </row>
    <row r="28042">
      <c r="B28042" s="309"/>
      <c r="C28042" s="309"/>
      <c r="I28042" s="309"/>
      <c r="J28042" s="309"/>
    </row>
    <row r="28043">
      <c r="B28043" s="309"/>
      <c r="C28043" s="309"/>
      <c r="I28043" s="309"/>
      <c r="J28043" s="309"/>
    </row>
    <row r="28044">
      <c r="B28044" s="309"/>
      <c r="C28044" s="309"/>
      <c r="I28044" s="309"/>
      <c r="J28044" s="309"/>
    </row>
    <row r="28045">
      <c r="B28045" s="309"/>
      <c r="C28045" s="309"/>
      <c r="I28045" s="309"/>
      <c r="J28045" s="309"/>
    </row>
    <row r="28046">
      <c r="B28046" s="309"/>
      <c r="C28046" s="309"/>
      <c r="I28046" s="309"/>
      <c r="J28046" s="309"/>
    </row>
    <row r="28047">
      <c r="B28047" s="309"/>
      <c r="C28047" s="309"/>
      <c r="I28047" s="309"/>
      <c r="J28047" s="309"/>
    </row>
    <row r="28048">
      <c r="B28048" s="309"/>
      <c r="C28048" s="309"/>
      <c r="I28048" s="309"/>
      <c r="J28048" s="309"/>
    </row>
    <row r="28049">
      <c r="B28049" s="309"/>
      <c r="C28049" s="309"/>
      <c r="I28049" s="309"/>
      <c r="J28049" s="309"/>
    </row>
    <row r="28050">
      <c r="B28050" s="309"/>
      <c r="C28050" s="309"/>
      <c r="I28050" s="309"/>
      <c r="J28050" s="309"/>
    </row>
    <row r="28051">
      <c r="B28051" s="309"/>
      <c r="C28051" s="309"/>
      <c r="I28051" s="309"/>
      <c r="J28051" s="309"/>
    </row>
    <row r="28052">
      <c r="B28052" s="309"/>
      <c r="C28052" s="309"/>
      <c r="I28052" s="309"/>
      <c r="J28052" s="309"/>
    </row>
    <row r="28053">
      <c r="B28053" s="309"/>
      <c r="C28053" s="309"/>
      <c r="I28053" s="309"/>
      <c r="J28053" s="309"/>
    </row>
    <row r="28054">
      <c r="B28054" s="309"/>
      <c r="C28054" s="309"/>
      <c r="I28054" s="309"/>
      <c r="J28054" s="309"/>
    </row>
    <row r="28055">
      <c r="B28055" s="309"/>
      <c r="C28055" s="309"/>
      <c r="I28055" s="309"/>
      <c r="J28055" s="309"/>
    </row>
    <row r="28056">
      <c r="B28056" s="309"/>
      <c r="C28056" s="309"/>
      <c r="I28056" s="309"/>
      <c r="J28056" s="309"/>
    </row>
    <row r="28057">
      <c r="B28057" s="309"/>
      <c r="C28057" s="309"/>
      <c r="I28057" s="309"/>
      <c r="J28057" s="309"/>
    </row>
    <row r="28058">
      <c r="B28058" s="309"/>
      <c r="C28058" s="309"/>
      <c r="I28058" s="309"/>
      <c r="J28058" s="309"/>
    </row>
    <row r="28059">
      <c r="B28059" s="309"/>
      <c r="C28059" s="309"/>
      <c r="I28059" s="309"/>
      <c r="J28059" s="309"/>
    </row>
    <row r="28060">
      <c r="B28060" s="309"/>
      <c r="C28060" s="309"/>
      <c r="I28060" s="309"/>
      <c r="J28060" s="309"/>
    </row>
    <row r="28061">
      <c r="B28061" s="309"/>
      <c r="C28061" s="309"/>
      <c r="I28061" s="309"/>
      <c r="J28061" s="309"/>
    </row>
    <row r="28062">
      <c r="B28062" s="309"/>
      <c r="C28062" s="309"/>
      <c r="I28062" s="309"/>
      <c r="J28062" s="309"/>
    </row>
    <row r="28063">
      <c r="B28063" s="309"/>
      <c r="C28063" s="309"/>
      <c r="I28063" s="309"/>
      <c r="J28063" s="309"/>
    </row>
    <row r="28064">
      <c r="B28064" s="309"/>
      <c r="C28064" s="309"/>
      <c r="I28064" s="309"/>
      <c r="J28064" s="309"/>
    </row>
    <row r="28065">
      <c r="B28065" s="309"/>
      <c r="C28065" s="309"/>
      <c r="I28065" s="309"/>
      <c r="J28065" s="309"/>
    </row>
    <row r="28066">
      <c r="B28066" s="309"/>
      <c r="C28066" s="309"/>
      <c r="I28066" s="309"/>
      <c r="J28066" s="309"/>
    </row>
    <row r="28067">
      <c r="B28067" s="309"/>
      <c r="C28067" s="309"/>
      <c r="I28067" s="309"/>
      <c r="J28067" s="309"/>
    </row>
    <row r="28068">
      <c r="B28068" s="309"/>
      <c r="C28068" s="309"/>
      <c r="I28068" s="309"/>
      <c r="J28068" s="309"/>
    </row>
    <row r="28069">
      <c r="B28069" s="309"/>
      <c r="C28069" s="309"/>
      <c r="I28069" s="309"/>
      <c r="J28069" s="309"/>
    </row>
    <row r="28070">
      <c r="B28070" s="309"/>
      <c r="C28070" s="309"/>
      <c r="I28070" s="309"/>
      <c r="J28070" s="309"/>
    </row>
    <row r="28071">
      <c r="B28071" s="309"/>
      <c r="C28071" s="309"/>
      <c r="I28071" s="309"/>
      <c r="J28071" s="309"/>
    </row>
    <row r="28072">
      <c r="B28072" s="309"/>
      <c r="C28072" s="309"/>
      <c r="I28072" s="309"/>
      <c r="J28072" s="309"/>
    </row>
    <row r="28073">
      <c r="B28073" s="309"/>
      <c r="C28073" s="309"/>
      <c r="I28073" s="309"/>
      <c r="J28073" s="309"/>
    </row>
    <row r="28074">
      <c r="B28074" s="309"/>
      <c r="C28074" s="309"/>
      <c r="I28074" s="309"/>
      <c r="J28074" s="309"/>
    </row>
    <row r="28075">
      <c r="B28075" s="309"/>
      <c r="C28075" s="309"/>
      <c r="I28075" s="309"/>
      <c r="J28075" s="309"/>
    </row>
    <row r="28076">
      <c r="B28076" s="309"/>
      <c r="C28076" s="309"/>
      <c r="I28076" s="309"/>
      <c r="J28076" s="309"/>
    </row>
    <row r="28077">
      <c r="B28077" s="309"/>
      <c r="C28077" s="309"/>
      <c r="I28077" s="309"/>
      <c r="J28077" s="309"/>
    </row>
    <row r="28078">
      <c r="B28078" s="309"/>
      <c r="C28078" s="309"/>
      <c r="I28078" s="309"/>
      <c r="J28078" s="309"/>
    </row>
    <row r="28079">
      <c r="B28079" s="309"/>
      <c r="C28079" s="309"/>
      <c r="I28079" s="309"/>
      <c r="J28079" s="309"/>
    </row>
    <row r="28080">
      <c r="B28080" s="309"/>
      <c r="C28080" s="309"/>
      <c r="I28080" s="309"/>
      <c r="J28080" s="309"/>
    </row>
    <row r="28081">
      <c r="B28081" s="309"/>
      <c r="C28081" s="309"/>
      <c r="I28081" s="309"/>
      <c r="J28081" s="309"/>
    </row>
    <row r="28082">
      <c r="B28082" s="309"/>
      <c r="C28082" s="309"/>
      <c r="I28082" s="309"/>
      <c r="J28082" s="309"/>
    </row>
    <row r="28083">
      <c r="B28083" s="309"/>
      <c r="C28083" s="309"/>
      <c r="I28083" s="309"/>
      <c r="J28083" s="309"/>
    </row>
    <row r="28084">
      <c r="B28084" s="309"/>
      <c r="C28084" s="309"/>
      <c r="I28084" s="309"/>
      <c r="J28084" s="309"/>
    </row>
    <row r="28085">
      <c r="B28085" s="309"/>
      <c r="C28085" s="309"/>
      <c r="I28085" s="309"/>
      <c r="J28085" s="309"/>
    </row>
    <row r="28086">
      <c r="B28086" s="309"/>
      <c r="C28086" s="309"/>
      <c r="I28086" s="309"/>
      <c r="J28086" s="309"/>
    </row>
    <row r="28087">
      <c r="B28087" s="309"/>
      <c r="C28087" s="309"/>
      <c r="I28087" s="309"/>
      <c r="J28087" s="309"/>
    </row>
    <row r="28088">
      <c r="B28088" s="309"/>
      <c r="C28088" s="309"/>
      <c r="I28088" s="309"/>
      <c r="J28088" s="309"/>
    </row>
    <row r="28089">
      <c r="B28089" s="309"/>
      <c r="C28089" s="309"/>
      <c r="I28089" s="309"/>
      <c r="J28089" s="309"/>
    </row>
    <row r="28090">
      <c r="B28090" s="309"/>
      <c r="C28090" s="309"/>
      <c r="I28090" s="309"/>
      <c r="J28090" s="309"/>
    </row>
    <row r="28091">
      <c r="B28091" s="309"/>
      <c r="C28091" s="309"/>
      <c r="I28091" s="309"/>
      <c r="J28091" s="309"/>
    </row>
    <row r="28092">
      <c r="B28092" s="309"/>
      <c r="C28092" s="309"/>
      <c r="I28092" s="309"/>
      <c r="J28092" s="309"/>
    </row>
    <row r="28093">
      <c r="B28093" s="309"/>
      <c r="C28093" s="309"/>
      <c r="I28093" s="309"/>
      <c r="J28093" s="309"/>
    </row>
    <row r="28094">
      <c r="B28094" s="309"/>
      <c r="C28094" s="309"/>
      <c r="I28094" s="309"/>
      <c r="J28094" s="309"/>
    </row>
    <row r="28095">
      <c r="B28095" s="309"/>
      <c r="C28095" s="309"/>
      <c r="I28095" s="309"/>
      <c r="J28095" s="309"/>
    </row>
    <row r="28096">
      <c r="B28096" s="309"/>
      <c r="C28096" s="309"/>
      <c r="I28096" s="309"/>
      <c r="J28096" s="309"/>
    </row>
    <row r="28097">
      <c r="B28097" s="309"/>
      <c r="C28097" s="309"/>
      <c r="I28097" s="309"/>
      <c r="J28097" s="309"/>
    </row>
    <row r="28098">
      <c r="B28098" s="309"/>
      <c r="C28098" s="309"/>
      <c r="I28098" s="309"/>
      <c r="J28098" s="309"/>
    </row>
    <row r="28099">
      <c r="B28099" s="309"/>
      <c r="C28099" s="309"/>
      <c r="I28099" s="309"/>
      <c r="J28099" s="309"/>
    </row>
    <row r="28100">
      <c r="B28100" s="309"/>
      <c r="C28100" s="309"/>
      <c r="I28100" s="309"/>
      <c r="J28100" s="309"/>
    </row>
    <row r="28101">
      <c r="B28101" s="309"/>
      <c r="C28101" s="309"/>
      <c r="I28101" s="309"/>
      <c r="J28101" s="309"/>
    </row>
    <row r="28102">
      <c r="B28102" s="309"/>
      <c r="C28102" s="309"/>
      <c r="I28102" s="309"/>
      <c r="J28102" s="309"/>
    </row>
    <row r="28103">
      <c r="B28103" s="309"/>
      <c r="C28103" s="309"/>
      <c r="I28103" s="309"/>
      <c r="J28103" s="309"/>
    </row>
    <row r="28104">
      <c r="B28104" s="309"/>
      <c r="C28104" s="309"/>
      <c r="I28104" s="309"/>
      <c r="J28104" s="309"/>
    </row>
    <row r="28105">
      <c r="B28105" s="309"/>
      <c r="C28105" s="309"/>
      <c r="I28105" s="309"/>
      <c r="J28105" s="309"/>
    </row>
    <row r="28106">
      <c r="B28106" s="309"/>
      <c r="C28106" s="309"/>
      <c r="I28106" s="309"/>
      <c r="J28106" s="309"/>
    </row>
    <row r="28107">
      <c r="B28107" s="309"/>
      <c r="C28107" s="309"/>
      <c r="I28107" s="309"/>
      <c r="J28107" s="309"/>
    </row>
    <row r="28108">
      <c r="B28108" s="309"/>
      <c r="C28108" s="309"/>
      <c r="I28108" s="309"/>
      <c r="J28108" s="309"/>
    </row>
    <row r="28109">
      <c r="B28109" s="309"/>
      <c r="C28109" s="309"/>
      <c r="I28109" s="309"/>
      <c r="J28109" s="309"/>
    </row>
    <row r="28110">
      <c r="B28110" s="309"/>
      <c r="C28110" s="309"/>
      <c r="I28110" s="309"/>
      <c r="J28110" s="309"/>
    </row>
    <row r="28111">
      <c r="B28111" s="309"/>
      <c r="C28111" s="309"/>
      <c r="I28111" s="309"/>
      <c r="J28111" s="309"/>
    </row>
    <row r="28112">
      <c r="B28112" s="309"/>
      <c r="C28112" s="309"/>
      <c r="I28112" s="309"/>
      <c r="J28112" s="309"/>
    </row>
    <row r="28113">
      <c r="B28113" s="309"/>
      <c r="C28113" s="309"/>
      <c r="I28113" s="309"/>
      <c r="J28113" s="309"/>
    </row>
    <row r="28114">
      <c r="B28114" s="309"/>
      <c r="C28114" s="309"/>
      <c r="I28114" s="309"/>
      <c r="J28114" s="309"/>
    </row>
    <row r="28115">
      <c r="B28115" s="309"/>
      <c r="C28115" s="309"/>
      <c r="I28115" s="309"/>
      <c r="J28115" s="309"/>
    </row>
    <row r="28116">
      <c r="B28116" s="309"/>
      <c r="C28116" s="309"/>
      <c r="I28116" s="309"/>
      <c r="J28116" s="309"/>
    </row>
    <row r="28117">
      <c r="B28117" s="309"/>
      <c r="C28117" s="309"/>
      <c r="I28117" s="309"/>
      <c r="J28117" s="309"/>
    </row>
    <row r="28118">
      <c r="B28118" s="309"/>
      <c r="C28118" s="309"/>
      <c r="I28118" s="309"/>
      <c r="J28118" s="309"/>
    </row>
    <row r="28119">
      <c r="B28119" s="309"/>
      <c r="C28119" s="309"/>
      <c r="I28119" s="309"/>
      <c r="J28119" s="309"/>
    </row>
    <row r="28120">
      <c r="B28120" s="309"/>
      <c r="C28120" s="309"/>
      <c r="I28120" s="309"/>
      <c r="J28120" s="309"/>
    </row>
    <row r="28121">
      <c r="B28121" s="309"/>
      <c r="C28121" s="309"/>
      <c r="I28121" s="309"/>
      <c r="J28121" s="309"/>
    </row>
    <row r="28122">
      <c r="B28122" s="309"/>
      <c r="C28122" s="309"/>
      <c r="I28122" s="309"/>
      <c r="J28122" s="309"/>
    </row>
    <row r="28123">
      <c r="B28123" s="309"/>
      <c r="C28123" s="309"/>
      <c r="I28123" s="309"/>
      <c r="J28123" s="309"/>
    </row>
    <row r="28124">
      <c r="B28124" s="309"/>
      <c r="C28124" s="309"/>
      <c r="I28124" s="309"/>
      <c r="J28124" s="309"/>
    </row>
    <row r="28125">
      <c r="B28125" s="309"/>
      <c r="C28125" s="309"/>
      <c r="I28125" s="309"/>
      <c r="J28125" s="309"/>
    </row>
    <row r="28126">
      <c r="B28126" s="309"/>
      <c r="C28126" s="309"/>
      <c r="I28126" s="309"/>
      <c r="J28126" s="309"/>
    </row>
    <row r="28127">
      <c r="B28127" s="309"/>
      <c r="C28127" s="309"/>
      <c r="I28127" s="309"/>
      <c r="J28127" s="309"/>
    </row>
    <row r="28128">
      <c r="B28128" s="309"/>
      <c r="C28128" s="309"/>
      <c r="I28128" s="309"/>
      <c r="J28128" s="309"/>
    </row>
    <row r="28129">
      <c r="B28129" s="309"/>
      <c r="C28129" s="309"/>
      <c r="I28129" s="309"/>
      <c r="J28129" s="309"/>
    </row>
    <row r="28130">
      <c r="B28130" s="309"/>
      <c r="C28130" s="309"/>
      <c r="I28130" s="309"/>
      <c r="J28130" s="309"/>
    </row>
    <row r="28131">
      <c r="B28131" s="309"/>
      <c r="C28131" s="309"/>
      <c r="I28131" s="309"/>
      <c r="J28131" s="309"/>
    </row>
    <row r="28132">
      <c r="B28132" s="309"/>
      <c r="C28132" s="309"/>
      <c r="I28132" s="309"/>
      <c r="J28132" s="309"/>
    </row>
    <row r="28133">
      <c r="B28133" s="309"/>
      <c r="C28133" s="309"/>
      <c r="I28133" s="309"/>
      <c r="J28133" s="309"/>
    </row>
    <row r="28134">
      <c r="B28134" s="309"/>
      <c r="C28134" s="309"/>
      <c r="I28134" s="309"/>
      <c r="J28134" s="309"/>
    </row>
    <row r="28135">
      <c r="B28135" s="309"/>
      <c r="C28135" s="309"/>
      <c r="I28135" s="309"/>
      <c r="J28135" s="309"/>
    </row>
    <row r="28136">
      <c r="B28136" s="309"/>
      <c r="C28136" s="309"/>
      <c r="I28136" s="309"/>
      <c r="J28136" s="309"/>
    </row>
    <row r="28137">
      <c r="B28137" s="309"/>
      <c r="C28137" s="309"/>
      <c r="I28137" s="309"/>
      <c r="J28137" s="309"/>
    </row>
    <row r="28138">
      <c r="B28138" s="309"/>
      <c r="C28138" s="309"/>
      <c r="I28138" s="309"/>
      <c r="J28138" s="309"/>
    </row>
    <row r="28139">
      <c r="B28139" s="309"/>
      <c r="C28139" s="309"/>
      <c r="I28139" s="309"/>
      <c r="J28139" s="309"/>
    </row>
    <row r="28140">
      <c r="B28140" s="309"/>
      <c r="C28140" s="309"/>
      <c r="I28140" s="309"/>
      <c r="J28140" s="309"/>
    </row>
    <row r="28141">
      <c r="B28141" s="309"/>
      <c r="C28141" s="309"/>
      <c r="I28141" s="309"/>
      <c r="J28141" s="309"/>
    </row>
    <row r="28142">
      <c r="B28142" s="309"/>
      <c r="C28142" s="309"/>
      <c r="I28142" s="309"/>
      <c r="J28142" s="309"/>
    </row>
    <row r="28143">
      <c r="B28143" s="309"/>
      <c r="C28143" s="309"/>
      <c r="I28143" s="309"/>
      <c r="J28143" s="309"/>
    </row>
    <row r="28144">
      <c r="B28144" s="309"/>
      <c r="C28144" s="309"/>
      <c r="I28144" s="309"/>
      <c r="J28144" s="309"/>
    </row>
    <row r="28145">
      <c r="B28145" s="309"/>
      <c r="C28145" s="309"/>
      <c r="I28145" s="309"/>
      <c r="J28145" s="309"/>
    </row>
    <row r="28146">
      <c r="B28146" s="309"/>
      <c r="C28146" s="309"/>
      <c r="I28146" s="309"/>
      <c r="J28146" s="309"/>
    </row>
    <row r="28147">
      <c r="B28147" s="309"/>
      <c r="C28147" s="309"/>
      <c r="I28147" s="309"/>
      <c r="J28147" s="309"/>
    </row>
    <row r="28148">
      <c r="B28148" s="309"/>
      <c r="C28148" s="309"/>
      <c r="I28148" s="309"/>
      <c r="J28148" s="309"/>
    </row>
    <row r="28149">
      <c r="B28149" s="309"/>
      <c r="C28149" s="309"/>
      <c r="I28149" s="309"/>
      <c r="J28149" s="309"/>
    </row>
    <row r="28150">
      <c r="B28150" s="309"/>
      <c r="C28150" s="309"/>
      <c r="I28150" s="309"/>
      <c r="J28150" s="309"/>
    </row>
    <row r="28151">
      <c r="B28151" s="309"/>
      <c r="C28151" s="309"/>
      <c r="I28151" s="309"/>
      <c r="J28151" s="309"/>
    </row>
    <row r="28152">
      <c r="B28152" s="309"/>
      <c r="C28152" s="309"/>
      <c r="I28152" s="309"/>
      <c r="J28152" s="309"/>
    </row>
    <row r="28153">
      <c r="B28153" s="309"/>
      <c r="C28153" s="309"/>
      <c r="I28153" s="309"/>
      <c r="J28153" s="309"/>
    </row>
    <row r="28154">
      <c r="B28154" s="309"/>
      <c r="C28154" s="309"/>
      <c r="I28154" s="309"/>
      <c r="J28154" s="309"/>
    </row>
    <row r="28155">
      <c r="B28155" s="309"/>
      <c r="C28155" s="309"/>
      <c r="I28155" s="309"/>
      <c r="J28155" s="309"/>
    </row>
    <row r="28156">
      <c r="B28156" s="309"/>
      <c r="C28156" s="309"/>
      <c r="I28156" s="309"/>
      <c r="J28156" s="309"/>
    </row>
    <row r="28157">
      <c r="B28157" s="309"/>
      <c r="C28157" s="309"/>
      <c r="I28157" s="309"/>
      <c r="J28157" s="309"/>
    </row>
    <row r="28158">
      <c r="B28158" s="309"/>
      <c r="C28158" s="309"/>
      <c r="I28158" s="309"/>
      <c r="J28158" s="309"/>
    </row>
    <row r="28159">
      <c r="B28159" s="309"/>
      <c r="C28159" s="309"/>
      <c r="I28159" s="309"/>
      <c r="J28159" s="309"/>
    </row>
    <row r="28160">
      <c r="B28160" s="309"/>
      <c r="C28160" s="309"/>
      <c r="I28160" s="309"/>
      <c r="J28160" s="309"/>
    </row>
    <row r="28161">
      <c r="B28161" s="309"/>
      <c r="C28161" s="309"/>
      <c r="I28161" s="309"/>
      <c r="J28161" s="309"/>
    </row>
    <row r="28162">
      <c r="B28162" s="309"/>
      <c r="C28162" s="309"/>
      <c r="I28162" s="309"/>
      <c r="J28162" s="309"/>
    </row>
    <row r="28163">
      <c r="B28163" s="309"/>
      <c r="C28163" s="309"/>
      <c r="I28163" s="309"/>
      <c r="J28163" s="309"/>
    </row>
    <row r="28164">
      <c r="B28164" s="309"/>
      <c r="C28164" s="309"/>
      <c r="I28164" s="309"/>
      <c r="J28164" s="309"/>
    </row>
    <row r="28165">
      <c r="B28165" s="309"/>
      <c r="C28165" s="309"/>
      <c r="I28165" s="309"/>
      <c r="J28165" s="309"/>
    </row>
    <row r="28166">
      <c r="B28166" s="309"/>
      <c r="C28166" s="309"/>
      <c r="I28166" s="309"/>
      <c r="J28166" s="309"/>
    </row>
    <row r="28167">
      <c r="B28167" s="309"/>
      <c r="C28167" s="309"/>
      <c r="I28167" s="309"/>
      <c r="J28167" s="309"/>
    </row>
    <row r="28168">
      <c r="B28168" s="309"/>
      <c r="C28168" s="309"/>
      <c r="I28168" s="309"/>
      <c r="J28168" s="309"/>
    </row>
    <row r="28169">
      <c r="B28169" s="309"/>
      <c r="C28169" s="309"/>
      <c r="I28169" s="309"/>
      <c r="J28169" s="309"/>
    </row>
    <row r="28170">
      <c r="B28170" s="309"/>
      <c r="C28170" s="309"/>
      <c r="I28170" s="309"/>
      <c r="J28170" s="309"/>
    </row>
    <row r="28171">
      <c r="B28171" s="309"/>
      <c r="C28171" s="309"/>
      <c r="I28171" s="309"/>
      <c r="J28171" s="309"/>
    </row>
    <row r="28172">
      <c r="B28172" s="309"/>
      <c r="C28172" s="309"/>
      <c r="I28172" s="309"/>
      <c r="J28172" s="309"/>
    </row>
    <row r="28173">
      <c r="B28173" s="309"/>
      <c r="C28173" s="309"/>
      <c r="I28173" s="309"/>
      <c r="J28173" s="309"/>
    </row>
    <row r="28174">
      <c r="B28174" s="309"/>
      <c r="C28174" s="309"/>
      <c r="I28174" s="309"/>
      <c r="J28174" s="309"/>
    </row>
    <row r="28175">
      <c r="B28175" s="309"/>
      <c r="C28175" s="309"/>
      <c r="I28175" s="309"/>
      <c r="J28175" s="309"/>
    </row>
    <row r="28176">
      <c r="B28176" s="309"/>
      <c r="C28176" s="309"/>
      <c r="I28176" s="309"/>
      <c r="J28176" s="309"/>
    </row>
    <row r="28177">
      <c r="B28177" s="309"/>
      <c r="C28177" s="309"/>
      <c r="I28177" s="309"/>
      <c r="J28177" s="309"/>
    </row>
    <row r="28178">
      <c r="B28178" s="309"/>
      <c r="C28178" s="309"/>
      <c r="I28178" s="309"/>
      <c r="J28178" s="309"/>
    </row>
    <row r="28179">
      <c r="B28179" s="309"/>
      <c r="C28179" s="309"/>
      <c r="I28179" s="309"/>
      <c r="J28179" s="309"/>
    </row>
    <row r="28180">
      <c r="B28180" s="309"/>
      <c r="C28180" s="309"/>
      <c r="I28180" s="309"/>
      <c r="J28180" s="309"/>
    </row>
    <row r="28181">
      <c r="B28181" s="309"/>
      <c r="C28181" s="309"/>
      <c r="I28181" s="309"/>
      <c r="J28181" s="309"/>
    </row>
    <row r="28182">
      <c r="B28182" s="309"/>
      <c r="C28182" s="309"/>
      <c r="I28182" s="309"/>
      <c r="J28182" s="309"/>
    </row>
    <row r="28183">
      <c r="B28183" s="309"/>
      <c r="C28183" s="309"/>
      <c r="I28183" s="309"/>
      <c r="J28183" s="309"/>
    </row>
    <row r="28184">
      <c r="B28184" s="309"/>
      <c r="C28184" s="309"/>
      <c r="I28184" s="309"/>
      <c r="J28184" s="309"/>
    </row>
    <row r="28185">
      <c r="B28185" s="309"/>
      <c r="C28185" s="309"/>
      <c r="I28185" s="309"/>
      <c r="J28185" s="309"/>
    </row>
    <row r="28186">
      <c r="B28186" s="309"/>
      <c r="C28186" s="309"/>
      <c r="I28186" s="309"/>
      <c r="J28186" s="309"/>
    </row>
    <row r="28187">
      <c r="B28187" s="309"/>
      <c r="C28187" s="309"/>
      <c r="I28187" s="309"/>
      <c r="J28187" s="309"/>
    </row>
    <row r="28188">
      <c r="B28188" s="309"/>
      <c r="C28188" s="309"/>
      <c r="I28188" s="309"/>
      <c r="J28188" s="309"/>
    </row>
    <row r="28189">
      <c r="B28189" s="309"/>
      <c r="C28189" s="309"/>
      <c r="I28189" s="309"/>
      <c r="J28189" s="309"/>
    </row>
    <row r="28190">
      <c r="B28190" s="309"/>
      <c r="C28190" s="309"/>
      <c r="I28190" s="309"/>
      <c r="J28190" s="309"/>
    </row>
    <row r="28191">
      <c r="B28191" s="309"/>
      <c r="C28191" s="309"/>
      <c r="I28191" s="309"/>
      <c r="J28191" s="309"/>
    </row>
    <row r="28192">
      <c r="B28192" s="309"/>
      <c r="C28192" s="309"/>
      <c r="I28192" s="309"/>
      <c r="J28192" s="309"/>
    </row>
    <row r="28193">
      <c r="B28193" s="309"/>
      <c r="C28193" s="309"/>
      <c r="I28193" s="309"/>
      <c r="J28193" s="309"/>
    </row>
    <row r="28194">
      <c r="B28194" s="309"/>
      <c r="C28194" s="309"/>
      <c r="I28194" s="309"/>
      <c r="J28194" s="309"/>
    </row>
    <row r="28195">
      <c r="B28195" s="309"/>
      <c r="C28195" s="309"/>
      <c r="I28195" s="309"/>
      <c r="J28195" s="309"/>
    </row>
    <row r="28196">
      <c r="B28196" s="309"/>
      <c r="C28196" s="309"/>
      <c r="I28196" s="309"/>
      <c r="J28196" s="309"/>
    </row>
    <row r="28197">
      <c r="B28197" s="309"/>
      <c r="C28197" s="309"/>
      <c r="I28197" s="309"/>
      <c r="J28197" s="309"/>
    </row>
    <row r="28198">
      <c r="B28198" s="309"/>
      <c r="C28198" s="309"/>
      <c r="I28198" s="309"/>
      <c r="J28198" s="309"/>
    </row>
    <row r="28199">
      <c r="B28199" s="309"/>
      <c r="C28199" s="309"/>
      <c r="I28199" s="309"/>
      <c r="J28199" s="309"/>
    </row>
    <row r="28200">
      <c r="B28200" s="309"/>
      <c r="C28200" s="309"/>
      <c r="I28200" s="309"/>
      <c r="J28200" s="309"/>
    </row>
    <row r="28201">
      <c r="B28201" s="309"/>
      <c r="C28201" s="309"/>
      <c r="I28201" s="309"/>
      <c r="J28201" s="309"/>
    </row>
    <row r="28202">
      <c r="B28202" s="309"/>
      <c r="C28202" s="309"/>
      <c r="I28202" s="309"/>
      <c r="J28202" s="309"/>
    </row>
    <row r="28203">
      <c r="B28203" s="309"/>
      <c r="C28203" s="309"/>
      <c r="I28203" s="309"/>
      <c r="J28203" s="309"/>
    </row>
    <row r="28204">
      <c r="B28204" s="309"/>
      <c r="C28204" s="309"/>
      <c r="I28204" s="309"/>
      <c r="J28204" s="309"/>
    </row>
    <row r="28205">
      <c r="B28205" s="309"/>
      <c r="C28205" s="309"/>
      <c r="I28205" s="309"/>
      <c r="J28205" s="309"/>
    </row>
    <row r="28206">
      <c r="B28206" s="309"/>
      <c r="C28206" s="309"/>
      <c r="I28206" s="309"/>
      <c r="J28206" s="309"/>
    </row>
    <row r="28207">
      <c r="B28207" s="309"/>
      <c r="C28207" s="309"/>
      <c r="I28207" s="309"/>
      <c r="J28207" s="309"/>
    </row>
    <row r="28208">
      <c r="B28208" s="309"/>
      <c r="C28208" s="309"/>
      <c r="I28208" s="309"/>
      <c r="J28208" s="309"/>
    </row>
    <row r="28209">
      <c r="B28209" s="309"/>
      <c r="C28209" s="309"/>
      <c r="I28209" s="309"/>
      <c r="J28209" s="309"/>
    </row>
    <row r="28210">
      <c r="B28210" s="309"/>
      <c r="C28210" s="309"/>
      <c r="I28210" s="309"/>
      <c r="J28210" s="309"/>
    </row>
    <row r="28211">
      <c r="B28211" s="309"/>
      <c r="C28211" s="309"/>
      <c r="I28211" s="309"/>
      <c r="J28211" s="309"/>
    </row>
    <row r="28212">
      <c r="B28212" s="309"/>
      <c r="C28212" s="309"/>
      <c r="I28212" s="309"/>
      <c r="J28212" s="309"/>
    </row>
    <row r="28213">
      <c r="B28213" s="309"/>
      <c r="C28213" s="309"/>
      <c r="I28213" s="309"/>
      <c r="J28213" s="309"/>
    </row>
    <row r="28214">
      <c r="B28214" s="309"/>
      <c r="C28214" s="309"/>
      <c r="I28214" s="309"/>
      <c r="J28214" s="309"/>
    </row>
    <row r="28215">
      <c r="B28215" s="309"/>
      <c r="C28215" s="309"/>
      <c r="I28215" s="309"/>
      <c r="J28215" s="309"/>
    </row>
    <row r="28216">
      <c r="B28216" s="309"/>
      <c r="C28216" s="309"/>
      <c r="I28216" s="309"/>
      <c r="J28216" s="309"/>
    </row>
    <row r="28217">
      <c r="B28217" s="309"/>
      <c r="C28217" s="309"/>
      <c r="I28217" s="309"/>
      <c r="J28217" s="309"/>
    </row>
    <row r="28218">
      <c r="B28218" s="309"/>
      <c r="C28218" s="309"/>
      <c r="I28218" s="309"/>
      <c r="J28218" s="309"/>
    </row>
    <row r="28219">
      <c r="B28219" s="309"/>
      <c r="C28219" s="309"/>
      <c r="I28219" s="309"/>
      <c r="J28219" s="309"/>
    </row>
    <row r="28220">
      <c r="B28220" s="309"/>
      <c r="C28220" s="309"/>
      <c r="I28220" s="309"/>
      <c r="J28220" s="309"/>
    </row>
    <row r="28221">
      <c r="B28221" s="309"/>
      <c r="C28221" s="309"/>
      <c r="I28221" s="309"/>
      <c r="J28221" s="309"/>
    </row>
    <row r="28222">
      <c r="B28222" s="309"/>
      <c r="C28222" s="309"/>
      <c r="I28222" s="309"/>
      <c r="J28222" s="309"/>
    </row>
    <row r="28223">
      <c r="B28223" s="309"/>
      <c r="C28223" s="309"/>
      <c r="I28223" s="309"/>
      <c r="J28223" s="309"/>
    </row>
    <row r="28224">
      <c r="B28224" s="309"/>
      <c r="C28224" s="309"/>
      <c r="I28224" s="309"/>
      <c r="J28224" s="309"/>
    </row>
    <row r="28225">
      <c r="B28225" s="309"/>
      <c r="C28225" s="309"/>
      <c r="I28225" s="309"/>
      <c r="J28225" s="309"/>
    </row>
    <row r="28226">
      <c r="B28226" s="309"/>
      <c r="C28226" s="309"/>
      <c r="I28226" s="309"/>
      <c r="J28226" s="309"/>
    </row>
    <row r="28227">
      <c r="B28227" s="309"/>
      <c r="C28227" s="309"/>
      <c r="I28227" s="309"/>
      <c r="J28227" s="309"/>
    </row>
    <row r="28228">
      <c r="B28228" s="309"/>
      <c r="C28228" s="309"/>
      <c r="I28228" s="309"/>
      <c r="J28228" s="309"/>
    </row>
    <row r="28229">
      <c r="B28229" s="309"/>
      <c r="C28229" s="309"/>
      <c r="I28229" s="309"/>
      <c r="J28229" s="309"/>
    </row>
    <row r="28230">
      <c r="B28230" s="309"/>
      <c r="C28230" s="309"/>
      <c r="I28230" s="309"/>
      <c r="J28230" s="309"/>
    </row>
    <row r="28231">
      <c r="B28231" s="309"/>
      <c r="C28231" s="309"/>
      <c r="I28231" s="309"/>
      <c r="J28231" s="309"/>
    </row>
    <row r="28232">
      <c r="B28232" s="309"/>
      <c r="C28232" s="309"/>
      <c r="I28232" s="309"/>
      <c r="J28232" s="309"/>
    </row>
    <row r="28233">
      <c r="B28233" s="309"/>
      <c r="C28233" s="309"/>
      <c r="I28233" s="309"/>
      <c r="J28233" s="309"/>
    </row>
    <row r="28234">
      <c r="B28234" s="309"/>
      <c r="C28234" s="309"/>
      <c r="I28234" s="309"/>
      <c r="J28234" s="309"/>
    </row>
    <row r="28235">
      <c r="B28235" s="309"/>
      <c r="C28235" s="309"/>
      <c r="I28235" s="309"/>
      <c r="J28235" s="309"/>
    </row>
    <row r="28236">
      <c r="B28236" s="309"/>
      <c r="C28236" s="309"/>
      <c r="I28236" s="309"/>
      <c r="J28236" s="309"/>
    </row>
    <row r="28237">
      <c r="B28237" s="309"/>
      <c r="C28237" s="309"/>
      <c r="I28237" s="309"/>
      <c r="J28237" s="309"/>
    </row>
    <row r="28238">
      <c r="B28238" s="309"/>
      <c r="C28238" s="309"/>
      <c r="I28238" s="309"/>
      <c r="J28238" s="309"/>
    </row>
    <row r="28239">
      <c r="B28239" s="309"/>
      <c r="C28239" s="309"/>
      <c r="I28239" s="309"/>
      <c r="J28239" s="309"/>
    </row>
    <row r="28240">
      <c r="B28240" s="309"/>
      <c r="C28240" s="309"/>
      <c r="I28240" s="309"/>
      <c r="J28240" s="309"/>
    </row>
    <row r="28241">
      <c r="B28241" s="309"/>
      <c r="C28241" s="309"/>
      <c r="I28241" s="309"/>
      <c r="J28241" s="309"/>
    </row>
    <row r="28242">
      <c r="B28242" s="309"/>
      <c r="C28242" s="309"/>
      <c r="I28242" s="309"/>
      <c r="J28242" s="309"/>
    </row>
    <row r="28243">
      <c r="B28243" s="309"/>
      <c r="C28243" s="309"/>
      <c r="I28243" s="309"/>
      <c r="J28243" s="309"/>
    </row>
    <row r="28244">
      <c r="B28244" s="309"/>
      <c r="C28244" s="309"/>
      <c r="I28244" s="309"/>
      <c r="J28244" s="309"/>
    </row>
    <row r="28245">
      <c r="B28245" s="309"/>
      <c r="C28245" s="309"/>
      <c r="I28245" s="309"/>
      <c r="J28245" s="309"/>
    </row>
    <row r="28246">
      <c r="B28246" s="309"/>
      <c r="C28246" s="309"/>
      <c r="I28246" s="309"/>
      <c r="J28246" s="309"/>
    </row>
    <row r="28247">
      <c r="B28247" s="309"/>
      <c r="C28247" s="309"/>
      <c r="I28247" s="309"/>
      <c r="J28247" s="309"/>
    </row>
    <row r="28248">
      <c r="B28248" s="309"/>
      <c r="C28248" s="309"/>
      <c r="I28248" s="309"/>
      <c r="J28248" s="309"/>
    </row>
    <row r="28249">
      <c r="B28249" s="309"/>
      <c r="C28249" s="309"/>
      <c r="I28249" s="309"/>
      <c r="J28249" s="309"/>
    </row>
    <row r="28250">
      <c r="B28250" s="309"/>
      <c r="C28250" s="309"/>
      <c r="I28250" s="309"/>
      <c r="J28250" s="309"/>
    </row>
    <row r="28251">
      <c r="B28251" s="309"/>
      <c r="C28251" s="309"/>
      <c r="I28251" s="309"/>
      <c r="J28251" s="309"/>
    </row>
    <row r="28252">
      <c r="B28252" s="309"/>
      <c r="C28252" s="309"/>
      <c r="I28252" s="309"/>
      <c r="J28252" s="309"/>
    </row>
    <row r="28253">
      <c r="B28253" s="309"/>
      <c r="C28253" s="309"/>
      <c r="I28253" s="309"/>
      <c r="J28253" s="309"/>
    </row>
    <row r="28254">
      <c r="B28254" s="309"/>
      <c r="C28254" s="309"/>
      <c r="I28254" s="309"/>
      <c r="J28254" s="309"/>
    </row>
    <row r="28255">
      <c r="B28255" s="309"/>
      <c r="C28255" s="309"/>
      <c r="I28255" s="309"/>
      <c r="J28255" s="309"/>
    </row>
    <row r="28256">
      <c r="B28256" s="309"/>
      <c r="C28256" s="309"/>
      <c r="I28256" s="309"/>
      <c r="J28256" s="309"/>
    </row>
    <row r="28257">
      <c r="B28257" s="309"/>
      <c r="C28257" s="309"/>
      <c r="I28257" s="309"/>
      <c r="J28257" s="309"/>
    </row>
    <row r="28258">
      <c r="B28258" s="309"/>
      <c r="C28258" s="309"/>
      <c r="I28258" s="309"/>
      <c r="J28258" s="309"/>
    </row>
    <row r="28259">
      <c r="B28259" s="309"/>
      <c r="C28259" s="309"/>
      <c r="I28259" s="309"/>
      <c r="J28259" s="309"/>
    </row>
    <row r="28260">
      <c r="B28260" s="309"/>
      <c r="C28260" s="309"/>
      <c r="I28260" s="309"/>
      <c r="J28260" s="309"/>
    </row>
    <row r="28261">
      <c r="B28261" s="309"/>
      <c r="C28261" s="309"/>
      <c r="I28261" s="309"/>
      <c r="J28261" s="309"/>
    </row>
    <row r="28262">
      <c r="B28262" s="309"/>
      <c r="C28262" s="309"/>
      <c r="I28262" s="309"/>
      <c r="J28262" s="309"/>
    </row>
    <row r="28263">
      <c r="B28263" s="309"/>
      <c r="C28263" s="309"/>
      <c r="I28263" s="309"/>
      <c r="J28263" s="309"/>
    </row>
    <row r="28264">
      <c r="B28264" s="309"/>
      <c r="C28264" s="309"/>
      <c r="I28264" s="309"/>
      <c r="J28264" s="309"/>
    </row>
    <row r="28265">
      <c r="B28265" s="309"/>
      <c r="C28265" s="309"/>
      <c r="I28265" s="309"/>
      <c r="J28265" s="309"/>
    </row>
    <row r="28266">
      <c r="B28266" s="309"/>
      <c r="C28266" s="309"/>
      <c r="I28266" s="309"/>
      <c r="J28266" s="309"/>
    </row>
    <row r="28267">
      <c r="B28267" s="309"/>
      <c r="C28267" s="309"/>
      <c r="I28267" s="309"/>
      <c r="J28267" s="309"/>
    </row>
    <row r="28268">
      <c r="B28268" s="309"/>
      <c r="C28268" s="309"/>
      <c r="I28268" s="309"/>
      <c r="J28268" s="309"/>
    </row>
    <row r="28269">
      <c r="B28269" s="309"/>
      <c r="C28269" s="309"/>
      <c r="I28269" s="309"/>
      <c r="J28269" s="309"/>
    </row>
    <row r="28270">
      <c r="B28270" s="309"/>
      <c r="C28270" s="309"/>
      <c r="I28270" s="309"/>
      <c r="J28270" s="309"/>
    </row>
    <row r="28271">
      <c r="B28271" s="309"/>
      <c r="C28271" s="309"/>
      <c r="I28271" s="309"/>
      <c r="J28271" s="309"/>
    </row>
    <row r="28272">
      <c r="B28272" s="309"/>
      <c r="C28272" s="309"/>
      <c r="I28272" s="309"/>
      <c r="J28272" s="309"/>
    </row>
    <row r="28273">
      <c r="B28273" s="309"/>
      <c r="C28273" s="309"/>
      <c r="I28273" s="309"/>
      <c r="J28273" s="309"/>
    </row>
    <row r="28274">
      <c r="B28274" s="309"/>
      <c r="C28274" s="309"/>
      <c r="I28274" s="309"/>
      <c r="J28274" s="309"/>
    </row>
    <row r="28275">
      <c r="B28275" s="309"/>
      <c r="C28275" s="309"/>
      <c r="I28275" s="309"/>
      <c r="J28275" s="309"/>
    </row>
    <row r="28276">
      <c r="B28276" s="309"/>
      <c r="C28276" s="309"/>
      <c r="I28276" s="309"/>
      <c r="J28276" s="309"/>
    </row>
    <row r="28277">
      <c r="B28277" s="309"/>
      <c r="C28277" s="309"/>
      <c r="I28277" s="309"/>
      <c r="J28277" s="309"/>
    </row>
    <row r="28278">
      <c r="B28278" s="309"/>
      <c r="C28278" s="309"/>
      <c r="I28278" s="309"/>
      <c r="J28278" s="309"/>
    </row>
    <row r="28279">
      <c r="B28279" s="309"/>
      <c r="C28279" s="309"/>
      <c r="I28279" s="309"/>
      <c r="J28279" s="309"/>
    </row>
    <row r="28280">
      <c r="B28280" s="309"/>
      <c r="C28280" s="309"/>
      <c r="I28280" s="309"/>
      <c r="J28280" s="309"/>
    </row>
    <row r="28281">
      <c r="B28281" s="309"/>
      <c r="C28281" s="309"/>
      <c r="I28281" s="309"/>
      <c r="J28281" s="309"/>
    </row>
    <row r="28282">
      <c r="B28282" s="309"/>
      <c r="C28282" s="309"/>
      <c r="I28282" s="309"/>
      <c r="J28282" s="309"/>
    </row>
    <row r="28283">
      <c r="B28283" s="309"/>
      <c r="C28283" s="309"/>
      <c r="I28283" s="309"/>
      <c r="J28283" s="309"/>
    </row>
    <row r="28284">
      <c r="B28284" s="309"/>
      <c r="C28284" s="309"/>
      <c r="I28284" s="309"/>
      <c r="J28284" s="309"/>
    </row>
    <row r="28285">
      <c r="B28285" s="309"/>
      <c r="C28285" s="309"/>
      <c r="I28285" s="309"/>
      <c r="J28285" s="309"/>
    </row>
    <row r="28286">
      <c r="B28286" s="309"/>
      <c r="C28286" s="309"/>
      <c r="I28286" s="309"/>
      <c r="J28286" s="309"/>
    </row>
    <row r="28287">
      <c r="B28287" s="309"/>
      <c r="C28287" s="309"/>
      <c r="I28287" s="309"/>
      <c r="J28287" s="309"/>
    </row>
    <row r="28288">
      <c r="B28288" s="309"/>
      <c r="C28288" s="309"/>
      <c r="I28288" s="309"/>
      <c r="J28288" s="309"/>
    </row>
    <row r="28289">
      <c r="B28289" s="309"/>
      <c r="C28289" s="309"/>
      <c r="I28289" s="309"/>
      <c r="J28289" s="309"/>
    </row>
    <row r="28290">
      <c r="B28290" s="309"/>
      <c r="C28290" s="309"/>
      <c r="I28290" s="309"/>
      <c r="J28290" s="309"/>
    </row>
    <row r="28291">
      <c r="B28291" s="309"/>
      <c r="C28291" s="309"/>
      <c r="I28291" s="309"/>
      <c r="J28291" s="309"/>
    </row>
    <row r="28292">
      <c r="B28292" s="309"/>
      <c r="C28292" s="309"/>
      <c r="I28292" s="309"/>
      <c r="J28292" s="309"/>
    </row>
    <row r="28293">
      <c r="B28293" s="309"/>
      <c r="C28293" s="309"/>
      <c r="I28293" s="309"/>
      <c r="J28293" s="309"/>
    </row>
    <row r="28294">
      <c r="B28294" s="309"/>
      <c r="C28294" s="309"/>
      <c r="I28294" s="309"/>
      <c r="J28294" s="309"/>
    </row>
    <row r="28295">
      <c r="B28295" s="309"/>
      <c r="C28295" s="309"/>
      <c r="I28295" s="309"/>
      <c r="J28295" s="309"/>
    </row>
    <row r="28296">
      <c r="B28296" s="309"/>
      <c r="C28296" s="309"/>
      <c r="I28296" s="309"/>
      <c r="J28296" s="309"/>
    </row>
    <row r="28297">
      <c r="B28297" s="309"/>
      <c r="C28297" s="309"/>
      <c r="I28297" s="309"/>
      <c r="J28297" s="309"/>
    </row>
    <row r="28298">
      <c r="B28298" s="309"/>
      <c r="C28298" s="309"/>
      <c r="I28298" s="309"/>
      <c r="J28298" s="309"/>
    </row>
    <row r="28299">
      <c r="B28299" s="309"/>
      <c r="C28299" s="309"/>
      <c r="I28299" s="309"/>
      <c r="J28299" s="309"/>
    </row>
    <row r="28300">
      <c r="B28300" s="309"/>
      <c r="C28300" s="309"/>
      <c r="I28300" s="309"/>
      <c r="J28300" s="309"/>
    </row>
    <row r="28301">
      <c r="B28301" s="309"/>
      <c r="C28301" s="309"/>
      <c r="I28301" s="309"/>
      <c r="J28301" s="309"/>
    </row>
    <row r="28302">
      <c r="B28302" s="309"/>
      <c r="C28302" s="309"/>
      <c r="I28302" s="309"/>
      <c r="J28302" s="309"/>
    </row>
    <row r="28303">
      <c r="B28303" s="309"/>
      <c r="C28303" s="309"/>
      <c r="I28303" s="309"/>
      <c r="J28303" s="309"/>
    </row>
    <row r="28304">
      <c r="B28304" s="309"/>
      <c r="C28304" s="309"/>
      <c r="I28304" s="309"/>
      <c r="J28304" s="309"/>
    </row>
    <row r="28305">
      <c r="B28305" s="309"/>
      <c r="C28305" s="309"/>
      <c r="I28305" s="309"/>
      <c r="J28305" s="309"/>
    </row>
    <row r="28306">
      <c r="B28306" s="309"/>
      <c r="C28306" s="309"/>
      <c r="I28306" s="309"/>
      <c r="J28306" s="309"/>
    </row>
    <row r="28307">
      <c r="B28307" s="309"/>
      <c r="C28307" s="309"/>
      <c r="I28307" s="309"/>
      <c r="J28307" s="309"/>
    </row>
    <row r="28308">
      <c r="B28308" s="309"/>
      <c r="C28308" s="309"/>
      <c r="I28308" s="309"/>
      <c r="J28308" s="309"/>
    </row>
    <row r="28309">
      <c r="B28309" s="309"/>
      <c r="C28309" s="309"/>
      <c r="I28309" s="309"/>
      <c r="J28309" s="309"/>
    </row>
    <row r="28310">
      <c r="B28310" s="309"/>
      <c r="C28310" s="309"/>
      <c r="I28310" s="309"/>
      <c r="J28310" s="309"/>
    </row>
    <row r="28311">
      <c r="B28311" s="309"/>
      <c r="C28311" s="309"/>
      <c r="I28311" s="309"/>
      <c r="J28311" s="309"/>
    </row>
    <row r="28312">
      <c r="B28312" s="309"/>
      <c r="C28312" s="309"/>
      <c r="I28312" s="309"/>
      <c r="J28312" s="309"/>
    </row>
    <row r="28313">
      <c r="B28313" s="309"/>
      <c r="C28313" s="309"/>
      <c r="I28313" s="309"/>
      <c r="J28313" s="309"/>
    </row>
    <row r="28314">
      <c r="B28314" s="309"/>
      <c r="C28314" s="309"/>
      <c r="I28314" s="309"/>
      <c r="J28314" s="309"/>
    </row>
    <row r="28315">
      <c r="B28315" s="309"/>
      <c r="C28315" s="309"/>
      <c r="I28315" s="309"/>
      <c r="J28315" s="309"/>
    </row>
    <row r="28316">
      <c r="B28316" s="309"/>
      <c r="C28316" s="309"/>
      <c r="I28316" s="309"/>
      <c r="J28316" s="309"/>
    </row>
    <row r="28317">
      <c r="B28317" s="309"/>
      <c r="C28317" s="309"/>
      <c r="I28317" s="309"/>
      <c r="J28317" s="309"/>
    </row>
    <row r="28318">
      <c r="B28318" s="309"/>
      <c r="C28318" s="309"/>
      <c r="I28318" s="309"/>
      <c r="J28318" s="309"/>
    </row>
    <row r="28319">
      <c r="B28319" s="309"/>
      <c r="C28319" s="309"/>
      <c r="I28319" s="309"/>
      <c r="J28319" s="309"/>
    </row>
    <row r="28320">
      <c r="B28320" s="309"/>
      <c r="C28320" s="309"/>
      <c r="I28320" s="309"/>
      <c r="J28320" s="309"/>
    </row>
    <row r="28321">
      <c r="B28321" s="309"/>
      <c r="C28321" s="309"/>
      <c r="I28321" s="309"/>
      <c r="J28321" s="309"/>
    </row>
    <row r="28322">
      <c r="B28322" s="309"/>
      <c r="C28322" s="309"/>
      <c r="I28322" s="309"/>
      <c r="J28322" s="309"/>
    </row>
    <row r="28323">
      <c r="B28323" s="309"/>
      <c r="C28323" s="309"/>
      <c r="I28323" s="309"/>
      <c r="J28323" s="309"/>
    </row>
    <row r="28324">
      <c r="B28324" s="309"/>
      <c r="C28324" s="309"/>
      <c r="I28324" s="309"/>
      <c r="J28324" s="309"/>
    </row>
    <row r="28325">
      <c r="B28325" s="309"/>
      <c r="C28325" s="309"/>
      <c r="I28325" s="309"/>
      <c r="J28325" s="309"/>
    </row>
    <row r="28326">
      <c r="B28326" s="309"/>
      <c r="C28326" s="309"/>
      <c r="I28326" s="309"/>
      <c r="J28326" s="309"/>
    </row>
    <row r="28327">
      <c r="B28327" s="309"/>
      <c r="C28327" s="309"/>
      <c r="I28327" s="309"/>
      <c r="J28327" s="309"/>
    </row>
    <row r="28328">
      <c r="B28328" s="309"/>
      <c r="C28328" s="309"/>
      <c r="I28328" s="309"/>
      <c r="J28328" s="309"/>
    </row>
    <row r="28329">
      <c r="B28329" s="309"/>
      <c r="C28329" s="309"/>
      <c r="I28329" s="309"/>
      <c r="J28329" s="309"/>
    </row>
    <row r="28330">
      <c r="B28330" s="309"/>
      <c r="C28330" s="309"/>
      <c r="I28330" s="309"/>
      <c r="J28330" s="309"/>
    </row>
    <row r="28331">
      <c r="B28331" s="309"/>
      <c r="C28331" s="309"/>
      <c r="I28331" s="309"/>
      <c r="J28331" s="309"/>
    </row>
    <row r="28332">
      <c r="B28332" s="309"/>
      <c r="C28332" s="309"/>
      <c r="I28332" s="309"/>
      <c r="J28332" s="309"/>
    </row>
    <row r="28333">
      <c r="B28333" s="309"/>
      <c r="C28333" s="309"/>
      <c r="I28333" s="309"/>
      <c r="J28333" s="309"/>
    </row>
    <row r="28334">
      <c r="B28334" s="309"/>
      <c r="C28334" s="309"/>
      <c r="I28334" s="309"/>
      <c r="J28334" s="309"/>
    </row>
    <row r="28335">
      <c r="B28335" s="309"/>
      <c r="C28335" s="309"/>
      <c r="I28335" s="309"/>
      <c r="J28335" s="309"/>
    </row>
    <row r="28336">
      <c r="B28336" s="309"/>
      <c r="C28336" s="309"/>
      <c r="I28336" s="309"/>
      <c r="J28336" s="309"/>
    </row>
    <row r="28337">
      <c r="B28337" s="309"/>
      <c r="C28337" s="309"/>
      <c r="I28337" s="309"/>
      <c r="J28337" s="309"/>
    </row>
    <row r="28338">
      <c r="B28338" s="309"/>
      <c r="C28338" s="309"/>
      <c r="I28338" s="309"/>
      <c r="J28338" s="309"/>
    </row>
    <row r="28339">
      <c r="B28339" s="309"/>
      <c r="C28339" s="309"/>
      <c r="I28339" s="309"/>
      <c r="J28339" s="309"/>
    </row>
    <row r="28340">
      <c r="B28340" s="309"/>
      <c r="C28340" s="309"/>
      <c r="I28340" s="309"/>
      <c r="J28340" s="309"/>
    </row>
    <row r="28341">
      <c r="B28341" s="309"/>
      <c r="C28341" s="309"/>
      <c r="I28341" s="309"/>
      <c r="J28341" s="309"/>
    </row>
    <row r="28342">
      <c r="B28342" s="309"/>
      <c r="C28342" s="309"/>
      <c r="I28342" s="309"/>
      <c r="J28342" s="309"/>
    </row>
    <row r="28343">
      <c r="B28343" s="309"/>
      <c r="C28343" s="309"/>
      <c r="I28343" s="309"/>
      <c r="J28343" s="309"/>
    </row>
    <row r="28344">
      <c r="B28344" s="309"/>
      <c r="C28344" s="309"/>
      <c r="I28344" s="309"/>
      <c r="J28344" s="309"/>
    </row>
    <row r="28345">
      <c r="B28345" s="309"/>
      <c r="C28345" s="309"/>
      <c r="I28345" s="309"/>
      <c r="J28345" s="309"/>
    </row>
    <row r="28346">
      <c r="B28346" s="309"/>
      <c r="C28346" s="309"/>
      <c r="I28346" s="309"/>
      <c r="J28346" s="309"/>
    </row>
    <row r="28347">
      <c r="B28347" s="309"/>
      <c r="C28347" s="309"/>
      <c r="I28347" s="309"/>
      <c r="J28347" s="309"/>
    </row>
    <row r="28348">
      <c r="B28348" s="309"/>
      <c r="C28348" s="309"/>
      <c r="I28348" s="309"/>
      <c r="J28348" s="309"/>
    </row>
    <row r="28349">
      <c r="B28349" s="309"/>
      <c r="C28349" s="309"/>
      <c r="I28349" s="309"/>
      <c r="J28349" s="309"/>
    </row>
    <row r="28350">
      <c r="B28350" s="309"/>
      <c r="C28350" s="309"/>
      <c r="I28350" s="309"/>
      <c r="J28350" s="309"/>
    </row>
    <row r="28351">
      <c r="B28351" s="309"/>
      <c r="C28351" s="309"/>
      <c r="I28351" s="309"/>
      <c r="J28351" s="309"/>
    </row>
    <row r="28352">
      <c r="B28352" s="309"/>
      <c r="C28352" s="309"/>
      <c r="I28352" s="309"/>
      <c r="J28352" s="309"/>
    </row>
    <row r="28353">
      <c r="B28353" s="309"/>
      <c r="C28353" s="309"/>
      <c r="I28353" s="309"/>
      <c r="J28353" s="309"/>
    </row>
    <row r="28354">
      <c r="B28354" s="309"/>
      <c r="C28354" s="309"/>
      <c r="I28354" s="309"/>
      <c r="J28354" s="309"/>
    </row>
    <row r="28355">
      <c r="B28355" s="309"/>
      <c r="C28355" s="309"/>
      <c r="I28355" s="309"/>
      <c r="J28355" s="309"/>
    </row>
    <row r="28356">
      <c r="B28356" s="309"/>
      <c r="C28356" s="309"/>
      <c r="I28356" s="309"/>
      <c r="J28356" s="309"/>
    </row>
    <row r="28357">
      <c r="B28357" s="309"/>
      <c r="C28357" s="309"/>
      <c r="I28357" s="309"/>
      <c r="J28357" s="309"/>
    </row>
    <row r="28358">
      <c r="B28358" s="309"/>
      <c r="C28358" s="309"/>
      <c r="I28358" s="309"/>
      <c r="J28358" s="309"/>
    </row>
    <row r="28359">
      <c r="B28359" s="309"/>
      <c r="C28359" s="309"/>
      <c r="I28359" s="309"/>
      <c r="J28359" s="309"/>
    </row>
    <row r="28360">
      <c r="B28360" s="309"/>
      <c r="C28360" s="309"/>
      <c r="I28360" s="309"/>
      <c r="J28360" s="309"/>
    </row>
    <row r="28361">
      <c r="B28361" s="309"/>
      <c r="C28361" s="309"/>
      <c r="I28361" s="309"/>
      <c r="J28361" s="309"/>
    </row>
    <row r="28362">
      <c r="B28362" s="309"/>
      <c r="C28362" s="309"/>
      <c r="I28362" s="309"/>
      <c r="J28362" s="309"/>
    </row>
    <row r="28363">
      <c r="B28363" s="309"/>
      <c r="C28363" s="309"/>
      <c r="I28363" s="309"/>
      <c r="J28363" s="309"/>
    </row>
    <row r="28364">
      <c r="B28364" s="309"/>
      <c r="C28364" s="309"/>
      <c r="I28364" s="309"/>
      <c r="J28364" s="309"/>
    </row>
    <row r="28365">
      <c r="B28365" s="309"/>
      <c r="C28365" s="309"/>
      <c r="I28365" s="309"/>
      <c r="J28365" s="309"/>
    </row>
    <row r="28366">
      <c r="B28366" s="309"/>
      <c r="C28366" s="309"/>
      <c r="I28366" s="309"/>
      <c r="J28366" s="309"/>
    </row>
    <row r="28367">
      <c r="B28367" s="309"/>
      <c r="C28367" s="309"/>
      <c r="I28367" s="309"/>
      <c r="J28367" s="309"/>
    </row>
    <row r="28368">
      <c r="B28368" s="309"/>
      <c r="C28368" s="309"/>
      <c r="I28368" s="309"/>
      <c r="J28368" s="309"/>
    </row>
    <row r="28369">
      <c r="B28369" s="309"/>
      <c r="C28369" s="309"/>
      <c r="I28369" s="309"/>
      <c r="J28369" s="309"/>
    </row>
    <row r="28370">
      <c r="B28370" s="309"/>
      <c r="C28370" s="309"/>
      <c r="I28370" s="309"/>
      <c r="J28370" s="309"/>
    </row>
    <row r="28371">
      <c r="B28371" s="309"/>
      <c r="C28371" s="309"/>
      <c r="I28371" s="309"/>
      <c r="J28371" s="309"/>
    </row>
    <row r="28372">
      <c r="B28372" s="309"/>
      <c r="C28372" s="309"/>
      <c r="I28372" s="309"/>
      <c r="J28372" s="309"/>
    </row>
    <row r="28373">
      <c r="B28373" s="309"/>
      <c r="C28373" s="309"/>
      <c r="I28373" s="309"/>
      <c r="J28373" s="309"/>
    </row>
    <row r="28374">
      <c r="B28374" s="309"/>
      <c r="C28374" s="309"/>
      <c r="I28374" s="309"/>
      <c r="J28374" s="309"/>
    </row>
    <row r="28375">
      <c r="B28375" s="309"/>
      <c r="C28375" s="309"/>
      <c r="I28375" s="309"/>
      <c r="J28375" s="309"/>
    </row>
    <row r="28376">
      <c r="B28376" s="309"/>
      <c r="C28376" s="309"/>
      <c r="I28376" s="309"/>
      <c r="J28376" s="309"/>
    </row>
    <row r="28377">
      <c r="B28377" s="309"/>
      <c r="C28377" s="309"/>
      <c r="I28377" s="309"/>
      <c r="J28377" s="309"/>
    </row>
    <row r="28378">
      <c r="B28378" s="309"/>
      <c r="C28378" s="309"/>
      <c r="I28378" s="309"/>
      <c r="J28378" s="309"/>
    </row>
    <row r="28379">
      <c r="B28379" s="309"/>
      <c r="C28379" s="309"/>
      <c r="I28379" s="309"/>
      <c r="J28379" s="309"/>
    </row>
    <row r="28380">
      <c r="B28380" s="309"/>
      <c r="C28380" s="309"/>
      <c r="I28380" s="309"/>
      <c r="J28380" s="309"/>
    </row>
    <row r="28381">
      <c r="B28381" s="309"/>
      <c r="C28381" s="309"/>
      <c r="I28381" s="309"/>
      <c r="J28381" s="309"/>
    </row>
    <row r="28382">
      <c r="B28382" s="309"/>
      <c r="C28382" s="309"/>
      <c r="I28382" s="309"/>
      <c r="J28382" s="309"/>
    </row>
    <row r="28383">
      <c r="B28383" s="309"/>
      <c r="C28383" s="309"/>
      <c r="I28383" s="309"/>
      <c r="J28383" s="309"/>
    </row>
    <row r="28384">
      <c r="B28384" s="309"/>
      <c r="C28384" s="309"/>
      <c r="I28384" s="309"/>
      <c r="J28384" s="309"/>
    </row>
    <row r="28385">
      <c r="B28385" s="309"/>
      <c r="C28385" s="309"/>
      <c r="I28385" s="309"/>
      <c r="J28385" s="309"/>
    </row>
    <row r="28386">
      <c r="B28386" s="309"/>
      <c r="C28386" s="309"/>
      <c r="I28386" s="309"/>
      <c r="J28386" s="309"/>
    </row>
    <row r="28387">
      <c r="B28387" s="309"/>
      <c r="C28387" s="309"/>
      <c r="I28387" s="309"/>
      <c r="J28387" s="309"/>
    </row>
    <row r="28388">
      <c r="B28388" s="309"/>
      <c r="C28388" s="309"/>
      <c r="I28388" s="309"/>
      <c r="J28388" s="309"/>
    </row>
    <row r="28389">
      <c r="B28389" s="309"/>
      <c r="C28389" s="309"/>
      <c r="I28389" s="309"/>
      <c r="J28389" s="309"/>
    </row>
    <row r="28390">
      <c r="B28390" s="309"/>
      <c r="C28390" s="309"/>
      <c r="I28390" s="309"/>
      <c r="J28390" s="309"/>
    </row>
    <row r="28391">
      <c r="B28391" s="309"/>
      <c r="C28391" s="309"/>
      <c r="I28391" s="309"/>
      <c r="J28391" s="309"/>
    </row>
    <row r="28392">
      <c r="B28392" s="309"/>
      <c r="C28392" s="309"/>
      <c r="I28392" s="309"/>
      <c r="J28392" s="309"/>
    </row>
    <row r="28393">
      <c r="B28393" s="309"/>
      <c r="C28393" s="309"/>
      <c r="I28393" s="309"/>
      <c r="J28393" s="309"/>
    </row>
    <row r="28394">
      <c r="B28394" s="309"/>
      <c r="C28394" s="309"/>
      <c r="I28394" s="309"/>
      <c r="J28394" s="309"/>
    </row>
    <row r="28395">
      <c r="B28395" s="309"/>
      <c r="C28395" s="309"/>
      <c r="I28395" s="309"/>
      <c r="J28395" s="309"/>
    </row>
    <row r="28396">
      <c r="B28396" s="309"/>
      <c r="C28396" s="309"/>
      <c r="I28396" s="309"/>
      <c r="J28396" s="309"/>
    </row>
    <row r="28397">
      <c r="B28397" s="309"/>
      <c r="C28397" s="309"/>
      <c r="I28397" s="309"/>
      <c r="J28397" s="309"/>
    </row>
    <row r="28398">
      <c r="B28398" s="309"/>
      <c r="C28398" s="309"/>
      <c r="I28398" s="309"/>
      <c r="J28398" s="309"/>
    </row>
    <row r="28399">
      <c r="B28399" s="309"/>
      <c r="C28399" s="309"/>
      <c r="I28399" s="309"/>
      <c r="J28399" s="309"/>
    </row>
    <row r="28400">
      <c r="B28400" s="309"/>
      <c r="C28400" s="309"/>
      <c r="I28400" s="309"/>
      <c r="J28400" s="309"/>
    </row>
    <row r="28401">
      <c r="B28401" s="309"/>
      <c r="C28401" s="309"/>
      <c r="I28401" s="309"/>
      <c r="J28401" s="309"/>
    </row>
    <row r="28402">
      <c r="B28402" s="309"/>
      <c r="C28402" s="309"/>
      <c r="I28402" s="309"/>
      <c r="J28402" s="309"/>
    </row>
    <row r="28403">
      <c r="B28403" s="309"/>
      <c r="C28403" s="309"/>
      <c r="I28403" s="309"/>
      <c r="J28403" s="309"/>
    </row>
    <row r="28404">
      <c r="B28404" s="309"/>
      <c r="C28404" s="309"/>
      <c r="I28404" s="309"/>
      <c r="J28404" s="309"/>
    </row>
    <row r="28405">
      <c r="B28405" s="309"/>
      <c r="C28405" s="309"/>
      <c r="I28405" s="309"/>
      <c r="J28405" s="309"/>
    </row>
    <row r="28406">
      <c r="B28406" s="309"/>
      <c r="C28406" s="309"/>
      <c r="I28406" s="309"/>
      <c r="J28406" s="309"/>
    </row>
    <row r="28407">
      <c r="B28407" s="309"/>
      <c r="C28407" s="309"/>
      <c r="I28407" s="309"/>
      <c r="J28407" s="309"/>
    </row>
    <row r="28408">
      <c r="B28408" s="309"/>
      <c r="C28408" s="309"/>
      <c r="I28408" s="309"/>
      <c r="J28408" s="309"/>
    </row>
    <row r="28409">
      <c r="B28409" s="309"/>
      <c r="C28409" s="309"/>
      <c r="I28409" s="309"/>
      <c r="J28409" s="309"/>
    </row>
    <row r="28410">
      <c r="B28410" s="309"/>
      <c r="C28410" s="309"/>
      <c r="I28410" s="309"/>
      <c r="J28410" s="309"/>
    </row>
    <row r="28411">
      <c r="B28411" s="309"/>
      <c r="C28411" s="309"/>
      <c r="I28411" s="309"/>
      <c r="J28411" s="309"/>
    </row>
    <row r="28412">
      <c r="B28412" s="309"/>
      <c r="C28412" s="309"/>
      <c r="I28412" s="309"/>
      <c r="J28412" s="309"/>
    </row>
    <row r="28413">
      <c r="B28413" s="309"/>
      <c r="C28413" s="309"/>
      <c r="I28413" s="309"/>
      <c r="J28413" s="309"/>
    </row>
    <row r="28414">
      <c r="B28414" s="309"/>
      <c r="C28414" s="309"/>
      <c r="I28414" s="309"/>
      <c r="J28414" s="309"/>
    </row>
    <row r="28415">
      <c r="B28415" s="309"/>
      <c r="C28415" s="309"/>
      <c r="I28415" s="309"/>
      <c r="J28415" s="309"/>
    </row>
    <row r="28416">
      <c r="B28416" s="309"/>
      <c r="C28416" s="309"/>
      <c r="I28416" s="309"/>
      <c r="J28416" s="309"/>
    </row>
    <row r="28417">
      <c r="B28417" s="309"/>
      <c r="C28417" s="309"/>
      <c r="I28417" s="309"/>
      <c r="J28417" s="309"/>
    </row>
    <row r="28418">
      <c r="B28418" s="309"/>
      <c r="C28418" s="309"/>
      <c r="I28418" s="309"/>
      <c r="J28418" s="309"/>
    </row>
    <row r="28419">
      <c r="B28419" s="309"/>
      <c r="C28419" s="309"/>
      <c r="I28419" s="309"/>
      <c r="J28419" s="309"/>
    </row>
    <row r="28420">
      <c r="B28420" s="309"/>
      <c r="C28420" s="309"/>
      <c r="I28420" s="309"/>
      <c r="J28420" s="309"/>
    </row>
    <row r="28421">
      <c r="B28421" s="309"/>
      <c r="C28421" s="309"/>
      <c r="I28421" s="309"/>
      <c r="J28421" s="309"/>
    </row>
    <row r="28422">
      <c r="B28422" s="309"/>
      <c r="C28422" s="309"/>
      <c r="I28422" s="309"/>
      <c r="J28422" s="309"/>
    </row>
    <row r="28423">
      <c r="B28423" s="309"/>
      <c r="C28423" s="309"/>
      <c r="I28423" s="309"/>
      <c r="J28423" s="309"/>
    </row>
    <row r="28424">
      <c r="B28424" s="309"/>
      <c r="C28424" s="309"/>
      <c r="I28424" s="309"/>
      <c r="J28424" s="309"/>
    </row>
    <row r="28425">
      <c r="B28425" s="309"/>
      <c r="C28425" s="309"/>
      <c r="I28425" s="309"/>
      <c r="J28425" s="309"/>
    </row>
    <row r="28426">
      <c r="B28426" s="309"/>
      <c r="C28426" s="309"/>
      <c r="I28426" s="309"/>
      <c r="J28426" s="309"/>
    </row>
    <row r="28427">
      <c r="B28427" s="309"/>
      <c r="C28427" s="309"/>
      <c r="I28427" s="309"/>
      <c r="J28427" s="309"/>
    </row>
    <row r="28428">
      <c r="B28428" s="309"/>
      <c r="C28428" s="309"/>
      <c r="I28428" s="309"/>
      <c r="J28428" s="309"/>
    </row>
    <row r="28429">
      <c r="B28429" s="309"/>
      <c r="C28429" s="309"/>
      <c r="I28429" s="309"/>
      <c r="J28429" s="309"/>
    </row>
    <row r="28430">
      <c r="B28430" s="309"/>
      <c r="C28430" s="309"/>
      <c r="I28430" s="309"/>
      <c r="J28430" s="309"/>
    </row>
    <row r="28431">
      <c r="B28431" s="309"/>
      <c r="C28431" s="309"/>
      <c r="I28431" s="309"/>
      <c r="J28431" s="309"/>
    </row>
    <row r="28432">
      <c r="B28432" s="309"/>
      <c r="C28432" s="309"/>
      <c r="I28432" s="309"/>
      <c r="J28432" s="309"/>
    </row>
    <row r="28433">
      <c r="B28433" s="309"/>
      <c r="C28433" s="309"/>
      <c r="I28433" s="309"/>
      <c r="J28433" s="309"/>
    </row>
    <row r="28434">
      <c r="B28434" s="309"/>
      <c r="C28434" s="309"/>
      <c r="I28434" s="309"/>
      <c r="J28434" s="309"/>
    </row>
    <row r="28435">
      <c r="B28435" s="309"/>
      <c r="C28435" s="309"/>
      <c r="I28435" s="309"/>
      <c r="J28435" s="309"/>
    </row>
    <row r="28436">
      <c r="B28436" s="309"/>
      <c r="C28436" s="309"/>
      <c r="I28436" s="309"/>
      <c r="J28436" s="309"/>
    </row>
    <row r="28437">
      <c r="B28437" s="309"/>
      <c r="C28437" s="309"/>
      <c r="I28437" s="309"/>
      <c r="J28437" s="309"/>
    </row>
    <row r="28438">
      <c r="B28438" s="309"/>
      <c r="C28438" s="309"/>
      <c r="I28438" s="309"/>
      <c r="J28438" s="309"/>
    </row>
    <row r="28439">
      <c r="B28439" s="309"/>
      <c r="C28439" s="309"/>
      <c r="I28439" s="309"/>
      <c r="J28439" s="309"/>
    </row>
    <row r="28440">
      <c r="B28440" s="309"/>
      <c r="C28440" s="309"/>
      <c r="I28440" s="309"/>
      <c r="J28440" s="309"/>
    </row>
    <row r="28441">
      <c r="B28441" s="309"/>
      <c r="C28441" s="309"/>
      <c r="I28441" s="309"/>
      <c r="J28441" s="309"/>
    </row>
    <row r="28442">
      <c r="B28442" s="309"/>
      <c r="C28442" s="309"/>
      <c r="I28442" s="309"/>
      <c r="J28442" s="309"/>
    </row>
    <row r="28443">
      <c r="B28443" s="309"/>
      <c r="C28443" s="309"/>
      <c r="I28443" s="309"/>
      <c r="J28443" s="309"/>
    </row>
    <row r="28444">
      <c r="B28444" s="309"/>
      <c r="C28444" s="309"/>
      <c r="I28444" s="309"/>
      <c r="J28444" s="309"/>
    </row>
    <row r="28445">
      <c r="B28445" s="309"/>
      <c r="C28445" s="309"/>
      <c r="I28445" s="309"/>
      <c r="J28445" s="309"/>
    </row>
    <row r="28446">
      <c r="B28446" s="309"/>
      <c r="C28446" s="309"/>
      <c r="I28446" s="309"/>
      <c r="J28446" s="309"/>
    </row>
    <row r="28447">
      <c r="B28447" s="309"/>
      <c r="C28447" s="309"/>
      <c r="I28447" s="309"/>
      <c r="J28447" s="309"/>
    </row>
    <row r="28448">
      <c r="B28448" s="309"/>
      <c r="C28448" s="309"/>
      <c r="I28448" s="309"/>
      <c r="J28448" s="309"/>
    </row>
    <row r="28449">
      <c r="B28449" s="309"/>
      <c r="C28449" s="309"/>
      <c r="I28449" s="309"/>
      <c r="J28449" s="309"/>
    </row>
    <row r="28450">
      <c r="B28450" s="309"/>
      <c r="C28450" s="309"/>
      <c r="I28450" s="309"/>
      <c r="J28450" s="309"/>
    </row>
    <row r="28451">
      <c r="B28451" s="309"/>
      <c r="C28451" s="309"/>
      <c r="I28451" s="309"/>
      <c r="J28451" s="309"/>
    </row>
    <row r="28452">
      <c r="B28452" s="309"/>
      <c r="C28452" s="309"/>
      <c r="I28452" s="309"/>
      <c r="J28452" s="309"/>
    </row>
    <row r="28453">
      <c r="B28453" s="309"/>
      <c r="C28453" s="309"/>
      <c r="I28453" s="309"/>
      <c r="J28453" s="309"/>
    </row>
    <row r="28454">
      <c r="B28454" s="309"/>
      <c r="C28454" s="309"/>
      <c r="I28454" s="309"/>
      <c r="J28454" s="309"/>
    </row>
    <row r="28455">
      <c r="B28455" s="309"/>
      <c r="C28455" s="309"/>
      <c r="I28455" s="309"/>
      <c r="J28455" s="309"/>
    </row>
    <row r="28456">
      <c r="B28456" s="309"/>
      <c r="C28456" s="309"/>
      <c r="I28456" s="309"/>
      <c r="J28456" s="309"/>
    </row>
    <row r="28457">
      <c r="B28457" s="309"/>
      <c r="C28457" s="309"/>
      <c r="I28457" s="309"/>
      <c r="J28457" s="309"/>
    </row>
    <row r="28458">
      <c r="B28458" s="309"/>
      <c r="C28458" s="309"/>
      <c r="I28458" s="309"/>
      <c r="J28458" s="309"/>
    </row>
    <row r="28459">
      <c r="B28459" s="309"/>
      <c r="C28459" s="309"/>
      <c r="I28459" s="309"/>
      <c r="J28459" s="309"/>
    </row>
    <row r="28460">
      <c r="B28460" s="309"/>
      <c r="C28460" s="309"/>
      <c r="I28460" s="309"/>
      <c r="J28460" s="309"/>
    </row>
    <row r="28461">
      <c r="B28461" s="309"/>
      <c r="C28461" s="309"/>
      <c r="I28461" s="309"/>
      <c r="J28461" s="309"/>
    </row>
    <row r="28462">
      <c r="B28462" s="309"/>
      <c r="C28462" s="309"/>
      <c r="I28462" s="309"/>
      <c r="J28462" s="309"/>
    </row>
    <row r="28463">
      <c r="B28463" s="309"/>
      <c r="C28463" s="309"/>
      <c r="I28463" s="309"/>
      <c r="J28463" s="309"/>
    </row>
    <row r="28464">
      <c r="B28464" s="309"/>
      <c r="C28464" s="309"/>
      <c r="I28464" s="309"/>
      <c r="J28464" s="309"/>
    </row>
    <row r="28465">
      <c r="B28465" s="309"/>
      <c r="C28465" s="309"/>
      <c r="I28465" s="309"/>
      <c r="J28465" s="309"/>
    </row>
    <row r="28466">
      <c r="B28466" s="309"/>
      <c r="C28466" s="309"/>
      <c r="I28466" s="309"/>
      <c r="J28466" s="309"/>
    </row>
    <row r="28467">
      <c r="B28467" s="309"/>
      <c r="C28467" s="309"/>
      <c r="I28467" s="309"/>
      <c r="J28467" s="309"/>
    </row>
    <row r="28468">
      <c r="B28468" s="309"/>
      <c r="C28468" s="309"/>
      <c r="I28468" s="309"/>
      <c r="J28468" s="309"/>
    </row>
    <row r="28469">
      <c r="B28469" s="309"/>
      <c r="C28469" s="309"/>
      <c r="I28469" s="309"/>
      <c r="J28469" s="309"/>
    </row>
    <row r="28470">
      <c r="B28470" s="309"/>
      <c r="C28470" s="309"/>
      <c r="I28470" s="309"/>
      <c r="J28470" s="309"/>
    </row>
    <row r="28471">
      <c r="B28471" s="309"/>
      <c r="C28471" s="309"/>
      <c r="I28471" s="309"/>
      <c r="J28471" s="309"/>
    </row>
    <row r="28472">
      <c r="B28472" s="309"/>
      <c r="C28472" s="309"/>
      <c r="I28472" s="309"/>
      <c r="J28472" s="309"/>
    </row>
    <row r="28473">
      <c r="B28473" s="309"/>
      <c r="C28473" s="309"/>
      <c r="I28473" s="309"/>
      <c r="J28473" s="309"/>
    </row>
    <row r="28474">
      <c r="B28474" s="309"/>
      <c r="C28474" s="309"/>
      <c r="I28474" s="309"/>
      <c r="J28474" s="309"/>
    </row>
    <row r="28475">
      <c r="B28475" s="309"/>
      <c r="C28475" s="309"/>
      <c r="I28475" s="309"/>
      <c r="J28475" s="309"/>
    </row>
    <row r="28476">
      <c r="B28476" s="309"/>
      <c r="C28476" s="309"/>
      <c r="I28476" s="309"/>
      <c r="J28476" s="309"/>
    </row>
    <row r="28477">
      <c r="B28477" s="309"/>
      <c r="C28477" s="309"/>
      <c r="I28477" s="309"/>
      <c r="J28477" s="309"/>
    </row>
    <row r="28478">
      <c r="B28478" s="309"/>
      <c r="C28478" s="309"/>
      <c r="I28478" s="309"/>
      <c r="J28478" s="309"/>
    </row>
    <row r="28479">
      <c r="B28479" s="309"/>
      <c r="C28479" s="309"/>
      <c r="I28479" s="309"/>
      <c r="J28479" s="309"/>
    </row>
    <row r="28480">
      <c r="B28480" s="309"/>
      <c r="C28480" s="309"/>
      <c r="I28480" s="309"/>
      <c r="J28480" s="309"/>
    </row>
    <row r="28481">
      <c r="B28481" s="309"/>
      <c r="C28481" s="309"/>
      <c r="I28481" s="309"/>
      <c r="J28481" s="309"/>
    </row>
    <row r="28482">
      <c r="B28482" s="309"/>
      <c r="C28482" s="309"/>
      <c r="I28482" s="309"/>
      <c r="J28482" s="309"/>
    </row>
    <row r="28483">
      <c r="B28483" s="309"/>
      <c r="C28483" s="309"/>
      <c r="I28483" s="309"/>
      <c r="J28483" s="309"/>
    </row>
    <row r="28484">
      <c r="B28484" s="309"/>
      <c r="C28484" s="309"/>
      <c r="I28484" s="309"/>
      <c r="J28484" s="309"/>
    </row>
    <row r="28485">
      <c r="B28485" s="309"/>
      <c r="C28485" s="309"/>
      <c r="I28485" s="309"/>
      <c r="J28485" s="309"/>
    </row>
    <row r="28486">
      <c r="B28486" s="309"/>
      <c r="C28486" s="309"/>
      <c r="I28486" s="309"/>
      <c r="J28486" s="309"/>
    </row>
    <row r="28487">
      <c r="B28487" s="309"/>
      <c r="C28487" s="309"/>
      <c r="I28487" s="309"/>
      <c r="J28487" s="309"/>
    </row>
    <row r="28488">
      <c r="B28488" s="309"/>
      <c r="C28488" s="309"/>
      <c r="I28488" s="309"/>
      <c r="J28488" s="309"/>
    </row>
    <row r="28489">
      <c r="B28489" s="309"/>
      <c r="C28489" s="309"/>
      <c r="I28489" s="309"/>
      <c r="J28489" s="309"/>
    </row>
    <row r="28490">
      <c r="B28490" s="309"/>
      <c r="C28490" s="309"/>
      <c r="I28490" s="309"/>
      <c r="J28490" s="309"/>
    </row>
    <row r="28491">
      <c r="B28491" s="309"/>
      <c r="C28491" s="309"/>
      <c r="I28491" s="309"/>
      <c r="J28491" s="309"/>
    </row>
    <row r="28492">
      <c r="B28492" s="309"/>
      <c r="C28492" s="309"/>
      <c r="I28492" s="309"/>
      <c r="J28492" s="309"/>
    </row>
    <row r="28493">
      <c r="B28493" s="309"/>
      <c r="C28493" s="309"/>
      <c r="I28493" s="309"/>
      <c r="J28493" s="309"/>
    </row>
    <row r="28494">
      <c r="B28494" s="309"/>
      <c r="C28494" s="309"/>
      <c r="I28494" s="309"/>
      <c r="J28494" s="309"/>
    </row>
    <row r="28495">
      <c r="B28495" s="309"/>
      <c r="C28495" s="309"/>
      <c r="I28495" s="309"/>
      <c r="J28495" s="309"/>
    </row>
    <row r="28496">
      <c r="B28496" s="309"/>
      <c r="C28496" s="309"/>
      <c r="I28496" s="309"/>
      <c r="J28496" s="309"/>
    </row>
    <row r="28497">
      <c r="B28497" s="309"/>
      <c r="C28497" s="309"/>
      <c r="I28497" s="309"/>
      <c r="J28497" s="309"/>
    </row>
    <row r="28498">
      <c r="B28498" s="309"/>
      <c r="C28498" s="309"/>
      <c r="I28498" s="309"/>
      <c r="J28498" s="309"/>
    </row>
    <row r="28499">
      <c r="B28499" s="309"/>
      <c r="C28499" s="309"/>
      <c r="I28499" s="309"/>
      <c r="J28499" s="309"/>
    </row>
    <row r="28500">
      <c r="B28500" s="309"/>
      <c r="C28500" s="309"/>
      <c r="I28500" s="309"/>
      <c r="J28500" s="309"/>
    </row>
    <row r="28501">
      <c r="B28501" s="309"/>
      <c r="C28501" s="309"/>
      <c r="I28501" s="309"/>
      <c r="J28501" s="309"/>
    </row>
    <row r="28502">
      <c r="B28502" s="309"/>
      <c r="C28502" s="309"/>
      <c r="I28502" s="309"/>
      <c r="J28502" s="309"/>
    </row>
    <row r="28503">
      <c r="B28503" s="309"/>
      <c r="C28503" s="309"/>
      <c r="I28503" s="309"/>
      <c r="J28503" s="309"/>
    </row>
    <row r="28504">
      <c r="B28504" s="309"/>
      <c r="C28504" s="309"/>
      <c r="I28504" s="309"/>
      <c r="J28504" s="309"/>
    </row>
    <row r="28505">
      <c r="B28505" s="309"/>
      <c r="C28505" s="309"/>
      <c r="I28505" s="309"/>
      <c r="J28505" s="309"/>
    </row>
    <row r="28506">
      <c r="B28506" s="309"/>
      <c r="C28506" s="309"/>
      <c r="I28506" s="309"/>
      <c r="J28506" s="309"/>
    </row>
    <row r="28507">
      <c r="B28507" s="309"/>
      <c r="C28507" s="309"/>
      <c r="I28507" s="309"/>
      <c r="J28507" s="309"/>
    </row>
    <row r="28508">
      <c r="B28508" s="309"/>
      <c r="C28508" s="309"/>
      <c r="I28508" s="309"/>
      <c r="J28508" s="309"/>
    </row>
    <row r="28509">
      <c r="B28509" s="309"/>
      <c r="C28509" s="309"/>
      <c r="I28509" s="309"/>
      <c r="J28509" s="309"/>
    </row>
    <row r="28510">
      <c r="B28510" s="309"/>
      <c r="C28510" s="309"/>
      <c r="I28510" s="309"/>
      <c r="J28510" s="309"/>
    </row>
    <row r="28511">
      <c r="B28511" s="309"/>
      <c r="C28511" s="309"/>
      <c r="I28511" s="309"/>
      <c r="J28511" s="309"/>
    </row>
    <row r="28512">
      <c r="B28512" s="309"/>
      <c r="C28512" s="309"/>
      <c r="I28512" s="309"/>
      <c r="J28512" s="309"/>
    </row>
    <row r="28513">
      <c r="B28513" s="309"/>
      <c r="C28513" s="309"/>
      <c r="I28513" s="309"/>
      <c r="J28513" s="309"/>
    </row>
    <row r="28514">
      <c r="B28514" s="309"/>
      <c r="C28514" s="309"/>
      <c r="I28514" s="309"/>
      <c r="J28514" s="309"/>
    </row>
    <row r="28515">
      <c r="B28515" s="309"/>
      <c r="C28515" s="309"/>
      <c r="I28515" s="309"/>
      <c r="J28515" s="309"/>
    </row>
    <row r="28516">
      <c r="B28516" s="309"/>
      <c r="C28516" s="309"/>
      <c r="I28516" s="309"/>
      <c r="J28516" s="309"/>
    </row>
    <row r="28517">
      <c r="B28517" s="309"/>
      <c r="C28517" s="309"/>
      <c r="I28517" s="309"/>
      <c r="J28517" s="309"/>
    </row>
    <row r="28518">
      <c r="B28518" s="309"/>
      <c r="C28518" s="309"/>
      <c r="I28518" s="309"/>
      <c r="J28518" s="309"/>
    </row>
    <row r="28519">
      <c r="B28519" s="309"/>
      <c r="C28519" s="309"/>
      <c r="I28519" s="309"/>
      <c r="J28519" s="309"/>
    </row>
    <row r="28520">
      <c r="B28520" s="309"/>
      <c r="C28520" s="309"/>
      <c r="I28520" s="309"/>
      <c r="J28520" s="309"/>
    </row>
    <row r="28521">
      <c r="B28521" s="309"/>
      <c r="C28521" s="309"/>
      <c r="I28521" s="309"/>
      <c r="J28521" s="309"/>
    </row>
    <row r="28522">
      <c r="B28522" s="309"/>
      <c r="C28522" s="309"/>
      <c r="I28522" s="309"/>
      <c r="J28522" s="309"/>
    </row>
    <row r="28523">
      <c r="B28523" s="309"/>
      <c r="C28523" s="309"/>
      <c r="I28523" s="309"/>
      <c r="J28523" s="309"/>
    </row>
    <row r="28524">
      <c r="B28524" s="309"/>
      <c r="C28524" s="309"/>
      <c r="I28524" s="309"/>
      <c r="J28524" s="309"/>
    </row>
    <row r="28525">
      <c r="B28525" s="309"/>
      <c r="C28525" s="309"/>
      <c r="I28525" s="309"/>
      <c r="J28525" s="309"/>
    </row>
    <row r="28526">
      <c r="B28526" s="309"/>
      <c r="C28526" s="309"/>
      <c r="I28526" s="309"/>
      <c r="J28526" s="309"/>
    </row>
    <row r="28527">
      <c r="B28527" s="309"/>
      <c r="C28527" s="309"/>
      <c r="I28527" s="309"/>
      <c r="J28527" s="309"/>
    </row>
    <row r="28528">
      <c r="B28528" s="309"/>
      <c r="C28528" s="309"/>
      <c r="I28528" s="309"/>
      <c r="J28528" s="309"/>
    </row>
    <row r="28529">
      <c r="B28529" s="309"/>
      <c r="C28529" s="309"/>
      <c r="I28529" s="309"/>
      <c r="J28529" s="309"/>
    </row>
    <row r="28530">
      <c r="B28530" s="309"/>
      <c r="C28530" s="309"/>
      <c r="I28530" s="309"/>
      <c r="J28530" s="309"/>
    </row>
    <row r="28531">
      <c r="B28531" s="309"/>
      <c r="C28531" s="309"/>
      <c r="I28531" s="309"/>
      <c r="J28531" s="309"/>
    </row>
    <row r="28532">
      <c r="B28532" s="309"/>
      <c r="C28532" s="309"/>
      <c r="I28532" s="309"/>
      <c r="J28532" s="309"/>
    </row>
    <row r="28533">
      <c r="B28533" s="309"/>
      <c r="C28533" s="309"/>
      <c r="I28533" s="309"/>
      <c r="J28533" s="309"/>
    </row>
    <row r="28534">
      <c r="B28534" s="309"/>
      <c r="C28534" s="309"/>
      <c r="I28534" s="309"/>
      <c r="J28534" s="309"/>
    </row>
    <row r="28535">
      <c r="B28535" s="309"/>
      <c r="C28535" s="309"/>
      <c r="I28535" s="309"/>
      <c r="J28535" s="309"/>
    </row>
    <row r="28536">
      <c r="B28536" s="309"/>
      <c r="C28536" s="309"/>
      <c r="I28536" s="309"/>
      <c r="J28536" s="309"/>
    </row>
    <row r="28537">
      <c r="B28537" s="309"/>
      <c r="C28537" s="309"/>
      <c r="I28537" s="309"/>
      <c r="J28537" s="309"/>
    </row>
    <row r="28538">
      <c r="B28538" s="309"/>
      <c r="C28538" s="309"/>
      <c r="I28538" s="309"/>
      <c r="J28538" s="309"/>
    </row>
    <row r="28539">
      <c r="B28539" s="309"/>
      <c r="C28539" s="309"/>
      <c r="I28539" s="309"/>
      <c r="J28539" s="309"/>
    </row>
    <row r="28540">
      <c r="B28540" s="309"/>
      <c r="C28540" s="309"/>
      <c r="I28540" s="309"/>
      <c r="J28540" s="309"/>
    </row>
    <row r="28541">
      <c r="B28541" s="309"/>
      <c r="C28541" s="309"/>
      <c r="I28541" s="309"/>
      <c r="J28541" s="309"/>
    </row>
    <row r="28542">
      <c r="B28542" s="309"/>
      <c r="C28542" s="309"/>
      <c r="I28542" s="309"/>
      <c r="J28542" s="309"/>
    </row>
    <row r="28543">
      <c r="B28543" s="309"/>
      <c r="C28543" s="309"/>
      <c r="I28543" s="309"/>
      <c r="J28543" s="309"/>
    </row>
    <row r="28544">
      <c r="B28544" s="309"/>
      <c r="C28544" s="309"/>
      <c r="I28544" s="309"/>
      <c r="J28544" s="309"/>
    </row>
    <row r="28545">
      <c r="B28545" s="309"/>
      <c r="C28545" s="309"/>
      <c r="I28545" s="309"/>
      <c r="J28545" s="309"/>
    </row>
    <row r="28546">
      <c r="B28546" s="309"/>
      <c r="C28546" s="309"/>
      <c r="I28546" s="309"/>
      <c r="J28546" s="309"/>
    </row>
    <row r="28547">
      <c r="B28547" s="309"/>
      <c r="C28547" s="309"/>
      <c r="I28547" s="309"/>
      <c r="J28547" s="309"/>
    </row>
    <row r="28548">
      <c r="B28548" s="309"/>
      <c r="C28548" s="309"/>
      <c r="I28548" s="309"/>
      <c r="J28548" s="309"/>
    </row>
    <row r="28549">
      <c r="B28549" s="309"/>
      <c r="C28549" s="309"/>
      <c r="I28549" s="309"/>
      <c r="J28549" s="309"/>
    </row>
    <row r="28550">
      <c r="B28550" s="309"/>
      <c r="C28550" s="309"/>
      <c r="I28550" s="309"/>
      <c r="J28550" s="309"/>
    </row>
    <row r="28551">
      <c r="B28551" s="309"/>
      <c r="C28551" s="309"/>
      <c r="I28551" s="309"/>
      <c r="J28551" s="309"/>
    </row>
    <row r="28552">
      <c r="B28552" s="309"/>
      <c r="C28552" s="309"/>
      <c r="I28552" s="309"/>
      <c r="J28552" s="309"/>
    </row>
    <row r="28553">
      <c r="B28553" s="309"/>
      <c r="C28553" s="309"/>
      <c r="I28553" s="309"/>
      <c r="J28553" s="309"/>
    </row>
    <row r="28554">
      <c r="B28554" s="309"/>
      <c r="C28554" s="309"/>
      <c r="I28554" s="309"/>
      <c r="J28554" s="309"/>
    </row>
    <row r="28555">
      <c r="B28555" s="309"/>
      <c r="C28555" s="309"/>
      <c r="I28555" s="309"/>
      <c r="J28555" s="309"/>
    </row>
    <row r="28556">
      <c r="B28556" s="309"/>
      <c r="C28556" s="309"/>
      <c r="I28556" s="309"/>
      <c r="J28556" s="309"/>
    </row>
    <row r="28557">
      <c r="B28557" s="309"/>
      <c r="C28557" s="309"/>
      <c r="I28557" s="309"/>
      <c r="J28557" s="309"/>
    </row>
    <row r="28558">
      <c r="B28558" s="309"/>
      <c r="C28558" s="309"/>
      <c r="I28558" s="309"/>
      <c r="J28558" s="309"/>
    </row>
    <row r="28559">
      <c r="B28559" s="309"/>
      <c r="C28559" s="309"/>
      <c r="I28559" s="309"/>
      <c r="J28559" s="309"/>
    </row>
    <row r="28560">
      <c r="B28560" s="309"/>
      <c r="C28560" s="309"/>
      <c r="I28560" s="309"/>
      <c r="J28560" s="309"/>
    </row>
    <row r="28561">
      <c r="B28561" s="309"/>
      <c r="C28561" s="309"/>
      <c r="I28561" s="309"/>
      <c r="J28561" s="309"/>
    </row>
    <row r="28562">
      <c r="B28562" s="309"/>
      <c r="C28562" s="309"/>
      <c r="I28562" s="309"/>
      <c r="J28562" s="309"/>
    </row>
    <row r="28563">
      <c r="B28563" s="309"/>
      <c r="C28563" s="309"/>
      <c r="I28563" s="309"/>
      <c r="J28563" s="309"/>
    </row>
    <row r="28564">
      <c r="B28564" s="309"/>
      <c r="C28564" s="309"/>
      <c r="I28564" s="309"/>
      <c r="J28564" s="309"/>
    </row>
    <row r="28565">
      <c r="B28565" s="309"/>
      <c r="C28565" s="309"/>
      <c r="I28565" s="309"/>
      <c r="J28565" s="309"/>
    </row>
    <row r="28566">
      <c r="B28566" s="309"/>
      <c r="C28566" s="309"/>
      <c r="I28566" s="309"/>
      <c r="J28566" s="309"/>
    </row>
    <row r="28567">
      <c r="B28567" s="309"/>
      <c r="C28567" s="309"/>
      <c r="I28567" s="309"/>
      <c r="J28567" s="309"/>
    </row>
    <row r="28568">
      <c r="B28568" s="309"/>
      <c r="C28568" s="309"/>
      <c r="I28568" s="309"/>
      <c r="J28568" s="309"/>
    </row>
    <row r="28569">
      <c r="B28569" s="309"/>
      <c r="C28569" s="309"/>
      <c r="I28569" s="309"/>
      <c r="J28569" s="309"/>
    </row>
    <row r="28570">
      <c r="B28570" s="309"/>
      <c r="C28570" s="309"/>
      <c r="I28570" s="309"/>
      <c r="J28570" s="309"/>
    </row>
    <row r="28571">
      <c r="B28571" s="309"/>
      <c r="C28571" s="309"/>
      <c r="I28571" s="309"/>
      <c r="J28571" s="309"/>
    </row>
    <row r="28572">
      <c r="B28572" s="309"/>
      <c r="C28572" s="309"/>
      <c r="I28572" s="309"/>
      <c r="J28572" s="309"/>
    </row>
    <row r="28573">
      <c r="B28573" s="309"/>
      <c r="C28573" s="309"/>
      <c r="I28573" s="309"/>
      <c r="J28573" s="309"/>
    </row>
    <row r="28574">
      <c r="B28574" s="309"/>
      <c r="C28574" s="309"/>
      <c r="I28574" s="309"/>
      <c r="J28574" s="309"/>
    </row>
    <row r="28575">
      <c r="B28575" s="309"/>
      <c r="C28575" s="309"/>
      <c r="I28575" s="309"/>
      <c r="J28575" s="309"/>
    </row>
    <row r="28576">
      <c r="B28576" s="309"/>
      <c r="C28576" s="309"/>
      <c r="I28576" s="309"/>
      <c r="J28576" s="309"/>
    </row>
    <row r="28577">
      <c r="B28577" s="309"/>
      <c r="C28577" s="309"/>
      <c r="I28577" s="309"/>
      <c r="J28577" s="309"/>
    </row>
    <row r="28578">
      <c r="B28578" s="309"/>
      <c r="C28578" s="309"/>
      <c r="I28578" s="309"/>
      <c r="J28578" s="309"/>
    </row>
    <row r="28579">
      <c r="B28579" s="309"/>
      <c r="C28579" s="309"/>
      <c r="I28579" s="309"/>
      <c r="J28579" s="309"/>
    </row>
    <row r="28580">
      <c r="B28580" s="309"/>
      <c r="C28580" s="309"/>
      <c r="I28580" s="309"/>
      <c r="J28580" s="309"/>
    </row>
    <row r="28581">
      <c r="B28581" s="309"/>
      <c r="C28581" s="309"/>
      <c r="I28581" s="309"/>
      <c r="J28581" s="309"/>
    </row>
    <row r="28582">
      <c r="B28582" s="309"/>
      <c r="C28582" s="309"/>
      <c r="I28582" s="309"/>
      <c r="J28582" s="309"/>
    </row>
    <row r="28583">
      <c r="B28583" s="309"/>
      <c r="C28583" s="309"/>
      <c r="I28583" s="309"/>
      <c r="J28583" s="309"/>
    </row>
    <row r="28584">
      <c r="B28584" s="309"/>
      <c r="C28584" s="309"/>
      <c r="I28584" s="309"/>
      <c r="J28584" s="309"/>
    </row>
    <row r="28585">
      <c r="B28585" s="309"/>
      <c r="C28585" s="309"/>
      <c r="I28585" s="309"/>
      <c r="J28585" s="309"/>
    </row>
    <row r="28586">
      <c r="B28586" s="309"/>
      <c r="C28586" s="309"/>
      <c r="I28586" s="309"/>
      <c r="J28586" s="309"/>
    </row>
    <row r="28587">
      <c r="B28587" s="309"/>
      <c r="C28587" s="309"/>
      <c r="I28587" s="309"/>
      <c r="J28587" s="309"/>
    </row>
    <row r="28588">
      <c r="B28588" s="309"/>
      <c r="C28588" s="309"/>
      <c r="I28588" s="309"/>
      <c r="J28588" s="309"/>
    </row>
    <row r="28589">
      <c r="B28589" s="309"/>
      <c r="C28589" s="309"/>
      <c r="I28589" s="309"/>
      <c r="J28589" s="309"/>
    </row>
    <row r="28590">
      <c r="B28590" s="309"/>
      <c r="C28590" s="309"/>
      <c r="I28590" s="309"/>
      <c r="J28590" s="309"/>
    </row>
    <row r="28591">
      <c r="B28591" s="309"/>
      <c r="C28591" s="309"/>
      <c r="I28591" s="309"/>
      <c r="J28591" s="309"/>
    </row>
    <row r="28592">
      <c r="B28592" s="309"/>
      <c r="C28592" s="309"/>
      <c r="I28592" s="309"/>
      <c r="J28592" s="309"/>
    </row>
    <row r="28593">
      <c r="B28593" s="309"/>
      <c r="C28593" s="309"/>
      <c r="I28593" s="309"/>
      <c r="J28593" s="309"/>
    </row>
    <row r="28594">
      <c r="B28594" s="309"/>
      <c r="C28594" s="309"/>
      <c r="I28594" s="309"/>
      <c r="J28594" s="309"/>
    </row>
    <row r="28595">
      <c r="B28595" s="309"/>
      <c r="C28595" s="309"/>
      <c r="I28595" s="309"/>
      <c r="J28595" s="309"/>
    </row>
    <row r="28596">
      <c r="B28596" s="309"/>
      <c r="C28596" s="309"/>
      <c r="I28596" s="309"/>
      <c r="J28596" s="309"/>
    </row>
    <row r="28597">
      <c r="B28597" s="309"/>
      <c r="C28597" s="309"/>
      <c r="I28597" s="309"/>
      <c r="J28597" s="309"/>
    </row>
    <row r="28598">
      <c r="B28598" s="309"/>
      <c r="C28598" s="309"/>
      <c r="I28598" s="309"/>
      <c r="J28598" s="309"/>
    </row>
    <row r="28599">
      <c r="B28599" s="309"/>
      <c r="C28599" s="309"/>
      <c r="I28599" s="309"/>
      <c r="J28599" s="309"/>
    </row>
    <row r="28600">
      <c r="B28600" s="309"/>
      <c r="C28600" s="309"/>
      <c r="I28600" s="309"/>
      <c r="J28600" s="309"/>
    </row>
    <row r="28601">
      <c r="B28601" s="309"/>
      <c r="C28601" s="309"/>
      <c r="I28601" s="309"/>
      <c r="J28601" s="309"/>
    </row>
    <row r="28602">
      <c r="B28602" s="309"/>
      <c r="C28602" s="309"/>
      <c r="I28602" s="309"/>
      <c r="J28602" s="309"/>
    </row>
    <row r="28603">
      <c r="B28603" s="309"/>
      <c r="C28603" s="309"/>
      <c r="I28603" s="309"/>
      <c r="J28603" s="309"/>
    </row>
    <row r="28604">
      <c r="B28604" s="309"/>
      <c r="C28604" s="309"/>
      <c r="I28604" s="309"/>
      <c r="J28604" s="309"/>
    </row>
    <row r="28605">
      <c r="B28605" s="309"/>
      <c r="C28605" s="309"/>
      <c r="I28605" s="309"/>
      <c r="J28605" s="309"/>
    </row>
    <row r="28606">
      <c r="B28606" s="309"/>
      <c r="C28606" s="309"/>
      <c r="I28606" s="309"/>
      <c r="J28606" s="309"/>
    </row>
    <row r="28607">
      <c r="B28607" s="309"/>
      <c r="C28607" s="309"/>
      <c r="I28607" s="309"/>
      <c r="J28607" s="309"/>
    </row>
    <row r="28608">
      <c r="B28608" s="309"/>
      <c r="C28608" s="309"/>
      <c r="I28608" s="309"/>
      <c r="J28608" s="309"/>
    </row>
    <row r="28609">
      <c r="B28609" s="309"/>
      <c r="C28609" s="309"/>
      <c r="I28609" s="309"/>
      <c r="J28609" s="309"/>
    </row>
    <row r="28610">
      <c r="B28610" s="309"/>
      <c r="C28610" s="309"/>
      <c r="I28610" s="309"/>
      <c r="J28610" s="309"/>
    </row>
    <row r="28611">
      <c r="B28611" s="309"/>
      <c r="C28611" s="309"/>
      <c r="I28611" s="309"/>
      <c r="J28611" s="309"/>
    </row>
    <row r="28612">
      <c r="B28612" s="309"/>
      <c r="C28612" s="309"/>
      <c r="I28612" s="309"/>
      <c r="J28612" s="309"/>
    </row>
    <row r="28613">
      <c r="B28613" s="309"/>
      <c r="C28613" s="309"/>
      <c r="I28613" s="309"/>
      <c r="J28613" s="309"/>
    </row>
    <row r="28614">
      <c r="B28614" s="309"/>
      <c r="C28614" s="309"/>
      <c r="I28614" s="309"/>
      <c r="J28614" s="309"/>
    </row>
    <row r="28615">
      <c r="B28615" s="309"/>
      <c r="C28615" s="309"/>
      <c r="I28615" s="309"/>
      <c r="J28615" s="309"/>
    </row>
    <row r="28616">
      <c r="B28616" s="309"/>
      <c r="C28616" s="309"/>
      <c r="I28616" s="309"/>
      <c r="J28616" s="309"/>
    </row>
    <row r="28617">
      <c r="B28617" s="309"/>
      <c r="C28617" s="309"/>
      <c r="I28617" s="309"/>
      <c r="J28617" s="309"/>
    </row>
    <row r="28618">
      <c r="B28618" s="309"/>
      <c r="C28618" s="309"/>
      <c r="I28618" s="309"/>
      <c r="J28618" s="309"/>
    </row>
    <row r="28619">
      <c r="B28619" s="309"/>
      <c r="C28619" s="309"/>
      <c r="I28619" s="309"/>
      <c r="J28619" s="309"/>
    </row>
    <row r="28620">
      <c r="B28620" s="309"/>
      <c r="C28620" s="309"/>
      <c r="I28620" s="309"/>
      <c r="J28620" s="309"/>
    </row>
    <row r="28621">
      <c r="B28621" s="309"/>
      <c r="C28621" s="309"/>
      <c r="I28621" s="309"/>
      <c r="J28621" s="309"/>
    </row>
    <row r="28622">
      <c r="B28622" s="309"/>
      <c r="C28622" s="309"/>
      <c r="I28622" s="309"/>
      <c r="J28622" s="309"/>
    </row>
    <row r="28623">
      <c r="B28623" s="309"/>
      <c r="C28623" s="309"/>
      <c r="I28623" s="309"/>
      <c r="J28623" s="309"/>
    </row>
    <row r="28624">
      <c r="B28624" s="309"/>
      <c r="C28624" s="309"/>
      <c r="I28624" s="309"/>
      <c r="J28624" s="309"/>
    </row>
    <row r="28625">
      <c r="B28625" s="309"/>
      <c r="C28625" s="309"/>
      <c r="I28625" s="309"/>
      <c r="J28625" s="309"/>
    </row>
    <row r="28626">
      <c r="B28626" s="309"/>
      <c r="C28626" s="309"/>
      <c r="I28626" s="309"/>
      <c r="J28626" s="309"/>
    </row>
    <row r="28627">
      <c r="B28627" s="309"/>
      <c r="C28627" s="309"/>
      <c r="I28627" s="309"/>
      <c r="J28627" s="309"/>
    </row>
    <row r="28628">
      <c r="B28628" s="309"/>
      <c r="C28628" s="309"/>
      <c r="I28628" s="309"/>
      <c r="J28628" s="309"/>
    </row>
    <row r="28629">
      <c r="B28629" s="309"/>
      <c r="C28629" s="309"/>
      <c r="I28629" s="309"/>
      <c r="J28629" s="309"/>
    </row>
    <row r="28630">
      <c r="B28630" s="309"/>
      <c r="C28630" s="309"/>
      <c r="I28630" s="309"/>
      <c r="J28630" s="309"/>
    </row>
    <row r="28631">
      <c r="B28631" s="309"/>
      <c r="C28631" s="309"/>
      <c r="I28631" s="309"/>
      <c r="J28631" s="309"/>
    </row>
    <row r="28632">
      <c r="B28632" s="309"/>
      <c r="C28632" s="309"/>
      <c r="I28632" s="309"/>
      <c r="J28632" s="309"/>
    </row>
    <row r="28633">
      <c r="B28633" s="309"/>
      <c r="C28633" s="309"/>
      <c r="I28633" s="309"/>
      <c r="J28633" s="309"/>
    </row>
    <row r="28634">
      <c r="B28634" s="309"/>
      <c r="C28634" s="309"/>
      <c r="I28634" s="309"/>
      <c r="J28634" s="309"/>
    </row>
    <row r="28635">
      <c r="B28635" s="309"/>
      <c r="C28635" s="309"/>
      <c r="I28635" s="309"/>
      <c r="J28635" s="309"/>
    </row>
    <row r="28636">
      <c r="B28636" s="309"/>
      <c r="C28636" s="309"/>
      <c r="I28636" s="309"/>
      <c r="J28636" s="309"/>
    </row>
    <row r="28637">
      <c r="B28637" s="309"/>
      <c r="C28637" s="309"/>
      <c r="I28637" s="309"/>
      <c r="J28637" s="309"/>
    </row>
    <row r="28638">
      <c r="B28638" s="309"/>
      <c r="C28638" s="309"/>
      <c r="I28638" s="309"/>
      <c r="J28638" s="309"/>
    </row>
    <row r="28639">
      <c r="B28639" s="309"/>
      <c r="C28639" s="309"/>
      <c r="I28639" s="309"/>
      <c r="J28639" s="309"/>
    </row>
    <row r="28640">
      <c r="B28640" s="309"/>
      <c r="C28640" s="309"/>
      <c r="I28640" s="309"/>
      <c r="J28640" s="309"/>
    </row>
    <row r="28641">
      <c r="B28641" s="309"/>
      <c r="C28641" s="309"/>
      <c r="I28641" s="309"/>
      <c r="J28641" s="309"/>
    </row>
    <row r="28642">
      <c r="B28642" s="309"/>
      <c r="C28642" s="309"/>
      <c r="I28642" s="309"/>
      <c r="J28642" s="309"/>
    </row>
    <row r="28643">
      <c r="B28643" s="309"/>
      <c r="C28643" s="309"/>
      <c r="I28643" s="309"/>
      <c r="J28643" s="309"/>
    </row>
    <row r="28644">
      <c r="B28644" s="309"/>
      <c r="C28644" s="309"/>
      <c r="I28644" s="309"/>
      <c r="J28644" s="309"/>
    </row>
    <row r="28645">
      <c r="B28645" s="309"/>
      <c r="C28645" s="309"/>
      <c r="I28645" s="309"/>
      <c r="J28645" s="309"/>
    </row>
    <row r="28646">
      <c r="B28646" s="309"/>
      <c r="C28646" s="309"/>
      <c r="I28646" s="309"/>
      <c r="J28646" s="309"/>
    </row>
    <row r="28647">
      <c r="B28647" s="309"/>
      <c r="C28647" s="309"/>
      <c r="I28647" s="309"/>
      <c r="J28647" s="309"/>
    </row>
    <row r="28648">
      <c r="B28648" s="309"/>
      <c r="C28648" s="309"/>
      <c r="I28648" s="309"/>
      <c r="J28648" s="309"/>
    </row>
    <row r="28649">
      <c r="B28649" s="309"/>
      <c r="C28649" s="309"/>
      <c r="I28649" s="309"/>
      <c r="J28649" s="309"/>
    </row>
    <row r="28650">
      <c r="B28650" s="309"/>
      <c r="C28650" s="309"/>
      <c r="I28650" s="309"/>
      <c r="J28650" s="309"/>
    </row>
    <row r="28651">
      <c r="B28651" s="309"/>
      <c r="C28651" s="309"/>
      <c r="I28651" s="309"/>
      <c r="J28651" s="309"/>
    </row>
    <row r="28652">
      <c r="B28652" s="309"/>
      <c r="C28652" s="309"/>
      <c r="I28652" s="309"/>
      <c r="J28652" s="309"/>
    </row>
    <row r="28653">
      <c r="B28653" s="309"/>
      <c r="C28653" s="309"/>
      <c r="I28653" s="309"/>
      <c r="J28653" s="309"/>
    </row>
    <row r="28654">
      <c r="B28654" s="309"/>
      <c r="C28654" s="309"/>
      <c r="I28654" s="309"/>
      <c r="J28654" s="309"/>
    </row>
    <row r="28655">
      <c r="B28655" s="309"/>
      <c r="C28655" s="309"/>
      <c r="I28655" s="309"/>
      <c r="J28655" s="309"/>
    </row>
    <row r="28656">
      <c r="B28656" s="309"/>
      <c r="C28656" s="309"/>
      <c r="I28656" s="309"/>
      <c r="J28656" s="309"/>
    </row>
    <row r="28657">
      <c r="B28657" s="309"/>
      <c r="C28657" s="309"/>
      <c r="I28657" s="309"/>
      <c r="J28657" s="309"/>
    </row>
    <row r="28658">
      <c r="B28658" s="309"/>
      <c r="C28658" s="309"/>
      <c r="I28658" s="309"/>
      <c r="J28658" s="309"/>
    </row>
    <row r="28659">
      <c r="B28659" s="309"/>
      <c r="C28659" s="309"/>
      <c r="I28659" s="309"/>
      <c r="J28659" s="309"/>
    </row>
    <row r="28660">
      <c r="B28660" s="309"/>
      <c r="C28660" s="309"/>
      <c r="I28660" s="309"/>
      <c r="J28660" s="309"/>
    </row>
    <row r="28661">
      <c r="B28661" s="309"/>
      <c r="C28661" s="309"/>
      <c r="I28661" s="309"/>
      <c r="J28661" s="309"/>
    </row>
    <row r="28662">
      <c r="B28662" s="309"/>
      <c r="C28662" s="309"/>
      <c r="I28662" s="309"/>
      <c r="J28662" s="309"/>
    </row>
    <row r="28663">
      <c r="B28663" s="309"/>
      <c r="C28663" s="309"/>
      <c r="I28663" s="309"/>
      <c r="J28663" s="309"/>
    </row>
    <row r="28664">
      <c r="B28664" s="309"/>
      <c r="C28664" s="309"/>
      <c r="I28664" s="309"/>
      <c r="J28664" s="309"/>
    </row>
    <row r="28665">
      <c r="B28665" s="309"/>
      <c r="C28665" s="309"/>
      <c r="I28665" s="309"/>
      <c r="J28665" s="309"/>
    </row>
    <row r="28666">
      <c r="B28666" s="309"/>
      <c r="C28666" s="309"/>
      <c r="I28666" s="309"/>
      <c r="J28666" s="309"/>
    </row>
    <row r="28667">
      <c r="B28667" s="309"/>
      <c r="C28667" s="309"/>
      <c r="I28667" s="309"/>
      <c r="J28667" s="309"/>
    </row>
    <row r="28668">
      <c r="B28668" s="309"/>
      <c r="C28668" s="309"/>
      <c r="I28668" s="309"/>
      <c r="J28668" s="309"/>
    </row>
    <row r="28669">
      <c r="B28669" s="309"/>
      <c r="C28669" s="309"/>
      <c r="I28669" s="309"/>
      <c r="J28669" s="309"/>
    </row>
    <row r="28670">
      <c r="B28670" s="309"/>
      <c r="C28670" s="309"/>
      <c r="I28670" s="309"/>
      <c r="J28670" s="309"/>
    </row>
    <row r="28671">
      <c r="B28671" s="309"/>
      <c r="C28671" s="309"/>
      <c r="I28671" s="309"/>
      <c r="J28671" s="309"/>
    </row>
    <row r="28672">
      <c r="B28672" s="309"/>
      <c r="C28672" s="309"/>
      <c r="I28672" s="309"/>
      <c r="J28672" s="309"/>
    </row>
    <row r="28673">
      <c r="B28673" s="309"/>
      <c r="C28673" s="309"/>
      <c r="I28673" s="309"/>
      <c r="J28673" s="309"/>
    </row>
    <row r="28674">
      <c r="B28674" s="309"/>
      <c r="C28674" s="309"/>
      <c r="I28674" s="309"/>
      <c r="J28674" s="309"/>
    </row>
    <row r="28675">
      <c r="B28675" s="309"/>
      <c r="C28675" s="309"/>
      <c r="I28675" s="309"/>
      <c r="J28675" s="309"/>
    </row>
    <row r="28676">
      <c r="B28676" s="309"/>
      <c r="C28676" s="309"/>
      <c r="I28676" s="309"/>
      <c r="J28676" s="309"/>
    </row>
    <row r="28677">
      <c r="B28677" s="309"/>
      <c r="C28677" s="309"/>
      <c r="I28677" s="309"/>
      <c r="J28677" s="309"/>
    </row>
    <row r="28678">
      <c r="B28678" s="309"/>
      <c r="C28678" s="309"/>
      <c r="I28678" s="309"/>
      <c r="J28678" s="309"/>
    </row>
    <row r="28679">
      <c r="B28679" s="309"/>
      <c r="C28679" s="309"/>
      <c r="I28679" s="309"/>
      <c r="J28679" s="309"/>
    </row>
    <row r="28680">
      <c r="B28680" s="309"/>
      <c r="C28680" s="309"/>
      <c r="I28680" s="309"/>
      <c r="J28680" s="309"/>
    </row>
    <row r="28681">
      <c r="B28681" s="309"/>
      <c r="C28681" s="309"/>
      <c r="I28681" s="309"/>
      <c r="J28681" s="309"/>
    </row>
    <row r="28682">
      <c r="B28682" s="309"/>
      <c r="C28682" s="309"/>
      <c r="I28682" s="309"/>
      <c r="J28682" s="309"/>
    </row>
    <row r="28683">
      <c r="B28683" s="309"/>
      <c r="C28683" s="309"/>
      <c r="I28683" s="309"/>
      <c r="J28683" s="309"/>
    </row>
    <row r="28684">
      <c r="B28684" s="309"/>
      <c r="C28684" s="309"/>
      <c r="I28684" s="309"/>
      <c r="J28684" s="309"/>
    </row>
    <row r="28685">
      <c r="B28685" s="309"/>
      <c r="C28685" s="309"/>
      <c r="I28685" s="309"/>
      <c r="J28685" s="309"/>
    </row>
    <row r="28686">
      <c r="B28686" s="309"/>
      <c r="C28686" s="309"/>
      <c r="I28686" s="309"/>
      <c r="J28686" s="309"/>
    </row>
    <row r="28687">
      <c r="B28687" s="309"/>
      <c r="C28687" s="309"/>
      <c r="I28687" s="309"/>
      <c r="J28687" s="309"/>
    </row>
    <row r="28688">
      <c r="B28688" s="309"/>
      <c r="C28688" s="309"/>
      <c r="I28688" s="309"/>
      <c r="J28688" s="309"/>
    </row>
    <row r="28689">
      <c r="B28689" s="309"/>
      <c r="C28689" s="309"/>
      <c r="I28689" s="309"/>
      <c r="J28689" s="309"/>
    </row>
    <row r="28690">
      <c r="B28690" s="309"/>
      <c r="C28690" s="309"/>
      <c r="I28690" s="309"/>
      <c r="J28690" s="309"/>
    </row>
    <row r="28691">
      <c r="B28691" s="309"/>
      <c r="C28691" s="309"/>
      <c r="I28691" s="309"/>
      <c r="J28691" s="309"/>
    </row>
    <row r="28692">
      <c r="B28692" s="309"/>
      <c r="C28692" s="309"/>
      <c r="I28692" s="309"/>
      <c r="J28692" s="309"/>
    </row>
    <row r="28693">
      <c r="B28693" s="309"/>
      <c r="C28693" s="309"/>
      <c r="I28693" s="309"/>
      <c r="J28693" s="309"/>
    </row>
    <row r="28694">
      <c r="B28694" s="309"/>
      <c r="C28694" s="309"/>
      <c r="I28694" s="309"/>
      <c r="J28694" s="309"/>
    </row>
    <row r="28695">
      <c r="B28695" s="309"/>
      <c r="C28695" s="309"/>
      <c r="I28695" s="309"/>
      <c r="J28695" s="309"/>
    </row>
    <row r="28696">
      <c r="B28696" s="309"/>
      <c r="C28696" s="309"/>
      <c r="I28696" s="309"/>
      <c r="J28696" s="309"/>
    </row>
    <row r="28697">
      <c r="B28697" s="309"/>
      <c r="C28697" s="309"/>
      <c r="I28697" s="309"/>
      <c r="J28697" s="309"/>
    </row>
    <row r="28698">
      <c r="B28698" s="309"/>
      <c r="C28698" s="309"/>
      <c r="I28698" s="309"/>
      <c r="J28698" s="309"/>
    </row>
    <row r="28699">
      <c r="B28699" s="309"/>
      <c r="C28699" s="309"/>
      <c r="I28699" s="309"/>
      <c r="J28699" s="309"/>
    </row>
    <row r="28700">
      <c r="B28700" s="309"/>
      <c r="C28700" s="309"/>
      <c r="I28700" s="309"/>
      <c r="J28700" s="309"/>
    </row>
    <row r="28701">
      <c r="B28701" s="309"/>
      <c r="C28701" s="309"/>
      <c r="I28701" s="309"/>
      <c r="J28701" s="309"/>
    </row>
    <row r="28702">
      <c r="B28702" s="309"/>
      <c r="C28702" s="309"/>
      <c r="I28702" s="309"/>
      <c r="J28702" s="309"/>
    </row>
    <row r="28703">
      <c r="B28703" s="309"/>
      <c r="C28703" s="309"/>
      <c r="I28703" s="309"/>
      <c r="J28703" s="309"/>
    </row>
    <row r="28704">
      <c r="B28704" s="309"/>
      <c r="C28704" s="309"/>
      <c r="I28704" s="309"/>
      <c r="J28704" s="309"/>
    </row>
    <row r="28705">
      <c r="B28705" s="309"/>
      <c r="C28705" s="309"/>
      <c r="I28705" s="309"/>
      <c r="J28705" s="309"/>
    </row>
    <row r="28706">
      <c r="B28706" s="309"/>
      <c r="C28706" s="309"/>
      <c r="I28706" s="309"/>
      <c r="J28706" s="309"/>
    </row>
    <row r="28707">
      <c r="B28707" s="309"/>
      <c r="C28707" s="309"/>
      <c r="I28707" s="309"/>
      <c r="J28707" s="309"/>
    </row>
    <row r="28708">
      <c r="B28708" s="309"/>
      <c r="C28708" s="309"/>
      <c r="I28708" s="309"/>
      <c r="J28708" s="309"/>
    </row>
    <row r="28709">
      <c r="B28709" s="309"/>
      <c r="C28709" s="309"/>
      <c r="I28709" s="309"/>
      <c r="J28709" s="309"/>
    </row>
    <row r="28710">
      <c r="B28710" s="309"/>
      <c r="C28710" s="309"/>
      <c r="I28710" s="309"/>
      <c r="J28710" s="309"/>
    </row>
    <row r="28711">
      <c r="B28711" s="309"/>
      <c r="C28711" s="309"/>
      <c r="I28711" s="309"/>
      <c r="J28711" s="309"/>
    </row>
    <row r="28712">
      <c r="B28712" s="309"/>
      <c r="C28712" s="309"/>
      <c r="I28712" s="309"/>
      <c r="J28712" s="309"/>
    </row>
    <row r="28713">
      <c r="B28713" s="309"/>
      <c r="C28713" s="309"/>
      <c r="I28713" s="309"/>
      <c r="J28713" s="309"/>
    </row>
    <row r="28714">
      <c r="B28714" s="309"/>
      <c r="C28714" s="309"/>
      <c r="I28714" s="309"/>
      <c r="J28714" s="309"/>
    </row>
    <row r="28715">
      <c r="B28715" s="309"/>
      <c r="C28715" s="309"/>
      <c r="I28715" s="309"/>
      <c r="J28715" s="309"/>
    </row>
    <row r="28716">
      <c r="B28716" s="309"/>
      <c r="C28716" s="309"/>
      <c r="I28716" s="309"/>
      <c r="J28716" s="309"/>
    </row>
    <row r="28717">
      <c r="B28717" s="309"/>
      <c r="C28717" s="309"/>
      <c r="I28717" s="309"/>
      <c r="J28717" s="309"/>
    </row>
    <row r="28718">
      <c r="B28718" s="309"/>
      <c r="C28718" s="309"/>
      <c r="I28718" s="309"/>
      <c r="J28718" s="309"/>
    </row>
    <row r="28719">
      <c r="B28719" s="309"/>
      <c r="C28719" s="309"/>
      <c r="I28719" s="309"/>
      <c r="J28719" s="309"/>
    </row>
    <row r="28720">
      <c r="B28720" s="309"/>
      <c r="C28720" s="309"/>
      <c r="I28720" s="309"/>
      <c r="J28720" s="309"/>
    </row>
    <row r="28721">
      <c r="B28721" s="309"/>
      <c r="C28721" s="309"/>
      <c r="I28721" s="309"/>
      <c r="J28721" s="309"/>
    </row>
    <row r="28722">
      <c r="B28722" s="309"/>
      <c r="C28722" s="309"/>
      <c r="I28722" s="309"/>
      <c r="J28722" s="309"/>
    </row>
    <row r="28723">
      <c r="B28723" s="309"/>
      <c r="C28723" s="309"/>
      <c r="I28723" s="309"/>
      <c r="J28723" s="309"/>
    </row>
    <row r="28724">
      <c r="B28724" s="309"/>
      <c r="C28724" s="309"/>
      <c r="I28724" s="309"/>
      <c r="J28724" s="309"/>
    </row>
    <row r="28725">
      <c r="B28725" s="309"/>
      <c r="C28725" s="309"/>
      <c r="I28725" s="309"/>
      <c r="J28725" s="309"/>
    </row>
    <row r="28726">
      <c r="B28726" s="309"/>
      <c r="C28726" s="309"/>
      <c r="I28726" s="309"/>
      <c r="J28726" s="309"/>
    </row>
    <row r="28727">
      <c r="B28727" s="309"/>
      <c r="C28727" s="309"/>
      <c r="I28727" s="309"/>
      <c r="J28727" s="309"/>
    </row>
    <row r="28728">
      <c r="B28728" s="309"/>
      <c r="C28728" s="309"/>
      <c r="I28728" s="309"/>
      <c r="J28728" s="309"/>
    </row>
    <row r="28729">
      <c r="B28729" s="309"/>
      <c r="C28729" s="309"/>
      <c r="I28729" s="309"/>
      <c r="J28729" s="309"/>
    </row>
    <row r="28730">
      <c r="B28730" s="309"/>
      <c r="C28730" s="309"/>
      <c r="I28730" s="309"/>
      <c r="J28730" s="309"/>
    </row>
    <row r="28731">
      <c r="B28731" s="309"/>
      <c r="C28731" s="309"/>
      <c r="I28731" s="309"/>
      <c r="J28731" s="309"/>
    </row>
    <row r="28732">
      <c r="B28732" s="309"/>
      <c r="C28732" s="309"/>
      <c r="I28732" s="309"/>
      <c r="J28732" s="309"/>
    </row>
    <row r="28733">
      <c r="B28733" s="309"/>
      <c r="C28733" s="309"/>
      <c r="I28733" s="309"/>
      <c r="J28733" s="309"/>
    </row>
    <row r="28734">
      <c r="B28734" s="309"/>
      <c r="C28734" s="309"/>
      <c r="I28734" s="309"/>
      <c r="J28734" s="309"/>
    </row>
    <row r="28735">
      <c r="B28735" s="309"/>
      <c r="C28735" s="309"/>
      <c r="I28735" s="309"/>
      <c r="J28735" s="309"/>
    </row>
    <row r="28736">
      <c r="B28736" s="309"/>
      <c r="C28736" s="309"/>
      <c r="I28736" s="309"/>
      <c r="J28736" s="309"/>
    </row>
    <row r="28737">
      <c r="B28737" s="309"/>
      <c r="C28737" s="309"/>
      <c r="I28737" s="309"/>
      <c r="J28737" s="309"/>
    </row>
    <row r="28738">
      <c r="B28738" s="309"/>
      <c r="C28738" s="309"/>
      <c r="I28738" s="309"/>
      <c r="J28738" s="309"/>
    </row>
    <row r="28739">
      <c r="B28739" s="309"/>
      <c r="C28739" s="309"/>
      <c r="I28739" s="309"/>
      <c r="J28739" s="309"/>
    </row>
    <row r="28740">
      <c r="B28740" s="309"/>
      <c r="C28740" s="309"/>
      <c r="I28740" s="309"/>
      <c r="J28740" s="309"/>
    </row>
    <row r="28741">
      <c r="B28741" s="309"/>
      <c r="C28741" s="309"/>
      <c r="I28741" s="309"/>
      <c r="J28741" s="309"/>
    </row>
    <row r="28742">
      <c r="B28742" s="309"/>
      <c r="C28742" s="309"/>
      <c r="I28742" s="309"/>
      <c r="J28742" s="309"/>
    </row>
    <row r="28743">
      <c r="B28743" s="309"/>
      <c r="C28743" s="309"/>
      <c r="I28743" s="309"/>
      <c r="J28743" s="309"/>
    </row>
    <row r="28744">
      <c r="B28744" s="309"/>
      <c r="C28744" s="309"/>
      <c r="I28744" s="309"/>
      <c r="J28744" s="309"/>
    </row>
    <row r="28745">
      <c r="B28745" s="309"/>
      <c r="C28745" s="309"/>
      <c r="I28745" s="309"/>
      <c r="J28745" s="309"/>
    </row>
    <row r="28746">
      <c r="B28746" s="309"/>
      <c r="C28746" s="309"/>
      <c r="I28746" s="309"/>
      <c r="J28746" s="309"/>
    </row>
    <row r="28747">
      <c r="B28747" s="309"/>
      <c r="C28747" s="309"/>
      <c r="I28747" s="309"/>
      <c r="J28747" s="309"/>
    </row>
    <row r="28748">
      <c r="B28748" s="309"/>
      <c r="C28748" s="309"/>
      <c r="I28748" s="309"/>
      <c r="J28748" s="309"/>
    </row>
    <row r="28749">
      <c r="B28749" s="309"/>
      <c r="C28749" s="309"/>
      <c r="I28749" s="309"/>
      <c r="J28749" s="309"/>
    </row>
    <row r="28750">
      <c r="B28750" s="309"/>
      <c r="C28750" s="309"/>
      <c r="I28750" s="309"/>
      <c r="J28750" s="309"/>
    </row>
    <row r="28751">
      <c r="B28751" s="309"/>
      <c r="C28751" s="309"/>
      <c r="I28751" s="309"/>
      <c r="J28751" s="309"/>
    </row>
    <row r="28752">
      <c r="B28752" s="309"/>
      <c r="C28752" s="309"/>
      <c r="I28752" s="309"/>
      <c r="J28752" s="309"/>
    </row>
    <row r="28753">
      <c r="B28753" s="309"/>
      <c r="C28753" s="309"/>
      <c r="I28753" s="309"/>
      <c r="J28753" s="309"/>
    </row>
    <row r="28754">
      <c r="B28754" s="309"/>
      <c r="C28754" s="309"/>
      <c r="I28754" s="309"/>
      <c r="J28754" s="309"/>
    </row>
    <row r="28755">
      <c r="B28755" s="309"/>
      <c r="C28755" s="309"/>
      <c r="I28755" s="309"/>
      <c r="J28755" s="309"/>
    </row>
    <row r="28756">
      <c r="B28756" s="309"/>
      <c r="C28756" s="309"/>
      <c r="I28756" s="309"/>
      <c r="J28756" s="309"/>
    </row>
    <row r="28757">
      <c r="B28757" s="309"/>
      <c r="C28757" s="309"/>
      <c r="I28757" s="309"/>
      <c r="J28757" s="309"/>
    </row>
    <row r="28758">
      <c r="B28758" s="309"/>
      <c r="C28758" s="309"/>
      <c r="I28758" s="309"/>
      <c r="J28758" s="309"/>
    </row>
    <row r="28759">
      <c r="B28759" s="309"/>
      <c r="C28759" s="309"/>
      <c r="I28759" s="309"/>
      <c r="J28759" s="309"/>
    </row>
    <row r="28760">
      <c r="B28760" s="309"/>
      <c r="C28760" s="309"/>
      <c r="I28760" s="309"/>
      <c r="J28760" s="309"/>
    </row>
    <row r="28761">
      <c r="B28761" s="309"/>
      <c r="C28761" s="309"/>
      <c r="I28761" s="309"/>
      <c r="J28761" s="309"/>
    </row>
    <row r="28762">
      <c r="B28762" s="309"/>
      <c r="C28762" s="309"/>
      <c r="I28762" s="309"/>
      <c r="J28762" s="309"/>
    </row>
    <row r="28763">
      <c r="B28763" s="309"/>
      <c r="C28763" s="309"/>
      <c r="I28763" s="309"/>
      <c r="J28763" s="309"/>
    </row>
    <row r="28764">
      <c r="B28764" s="309"/>
      <c r="C28764" s="309"/>
      <c r="I28764" s="309"/>
      <c r="J28764" s="309"/>
    </row>
    <row r="28765">
      <c r="B28765" s="309"/>
      <c r="C28765" s="309"/>
      <c r="I28765" s="309"/>
      <c r="J28765" s="309"/>
    </row>
    <row r="28766">
      <c r="B28766" s="309"/>
      <c r="C28766" s="309"/>
      <c r="I28766" s="309"/>
      <c r="J28766" s="309"/>
    </row>
    <row r="28767">
      <c r="B28767" s="309"/>
      <c r="C28767" s="309"/>
      <c r="I28767" s="309"/>
      <c r="J28767" s="309"/>
    </row>
    <row r="28768">
      <c r="B28768" s="309"/>
      <c r="C28768" s="309"/>
      <c r="I28768" s="309"/>
      <c r="J28768" s="309"/>
    </row>
    <row r="28769">
      <c r="B28769" s="309"/>
      <c r="C28769" s="309"/>
      <c r="I28769" s="309"/>
      <c r="J28769" s="309"/>
    </row>
    <row r="28770">
      <c r="B28770" s="309"/>
      <c r="C28770" s="309"/>
      <c r="I28770" s="309"/>
      <c r="J28770" s="309"/>
    </row>
    <row r="28771">
      <c r="B28771" s="309"/>
      <c r="C28771" s="309"/>
      <c r="I28771" s="309"/>
      <c r="J28771" s="309"/>
    </row>
    <row r="28772">
      <c r="B28772" s="309"/>
      <c r="C28772" s="309"/>
      <c r="I28772" s="309"/>
      <c r="J28772" s="309"/>
    </row>
    <row r="28773">
      <c r="B28773" s="309"/>
      <c r="C28773" s="309"/>
      <c r="I28773" s="309"/>
      <c r="J28773" s="309"/>
    </row>
    <row r="28774">
      <c r="B28774" s="309"/>
      <c r="C28774" s="309"/>
      <c r="I28774" s="309"/>
      <c r="J28774" s="309"/>
    </row>
    <row r="28775">
      <c r="B28775" s="309"/>
      <c r="C28775" s="309"/>
      <c r="I28775" s="309"/>
      <c r="J28775" s="309"/>
    </row>
    <row r="28776">
      <c r="B28776" s="309"/>
      <c r="C28776" s="309"/>
      <c r="I28776" s="309"/>
      <c r="J28776" s="309"/>
    </row>
    <row r="28777">
      <c r="B28777" s="309"/>
      <c r="C28777" s="309"/>
      <c r="I28777" s="309"/>
      <c r="J28777" s="309"/>
    </row>
    <row r="28778">
      <c r="B28778" s="309"/>
      <c r="C28778" s="309"/>
      <c r="I28778" s="309"/>
      <c r="J28778" s="309"/>
    </row>
    <row r="28779">
      <c r="B28779" s="309"/>
      <c r="C28779" s="309"/>
      <c r="I28779" s="309"/>
      <c r="J28779" s="309"/>
    </row>
    <row r="28780">
      <c r="B28780" s="309"/>
      <c r="C28780" s="309"/>
      <c r="I28780" s="309"/>
      <c r="J28780" s="309"/>
    </row>
    <row r="28781">
      <c r="B28781" s="309"/>
      <c r="C28781" s="309"/>
      <c r="I28781" s="309"/>
      <c r="J28781" s="309"/>
    </row>
    <row r="28782">
      <c r="B28782" s="309"/>
      <c r="C28782" s="309"/>
      <c r="I28782" s="309"/>
      <c r="J28782" s="309"/>
    </row>
    <row r="28783">
      <c r="B28783" s="309"/>
      <c r="C28783" s="309"/>
      <c r="I28783" s="309"/>
      <c r="J28783" s="309"/>
    </row>
    <row r="28784">
      <c r="B28784" s="309"/>
      <c r="C28784" s="309"/>
      <c r="I28784" s="309"/>
      <c r="J28784" s="309"/>
    </row>
    <row r="28785">
      <c r="B28785" s="309"/>
      <c r="C28785" s="309"/>
      <c r="I28785" s="309"/>
      <c r="J28785" s="309"/>
    </row>
    <row r="28786">
      <c r="B28786" s="309"/>
      <c r="C28786" s="309"/>
      <c r="I28786" s="309"/>
      <c r="J28786" s="309"/>
    </row>
    <row r="28787">
      <c r="B28787" s="309"/>
      <c r="C28787" s="309"/>
      <c r="I28787" s="309"/>
      <c r="J28787" s="309"/>
    </row>
    <row r="28788">
      <c r="B28788" s="309"/>
      <c r="C28788" s="309"/>
      <c r="I28788" s="309"/>
      <c r="J28788" s="309"/>
    </row>
    <row r="28789">
      <c r="B28789" s="309"/>
      <c r="C28789" s="309"/>
      <c r="I28789" s="309"/>
      <c r="J28789" s="309"/>
    </row>
    <row r="28790">
      <c r="B28790" s="309"/>
      <c r="C28790" s="309"/>
      <c r="I28790" s="309"/>
      <c r="J28790" s="309"/>
    </row>
    <row r="28791">
      <c r="B28791" s="309"/>
      <c r="C28791" s="309"/>
      <c r="I28791" s="309"/>
      <c r="J28791" s="309"/>
    </row>
    <row r="28792">
      <c r="B28792" s="309"/>
      <c r="C28792" s="309"/>
      <c r="I28792" s="309"/>
      <c r="J28792" s="309"/>
    </row>
    <row r="28793">
      <c r="B28793" s="309"/>
      <c r="C28793" s="309"/>
      <c r="I28793" s="309"/>
      <c r="J28793" s="309"/>
    </row>
    <row r="28794">
      <c r="B28794" s="309"/>
      <c r="C28794" s="309"/>
      <c r="I28794" s="309"/>
      <c r="J28794" s="309"/>
    </row>
    <row r="28795">
      <c r="B28795" s="309"/>
      <c r="C28795" s="309"/>
      <c r="I28795" s="309"/>
      <c r="J28795" s="309"/>
    </row>
    <row r="28796">
      <c r="B28796" s="309"/>
      <c r="C28796" s="309"/>
      <c r="I28796" s="309"/>
      <c r="J28796" s="309"/>
    </row>
    <row r="28797">
      <c r="B28797" s="309"/>
      <c r="C28797" s="309"/>
      <c r="I28797" s="309"/>
      <c r="J28797" s="309"/>
    </row>
    <row r="28798">
      <c r="B28798" s="309"/>
      <c r="C28798" s="309"/>
      <c r="I28798" s="309"/>
      <c r="J28798" s="309"/>
    </row>
    <row r="28799">
      <c r="B28799" s="309"/>
      <c r="C28799" s="309"/>
      <c r="I28799" s="309"/>
      <c r="J28799" s="309"/>
    </row>
    <row r="28800">
      <c r="B28800" s="309"/>
      <c r="C28800" s="309"/>
      <c r="I28800" s="309"/>
      <c r="J28800" s="309"/>
    </row>
    <row r="28801">
      <c r="B28801" s="309"/>
      <c r="C28801" s="309"/>
      <c r="I28801" s="309"/>
      <c r="J28801" s="309"/>
    </row>
    <row r="28802">
      <c r="B28802" s="309"/>
      <c r="C28802" s="309"/>
      <c r="I28802" s="309"/>
      <c r="J28802" s="309"/>
    </row>
    <row r="28803">
      <c r="B28803" s="309"/>
      <c r="C28803" s="309"/>
      <c r="I28803" s="309"/>
      <c r="J28803" s="309"/>
    </row>
    <row r="28804">
      <c r="B28804" s="309"/>
      <c r="C28804" s="309"/>
      <c r="I28804" s="309"/>
      <c r="J28804" s="309"/>
    </row>
    <row r="28805">
      <c r="B28805" s="309"/>
      <c r="C28805" s="309"/>
      <c r="I28805" s="309"/>
      <c r="J28805" s="309"/>
    </row>
    <row r="28806">
      <c r="B28806" s="309"/>
      <c r="C28806" s="309"/>
      <c r="I28806" s="309"/>
      <c r="J28806" s="309"/>
    </row>
    <row r="28807">
      <c r="B28807" s="309"/>
      <c r="C28807" s="309"/>
      <c r="I28807" s="309"/>
      <c r="J28807" s="309"/>
    </row>
    <row r="28808">
      <c r="B28808" s="309"/>
      <c r="C28808" s="309"/>
      <c r="I28808" s="309"/>
      <c r="J28808" s="309"/>
    </row>
    <row r="28809">
      <c r="B28809" s="309"/>
      <c r="C28809" s="309"/>
      <c r="I28809" s="309"/>
      <c r="J28809" s="309"/>
    </row>
    <row r="28810">
      <c r="B28810" s="309"/>
      <c r="C28810" s="309"/>
      <c r="I28810" s="309"/>
      <c r="J28810" s="309"/>
    </row>
    <row r="28811">
      <c r="B28811" s="309"/>
      <c r="C28811" s="309"/>
      <c r="I28811" s="309"/>
      <c r="J28811" s="309"/>
    </row>
    <row r="28812">
      <c r="B28812" s="309"/>
      <c r="C28812" s="309"/>
      <c r="I28812" s="309"/>
      <c r="J28812" s="309"/>
    </row>
    <row r="28813">
      <c r="B28813" s="309"/>
      <c r="C28813" s="309"/>
      <c r="I28813" s="309"/>
      <c r="J28813" s="309"/>
    </row>
    <row r="28814">
      <c r="B28814" s="309"/>
      <c r="C28814" s="309"/>
      <c r="I28814" s="309"/>
      <c r="J28814" s="309"/>
    </row>
    <row r="28815">
      <c r="B28815" s="309"/>
      <c r="C28815" s="309"/>
      <c r="I28815" s="309"/>
      <c r="J28815" s="309"/>
    </row>
    <row r="28816">
      <c r="B28816" s="309"/>
      <c r="C28816" s="309"/>
      <c r="I28816" s="309"/>
      <c r="J28816" s="309"/>
    </row>
    <row r="28817">
      <c r="B28817" s="309"/>
      <c r="C28817" s="309"/>
      <c r="I28817" s="309"/>
      <c r="J28817" s="309"/>
    </row>
    <row r="28818">
      <c r="B28818" s="309"/>
      <c r="C28818" s="309"/>
      <c r="I28818" s="309"/>
      <c r="J28818" s="309"/>
    </row>
    <row r="28819">
      <c r="B28819" s="309"/>
      <c r="C28819" s="309"/>
      <c r="I28819" s="309"/>
      <c r="J28819" s="309"/>
    </row>
    <row r="28820">
      <c r="B28820" s="309"/>
      <c r="C28820" s="309"/>
      <c r="I28820" s="309"/>
      <c r="J28820" s="309"/>
    </row>
    <row r="28821">
      <c r="B28821" s="309"/>
      <c r="C28821" s="309"/>
      <c r="I28821" s="309"/>
      <c r="J28821" s="309"/>
    </row>
    <row r="28822">
      <c r="B28822" s="309"/>
      <c r="C28822" s="309"/>
      <c r="I28822" s="309"/>
      <c r="J28822" s="309"/>
    </row>
    <row r="28823">
      <c r="B28823" s="309"/>
      <c r="C28823" s="309"/>
      <c r="I28823" s="309"/>
      <c r="J28823" s="309"/>
    </row>
    <row r="28824">
      <c r="B28824" s="309"/>
      <c r="C28824" s="309"/>
      <c r="I28824" s="309"/>
      <c r="J28824" s="309"/>
    </row>
    <row r="28825">
      <c r="B28825" s="309"/>
      <c r="C28825" s="309"/>
      <c r="I28825" s="309"/>
      <c r="J28825" s="309"/>
    </row>
    <row r="28826">
      <c r="B28826" s="309"/>
      <c r="C28826" s="309"/>
      <c r="I28826" s="309"/>
      <c r="J28826" s="309"/>
    </row>
    <row r="28827">
      <c r="B28827" s="309"/>
      <c r="C28827" s="309"/>
      <c r="I28827" s="309"/>
      <c r="J28827" s="309"/>
    </row>
    <row r="28828">
      <c r="B28828" s="309"/>
      <c r="C28828" s="309"/>
      <c r="I28828" s="309"/>
      <c r="J28828" s="309"/>
    </row>
    <row r="28829">
      <c r="B28829" s="309"/>
      <c r="C28829" s="309"/>
      <c r="I28829" s="309"/>
      <c r="J28829" s="309"/>
    </row>
    <row r="28830">
      <c r="B28830" s="309"/>
      <c r="C28830" s="309"/>
      <c r="I28830" s="309"/>
      <c r="J28830" s="309"/>
    </row>
    <row r="28831">
      <c r="B28831" s="309"/>
      <c r="C28831" s="309"/>
      <c r="I28831" s="309"/>
      <c r="J28831" s="309"/>
    </row>
    <row r="28832">
      <c r="B28832" s="309"/>
      <c r="C28832" s="309"/>
      <c r="I28832" s="309"/>
      <c r="J28832" s="309"/>
    </row>
    <row r="28833">
      <c r="B28833" s="309"/>
      <c r="C28833" s="309"/>
      <c r="I28833" s="309"/>
      <c r="J28833" s="309"/>
    </row>
    <row r="28834">
      <c r="B28834" s="309"/>
      <c r="C28834" s="309"/>
      <c r="I28834" s="309"/>
      <c r="J28834" s="309"/>
    </row>
    <row r="28835">
      <c r="B28835" s="309"/>
      <c r="C28835" s="309"/>
      <c r="I28835" s="309"/>
      <c r="J28835" s="309"/>
    </row>
    <row r="28836">
      <c r="B28836" s="309"/>
      <c r="C28836" s="309"/>
      <c r="I28836" s="309"/>
      <c r="J28836" s="309"/>
    </row>
    <row r="28837">
      <c r="B28837" s="309"/>
      <c r="C28837" s="309"/>
      <c r="I28837" s="309"/>
      <c r="J28837" s="309"/>
    </row>
    <row r="28838">
      <c r="B28838" s="309"/>
      <c r="C28838" s="309"/>
      <c r="I28838" s="309"/>
      <c r="J28838" s="309"/>
    </row>
    <row r="28839">
      <c r="B28839" s="309"/>
      <c r="C28839" s="309"/>
      <c r="I28839" s="309"/>
      <c r="J28839" s="309"/>
    </row>
    <row r="28840">
      <c r="B28840" s="309"/>
      <c r="C28840" s="309"/>
      <c r="I28840" s="309"/>
      <c r="J28840" s="309"/>
    </row>
    <row r="28841">
      <c r="B28841" s="309"/>
      <c r="C28841" s="309"/>
      <c r="I28841" s="309"/>
      <c r="J28841" s="309"/>
    </row>
    <row r="28842">
      <c r="B28842" s="309"/>
      <c r="C28842" s="309"/>
      <c r="I28842" s="309"/>
      <c r="J28842" s="309"/>
    </row>
    <row r="28843">
      <c r="B28843" s="309"/>
      <c r="C28843" s="309"/>
      <c r="I28843" s="309"/>
      <c r="J28843" s="309"/>
    </row>
    <row r="28844">
      <c r="B28844" s="309"/>
      <c r="C28844" s="309"/>
      <c r="I28844" s="309"/>
      <c r="J28844" s="309"/>
    </row>
    <row r="28845">
      <c r="B28845" s="309"/>
      <c r="C28845" s="309"/>
      <c r="I28845" s="309"/>
      <c r="J28845" s="309"/>
    </row>
    <row r="28846">
      <c r="B28846" s="309"/>
      <c r="C28846" s="309"/>
      <c r="I28846" s="309"/>
      <c r="J28846" s="309"/>
    </row>
    <row r="28847">
      <c r="B28847" s="309"/>
      <c r="C28847" s="309"/>
      <c r="I28847" s="309"/>
      <c r="J28847" s="309"/>
    </row>
    <row r="28848">
      <c r="B28848" s="309"/>
      <c r="C28848" s="309"/>
      <c r="I28848" s="309"/>
      <c r="J28848" s="309"/>
    </row>
    <row r="28849">
      <c r="B28849" s="309"/>
      <c r="C28849" s="309"/>
      <c r="I28849" s="309"/>
      <c r="J28849" s="309"/>
    </row>
    <row r="28850">
      <c r="B28850" s="309"/>
      <c r="C28850" s="309"/>
      <c r="I28850" s="309"/>
      <c r="J28850" s="309"/>
    </row>
    <row r="28851">
      <c r="B28851" s="309"/>
      <c r="C28851" s="309"/>
      <c r="I28851" s="309"/>
      <c r="J28851" s="309"/>
    </row>
    <row r="28852">
      <c r="B28852" s="309"/>
      <c r="C28852" s="309"/>
      <c r="I28852" s="309"/>
      <c r="J28852" s="309"/>
    </row>
    <row r="28853">
      <c r="B28853" s="309"/>
      <c r="C28853" s="309"/>
      <c r="I28853" s="309"/>
      <c r="J28853" s="309"/>
    </row>
    <row r="28854">
      <c r="B28854" s="309"/>
      <c r="C28854" s="309"/>
      <c r="I28854" s="309"/>
      <c r="J28854" s="309"/>
    </row>
    <row r="28855">
      <c r="B28855" s="309"/>
      <c r="C28855" s="309"/>
      <c r="I28855" s="309"/>
      <c r="J28855" s="309"/>
    </row>
    <row r="28856">
      <c r="B28856" s="309"/>
      <c r="C28856" s="309"/>
      <c r="I28856" s="309"/>
      <c r="J28856" s="309"/>
    </row>
    <row r="28857">
      <c r="B28857" s="309"/>
      <c r="C28857" s="309"/>
      <c r="I28857" s="309"/>
      <c r="J28857" s="309"/>
    </row>
    <row r="28858">
      <c r="B28858" s="309"/>
      <c r="C28858" s="309"/>
      <c r="I28858" s="309"/>
      <c r="J28858" s="309"/>
    </row>
    <row r="28859">
      <c r="B28859" s="309"/>
      <c r="C28859" s="309"/>
      <c r="I28859" s="309"/>
      <c r="J28859" s="309"/>
    </row>
    <row r="28860">
      <c r="B28860" s="309"/>
      <c r="C28860" s="309"/>
      <c r="I28860" s="309"/>
      <c r="J28860" s="309"/>
    </row>
    <row r="28861">
      <c r="B28861" s="309"/>
      <c r="C28861" s="309"/>
      <c r="I28861" s="309"/>
      <c r="J28861" s="309"/>
    </row>
    <row r="28862">
      <c r="B28862" s="309"/>
      <c r="C28862" s="309"/>
      <c r="I28862" s="309"/>
      <c r="J28862" s="309"/>
    </row>
    <row r="28863">
      <c r="B28863" s="309"/>
      <c r="C28863" s="309"/>
      <c r="I28863" s="309"/>
      <c r="J28863" s="309"/>
    </row>
    <row r="28864">
      <c r="B28864" s="309"/>
      <c r="C28864" s="309"/>
      <c r="I28864" s="309"/>
      <c r="J28864" s="309"/>
    </row>
    <row r="28865">
      <c r="B28865" s="309"/>
      <c r="C28865" s="309"/>
      <c r="I28865" s="309"/>
      <c r="J28865" s="309"/>
    </row>
    <row r="28866">
      <c r="B28866" s="309"/>
      <c r="C28866" s="309"/>
      <c r="I28866" s="309"/>
      <c r="J28866" s="309"/>
    </row>
    <row r="28867">
      <c r="B28867" s="309"/>
      <c r="C28867" s="309"/>
      <c r="I28867" s="309"/>
      <c r="J28867" s="309"/>
    </row>
    <row r="28868">
      <c r="B28868" s="309"/>
      <c r="C28868" s="309"/>
      <c r="I28868" s="309"/>
      <c r="J28868" s="309"/>
    </row>
    <row r="28869">
      <c r="B28869" s="309"/>
      <c r="C28869" s="309"/>
      <c r="I28869" s="309"/>
      <c r="J28869" s="309"/>
    </row>
    <row r="28870">
      <c r="B28870" s="309"/>
      <c r="C28870" s="309"/>
      <c r="I28870" s="309"/>
      <c r="J28870" s="309"/>
    </row>
    <row r="28871">
      <c r="B28871" s="309"/>
      <c r="C28871" s="309"/>
      <c r="I28871" s="309"/>
      <c r="J28871" s="309"/>
    </row>
    <row r="28872">
      <c r="B28872" s="309"/>
      <c r="C28872" s="309"/>
      <c r="I28872" s="309"/>
      <c r="J28872" s="309"/>
    </row>
    <row r="28873">
      <c r="B28873" s="309"/>
      <c r="C28873" s="309"/>
      <c r="I28873" s="309"/>
      <c r="J28873" s="309"/>
    </row>
    <row r="28874">
      <c r="B28874" s="309"/>
      <c r="C28874" s="309"/>
      <c r="I28874" s="309"/>
      <c r="J28874" s="309"/>
    </row>
    <row r="28875">
      <c r="B28875" s="309"/>
      <c r="C28875" s="309"/>
      <c r="I28875" s="309"/>
      <c r="J28875" s="309"/>
    </row>
    <row r="28876">
      <c r="B28876" s="309"/>
      <c r="C28876" s="309"/>
      <c r="I28876" s="309"/>
      <c r="J28876" s="309"/>
    </row>
    <row r="28877">
      <c r="B28877" s="309"/>
      <c r="C28877" s="309"/>
      <c r="I28877" s="309"/>
      <c r="J28877" s="309"/>
    </row>
    <row r="28878">
      <c r="B28878" s="309"/>
      <c r="C28878" s="309"/>
      <c r="I28878" s="309"/>
      <c r="J28878" s="309"/>
    </row>
    <row r="28879">
      <c r="B28879" s="309"/>
      <c r="C28879" s="309"/>
      <c r="I28879" s="309"/>
      <c r="J28879" s="309"/>
    </row>
    <row r="28880">
      <c r="B28880" s="309"/>
      <c r="C28880" s="309"/>
      <c r="I28880" s="309"/>
      <c r="J28880" s="309"/>
    </row>
    <row r="28881">
      <c r="B28881" s="309"/>
      <c r="C28881" s="309"/>
      <c r="I28881" s="309"/>
      <c r="J28881" s="309"/>
    </row>
    <row r="28882">
      <c r="B28882" s="309"/>
      <c r="C28882" s="309"/>
      <c r="I28882" s="309"/>
      <c r="J28882" s="309"/>
    </row>
    <row r="28883">
      <c r="B28883" s="309"/>
      <c r="C28883" s="309"/>
      <c r="I28883" s="309"/>
      <c r="J28883" s="309"/>
    </row>
    <row r="28884">
      <c r="B28884" s="309"/>
      <c r="C28884" s="309"/>
      <c r="I28884" s="309"/>
      <c r="J28884" s="309"/>
    </row>
    <row r="28885">
      <c r="B28885" s="309"/>
      <c r="C28885" s="309"/>
      <c r="I28885" s="309"/>
      <c r="J28885" s="309"/>
    </row>
    <row r="28886">
      <c r="B28886" s="309"/>
      <c r="C28886" s="309"/>
      <c r="I28886" s="309"/>
      <c r="J28886" s="309"/>
    </row>
    <row r="28887">
      <c r="B28887" s="309"/>
      <c r="C28887" s="309"/>
      <c r="I28887" s="309"/>
      <c r="J28887" s="309"/>
    </row>
    <row r="28888">
      <c r="B28888" s="309"/>
      <c r="C28888" s="309"/>
      <c r="I28888" s="309"/>
      <c r="J28888" s="309"/>
    </row>
    <row r="28889">
      <c r="B28889" s="309"/>
      <c r="C28889" s="309"/>
      <c r="I28889" s="309"/>
      <c r="J28889" s="309"/>
    </row>
    <row r="28890">
      <c r="B28890" s="309"/>
      <c r="C28890" s="309"/>
      <c r="I28890" s="309"/>
      <c r="J28890" s="309"/>
    </row>
    <row r="28891">
      <c r="B28891" s="309"/>
      <c r="C28891" s="309"/>
      <c r="I28891" s="309"/>
      <c r="J28891" s="309"/>
    </row>
    <row r="28892">
      <c r="B28892" s="309"/>
      <c r="C28892" s="309"/>
      <c r="I28892" s="309"/>
      <c r="J28892" s="309"/>
    </row>
    <row r="28893">
      <c r="B28893" s="309"/>
      <c r="C28893" s="309"/>
      <c r="I28893" s="309"/>
      <c r="J28893" s="309"/>
    </row>
    <row r="28894">
      <c r="B28894" s="309"/>
      <c r="C28894" s="309"/>
      <c r="I28894" s="309"/>
      <c r="J28894" s="309"/>
    </row>
    <row r="28895">
      <c r="B28895" s="309"/>
      <c r="C28895" s="309"/>
      <c r="I28895" s="309"/>
      <c r="J28895" s="309"/>
    </row>
    <row r="28896">
      <c r="B28896" s="309"/>
      <c r="C28896" s="309"/>
      <c r="I28896" s="309"/>
      <c r="J28896" s="309"/>
    </row>
    <row r="28897">
      <c r="B28897" s="309"/>
      <c r="C28897" s="309"/>
      <c r="I28897" s="309"/>
      <c r="J28897" s="309"/>
    </row>
    <row r="28898">
      <c r="B28898" s="309"/>
      <c r="C28898" s="309"/>
      <c r="I28898" s="309"/>
      <c r="J28898" s="309"/>
    </row>
    <row r="28899">
      <c r="B28899" s="309"/>
      <c r="C28899" s="309"/>
      <c r="I28899" s="309"/>
      <c r="J28899" s="309"/>
    </row>
    <row r="28900">
      <c r="B28900" s="309"/>
      <c r="C28900" s="309"/>
      <c r="I28900" s="309"/>
      <c r="J28900" s="309"/>
    </row>
    <row r="28901">
      <c r="B28901" s="309"/>
      <c r="C28901" s="309"/>
      <c r="I28901" s="309"/>
      <c r="J28901" s="309"/>
    </row>
    <row r="28902">
      <c r="B28902" s="309"/>
      <c r="C28902" s="309"/>
      <c r="I28902" s="309"/>
      <c r="J28902" s="309"/>
    </row>
    <row r="28903">
      <c r="B28903" s="309"/>
      <c r="C28903" s="309"/>
      <c r="I28903" s="309"/>
      <c r="J28903" s="309"/>
    </row>
    <row r="28904">
      <c r="B28904" s="309"/>
      <c r="C28904" s="309"/>
      <c r="I28904" s="309"/>
      <c r="J28904" s="309"/>
    </row>
    <row r="28905">
      <c r="B28905" s="309"/>
      <c r="C28905" s="309"/>
      <c r="I28905" s="309"/>
      <c r="J28905" s="309"/>
    </row>
    <row r="28906">
      <c r="B28906" s="309"/>
      <c r="C28906" s="309"/>
      <c r="I28906" s="309"/>
      <c r="J28906" s="309"/>
    </row>
    <row r="28907">
      <c r="B28907" s="309"/>
      <c r="C28907" s="309"/>
      <c r="I28907" s="309"/>
      <c r="J28907" s="309"/>
    </row>
    <row r="28908">
      <c r="B28908" s="309"/>
      <c r="C28908" s="309"/>
      <c r="I28908" s="309"/>
      <c r="J28908" s="309"/>
    </row>
    <row r="28909">
      <c r="B28909" s="309"/>
      <c r="C28909" s="309"/>
      <c r="I28909" s="309"/>
      <c r="J28909" s="309"/>
    </row>
    <row r="28910">
      <c r="B28910" s="309"/>
      <c r="C28910" s="309"/>
      <c r="I28910" s="309"/>
      <c r="J28910" s="309"/>
    </row>
    <row r="28911">
      <c r="B28911" s="309"/>
      <c r="C28911" s="309"/>
      <c r="I28911" s="309"/>
      <c r="J28911" s="309"/>
    </row>
    <row r="28912">
      <c r="B28912" s="309"/>
      <c r="C28912" s="309"/>
      <c r="I28912" s="309"/>
      <c r="J28912" s="309"/>
    </row>
    <row r="28913">
      <c r="B28913" s="309"/>
      <c r="C28913" s="309"/>
      <c r="I28913" s="309"/>
      <c r="J28913" s="309"/>
    </row>
    <row r="28914">
      <c r="B28914" s="309"/>
      <c r="C28914" s="309"/>
      <c r="I28914" s="309"/>
      <c r="J28914" s="309"/>
    </row>
    <row r="28915">
      <c r="B28915" s="309"/>
      <c r="C28915" s="309"/>
      <c r="I28915" s="309"/>
      <c r="J28915" s="309"/>
    </row>
    <row r="28916">
      <c r="B28916" s="309"/>
      <c r="C28916" s="309"/>
      <c r="I28916" s="309"/>
      <c r="J28916" s="309"/>
    </row>
    <row r="28917">
      <c r="B28917" s="309"/>
      <c r="C28917" s="309"/>
      <c r="I28917" s="309"/>
      <c r="J28917" s="309"/>
    </row>
    <row r="28918">
      <c r="B28918" s="309"/>
      <c r="C28918" s="309"/>
      <c r="I28918" s="309"/>
      <c r="J28918" s="309"/>
    </row>
    <row r="28919">
      <c r="B28919" s="309"/>
      <c r="C28919" s="309"/>
      <c r="I28919" s="309"/>
      <c r="J28919" s="309"/>
    </row>
    <row r="28920">
      <c r="B28920" s="309"/>
      <c r="C28920" s="309"/>
      <c r="I28920" s="309"/>
      <c r="J28920" s="309"/>
    </row>
    <row r="28921">
      <c r="B28921" s="309"/>
      <c r="C28921" s="309"/>
      <c r="I28921" s="309"/>
      <c r="J28921" s="309"/>
    </row>
    <row r="28922">
      <c r="B28922" s="309"/>
      <c r="C28922" s="309"/>
      <c r="I28922" s="309"/>
      <c r="J28922" s="309"/>
    </row>
    <row r="28923">
      <c r="B28923" s="309"/>
      <c r="C28923" s="309"/>
      <c r="I28923" s="309"/>
      <c r="J28923" s="309"/>
    </row>
    <row r="28924">
      <c r="B28924" s="309"/>
      <c r="C28924" s="309"/>
      <c r="I28924" s="309"/>
      <c r="J28924" s="309"/>
    </row>
    <row r="28925">
      <c r="B28925" s="309"/>
      <c r="C28925" s="309"/>
      <c r="I28925" s="309"/>
      <c r="J28925" s="309"/>
    </row>
    <row r="28926">
      <c r="B28926" s="309"/>
      <c r="C28926" s="309"/>
      <c r="I28926" s="309"/>
      <c r="J28926" s="309"/>
    </row>
    <row r="28927">
      <c r="B28927" s="309"/>
      <c r="C28927" s="309"/>
      <c r="I28927" s="309"/>
      <c r="J28927" s="309"/>
    </row>
    <row r="28928">
      <c r="B28928" s="309"/>
      <c r="C28928" s="309"/>
      <c r="I28928" s="309"/>
      <c r="J28928" s="309"/>
    </row>
    <row r="28929">
      <c r="B28929" s="309"/>
      <c r="C28929" s="309"/>
      <c r="I28929" s="309"/>
      <c r="J28929" s="309"/>
    </row>
    <row r="28930">
      <c r="B28930" s="309"/>
      <c r="C28930" s="309"/>
      <c r="I28930" s="309"/>
      <c r="J28930" s="309"/>
    </row>
    <row r="28931">
      <c r="B28931" s="309"/>
      <c r="C28931" s="309"/>
      <c r="I28931" s="309"/>
      <c r="J28931" s="309"/>
    </row>
    <row r="28932">
      <c r="B28932" s="309"/>
      <c r="C28932" s="309"/>
      <c r="I28932" s="309"/>
      <c r="J28932" s="309"/>
    </row>
    <row r="28933">
      <c r="B28933" s="309"/>
      <c r="C28933" s="309"/>
      <c r="I28933" s="309"/>
      <c r="J28933" s="309"/>
    </row>
    <row r="28934">
      <c r="B28934" s="309"/>
      <c r="C28934" s="309"/>
      <c r="I28934" s="309"/>
      <c r="J28934" s="309"/>
    </row>
    <row r="28935">
      <c r="B28935" s="309"/>
      <c r="C28935" s="309"/>
      <c r="I28935" s="309"/>
      <c r="J28935" s="309"/>
    </row>
    <row r="28936">
      <c r="B28936" s="309"/>
      <c r="C28936" s="309"/>
      <c r="I28936" s="309"/>
      <c r="J28936" s="309"/>
    </row>
    <row r="28937">
      <c r="B28937" s="309"/>
      <c r="C28937" s="309"/>
      <c r="I28937" s="309"/>
      <c r="J28937" s="309"/>
    </row>
    <row r="28938">
      <c r="B28938" s="309"/>
      <c r="C28938" s="309"/>
      <c r="I28938" s="309"/>
      <c r="J28938" s="309"/>
    </row>
    <row r="28939">
      <c r="B28939" s="309"/>
      <c r="C28939" s="309"/>
      <c r="I28939" s="309"/>
      <c r="J28939" s="309"/>
    </row>
    <row r="28940">
      <c r="B28940" s="309"/>
      <c r="C28940" s="309"/>
      <c r="I28940" s="309"/>
      <c r="J28940" s="309"/>
    </row>
    <row r="28941">
      <c r="B28941" s="309"/>
      <c r="C28941" s="309"/>
      <c r="I28941" s="309"/>
      <c r="J28941" s="309"/>
    </row>
    <row r="28942">
      <c r="B28942" s="309"/>
      <c r="C28942" s="309"/>
      <c r="I28942" s="309"/>
      <c r="J28942" s="309"/>
    </row>
    <row r="28943">
      <c r="B28943" s="309"/>
      <c r="C28943" s="309"/>
      <c r="I28943" s="309"/>
      <c r="J28943" s="309"/>
    </row>
    <row r="28944">
      <c r="B28944" s="309"/>
      <c r="C28944" s="309"/>
      <c r="I28944" s="309"/>
      <c r="J28944" s="309"/>
    </row>
    <row r="28945">
      <c r="B28945" s="309"/>
      <c r="C28945" s="309"/>
      <c r="I28945" s="309"/>
      <c r="J28945" s="309"/>
    </row>
    <row r="28946">
      <c r="B28946" s="309"/>
      <c r="C28946" s="309"/>
      <c r="I28946" s="309"/>
      <c r="J28946" s="309"/>
    </row>
    <row r="28947">
      <c r="B28947" s="309"/>
      <c r="C28947" s="309"/>
      <c r="I28947" s="309"/>
      <c r="J28947" s="309"/>
    </row>
    <row r="28948">
      <c r="B28948" s="309"/>
      <c r="C28948" s="309"/>
      <c r="I28948" s="309"/>
      <c r="J28948" s="309"/>
    </row>
    <row r="28949">
      <c r="B28949" s="309"/>
      <c r="C28949" s="309"/>
      <c r="I28949" s="309"/>
      <c r="J28949" s="309"/>
    </row>
    <row r="28950">
      <c r="B28950" s="309"/>
      <c r="C28950" s="309"/>
      <c r="I28950" s="309"/>
      <c r="J28950" s="309"/>
    </row>
    <row r="28951">
      <c r="B28951" s="309"/>
      <c r="C28951" s="309"/>
      <c r="I28951" s="309"/>
      <c r="J28951" s="309"/>
    </row>
    <row r="28952">
      <c r="B28952" s="309"/>
      <c r="C28952" s="309"/>
      <c r="I28952" s="309"/>
      <c r="J28952" s="309"/>
    </row>
    <row r="28953">
      <c r="B28953" s="309"/>
      <c r="C28953" s="309"/>
      <c r="I28953" s="309"/>
      <c r="J28953" s="309"/>
    </row>
    <row r="28954">
      <c r="B28954" s="309"/>
      <c r="C28954" s="309"/>
      <c r="I28954" s="309"/>
      <c r="J28954" s="309"/>
    </row>
    <row r="28955">
      <c r="B28955" s="309"/>
      <c r="C28955" s="309"/>
      <c r="I28955" s="309"/>
      <c r="J28955" s="309"/>
    </row>
    <row r="28956">
      <c r="B28956" s="309"/>
      <c r="C28956" s="309"/>
      <c r="I28956" s="309"/>
      <c r="J28956" s="309"/>
    </row>
    <row r="28957">
      <c r="B28957" s="309"/>
      <c r="C28957" s="309"/>
      <c r="I28957" s="309"/>
      <c r="J28957" s="309"/>
    </row>
    <row r="28958">
      <c r="B28958" s="309"/>
      <c r="C28958" s="309"/>
      <c r="I28958" s="309"/>
      <c r="J28958" s="309"/>
    </row>
    <row r="28959">
      <c r="B28959" s="309"/>
      <c r="C28959" s="309"/>
      <c r="I28959" s="309"/>
      <c r="J28959" s="309"/>
    </row>
    <row r="28960">
      <c r="B28960" s="309"/>
      <c r="C28960" s="309"/>
      <c r="I28960" s="309"/>
      <c r="J28960" s="309"/>
    </row>
    <row r="28961">
      <c r="B28961" s="309"/>
      <c r="C28961" s="309"/>
      <c r="I28961" s="309"/>
      <c r="J28961" s="309"/>
    </row>
    <row r="28962">
      <c r="B28962" s="309"/>
      <c r="C28962" s="309"/>
      <c r="I28962" s="309"/>
      <c r="J28962" s="309"/>
    </row>
    <row r="28963">
      <c r="B28963" s="309"/>
      <c r="C28963" s="309"/>
      <c r="I28963" s="309"/>
      <c r="J28963" s="309"/>
    </row>
    <row r="28964">
      <c r="B28964" s="309"/>
      <c r="C28964" s="309"/>
      <c r="I28964" s="309"/>
      <c r="J28964" s="309"/>
    </row>
    <row r="28965">
      <c r="B28965" s="309"/>
      <c r="C28965" s="309"/>
      <c r="I28965" s="309"/>
      <c r="J28965" s="309"/>
    </row>
    <row r="28966">
      <c r="B28966" s="309"/>
      <c r="C28966" s="309"/>
      <c r="I28966" s="309"/>
      <c r="J28966" s="309"/>
    </row>
    <row r="28967">
      <c r="B28967" s="309"/>
      <c r="C28967" s="309"/>
      <c r="I28967" s="309"/>
      <c r="J28967" s="309"/>
    </row>
    <row r="28968">
      <c r="B28968" s="309"/>
      <c r="C28968" s="309"/>
      <c r="I28968" s="309"/>
      <c r="J28968" s="309"/>
    </row>
    <row r="28969">
      <c r="B28969" s="309"/>
      <c r="C28969" s="309"/>
      <c r="I28969" s="309"/>
      <c r="J28969" s="309"/>
    </row>
    <row r="28970">
      <c r="B28970" s="309"/>
      <c r="C28970" s="309"/>
      <c r="I28970" s="309"/>
      <c r="J28970" s="309"/>
    </row>
    <row r="28971">
      <c r="B28971" s="309"/>
      <c r="C28971" s="309"/>
      <c r="I28971" s="309"/>
      <c r="J28971" s="309"/>
    </row>
    <row r="28972">
      <c r="B28972" s="309"/>
      <c r="C28972" s="309"/>
      <c r="I28972" s="309"/>
      <c r="J28972" s="309"/>
    </row>
    <row r="28973">
      <c r="B28973" s="309"/>
      <c r="C28973" s="309"/>
      <c r="I28973" s="309"/>
      <c r="J28973" s="309"/>
    </row>
    <row r="28974">
      <c r="B28974" s="309"/>
      <c r="C28974" s="309"/>
      <c r="I28974" s="309"/>
      <c r="J28974" s="309"/>
    </row>
    <row r="28975">
      <c r="B28975" s="309"/>
      <c r="C28975" s="309"/>
      <c r="I28975" s="309"/>
      <c r="J28975" s="309"/>
    </row>
    <row r="28976">
      <c r="B28976" s="309"/>
      <c r="C28976" s="309"/>
      <c r="I28976" s="309"/>
      <c r="J28976" s="309"/>
    </row>
    <row r="28977">
      <c r="B28977" s="309"/>
      <c r="C28977" s="309"/>
      <c r="I28977" s="309"/>
      <c r="J28977" s="309"/>
    </row>
    <row r="28978">
      <c r="B28978" s="309"/>
      <c r="C28978" s="309"/>
      <c r="I28978" s="309"/>
      <c r="J28978" s="309"/>
    </row>
    <row r="28979">
      <c r="B28979" s="309"/>
      <c r="C28979" s="309"/>
      <c r="I28979" s="309"/>
      <c r="J28979" s="309"/>
    </row>
    <row r="28980">
      <c r="B28980" s="309"/>
      <c r="C28980" s="309"/>
      <c r="I28980" s="309"/>
      <c r="J28980" s="309"/>
    </row>
    <row r="28981">
      <c r="B28981" s="309"/>
      <c r="C28981" s="309"/>
      <c r="I28981" s="309"/>
      <c r="J28981" s="309"/>
    </row>
    <row r="28982">
      <c r="B28982" s="309"/>
      <c r="C28982" s="309"/>
      <c r="I28982" s="309"/>
      <c r="J28982" s="309"/>
    </row>
    <row r="28983">
      <c r="B28983" s="309"/>
      <c r="C28983" s="309"/>
      <c r="I28983" s="309"/>
      <c r="J28983" s="309"/>
    </row>
    <row r="28984">
      <c r="B28984" s="309"/>
      <c r="C28984" s="309"/>
      <c r="I28984" s="309"/>
      <c r="J28984" s="309"/>
    </row>
    <row r="28985">
      <c r="B28985" s="309"/>
      <c r="C28985" s="309"/>
      <c r="I28985" s="309"/>
      <c r="J28985" s="309"/>
    </row>
    <row r="28986">
      <c r="B28986" s="309"/>
      <c r="C28986" s="309"/>
      <c r="I28986" s="309"/>
      <c r="J28986" s="309"/>
    </row>
    <row r="28987">
      <c r="B28987" s="309"/>
      <c r="C28987" s="309"/>
      <c r="I28987" s="309"/>
      <c r="J28987" s="309"/>
    </row>
    <row r="28988">
      <c r="B28988" s="309"/>
      <c r="C28988" s="309"/>
      <c r="I28988" s="309"/>
      <c r="J28988" s="309"/>
    </row>
    <row r="28989">
      <c r="B28989" s="309"/>
      <c r="C28989" s="309"/>
      <c r="I28989" s="309"/>
      <c r="J28989" s="309"/>
    </row>
    <row r="28990">
      <c r="B28990" s="309"/>
      <c r="C28990" s="309"/>
      <c r="I28990" s="309"/>
      <c r="J28990" s="309"/>
    </row>
    <row r="28991">
      <c r="B28991" s="309"/>
      <c r="C28991" s="309"/>
      <c r="I28991" s="309"/>
      <c r="J28991" s="309"/>
    </row>
    <row r="28992">
      <c r="B28992" s="309"/>
      <c r="C28992" s="309"/>
      <c r="I28992" s="309"/>
      <c r="J28992" s="309"/>
    </row>
    <row r="28993">
      <c r="B28993" s="309"/>
      <c r="C28993" s="309"/>
      <c r="I28993" s="309"/>
      <c r="J28993" s="309"/>
    </row>
    <row r="28994">
      <c r="B28994" s="309"/>
      <c r="C28994" s="309"/>
      <c r="I28994" s="309"/>
      <c r="J28994" s="309"/>
    </row>
    <row r="28995">
      <c r="B28995" s="309"/>
      <c r="C28995" s="309"/>
      <c r="I28995" s="309"/>
      <c r="J28995" s="309"/>
    </row>
    <row r="28996">
      <c r="B28996" s="309"/>
      <c r="C28996" s="309"/>
      <c r="I28996" s="309"/>
      <c r="J28996" s="309"/>
    </row>
    <row r="28997">
      <c r="B28997" s="309"/>
      <c r="C28997" s="309"/>
      <c r="I28997" s="309"/>
      <c r="J28997" s="309"/>
    </row>
    <row r="28998">
      <c r="B28998" s="309"/>
      <c r="C28998" s="309"/>
      <c r="I28998" s="309"/>
      <c r="J28998" s="309"/>
    </row>
    <row r="28999">
      <c r="B28999" s="309"/>
      <c r="C28999" s="309"/>
      <c r="I28999" s="309"/>
      <c r="J28999" s="309"/>
    </row>
    <row r="29000">
      <c r="B29000" s="309"/>
      <c r="C29000" s="309"/>
      <c r="I29000" s="309"/>
      <c r="J29000" s="309"/>
    </row>
    <row r="29001">
      <c r="B29001" s="309"/>
      <c r="C29001" s="309"/>
      <c r="I29001" s="309"/>
      <c r="J29001" s="309"/>
    </row>
    <row r="29002">
      <c r="B29002" s="309"/>
      <c r="C29002" s="309"/>
      <c r="I29002" s="309"/>
      <c r="J29002" s="309"/>
    </row>
    <row r="29003">
      <c r="B29003" s="309"/>
      <c r="C29003" s="309"/>
      <c r="I29003" s="309"/>
      <c r="J29003" s="309"/>
    </row>
    <row r="29004">
      <c r="B29004" s="309"/>
      <c r="C29004" s="309"/>
      <c r="I29004" s="309"/>
      <c r="J29004" s="309"/>
    </row>
    <row r="29005">
      <c r="B29005" s="309"/>
      <c r="C29005" s="309"/>
      <c r="I29005" s="309"/>
      <c r="J29005" s="309"/>
    </row>
    <row r="29006">
      <c r="B29006" s="309"/>
      <c r="C29006" s="309"/>
      <c r="I29006" s="309"/>
      <c r="J29006" s="309"/>
    </row>
    <row r="29007">
      <c r="B29007" s="309"/>
      <c r="C29007" s="309"/>
      <c r="I29007" s="309"/>
      <c r="J29007" s="309"/>
    </row>
    <row r="29008">
      <c r="B29008" s="309"/>
      <c r="C29008" s="309"/>
      <c r="I29008" s="309"/>
      <c r="J29008" s="309"/>
    </row>
    <row r="29009">
      <c r="B29009" s="309"/>
      <c r="C29009" s="309"/>
      <c r="I29009" s="309"/>
      <c r="J29009" s="309"/>
    </row>
    <row r="29010">
      <c r="B29010" s="309"/>
      <c r="C29010" s="309"/>
      <c r="I29010" s="309"/>
      <c r="J29010" s="309"/>
    </row>
    <row r="29011">
      <c r="B29011" s="309"/>
      <c r="C29011" s="309"/>
      <c r="I29011" s="309"/>
      <c r="J29011" s="309"/>
    </row>
    <row r="29012">
      <c r="B29012" s="309"/>
      <c r="C29012" s="309"/>
      <c r="I29012" s="309"/>
      <c r="J29012" s="309"/>
    </row>
    <row r="29013">
      <c r="B29013" s="309"/>
      <c r="C29013" s="309"/>
      <c r="I29013" s="309"/>
      <c r="J29013" s="309"/>
    </row>
    <row r="29014">
      <c r="B29014" s="309"/>
      <c r="C29014" s="309"/>
      <c r="I29014" s="309"/>
      <c r="J29014" s="309"/>
    </row>
    <row r="29015">
      <c r="B29015" s="309"/>
      <c r="C29015" s="309"/>
      <c r="I29015" s="309"/>
      <c r="J29015" s="309"/>
    </row>
    <row r="29016">
      <c r="B29016" s="309"/>
      <c r="C29016" s="309"/>
      <c r="I29016" s="309"/>
      <c r="J29016" s="309"/>
    </row>
    <row r="29017">
      <c r="B29017" s="309"/>
      <c r="C29017" s="309"/>
      <c r="I29017" s="309"/>
      <c r="J29017" s="309"/>
    </row>
    <row r="29018">
      <c r="B29018" s="309"/>
      <c r="C29018" s="309"/>
      <c r="I29018" s="309"/>
      <c r="J29018" s="309"/>
    </row>
    <row r="29019">
      <c r="B29019" s="309"/>
      <c r="C29019" s="309"/>
      <c r="I29019" s="309"/>
      <c r="J29019" s="309"/>
    </row>
    <row r="29020">
      <c r="B29020" s="309"/>
      <c r="C29020" s="309"/>
      <c r="I29020" s="309"/>
      <c r="J29020" s="309"/>
    </row>
    <row r="29021">
      <c r="B29021" s="309"/>
      <c r="C29021" s="309"/>
      <c r="I29021" s="309"/>
      <c r="J29021" s="309"/>
    </row>
    <row r="29022">
      <c r="B29022" s="309"/>
      <c r="C29022" s="309"/>
      <c r="I29022" s="309"/>
      <c r="J29022" s="309"/>
    </row>
    <row r="29023">
      <c r="B29023" s="309"/>
      <c r="C29023" s="309"/>
      <c r="I29023" s="309"/>
      <c r="J29023" s="309"/>
    </row>
    <row r="29024">
      <c r="B29024" s="309"/>
      <c r="C29024" s="309"/>
      <c r="I29024" s="309"/>
      <c r="J29024" s="309"/>
    </row>
    <row r="29025">
      <c r="B29025" s="309"/>
      <c r="C29025" s="309"/>
      <c r="I29025" s="309"/>
      <c r="J29025" s="309"/>
    </row>
    <row r="29026">
      <c r="B29026" s="309"/>
      <c r="C29026" s="309"/>
      <c r="I29026" s="309"/>
      <c r="J29026" s="309"/>
    </row>
    <row r="29027">
      <c r="B29027" s="309"/>
      <c r="C29027" s="309"/>
      <c r="I29027" s="309"/>
      <c r="J29027" s="309"/>
    </row>
    <row r="29028">
      <c r="B29028" s="309"/>
      <c r="C29028" s="309"/>
      <c r="I29028" s="309"/>
      <c r="J29028" s="309"/>
    </row>
    <row r="29029">
      <c r="B29029" s="309"/>
      <c r="C29029" s="309"/>
      <c r="I29029" s="309"/>
      <c r="J29029" s="309"/>
    </row>
    <row r="29030">
      <c r="B29030" s="309"/>
      <c r="C29030" s="309"/>
      <c r="I29030" s="309"/>
      <c r="J29030" s="309"/>
    </row>
    <row r="29031">
      <c r="B29031" s="309"/>
      <c r="C29031" s="309"/>
      <c r="I29031" s="309"/>
      <c r="J29031" s="309"/>
    </row>
    <row r="29032">
      <c r="B29032" s="309"/>
      <c r="C29032" s="309"/>
      <c r="I29032" s="309"/>
      <c r="J29032" s="309"/>
    </row>
    <row r="29033">
      <c r="B29033" s="309"/>
      <c r="C29033" s="309"/>
      <c r="I29033" s="309"/>
      <c r="J29033" s="309"/>
    </row>
    <row r="29034">
      <c r="B29034" s="309"/>
      <c r="C29034" s="309"/>
      <c r="I29034" s="309"/>
      <c r="J29034" s="309"/>
    </row>
    <row r="29035">
      <c r="B29035" s="309"/>
      <c r="C29035" s="309"/>
      <c r="I29035" s="309"/>
      <c r="J29035" s="309"/>
    </row>
    <row r="29036">
      <c r="B29036" s="309"/>
      <c r="C29036" s="309"/>
      <c r="I29036" s="309"/>
      <c r="J29036" s="309"/>
    </row>
    <row r="29037">
      <c r="B29037" s="309"/>
      <c r="C29037" s="309"/>
      <c r="I29037" s="309"/>
      <c r="J29037" s="309"/>
    </row>
    <row r="29038">
      <c r="B29038" s="309"/>
      <c r="C29038" s="309"/>
      <c r="I29038" s="309"/>
      <c r="J29038" s="309"/>
    </row>
    <row r="29039">
      <c r="B29039" s="309"/>
      <c r="C29039" s="309"/>
      <c r="I29039" s="309"/>
      <c r="J29039" s="309"/>
    </row>
    <row r="29040">
      <c r="B29040" s="309"/>
      <c r="C29040" s="309"/>
      <c r="I29040" s="309"/>
      <c r="J29040" s="309"/>
    </row>
    <row r="29041">
      <c r="B29041" s="309"/>
      <c r="C29041" s="309"/>
      <c r="I29041" s="309"/>
      <c r="J29041" s="309"/>
    </row>
    <row r="29042">
      <c r="B29042" s="309"/>
      <c r="C29042" s="309"/>
      <c r="I29042" s="309"/>
      <c r="J29042" s="309"/>
    </row>
    <row r="29043">
      <c r="B29043" s="309"/>
      <c r="C29043" s="309"/>
      <c r="I29043" s="309"/>
      <c r="J29043" s="309"/>
    </row>
    <row r="29044">
      <c r="B29044" s="309"/>
      <c r="C29044" s="309"/>
      <c r="I29044" s="309"/>
      <c r="J29044" s="309"/>
    </row>
    <row r="29045">
      <c r="B29045" s="309"/>
      <c r="C29045" s="309"/>
      <c r="I29045" s="309"/>
      <c r="J29045" s="309"/>
    </row>
    <row r="29046">
      <c r="B29046" s="309"/>
      <c r="C29046" s="309"/>
      <c r="I29046" s="309"/>
      <c r="J29046" s="309"/>
    </row>
    <row r="29047">
      <c r="B29047" s="309"/>
      <c r="C29047" s="309"/>
      <c r="I29047" s="309"/>
      <c r="J29047" s="309"/>
    </row>
    <row r="29048">
      <c r="B29048" s="309"/>
      <c r="C29048" s="309"/>
      <c r="I29048" s="309"/>
      <c r="J29048" s="309"/>
    </row>
    <row r="29049">
      <c r="B29049" s="309"/>
      <c r="C29049" s="309"/>
      <c r="I29049" s="309"/>
      <c r="J29049" s="309"/>
    </row>
    <row r="29050">
      <c r="B29050" s="309"/>
      <c r="C29050" s="309"/>
      <c r="I29050" s="309"/>
      <c r="J29050" s="309"/>
    </row>
    <row r="29051">
      <c r="B29051" s="309"/>
      <c r="C29051" s="309"/>
      <c r="I29051" s="309"/>
      <c r="J29051" s="309"/>
    </row>
    <row r="29052">
      <c r="B29052" s="309"/>
      <c r="C29052" s="309"/>
      <c r="I29052" s="309"/>
      <c r="J29052" s="309"/>
    </row>
    <row r="29053">
      <c r="B29053" s="309"/>
      <c r="C29053" s="309"/>
      <c r="I29053" s="309"/>
      <c r="J29053" s="309"/>
    </row>
    <row r="29054">
      <c r="B29054" s="309"/>
      <c r="C29054" s="309"/>
      <c r="I29054" s="309"/>
      <c r="J29054" s="309"/>
    </row>
    <row r="29055">
      <c r="B29055" s="309"/>
      <c r="C29055" s="309"/>
      <c r="I29055" s="309"/>
      <c r="J29055" s="309"/>
    </row>
    <row r="29056">
      <c r="B29056" s="309"/>
      <c r="C29056" s="309"/>
      <c r="I29056" s="309"/>
      <c r="J29056" s="309"/>
    </row>
    <row r="29057">
      <c r="B29057" s="309"/>
      <c r="C29057" s="309"/>
      <c r="I29057" s="309"/>
      <c r="J29057" s="309"/>
    </row>
    <row r="29058">
      <c r="B29058" s="309"/>
      <c r="C29058" s="309"/>
      <c r="I29058" s="309"/>
      <c r="J29058" s="309"/>
    </row>
    <row r="29059">
      <c r="B29059" s="309"/>
      <c r="C29059" s="309"/>
      <c r="I29059" s="309"/>
      <c r="J29059" s="309"/>
    </row>
    <row r="29060">
      <c r="B29060" s="309"/>
      <c r="C29060" s="309"/>
      <c r="I29060" s="309"/>
      <c r="J29060" s="309"/>
    </row>
    <row r="29061">
      <c r="B29061" s="309"/>
      <c r="C29061" s="309"/>
      <c r="I29061" s="309"/>
      <c r="J29061" s="309"/>
    </row>
    <row r="29062">
      <c r="B29062" s="309"/>
      <c r="C29062" s="309"/>
      <c r="I29062" s="309"/>
      <c r="J29062" s="309"/>
    </row>
    <row r="29063">
      <c r="B29063" s="309"/>
      <c r="C29063" s="309"/>
      <c r="I29063" s="309"/>
      <c r="J29063" s="309"/>
    </row>
    <row r="29064">
      <c r="B29064" s="309"/>
      <c r="C29064" s="309"/>
      <c r="I29064" s="309"/>
      <c r="J29064" s="309"/>
    </row>
    <row r="29065">
      <c r="B29065" s="309"/>
      <c r="C29065" s="309"/>
      <c r="I29065" s="309"/>
      <c r="J29065" s="309"/>
    </row>
    <row r="29066">
      <c r="B29066" s="309"/>
      <c r="C29066" s="309"/>
      <c r="I29066" s="309"/>
      <c r="J29066" s="309"/>
    </row>
    <row r="29067">
      <c r="B29067" s="309"/>
      <c r="C29067" s="309"/>
      <c r="I29067" s="309"/>
      <c r="J29067" s="309"/>
    </row>
    <row r="29068">
      <c r="B29068" s="309"/>
      <c r="C29068" s="309"/>
      <c r="I29068" s="309"/>
      <c r="J29068" s="309"/>
    </row>
    <row r="29069">
      <c r="B29069" s="309"/>
      <c r="C29069" s="309"/>
      <c r="I29069" s="309"/>
      <c r="J29069" s="309"/>
    </row>
    <row r="29070">
      <c r="B29070" s="309"/>
      <c r="C29070" s="309"/>
      <c r="I29070" s="309"/>
      <c r="J29070" s="309"/>
    </row>
    <row r="29071">
      <c r="B29071" s="309"/>
      <c r="C29071" s="309"/>
      <c r="I29071" s="309"/>
      <c r="J29071" s="309"/>
    </row>
    <row r="29072">
      <c r="B29072" s="309"/>
      <c r="C29072" s="309"/>
      <c r="I29072" s="309"/>
      <c r="J29072" s="309"/>
    </row>
    <row r="29073">
      <c r="B29073" s="309"/>
      <c r="C29073" s="309"/>
      <c r="I29073" s="309"/>
      <c r="J29073" s="309"/>
    </row>
    <row r="29074">
      <c r="B29074" s="309"/>
      <c r="C29074" s="309"/>
      <c r="I29074" s="309"/>
      <c r="J29074" s="309"/>
    </row>
    <row r="29075">
      <c r="B29075" s="309"/>
      <c r="C29075" s="309"/>
      <c r="I29075" s="309"/>
      <c r="J29075" s="309"/>
    </row>
    <row r="29076">
      <c r="B29076" s="309"/>
      <c r="C29076" s="309"/>
      <c r="I29076" s="309"/>
      <c r="J29076" s="309"/>
    </row>
    <row r="29077">
      <c r="B29077" s="309"/>
      <c r="C29077" s="309"/>
      <c r="I29077" s="309"/>
      <c r="J29077" s="309"/>
    </row>
    <row r="29078">
      <c r="B29078" s="309"/>
      <c r="C29078" s="309"/>
      <c r="I29078" s="309"/>
      <c r="J29078" s="309"/>
    </row>
    <row r="29079">
      <c r="B29079" s="309"/>
      <c r="C29079" s="309"/>
      <c r="I29079" s="309"/>
      <c r="J29079" s="309"/>
    </row>
    <row r="29080">
      <c r="B29080" s="309"/>
      <c r="C29080" s="309"/>
      <c r="I29080" s="309"/>
      <c r="J29080" s="309"/>
    </row>
    <row r="29081">
      <c r="B29081" s="309"/>
      <c r="C29081" s="309"/>
      <c r="I29081" s="309"/>
      <c r="J29081" s="309"/>
    </row>
    <row r="29082">
      <c r="B29082" s="309"/>
      <c r="C29082" s="309"/>
      <c r="I29082" s="309"/>
      <c r="J29082" s="309"/>
    </row>
    <row r="29083">
      <c r="B29083" s="309"/>
      <c r="C29083" s="309"/>
      <c r="I29083" s="309"/>
      <c r="J29083" s="309"/>
    </row>
    <row r="29084">
      <c r="B29084" s="309"/>
      <c r="C29084" s="309"/>
      <c r="I29084" s="309"/>
      <c r="J29084" s="309"/>
    </row>
    <row r="29085">
      <c r="B29085" s="309"/>
      <c r="C29085" s="309"/>
      <c r="I29085" s="309"/>
      <c r="J29085" s="309"/>
    </row>
    <row r="29086">
      <c r="B29086" s="309"/>
      <c r="C29086" s="309"/>
      <c r="I29086" s="309"/>
      <c r="J29086" s="309"/>
    </row>
    <row r="29087">
      <c r="B29087" s="309"/>
      <c r="C29087" s="309"/>
      <c r="I29087" s="309"/>
      <c r="J29087" s="309"/>
    </row>
    <row r="29088">
      <c r="B29088" s="309"/>
      <c r="C29088" s="309"/>
      <c r="I29088" s="309"/>
      <c r="J29088" s="309"/>
    </row>
    <row r="29089">
      <c r="B29089" s="309"/>
      <c r="C29089" s="309"/>
      <c r="I29089" s="309"/>
      <c r="J29089" s="309"/>
    </row>
    <row r="29090">
      <c r="B29090" s="309"/>
      <c r="C29090" s="309"/>
      <c r="I29090" s="309"/>
      <c r="J29090" s="309"/>
    </row>
    <row r="29091">
      <c r="B29091" s="309"/>
      <c r="C29091" s="309"/>
      <c r="I29091" s="309"/>
      <c r="J29091" s="309"/>
    </row>
    <row r="29092">
      <c r="B29092" s="309"/>
      <c r="C29092" s="309"/>
      <c r="I29092" s="309"/>
      <c r="J29092" s="309"/>
    </row>
    <row r="29093">
      <c r="B29093" s="309"/>
      <c r="C29093" s="309"/>
      <c r="I29093" s="309"/>
      <c r="J29093" s="309"/>
    </row>
    <row r="29094">
      <c r="B29094" s="309"/>
      <c r="C29094" s="309"/>
      <c r="I29094" s="309"/>
      <c r="J29094" s="309"/>
    </row>
    <row r="29095">
      <c r="B29095" s="309"/>
      <c r="C29095" s="309"/>
      <c r="I29095" s="309"/>
      <c r="J29095" s="309"/>
    </row>
    <row r="29096">
      <c r="B29096" s="309"/>
      <c r="C29096" s="309"/>
      <c r="I29096" s="309"/>
      <c r="J29096" s="309"/>
    </row>
    <row r="29097">
      <c r="B29097" s="309"/>
      <c r="C29097" s="309"/>
      <c r="I29097" s="309"/>
      <c r="J29097" s="309"/>
    </row>
    <row r="29098">
      <c r="B29098" s="309"/>
      <c r="C29098" s="309"/>
      <c r="I29098" s="309"/>
      <c r="J29098" s="309"/>
    </row>
    <row r="29099">
      <c r="B29099" s="309"/>
      <c r="C29099" s="309"/>
      <c r="I29099" s="309"/>
      <c r="J29099" s="309"/>
    </row>
    <row r="29100">
      <c r="B29100" s="309"/>
      <c r="C29100" s="309"/>
      <c r="I29100" s="309"/>
      <c r="J29100" s="309"/>
    </row>
    <row r="29101">
      <c r="B29101" s="309"/>
      <c r="C29101" s="309"/>
      <c r="I29101" s="309"/>
      <c r="J29101" s="309"/>
    </row>
    <row r="29102">
      <c r="B29102" s="309"/>
      <c r="C29102" s="309"/>
      <c r="I29102" s="309"/>
      <c r="J29102" s="309"/>
    </row>
    <row r="29103">
      <c r="B29103" s="309"/>
      <c r="C29103" s="309"/>
      <c r="I29103" s="309"/>
      <c r="J29103" s="309"/>
    </row>
    <row r="29104">
      <c r="B29104" s="309"/>
      <c r="C29104" s="309"/>
      <c r="I29104" s="309"/>
      <c r="J29104" s="309"/>
    </row>
    <row r="29105">
      <c r="B29105" s="309"/>
      <c r="C29105" s="309"/>
      <c r="I29105" s="309"/>
      <c r="J29105" s="309"/>
    </row>
    <row r="29106">
      <c r="B29106" s="309"/>
      <c r="C29106" s="309"/>
      <c r="I29106" s="309"/>
      <c r="J29106" s="309"/>
    </row>
    <row r="29107">
      <c r="B29107" s="309"/>
      <c r="C29107" s="309"/>
      <c r="I29107" s="309"/>
      <c r="J29107" s="309"/>
    </row>
    <row r="29108">
      <c r="B29108" s="309"/>
      <c r="C29108" s="309"/>
      <c r="I29108" s="309"/>
      <c r="J29108" s="309"/>
    </row>
    <row r="29109">
      <c r="B29109" s="309"/>
      <c r="C29109" s="309"/>
      <c r="I29109" s="309"/>
      <c r="J29109" s="309"/>
    </row>
    <row r="29110">
      <c r="B29110" s="309"/>
      <c r="C29110" s="309"/>
      <c r="I29110" s="309"/>
      <c r="J29110" s="309"/>
    </row>
    <row r="29111">
      <c r="B29111" s="309"/>
      <c r="C29111" s="309"/>
      <c r="I29111" s="309"/>
      <c r="J29111" s="309"/>
    </row>
    <row r="29112">
      <c r="B29112" s="309"/>
      <c r="C29112" s="309"/>
      <c r="I29112" s="309"/>
      <c r="J29112" s="309"/>
    </row>
    <row r="29113">
      <c r="B29113" s="309"/>
      <c r="C29113" s="309"/>
      <c r="I29113" s="309"/>
      <c r="J29113" s="309"/>
    </row>
    <row r="29114">
      <c r="B29114" s="309"/>
      <c r="C29114" s="309"/>
      <c r="I29114" s="309"/>
      <c r="J29114" s="309"/>
    </row>
    <row r="29115">
      <c r="B29115" s="309"/>
      <c r="C29115" s="309"/>
      <c r="I29115" s="309"/>
      <c r="J29115" s="309"/>
    </row>
    <row r="29116">
      <c r="B29116" s="309"/>
      <c r="C29116" s="309"/>
      <c r="I29116" s="309"/>
      <c r="J29116" s="309"/>
    </row>
    <row r="29117">
      <c r="B29117" s="309"/>
      <c r="C29117" s="309"/>
      <c r="I29117" s="309"/>
      <c r="J29117" s="309"/>
    </row>
    <row r="29118">
      <c r="B29118" s="309"/>
      <c r="C29118" s="309"/>
      <c r="I29118" s="309"/>
      <c r="J29118" s="309"/>
    </row>
    <row r="29119">
      <c r="B29119" s="309"/>
      <c r="C29119" s="309"/>
      <c r="I29119" s="309"/>
      <c r="J29119" s="309"/>
    </row>
    <row r="29120">
      <c r="B29120" s="309"/>
      <c r="C29120" s="309"/>
      <c r="I29120" s="309"/>
      <c r="J29120" s="309"/>
    </row>
    <row r="29121">
      <c r="B29121" s="309"/>
      <c r="C29121" s="309"/>
      <c r="I29121" s="309"/>
      <c r="J29121" s="309"/>
    </row>
    <row r="29122">
      <c r="B29122" s="309"/>
      <c r="C29122" s="309"/>
      <c r="I29122" s="309"/>
      <c r="J29122" s="309"/>
    </row>
    <row r="29123">
      <c r="B29123" s="309"/>
      <c r="C29123" s="309"/>
      <c r="I29123" s="309"/>
      <c r="J29123" s="309"/>
    </row>
    <row r="29124">
      <c r="B29124" s="309"/>
      <c r="C29124" s="309"/>
      <c r="I29124" s="309"/>
      <c r="J29124" s="309"/>
    </row>
    <row r="29125">
      <c r="B29125" s="309"/>
      <c r="C29125" s="309"/>
      <c r="I29125" s="309"/>
      <c r="J29125" s="309"/>
    </row>
    <row r="29126">
      <c r="B29126" s="309"/>
      <c r="C29126" s="309"/>
      <c r="I29126" s="309"/>
      <c r="J29126" s="309"/>
    </row>
    <row r="29127">
      <c r="B29127" s="309"/>
      <c r="C29127" s="309"/>
      <c r="I29127" s="309"/>
      <c r="J29127" s="309"/>
    </row>
    <row r="29128">
      <c r="B29128" s="309"/>
      <c r="C29128" s="309"/>
      <c r="I29128" s="309"/>
      <c r="J29128" s="309"/>
    </row>
    <row r="29129">
      <c r="B29129" s="309"/>
      <c r="C29129" s="309"/>
      <c r="I29129" s="309"/>
      <c r="J29129" s="309"/>
    </row>
    <row r="29130">
      <c r="B29130" s="309"/>
      <c r="C29130" s="309"/>
      <c r="I29130" s="309"/>
      <c r="J29130" s="309"/>
    </row>
    <row r="29131">
      <c r="B29131" s="309"/>
      <c r="C29131" s="309"/>
      <c r="I29131" s="309"/>
      <c r="J29131" s="309"/>
    </row>
    <row r="29132">
      <c r="B29132" s="309"/>
      <c r="C29132" s="309"/>
      <c r="I29132" s="309"/>
      <c r="J29132" s="309"/>
    </row>
    <row r="29133">
      <c r="B29133" s="309"/>
      <c r="C29133" s="309"/>
      <c r="I29133" s="309"/>
      <c r="J29133" s="309"/>
    </row>
    <row r="29134">
      <c r="B29134" s="309"/>
      <c r="C29134" s="309"/>
      <c r="I29134" s="309"/>
      <c r="J29134" s="309"/>
    </row>
    <row r="29135">
      <c r="B29135" s="309"/>
      <c r="C29135" s="309"/>
      <c r="I29135" s="309"/>
      <c r="J29135" s="309"/>
    </row>
    <row r="29136">
      <c r="B29136" s="309"/>
      <c r="C29136" s="309"/>
      <c r="I29136" s="309"/>
      <c r="J29136" s="309"/>
    </row>
    <row r="29137">
      <c r="B29137" s="309"/>
      <c r="C29137" s="309"/>
      <c r="I29137" s="309"/>
      <c r="J29137" s="309"/>
    </row>
    <row r="29138">
      <c r="B29138" s="309"/>
      <c r="C29138" s="309"/>
      <c r="I29138" s="309"/>
      <c r="J29138" s="309"/>
    </row>
    <row r="29139">
      <c r="B29139" s="309"/>
      <c r="C29139" s="309"/>
      <c r="I29139" s="309"/>
      <c r="J29139" s="309"/>
    </row>
    <row r="29140">
      <c r="B29140" s="309"/>
      <c r="C29140" s="309"/>
      <c r="I29140" s="309"/>
      <c r="J29140" s="309"/>
    </row>
    <row r="29141">
      <c r="B29141" s="309"/>
      <c r="C29141" s="309"/>
      <c r="I29141" s="309"/>
      <c r="J29141" s="309"/>
    </row>
    <row r="29142">
      <c r="B29142" s="309"/>
      <c r="C29142" s="309"/>
      <c r="I29142" s="309"/>
      <c r="J29142" s="309"/>
    </row>
    <row r="29143">
      <c r="B29143" s="309"/>
      <c r="C29143" s="309"/>
      <c r="I29143" s="309"/>
      <c r="J29143" s="309"/>
    </row>
    <row r="29144">
      <c r="B29144" s="309"/>
      <c r="C29144" s="309"/>
      <c r="I29144" s="309"/>
      <c r="J29144" s="309"/>
    </row>
    <row r="29145">
      <c r="B29145" s="309"/>
      <c r="C29145" s="309"/>
      <c r="I29145" s="309"/>
      <c r="J29145" s="309"/>
    </row>
    <row r="29146">
      <c r="B29146" s="309"/>
      <c r="C29146" s="309"/>
      <c r="I29146" s="309"/>
      <c r="J29146" s="309"/>
    </row>
    <row r="29147">
      <c r="B29147" s="309"/>
      <c r="C29147" s="309"/>
      <c r="I29147" s="309"/>
      <c r="J29147" s="309"/>
    </row>
    <row r="29148">
      <c r="B29148" s="309"/>
      <c r="C29148" s="309"/>
      <c r="I29148" s="309"/>
      <c r="J29148" s="309"/>
    </row>
    <row r="29149">
      <c r="B29149" s="309"/>
      <c r="C29149" s="309"/>
      <c r="I29149" s="309"/>
      <c r="J29149" s="309"/>
    </row>
    <row r="29150">
      <c r="B29150" s="309"/>
      <c r="C29150" s="309"/>
      <c r="I29150" s="309"/>
      <c r="J29150" s="309"/>
    </row>
    <row r="29151">
      <c r="B29151" s="309"/>
      <c r="C29151" s="309"/>
      <c r="I29151" s="309"/>
      <c r="J29151" s="309"/>
    </row>
    <row r="29152">
      <c r="B29152" s="309"/>
      <c r="C29152" s="309"/>
      <c r="I29152" s="309"/>
      <c r="J29152" s="309"/>
    </row>
    <row r="29153">
      <c r="B29153" s="309"/>
      <c r="C29153" s="309"/>
      <c r="I29153" s="309"/>
      <c r="J29153" s="309"/>
    </row>
    <row r="29154">
      <c r="B29154" s="309"/>
      <c r="C29154" s="309"/>
      <c r="I29154" s="309"/>
      <c r="J29154" s="309"/>
    </row>
    <row r="29155">
      <c r="B29155" s="309"/>
      <c r="C29155" s="309"/>
      <c r="I29155" s="309"/>
      <c r="J29155" s="309"/>
    </row>
    <row r="29156">
      <c r="B29156" s="309"/>
      <c r="C29156" s="309"/>
      <c r="I29156" s="309"/>
      <c r="J29156" s="309"/>
    </row>
    <row r="29157">
      <c r="B29157" s="309"/>
      <c r="C29157" s="309"/>
      <c r="I29157" s="309"/>
      <c r="J29157" s="309"/>
    </row>
    <row r="29158">
      <c r="B29158" s="309"/>
      <c r="C29158" s="309"/>
      <c r="I29158" s="309"/>
      <c r="J29158" s="309"/>
    </row>
    <row r="29159">
      <c r="B29159" s="309"/>
      <c r="C29159" s="309"/>
      <c r="I29159" s="309"/>
      <c r="J29159" s="309"/>
    </row>
    <row r="29160">
      <c r="B29160" s="309"/>
      <c r="C29160" s="309"/>
      <c r="I29160" s="309"/>
      <c r="J29160" s="309"/>
    </row>
    <row r="29161">
      <c r="B29161" s="309"/>
      <c r="C29161" s="309"/>
      <c r="I29161" s="309"/>
      <c r="J29161" s="309"/>
    </row>
    <row r="29162">
      <c r="B29162" s="309"/>
      <c r="C29162" s="309"/>
      <c r="I29162" s="309"/>
      <c r="J29162" s="309"/>
    </row>
    <row r="29163">
      <c r="B29163" s="309"/>
      <c r="C29163" s="309"/>
      <c r="I29163" s="309"/>
      <c r="J29163" s="309"/>
    </row>
    <row r="29164">
      <c r="B29164" s="309"/>
      <c r="C29164" s="309"/>
      <c r="I29164" s="309"/>
      <c r="J29164" s="309"/>
    </row>
    <row r="29165">
      <c r="B29165" s="309"/>
      <c r="C29165" s="309"/>
      <c r="I29165" s="309"/>
      <c r="J29165" s="309"/>
    </row>
    <row r="29166">
      <c r="B29166" s="309"/>
      <c r="C29166" s="309"/>
      <c r="I29166" s="309"/>
      <c r="J29166" s="309"/>
    </row>
    <row r="29167">
      <c r="B29167" s="309"/>
      <c r="C29167" s="309"/>
      <c r="I29167" s="309"/>
      <c r="J29167" s="309"/>
    </row>
    <row r="29168">
      <c r="B29168" s="309"/>
      <c r="C29168" s="309"/>
      <c r="I29168" s="309"/>
      <c r="J29168" s="309"/>
    </row>
    <row r="29169">
      <c r="B29169" s="309"/>
      <c r="C29169" s="309"/>
      <c r="I29169" s="309"/>
      <c r="J29169" s="309"/>
    </row>
    <row r="29170">
      <c r="B29170" s="309"/>
      <c r="C29170" s="309"/>
      <c r="I29170" s="309"/>
      <c r="J29170" s="309"/>
    </row>
    <row r="29171">
      <c r="B29171" s="309"/>
      <c r="C29171" s="309"/>
      <c r="I29171" s="309"/>
      <c r="J29171" s="309"/>
    </row>
    <row r="29172">
      <c r="B29172" s="309"/>
      <c r="C29172" s="309"/>
      <c r="I29172" s="309"/>
      <c r="J29172" s="309"/>
    </row>
    <row r="29173">
      <c r="B29173" s="309"/>
      <c r="C29173" s="309"/>
      <c r="I29173" s="309"/>
      <c r="J29173" s="309"/>
    </row>
    <row r="29174">
      <c r="B29174" s="309"/>
      <c r="C29174" s="309"/>
      <c r="I29174" s="309"/>
      <c r="J29174" s="309"/>
    </row>
    <row r="29175">
      <c r="B29175" s="309"/>
      <c r="C29175" s="309"/>
      <c r="I29175" s="309"/>
      <c r="J29175" s="309"/>
    </row>
    <row r="29176">
      <c r="B29176" s="309"/>
      <c r="C29176" s="309"/>
      <c r="I29176" s="309"/>
      <c r="J29176" s="309"/>
    </row>
    <row r="29177">
      <c r="B29177" s="309"/>
      <c r="C29177" s="309"/>
      <c r="I29177" s="309"/>
      <c r="J29177" s="309"/>
    </row>
    <row r="29178">
      <c r="B29178" s="309"/>
      <c r="C29178" s="309"/>
      <c r="I29178" s="309"/>
      <c r="J29178" s="309"/>
    </row>
    <row r="29179">
      <c r="B29179" s="309"/>
      <c r="C29179" s="309"/>
      <c r="I29179" s="309"/>
      <c r="J29179" s="309"/>
    </row>
    <row r="29180">
      <c r="B29180" s="309"/>
      <c r="C29180" s="309"/>
      <c r="I29180" s="309"/>
      <c r="J29180" s="309"/>
    </row>
    <row r="29181">
      <c r="B29181" s="309"/>
      <c r="C29181" s="309"/>
      <c r="I29181" s="309"/>
      <c r="J29181" s="309"/>
    </row>
    <row r="29182">
      <c r="B29182" s="309"/>
      <c r="C29182" s="309"/>
      <c r="I29182" s="309"/>
      <c r="J29182" s="309"/>
    </row>
    <row r="29183">
      <c r="B29183" s="309"/>
      <c r="C29183" s="309"/>
      <c r="I29183" s="309"/>
      <c r="J29183" s="309"/>
    </row>
    <row r="29184">
      <c r="B29184" s="309"/>
      <c r="C29184" s="309"/>
      <c r="I29184" s="309"/>
      <c r="J29184" s="309"/>
    </row>
    <row r="29185">
      <c r="B29185" s="309"/>
      <c r="C29185" s="309"/>
      <c r="I29185" s="309"/>
      <c r="J29185" s="309"/>
    </row>
    <row r="29186">
      <c r="B29186" s="309"/>
      <c r="C29186" s="309"/>
      <c r="I29186" s="309"/>
      <c r="J29186" s="309"/>
    </row>
    <row r="29187">
      <c r="B29187" s="309"/>
      <c r="C29187" s="309"/>
      <c r="I29187" s="309"/>
      <c r="J29187" s="309"/>
    </row>
    <row r="29188">
      <c r="B29188" s="309"/>
      <c r="C29188" s="309"/>
      <c r="I29188" s="309"/>
      <c r="J29188" s="309"/>
    </row>
    <row r="29189">
      <c r="B29189" s="309"/>
      <c r="C29189" s="309"/>
      <c r="I29189" s="309"/>
      <c r="J29189" s="309"/>
    </row>
    <row r="29190">
      <c r="B29190" s="309"/>
      <c r="C29190" s="309"/>
      <c r="I29190" s="309"/>
      <c r="J29190" s="309"/>
    </row>
    <row r="29191">
      <c r="B29191" s="309"/>
      <c r="C29191" s="309"/>
      <c r="I29191" s="309"/>
      <c r="J29191" s="309"/>
    </row>
    <row r="29192">
      <c r="B29192" s="309"/>
      <c r="C29192" s="309"/>
      <c r="I29192" s="309"/>
      <c r="J29192" s="309"/>
    </row>
    <row r="29193">
      <c r="B29193" s="309"/>
      <c r="C29193" s="309"/>
      <c r="I29193" s="309"/>
      <c r="J29193" s="309"/>
    </row>
    <row r="29194">
      <c r="B29194" s="309"/>
      <c r="C29194" s="309"/>
      <c r="I29194" s="309"/>
      <c r="J29194" s="309"/>
    </row>
    <row r="29195">
      <c r="B29195" s="309"/>
      <c r="C29195" s="309"/>
      <c r="I29195" s="309"/>
      <c r="J29195" s="309"/>
    </row>
    <row r="29196">
      <c r="B29196" s="309"/>
      <c r="C29196" s="309"/>
      <c r="I29196" s="309"/>
      <c r="J29196" s="309"/>
    </row>
    <row r="29197">
      <c r="B29197" s="309"/>
      <c r="C29197" s="309"/>
      <c r="I29197" s="309"/>
      <c r="J29197" s="309"/>
    </row>
    <row r="29198">
      <c r="B29198" s="309"/>
      <c r="C29198" s="309"/>
      <c r="I29198" s="309"/>
      <c r="J29198" s="309"/>
    </row>
    <row r="29199">
      <c r="B29199" s="309"/>
      <c r="C29199" s="309"/>
      <c r="I29199" s="309"/>
      <c r="J29199" s="309"/>
    </row>
    <row r="29200">
      <c r="B29200" s="309"/>
      <c r="C29200" s="309"/>
      <c r="I29200" s="309"/>
      <c r="J29200" s="309"/>
    </row>
    <row r="29201">
      <c r="B29201" s="309"/>
      <c r="C29201" s="309"/>
      <c r="I29201" s="309"/>
      <c r="J29201" s="309"/>
    </row>
    <row r="29202">
      <c r="B29202" s="309"/>
      <c r="C29202" s="309"/>
      <c r="I29202" s="309"/>
      <c r="J29202" s="309"/>
    </row>
    <row r="29203">
      <c r="B29203" s="309"/>
      <c r="C29203" s="309"/>
      <c r="I29203" s="309"/>
      <c r="J29203" s="309"/>
    </row>
    <row r="29204">
      <c r="B29204" s="309"/>
      <c r="C29204" s="309"/>
      <c r="I29204" s="309"/>
      <c r="J29204" s="309"/>
    </row>
    <row r="29205">
      <c r="B29205" s="309"/>
      <c r="C29205" s="309"/>
      <c r="I29205" s="309"/>
      <c r="J29205" s="309"/>
    </row>
    <row r="29206">
      <c r="B29206" s="309"/>
      <c r="C29206" s="309"/>
      <c r="I29206" s="309"/>
      <c r="J29206" s="309"/>
    </row>
    <row r="29207">
      <c r="B29207" s="309"/>
      <c r="C29207" s="309"/>
      <c r="I29207" s="309"/>
      <c r="J29207" s="309"/>
    </row>
    <row r="29208">
      <c r="B29208" s="309"/>
      <c r="C29208" s="309"/>
      <c r="I29208" s="309"/>
      <c r="J29208" s="309"/>
    </row>
    <row r="29209">
      <c r="B29209" s="309"/>
      <c r="C29209" s="309"/>
      <c r="I29209" s="309"/>
      <c r="J29209" s="309"/>
    </row>
    <row r="29210">
      <c r="B29210" s="309"/>
      <c r="C29210" s="309"/>
      <c r="I29210" s="309"/>
      <c r="J29210" s="309"/>
    </row>
    <row r="29211">
      <c r="B29211" s="309"/>
      <c r="C29211" s="309"/>
      <c r="I29211" s="309"/>
      <c r="J29211" s="309"/>
    </row>
    <row r="29212">
      <c r="B29212" s="309"/>
      <c r="C29212" s="309"/>
      <c r="I29212" s="309"/>
      <c r="J29212" s="309"/>
    </row>
    <row r="29213">
      <c r="B29213" s="309"/>
      <c r="C29213" s="309"/>
      <c r="I29213" s="309"/>
      <c r="J29213" s="309"/>
    </row>
    <row r="29214">
      <c r="B29214" s="309"/>
      <c r="C29214" s="309"/>
      <c r="I29214" s="309"/>
      <c r="J29214" s="309"/>
    </row>
    <row r="29215">
      <c r="B29215" s="309"/>
      <c r="C29215" s="309"/>
      <c r="I29215" s="309"/>
      <c r="J29215" s="309"/>
    </row>
    <row r="29216">
      <c r="B29216" s="309"/>
      <c r="C29216" s="309"/>
      <c r="I29216" s="309"/>
      <c r="J29216" s="309"/>
    </row>
    <row r="29217">
      <c r="B29217" s="309"/>
      <c r="C29217" s="309"/>
      <c r="I29217" s="309"/>
      <c r="J29217" s="309"/>
    </row>
    <row r="29218">
      <c r="B29218" s="309"/>
      <c r="C29218" s="309"/>
      <c r="I29218" s="309"/>
      <c r="J29218" s="309"/>
    </row>
    <row r="29219">
      <c r="B29219" s="309"/>
      <c r="C29219" s="309"/>
      <c r="I29219" s="309"/>
      <c r="J29219" s="309"/>
    </row>
    <row r="29220">
      <c r="B29220" s="309"/>
      <c r="C29220" s="309"/>
      <c r="I29220" s="309"/>
      <c r="J29220" s="309"/>
    </row>
    <row r="29221">
      <c r="B29221" s="309"/>
      <c r="C29221" s="309"/>
      <c r="I29221" s="309"/>
      <c r="J29221" s="309"/>
    </row>
    <row r="29222">
      <c r="B29222" s="309"/>
      <c r="C29222" s="309"/>
      <c r="I29222" s="309"/>
      <c r="J29222" s="309"/>
    </row>
    <row r="29223">
      <c r="B29223" s="309"/>
      <c r="C29223" s="309"/>
      <c r="I29223" s="309"/>
      <c r="J29223" s="309"/>
    </row>
    <row r="29224">
      <c r="B29224" s="309"/>
      <c r="C29224" s="309"/>
      <c r="I29224" s="309"/>
      <c r="J29224" s="309"/>
    </row>
    <row r="29225">
      <c r="B29225" s="309"/>
      <c r="C29225" s="309"/>
      <c r="I29225" s="309"/>
      <c r="J29225" s="309"/>
    </row>
    <row r="29226">
      <c r="B29226" s="309"/>
      <c r="C29226" s="309"/>
      <c r="I29226" s="309"/>
      <c r="J29226" s="309"/>
    </row>
    <row r="29227">
      <c r="B29227" s="309"/>
      <c r="C29227" s="309"/>
      <c r="I29227" s="309"/>
      <c r="J29227" s="309"/>
    </row>
    <row r="29228">
      <c r="B29228" s="309"/>
      <c r="C29228" s="309"/>
      <c r="I29228" s="309"/>
      <c r="J29228" s="309"/>
    </row>
    <row r="29229">
      <c r="B29229" s="309"/>
      <c r="C29229" s="309"/>
      <c r="I29229" s="309"/>
      <c r="J29229" s="309"/>
    </row>
    <row r="29230">
      <c r="B29230" s="309"/>
      <c r="C29230" s="309"/>
      <c r="I29230" s="309"/>
      <c r="J29230" s="309"/>
    </row>
    <row r="29231">
      <c r="B29231" s="309"/>
      <c r="C29231" s="309"/>
      <c r="I29231" s="309"/>
      <c r="J29231" s="309"/>
    </row>
    <row r="29232">
      <c r="B29232" s="309"/>
      <c r="C29232" s="309"/>
      <c r="I29232" s="309"/>
      <c r="J29232" s="309"/>
    </row>
    <row r="29233">
      <c r="B29233" s="309"/>
      <c r="C29233" s="309"/>
      <c r="I29233" s="309"/>
      <c r="J29233" s="309"/>
    </row>
    <row r="29234">
      <c r="B29234" s="309"/>
      <c r="C29234" s="309"/>
      <c r="I29234" s="309"/>
      <c r="J29234" s="309"/>
    </row>
    <row r="29235">
      <c r="B29235" s="309"/>
      <c r="C29235" s="309"/>
      <c r="I29235" s="309"/>
      <c r="J29235" s="309"/>
    </row>
    <row r="29236">
      <c r="B29236" s="309"/>
      <c r="C29236" s="309"/>
      <c r="I29236" s="309"/>
      <c r="J29236" s="309"/>
    </row>
    <row r="29237">
      <c r="B29237" s="309"/>
      <c r="C29237" s="309"/>
      <c r="I29237" s="309"/>
      <c r="J29237" s="309"/>
    </row>
    <row r="29238">
      <c r="B29238" s="309"/>
      <c r="C29238" s="309"/>
      <c r="I29238" s="309"/>
      <c r="J29238" s="309"/>
    </row>
    <row r="29239">
      <c r="B29239" s="309"/>
      <c r="C29239" s="309"/>
      <c r="I29239" s="309"/>
      <c r="J29239" s="309"/>
    </row>
    <row r="29240">
      <c r="B29240" s="309"/>
      <c r="C29240" s="309"/>
      <c r="I29240" s="309"/>
      <c r="J29240" s="309"/>
    </row>
    <row r="29241">
      <c r="B29241" s="309"/>
      <c r="C29241" s="309"/>
      <c r="I29241" s="309"/>
      <c r="J29241" s="309"/>
    </row>
    <row r="29242">
      <c r="B29242" s="309"/>
      <c r="C29242" s="309"/>
      <c r="I29242" s="309"/>
      <c r="J29242" s="309"/>
    </row>
    <row r="29243">
      <c r="B29243" s="309"/>
      <c r="C29243" s="309"/>
      <c r="I29243" s="309"/>
      <c r="J29243" s="309"/>
    </row>
    <row r="29244">
      <c r="B29244" s="309"/>
      <c r="C29244" s="309"/>
      <c r="I29244" s="309"/>
      <c r="J29244" s="309"/>
    </row>
    <row r="29245">
      <c r="B29245" s="309"/>
      <c r="C29245" s="309"/>
      <c r="I29245" s="309"/>
      <c r="J29245" s="309"/>
    </row>
    <row r="29246">
      <c r="B29246" s="309"/>
      <c r="C29246" s="309"/>
      <c r="I29246" s="309"/>
      <c r="J29246" s="309"/>
    </row>
    <row r="29247">
      <c r="B29247" s="309"/>
      <c r="C29247" s="309"/>
      <c r="I29247" s="309"/>
      <c r="J29247" s="309"/>
    </row>
    <row r="29248">
      <c r="B29248" s="309"/>
      <c r="C29248" s="309"/>
      <c r="I29248" s="309"/>
      <c r="J29248" s="309"/>
    </row>
    <row r="29249">
      <c r="B29249" s="309"/>
      <c r="C29249" s="309"/>
      <c r="I29249" s="309"/>
      <c r="J29249" s="309"/>
    </row>
    <row r="29250">
      <c r="B29250" s="309"/>
      <c r="C29250" s="309"/>
      <c r="I29250" s="309"/>
      <c r="J29250" s="309"/>
    </row>
    <row r="29251">
      <c r="B29251" s="309"/>
      <c r="C29251" s="309"/>
      <c r="I29251" s="309"/>
      <c r="J29251" s="309"/>
    </row>
    <row r="29252">
      <c r="B29252" s="309"/>
      <c r="C29252" s="309"/>
      <c r="I29252" s="309"/>
      <c r="J29252" s="309"/>
    </row>
    <row r="29253">
      <c r="B29253" s="309"/>
      <c r="C29253" s="309"/>
      <c r="I29253" s="309"/>
      <c r="J29253" s="309"/>
    </row>
    <row r="29254">
      <c r="B29254" s="309"/>
      <c r="C29254" s="309"/>
      <c r="I29254" s="309"/>
      <c r="J29254" s="309"/>
    </row>
    <row r="29255">
      <c r="B29255" s="309"/>
      <c r="C29255" s="309"/>
      <c r="I29255" s="309"/>
      <c r="J29255" s="309"/>
    </row>
    <row r="29256">
      <c r="B29256" s="309"/>
      <c r="C29256" s="309"/>
      <c r="I29256" s="309"/>
      <c r="J29256" s="309"/>
    </row>
    <row r="29257">
      <c r="B29257" s="309"/>
      <c r="C29257" s="309"/>
      <c r="I29257" s="309"/>
      <c r="J29257" s="309"/>
    </row>
    <row r="29258">
      <c r="B29258" s="309"/>
      <c r="C29258" s="309"/>
      <c r="I29258" s="309"/>
      <c r="J29258" s="309"/>
    </row>
    <row r="29259">
      <c r="B29259" s="309"/>
      <c r="C29259" s="309"/>
      <c r="I29259" s="309"/>
      <c r="J29259" s="309"/>
    </row>
    <row r="29260">
      <c r="B29260" s="309"/>
      <c r="C29260" s="309"/>
      <c r="I29260" s="309"/>
      <c r="J29260" s="309"/>
    </row>
    <row r="29261">
      <c r="B29261" s="309"/>
      <c r="C29261" s="309"/>
      <c r="I29261" s="309"/>
      <c r="J29261" s="309"/>
    </row>
    <row r="29262">
      <c r="B29262" s="309"/>
      <c r="C29262" s="309"/>
      <c r="I29262" s="309"/>
      <c r="J29262" s="309"/>
    </row>
    <row r="29263">
      <c r="B29263" s="309"/>
      <c r="C29263" s="309"/>
      <c r="I29263" s="309"/>
      <c r="J29263" s="309"/>
    </row>
    <row r="29264">
      <c r="B29264" s="309"/>
      <c r="C29264" s="309"/>
      <c r="I29264" s="309"/>
      <c r="J29264" s="309"/>
    </row>
    <row r="29265">
      <c r="B29265" s="309"/>
      <c r="C29265" s="309"/>
      <c r="I29265" s="309"/>
      <c r="J29265" s="309"/>
    </row>
    <row r="29266">
      <c r="B29266" s="309"/>
      <c r="C29266" s="309"/>
      <c r="I29266" s="309"/>
      <c r="J29266" s="309"/>
    </row>
    <row r="29267">
      <c r="B29267" s="309"/>
      <c r="C29267" s="309"/>
      <c r="I29267" s="309"/>
      <c r="J29267" s="309"/>
    </row>
    <row r="29268">
      <c r="B29268" s="309"/>
      <c r="C29268" s="309"/>
      <c r="I29268" s="309"/>
      <c r="J29268" s="309"/>
    </row>
    <row r="29269">
      <c r="B29269" s="309"/>
      <c r="C29269" s="309"/>
      <c r="I29269" s="309"/>
      <c r="J29269" s="309"/>
    </row>
    <row r="29270">
      <c r="B29270" s="309"/>
      <c r="C29270" s="309"/>
      <c r="I29270" s="309"/>
      <c r="J29270" s="309"/>
    </row>
    <row r="29271">
      <c r="B29271" s="309"/>
      <c r="C29271" s="309"/>
      <c r="I29271" s="309"/>
      <c r="J29271" s="309"/>
    </row>
    <row r="29272">
      <c r="B29272" s="309"/>
      <c r="C29272" s="309"/>
      <c r="I29272" s="309"/>
      <c r="J29272" s="309"/>
    </row>
    <row r="29273">
      <c r="B29273" s="309"/>
      <c r="C29273" s="309"/>
      <c r="I29273" s="309"/>
      <c r="J29273" s="309"/>
    </row>
    <row r="29274">
      <c r="B29274" s="309"/>
      <c r="C29274" s="309"/>
      <c r="I29274" s="309"/>
      <c r="J29274" s="309"/>
    </row>
    <row r="29275">
      <c r="B29275" s="309"/>
      <c r="C29275" s="309"/>
      <c r="I29275" s="309"/>
      <c r="J29275" s="309"/>
    </row>
    <row r="29276">
      <c r="B29276" s="309"/>
      <c r="C29276" s="309"/>
      <c r="I29276" s="309"/>
      <c r="J29276" s="309"/>
    </row>
    <row r="29277">
      <c r="B29277" s="309"/>
      <c r="C29277" s="309"/>
      <c r="I29277" s="309"/>
      <c r="J29277" s="309"/>
    </row>
    <row r="29278">
      <c r="B29278" s="309"/>
      <c r="C29278" s="309"/>
      <c r="I29278" s="309"/>
      <c r="J29278" s="309"/>
    </row>
    <row r="29279">
      <c r="B29279" s="309"/>
      <c r="C29279" s="309"/>
      <c r="I29279" s="309"/>
      <c r="J29279" s="309"/>
    </row>
    <row r="29280">
      <c r="B29280" s="309"/>
      <c r="C29280" s="309"/>
      <c r="I29280" s="309"/>
      <c r="J29280" s="309"/>
    </row>
    <row r="29281">
      <c r="B29281" s="309"/>
      <c r="C29281" s="309"/>
      <c r="I29281" s="309"/>
      <c r="J29281" s="309"/>
    </row>
    <row r="29282">
      <c r="B29282" s="309"/>
      <c r="C29282" s="309"/>
      <c r="I29282" s="309"/>
      <c r="J29282" s="309"/>
    </row>
    <row r="29283">
      <c r="B29283" s="309"/>
      <c r="C29283" s="309"/>
      <c r="I29283" s="309"/>
      <c r="J29283" s="309"/>
    </row>
    <row r="29284">
      <c r="B29284" s="309"/>
      <c r="C29284" s="309"/>
      <c r="I29284" s="309"/>
      <c r="J29284" s="309"/>
    </row>
    <row r="29285">
      <c r="B29285" s="309"/>
      <c r="C29285" s="309"/>
      <c r="I29285" s="309"/>
      <c r="J29285" s="309"/>
    </row>
    <row r="29286">
      <c r="B29286" s="309"/>
      <c r="C29286" s="309"/>
      <c r="I29286" s="309"/>
      <c r="J29286" s="309"/>
    </row>
    <row r="29287">
      <c r="B29287" s="309"/>
      <c r="C29287" s="309"/>
      <c r="I29287" s="309"/>
      <c r="J29287" s="309"/>
    </row>
    <row r="29288">
      <c r="B29288" s="309"/>
      <c r="C29288" s="309"/>
      <c r="I29288" s="309"/>
      <c r="J29288" s="309"/>
    </row>
    <row r="29289">
      <c r="B29289" s="309"/>
      <c r="C29289" s="309"/>
      <c r="I29289" s="309"/>
      <c r="J29289" s="309"/>
    </row>
    <row r="29290">
      <c r="B29290" s="309"/>
      <c r="C29290" s="309"/>
      <c r="I29290" s="309"/>
      <c r="J29290" s="309"/>
    </row>
    <row r="29291">
      <c r="B29291" s="309"/>
      <c r="C29291" s="309"/>
      <c r="I29291" s="309"/>
      <c r="J29291" s="309"/>
    </row>
    <row r="29292">
      <c r="B29292" s="309"/>
      <c r="C29292" s="309"/>
      <c r="I29292" s="309"/>
      <c r="J29292" s="309"/>
    </row>
    <row r="29293">
      <c r="B29293" s="309"/>
      <c r="C29293" s="309"/>
      <c r="I29293" s="309"/>
      <c r="J29293" s="309"/>
    </row>
    <row r="29294">
      <c r="B29294" s="309"/>
      <c r="C29294" s="309"/>
      <c r="I29294" s="309"/>
      <c r="J29294" s="309"/>
    </row>
    <row r="29295">
      <c r="B29295" s="309"/>
      <c r="C29295" s="309"/>
      <c r="I29295" s="309"/>
      <c r="J29295" s="309"/>
    </row>
    <row r="29296">
      <c r="B29296" s="309"/>
      <c r="C29296" s="309"/>
      <c r="I29296" s="309"/>
      <c r="J29296" s="309"/>
    </row>
    <row r="29297">
      <c r="B29297" s="309"/>
      <c r="C29297" s="309"/>
      <c r="I29297" s="309"/>
      <c r="J29297" s="309"/>
    </row>
    <row r="29298">
      <c r="B29298" s="309"/>
      <c r="C29298" s="309"/>
      <c r="I29298" s="309"/>
      <c r="J29298" s="309"/>
    </row>
    <row r="29299">
      <c r="B29299" s="309"/>
      <c r="C29299" s="309"/>
      <c r="I29299" s="309"/>
      <c r="J29299" s="309"/>
    </row>
    <row r="29300">
      <c r="B29300" s="309"/>
      <c r="C29300" s="309"/>
      <c r="I29300" s="309"/>
      <c r="J29300" s="309"/>
    </row>
    <row r="29301">
      <c r="B29301" s="309"/>
      <c r="C29301" s="309"/>
      <c r="I29301" s="309"/>
      <c r="J29301" s="309"/>
    </row>
    <row r="29302">
      <c r="B29302" s="309"/>
      <c r="C29302" s="309"/>
      <c r="I29302" s="309"/>
      <c r="J29302" s="309"/>
    </row>
    <row r="29303">
      <c r="B29303" s="309"/>
      <c r="C29303" s="309"/>
      <c r="I29303" s="309"/>
      <c r="J29303" s="309"/>
    </row>
    <row r="29304">
      <c r="B29304" s="309"/>
      <c r="C29304" s="309"/>
      <c r="I29304" s="309"/>
      <c r="J29304" s="309"/>
    </row>
    <row r="29305">
      <c r="B29305" s="309"/>
      <c r="C29305" s="309"/>
      <c r="I29305" s="309"/>
      <c r="J29305" s="309"/>
    </row>
    <row r="29306">
      <c r="B29306" s="309"/>
      <c r="C29306" s="309"/>
      <c r="I29306" s="309"/>
      <c r="J29306" s="309"/>
    </row>
    <row r="29307">
      <c r="B29307" s="309"/>
      <c r="C29307" s="309"/>
      <c r="I29307" s="309"/>
      <c r="J29307" s="309"/>
    </row>
    <row r="29308">
      <c r="B29308" s="309"/>
      <c r="C29308" s="309"/>
      <c r="I29308" s="309"/>
      <c r="J29308" s="309"/>
    </row>
    <row r="29309">
      <c r="B29309" s="309"/>
      <c r="C29309" s="309"/>
      <c r="I29309" s="309"/>
      <c r="J29309" s="309"/>
    </row>
    <row r="29310">
      <c r="B29310" s="309"/>
      <c r="C29310" s="309"/>
      <c r="I29310" s="309"/>
      <c r="J29310" s="309"/>
    </row>
    <row r="29311">
      <c r="B29311" s="309"/>
      <c r="C29311" s="309"/>
      <c r="I29311" s="309"/>
      <c r="J29311" s="309"/>
    </row>
    <row r="29312">
      <c r="B29312" s="309"/>
      <c r="C29312" s="309"/>
      <c r="I29312" s="309"/>
      <c r="J29312" s="309"/>
    </row>
    <row r="29313">
      <c r="B29313" s="309"/>
      <c r="C29313" s="309"/>
      <c r="I29313" s="309"/>
      <c r="J29313" s="309"/>
    </row>
    <row r="29314">
      <c r="B29314" s="309"/>
      <c r="C29314" s="309"/>
      <c r="I29314" s="309"/>
      <c r="J29314" s="309"/>
    </row>
    <row r="29315">
      <c r="B29315" s="309"/>
      <c r="C29315" s="309"/>
      <c r="I29315" s="309"/>
      <c r="J29315" s="309"/>
    </row>
    <row r="29316">
      <c r="B29316" s="309"/>
      <c r="C29316" s="309"/>
      <c r="I29316" s="309"/>
      <c r="J29316" s="309"/>
    </row>
    <row r="29317">
      <c r="B29317" s="309"/>
      <c r="C29317" s="309"/>
      <c r="I29317" s="309"/>
      <c r="J29317" s="309"/>
    </row>
    <row r="29318">
      <c r="B29318" s="309"/>
      <c r="C29318" s="309"/>
      <c r="I29318" s="309"/>
      <c r="J29318" s="309"/>
    </row>
    <row r="29319">
      <c r="B29319" s="309"/>
      <c r="C29319" s="309"/>
      <c r="I29319" s="309"/>
      <c r="J29319" s="309"/>
    </row>
    <row r="29320">
      <c r="B29320" s="309"/>
      <c r="C29320" s="309"/>
      <c r="I29320" s="309"/>
      <c r="J29320" s="309"/>
    </row>
    <row r="29321">
      <c r="B29321" s="309"/>
      <c r="C29321" s="309"/>
      <c r="I29321" s="309"/>
      <c r="J29321" s="309"/>
    </row>
    <row r="29322">
      <c r="B29322" s="309"/>
      <c r="C29322" s="309"/>
      <c r="I29322" s="309"/>
      <c r="J29322" s="309"/>
    </row>
    <row r="29323">
      <c r="B29323" s="309"/>
      <c r="C29323" s="309"/>
      <c r="I29323" s="309"/>
      <c r="J29323" s="309"/>
    </row>
    <row r="29324">
      <c r="B29324" s="309"/>
      <c r="C29324" s="309"/>
      <c r="I29324" s="309"/>
      <c r="J29324" s="309"/>
    </row>
    <row r="29325">
      <c r="B29325" s="309"/>
      <c r="C29325" s="309"/>
      <c r="I29325" s="309"/>
      <c r="J29325" s="309"/>
    </row>
    <row r="29326">
      <c r="B29326" s="309"/>
      <c r="C29326" s="309"/>
      <c r="I29326" s="309"/>
      <c r="J29326" s="309"/>
    </row>
    <row r="29327">
      <c r="B29327" s="309"/>
      <c r="C29327" s="309"/>
      <c r="I29327" s="309"/>
      <c r="J29327" s="309"/>
    </row>
    <row r="29328">
      <c r="B29328" s="309"/>
      <c r="C29328" s="309"/>
      <c r="I29328" s="309"/>
      <c r="J29328" s="309"/>
    </row>
    <row r="29329">
      <c r="B29329" s="309"/>
      <c r="C29329" s="309"/>
      <c r="I29329" s="309"/>
      <c r="J29329" s="309"/>
    </row>
    <row r="29330">
      <c r="B29330" s="309"/>
      <c r="C29330" s="309"/>
      <c r="I29330" s="309"/>
      <c r="J29330" s="309"/>
    </row>
    <row r="29331">
      <c r="B29331" s="309"/>
      <c r="C29331" s="309"/>
      <c r="I29331" s="309"/>
      <c r="J29331" s="309"/>
    </row>
    <row r="29332">
      <c r="B29332" s="309"/>
      <c r="C29332" s="309"/>
      <c r="I29332" s="309"/>
      <c r="J29332" s="309"/>
    </row>
    <row r="29333">
      <c r="B29333" s="309"/>
      <c r="C29333" s="309"/>
      <c r="I29333" s="309"/>
      <c r="J29333" s="309"/>
    </row>
    <row r="29334">
      <c r="B29334" s="309"/>
      <c r="C29334" s="309"/>
      <c r="I29334" s="309"/>
      <c r="J29334" s="309"/>
    </row>
    <row r="29335">
      <c r="B29335" s="309"/>
      <c r="C29335" s="309"/>
      <c r="I29335" s="309"/>
      <c r="J29335" s="309"/>
    </row>
    <row r="29336">
      <c r="B29336" s="309"/>
      <c r="C29336" s="309"/>
      <c r="I29336" s="309"/>
      <c r="J29336" s="309"/>
    </row>
    <row r="29337">
      <c r="B29337" s="309"/>
      <c r="C29337" s="309"/>
      <c r="I29337" s="309"/>
      <c r="J29337" s="309"/>
    </row>
    <row r="29338">
      <c r="B29338" s="309"/>
      <c r="C29338" s="309"/>
      <c r="I29338" s="309"/>
      <c r="J29338" s="309"/>
    </row>
    <row r="29339">
      <c r="B29339" s="309"/>
      <c r="C29339" s="309"/>
      <c r="I29339" s="309"/>
      <c r="J29339" s="309"/>
    </row>
    <row r="29340">
      <c r="B29340" s="309"/>
      <c r="C29340" s="309"/>
      <c r="I29340" s="309"/>
      <c r="J29340" s="309"/>
    </row>
    <row r="29341">
      <c r="B29341" s="309"/>
      <c r="C29341" s="309"/>
      <c r="I29341" s="309"/>
      <c r="J29341" s="309"/>
    </row>
    <row r="29342">
      <c r="B29342" s="309"/>
      <c r="C29342" s="309"/>
      <c r="I29342" s="309"/>
      <c r="J29342" s="309"/>
    </row>
    <row r="29343">
      <c r="B29343" s="309"/>
      <c r="C29343" s="309"/>
      <c r="I29343" s="309"/>
      <c r="J29343" s="309"/>
    </row>
    <row r="29344">
      <c r="B29344" s="309"/>
      <c r="C29344" s="309"/>
      <c r="I29344" s="309"/>
      <c r="J29344" s="309"/>
    </row>
    <row r="29345">
      <c r="B29345" s="309"/>
      <c r="C29345" s="309"/>
      <c r="I29345" s="309"/>
      <c r="J29345" s="309"/>
    </row>
    <row r="29346">
      <c r="B29346" s="309"/>
      <c r="C29346" s="309"/>
      <c r="I29346" s="309"/>
      <c r="J29346" s="309"/>
    </row>
    <row r="29347">
      <c r="B29347" s="309"/>
      <c r="C29347" s="309"/>
      <c r="I29347" s="309"/>
      <c r="J29347" s="309"/>
    </row>
    <row r="29348">
      <c r="B29348" s="309"/>
      <c r="C29348" s="309"/>
      <c r="I29348" s="309"/>
      <c r="J29348" s="309"/>
    </row>
    <row r="29349">
      <c r="B29349" s="309"/>
      <c r="C29349" s="309"/>
      <c r="I29349" s="309"/>
      <c r="J29349" s="309"/>
    </row>
    <row r="29350">
      <c r="B29350" s="309"/>
      <c r="C29350" s="309"/>
      <c r="I29350" s="309"/>
      <c r="J29350" s="309"/>
    </row>
    <row r="29351">
      <c r="B29351" s="309"/>
      <c r="C29351" s="309"/>
      <c r="I29351" s="309"/>
      <c r="J29351" s="309"/>
    </row>
    <row r="29352">
      <c r="B29352" s="309"/>
      <c r="C29352" s="309"/>
      <c r="I29352" s="309"/>
      <c r="J29352" s="309"/>
    </row>
    <row r="29353">
      <c r="B29353" s="309"/>
      <c r="C29353" s="309"/>
      <c r="I29353" s="309"/>
      <c r="J29353" s="309"/>
    </row>
    <row r="29354">
      <c r="B29354" s="309"/>
      <c r="C29354" s="309"/>
      <c r="I29354" s="309"/>
      <c r="J29354" s="309"/>
    </row>
    <row r="29355">
      <c r="B29355" s="309"/>
      <c r="C29355" s="309"/>
      <c r="I29355" s="309"/>
      <c r="J29355" s="309"/>
    </row>
    <row r="29356">
      <c r="B29356" s="309"/>
      <c r="C29356" s="309"/>
      <c r="I29356" s="309"/>
      <c r="J29356" s="309"/>
    </row>
    <row r="29357">
      <c r="B29357" s="309"/>
      <c r="C29357" s="309"/>
      <c r="I29357" s="309"/>
      <c r="J29357" s="309"/>
    </row>
    <row r="29358">
      <c r="B29358" s="309"/>
      <c r="C29358" s="309"/>
      <c r="I29358" s="309"/>
      <c r="J29358" s="309"/>
    </row>
    <row r="29359">
      <c r="B29359" s="309"/>
      <c r="C29359" s="309"/>
      <c r="I29359" s="309"/>
      <c r="J29359" s="309"/>
    </row>
    <row r="29360">
      <c r="B29360" s="309"/>
      <c r="C29360" s="309"/>
      <c r="I29360" s="309"/>
      <c r="J29360" s="309"/>
    </row>
    <row r="29361">
      <c r="B29361" s="309"/>
      <c r="C29361" s="309"/>
      <c r="I29361" s="309"/>
      <c r="J29361" s="309"/>
    </row>
    <row r="29362">
      <c r="B29362" s="309"/>
      <c r="C29362" s="309"/>
      <c r="I29362" s="309"/>
      <c r="J29362" s="309"/>
    </row>
    <row r="29363">
      <c r="B29363" s="309"/>
      <c r="C29363" s="309"/>
      <c r="I29363" s="309"/>
      <c r="J29363" s="309"/>
    </row>
    <row r="29364">
      <c r="B29364" s="309"/>
      <c r="C29364" s="309"/>
      <c r="I29364" s="309"/>
      <c r="J29364" s="309"/>
    </row>
    <row r="29365">
      <c r="B29365" s="309"/>
      <c r="C29365" s="309"/>
      <c r="I29365" s="309"/>
      <c r="J29365" s="309"/>
    </row>
    <row r="29366">
      <c r="B29366" s="309"/>
      <c r="C29366" s="309"/>
      <c r="I29366" s="309"/>
      <c r="J29366" s="309"/>
    </row>
    <row r="29367">
      <c r="B29367" s="309"/>
      <c r="C29367" s="309"/>
      <c r="I29367" s="309"/>
      <c r="J29367" s="309"/>
    </row>
    <row r="29368">
      <c r="B29368" s="309"/>
      <c r="C29368" s="309"/>
      <c r="I29368" s="309"/>
      <c r="J29368" s="309"/>
    </row>
    <row r="29369">
      <c r="B29369" s="309"/>
      <c r="C29369" s="309"/>
      <c r="I29369" s="309"/>
      <c r="J29369" s="309"/>
    </row>
    <row r="29370">
      <c r="B29370" s="309"/>
      <c r="C29370" s="309"/>
      <c r="I29370" s="309"/>
      <c r="J29370" s="309"/>
    </row>
    <row r="29371">
      <c r="B29371" s="309"/>
      <c r="C29371" s="309"/>
      <c r="I29371" s="309"/>
      <c r="J29371" s="309"/>
    </row>
    <row r="29372">
      <c r="B29372" s="309"/>
      <c r="C29372" s="309"/>
      <c r="I29372" s="309"/>
      <c r="J29372" s="309"/>
    </row>
    <row r="29373">
      <c r="B29373" s="309"/>
      <c r="C29373" s="309"/>
      <c r="I29373" s="309"/>
      <c r="J29373" s="309"/>
    </row>
    <row r="29374">
      <c r="B29374" s="309"/>
      <c r="C29374" s="309"/>
      <c r="I29374" s="309"/>
      <c r="J29374" s="309"/>
    </row>
    <row r="29375">
      <c r="B29375" s="309"/>
      <c r="C29375" s="309"/>
      <c r="I29375" s="309"/>
      <c r="J29375" s="309"/>
    </row>
    <row r="29376">
      <c r="B29376" s="309"/>
      <c r="C29376" s="309"/>
      <c r="I29376" s="309"/>
      <c r="J29376" s="309"/>
    </row>
    <row r="29377">
      <c r="B29377" s="309"/>
      <c r="C29377" s="309"/>
      <c r="I29377" s="309"/>
      <c r="J29377" s="309"/>
    </row>
    <row r="29378">
      <c r="B29378" s="309"/>
      <c r="C29378" s="309"/>
      <c r="I29378" s="309"/>
      <c r="J29378" s="309"/>
    </row>
    <row r="29379">
      <c r="B29379" s="309"/>
      <c r="C29379" s="309"/>
      <c r="I29379" s="309"/>
      <c r="J29379" s="309"/>
    </row>
    <row r="29380">
      <c r="B29380" s="309"/>
      <c r="C29380" s="309"/>
      <c r="I29380" s="309"/>
      <c r="J29380" s="309"/>
    </row>
    <row r="29381">
      <c r="B29381" s="309"/>
      <c r="C29381" s="309"/>
      <c r="I29381" s="309"/>
      <c r="J29381" s="309"/>
    </row>
    <row r="29382">
      <c r="B29382" s="309"/>
      <c r="C29382" s="309"/>
      <c r="I29382" s="309"/>
      <c r="J29382" s="309"/>
    </row>
    <row r="29383">
      <c r="B29383" s="309"/>
      <c r="C29383" s="309"/>
      <c r="I29383" s="309"/>
      <c r="J29383" s="309"/>
    </row>
    <row r="29384">
      <c r="B29384" s="309"/>
      <c r="C29384" s="309"/>
      <c r="I29384" s="309"/>
      <c r="J29384" s="309"/>
    </row>
    <row r="29385">
      <c r="B29385" s="309"/>
      <c r="C29385" s="309"/>
      <c r="I29385" s="309"/>
      <c r="J29385" s="309"/>
    </row>
    <row r="29386">
      <c r="B29386" s="309"/>
      <c r="C29386" s="309"/>
      <c r="I29386" s="309"/>
      <c r="J29386" s="309"/>
    </row>
    <row r="29387">
      <c r="B29387" s="309"/>
      <c r="C29387" s="309"/>
      <c r="I29387" s="309"/>
      <c r="J29387" s="309"/>
    </row>
    <row r="29388">
      <c r="B29388" s="309"/>
      <c r="C29388" s="309"/>
      <c r="I29388" s="309"/>
      <c r="J29388" s="309"/>
    </row>
    <row r="29389">
      <c r="B29389" s="309"/>
      <c r="C29389" s="309"/>
      <c r="I29389" s="309"/>
      <c r="J29389" s="309"/>
    </row>
    <row r="29390">
      <c r="B29390" s="309"/>
      <c r="C29390" s="309"/>
      <c r="I29390" s="309"/>
      <c r="J29390" s="309"/>
    </row>
    <row r="29391">
      <c r="B29391" s="309"/>
      <c r="C29391" s="309"/>
      <c r="I29391" s="309"/>
      <c r="J29391" s="309"/>
    </row>
    <row r="29392">
      <c r="B29392" s="309"/>
      <c r="C29392" s="309"/>
      <c r="I29392" s="309"/>
      <c r="J29392" s="309"/>
    </row>
    <row r="29393">
      <c r="B29393" s="309"/>
      <c r="C29393" s="309"/>
      <c r="I29393" s="309"/>
      <c r="J29393" s="309"/>
    </row>
    <row r="29394">
      <c r="B29394" s="309"/>
      <c r="C29394" s="309"/>
      <c r="I29394" s="309"/>
      <c r="J29394" s="309"/>
    </row>
    <row r="29395">
      <c r="B29395" s="309"/>
      <c r="C29395" s="309"/>
      <c r="I29395" s="309"/>
      <c r="J29395" s="309"/>
    </row>
    <row r="29396">
      <c r="B29396" s="309"/>
      <c r="C29396" s="309"/>
      <c r="I29396" s="309"/>
      <c r="J29396" s="309"/>
    </row>
    <row r="29397">
      <c r="B29397" s="309"/>
      <c r="C29397" s="309"/>
      <c r="I29397" s="309"/>
      <c r="J29397" s="309"/>
    </row>
    <row r="29398">
      <c r="B29398" s="309"/>
      <c r="C29398" s="309"/>
      <c r="I29398" s="309"/>
      <c r="J29398" s="309"/>
    </row>
    <row r="29399">
      <c r="B29399" s="309"/>
      <c r="C29399" s="309"/>
      <c r="I29399" s="309"/>
      <c r="J29399" s="309"/>
    </row>
    <row r="29400">
      <c r="B29400" s="309"/>
      <c r="C29400" s="309"/>
      <c r="I29400" s="309"/>
      <c r="J29400" s="309"/>
    </row>
    <row r="29401">
      <c r="B29401" s="309"/>
      <c r="C29401" s="309"/>
      <c r="I29401" s="309"/>
      <c r="J29401" s="309"/>
    </row>
    <row r="29402">
      <c r="B29402" s="309"/>
      <c r="C29402" s="309"/>
      <c r="I29402" s="309"/>
      <c r="J29402" s="309"/>
    </row>
    <row r="29403">
      <c r="B29403" s="309"/>
      <c r="C29403" s="309"/>
      <c r="I29403" s="309"/>
      <c r="J29403" s="309"/>
    </row>
    <row r="29404">
      <c r="B29404" s="309"/>
      <c r="C29404" s="309"/>
      <c r="I29404" s="309"/>
      <c r="J29404" s="309"/>
    </row>
    <row r="29405">
      <c r="B29405" s="309"/>
      <c r="C29405" s="309"/>
      <c r="I29405" s="309"/>
      <c r="J29405" s="309"/>
    </row>
    <row r="29406">
      <c r="B29406" s="309"/>
      <c r="C29406" s="309"/>
      <c r="I29406" s="309"/>
      <c r="J29406" s="309"/>
    </row>
    <row r="29407">
      <c r="B29407" s="309"/>
      <c r="C29407" s="309"/>
      <c r="I29407" s="309"/>
      <c r="J29407" s="309"/>
    </row>
    <row r="29408">
      <c r="B29408" s="309"/>
      <c r="C29408" s="309"/>
      <c r="I29408" s="309"/>
      <c r="J29408" s="309"/>
    </row>
    <row r="29409">
      <c r="B29409" s="309"/>
      <c r="C29409" s="309"/>
      <c r="I29409" s="309"/>
      <c r="J29409" s="309"/>
    </row>
    <row r="29410">
      <c r="B29410" s="309"/>
      <c r="C29410" s="309"/>
      <c r="I29410" s="309"/>
      <c r="J29410" s="309"/>
    </row>
    <row r="29411">
      <c r="B29411" s="309"/>
      <c r="C29411" s="309"/>
      <c r="I29411" s="309"/>
      <c r="J29411" s="309"/>
    </row>
    <row r="29412">
      <c r="B29412" s="309"/>
      <c r="C29412" s="309"/>
      <c r="I29412" s="309"/>
      <c r="J29412" s="309"/>
    </row>
    <row r="29413">
      <c r="B29413" s="309"/>
      <c r="C29413" s="309"/>
      <c r="I29413" s="309"/>
      <c r="J29413" s="309"/>
    </row>
    <row r="29414">
      <c r="B29414" s="309"/>
      <c r="C29414" s="309"/>
      <c r="I29414" s="309"/>
      <c r="J29414" s="309"/>
    </row>
    <row r="29415">
      <c r="B29415" s="309"/>
      <c r="C29415" s="309"/>
      <c r="I29415" s="309"/>
      <c r="J29415" s="309"/>
    </row>
    <row r="29416">
      <c r="B29416" s="309"/>
      <c r="C29416" s="309"/>
      <c r="I29416" s="309"/>
      <c r="J29416" s="309"/>
    </row>
    <row r="29417">
      <c r="B29417" s="309"/>
      <c r="C29417" s="309"/>
      <c r="I29417" s="309"/>
      <c r="J29417" s="309"/>
    </row>
    <row r="29418">
      <c r="B29418" s="309"/>
      <c r="C29418" s="309"/>
      <c r="I29418" s="309"/>
      <c r="J29418" s="309"/>
    </row>
    <row r="29419">
      <c r="B29419" s="309"/>
      <c r="C29419" s="309"/>
      <c r="I29419" s="309"/>
      <c r="J29419" s="309"/>
    </row>
    <row r="29420">
      <c r="B29420" s="309"/>
      <c r="C29420" s="309"/>
      <c r="I29420" s="309"/>
      <c r="J29420" s="309"/>
    </row>
    <row r="29421">
      <c r="B29421" s="309"/>
      <c r="C29421" s="309"/>
      <c r="I29421" s="309"/>
      <c r="J29421" s="309"/>
    </row>
    <row r="29422">
      <c r="B29422" s="309"/>
      <c r="C29422" s="309"/>
      <c r="I29422" s="309"/>
      <c r="J29422" s="309"/>
    </row>
    <row r="29423">
      <c r="B29423" s="309"/>
      <c r="C29423" s="309"/>
      <c r="I29423" s="309"/>
      <c r="J29423" s="309"/>
    </row>
    <row r="29424">
      <c r="B29424" s="309"/>
      <c r="C29424" s="309"/>
      <c r="I29424" s="309"/>
      <c r="J29424" s="309"/>
    </row>
    <row r="29425">
      <c r="B29425" s="309"/>
      <c r="C29425" s="309"/>
      <c r="I29425" s="309"/>
      <c r="J29425" s="309"/>
    </row>
    <row r="29426">
      <c r="B29426" s="309"/>
      <c r="C29426" s="309"/>
      <c r="I29426" s="309"/>
      <c r="J29426" s="309"/>
    </row>
    <row r="29427">
      <c r="B29427" s="309"/>
      <c r="C29427" s="309"/>
      <c r="I29427" s="309"/>
      <c r="J29427" s="309"/>
    </row>
    <row r="29428">
      <c r="B29428" s="309"/>
      <c r="C29428" s="309"/>
      <c r="I29428" s="309"/>
      <c r="J29428" s="309"/>
    </row>
    <row r="29429">
      <c r="B29429" s="309"/>
      <c r="C29429" s="309"/>
      <c r="I29429" s="309"/>
      <c r="J29429" s="309"/>
    </row>
    <row r="29430">
      <c r="B29430" s="309"/>
      <c r="C29430" s="309"/>
      <c r="I29430" s="309"/>
      <c r="J29430" s="309"/>
    </row>
    <row r="29431">
      <c r="B29431" s="309"/>
      <c r="C29431" s="309"/>
      <c r="I29431" s="309"/>
      <c r="J29431" s="309"/>
    </row>
    <row r="29432">
      <c r="B29432" s="309"/>
      <c r="C29432" s="309"/>
      <c r="I29432" s="309"/>
      <c r="J29432" s="309"/>
    </row>
    <row r="29433">
      <c r="B29433" s="309"/>
      <c r="C29433" s="309"/>
      <c r="I29433" s="309"/>
      <c r="J29433" s="309"/>
    </row>
    <row r="29434">
      <c r="B29434" s="309"/>
      <c r="C29434" s="309"/>
      <c r="I29434" s="309"/>
      <c r="J29434" s="309"/>
    </row>
    <row r="29435">
      <c r="B29435" s="309"/>
      <c r="C29435" s="309"/>
      <c r="I29435" s="309"/>
      <c r="J29435" s="309"/>
    </row>
    <row r="29436">
      <c r="B29436" s="309"/>
      <c r="C29436" s="309"/>
      <c r="I29436" s="309"/>
      <c r="J29436" s="309"/>
    </row>
    <row r="29437">
      <c r="B29437" s="309"/>
      <c r="C29437" s="309"/>
      <c r="I29437" s="309"/>
      <c r="J29437" s="309"/>
    </row>
    <row r="29438">
      <c r="B29438" s="309"/>
      <c r="C29438" s="309"/>
      <c r="I29438" s="309"/>
      <c r="J29438" s="309"/>
    </row>
    <row r="29439">
      <c r="B29439" s="309"/>
      <c r="C29439" s="309"/>
      <c r="I29439" s="309"/>
      <c r="J29439" s="309"/>
    </row>
    <row r="29440">
      <c r="B29440" s="309"/>
      <c r="C29440" s="309"/>
      <c r="I29440" s="309"/>
      <c r="J29440" s="309"/>
    </row>
    <row r="29441">
      <c r="B29441" s="309"/>
      <c r="C29441" s="309"/>
      <c r="I29441" s="309"/>
      <c r="J29441" s="309"/>
    </row>
    <row r="29442">
      <c r="B29442" s="309"/>
      <c r="C29442" s="309"/>
      <c r="I29442" s="309"/>
      <c r="J29442" s="309"/>
    </row>
    <row r="29443">
      <c r="B29443" s="309"/>
      <c r="C29443" s="309"/>
      <c r="I29443" s="309"/>
      <c r="J29443" s="309"/>
    </row>
    <row r="29444">
      <c r="B29444" s="309"/>
      <c r="C29444" s="309"/>
      <c r="I29444" s="309"/>
      <c r="J29444" s="309"/>
    </row>
    <row r="29445">
      <c r="B29445" s="309"/>
      <c r="C29445" s="309"/>
      <c r="I29445" s="309"/>
      <c r="J29445" s="309"/>
    </row>
    <row r="29446">
      <c r="B29446" s="309"/>
      <c r="C29446" s="309"/>
      <c r="I29446" s="309"/>
      <c r="J29446" s="309"/>
    </row>
    <row r="29447">
      <c r="B29447" s="309"/>
      <c r="C29447" s="309"/>
      <c r="I29447" s="309"/>
      <c r="J29447" s="309"/>
    </row>
    <row r="29448">
      <c r="B29448" s="309"/>
      <c r="C29448" s="309"/>
      <c r="I29448" s="309"/>
      <c r="J29448" s="309"/>
    </row>
    <row r="29449">
      <c r="B29449" s="309"/>
      <c r="C29449" s="309"/>
      <c r="I29449" s="309"/>
      <c r="J29449" s="309"/>
    </row>
    <row r="29450">
      <c r="B29450" s="309"/>
      <c r="C29450" s="309"/>
      <c r="I29450" s="309"/>
      <c r="J29450" s="309"/>
    </row>
    <row r="29451">
      <c r="B29451" s="309"/>
      <c r="C29451" s="309"/>
      <c r="I29451" s="309"/>
      <c r="J29451" s="309"/>
    </row>
    <row r="29452">
      <c r="B29452" s="309"/>
      <c r="C29452" s="309"/>
      <c r="I29452" s="309"/>
      <c r="J29452" s="309"/>
    </row>
    <row r="29453">
      <c r="B29453" s="309"/>
      <c r="C29453" s="309"/>
      <c r="I29453" s="309"/>
      <c r="J29453" s="309"/>
    </row>
    <row r="29454">
      <c r="B29454" s="309"/>
      <c r="C29454" s="309"/>
      <c r="I29454" s="309"/>
      <c r="J29454" s="309"/>
    </row>
    <row r="29455">
      <c r="B29455" s="309"/>
      <c r="C29455" s="309"/>
      <c r="I29455" s="309"/>
      <c r="J29455" s="309"/>
    </row>
    <row r="29456">
      <c r="B29456" s="309"/>
      <c r="C29456" s="309"/>
      <c r="I29456" s="309"/>
      <c r="J29456" s="309"/>
    </row>
    <row r="29457">
      <c r="B29457" s="309"/>
      <c r="C29457" s="309"/>
      <c r="I29457" s="309"/>
      <c r="J29457" s="309"/>
    </row>
    <row r="29458">
      <c r="B29458" s="309"/>
      <c r="C29458" s="309"/>
      <c r="I29458" s="309"/>
      <c r="J29458" s="309"/>
    </row>
    <row r="29459">
      <c r="B29459" s="309"/>
      <c r="C29459" s="309"/>
      <c r="I29459" s="309"/>
      <c r="J29459" s="309"/>
    </row>
    <row r="29460">
      <c r="B29460" s="309"/>
      <c r="C29460" s="309"/>
      <c r="I29460" s="309"/>
      <c r="J29460" s="309"/>
    </row>
    <row r="29461">
      <c r="B29461" s="309"/>
      <c r="C29461" s="309"/>
      <c r="I29461" s="309"/>
      <c r="J29461" s="309"/>
    </row>
    <row r="29462">
      <c r="B29462" s="309"/>
      <c r="C29462" s="309"/>
      <c r="I29462" s="309"/>
      <c r="J29462" s="309"/>
    </row>
    <row r="29463">
      <c r="B29463" s="309"/>
      <c r="C29463" s="309"/>
      <c r="I29463" s="309"/>
      <c r="J29463" s="309"/>
    </row>
    <row r="29464">
      <c r="B29464" s="309"/>
      <c r="C29464" s="309"/>
      <c r="I29464" s="309"/>
      <c r="J29464" s="309"/>
    </row>
    <row r="29465">
      <c r="B29465" s="309"/>
      <c r="C29465" s="309"/>
      <c r="I29465" s="309"/>
      <c r="J29465" s="309"/>
    </row>
    <row r="29466">
      <c r="B29466" s="309"/>
      <c r="C29466" s="309"/>
      <c r="I29466" s="309"/>
      <c r="J29466" s="309"/>
    </row>
    <row r="29467">
      <c r="B29467" s="309"/>
      <c r="C29467" s="309"/>
      <c r="I29467" s="309"/>
      <c r="J29467" s="309"/>
    </row>
    <row r="29468">
      <c r="B29468" s="309"/>
      <c r="C29468" s="309"/>
      <c r="I29468" s="309"/>
      <c r="J29468" s="309"/>
    </row>
    <row r="29469">
      <c r="B29469" s="309"/>
      <c r="C29469" s="309"/>
      <c r="I29469" s="309"/>
      <c r="J29469" s="309"/>
    </row>
    <row r="29470">
      <c r="B29470" s="309"/>
      <c r="C29470" s="309"/>
      <c r="I29470" s="309"/>
      <c r="J29470" s="309"/>
    </row>
    <row r="29471">
      <c r="B29471" s="309"/>
      <c r="C29471" s="309"/>
      <c r="I29471" s="309"/>
      <c r="J29471" s="309"/>
    </row>
    <row r="29472">
      <c r="B29472" s="309"/>
      <c r="C29472" s="309"/>
      <c r="I29472" s="309"/>
      <c r="J29472" s="309"/>
    </row>
    <row r="29473">
      <c r="B29473" s="309"/>
      <c r="C29473" s="309"/>
      <c r="I29473" s="309"/>
      <c r="J29473" s="309"/>
    </row>
    <row r="29474">
      <c r="B29474" s="309"/>
      <c r="C29474" s="309"/>
      <c r="I29474" s="309"/>
      <c r="J29474" s="309"/>
    </row>
    <row r="29475">
      <c r="B29475" s="309"/>
      <c r="C29475" s="309"/>
      <c r="I29475" s="309"/>
      <c r="J29475" s="309"/>
    </row>
    <row r="29476">
      <c r="B29476" s="309"/>
      <c r="C29476" s="309"/>
      <c r="I29476" s="309"/>
      <c r="J29476" s="309"/>
    </row>
    <row r="29477">
      <c r="B29477" s="309"/>
      <c r="C29477" s="309"/>
      <c r="I29477" s="309"/>
      <c r="J29477" s="309"/>
    </row>
    <row r="29478">
      <c r="B29478" s="309"/>
      <c r="C29478" s="309"/>
      <c r="I29478" s="309"/>
      <c r="J29478" s="309"/>
    </row>
    <row r="29479">
      <c r="B29479" s="309"/>
      <c r="C29479" s="309"/>
      <c r="I29479" s="309"/>
      <c r="J29479" s="309"/>
    </row>
    <row r="29480">
      <c r="B29480" s="309"/>
      <c r="C29480" s="309"/>
      <c r="I29480" s="309"/>
      <c r="J29480" s="309"/>
    </row>
    <row r="29481">
      <c r="B29481" s="309"/>
      <c r="C29481" s="309"/>
      <c r="I29481" s="309"/>
      <c r="J29481" s="309"/>
    </row>
    <row r="29482">
      <c r="B29482" s="309"/>
      <c r="C29482" s="309"/>
      <c r="I29482" s="309"/>
      <c r="J29482" s="309"/>
    </row>
    <row r="29483">
      <c r="B29483" s="309"/>
      <c r="C29483" s="309"/>
      <c r="I29483" s="309"/>
      <c r="J29483" s="309"/>
    </row>
    <row r="29484">
      <c r="B29484" s="309"/>
      <c r="C29484" s="309"/>
      <c r="I29484" s="309"/>
      <c r="J29484" s="309"/>
    </row>
    <row r="29485">
      <c r="B29485" s="309"/>
      <c r="C29485" s="309"/>
      <c r="I29485" s="309"/>
      <c r="J29485" s="309"/>
    </row>
    <row r="29486">
      <c r="B29486" s="309"/>
      <c r="C29486" s="309"/>
      <c r="I29486" s="309"/>
      <c r="J29486" s="309"/>
    </row>
    <row r="29487">
      <c r="B29487" s="309"/>
      <c r="C29487" s="309"/>
      <c r="I29487" s="309"/>
      <c r="J29487" s="309"/>
    </row>
    <row r="29488">
      <c r="B29488" s="309"/>
      <c r="C29488" s="309"/>
      <c r="I29488" s="309"/>
      <c r="J29488" s="309"/>
    </row>
    <row r="29489">
      <c r="B29489" s="309"/>
      <c r="C29489" s="309"/>
      <c r="I29489" s="309"/>
      <c r="J29489" s="309"/>
    </row>
    <row r="29490">
      <c r="B29490" s="309"/>
      <c r="C29490" s="309"/>
      <c r="I29490" s="309"/>
      <c r="J29490" s="309"/>
    </row>
    <row r="29491">
      <c r="B29491" s="309"/>
      <c r="C29491" s="309"/>
      <c r="I29491" s="309"/>
      <c r="J29491" s="309"/>
    </row>
    <row r="29492">
      <c r="B29492" s="309"/>
      <c r="C29492" s="309"/>
      <c r="I29492" s="309"/>
      <c r="J29492" s="309"/>
    </row>
    <row r="29493">
      <c r="B29493" s="309"/>
      <c r="C29493" s="309"/>
      <c r="I29493" s="309"/>
      <c r="J29493" s="309"/>
    </row>
    <row r="29494">
      <c r="B29494" s="309"/>
      <c r="C29494" s="309"/>
      <c r="I29494" s="309"/>
      <c r="J29494" s="309"/>
    </row>
    <row r="29495">
      <c r="B29495" s="309"/>
      <c r="C29495" s="309"/>
      <c r="I29495" s="309"/>
      <c r="J29495" s="309"/>
    </row>
    <row r="29496">
      <c r="B29496" s="309"/>
      <c r="C29496" s="309"/>
      <c r="I29496" s="309"/>
      <c r="J29496" s="309"/>
    </row>
    <row r="29497">
      <c r="B29497" s="309"/>
      <c r="C29497" s="309"/>
      <c r="I29497" s="309"/>
      <c r="J29497" s="309"/>
    </row>
    <row r="29498">
      <c r="B29498" s="309"/>
      <c r="C29498" s="309"/>
      <c r="I29498" s="309"/>
      <c r="J29498" s="309"/>
    </row>
    <row r="29499">
      <c r="B29499" s="309"/>
      <c r="C29499" s="309"/>
      <c r="I29499" s="309"/>
      <c r="J29499" s="309"/>
    </row>
    <row r="29500">
      <c r="B29500" s="309"/>
      <c r="C29500" s="309"/>
      <c r="I29500" s="309"/>
      <c r="J29500" s="309"/>
    </row>
    <row r="29501">
      <c r="B29501" s="309"/>
      <c r="C29501" s="309"/>
      <c r="I29501" s="309"/>
      <c r="J29501" s="309"/>
    </row>
    <row r="29502">
      <c r="B29502" s="309"/>
      <c r="C29502" s="309"/>
      <c r="I29502" s="309"/>
      <c r="J29502" s="309"/>
    </row>
    <row r="29503">
      <c r="B29503" s="309"/>
      <c r="C29503" s="309"/>
      <c r="I29503" s="309"/>
      <c r="J29503" s="309"/>
    </row>
    <row r="29504">
      <c r="B29504" s="309"/>
      <c r="C29504" s="309"/>
      <c r="I29504" s="309"/>
      <c r="J29504" s="309"/>
    </row>
    <row r="29505">
      <c r="B29505" s="309"/>
      <c r="C29505" s="309"/>
      <c r="I29505" s="309"/>
      <c r="J29505" s="309"/>
    </row>
    <row r="29506">
      <c r="B29506" s="309"/>
      <c r="C29506" s="309"/>
      <c r="I29506" s="309"/>
      <c r="J29506" s="309"/>
    </row>
    <row r="29507">
      <c r="B29507" s="309"/>
      <c r="C29507" s="309"/>
      <c r="I29507" s="309"/>
      <c r="J29507" s="309"/>
    </row>
    <row r="29508">
      <c r="B29508" s="309"/>
      <c r="C29508" s="309"/>
      <c r="I29508" s="309"/>
      <c r="J29508" s="309"/>
    </row>
    <row r="29509">
      <c r="B29509" s="309"/>
      <c r="C29509" s="309"/>
      <c r="I29509" s="309"/>
      <c r="J29509" s="309"/>
    </row>
    <row r="29510">
      <c r="B29510" s="309"/>
      <c r="C29510" s="309"/>
      <c r="I29510" s="309"/>
      <c r="J29510" s="309"/>
    </row>
    <row r="29511">
      <c r="B29511" s="309"/>
      <c r="C29511" s="309"/>
      <c r="I29511" s="309"/>
      <c r="J29511" s="309"/>
    </row>
    <row r="29512">
      <c r="B29512" s="309"/>
      <c r="C29512" s="309"/>
      <c r="I29512" s="309"/>
      <c r="J29512" s="309"/>
    </row>
    <row r="29513">
      <c r="B29513" s="309"/>
      <c r="C29513" s="309"/>
      <c r="I29513" s="309"/>
      <c r="J29513" s="309"/>
    </row>
    <row r="29514">
      <c r="B29514" s="309"/>
      <c r="C29514" s="309"/>
      <c r="I29514" s="309"/>
      <c r="J29514" s="309"/>
    </row>
    <row r="29515">
      <c r="B29515" s="309"/>
      <c r="C29515" s="309"/>
      <c r="I29515" s="309"/>
      <c r="J29515" s="309"/>
    </row>
    <row r="29516">
      <c r="B29516" s="309"/>
      <c r="C29516" s="309"/>
      <c r="I29516" s="309"/>
      <c r="J29516" s="309"/>
    </row>
    <row r="29517">
      <c r="B29517" s="309"/>
      <c r="C29517" s="309"/>
      <c r="I29517" s="309"/>
      <c r="J29517" s="309"/>
    </row>
    <row r="29518">
      <c r="B29518" s="309"/>
      <c r="C29518" s="309"/>
      <c r="I29518" s="309"/>
      <c r="J29518" s="309"/>
    </row>
    <row r="29519">
      <c r="B29519" s="309"/>
      <c r="C29519" s="309"/>
      <c r="I29519" s="309"/>
      <c r="J29519" s="309"/>
    </row>
    <row r="29520">
      <c r="B29520" s="309"/>
      <c r="C29520" s="309"/>
      <c r="I29520" s="309"/>
      <c r="J29520" s="309"/>
    </row>
    <row r="29521">
      <c r="B29521" s="309"/>
      <c r="C29521" s="309"/>
      <c r="I29521" s="309"/>
      <c r="J29521" s="309"/>
    </row>
    <row r="29522">
      <c r="B29522" s="309"/>
      <c r="C29522" s="309"/>
      <c r="I29522" s="309"/>
      <c r="J29522" s="309"/>
    </row>
    <row r="29523">
      <c r="B29523" s="309"/>
      <c r="C29523" s="309"/>
      <c r="I29523" s="309"/>
      <c r="J29523" s="309"/>
    </row>
    <row r="29524">
      <c r="B29524" s="309"/>
      <c r="C29524" s="309"/>
      <c r="I29524" s="309"/>
      <c r="J29524" s="309"/>
    </row>
    <row r="29525">
      <c r="B29525" s="309"/>
      <c r="C29525" s="309"/>
      <c r="I29525" s="309"/>
      <c r="J29525" s="309"/>
    </row>
    <row r="29526">
      <c r="B29526" s="309"/>
      <c r="C29526" s="309"/>
      <c r="I29526" s="309"/>
      <c r="J29526" s="309"/>
    </row>
    <row r="29527">
      <c r="B29527" s="309"/>
      <c r="C29527" s="309"/>
      <c r="I29527" s="309"/>
      <c r="J29527" s="309"/>
    </row>
    <row r="29528">
      <c r="B29528" s="309"/>
      <c r="C29528" s="309"/>
      <c r="I29528" s="309"/>
      <c r="J29528" s="309"/>
    </row>
    <row r="29529">
      <c r="B29529" s="309"/>
      <c r="C29529" s="309"/>
      <c r="I29529" s="309"/>
      <c r="J29529" s="309"/>
    </row>
    <row r="29530">
      <c r="B29530" s="309"/>
      <c r="C29530" s="309"/>
      <c r="I29530" s="309"/>
      <c r="J29530" s="309"/>
    </row>
    <row r="29531">
      <c r="B29531" s="309"/>
      <c r="C29531" s="309"/>
      <c r="I29531" s="309"/>
      <c r="J29531" s="309"/>
    </row>
    <row r="29532">
      <c r="B29532" s="309"/>
      <c r="C29532" s="309"/>
      <c r="I29532" s="309"/>
      <c r="J29532" s="309"/>
    </row>
    <row r="29533">
      <c r="B29533" s="309"/>
      <c r="C29533" s="309"/>
      <c r="I29533" s="309"/>
      <c r="J29533" s="309"/>
    </row>
    <row r="29534">
      <c r="B29534" s="309"/>
      <c r="C29534" s="309"/>
      <c r="I29534" s="309"/>
      <c r="J29534" s="309"/>
    </row>
    <row r="29535">
      <c r="B29535" s="309"/>
      <c r="C29535" s="309"/>
      <c r="I29535" s="309"/>
      <c r="J29535" s="309"/>
    </row>
    <row r="29536">
      <c r="B29536" s="309"/>
      <c r="C29536" s="309"/>
      <c r="I29536" s="309"/>
      <c r="J29536" s="309"/>
    </row>
    <row r="29537">
      <c r="B29537" s="309"/>
      <c r="C29537" s="309"/>
      <c r="I29537" s="309"/>
      <c r="J29537" s="309"/>
    </row>
    <row r="29538">
      <c r="B29538" s="309"/>
      <c r="C29538" s="309"/>
      <c r="I29538" s="309"/>
      <c r="J29538" s="309"/>
    </row>
    <row r="29539">
      <c r="B29539" s="309"/>
      <c r="C29539" s="309"/>
      <c r="I29539" s="309"/>
      <c r="J29539" s="309"/>
    </row>
    <row r="29540">
      <c r="B29540" s="309"/>
      <c r="C29540" s="309"/>
      <c r="I29540" s="309"/>
      <c r="J29540" s="309"/>
    </row>
    <row r="29541">
      <c r="B29541" s="309"/>
      <c r="C29541" s="309"/>
      <c r="I29541" s="309"/>
      <c r="J29541" s="309"/>
    </row>
    <row r="29542">
      <c r="B29542" s="309"/>
      <c r="C29542" s="309"/>
      <c r="I29542" s="309"/>
      <c r="J29542" s="309"/>
    </row>
    <row r="29543">
      <c r="B29543" s="309"/>
      <c r="C29543" s="309"/>
      <c r="I29543" s="309"/>
      <c r="J29543" s="309"/>
    </row>
    <row r="29544">
      <c r="B29544" s="309"/>
      <c r="C29544" s="309"/>
      <c r="I29544" s="309"/>
      <c r="J29544" s="309"/>
    </row>
    <row r="29545">
      <c r="B29545" s="309"/>
      <c r="C29545" s="309"/>
      <c r="I29545" s="309"/>
      <c r="J29545" s="309"/>
    </row>
    <row r="29546">
      <c r="B29546" s="309"/>
      <c r="C29546" s="309"/>
      <c r="I29546" s="309"/>
      <c r="J29546" s="309"/>
    </row>
    <row r="29547">
      <c r="B29547" s="309"/>
      <c r="C29547" s="309"/>
      <c r="I29547" s="309"/>
      <c r="J29547" s="309"/>
    </row>
    <row r="29548">
      <c r="B29548" s="309"/>
      <c r="C29548" s="309"/>
      <c r="I29548" s="309"/>
      <c r="J29548" s="309"/>
    </row>
    <row r="29549">
      <c r="B29549" s="309"/>
      <c r="C29549" s="309"/>
      <c r="I29549" s="309"/>
      <c r="J29549" s="309"/>
    </row>
    <row r="29550">
      <c r="B29550" s="309"/>
      <c r="C29550" s="309"/>
      <c r="I29550" s="309"/>
      <c r="J29550" s="309"/>
    </row>
    <row r="29551">
      <c r="B29551" s="309"/>
      <c r="C29551" s="309"/>
      <c r="I29551" s="309"/>
      <c r="J29551" s="309"/>
    </row>
    <row r="29552">
      <c r="B29552" s="309"/>
      <c r="C29552" s="309"/>
      <c r="I29552" s="309"/>
      <c r="J29552" s="309"/>
    </row>
    <row r="29553">
      <c r="B29553" s="309"/>
      <c r="C29553" s="309"/>
      <c r="I29553" s="309"/>
      <c r="J29553" s="309"/>
    </row>
    <row r="29554">
      <c r="B29554" s="309"/>
      <c r="C29554" s="309"/>
      <c r="I29554" s="309"/>
      <c r="J29554" s="309"/>
    </row>
    <row r="29555">
      <c r="B29555" s="309"/>
      <c r="C29555" s="309"/>
      <c r="I29555" s="309"/>
      <c r="J29555" s="309"/>
    </row>
    <row r="29556">
      <c r="B29556" s="309"/>
      <c r="C29556" s="309"/>
      <c r="I29556" s="309"/>
      <c r="J29556" s="309"/>
    </row>
    <row r="29557">
      <c r="B29557" s="309"/>
      <c r="C29557" s="309"/>
      <c r="I29557" s="309"/>
      <c r="J29557" s="309"/>
    </row>
    <row r="29558">
      <c r="B29558" s="309"/>
      <c r="C29558" s="309"/>
      <c r="I29558" s="309"/>
      <c r="J29558" s="309"/>
    </row>
    <row r="29559">
      <c r="B29559" s="309"/>
      <c r="C29559" s="309"/>
      <c r="I29559" s="309"/>
      <c r="J29559" s="309"/>
    </row>
    <row r="29560">
      <c r="B29560" s="309"/>
      <c r="C29560" s="309"/>
      <c r="I29560" s="309"/>
      <c r="J29560" s="309"/>
    </row>
    <row r="29561">
      <c r="B29561" s="309"/>
      <c r="C29561" s="309"/>
      <c r="I29561" s="309"/>
      <c r="J29561" s="309"/>
    </row>
    <row r="29562">
      <c r="B29562" s="309"/>
      <c r="C29562" s="309"/>
      <c r="I29562" s="309"/>
      <c r="J29562" s="309"/>
    </row>
    <row r="29563">
      <c r="B29563" s="309"/>
      <c r="C29563" s="309"/>
      <c r="I29563" s="309"/>
      <c r="J29563" s="309"/>
    </row>
    <row r="29564">
      <c r="B29564" s="309"/>
      <c r="C29564" s="309"/>
      <c r="I29564" s="309"/>
      <c r="J29564" s="309"/>
    </row>
    <row r="29565">
      <c r="B29565" s="309"/>
      <c r="C29565" s="309"/>
      <c r="I29565" s="309"/>
      <c r="J29565" s="309"/>
    </row>
    <row r="29566">
      <c r="B29566" s="309"/>
      <c r="C29566" s="309"/>
      <c r="I29566" s="309"/>
      <c r="J29566" s="309"/>
    </row>
    <row r="29567">
      <c r="B29567" s="309"/>
      <c r="C29567" s="309"/>
      <c r="I29567" s="309"/>
      <c r="J29567" s="309"/>
    </row>
    <row r="29568">
      <c r="B29568" s="309"/>
      <c r="C29568" s="309"/>
      <c r="I29568" s="309"/>
      <c r="J29568" s="309"/>
    </row>
    <row r="29569">
      <c r="B29569" s="309"/>
      <c r="C29569" s="309"/>
      <c r="I29569" s="309"/>
      <c r="J29569" s="309"/>
    </row>
    <row r="29570">
      <c r="B29570" s="309"/>
      <c r="C29570" s="309"/>
      <c r="I29570" s="309"/>
      <c r="J29570" s="309"/>
    </row>
    <row r="29571">
      <c r="B29571" s="309"/>
      <c r="C29571" s="309"/>
      <c r="I29571" s="309"/>
      <c r="J29571" s="309"/>
    </row>
    <row r="29572">
      <c r="B29572" s="309"/>
      <c r="C29572" s="309"/>
      <c r="I29572" s="309"/>
      <c r="J29572" s="309"/>
    </row>
    <row r="29573">
      <c r="B29573" s="309"/>
      <c r="C29573" s="309"/>
      <c r="I29573" s="309"/>
      <c r="J29573" s="309"/>
    </row>
    <row r="29574">
      <c r="B29574" s="309"/>
      <c r="C29574" s="309"/>
      <c r="I29574" s="309"/>
      <c r="J29574" s="309"/>
    </row>
    <row r="29575">
      <c r="B29575" s="309"/>
      <c r="C29575" s="309"/>
      <c r="I29575" s="309"/>
      <c r="J29575" s="309"/>
    </row>
    <row r="29576">
      <c r="B29576" s="309"/>
      <c r="C29576" s="309"/>
      <c r="I29576" s="309"/>
      <c r="J29576" s="309"/>
    </row>
    <row r="29577">
      <c r="B29577" s="309"/>
      <c r="C29577" s="309"/>
      <c r="I29577" s="309"/>
      <c r="J29577" s="309"/>
    </row>
    <row r="29578">
      <c r="B29578" s="309"/>
      <c r="C29578" s="309"/>
      <c r="I29578" s="309"/>
      <c r="J29578" s="309"/>
    </row>
    <row r="29579">
      <c r="B29579" s="309"/>
      <c r="C29579" s="309"/>
      <c r="I29579" s="309"/>
      <c r="J29579" s="309"/>
    </row>
    <row r="29580">
      <c r="B29580" s="309"/>
      <c r="C29580" s="309"/>
      <c r="I29580" s="309"/>
      <c r="J29580" s="309"/>
    </row>
    <row r="29581">
      <c r="B29581" s="309"/>
      <c r="C29581" s="309"/>
      <c r="I29581" s="309"/>
      <c r="J29581" s="309"/>
    </row>
    <row r="29582">
      <c r="B29582" s="309"/>
      <c r="C29582" s="309"/>
      <c r="I29582" s="309"/>
      <c r="J29582" s="309"/>
    </row>
    <row r="29583">
      <c r="B29583" s="309"/>
      <c r="C29583" s="309"/>
      <c r="I29583" s="309"/>
      <c r="J29583" s="309"/>
    </row>
    <row r="29584">
      <c r="B29584" s="309"/>
      <c r="C29584" s="309"/>
      <c r="I29584" s="309"/>
      <c r="J29584" s="309"/>
    </row>
    <row r="29585">
      <c r="B29585" s="309"/>
      <c r="C29585" s="309"/>
      <c r="I29585" s="309"/>
      <c r="J29585" s="309"/>
    </row>
    <row r="29586">
      <c r="B29586" s="309"/>
      <c r="C29586" s="309"/>
      <c r="I29586" s="309"/>
      <c r="J29586" s="309"/>
    </row>
    <row r="29587">
      <c r="B29587" s="309"/>
      <c r="C29587" s="309"/>
      <c r="I29587" s="309"/>
      <c r="J29587" s="309"/>
    </row>
    <row r="29588">
      <c r="B29588" s="309"/>
      <c r="C29588" s="309"/>
      <c r="I29588" s="309"/>
      <c r="J29588" s="309"/>
    </row>
    <row r="29589">
      <c r="B29589" s="309"/>
      <c r="C29589" s="309"/>
      <c r="I29589" s="309"/>
      <c r="J29589" s="309"/>
    </row>
    <row r="29590">
      <c r="B29590" s="309"/>
      <c r="C29590" s="309"/>
      <c r="I29590" s="309"/>
      <c r="J29590" s="309"/>
    </row>
    <row r="29591">
      <c r="B29591" s="309"/>
      <c r="C29591" s="309"/>
      <c r="I29591" s="309"/>
      <c r="J29591" s="309"/>
    </row>
    <row r="29592">
      <c r="B29592" s="309"/>
      <c r="C29592" s="309"/>
      <c r="I29592" s="309"/>
      <c r="J29592" s="309"/>
    </row>
    <row r="29593">
      <c r="B29593" s="309"/>
      <c r="C29593" s="309"/>
      <c r="I29593" s="309"/>
      <c r="J29593" s="309"/>
    </row>
    <row r="29594">
      <c r="B29594" s="309"/>
      <c r="C29594" s="309"/>
      <c r="I29594" s="309"/>
      <c r="J29594" s="309"/>
    </row>
    <row r="29595">
      <c r="B29595" s="309"/>
      <c r="C29595" s="309"/>
      <c r="I29595" s="309"/>
      <c r="J29595" s="309"/>
    </row>
    <row r="29596">
      <c r="B29596" s="309"/>
      <c r="C29596" s="309"/>
      <c r="I29596" s="309"/>
      <c r="J29596" s="309"/>
    </row>
    <row r="29597">
      <c r="B29597" s="309"/>
      <c r="C29597" s="309"/>
      <c r="I29597" s="309"/>
      <c r="J29597" s="309"/>
    </row>
    <row r="29598">
      <c r="B29598" s="309"/>
      <c r="C29598" s="309"/>
      <c r="I29598" s="309"/>
      <c r="J29598" s="309"/>
    </row>
    <row r="29599">
      <c r="B29599" s="309"/>
      <c r="C29599" s="309"/>
      <c r="I29599" s="309"/>
      <c r="J29599" s="309"/>
    </row>
    <row r="29600">
      <c r="B29600" s="309"/>
      <c r="C29600" s="309"/>
      <c r="I29600" s="309"/>
      <c r="J29600" s="309"/>
    </row>
    <row r="29601">
      <c r="B29601" s="309"/>
      <c r="C29601" s="309"/>
      <c r="I29601" s="309"/>
      <c r="J29601" s="309"/>
    </row>
    <row r="29602">
      <c r="B29602" s="309"/>
      <c r="C29602" s="309"/>
      <c r="I29602" s="309"/>
      <c r="J29602" s="309"/>
    </row>
    <row r="29603">
      <c r="B29603" s="309"/>
      <c r="C29603" s="309"/>
      <c r="I29603" s="309"/>
      <c r="J29603" s="309"/>
    </row>
    <row r="29604">
      <c r="B29604" s="309"/>
      <c r="C29604" s="309"/>
      <c r="I29604" s="309"/>
      <c r="J29604" s="309"/>
    </row>
    <row r="29605">
      <c r="B29605" s="309"/>
      <c r="C29605" s="309"/>
      <c r="I29605" s="309"/>
      <c r="J29605" s="309"/>
    </row>
    <row r="29606">
      <c r="B29606" s="309"/>
      <c r="C29606" s="309"/>
      <c r="I29606" s="309"/>
      <c r="J29606" s="309"/>
    </row>
    <row r="29607">
      <c r="B29607" s="309"/>
      <c r="C29607" s="309"/>
      <c r="I29607" s="309"/>
      <c r="J29607" s="309"/>
    </row>
    <row r="29608">
      <c r="B29608" s="309"/>
      <c r="C29608" s="309"/>
      <c r="I29608" s="309"/>
      <c r="J29608" s="309"/>
    </row>
    <row r="29609">
      <c r="B29609" s="309"/>
      <c r="C29609" s="309"/>
      <c r="I29609" s="309"/>
      <c r="J29609" s="309"/>
    </row>
    <row r="29610">
      <c r="B29610" s="309"/>
      <c r="C29610" s="309"/>
      <c r="I29610" s="309"/>
      <c r="J29610" s="309"/>
    </row>
    <row r="29611">
      <c r="B29611" s="309"/>
      <c r="C29611" s="309"/>
      <c r="I29611" s="309"/>
      <c r="J29611" s="309"/>
    </row>
    <row r="29612">
      <c r="B29612" s="309"/>
      <c r="C29612" s="309"/>
      <c r="I29612" s="309"/>
      <c r="J29612" s="309"/>
    </row>
    <row r="29613">
      <c r="B29613" s="309"/>
      <c r="C29613" s="309"/>
      <c r="I29613" s="309"/>
      <c r="J29613" s="309"/>
    </row>
    <row r="29614">
      <c r="B29614" s="309"/>
      <c r="C29614" s="309"/>
      <c r="I29614" s="309"/>
      <c r="J29614" s="309"/>
    </row>
    <row r="29615">
      <c r="B29615" s="309"/>
      <c r="C29615" s="309"/>
      <c r="I29615" s="309"/>
      <c r="J29615" s="309"/>
    </row>
    <row r="29616">
      <c r="B29616" s="309"/>
      <c r="C29616" s="309"/>
      <c r="I29616" s="309"/>
      <c r="J29616" s="309"/>
    </row>
    <row r="29617">
      <c r="B29617" s="309"/>
      <c r="C29617" s="309"/>
      <c r="I29617" s="309"/>
      <c r="J29617" s="309"/>
    </row>
    <row r="29618">
      <c r="B29618" s="309"/>
      <c r="C29618" s="309"/>
      <c r="I29618" s="309"/>
      <c r="J29618" s="309"/>
    </row>
    <row r="29619">
      <c r="B29619" s="309"/>
      <c r="C29619" s="309"/>
      <c r="I29619" s="309"/>
      <c r="J29619" s="309"/>
    </row>
    <row r="29620">
      <c r="B29620" s="309"/>
      <c r="C29620" s="309"/>
      <c r="I29620" s="309"/>
      <c r="J29620" s="309"/>
    </row>
    <row r="29621">
      <c r="B29621" s="309"/>
      <c r="C29621" s="309"/>
      <c r="I29621" s="309"/>
      <c r="J29621" s="309"/>
    </row>
    <row r="29622">
      <c r="B29622" s="309"/>
      <c r="C29622" s="309"/>
      <c r="I29622" s="309"/>
      <c r="J29622" s="309"/>
    </row>
    <row r="29623">
      <c r="B29623" s="309"/>
      <c r="C29623" s="309"/>
      <c r="I29623" s="309"/>
      <c r="J29623" s="309"/>
    </row>
    <row r="29624">
      <c r="B29624" s="309"/>
      <c r="C29624" s="309"/>
      <c r="I29624" s="309"/>
      <c r="J29624" s="309"/>
    </row>
    <row r="29625">
      <c r="B29625" s="309"/>
      <c r="C29625" s="309"/>
      <c r="I29625" s="309"/>
      <c r="J29625" s="309"/>
    </row>
    <row r="29626">
      <c r="B29626" s="309"/>
      <c r="C29626" s="309"/>
      <c r="I29626" s="309"/>
      <c r="J29626" s="309"/>
    </row>
    <row r="29627">
      <c r="B29627" s="309"/>
      <c r="C29627" s="309"/>
      <c r="I29627" s="309"/>
      <c r="J29627" s="309"/>
    </row>
    <row r="29628">
      <c r="B29628" s="309"/>
      <c r="C29628" s="309"/>
      <c r="I29628" s="309"/>
      <c r="J29628" s="309"/>
    </row>
    <row r="29629">
      <c r="B29629" s="309"/>
      <c r="C29629" s="309"/>
      <c r="I29629" s="309"/>
      <c r="J29629" s="309"/>
    </row>
    <row r="29630">
      <c r="B29630" s="309"/>
      <c r="C29630" s="309"/>
      <c r="I29630" s="309"/>
      <c r="J29630" s="309"/>
    </row>
    <row r="29631">
      <c r="B29631" s="309"/>
      <c r="C29631" s="309"/>
      <c r="I29631" s="309"/>
      <c r="J29631" s="309"/>
    </row>
    <row r="29632">
      <c r="B29632" s="309"/>
      <c r="C29632" s="309"/>
      <c r="I29632" s="309"/>
      <c r="J29632" s="309"/>
    </row>
    <row r="29633">
      <c r="B29633" s="309"/>
      <c r="C29633" s="309"/>
      <c r="I29633" s="309"/>
      <c r="J29633" s="309"/>
    </row>
    <row r="29634">
      <c r="B29634" s="309"/>
      <c r="C29634" s="309"/>
      <c r="I29634" s="309"/>
      <c r="J29634" s="309"/>
    </row>
    <row r="29635">
      <c r="B29635" s="309"/>
      <c r="C29635" s="309"/>
      <c r="I29635" s="309"/>
      <c r="J29635" s="309"/>
    </row>
    <row r="29636">
      <c r="B29636" s="309"/>
      <c r="C29636" s="309"/>
      <c r="I29636" s="309"/>
      <c r="J29636" s="309"/>
    </row>
    <row r="29637">
      <c r="B29637" s="309"/>
      <c r="C29637" s="309"/>
      <c r="I29637" s="309"/>
      <c r="J29637" s="309"/>
    </row>
    <row r="29638">
      <c r="B29638" s="309"/>
      <c r="C29638" s="309"/>
      <c r="I29638" s="309"/>
      <c r="J29638" s="309"/>
    </row>
    <row r="29639">
      <c r="B29639" s="309"/>
      <c r="C29639" s="309"/>
      <c r="I29639" s="309"/>
      <c r="J29639" s="309"/>
    </row>
    <row r="29640">
      <c r="B29640" s="309"/>
      <c r="C29640" s="309"/>
      <c r="I29640" s="309"/>
      <c r="J29640" s="309"/>
    </row>
    <row r="29641">
      <c r="B29641" s="309"/>
      <c r="C29641" s="309"/>
      <c r="I29641" s="309"/>
      <c r="J29641" s="309"/>
    </row>
    <row r="29642">
      <c r="B29642" s="309"/>
      <c r="C29642" s="309"/>
      <c r="I29642" s="309"/>
      <c r="J29642" s="309"/>
    </row>
    <row r="29643">
      <c r="B29643" s="309"/>
      <c r="C29643" s="309"/>
      <c r="I29643" s="309"/>
      <c r="J29643" s="309"/>
    </row>
    <row r="29644">
      <c r="B29644" s="309"/>
      <c r="C29644" s="309"/>
      <c r="I29644" s="309"/>
      <c r="J29644" s="309"/>
    </row>
    <row r="29645">
      <c r="B29645" s="309"/>
      <c r="C29645" s="309"/>
      <c r="I29645" s="309"/>
      <c r="J29645" s="309"/>
    </row>
    <row r="29646">
      <c r="B29646" s="309"/>
      <c r="C29646" s="309"/>
      <c r="I29646" s="309"/>
      <c r="J29646" s="309"/>
    </row>
    <row r="29647">
      <c r="B29647" s="309"/>
      <c r="C29647" s="309"/>
      <c r="I29647" s="309"/>
      <c r="J29647" s="309"/>
    </row>
    <row r="29648">
      <c r="B29648" s="309"/>
      <c r="C29648" s="309"/>
      <c r="I29648" s="309"/>
      <c r="J29648" s="309"/>
    </row>
    <row r="29649">
      <c r="B29649" s="309"/>
      <c r="C29649" s="309"/>
      <c r="I29649" s="309"/>
      <c r="J29649" s="309"/>
    </row>
    <row r="29650">
      <c r="B29650" s="309"/>
      <c r="C29650" s="309"/>
      <c r="I29650" s="309"/>
      <c r="J29650" s="309"/>
    </row>
    <row r="29651">
      <c r="B29651" s="309"/>
      <c r="C29651" s="309"/>
      <c r="I29651" s="309"/>
      <c r="J29651" s="309"/>
    </row>
    <row r="29652">
      <c r="B29652" s="309"/>
      <c r="C29652" s="309"/>
      <c r="I29652" s="309"/>
      <c r="J29652" s="309"/>
    </row>
    <row r="29653">
      <c r="B29653" s="309"/>
      <c r="C29653" s="309"/>
      <c r="I29653" s="309"/>
      <c r="J29653" s="309"/>
    </row>
    <row r="29654">
      <c r="B29654" s="309"/>
      <c r="C29654" s="309"/>
      <c r="I29654" s="309"/>
      <c r="J29654" s="309"/>
    </row>
    <row r="29655">
      <c r="B29655" s="309"/>
      <c r="C29655" s="309"/>
      <c r="I29655" s="309"/>
      <c r="J29655" s="309"/>
    </row>
    <row r="29656">
      <c r="B29656" s="309"/>
      <c r="C29656" s="309"/>
      <c r="I29656" s="309"/>
      <c r="J29656" s="309"/>
    </row>
    <row r="29657">
      <c r="B29657" s="309"/>
      <c r="C29657" s="309"/>
      <c r="I29657" s="309"/>
      <c r="J29657" s="309"/>
    </row>
    <row r="29658">
      <c r="B29658" s="309"/>
      <c r="C29658" s="309"/>
      <c r="I29658" s="309"/>
      <c r="J29658" s="309"/>
    </row>
    <row r="29659">
      <c r="B29659" s="309"/>
      <c r="C29659" s="309"/>
      <c r="I29659" s="309"/>
      <c r="J29659" s="309"/>
    </row>
    <row r="29660">
      <c r="B29660" s="309"/>
      <c r="C29660" s="309"/>
      <c r="I29660" s="309"/>
      <c r="J29660" s="309"/>
    </row>
    <row r="29661">
      <c r="B29661" s="309"/>
      <c r="C29661" s="309"/>
      <c r="I29661" s="309"/>
      <c r="J29661" s="309"/>
    </row>
    <row r="29662">
      <c r="B29662" s="309"/>
      <c r="C29662" s="309"/>
      <c r="I29662" s="309"/>
      <c r="J29662" s="309"/>
    </row>
    <row r="29663">
      <c r="B29663" s="309"/>
      <c r="C29663" s="309"/>
      <c r="I29663" s="309"/>
      <c r="J29663" s="309"/>
    </row>
    <row r="29664">
      <c r="B29664" s="309"/>
      <c r="C29664" s="309"/>
      <c r="I29664" s="309"/>
      <c r="J29664" s="309"/>
    </row>
    <row r="29665">
      <c r="B29665" s="309"/>
      <c r="C29665" s="309"/>
      <c r="I29665" s="309"/>
      <c r="J29665" s="309"/>
    </row>
    <row r="29666">
      <c r="B29666" s="309"/>
      <c r="C29666" s="309"/>
      <c r="I29666" s="309"/>
      <c r="J29666" s="309"/>
    </row>
    <row r="29667">
      <c r="B29667" s="309"/>
      <c r="C29667" s="309"/>
      <c r="I29667" s="309"/>
      <c r="J29667" s="309"/>
    </row>
    <row r="29668">
      <c r="B29668" s="309"/>
      <c r="C29668" s="309"/>
      <c r="I29668" s="309"/>
      <c r="J29668" s="309"/>
    </row>
    <row r="29669">
      <c r="B29669" s="309"/>
      <c r="C29669" s="309"/>
      <c r="I29669" s="309"/>
      <c r="J29669" s="309"/>
    </row>
    <row r="29670">
      <c r="B29670" s="309"/>
      <c r="C29670" s="309"/>
      <c r="I29670" s="309"/>
      <c r="J29670" s="309"/>
    </row>
    <row r="29671">
      <c r="B29671" s="309"/>
      <c r="C29671" s="309"/>
      <c r="I29671" s="309"/>
      <c r="J29671" s="309"/>
    </row>
    <row r="29672">
      <c r="B29672" s="309"/>
      <c r="C29672" s="309"/>
      <c r="I29672" s="309"/>
      <c r="J29672" s="309"/>
    </row>
    <row r="29673">
      <c r="B29673" s="309"/>
      <c r="C29673" s="309"/>
      <c r="I29673" s="309"/>
      <c r="J29673" s="309"/>
    </row>
    <row r="29674">
      <c r="B29674" s="309"/>
      <c r="C29674" s="309"/>
      <c r="I29674" s="309"/>
      <c r="J29674" s="309"/>
    </row>
    <row r="29675">
      <c r="B29675" s="309"/>
      <c r="C29675" s="309"/>
      <c r="I29675" s="309"/>
      <c r="J29675" s="309"/>
    </row>
    <row r="29676">
      <c r="B29676" s="309"/>
      <c r="C29676" s="309"/>
      <c r="I29676" s="309"/>
      <c r="J29676" s="309"/>
    </row>
    <row r="29677">
      <c r="B29677" s="309"/>
      <c r="C29677" s="309"/>
      <c r="I29677" s="309"/>
      <c r="J29677" s="309"/>
    </row>
    <row r="29678">
      <c r="B29678" s="309"/>
      <c r="C29678" s="309"/>
      <c r="I29678" s="309"/>
      <c r="J29678" s="309"/>
    </row>
    <row r="29679">
      <c r="B29679" s="309"/>
      <c r="C29679" s="309"/>
      <c r="I29679" s="309"/>
      <c r="J29679" s="309"/>
    </row>
    <row r="29680">
      <c r="B29680" s="309"/>
      <c r="C29680" s="309"/>
      <c r="I29680" s="309"/>
      <c r="J29680" s="309"/>
    </row>
    <row r="29681">
      <c r="B29681" s="309"/>
      <c r="C29681" s="309"/>
      <c r="I29681" s="309"/>
      <c r="J29681" s="309"/>
    </row>
    <row r="29682">
      <c r="B29682" s="309"/>
      <c r="C29682" s="309"/>
      <c r="I29682" s="309"/>
      <c r="J29682" s="309"/>
    </row>
    <row r="29683">
      <c r="B29683" s="309"/>
      <c r="C29683" s="309"/>
      <c r="I29683" s="309"/>
      <c r="J29683" s="309"/>
    </row>
    <row r="29684">
      <c r="B29684" s="309"/>
      <c r="C29684" s="309"/>
      <c r="I29684" s="309"/>
      <c r="J29684" s="309"/>
    </row>
    <row r="29685">
      <c r="B29685" s="309"/>
      <c r="C29685" s="309"/>
      <c r="I29685" s="309"/>
      <c r="J29685" s="309"/>
    </row>
    <row r="29686">
      <c r="B29686" s="309"/>
      <c r="C29686" s="309"/>
      <c r="I29686" s="309"/>
      <c r="J29686" s="309"/>
    </row>
    <row r="29687">
      <c r="B29687" s="309"/>
      <c r="C29687" s="309"/>
      <c r="I29687" s="309"/>
      <c r="J29687" s="309"/>
    </row>
    <row r="29688">
      <c r="B29688" s="309"/>
      <c r="C29688" s="309"/>
      <c r="I29688" s="309"/>
      <c r="J29688" s="309"/>
    </row>
    <row r="29689">
      <c r="B29689" s="309"/>
      <c r="C29689" s="309"/>
      <c r="I29689" s="309"/>
      <c r="J29689" s="309"/>
    </row>
    <row r="29690">
      <c r="B29690" s="309"/>
      <c r="C29690" s="309"/>
      <c r="I29690" s="309"/>
      <c r="J29690" s="309"/>
    </row>
    <row r="29691">
      <c r="B29691" s="309"/>
      <c r="C29691" s="309"/>
      <c r="I29691" s="309"/>
      <c r="J29691" s="309"/>
    </row>
    <row r="29692">
      <c r="B29692" s="309"/>
      <c r="C29692" s="309"/>
      <c r="I29692" s="309"/>
      <c r="J29692" s="309"/>
    </row>
    <row r="29693">
      <c r="B29693" s="309"/>
      <c r="C29693" s="309"/>
      <c r="I29693" s="309"/>
      <c r="J29693" s="309"/>
    </row>
    <row r="29694">
      <c r="B29694" s="309"/>
      <c r="C29694" s="309"/>
      <c r="I29694" s="309"/>
      <c r="J29694" s="309"/>
    </row>
    <row r="29695">
      <c r="B29695" s="309"/>
      <c r="C29695" s="309"/>
      <c r="I29695" s="309"/>
      <c r="J29695" s="309"/>
    </row>
    <row r="29696">
      <c r="B29696" s="309"/>
      <c r="C29696" s="309"/>
      <c r="I29696" s="309"/>
      <c r="J29696" s="309"/>
    </row>
    <row r="29697">
      <c r="B29697" s="309"/>
      <c r="C29697" s="309"/>
      <c r="I29697" s="309"/>
      <c r="J29697" s="309"/>
    </row>
    <row r="29698">
      <c r="B29698" s="309"/>
      <c r="C29698" s="309"/>
      <c r="I29698" s="309"/>
      <c r="J29698" s="309"/>
    </row>
    <row r="29699">
      <c r="B29699" s="309"/>
      <c r="C29699" s="309"/>
      <c r="I29699" s="309"/>
      <c r="J29699" s="309"/>
    </row>
    <row r="29700">
      <c r="B29700" s="309"/>
      <c r="C29700" s="309"/>
      <c r="I29700" s="309"/>
      <c r="J29700" s="309"/>
    </row>
    <row r="29701">
      <c r="B29701" s="309"/>
      <c r="C29701" s="309"/>
      <c r="I29701" s="309"/>
      <c r="J29701" s="309"/>
    </row>
    <row r="29702">
      <c r="B29702" s="309"/>
      <c r="C29702" s="309"/>
      <c r="I29702" s="309"/>
      <c r="J29702" s="309"/>
    </row>
    <row r="29703">
      <c r="B29703" s="309"/>
      <c r="C29703" s="309"/>
      <c r="I29703" s="309"/>
      <c r="J29703" s="309"/>
    </row>
    <row r="29704">
      <c r="B29704" s="309"/>
      <c r="C29704" s="309"/>
      <c r="I29704" s="309"/>
      <c r="J29704" s="309"/>
    </row>
    <row r="29705">
      <c r="B29705" s="309"/>
      <c r="C29705" s="309"/>
      <c r="I29705" s="309"/>
      <c r="J29705" s="309"/>
    </row>
    <row r="29706">
      <c r="B29706" s="309"/>
      <c r="C29706" s="309"/>
      <c r="I29706" s="309"/>
      <c r="J29706" s="309"/>
    </row>
    <row r="29707">
      <c r="B29707" s="309"/>
      <c r="C29707" s="309"/>
      <c r="I29707" s="309"/>
      <c r="J29707" s="309"/>
    </row>
    <row r="29708">
      <c r="B29708" s="309"/>
      <c r="C29708" s="309"/>
      <c r="I29708" s="309"/>
      <c r="J29708" s="309"/>
    </row>
    <row r="29709">
      <c r="B29709" s="309"/>
      <c r="C29709" s="309"/>
      <c r="I29709" s="309"/>
      <c r="J29709" s="309"/>
    </row>
    <row r="29710">
      <c r="B29710" s="309"/>
      <c r="C29710" s="309"/>
      <c r="I29710" s="309"/>
      <c r="J29710" s="309"/>
    </row>
    <row r="29711">
      <c r="B29711" s="309"/>
      <c r="C29711" s="309"/>
      <c r="I29711" s="309"/>
      <c r="J29711" s="309"/>
    </row>
    <row r="29712">
      <c r="B29712" s="309"/>
      <c r="C29712" s="309"/>
      <c r="I29712" s="309"/>
      <c r="J29712" s="309"/>
    </row>
    <row r="29713">
      <c r="B29713" s="309"/>
      <c r="C29713" s="309"/>
      <c r="I29713" s="309"/>
      <c r="J29713" s="309"/>
    </row>
    <row r="29714">
      <c r="B29714" s="309"/>
      <c r="C29714" s="309"/>
      <c r="I29714" s="309"/>
      <c r="J29714" s="309"/>
    </row>
    <row r="29715">
      <c r="B29715" s="309"/>
      <c r="C29715" s="309"/>
      <c r="I29715" s="309"/>
      <c r="J29715" s="309"/>
    </row>
    <row r="29716">
      <c r="B29716" s="309"/>
      <c r="C29716" s="309"/>
      <c r="I29716" s="309"/>
      <c r="J29716" s="309"/>
    </row>
    <row r="29717">
      <c r="B29717" s="309"/>
      <c r="C29717" s="309"/>
      <c r="I29717" s="309"/>
      <c r="J29717" s="309"/>
    </row>
    <row r="29718">
      <c r="B29718" s="309"/>
      <c r="C29718" s="309"/>
      <c r="I29718" s="309"/>
      <c r="J29718" s="309"/>
    </row>
    <row r="29719">
      <c r="B29719" s="309"/>
      <c r="C29719" s="309"/>
      <c r="I29719" s="309"/>
      <c r="J29719" s="309"/>
    </row>
    <row r="29720">
      <c r="B29720" s="309"/>
      <c r="C29720" s="309"/>
      <c r="I29720" s="309"/>
      <c r="J29720" s="309"/>
    </row>
    <row r="29721">
      <c r="B29721" s="309"/>
      <c r="C29721" s="309"/>
      <c r="I29721" s="309"/>
      <c r="J29721" s="309"/>
    </row>
    <row r="29722">
      <c r="B29722" s="309"/>
      <c r="C29722" s="309"/>
      <c r="I29722" s="309"/>
      <c r="J29722" s="309"/>
    </row>
    <row r="29723">
      <c r="B29723" s="309"/>
      <c r="C29723" s="309"/>
      <c r="I29723" s="309"/>
      <c r="J29723" s="309"/>
    </row>
    <row r="29724">
      <c r="B29724" s="309"/>
      <c r="C29724" s="309"/>
      <c r="I29724" s="309"/>
      <c r="J29724" s="309"/>
    </row>
    <row r="29725">
      <c r="B29725" s="309"/>
      <c r="C29725" s="309"/>
      <c r="I29725" s="309"/>
      <c r="J29725" s="309"/>
    </row>
    <row r="29726">
      <c r="B29726" s="309"/>
      <c r="C29726" s="309"/>
      <c r="I29726" s="309"/>
      <c r="J29726" s="309"/>
    </row>
    <row r="29727">
      <c r="B29727" s="309"/>
      <c r="C29727" s="309"/>
      <c r="I29727" s="309"/>
      <c r="J29727" s="309"/>
    </row>
    <row r="29728">
      <c r="B29728" s="309"/>
      <c r="C29728" s="309"/>
      <c r="I29728" s="309"/>
      <c r="J29728" s="309"/>
    </row>
    <row r="29729">
      <c r="B29729" s="309"/>
      <c r="C29729" s="309"/>
      <c r="I29729" s="309"/>
      <c r="J29729" s="309"/>
    </row>
    <row r="29730">
      <c r="B29730" s="309"/>
      <c r="C29730" s="309"/>
      <c r="I29730" s="309"/>
      <c r="J29730" s="309"/>
    </row>
    <row r="29731">
      <c r="B29731" s="309"/>
      <c r="C29731" s="309"/>
      <c r="I29731" s="309"/>
      <c r="J29731" s="309"/>
    </row>
    <row r="29732">
      <c r="B29732" s="309"/>
      <c r="C29732" s="309"/>
      <c r="I29732" s="309"/>
      <c r="J29732" s="309"/>
    </row>
    <row r="29733">
      <c r="B29733" s="309"/>
      <c r="C29733" s="309"/>
      <c r="I29733" s="309"/>
      <c r="J29733" s="309"/>
    </row>
    <row r="29734">
      <c r="B29734" s="309"/>
      <c r="C29734" s="309"/>
      <c r="I29734" s="309"/>
      <c r="J29734" s="309"/>
    </row>
    <row r="29735">
      <c r="B29735" s="309"/>
      <c r="C29735" s="309"/>
      <c r="I29735" s="309"/>
      <c r="J29735" s="309"/>
    </row>
    <row r="29736">
      <c r="B29736" s="309"/>
      <c r="C29736" s="309"/>
      <c r="I29736" s="309"/>
      <c r="J29736" s="309"/>
    </row>
    <row r="29737">
      <c r="B29737" s="309"/>
      <c r="C29737" s="309"/>
      <c r="I29737" s="309"/>
      <c r="J29737" s="309"/>
    </row>
    <row r="29738">
      <c r="B29738" s="309"/>
      <c r="C29738" s="309"/>
      <c r="I29738" s="309"/>
      <c r="J29738" s="309"/>
    </row>
    <row r="29739">
      <c r="B29739" s="309"/>
      <c r="C29739" s="309"/>
      <c r="I29739" s="309"/>
      <c r="J29739" s="309"/>
    </row>
    <row r="29740">
      <c r="B29740" s="309"/>
      <c r="C29740" s="309"/>
      <c r="I29740" s="309"/>
      <c r="J29740" s="309"/>
    </row>
    <row r="29741">
      <c r="B29741" s="309"/>
      <c r="C29741" s="309"/>
      <c r="I29741" s="309"/>
      <c r="J29741" s="309"/>
    </row>
    <row r="29742">
      <c r="B29742" s="309"/>
      <c r="C29742" s="309"/>
      <c r="I29742" s="309"/>
      <c r="J29742" s="309"/>
    </row>
    <row r="29743">
      <c r="B29743" s="309"/>
      <c r="C29743" s="309"/>
      <c r="I29743" s="309"/>
      <c r="J29743" s="309"/>
    </row>
    <row r="29744">
      <c r="B29744" s="309"/>
      <c r="C29744" s="309"/>
      <c r="I29744" s="309"/>
      <c r="J29744" s="309"/>
    </row>
    <row r="29745">
      <c r="B29745" s="309"/>
      <c r="C29745" s="309"/>
      <c r="I29745" s="309"/>
      <c r="J29745" s="309"/>
    </row>
    <row r="29746">
      <c r="B29746" s="309"/>
      <c r="C29746" s="309"/>
      <c r="I29746" s="309"/>
      <c r="J29746" s="309"/>
    </row>
    <row r="29747">
      <c r="B29747" s="309"/>
      <c r="C29747" s="309"/>
      <c r="I29747" s="309"/>
      <c r="J29747" s="309"/>
    </row>
    <row r="29748">
      <c r="B29748" s="309"/>
      <c r="C29748" s="309"/>
      <c r="I29748" s="309"/>
      <c r="J29748" s="309"/>
    </row>
    <row r="29749">
      <c r="B29749" s="309"/>
      <c r="C29749" s="309"/>
      <c r="I29749" s="309"/>
      <c r="J29749" s="309"/>
    </row>
    <row r="29750">
      <c r="B29750" s="309"/>
      <c r="C29750" s="309"/>
      <c r="I29750" s="309"/>
      <c r="J29750" s="309"/>
    </row>
    <row r="29751">
      <c r="B29751" s="309"/>
      <c r="C29751" s="309"/>
      <c r="I29751" s="309"/>
      <c r="J29751" s="309"/>
    </row>
    <row r="29752">
      <c r="B29752" s="309"/>
      <c r="C29752" s="309"/>
      <c r="I29752" s="309"/>
      <c r="J29752" s="309"/>
    </row>
    <row r="29753">
      <c r="B29753" s="309"/>
      <c r="C29753" s="309"/>
      <c r="I29753" s="309"/>
      <c r="J29753" s="309"/>
    </row>
    <row r="29754">
      <c r="B29754" s="309"/>
      <c r="C29754" s="309"/>
      <c r="I29754" s="309"/>
      <c r="J29754" s="309"/>
    </row>
    <row r="29755">
      <c r="B29755" s="309"/>
      <c r="C29755" s="309"/>
      <c r="I29755" s="309"/>
      <c r="J29755" s="309"/>
    </row>
    <row r="29756">
      <c r="B29756" s="309"/>
      <c r="C29756" s="309"/>
      <c r="I29756" s="309"/>
      <c r="J29756" s="309"/>
    </row>
    <row r="29757">
      <c r="B29757" s="309"/>
      <c r="C29757" s="309"/>
      <c r="I29757" s="309"/>
      <c r="J29757" s="309"/>
    </row>
    <row r="29758">
      <c r="B29758" s="309"/>
      <c r="C29758" s="309"/>
      <c r="I29758" s="309"/>
      <c r="J29758" s="309"/>
    </row>
    <row r="29759">
      <c r="B29759" s="309"/>
      <c r="C29759" s="309"/>
      <c r="I29759" s="309"/>
      <c r="J29759" s="309"/>
    </row>
    <row r="29760">
      <c r="B29760" s="309"/>
      <c r="C29760" s="309"/>
      <c r="I29760" s="309"/>
      <c r="J29760" s="309"/>
    </row>
    <row r="29761">
      <c r="B29761" s="309"/>
      <c r="C29761" s="309"/>
      <c r="I29761" s="309"/>
      <c r="J29761" s="309"/>
    </row>
    <row r="29762">
      <c r="B29762" s="309"/>
      <c r="C29762" s="309"/>
      <c r="I29762" s="309"/>
      <c r="J29762" s="309"/>
    </row>
    <row r="29763">
      <c r="B29763" s="309"/>
      <c r="C29763" s="309"/>
      <c r="I29763" s="309"/>
      <c r="J29763" s="309"/>
    </row>
    <row r="29764">
      <c r="B29764" s="309"/>
      <c r="C29764" s="309"/>
      <c r="I29764" s="309"/>
      <c r="J29764" s="309"/>
    </row>
    <row r="29765">
      <c r="B29765" s="309"/>
      <c r="C29765" s="309"/>
      <c r="I29765" s="309"/>
      <c r="J29765" s="309"/>
    </row>
    <row r="29766">
      <c r="B29766" s="309"/>
      <c r="C29766" s="309"/>
      <c r="I29766" s="309"/>
      <c r="J29766" s="309"/>
    </row>
    <row r="29767">
      <c r="B29767" s="309"/>
      <c r="C29767" s="309"/>
      <c r="I29767" s="309"/>
      <c r="J29767" s="309"/>
    </row>
    <row r="29768">
      <c r="B29768" s="309"/>
      <c r="C29768" s="309"/>
      <c r="I29768" s="309"/>
      <c r="J29768" s="309"/>
    </row>
    <row r="29769">
      <c r="B29769" s="309"/>
      <c r="C29769" s="309"/>
      <c r="I29769" s="309"/>
      <c r="J29769" s="309"/>
    </row>
    <row r="29770">
      <c r="B29770" s="309"/>
      <c r="C29770" s="309"/>
      <c r="I29770" s="309"/>
      <c r="J29770" s="309"/>
    </row>
    <row r="29771">
      <c r="B29771" s="309"/>
      <c r="C29771" s="309"/>
      <c r="I29771" s="309"/>
      <c r="J29771" s="309"/>
    </row>
    <row r="29772">
      <c r="B29772" s="309"/>
      <c r="C29772" s="309"/>
      <c r="I29772" s="309"/>
      <c r="J29772" s="309"/>
    </row>
    <row r="29773">
      <c r="B29773" s="309"/>
      <c r="C29773" s="309"/>
      <c r="I29773" s="309"/>
      <c r="J29773" s="309"/>
    </row>
    <row r="29774">
      <c r="B29774" s="309"/>
      <c r="C29774" s="309"/>
      <c r="I29774" s="309"/>
      <c r="J29774" s="309"/>
    </row>
    <row r="29775">
      <c r="B29775" s="309"/>
      <c r="C29775" s="309"/>
      <c r="I29775" s="309"/>
      <c r="J29775" s="309"/>
    </row>
    <row r="29776">
      <c r="B29776" s="309"/>
      <c r="C29776" s="309"/>
      <c r="I29776" s="309"/>
      <c r="J29776" s="309"/>
    </row>
    <row r="29777">
      <c r="B29777" s="309"/>
      <c r="C29777" s="309"/>
      <c r="I29777" s="309"/>
      <c r="J29777" s="309"/>
    </row>
    <row r="29778">
      <c r="B29778" s="309"/>
      <c r="C29778" s="309"/>
      <c r="I29778" s="309"/>
      <c r="J29778" s="309"/>
    </row>
    <row r="29779">
      <c r="B29779" s="309"/>
      <c r="C29779" s="309"/>
      <c r="I29779" s="309"/>
      <c r="J29779" s="309"/>
    </row>
    <row r="29780">
      <c r="B29780" s="309"/>
      <c r="C29780" s="309"/>
      <c r="I29780" s="309"/>
      <c r="J29780" s="309"/>
    </row>
    <row r="29781">
      <c r="B29781" s="309"/>
      <c r="C29781" s="309"/>
      <c r="I29781" s="309"/>
      <c r="J29781" s="309"/>
    </row>
    <row r="29782">
      <c r="B29782" s="309"/>
      <c r="C29782" s="309"/>
      <c r="I29782" s="309"/>
      <c r="J29782" s="309"/>
    </row>
    <row r="29783">
      <c r="B29783" s="309"/>
      <c r="C29783" s="309"/>
      <c r="I29783" s="309"/>
      <c r="J29783" s="309"/>
    </row>
    <row r="29784">
      <c r="B29784" s="309"/>
      <c r="C29784" s="309"/>
      <c r="I29784" s="309"/>
      <c r="J29784" s="309"/>
    </row>
    <row r="29785">
      <c r="B29785" s="309"/>
      <c r="C29785" s="309"/>
      <c r="I29785" s="309"/>
      <c r="J29785" s="309"/>
    </row>
    <row r="29786">
      <c r="B29786" s="309"/>
      <c r="C29786" s="309"/>
      <c r="I29786" s="309"/>
      <c r="J29786" s="309"/>
    </row>
    <row r="29787">
      <c r="B29787" s="309"/>
      <c r="C29787" s="309"/>
      <c r="I29787" s="309"/>
      <c r="J29787" s="309"/>
    </row>
    <row r="29788">
      <c r="B29788" s="309"/>
      <c r="C29788" s="309"/>
      <c r="I29788" s="309"/>
      <c r="J29788" s="309"/>
    </row>
    <row r="29789">
      <c r="B29789" s="309"/>
      <c r="C29789" s="309"/>
      <c r="I29789" s="309"/>
      <c r="J29789" s="309"/>
    </row>
    <row r="29790">
      <c r="B29790" s="309"/>
      <c r="C29790" s="309"/>
      <c r="I29790" s="309"/>
      <c r="J29790" s="309"/>
    </row>
    <row r="29791">
      <c r="B29791" s="309"/>
      <c r="C29791" s="309"/>
      <c r="I29791" s="309"/>
      <c r="J29791" s="309"/>
    </row>
    <row r="29792">
      <c r="B29792" s="309"/>
      <c r="C29792" s="309"/>
      <c r="I29792" s="309"/>
      <c r="J29792" s="309"/>
    </row>
    <row r="29793">
      <c r="B29793" s="309"/>
      <c r="C29793" s="309"/>
      <c r="I29793" s="309"/>
      <c r="J29793" s="309"/>
    </row>
    <row r="29794">
      <c r="B29794" s="309"/>
      <c r="C29794" s="309"/>
      <c r="I29794" s="309"/>
      <c r="J29794" s="309"/>
    </row>
    <row r="29795">
      <c r="B29795" s="309"/>
      <c r="C29795" s="309"/>
      <c r="I29795" s="309"/>
      <c r="J29795" s="309"/>
    </row>
    <row r="29796">
      <c r="B29796" s="309"/>
      <c r="C29796" s="309"/>
      <c r="I29796" s="309"/>
      <c r="J29796" s="309"/>
    </row>
    <row r="29797">
      <c r="B29797" s="309"/>
      <c r="C29797" s="309"/>
      <c r="I29797" s="309"/>
      <c r="J29797" s="309"/>
    </row>
    <row r="29798">
      <c r="B29798" s="309"/>
      <c r="C29798" s="309"/>
      <c r="I29798" s="309"/>
      <c r="J29798" s="309"/>
    </row>
    <row r="29799">
      <c r="B29799" s="309"/>
      <c r="C29799" s="309"/>
      <c r="I29799" s="309"/>
      <c r="J29799" s="309"/>
    </row>
    <row r="29800">
      <c r="B29800" s="309"/>
      <c r="C29800" s="309"/>
      <c r="I29800" s="309"/>
      <c r="J29800" s="309"/>
    </row>
    <row r="29801">
      <c r="B29801" s="309"/>
      <c r="C29801" s="309"/>
      <c r="I29801" s="309"/>
      <c r="J29801" s="309"/>
    </row>
    <row r="29802">
      <c r="B29802" s="309"/>
      <c r="C29802" s="309"/>
      <c r="I29802" s="309"/>
      <c r="J29802" s="309"/>
    </row>
    <row r="29803">
      <c r="B29803" s="309"/>
      <c r="C29803" s="309"/>
      <c r="I29803" s="309"/>
      <c r="J29803" s="309"/>
    </row>
    <row r="29804">
      <c r="B29804" s="309"/>
      <c r="C29804" s="309"/>
      <c r="I29804" s="309"/>
      <c r="J29804" s="309"/>
    </row>
    <row r="29805">
      <c r="B29805" s="309"/>
      <c r="C29805" s="309"/>
      <c r="I29805" s="309"/>
      <c r="J29805" s="309"/>
    </row>
    <row r="29806">
      <c r="B29806" s="309"/>
      <c r="C29806" s="309"/>
      <c r="I29806" s="309"/>
      <c r="J29806" s="309"/>
    </row>
    <row r="29807">
      <c r="B29807" s="309"/>
      <c r="C29807" s="309"/>
      <c r="I29807" s="309"/>
      <c r="J29807" s="309"/>
    </row>
    <row r="29808">
      <c r="B29808" s="309"/>
      <c r="C29808" s="309"/>
      <c r="I29808" s="309"/>
      <c r="J29808" s="309"/>
    </row>
    <row r="29809">
      <c r="B29809" s="309"/>
      <c r="C29809" s="309"/>
      <c r="I29809" s="309"/>
      <c r="J29809" s="309"/>
    </row>
    <row r="29810">
      <c r="B29810" s="309"/>
      <c r="C29810" s="309"/>
      <c r="I29810" s="309"/>
      <c r="J29810" s="309"/>
    </row>
    <row r="29811">
      <c r="B29811" s="309"/>
      <c r="C29811" s="309"/>
      <c r="I29811" s="309"/>
      <c r="J29811" s="309"/>
    </row>
    <row r="29812">
      <c r="B29812" s="309"/>
      <c r="C29812" s="309"/>
      <c r="I29812" s="309"/>
      <c r="J29812" s="309"/>
    </row>
    <row r="29813">
      <c r="B29813" s="309"/>
      <c r="C29813" s="309"/>
      <c r="I29813" s="309"/>
      <c r="J29813" s="309"/>
    </row>
    <row r="29814">
      <c r="B29814" s="309"/>
      <c r="C29814" s="309"/>
      <c r="I29814" s="309"/>
      <c r="J29814" s="309"/>
    </row>
    <row r="29815">
      <c r="B29815" s="309"/>
      <c r="C29815" s="309"/>
      <c r="I29815" s="309"/>
      <c r="J29815" s="309"/>
    </row>
    <row r="29816">
      <c r="B29816" s="309"/>
      <c r="C29816" s="309"/>
      <c r="I29816" s="309"/>
      <c r="J29816" s="309"/>
    </row>
    <row r="29817">
      <c r="B29817" s="309"/>
      <c r="C29817" s="309"/>
      <c r="I29817" s="309"/>
      <c r="J29817" s="309"/>
    </row>
    <row r="29818">
      <c r="B29818" s="309"/>
      <c r="C29818" s="309"/>
      <c r="I29818" s="309"/>
      <c r="J29818" s="309"/>
    </row>
    <row r="29819">
      <c r="B29819" s="309"/>
      <c r="C29819" s="309"/>
      <c r="I29819" s="309"/>
      <c r="J29819" s="309"/>
    </row>
    <row r="29820">
      <c r="B29820" s="309"/>
      <c r="C29820" s="309"/>
      <c r="I29820" s="309"/>
      <c r="J29820" s="309"/>
    </row>
    <row r="29821">
      <c r="B29821" s="309"/>
      <c r="C29821" s="309"/>
      <c r="I29821" s="309"/>
      <c r="J29821" s="309"/>
    </row>
    <row r="29822">
      <c r="B29822" s="309"/>
      <c r="C29822" s="309"/>
      <c r="I29822" s="309"/>
      <c r="J29822" s="309"/>
    </row>
    <row r="29823">
      <c r="B29823" s="309"/>
      <c r="C29823" s="309"/>
      <c r="I29823" s="309"/>
      <c r="J29823" s="309"/>
    </row>
    <row r="29824">
      <c r="B29824" s="309"/>
      <c r="C29824" s="309"/>
      <c r="I29824" s="309"/>
      <c r="J29824" s="309"/>
    </row>
    <row r="29825">
      <c r="B29825" s="309"/>
      <c r="C29825" s="309"/>
      <c r="I29825" s="309"/>
      <c r="J29825" s="309"/>
    </row>
    <row r="29826">
      <c r="B29826" s="309"/>
      <c r="C29826" s="309"/>
      <c r="I29826" s="309"/>
      <c r="J29826" s="309"/>
    </row>
    <row r="29827">
      <c r="B29827" s="309"/>
      <c r="C29827" s="309"/>
      <c r="I29827" s="309"/>
      <c r="J29827" s="309"/>
    </row>
    <row r="29828">
      <c r="B29828" s="309"/>
      <c r="C29828" s="309"/>
      <c r="I29828" s="309"/>
      <c r="J29828" s="309"/>
    </row>
    <row r="29829">
      <c r="B29829" s="309"/>
      <c r="C29829" s="309"/>
      <c r="I29829" s="309"/>
      <c r="J29829" s="309"/>
    </row>
    <row r="29830">
      <c r="B29830" s="309"/>
      <c r="C29830" s="309"/>
      <c r="I29830" s="309"/>
      <c r="J29830" s="309"/>
    </row>
    <row r="29831">
      <c r="B29831" s="309"/>
      <c r="C29831" s="309"/>
      <c r="I29831" s="309"/>
      <c r="J29831" s="309"/>
    </row>
    <row r="29832">
      <c r="B29832" s="309"/>
      <c r="C29832" s="309"/>
      <c r="I29832" s="309"/>
      <c r="J29832" s="309"/>
    </row>
    <row r="29833">
      <c r="B29833" s="309"/>
      <c r="C29833" s="309"/>
      <c r="I29833" s="309"/>
      <c r="J29833" s="309"/>
    </row>
    <row r="29834">
      <c r="B29834" s="309"/>
      <c r="C29834" s="309"/>
      <c r="I29834" s="309"/>
      <c r="J29834" s="309"/>
    </row>
    <row r="29835">
      <c r="B29835" s="309"/>
      <c r="C29835" s="309"/>
      <c r="I29835" s="309"/>
      <c r="J29835" s="309"/>
    </row>
    <row r="29836">
      <c r="B29836" s="309"/>
      <c r="C29836" s="309"/>
      <c r="I29836" s="309"/>
      <c r="J29836" s="309"/>
    </row>
    <row r="29837">
      <c r="B29837" s="309"/>
      <c r="C29837" s="309"/>
      <c r="I29837" s="309"/>
      <c r="J29837" s="309"/>
    </row>
    <row r="29838">
      <c r="B29838" s="309"/>
      <c r="C29838" s="309"/>
      <c r="I29838" s="309"/>
      <c r="J29838" s="309"/>
    </row>
    <row r="29839">
      <c r="B29839" s="309"/>
      <c r="C29839" s="309"/>
      <c r="I29839" s="309"/>
      <c r="J29839" s="309"/>
    </row>
    <row r="29840">
      <c r="B29840" s="309"/>
      <c r="C29840" s="309"/>
      <c r="I29840" s="309"/>
      <c r="J29840" s="309"/>
    </row>
    <row r="29841">
      <c r="B29841" s="309"/>
      <c r="C29841" s="309"/>
      <c r="I29841" s="309"/>
      <c r="J29841" s="309"/>
    </row>
    <row r="29842">
      <c r="B29842" s="309"/>
      <c r="C29842" s="309"/>
      <c r="I29842" s="309"/>
      <c r="J29842" s="309"/>
    </row>
    <row r="29843">
      <c r="B29843" s="309"/>
      <c r="C29843" s="309"/>
      <c r="I29843" s="309"/>
      <c r="J29843" s="309"/>
    </row>
    <row r="29844">
      <c r="B29844" s="309"/>
      <c r="C29844" s="309"/>
      <c r="I29844" s="309"/>
      <c r="J29844" s="309"/>
    </row>
    <row r="29845">
      <c r="B29845" s="309"/>
      <c r="C29845" s="309"/>
      <c r="I29845" s="309"/>
      <c r="J29845" s="309"/>
    </row>
    <row r="29846">
      <c r="B29846" s="309"/>
      <c r="C29846" s="309"/>
      <c r="I29846" s="309"/>
      <c r="J29846" s="309"/>
    </row>
    <row r="29847">
      <c r="B29847" s="309"/>
      <c r="C29847" s="309"/>
      <c r="I29847" s="309"/>
      <c r="J29847" s="309"/>
    </row>
    <row r="29848">
      <c r="B29848" s="309"/>
      <c r="C29848" s="309"/>
      <c r="I29848" s="309"/>
      <c r="J29848" s="309"/>
    </row>
    <row r="29849">
      <c r="B29849" s="309"/>
      <c r="C29849" s="309"/>
      <c r="I29849" s="309"/>
      <c r="J29849" s="309"/>
    </row>
    <row r="29850">
      <c r="B29850" s="309"/>
      <c r="C29850" s="309"/>
      <c r="I29850" s="309"/>
      <c r="J29850" s="309"/>
    </row>
    <row r="29851">
      <c r="B29851" s="309"/>
      <c r="C29851" s="309"/>
      <c r="I29851" s="309"/>
      <c r="J29851" s="309"/>
    </row>
    <row r="29852">
      <c r="B29852" s="309"/>
      <c r="C29852" s="309"/>
      <c r="I29852" s="309"/>
      <c r="J29852" s="309"/>
    </row>
    <row r="29853">
      <c r="B29853" s="309"/>
      <c r="C29853" s="309"/>
      <c r="I29853" s="309"/>
      <c r="J29853" s="309"/>
    </row>
    <row r="29854">
      <c r="B29854" s="309"/>
      <c r="C29854" s="309"/>
      <c r="I29854" s="309"/>
      <c r="J29854" s="309"/>
    </row>
    <row r="29855">
      <c r="B29855" s="309"/>
      <c r="C29855" s="309"/>
      <c r="I29855" s="309"/>
      <c r="J29855" s="309"/>
    </row>
    <row r="29856">
      <c r="B29856" s="309"/>
      <c r="C29856" s="309"/>
      <c r="I29856" s="309"/>
      <c r="J29856" s="309"/>
    </row>
    <row r="29857">
      <c r="B29857" s="309"/>
      <c r="C29857" s="309"/>
      <c r="I29857" s="309"/>
      <c r="J29857" s="309"/>
    </row>
    <row r="29858">
      <c r="B29858" s="309"/>
      <c r="C29858" s="309"/>
      <c r="I29858" s="309"/>
      <c r="J29858" s="309"/>
    </row>
    <row r="29859">
      <c r="B29859" s="309"/>
      <c r="C29859" s="309"/>
      <c r="I29859" s="309"/>
      <c r="J29859" s="309"/>
    </row>
    <row r="29860">
      <c r="B29860" s="309"/>
      <c r="C29860" s="309"/>
      <c r="I29860" s="309"/>
      <c r="J29860" s="309"/>
    </row>
    <row r="29861">
      <c r="B29861" s="309"/>
      <c r="C29861" s="309"/>
      <c r="I29861" s="309"/>
      <c r="J29861" s="309"/>
    </row>
    <row r="29862">
      <c r="B29862" s="309"/>
      <c r="C29862" s="309"/>
      <c r="I29862" s="309"/>
      <c r="J29862" s="309"/>
    </row>
    <row r="29863">
      <c r="B29863" s="309"/>
      <c r="C29863" s="309"/>
      <c r="I29863" s="309"/>
      <c r="J29863" s="309"/>
    </row>
    <row r="29864">
      <c r="B29864" s="309"/>
      <c r="C29864" s="309"/>
      <c r="I29864" s="309"/>
      <c r="J29864" s="309"/>
    </row>
    <row r="29865">
      <c r="B29865" s="309"/>
      <c r="C29865" s="309"/>
      <c r="I29865" s="309"/>
      <c r="J29865" s="309"/>
    </row>
    <row r="29866">
      <c r="B29866" s="309"/>
      <c r="C29866" s="309"/>
      <c r="I29866" s="309"/>
      <c r="J29866" s="309"/>
    </row>
    <row r="29867">
      <c r="B29867" s="309"/>
      <c r="C29867" s="309"/>
      <c r="I29867" s="309"/>
      <c r="J29867" s="309"/>
    </row>
    <row r="29868">
      <c r="B29868" s="309"/>
      <c r="C29868" s="309"/>
      <c r="I29868" s="309"/>
      <c r="J29868" s="309"/>
    </row>
    <row r="29869">
      <c r="B29869" s="309"/>
      <c r="C29869" s="309"/>
      <c r="I29869" s="309"/>
      <c r="J29869" s="309"/>
    </row>
    <row r="29870">
      <c r="B29870" s="309"/>
      <c r="C29870" s="309"/>
      <c r="I29870" s="309"/>
      <c r="J29870" s="309"/>
    </row>
    <row r="29871">
      <c r="B29871" s="309"/>
      <c r="C29871" s="309"/>
      <c r="I29871" s="309"/>
      <c r="J29871" s="309"/>
    </row>
    <row r="29872">
      <c r="B29872" s="309"/>
      <c r="C29872" s="309"/>
      <c r="I29872" s="309"/>
      <c r="J29872" s="309"/>
    </row>
    <row r="29873">
      <c r="B29873" s="309"/>
      <c r="C29873" s="309"/>
      <c r="I29873" s="309"/>
      <c r="J29873" s="309"/>
    </row>
    <row r="29874">
      <c r="B29874" s="309"/>
      <c r="C29874" s="309"/>
      <c r="I29874" s="309"/>
      <c r="J29874" s="309"/>
    </row>
    <row r="29875">
      <c r="B29875" s="309"/>
      <c r="C29875" s="309"/>
      <c r="I29875" s="309"/>
      <c r="J29875" s="309"/>
    </row>
    <row r="29876">
      <c r="B29876" s="309"/>
      <c r="C29876" s="309"/>
      <c r="I29876" s="309"/>
      <c r="J29876" s="309"/>
    </row>
    <row r="29877">
      <c r="B29877" s="309"/>
      <c r="C29877" s="309"/>
      <c r="I29877" s="309"/>
      <c r="J29877" s="309"/>
    </row>
    <row r="29878">
      <c r="B29878" s="309"/>
      <c r="C29878" s="309"/>
      <c r="I29878" s="309"/>
      <c r="J29878" s="309"/>
    </row>
    <row r="29879">
      <c r="B29879" s="309"/>
      <c r="C29879" s="309"/>
      <c r="I29879" s="309"/>
      <c r="J29879" s="309"/>
    </row>
    <row r="29880">
      <c r="B29880" s="309"/>
      <c r="C29880" s="309"/>
      <c r="I29880" s="309"/>
      <c r="J29880" s="309"/>
    </row>
    <row r="29881">
      <c r="B29881" s="309"/>
      <c r="C29881" s="309"/>
      <c r="I29881" s="309"/>
      <c r="J29881" s="309"/>
    </row>
    <row r="29882">
      <c r="B29882" s="309"/>
      <c r="C29882" s="309"/>
      <c r="I29882" s="309"/>
      <c r="J29882" s="309"/>
    </row>
    <row r="29883">
      <c r="B29883" s="309"/>
      <c r="C29883" s="309"/>
      <c r="I29883" s="309"/>
      <c r="J29883" s="309"/>
    </row>
    <row r="29884">
      <c r="B29884" s="309"/>
      <c r="C29884" s="309"/>
      <c r="I29884" s="309"/>
      <c r="J29884" s="309"/>
    </row>
    <row r="29885">
      <c r="B29885" s="309"/>
      <c r="C29885" s="309"/>
      <c r="I29885" s="309"/>
      <c r="J29885" s="309"/>
    </row>
    <row r="29886">
      <c r="B29886" s="309"/>
      <c r="C29886" s="309"/>
      <c r="I29886" s="309"/>
      <c r="J29886" s="309"/>
    </row>
    <row r="29887">
      <c r="B29887" s="309"/>
      <c r="C29887" s="309"/>
      <c r="I29887" s="309"/>
      <c r="J29887" s="309"/>
    </row>
    <row r="29888">
      <c r="B29888" s="309"/>
      <c r="C29888" s="309"/>
      <c r="I29888" s="309"/>
      <c r="J29888" s="309"/>
    </row>
    <row r="29889">
      <c r="B29889" s="309"/>
      <c r="C29889" s="309"/>
      <c r="I29889" s="309"/>
      <c r="J29889" s="309"/>
    </row>
    <row r="29890">
      <c r="B29890" s="309"/>
      <c r="C29890" s="309"/>
      <c r="I29890" s="309"/>
      <c r="J29890" s="309"/>
    </row>
    <row r="29891">
      <c r="B29891" s="309"/>
      <c r="C29891" s="309"/>
      <c r="I29891" s="309"/>
      <c r="J29891" s="309"/>
    </row>
    <row r="29892">
      <c r="B29892" s="309"/>
      <c r="C29892" s="309"/>
      <c r="I29892" s="309"/>
      <c r="J29892" s="309"/>
    </row>
    <row r="29893">
      <c r="B29893" s="309"/>
      <c r="C29893" s="309"/>
      <c r="I29893" s="309"/>
      <c r="J29893" s="309"/>
    </row>
    <row r="29894">
      <c r="B29894" s="309"/>
      <c r="C29894" s="309"/>
      <c r="I29894" s="309"/>
      <c r="J29894" s="309"/>
    </row>
    <row r="29895">
      <c r="B29895" s="309"/>
      <c r="C29895" s="309"/>
      <c r="I29895" s="309"/>
      <c r="J29895" s="309"/>
    </row>
    <row r="29896">
      <c r="B29896" s="309"/>
      <c r="C29896" s="309"/>
      <c r="I29896" s="309"/>
      <c r="J29896" s="309"/>
    </row>
    <row r="29897">
      <c r="B29897" s="309"/>
      <c r="C29897" s="309"/>
      <c r="I29897" s="309"/>
      <c r="J29897" s="309"/>
    </row>
    <row r="29898">
      <c r="B29898" s="309"/>
      <c r="C29898" s="309"/>
      <c r="I29898" s="309"/>
      <c r="J29898" s="309"/>
    </row>
    <row r="29899">
      <c r="B29899" s="309"/>
      <c r="C29899" s="309"/>
      <c r="I29899" s="309"/>
      <c r="J29899" s="309"/>
    </row>
    <row r="29900">
      <c r="B29900" s="309"/>
      <c r="C29900" s="309"/>
      <c r="I29900" s="309"/>
      <c r="J29900" s="309"/>
    </row>
    <row r="29901">
      <c r="B29901" s="309"/>
      <c r="C29901" s="309"/>
      <c r="I29901" s="309"/>
      <c r="J29901" s="309"/>
    </row>
    <row r="29902">
      <c r="B29902" s="309"/>
      <c r="C29902" s="309"/>
      <c r="I29902" s="309"/>
      <c r="J29902" s="309"/>
    </row>
    <row r="29903">
      <c r="B29903" s="309"/>
      <c r="C29903" s="309"/>
      <c r="I29903" s="309"/>
      <c r="J29903" s="309"/>
    </row>
    <row r="29904">
      <c r="B29904" s="309"/>
      <c r="C29904" s="309"/>
      <c r="I29904" s="309"/>
      <c r="J29904" s="309"/>
    </row>
    <row r="29905">
      <c r="B29905" s="309"/>
      <c r="C29905" s="309"/>
      <c r="I29905" s="309"/>
      <c r="J29905" s="309"/>
    </row>
    <row r="29906">
      <c r="B29906" s="309"/>
      <c r="C29906" s="309"/>
      <c r="I29906" s="309"/>
      <c r="J29906" s="309"/>
    </row>
    <row r="29907">
      <c r="B29907" s="309"/>
      <c r="C29907" s="309"/>
      <c r="I29907" s="309"/>
      <c r="J29907" s="309"/>
    </row>
    <row r="29908">
      <c r="B29908" s="309"/>
      <c r="C29908" s="309"/>
      <c r="I29908" s="309"/>
      <c r="J29908" s="309"/>
    </row>
    <row r="29909">
      <c r="B29909" s="309"/>
      <c r="C29909" s="309"/>
      <c r="I29909" s="309"/>
      <c r="J29909" s="309"/>
    </row>
    <row r="29910">
      <c r="B29910" s="309"/>
      <c r="C29910" s="309"/>
      <c r="I29910" s="309"/>
      <c r="J29910" s="309"/>
    </row>
    <row r="29911">
      <c r="B29911" s="309"/>
      <c r="C29911" s="309"/>
      <c r="I29911" s="309"/>
      <c r="J29911" s="309"/>
    </row>
    <row r="29912">
      <c r="B29912" s="309"/>
      <c r="C29912" s="309"/>
      <c r="I29912" s="309"/>
      <c r="J29912" s="309"/>
    </row>
    <row r="29913">
      <c r="B29913" s="309"/>
      <c r="C29913" s="309"/>
      <c r="I29913" s="309"/>
      <c r="J29913" s="309"/>
    </row>
    <row r="29914">
      <c r="B29914" s="309"/>
      <c r="C29914" s="309"/>
      <c r="I29914" s="309"/>
      <c r="J29914" s="309"/>
    </row>
    <row r="29915">
      <c r="B29915" s="309"/>
      <c r="C29915" s="309"/>
      <c r="I29915" s="309"/>
      <c r="J29915" s="309"/>
    </row>
    <row r="29916">
      <c r="B29916" s="309"/>
      <c r="C29916" s="309"/>
      <c r="I29916" s="309"/>
      <c r="J29916" s="309"/>
    </row>
    <row r="29917">
      <c r="B29917" s="309"/>
      <c r="C29917" s="309"/>
      <c r="I29917" s="309"/>
      <c r="J29917" s="309"/>
    </row>
    <row r="29918">
      <c r="B29918" s="309"/>
      <c r="C29918" s="309"/>
      <c r="I29918" s="309"/>
      <c r="J29918" s="309"/>
    </row>
    <row r="29919">
      <c r="B29919" s="309"/>
      <c r="C29919" s="309"/>
      <c r="I29919" s="309"/>
      <c r="J29919" s="309"/>
    </row>
    <row r="29920">
      <c r="B29920" s="309"/>
      <c r="C29920" s="309"/>
      <c r="I29920" s="309"/>
      <c r="J29920" s="309"/>
    </row>
    <row r="29921">
      <c r="B29921" s="309"/>
      <c r="C29921" s="309"/>
      <c r="I29921" s="309"/>
      <c r="J29921" s="309"/>
    </row>
    <row r="29922">
      <c r="B29922" s="309"/>
      <c r="C29922" s="309"/>
      <c r="I29922" s="309"/>
      <c r="J29922" s="309"/>
    </row>
    <row r="29923">
      <c r="B29923" s="309"/>
      <c r="C29923" s="309"/>
      <c r="I29923" s="309"/>
      <c r="J29923" s="309"/>
    </row>
    <row r="29924">
      <c r="B29924" s="309"/>
      <c r="C29924" s="309"/>
      <c r="I29924" s="309"/>
      <c r="J29924" s="309"/>
    </row>
    <row r="29925">
      <c r="B29925" s="309"/>
      <c r="C29925" s="309"/>
      <c r="I29925" s="309"/>
      <c r="J29925" s="309"/>
    </row>
    <row r="29926">
      <c r="B29926" s="309"/>
      <c r="C29926" s="309"/>
      <c r="I29926" s="309"/>
      <c r="J29926" s="309"/>
    </row>
    <row r="29927">
      <c r="B29927" s="309"/>
      <c r="C29927" s="309"/>
      <c r="I29927" s="309"/>
      <c r="J29927" s="309"/>
    </row>
    <row r="29928">
      <c r="B29928" s="309"/>
      <c r="C29928" s="309"/>
      <c r="I29928" s="309"/>
      <c r="J29928" s="309"/>
    </row>
    <row r="29929">
      <c r="B29929" s="309"/>
      <c r="C29929" s="309"/>
      <c r="I29929" s="309"/>
      <c r="J29929" s="309"/>
    </row>
    <row r="29930">
      <c r="B29930" s="309"/>
      <c r="C29930" s="309"/>
      <c r="I29930" s="309"/>
      <c r="J29930" s="309"/>
    </row>
    <row r="29931">
      <c r="B29931" s="309"/>
      <c r="C29931" s="309"/>
      <c r="I29931" s="309"/>
      <c r="J29931" s="309"/>
    </row>
    <row r="29932">
      <c r="B29932" s="309"/>
      <c r="C29932" s="309"/>
      <c r="I29932" s="309"/>
      <c r="J29932" s="309"/>
    </row>
    <row r="29933">
      <c r="B29933" s="309"/>
      <c r="C29933" s="309"/>
      <c r="I29933" s="309"/>
      <c r="J29933" s="309"/>
    </row>
    <row r="29934">
      <c r="B29934" s="309"/>
      <c r="C29934" s="309"/>
      <c r="I29934" s="309"/>
      <c r="J29934" s="309"/>
    </row>
    <row r="29935">
      <c r="B29935" s="309"/>
      <c r="C29935" s="309"/>
      <c r="I29935" s="309"/>
      <c r="J29935" s="309"/>
    </row>
    <row r="29936">
      <c r="B29936" s="309"/>
      <c r="C29936" s="309"/>
      <c r="I29936" s="309"/>
      <c r="J29936" s="309"/>
    </row>
    <row r="29937">
      <c r="B29937" s="309"/>
      <c r="C29937" s="309"/>
      <c r="I29937" s="309"/>
      <c r="J29937" s="309"/>
    </row>
    <row r="29938">
      <c r="B29938" s="309"/>
      <c r="C29938" s="309"/>
      <c r="I29938" s="309"/>
      <c r="J29938" s="309"/>
    </row>
    <row r="29939">
      <c r="B29939" s="309"/>
      <c r="C29939" s="309"/>
      <c r="I29939" s="309"/>
      <c r="J29939" s="309"/>
    </row>
    <row r="29940">
      <c r="B29940" s="309"/>
      <c r="C29940" s="309"/>
      <c r="I29940" s="309"/>
      <c r="J29940" s="309"/>
    </row>
    <row r="29941">
      <c r="B29941" s="309"/>
      <c r="C29941" s="309"/>
      <c r="I29941" s="309"/>
      <c r="J29941" s="309"/>
    </row>
    <row r="29942">
      <c r="B29942" s="309"/>
      <c r="C29942" s="309"/>
      <c r="I29942" s="309"/>
      <c r="J29942" s="309"/>
    </row>
    <row r="29943">
      <c r="B29943" s="309"/>
      <c r="C29943" s="309"/>
      <c r="I29943" s="309"/>
      <c r="J29943" s="309"/>
    </row>
    <row r="29944">
      <c r="B29944" s="309"/>
      <c r="C29944" s="309"/>
      <c r="I29944" s="309"/>
      <c r="J29944" s="309"/>
    </row>
    <row r="29945">
      <c r="B29945" s="309"/>
      <c r="C29945" s="309"/>
      <c r="I29945" s="309"/>
      <c r="J29945" s="309"/>
    </row>
    <row r="29946">
      <c r="B29946" s="309"/>
      <c r="C29946" s="309"/>
      <c r="I29946" s="309"/>
      <c r="J29946" s="309"/>
    </row>
    <row r="29947">
      <c r="B29947" s="309"/>
      <c r="C29947" s="309"/>
      <c r="I29947" s="309"/>
      <c r="J29947" s="309"/>
    </row>
    <row r="29948">
      <c r="B29948" s="309"/>
      <c r="C29948" s="309"/>
      <c r="I29948" s="309"/>
      <c r="J29948" s="309"/>
    </row>
    <row r="29949">
      <c r="B29949" s="309"/>
      <c r="C29949" s="309"/>
      <c r="I29949" s="309"/>
      <c r="J29949" s="309"/>
    </row>
    <row r="29950">
      <c r="B29950" s="309"/>
      <c r="C29950" s="309"/>
      <c r="I29950" s="309"/>
      <c r="J29950" s="309"/>
    </row>
    <row r="29951">
      <c r="B29951" s="309"/>
      <c r="C29951" s="309"/>
      <c r="I29951" s="309"/>
      <c r="J29951" s="309"/>
    </row>
    <row r="29952">
      <c r="B29952" s="309"/>
      <c r="C29952" s="309"/>
      <c r="I29952" s="309"/>
      <c r="J29952" s="309"/>
    </row>
    <row r="29953">
      <c r="B29953" s="309"/>
      <c r="C29953" s="309"/>
      <c r="I29953" s="309"/>
      <c r="J29953" s="309"/>
    </row>
    <row r="29954">
      <c r="B29954" s="309"/>
      <c r="C29954" s="309"/>
      <c r="I29954" s="309"/>
      <c r="J29954" s="309"/>
    </row>
    <row r="29955">
      <c r="B29955" s="309"/>
      <c r="C29955" s="309"/>
      <c r="I29955" s="309"/>
      <c r="J29955" s="309"/>
    </row>
    <row r="29956">
      <c r="B29956" s="309"/>
      <c r="C29956" s="309"/>
      <c r="I29956" s="309"/>
      <c r="J29956" s="309"/>
    </row>
    <row r="29957">
      <c r="B29957" s="309"/>
      <c r="C29957" s="309"/>
      <c r="I29957" s="309"/>
      <c r="J29957" s="309"/>
    </row>
    <row r="29958">
      <c r="B29958" s="309"/>
      <c r="C29958" s="309"/>
      <c r="I29958" s="309"/>
      <c r="J29958" s="309"/>
    </row>
    <row r="29959">
      <c r="B29959" s="309"/>
      <c r="C29959" s="309"/>
      <c r="I29959" s="309"/>
      <c r="J29959" s="309"/>
    </row>
    <row r="29960">
      <c r="B29960" s="309"/>
      <c r="C29960" s="309"/>
      <c r="I29960" s="309"/>
      <c r="J29960" s="309"/>
    </row>
    <row r="29961">
      <c r="B29961" s="309"/>
      <c r="C29961" s="309"/>
      <c r="I29961" s="309"/>
      <c r="J29961" s="309"/>
    </row>
    <row r="29962">
      <c r="B29962" s="309"/>
      <c r="C29962" s="309"/>
      <c r="I29962" s="309"/>
      <c r="J29962" s="309"/>
    </row>
    <row r="29963">
      <c r="B29963" s="309"/>
      <c r="C29963" s="309"/>
      <c r="I29963" s="309"/>
      <c r="J29963" s="309"/>
    </row>
    <row r="29964">
      <c r="B29964" s="309"/>
      <c r="C29964" s="309"/>
      <c r="I29964" s="309"/>
      <c r="J29964" s="309"/>
    </row>
    <row r="29965">
      <c r="B29965" s="309"/>
      <c r="C29965" s="309"/>
      <c r="I29965" s="309"/>
      <c r="J29965" s="309"/>
    </row>
    <row r="29966">
      <c r="B29966" s="309"/>
      <c r="C29966" s="309"/>
      <c r="I29966" s="309"/>
      <c r="J29966" s="309"/>
    </row>
    <row r="29967">
      <c r="B29967" s="309"/>
      <c r="C29967" s="309"/>
      <c r="I29967" s="309"/>
      <c r="J29967" s="309"/>
    </row>
    <row r="29968">
      <c r="B29968" s="309"/>
      <c r="C29968" s="309"/>
      <c r="I29968" s="309"/>
      <c r="J29968" s="309"/>
    </row>
    <row r="29969">
      <c r="B29969" s="309"/>
      <c r="C29969" s="309"/>
      <c r="I29969" s="309"/>
      <c r="J29969" s="309"/>
    </row>
    <row r="29970">
      <c r="B29970" s="309"/>
      <c r="C29970" s="309"/>
      <c r="I29970" s="309"/>
      <c r="J29970" s="309"/>
    </row>
    <row r="29971">
      <c r="B29971" s="309"/>
      <c r="C29971" s="309"/>
      <c r="I29971" s="309"/>
      <c r="J29971" s="309"/>
    </row>
    <row r="29972">
      <c r="B29972" s="309"/>
      <c r="C29972" s="309"/>
      <c r="I29972" s="309"/>
      <c r="J29972" s="309"/>
    </row>
    <row r="29973">
      <c r="B29973" s="309"/>
      <c r="C29973" s="309"/>
      <c r="I29973" s="309"/>
      <c r="J29973" s="309"/>
    </row>
    <row r="29974">
      <c r="B29974" s="309"/>
      <c r="C29974" s="309"/>
      <c r="I29974" s="309"/>
      <c r="J29974" s="309"/>
    </row>
    <row r="29975">
      <c r="B29975" s="309"/>
      <c r="C29975" s="309"/>
      <c r="I29975" s="309"/>
      <c r="J29975" s="309"/>
    </row>
    <row r="29976">
      <c r="B29976" s="309"/>
      <c r="C29976" s="309"/>
      <c r="I29976" s="309"/>
      <c r="J29976" s="309"/>
    </row>
    <row r="29977">
      <c r="B29977" s="309"/>
      <c r="C29977" s="309"/>
      <c r="I29977" s="309"/>
      <c r="J29977" s="309"/>
    </row>
    <row r="29978">
      <c r="B29978" s="309"/>
      <c r="C29978" s="309"/>
      <c r="I29978" s="309"/>
      <c r="J29978" s="309"/>
    </row>
    <row r="29979">
      <c r="B29979" s="309"/>
      <c r="C29979" s="309"/>
      <c r="I29979" s="309"/>
      <c r="J29979" s="309"/>
    </row>
    <row r="29980">
      <c r="B29980" s="309"/>
      <c r="C29980" s="309"/>
      <c r="I29980" s="309"/>
      <c r="J29980" s="309"/>
    </row>
    <row r="29981">
      <c r="B29981" s="309"/>
      <c r="C29981" s="309"/>
      <c r="I29981" s="309"/>
      <c r="J29981" s="309"/>
    </row>
    <row r="29982">
      <c r="B29982" s="309"/>
      <c r="C29982" s="309"/>
      <c r="I29982" s="309"/>
      <c r="J29982" s="309"/>
    </row>
    <row r="29983">
      <c r="B29983" s="309"/>
      <c r="C29983" s="309"/>
      <c r="I29983" s="309"/>
      <c r="J29983" s="309"/>
    </row>
    <row r="29984">
      <c r="B29984" s="309"/>
      <c r="C29984" s="309"/>
      <c r="I29984" s="309"/>
      <c r="J29984" s="309"/>
    </row>
    <row r="29985">
      <c r="B29985" s="309"/>
      <c r="C29985" s="309"/>
      <c r="I29985" s="309"/>
      <c r="J29985" s="309"/>
    </row>
    <row r="29986">
      <c r="B29986" s="309"/>
      <c r="C29986" s="309"/>
      <c r="I29986" s="309"/>
      <c r="J29986" s="309"/>
    </row>
    <row r="29987">
      <c r="B29987" s="309"/>
      <c r="C29987" s="309"/>
      <c r="I29987" s="309"/>
      <c r="J29987" s="309"/>
    </row>
    <row r="29988">
      <c r="B29988" s="309"/>
      <c r="C29988" s="309"/>
      <c r="I29988" s="309"/>
      <c r="J29988" s="309"/>
    </row>
    <row r="29989">
      <c r="B29989" s="309"/>
      <c r="C29989" s="309"/>
      <c r="I29989" s="309"/>
      <c r="J29989" s="309"/>
    </row>
    <row r="29990">
      <c r="B29990" s="309"/>
      <c r="C29990" s="309"/>
      <c r="I29990" s="309"/>
      <c r="J29990" s="309"/>
    </row>
    <row r="29991">
      <c r="B29991" s="309"/>
      <c r="C29991" s="309"/>
      <c r="I29991" s="309"/>
      <c r="J29991" s="309"/>
    </row>
    <row r="29992">
      <c r="B29992" s="309"/>
      <c r="C29992" s="309"/>
      <c r="I29992" s="309"/>
      <c r="J29992" s="309"/>
    </row>
    <row r="29993">
      <c r="B29993" s="309"/>
      <c r="C29993" s="309"/>
      <c r="I29993" s="309"/>
      <c r="J29993" s="309"/>
    </row>
    <row r="29994">
      <c r="B29994" s="309"/>
      <c r="C29994" s="309"/>
      <c r="I29994" s="309"/>
      <c r="J29994" s="309"/>
    </row>
    <row r="29995">
      <c r="B29995" s="309"/>
      <c r="C29995" s="309"/>
      <c r="I29995" s="309"/>
      <c r="J29995" s="309"/>
    </row>
    <row r="29996">
      <c r="B29996" s="309"/>
      <c r="C29996" s="309"/>
      <c r="I29996" s="309"/>
      <c r="J29996" s="309"/>
    </row>
    <row r="29997">
      <c r="B29997" s="309"/>
      <c r="C29997" s="309"/>
      <c r="I29997" s="309"/>
      <c r="J29997" s="309"/>
    </row>
    <row r="29998">
      <c r="B29998" s="309"/>
      <c r="C29998" s="309"/>
      <c r="I29998" s="309"/>
      <c r="J29998" s="309"/>
    </row>
    <row r="29999">
      <c r="B29999" s="309"/>
      <c r="C29999" s="309"/>
      <c r="I29999" s="309"/>
      <c r="J29999" s="309"/>
    </row>
    <row r="30000">
      <c r="B30000" s="309"/>
      <c r="C30000" s="309"/>
      <c r="I30000" s="309"/>
      <c r="J30000" s="309"/>
    </row>
    <row r="30001">
      <c r="B30001" s="309"/>
      <c r="C30001" s="309"/>
      <c r="I30001" s="309"/>
      <c r="J30001" s="309"/>
    </row>
    <row r="30002">
      <c r="B30002" s="309"/>
      <c r="C30002" s="309"/>
      <c r="I30002" s="309"/>
      <c r="J30002" s="309"/>
    </row>
    <row r="30003">
      <c r="B30003" s="309"/>
      <c r="C30003" s="309"/>
      <c r="I30003" s="309"/>
      <c r="J30003" s="309"/>
    </row>
    <row r="30004">
      <c r="B30004" s="309"/>
      <c r="C30004" s="309"/>
      <c r="I30004" s="309"/>
      <c r="J30004" s="309"/>
    </row>
    <row r="30005">
      <c r="B30005" s="309"/>
      <c r="C30005" s="309"/>
      <c r="I30005" s="309"/>
      <c r="J30005" s="309"/>
    </row>
    <row r="30006">
      <c r="B30006" s="309"/>
      <c r="C30006" s="309"/>
      <c r="I30006" s="309"/>
      <c r="J30006" s="309"/>
    </row>
    <row r="30007">
      <c r="B30007" s="309"/>
      <c r="C30007" s="309"/>
      <c r="I30007" s="309"/>
      <c r="J30007" s="309"/>
    </row>
    <row r="30008">
      <c r="B30008" s="309"/>
      <c r="C30008" s="309"/>
      <c r="I30008" s="309"/>
      <c r="J30008" s="309"/>
    </row>
    <row r="30009">
      <c r="B30009" s="309"/>
      <c r="C30009" s="309"/>
      <c r="I30009" s="309"/>
      <c r="J30009" s="309"/>
    </row>
    <row r="30010">
      <c r="B30010" s="309"/>
      <c r="C30010" s="309"/>
      <c r="I30010" s="309"/>
      <c r="J30010" s="309"/>
    </row>
    <row r="30011">
      <c r="B30011" s="309"/>
      <c r="C30011" s="309"/>
      <c r="I30011" s="309"/>
      <c r="J30011" s="309"/>
    </row>
    <row r="30012">
      <c r="B30012" s="309"/>
      <c r="C30012" s="309"/>
      <c r="I30012" s="309"/>
      <c r="J30012" s="309"/>
    </row>
    <row r="30013">
      <c r="B30013" s="309"/>
      <c r="C30013" s="309"/>
      <c r="I30013" s="309"/>
      <c r="J30013" s="309"/>
    </row>
    <row r="30014">
      <c r="B30014" s="309"/>
      <c r="C30014" s="309"/>
      <c r="I30014" s="309"/>
      <c r="J30014" s="309"/>
    </row>
    <row r="30015">
      <c r="B30015" s="309"/>
      <c r="C30015" s="309"/>
      <c r="I30015" s="309"/>
      <c r="J30015" s="309"/>
    </row>
    <row r="30016">
      <c r="B30016" s="309"/>
      <c r="C30016" s="309"/>
      <c r="I30016" s="309"/>
      <c r="J30016" s="309"/>
    </row>
    <row r="30017">
      <c r="B30017" s="309"/>
      <c r="C30017" s="309"/>
      <c r="I30017" s="309"/>
      <c r="J30017" s="309"/>
    </row>
    <row r="30018">
      <c r="B30018" s="309"/>
      <c r="C30018" s="309"/>
      <c r="I30018" s="309"/>
      <c r="J30018" s="309"/>
    </row>
    <row r="30019">
      <c r="B30019" s="309"/>
      <c r="C30019" s="309"/>
      <c r="I30019" s="309"/>
      <c r="J30019" s="309"/>
    </row>
    <row r="30020">
      <c r="B30020" s="309"/>
      <c r="C30020" s="309"/>
      <c r="I30020" s="309"/>
      <c r="J30020" s="309"/>
    </row>
    <row r="30021">
      <c r="B30021" s="309"/>
      <c r="C30021" s="309"/>
      <c r="I30021" s="309"/>
      <c r="J30021" s="309"/>
    </row>
    <row r="30022">
      <c r="B30022" s="309"/>
      <c r="C30022" s="309"/>
      <c r="I30022" s="309"/>
      <c r="J30022" s="309"/>
    </row>
    <row r="30023">
      <c r="B30023" s="309"/>
      <c r="C30023" s="309"/>
      <c r="I30023" s="309"/>
      <c r="J30023" s="309"/>
    </row>
    <row r="30024">
      <c r="B30024" s="309"/>
      <c r="C30024" s="309"/>
      <c r="I30024" s="309"/>
      <c r="J30024" s="309"/>
    </row>
    <row r="30025">
      <c r="B30025" s="309"/>
      <c r="C30025" s="309"/>
      <c r="I30025" s="309"/>
      <c r="J30025" s="309"/>
    </row>
    <row r="30026">
      <c r="B30026" s="309"/>
      <c r="C30026" s="309"/>
      <c r="I30026" s="309"/>
      <c r="J30026" s="309"/>
    </row>
    <row r="30027">
      <c r="B30027" s="309"/>
      <c r="C30027" s="309"/>
      <c r="I30027" s="309"/>
      <c r="J30027" s="309"/>
    </row>
    <row r="30028">
      <c r="B30028" s="309"/>
      <c r="C30028" s="309"/>
      <c r="I30028" s="309"/>
      <c r="J30028" s="309"/>
    </row>
    <row r="30029">
      <c r="B30029" s="309"/>
      <c r="C30029" s="309"/>
      <c r="I30029" s="309"/>
      <c r="J30029" s="309"/>
    </row>
    <row r="30030">
      <c r="B30030" s="309"/>
      <c r="C30030" s="309"/>
      <c r="I30030" s="309"/>
      <c r="J30030" s="309"/>
    </row>
    <row r="30031">
      <c r="B30031" s="309"/>
      <c r="C30031" s="309"/>
      <c r="I30031" s="309"/>
      <c r="J30031" s="309"/>
    </row>
    <row r="30032">
      <c r="B30032" s="309"/>
      <c r="C30032" s="309"/>
      <c r="I30032" s="309"/>
      <c r="J30032" s="309"/>
    </row>
    <row r="30033">
      <c r="B30033" s="309"/>
      <c r="C30033" s="309"/>
      <c r="I30033" s="309"/>
      <c r="J30033" s="309"/>
    </row>
    <row r="30034">
      <c r="B30034" s="309"/>
      <c r="C30034" s="309"/>
      <c r="I30034" s="309"/>
      <c r="J30034" s="309"/>
    </row>
    <row r="30035">
      <c r="B30035" s="309"/>
      <c r="C30035" s="309"/>
      <c r="I30035" s="309"/>
      <c r="J30035" s="309"/>
    </row>
    <row r="30036">
      <c r="B30036" s="309"/>
      <c r="C30036" s="309"/>
      <c r="I30036" s="309"/>
      <c r="J30036" s="309"/>
    </row>
    <row r="30037">
      <c r="B30037" s="309"/>
      <c r="C30037" s="309"/>
      <c r="I30037" s="309"/>
      <c r="J30037" s="309"/>
    </row>
    <row r="30038">
      <c r="B30038" s="309"/>
      <c r="C30038" s="309"/>
      <c r="I30038" s="309"/>
      <c r="J30038" s="309"/>
    </row>
    <row r="30039">
      <c r="B30039" s="309"/>
      <c r="C30039" s="309"/>
      <c r="I30039" s="309"/>
      <c r="J30039" s="309"/>
    </row>
    <row r="30040">
      <c r="B30040" s="309"/>
      <c r="C30040" s="309"/>
      <c r="I30040" s="309"/>
      <c r="J30040" s="309"/>
    </row>
    <row r="30041">
      <c r="B30041" s="309"/>
      <c r="C30041" s="309"/>
      <c r="I30041" s="309"/>
      <c r="J30041" s="309"/>
    </row>
    <row r="30042">
      <c r="B30042" s="309"/>
      <c r="C30042" s="309"/>
      <c r="I30042" s="309"/>
      <c r="J30042" s="309"/>
    </row>
    <row r="30043">
      <c r="B30043" s="309"/>
      <c r="C30043" s="309"/>
      <c r="I30043" s="309"/>
      <c r="J30043" s="309"/>
    </row>
    <row r="30044">
      <c r="B30044" s="309"/>
      <c r="C30044" s="309"/>
      <c r="I30044" s="309"/>
      <c r="J30044" s="309"/>
    </row>
    <row r="30045">
      <c r="B30045" s="309"/>
      <c r="C30045" s="309"/>
      <c r="I30045" s="309"/>
      <c r="J30045" s="309"/>
    </row>
    <row r="30046">
      <c r="B30046" s="309"/>
      <c r="C30046" s="309"/>
      <c r="I30046" s="309"/>
      <c r="J30046" s="309"/>
    </row>
    <row r="30047">
      <c r="B30047" s="309"/>
      <c r="C30047" s="309"/>
      <c r="I30047" s="309"/>
      <c r="J30047" s="309"/>
    </row>
    <row r="30048">
      <c r="B30048" s="309"/>
      <c r="C30048" s="309"/>
      <c r="I30048" s="309"/>
      <c r="J30048" s="309"/>
    </row>
    <row r="30049">
      <c r="B30049" s="309"/>
      <c r="C30049" s="309"/>
      <c r="I30049" s="309"/>
      <c r="J30049" s="309"/>
    </row>
    <row r="30050">
      <c r="B30050" s="309"/>
      <c r="C30050" s="309"/>
      <c r="I30050" s="309"/>
      <c r="J30050" s="309"/>
    </row>
    <row r="30051">
      <c r="B30051" s="309"/>
      <c r="C30051" s="309"/>
      <c r="I30051" s="309"/>
      <c r="J30051" s="309"/>
    </row>
    <row r="30052">
      <c r="B30052" s="309"/>
      <c r="C30052" s="309"/>
      <c r="I30052" s="309"/>
      <c r="J30052" s="309"/>
    </row>
    <row r="30053">
      <c r="B30053" s="309"/>
      <c r="C30053" s="309"/>
      <c r="I30053" s="309"/>
      <c r="J30053" s="309"/>
    </row>
    <row r="30054">
      <c r="B30054" s="309"/>
      <c r="C30054" s="309"/>
      <c r="I30054" s="309"/>
      <c r="J30054" s="309"/>
    </row>
    <row r="30055">
      <c r="B30055" s="309"/>
      <c r="C30055" s="309"/>
      <c r="I30055" s="309"/>
      <c r="J30055" s="309"/>
    </row>
    <row r="30056">
      <c r="B30056" s="309"/>
      <c r="C30056" s="309"/>
      <c r="I30056" s="309"/>
      <c r="J30056" s="309"/>
    </row>
    <row r="30057">
      <c r="B30057" s="309"/>
      <c r="C30057" s="309"/>
      <c r="I30057" s="309"/>
      <c r="J30057" s="309"/>
    </row>
    <row r="30058">
      <c r="B30058" s="309"/>
      <c r="C30058" s="309"/>
      <c r="I30058" s="309"/>
      <c r="J30058" s="309"/>
    </row>
    <row r="30059">
      <c r="B30059" s="309"/>
      <c r="C30059" s="309"/>
      <c r="I30059" s="309"/>
      <c r="J30059" s="309"/>
    </row>
    <row r="30060">
      <c r="B30060" s="309"/>
      <c r="C30060" s="309"/>
      <c r="I30060" s="309"/>
      <c r="J30060" s="309"/>
    </row>
    <row r="30061">
      <c r="B30061" s="309"/>
      <c r="C30061" s="309"/>
      <c r="I30061" s="309"/>
      <c r="J30061" s="309"/>
    </row>
    <row r="30062">
      <c r="B30062" s="309"/>
      <c r="C30062" s="309"/>
      <c r="I30062" s="309"/>
      <c r="J30062" s="309"/>
    </row>
    <row r="30063">
      <c r="B30063" s="309"/>
      <c r="C30063" s="309"/>
      <c r="I30063" s="309"/>
      <c r="J30063" s="309"/>
    </row>
    <row r="30064">
      <c r="B30064" s="309"/>
      <c r="C30064" s="309"/>
      <c r="I30064" s="309"/>
      <c r="J30064" s="309"/>
    </row>
    <row r="30065">
      <c r="B30065" s="309"/>
      <c r="C30065" s="309"/>
      <c r="I30065" s="309"/>
      <c r="J30065" s="309"/>
    </row>
    <row r="30066">
      <c r="B30066" s="309"/>
      <c r="C30066" s="309"/>
      <c r="I30066" s="309"/>
      <c r="J30066" s="309"/>
    </row>
    <row r="30067">
      <c r="B30067" s="309"/>
      <c r="C30067" s="309"/>
      <c r="I30067" s="309"/>
      <c r="J30067" s="309"/>
    </row>
    <row r="30068">
      <c r="B30068" s="309"/>
      <c r="C30068" s="309"/>
      <c r="I30068" s="309"/>
      <c r="J30068" s="309"/>
    </row>
    <row r="30069">
      <c r="B30069" s="309"/>
      <c r="C30069" s="309"/>
      <c r="I30069" s="309"/>
      <c r="J30069" s="309"/>
    </row>
    <row r="30070">
      <c r="B30070" s="309"/>
      <c r="C30070" s="309"/>
      <c r="I30070" s="309"/>
      <c r="J30070" s="309"/>
    </row>
    <row r="30071">
      <c r="B30071" s="309"/>
      <c r="C30071" s="309"/>
      <c r="I30071" s="309"/>
      <c r="J30071" s="309"/>
    </row>
    <row r="30072">
      <c r="B30072" s="309"/>
      <c r="C30072" s="309"/>
      <c r="I30072" s="309"/>
      <c r="J30072" s="309"/>
    </row>
    <row r="30073">
      <c r="B30073" s="309"/>
      <c r="C30073" s="309"/>
      <c r="I30073" s="309"/>
      <c r="J30073" s="309"/>
    </row>
    <row r="30074">
      <c r="B30074" s="309"/>
      <c r="C30074" s="309"/>
      <c r="I30074" s="309"/>
      <c r="J30074" s="309"/>
    </row>
    <row r="30075">
      <c r="B30075" s="309"/>
      <c r="C30075" s="309"/>
      <c r="I30075" s="309"/>
      <c r="J30075" s="309"/>
    </row>
    <row r="30076">
      <c r="B30076" s="309"/>
      <c r="C30076" s="309"/>
      <c r="I30076" s="309"/>
      <c r="J30076" s="309"/>
    </row>
    <row r="30077">
      <c r="B30077" s="309"/>
      <c r="C30077" s="309"/>
      <c r="I30077" s="309"/>
      <c r="J30077" s="309"/>
    </row>
    <row r="30078">
      <c r="B30078" s="309"/>
      <c r="C30078" s="309"/>
      <c r="I30078" s="309"/>
      <c r="J30078" s="309"/>
    </row>
    <row r="30079">
      <c r="B30079" s="309"/>
      <c r="C30079" s="309"/>
      <c r="I30079" s="309"/>
      <c r="J30079" s="309"/>
    </row>
    <row r="30080">
      <c r="B30080" s="309"/>
      <c r="C30080" s="309"/>
      <c r="I30080" s="309"/>
      <c r="J30080" s="309"/>
    </row>
    <row r="30081">
      <c r="B30081" s="309"/>
      <c r="C30081" s="309"/>
      <c r="I30081" s="309"/>
      <c r="J30081" s="309"/>
    </row>
    <row r="30082">
      <c r="B30082" s="309"/>
      <c r="C30082" s="309"/>
      <c r="I30082" s="309"/>
      <c r="J30082" s="309"/>
    </row>
    <row r="30083">
      <c r="B30083" s="309"/>
      <c r="C30083" s="309"/>
      <c r="I30083" s="309"/>
      <c r="J30083" s="309"/>
    </row>
    <row r="30084">
      <c r="B30084" s="309"/>
      <c r="C30084" s="309"/>
      <c r="I30084" s="309"/>
      <c r="J30084" s="309"/>
    </row>
    <row r="30085">
      <c r="B30085" s="309"/>
      <c r="C30085" s="309"/>
      <c r="I30085" s="309"/>
      <c r="J30085" s="309"/>
    </row>
    <row r="30086">
      <c r="B30086" s="309"/>
      <c r="C30086" s="309"/>
      <c r="I30086" s="309"/>
      <c r="J30086" s="309"/>
    </row>
    <row r="30087">
      <c r="B30087" s="309"/>
      <c r="C30087" s="309"/>
      <c r="I30087" s="309"/>
      <c r="J30087" s="309"/>
    </row>
    <row r="30088">
      <c r="B30088" s="309"/>
      <c r="C30088" s="309"/>
      <c r="I30088" s="309"/>
      <c r="J30088" s="309"/>
    </row>
    <row r="30089">
      <c r="B30089" s="309"/>
      <c r="C30089" s="309"/>
      <c r="I30089" s="309"/>
      <c r="J30089" s="309"/>
    </row>
    <row r="30090">
      <c r="B30090" s="309"/>
      <c r="C30090" s="309"/>
      <c r="I30090" s="309"/>
      <c r="J30090" s="309"/>
    </row>
    <row r="30091">
      <c r="B30091" s="309"/>
      <c r="C30091" s="309"/>
      <c r="I30091" s="309"/>
      <c r="J30091" s="309"/>
    </row>
    <row r="30092">
      <c r="B30092" s="309"/>
      <c r="C30092" s="309"/>
      <c r="I30092" s="309"/>
      <c r="J30092" s="309"/>
    </row>
    <row r="30093">
      <c r="B30093" s="309"/>
      <c r="C30093" s="309"/>
      <c r="I30093" s="309"/>
      <c r="J30093" s="309"/>
    </row>
    <row r="30094">
      <c r="B30094" s="309"/>
      <c r="C30094" s="309"/>
      <c r="I30094" s="309"/>
      <c r="J30094" s="309"/>
    </row>
    <row r="30095">
      <c r="B30095" s="309"/>
      <c r="C30095" s="309"/>
      <c r="I30095" s="309"/>
      <c r="J30095" s="309"/>
    </row>
    <row r="30096">
      <c r="B30096" s="309"/>
      <c r="C30096" s="309"/>
      <c r="I30096" s="309"/>
      <c r="J30096" s="309"/>
    </row>
    <row r="30097">
      <c r="B30097" s="309"/>
      <c r="C30097" s="309"/>
      <c r="I30097" s="309"/>
      <c r="J30097" s="309"/>
    </row>
    <row r="30098">
      <c r="B30098" s="309"/>
      <c r="C30098" s="309"/>
      <c r="I30098" s="309"/>
      <c r="J30098" s="309"/>
    </row>
    <row r="30099">
      <c r="B30099" s="309"/>
      <c r="C30099" s="309"/>
      <c r="I30099" s="309"/>
      <c r="J30099" s="309"/>
    </row>
    <row r="30100">
      <c r="B30100" s="309"/>
      <c r="C30100" s="309"/>
      <c r="I30100" s="309"/>
      <c r="J30100" s="309"/>
    </row>
    <row r="30101">
      <c r="B30101" s="309"/>
      <c r="C30101" s="309"/>
      <c r="I30101" s="309"/>
      <c r="J30101" s="309"/>
    </row>
    <row r="30102">
      <c r="B30102" s="309"/>
      <c r="C30102" s="309"/>
      <c r="I30102" s="309"/>
      <c r="J30102" s="309"/>
    </row>
    <row r="30103">
      <c r="B30103" s="309"/>
      <c r="C30103" s="309"/>
      <c r="I30103" s="309"/>
      <c r="J30103" s="309"/>
    </row>
    <row r="30104">
      <c r="B30104" s="309"/>
      <c r="C30104" s="309"/>
      <c r="I30104" s="309"/>
      <c r="J30104" s="309"/>
    </row>
    <row r="30105">
      <c r="B30105" s="309"/>
      <c r="C30105" s="309"/>
      <c r="I30105" s="309"/>
      <c r="J30105" s="309"/>
    </row>
    <row r="30106">
      <c r="B30106" s="309"/>
      <c r="C30106" s="309"/>
      <c r="I30106" s="309"/>
      <c r="J30106" s="309"/>
    </row>
    <row r="30107">
      <c r="B30107" s="309"/>
      <c r="C30107" s="309"/>
      <c r="I30107" s="309"/>
      <c r="J30107" s="309"/>
    </row>
    <row r="30108">
      <c r="B30108" s="309"/>
      <c r="C30108" s="309"/>
      <c r="I30108" s="309"/>
      <c r="J30108" s="309"/>
    </row>
    <row r="30109">
      <c r="B30109" s="309"/>
      <c r="C30109" s="309"/>
      <c r="I30109" s="309"/>
      <c r="J30109" s="309"/>
    </row>
    <row r="30110">
      <c r="B30110" s="309"/>
      <c r="C30110" s="309"/>
      <c r="I30110" s="309"/>
      <c r="J30110" s="309"/>
    </row>
    <row r="30111">
      <c r="B30111" s="309"/>
      <c r="C30111" s="309"/>
      <c r="I30111" s="309"/>
      <c r="J30111" s="309"/>
    </row>
    <row r="30112">
      <c r="B30112" s="309"/>
      <c r="C30112" s="309"/>
      <c r="I30112" s="309"/>
      <c r="J30112" s="309"/>
    </row>
    <row r="30113">
      <c r="B30113" s="309"/>
      <c r="C30113" s="309"/>
      <c r="I30113" s="309"/>
      <c r="J30113" s="309"/>
    </row>
    <row r="30114">
      <c r="B30114" s="309"/>
      <c r="C30114" s="309"/>
      <c r="I30114" s="309"/>
      <c r="J30114" s="309"/>
    </row>
    <row r="30115">
      <c r="B30115" s="309"/>
      <c r="C30115" s="309"/>
      <c r="I30115" s="309"/>
      <c r="J30115" s="309"/>
    </row>
    <row r="30116">
      <c r="B30116" s="309"/>
      <c r="C30116" s="309"/>
      <c r="I30116" s="309"/>
      <c r="J30116" s="309"/>
    </row>
    <row r="30117">
      <c r="B30117" s="309"/>
      <c r="C30117" s="309"/>
      <c r="I30117" s="309"/>
      <c r="J30117" s="309"/>
    </row>
    <row r="30118">
      <c r="B30118" s="309"/>
      <c r="C30118" s="309"/>
      <c r="I30118" s="309"/>
      <c r="J30118" s="309"/>
    </row>
    <row r="30119">
      <c r="B30119" s="309"/>
      <c r="C30119" s="309"/>
      <c r="I30119" s="309"/>
      <c r="J30119" s="309"/>
    </row>
    <row r="30120">
      <c r="B30120" s="309"/>
      <c r="C30120" s="309"/>
      <c r="I30120" s="309"/>
      <c r="J30120" s="309"/>
    </row>
    <row r="30121">
      <c r="B30121" s="309"/>
      <c r="C30121" s="309"/>
      <c r="I30121" s="309"/>
      <c r="J30121" s="309"/>
    </row>
    <row r="30122">
      <c r="B30122" s="309"/>
      <c r="C30122" s="309"/>
      <c r="I30122" s="309"/>
      <c r="J30122" s="309"/>
    </row>
    <row r="30123">
      <c r="B30123" s="309"/>
      <c r="C30123" s="309"/>
      <c r="I30123" s="309"/>
      <c r="J30123" s="309"/>
    </row>
    <row r="30124">
      <c r="B30124" s="309"/>
      <c r="C30124" s="309"/>
      <c r="I30124" s="309"/>
      <c r="J30124" s="309"/>
    </row>
    <row r="30125">
      <c r="B30125" s="309"/>
      <c r="C30125" s="309"/>
      <c r="I30125" s="309"/>
      <c r="J30125" s="309"/>
    </row>
    <row r="30126">
      <c r="B30126" s="309"/>
      <c r="C30126" s="309"/>
      <c r="I30126" s="309"/>
      <c r="J30126" s="309"/>
    </row>
    <row r="30127">
      <c r="B30127" s="309"/>
      <c r="C30127" s="309"/>
      <c r="I30127" s="309"/>
      <c r="J30127" s="309"/>
    </row>
    <row r="30128">
      <c r="B30128" s="309"/>
      <c r="C30128" s="309"/>
      <c r="I30128" s="309"/>
      <c r="J30128" s="309"/>
    </row>
    <row r="30129">
      <c r="B30129" s="309"/>
      <c r="C30129" s="309"/>
      <c r="I30129" s="309"/>
      <c r="J30129" s="309"/>
    </row>
    <row r="30130">
      <c r="B30130" s="309"/>
      <c r="C30130" s="309"/>
      <c r="I30130" s="309"/>
      <c r="J30130" s="309"/>
    </row>
    <row r="30131">
      <c r="B30131" s="309"/>
      <c r="C30131" s="309"/>
      <c r="I30131" s="309"/>
      <c r="J30131" s="309"/>
    </row>
    <row r="30132">
      <c r="B30132" s="309"/>
      <c r="C30132" s="309"/>
      <c r="I30132" s="309"/>
      <c r="J30132" s="309"/>
    </row>
    <row r="30133">
      <c r="B30133" s="309"/>
      <c r="C30133" s="309"/>
      <c r="I30133" s="309"/>
      <c r="J30133" s="309"/>
    </row>
    <row r="30134">
      <c r="B30134" s="309"/>
      <c r="C30134" s="309"/>
      <c r="I30134" s="309"/>
      <c r="J30134" s="309"/>
    </row>
    <row r="30135">
      <c r="B30135" s="309"/>
      <c r="C30135" s="309"/>
      <c r="I30135" s="309"/>
      <c r="J30135" s="309"/>
    </row>
    <row r="30136">
      <c r="B30136" s="309"/>
      <c r="C30136" s="309"/>
      <c r="I30136" s="309"/>
      <c r="J30136" s="309"/>
    </row>
    <row r="30137">
      <c r="B30137" s="309"/>
      <c r="C30137" s="309"/>
      <c r="I30137" s="309"/>
      <c r="J30137" s="309"/>
    </row>
    <row r="30138">
      <c r="B30138" s="309"/>
      <c r="C30138" s="309"/>
      <c r="I30138" s="309"/>
      <c r="J30138" s="309"/>
    </row>
    <row r="30139">
      <c r="B30139" s="309"/>
      <c r="C30139" s="309"/>
      <c r="I30139" s="309"/>
      <c r="J30139" s="309"/>
    </row>
    <row r="30140">
      <c r="B30140" s="309"/>
      <c r="C30140" s="309"/>
      <c r="I30140" s="309"/>
      <c r="J30140" s="309"/>
    </row>
    <row r="30141">
      <c r="B30141" s="309"/>
      <c r="C30141" s="309"/>
      <c r="I30141" s="309"/>
      <c r="J30141" s="309"/>
    </row>
    <row r="30142">
      <c r="B30142" s="309"/>
      <c r="C30142" s="309"/>
      <c r="I30142" s="309"/>
      <c r="J30142" s="309"/>
    </row>
    <row r="30143">
      <c r="B30143" s="309"/>
      <c r="C30143" s="309"/>
      <c r="I30143" s="309"/>
      <c r="J30143" s="309"/>
    </row>
    <row r="30144">
      <c r="B30144" s="309"/>
      <c r="C30144" s="309"/>
      <c r="I30144" s="309"/>
      <c r="J30144" s="309"/>
    </row>
    <row r="30145">
      <c r="B30145" s="309"/>
      <c r="C30145" s="309"/>
      <c r="I30145" s="309"/>
      <c r="J30145" s="309"/>
    </row>
    <row r="30146">
      <c r="B30146" s="309"/>
      <c r="C30146" s="309"/>
      <c r="I30146" s="309"/>
      <c r="J30146" s="309"/>
    </row>
    <row r="30147">
      <c r="B30147" s="309"/>
      <c r="C30147" s="309"/>
      <c r="I30147" s="309"/>
      <c r="J30147" s="309"/>
    </row>
    <row r="30148">
      <c r="B30148" s="309"/>
      <c r="C30148" s="309"/>
      <c r="I30148" s="309"/>
      <c r="J30148" s="309"/>
    </row>
    <row r="30149">
      <c r="B30149" s="309"/>
      <c r="C30149" s="309"/>
      <c r="I30149" s="309"/>
      <c r="J30149" s="309"/>
    </row>
    <row r="30150">
      <c r="B30150" s="309"/>
      <c r="C30150" s="309"/>
      <c r="I30150" s="309"/>
      <c r="J30150" s="309"/>
    </row>
    <row r="30151">
      <c r="B30151" s="309"/>
      <c r="C30151" s="309"/>
      <c r="I30151" s="309"/>
      <c r="J30151" s="309"/>
    </row>
    <row r="30152">
      <c r="B30152" s="309"/>
      <c r="C30152" s="309"/>
      <c r="I30152" s="309"/>
      <c r="J30152" s="309"/>
    </row>
    <row r="30153">
      <c r="B30153" s="309"/>
      <c r="C30153" s="309"/>
      <c r="I30153" s="309"/>
      <c r="J30153" s="309"/>
    </row>
    <row r="30154">
      <c r="B30154" s="309"/>
      <c r="C30154" s="309"/>
      <c r="I30154" s="309"/>
      <c r="J30154" s="309"/>
    </row>
    <row r="30155">
      <c r="B30155" s="309"/>
      <c r="C30155" s="309"/>
      <c r="I30155" s="309"/>
      <c r="J30155" s="309"/>
    </row>
    <row r="30156">
      <c r="B30156" s="309"/>
      <c r="C30156" s="309"/>
      <c r="I30156" s="309"/>
      <c r="J30156" s="309"/>
    </row>
    <row r="30157">
      <c r="B30157" s="309"/>
      <c r="C30157" s="309"/>
      <c r="I30157" s="309"/>
      <c r="J30157" s="309"/>
    </row>
    <row r="30158">
      <c r="B30158" s="309"/>
      <c r="C30158" s="309"/>
      <c r="I30158" s="309"/>
      <c r="J30158" s="309"/>
    </row>
    <row r="30159">
      <c r="B30159" s="309"/>
      <c r="C30159" s="309"/>
      <c r="I30159" s="309"/>
      <c r="J30159" s="309"/>
    </row>
    <row r="30160">
      <c r="B30160" s="309"/>
      <c r="C30160" s="309"/>
      <c r="I30160" s="309"/>
      <c r="J30160" s="309"/>
    </row>
    <row r="30161">
      <c r="B30161" s="309"/>
      <c r="C30161" s="309"/>
      <c r="I30161" s="309"/>
      <c r="J30161" s="309"/>
    </row>
    <row r="30162">
      <c r="B30162" s="309"/>
      <c r="C30162" s="309"/>
      <c r="I30162" s="309"/>
      <c r="J30162" s="309"/>
    </row>
    <row r="30163">
      <c r="B30163" s="309"/>
      <c r="C30163" s="309"/>
      <c r="I30163" s="309"/>
      <c r="J30163" s="309"/>
    </row>
    <row r="30164">
      <c r="B30164" s="309"/>
      <c r="C30164" s="309"/>
      <c r="I30164" s="309"/>
      <c r="J30164" s="309"/>
    </row>
    <row r="30165">
      <c r="B30165" s="309"/>
      <c r="C30165" s="309"/>
      <c r="I30165" s="309"/>
      <c r="J30165" s="309"/>
    </row>
    <row r="30166">
      <c r="B30166" s="309"/>
      <c r="C30166" s="309"/>
      <c r="I30166" s="309"/>
      <c r="J30166" s="309"/>
    </row>
    <row r="30167">
      <c r="B30167" s="309"/>
      <c r="C30167" s="309"/>
      <c r="I30167" s="309"/>
      <c r="J30167" s="309"/>
    </row>
    <row r="30168">
      <c r="B30168" s="309"/>
      <c r="C30168" s="309"/>
      <c r="I30168" s="309"/>
      <c r="J30168" s="309"/>
    </row>
    <row r="30169">
      <c r="B30169" s="309"/>
      <c r="C30169" s="309"/>
      <c r="I30169" s="309"/>
      <c r="J30169" s="309"/>
    </row>
    <row r="30170">
      <c r="B30170" s="309"/>
      <c r="C30170" s="309"/>
      <c r="I30170" s="309"/>
      <c r="J30170" s="309"/>
    </row>
    <row r="30171">
      <c r="B30171" s="309"/>
      <c r="C30171" s="309"/>
      <c r="I30171" s="309"/>
      <c r="J30171" s="309"/>
    </row>
    <row r="30172">
      <c r="B30172" s="309"/>
      <c r="C30172" s="309"/>
      <c r="I30172" s="309"/>
      <c r="J30172" s="309"/>
    </row>
    <row r="30173">
      <c r="B30173" s="309"/>
      <c r="C30173" s="309"/>
      <c r="I30173" s="309"/>
      <c r="J30173" s="309"/>
    </row>
    <row r="30174">
      <c r="B30174" s="309"/>
      <c r="C30174" s="309"/>
      <c r="I30174" s="309"/>
      <c r="J30174" s="309"/>
    </row>
    <row r="30175">
      <c r="B30175" s="309"/>
      <c r="C30175" s="309"/>
      <c r="I30175" s="309"/>
      <c r="J30175" s="309"/>
    </row>
    <row r="30176">
      <c r="B30176" s="309"/>
      <c r="C30176" s="309"/>
      <c r="I30176" s="309"/>
      <c r="J30176" s="309"/>
    </row>
    <row r="30177">
      <c r="B30177" s="309"/>
      <c r="C30177" s="309"/>
      <c r="I30177" s="309"/>
      <c r="J30177" s="309"/>
    </row>
    <row r="30178">
      <c r="B30178" s="309"/>
      <c r="C30178" s="309"/>
      <c r="I30178" s="309"/>
      <c r="J30178" s="309"/>
    </row>
    <row r="30179">
      <c r="B30179" s="309"/>
      <c r="C30179" s="309"/>
      <c r="I30179" s="309"/>
      <c r="J30179" s="309"/>
    </row>
    <row r="30180">
      <c r="B30180" s="309"/>
      <c r="C30180" s="309"/>
      <c r="I30180" s="309"/>
      <c r="J30180" s="309"/>
    </row>
    <row r="30181">
      <c r="B30181" s="309"/>
      <c r="C30181" s="309"/>
      <c r="I30181" s="309"/>
      <c r="J30181" s="309"/>
    </row>
    <row r="30182">
      <c r="B30182" s="309"/>
      <c r="C30182" s="309"/>
      <c r="I30182" s="309"/>
      <c r="J30182" s="309"/>
    </row>
    <row r="30183">
      <c r="B30183" s="309"/>
      <c r="C30183" s="309"/>
      <c r="I30183" s="309"/>
      <c r="J30183" s="309"/>
    </row>
    <row r="30184">
      <c r="B30184" s="309"/>
      <c r="C30184" s="309"/>
      <c r="I30184" s="309"/>
      <c r="J30184" s="309"/>
    </row>
    <row r="30185">
      <c r="B30185" s="309"/>
      <c r="C30185" s="309"/>
      <c r="I30185" s="309"/>
      <c r="J30185" s="309"/>
    </row>
    <row r="30186">
      <c r="B30186" s="309"/>
      <c r="C30186" s="309"/>
      <c r="I30186" s="309"/>
      <c r="J30186" s="309"/>
    </row>
    <row r="30187">
      <c r="B30187" s="309"/>
      <c r="C30187" s="309"/>
      <c r="I30187" s="309"/>
      <c r="J30187" s="309"/>
    </row>
    <row r="30188">
      <c r="B30188" s="309"/>
      <c r="C30188" s="309"/>
      <c r="I30188" s="309"/>
      <c r="J30188" s="309"/>
    </row>
    <row r="30189">
      <c r="B30189" s="309"/>
      <c r="C30189" s="309"/>
      <c r="I30189" s="309"/>
      <c r="J30189" s="309"/>
    </row>
    <row r="30190">
      <c r="B30190" s="309"/>
      <c r="C30190" s="309"/>
      <c r="I30190" s="309"/>
      <c r="J30190" s="309"/>
    </row>
    <row r="30191">
      <c r="B30191" s="309"/>
      <c r="C30191" s="309"/>
      <c r="I30191" s="309"/>
      <c r="J30191" s="309"/>
    </row>
    <row r="30192">
      <c r="B30192" s="309"/>
      <c r="C30192" s="309"/>
      <c r="I30192" s="309"/>
      <c r="J30192" s="309"/>
    </row>
    <row r="30193">
      <c r="B30193" s="309"/>
      <c r="C30193" s="309"/>
      <c r="I30193" s="309"/>
      <c r="J30193" s="309"/>
    </row>
    <row r="30194">
      <c r="B30194" s="309"/>
      <c r="C30194" s="309"/>
      <c r="I30194" s="309"/>
      <c r="J30194" s="309"/>
    </row>
    <row r="30195">
      <c r="B30195" s="309"/>
      <c r="C30195" s="309"/>
      <c r="I30195" s="309"/>
      <c r="J30195" s="309"/>
    </row>
    <row r="30196">
      <c r="B30196" s="309"/>
      <c r="C30196" s="309"/>
      <c r="I30196" s="309"/>
      <c r="J30196" s="309"/>
    </row>
    <row r="30197">
      <c r="B30197" s="309"/>
      <c r="C30197" s="309"/>
      <c r="I30197" s="309"/>
      <c r="J30197" s="309"/>
    </row>
    <row r="30198">
      <c r="B30198" s="309"/>
      <c r="C30198" s="309"/>
      <c r="I30198" s="309"/>
      <c r="J30198" s="309"/>
    </row>
    <row r="30199">
      <c r="B30199" s="309"/>
      <c r="C30199" s="309"/>
      <c r="I30199" s="309"/>
      <c r="J30199" s="309"/>
    </row>
    <row r="30200">
      <c r="B30200" s="309"/>
      <c r="C30200" s="309"/>
      <c r="I30200" s="309"/>
      <c r="J30200" s="309"/>
    </row>
    <row r="30201">
      <c r="B30201" s="309"/>
      <c r="C30201" s="309"/>
      <c r="I30201" s="309"/>
      <c r="J30201" s="309"/>
    </row>
    <row r="30202">
      <c r="B30202" s="309"/>
      <c r="C30202" s="309"/>
      <c r="I30202" s="309"/>
      <c r="J30202" s="309"/>
    </row>
    <row r="30203">
      <c r="B30203" s="309"/>
      <c r="C30203" s="309"/>
      <c r="I30203" s="309"/>
      <c r="J30203" s="309"/>
    </row>
    <row r="30204">
      <c r="B30204" s="309"/>
      <c r="C30204" s="309"/>
      <c r="I30204" s="309"/>
      <c r="J30204" s="309"/>
    </row>
    <row r="30205">
      <c r="B30205" s="309"/>
      <c r="C30205" s="309"/>
      <c r="I30205" s="309"/>
      <c r="J30205" s="309"/>
    </row>
    <row r="30206">
      <c r="B30206" s="309"/>
      <c r="C30206" s="309"/>
      <c r="I30206" s="309"/>
      <c r="J30206" s="309"/>
    </row>
    <row r="30207">
      <c r="B30207" s="309"/>
      <c r="C30207" s="309"/>
      <c r="I30207" s="309"/>
      <c r="J30207" s="309"/>
    </row>
    <row r="30208">
      <c r="B30208" s="309"/>
      <c r="C30208" s="309"/>
      <c r="I30208" s="309"/>
      <c r="J30208" s="309"/>
    </row>
    <row r="30209">
      <c r="B30209" s="309"/>
      <c r="C30209" s="309"/>
      <c r="I30209" s="309"/>
      <c r="J30209" s="309"/>
    </row>
    <row r="30210">
      <c r="B30210" s="309"/>
      <c r="C30210" s="309"/>
      <c r="I30210" s="309"/>
      <c r="J30210" s="309"/>
    </row>
    <row r="30211">
      <c r="B30211" s="309"/>
      <c r="C30211" s="309"/>
      <c r="I30211" s="309"/>
      <c r="J30211" s="309"/>
    </row>
    <row r="30212">
      <c r="B30212" s="309"/>
      <c r="C30212" s="309"/>
      <c r="I30212" s="309"/>
      <c r="J30212" s="309"/>
    </row>
    <row r="30213">
      <c r="B30213" s="309"/>
      <c r="C30213" s="309"/>
      <c r="I30213" s="309"/>
      <c r="J30213" s="309"/>
    </row>
    <row r="30214">
      <c r="B30214" s="309"/>
      <c r="C30214" s="309"/>
      <c r="I30214" s="309"/>
      <c r="J30214" s="309"/>
    </row>
    <row r="30215">
      <c r="B30215" s="309"/>
      <c r="C30215" s="309"/>
      <c r="I30215" s="309"/>
      <c r="J30215" s="309"/>
    </row>
    <row r="30216">
      <c r="B30216" s="309"/>
      <c r="C30216" s="309"/>
      <c r="I30216" s="309"/>
      <c r="J30216" s="309"/>
    </row>
    <row r="30217">
      <c r="B30217" s="309"/>
      <c r="C30217" s="309"/>
      <c r="I30217" s="309"/>
      <c r="J30217" s="309"/>
    </row>
    <row r="30218">
      <c r="B30218" s="309"/>
      <c r="C30218" s="309"/>
      <c r="I30218" s="309"/>
      <c r="J30218" s="309"/>
    </row>
    <row r="30219">
      <c r="B30219" s="309"/>
      <c r="C30219" s="309"/>
      <c r="I30219" s="309"/>
      <c r="J30219" s="309"/>
    </row>
    <row r="30220">
      <c r="B30220" s="309"/>
      <c r="C30220" s="309"/>
      <c r="I30220" s="309"/>
      <c r="J30220" s="309"/>
    </row>
    <row r="30221">
      <c r="B30221" s="309"/>
      <c r="C30221" s="309"/>
      <c r="I30221" s="309"/>
      <c r="J30221" s="309"/>
    </row>
    <row r="30222">
      <c r="B30222" s="309"/>
      <c r="C30222" s="309"/>
      <c r="I30222" s="309"/>
      <c r="J30222" s="309"/>
    </row>
    <row r="30223">
      <c r="B30223" s="309"/>
      <c r="C30223" s="309"/>
      <c r="I30223" s="309"/>
      <c r="J30223" s="309"/>
    </row>
    <row r="30224">
      <c r="B30224" s="309"/>
      <c r="C30224" s="309"/>
      <c r="I30224" s="309"/>
      <c r="J30224" s="309"/>
    </row>
    <row r="30225">
      <c r="B30225" s="309"/>
      <c r="C30225" s="309"/>
      <c r="I30225" s="309"/>
      <c r="J30225" s="309"/>
    </row>
    <row r="30226">
      <c r="B30226" s="309"/>
      <c r="C30226" s="309"/>
      <c r="I30226" s="309"/>
      <c r="J30226" s="309"/>
    </row>
    <row r="30227">
      <c r="B30227" s="309"/>
      <c r="C30227" s="309"/>
      <c r="I30227" s="309"/>
      <c r="J30227" s="309"/>
    </row>
    <row r="30228">
      <c r="B30228" s="309"/>
      <c r="C30228" s="309"/>
      <c r="I30228" s="309"/>
      <c r="J30228" s="309"/>
    </row>
    <row r="30229">
      <c r="B30229" s="309"/>
      <c r="C30229" s="309"/>
      <c r="I30229" s="309"/>
      <c r="J30229" s="309"/>
    </row>
    <row r="30230">
      <c r="B30230" s="309"/>
      <c r="C30230" s="309"/>
      <c r="I30230" s="309"/>
      <c r="J30230" s="309"/>
    </row>
    <row r="30231">
      <c r="B30231" s="309"/>
      <c r="C30231" s="309"/>
      <c r="I30231" s="309"/>
      <c r="J30231" s="309"/>
    </row>
    <row r="30232">
      <c r="B30232" s="309"/>
      <c r="C30232" s="309"/>
      <c r="I30232" s="309"/>
      <c r="J30232" s="309"/>
    </row>
    <row r="30233">
      <c r="B30233" s="309"/>
      <c r="C30233" s="309"/>
      <c r="I30233" s="309"/>
      <c r="J30233" s="309"/>
    </row>
    <row r="30234">
      <c r="B30234" s="309"/>
      <c r="C30234" s="309"/>
      <c r="I30234" s="309"/>
      <c r="J30234" s="309"/>
    </row>
    <row r="30235">
      <c r="B30235" s="309"/>
      <c r="C30235" s="309"/>
      <c r="I30235" s="309"/>
      <c r="J30235" s="309"/>
    </row>
    <row r="30236">
      <c r="B30236" s="309"/>
      <c r="C30236" s="309"/>
      <c r="I30236" s="309"/>
      <c r="J30236" s="309"/>
    </row>
    <row r="30237">
      <c r="B30237" s="309"/>
      <c r="C30237" s="309"/>
      <c r="I30237" s="309"/>
      <c r="J30237" s="309"/>
    </row>
    <row r="30238">
      <c r="B30238" s="309"/>
      <c r="C30238" s="309"/>
      <c r="I30238" s="309"/>
      <c r="J30238" s="309"/>
    </row>
    <row r="30239">
      <c r="B30239" s="309"/>
      <c r="C30239" s="309"/>
      <c r="I30239" s="309"/>
      <c r="J30239" s="309"/>
    </row>
    <row r="30240">
      <c r="B30240" s="309"/>
      <c r="C30240" s="309"/>
      <c r="I30240" s="309"/>
      <c r="J30240" s="309"/>
    </row>
    <row r="30241">
      <c r="B30241" s="309"/>
      <c r="C30241" s="309"/>
      <c r="I30241" s="309"/>
      <c r="J30241" s="309"/>
    </row>
    <row r="30242">
      <c r="B30242" s="309"/>
      <c r="C30242" s="309"/>
      <c r="I30242" s="309"/>
      <c r="J30242" s="309"/>
    </row>
    <row r="30243">
      <c r="B30243" s="309"/>
      <c r="C30243" s="309"/>
      <c r="I30243" s="309"/>
      <c r="J30243" s="309"/>
    </row>
    <row r="30244">
      <c r="B30244" s="309"/>
      <c r="C30244" s="309"/>
      <c r="I30244" s="309"/>
      <c r="J30244" s="309"/>
    </row>
    <row r="30245">
      <c r="B30245" s="309"/>
      <c r="C30245" s="309"/>
      <c r="I30245" s="309"/>
      <c r="J30245" s="309"/>
    </row>
    <row r="30246">
      <c r="B30246" s="309"/>
      <c r="C30246" s="309"/>
      <c r="I30246" s="309"/>
      <c r="J30246" s="309"/>
    </row>
    <row r="30247">
      <c r="B30247" s="309"/>
      <c r="C30247" s="309"/>
      <c r="I30247" s="309"/>
      <c r="J30247" s="309"/>
    </row>
    <row r="30248">
      <c r="B30248" s="309"/>
      <c r="C30248" s="309"/>
      <c r="I30248" s="309"/>
      <c r="J30248" s="309"/>
    </row>
    <row r="30249">
      <c r="B30249" s="309"/>
      <c r="C30249" s="309"/>
      <c r="I30249" s="309"/>
      <c r="J30249" s="309"/>
    </row>
    <row r="30250">
      <c r="B30250" s="309"/>
      <c r="C30250" s="309"/>
      <c r="I30250" s="309"/>
      <c r="J30250" s="309"/>
    </row>
    <row r="30251">
      <c r="B30251" s="309"/>
      <c r="C30251" s="309"/>
      <c r="I30251" s="309"/>
      <c r="J30251" s="309"/>
    </row>
    <row r="30252">
      <c r="B30252" s="309"/>
      <c r="C30252" s="309"/>
      <c r="I30252" s="309"/>
      <c r="J30252" s="309"/>
    </row>
    <row r="30253">
      <c r="B30253" s="309"/>
      <c r="C30253" s="309"/>
      <c r="I30253" s="309"/>
      <c r="J30253" s="309"/>
    </row>
    <row r="30254">
      <c r="B30254" s="309"/>
      <c r="C30254" s="309"/>
      <c r="I30254" s="309"/>
      <c r="J30254" s="309"/>
    </row>
    <row r="30255">
      <c r="B30255" s="309"/>
      <c r="C30255" s="309"/>
      <c r="I30255" s="309"/>
      <c r="J30255" s="309"/>
    </row>
    <row r="30256">
      <c r="B30256" s="309"/>
      <c r="C30256" s="309"/>
      <c r="I30256" s="309"/>
      <c r="J30256" s="309"/>
    </row>
    <row r="30257">
      <c r="B30257" s="309"/>
      <c r="C30257" s="309"/>
      <c r="I30257" s="309"/>
      <c r="J30257" s="309"/>
    </row>
    <row r="30258">
      <c r="B30258" s="309"/>
      <c r="C30258" s="309"/>
      <c r="I30258" s="309"/>
      <c r="J30258" s="309"/>
    </row>
    <row r="30259">
      <c r="B30259" s="309"/>
      <c r="C30259" s="309"/>
      <c r="I30259" s="309"/>
      <c r="J30259" s="309"/>
    </row>
    <row r="30260">
      <c r="B30260" s="309"/>
      <c r="C30260" s="309"/>
      <c r="I30260" s="309"/>
      <c r="J30260" s="309"/>
    </row>
    <row r="30261">
      <c r="B30261" s="309"/>
      <c r="C30261" s="309"/>
      <c r="I30261" s="309"/>
      <c r="J30261" s="309"/>
    </row>
    <row r="30262">
      <c r="B30262" s="309"/>
      <c r="C30262" s="309"/>
      <c r="I30262" s="309"/>
      <c r="J30262" s="309"/>
    </row>
    <row r="30263">
      <c r="B30263" s="309"/>
      <c r="C30263" s="309"/>
      <c r="I30263" s="309"/>
      <c r="J30263" s="309"/>
    </row>
    <row r="30264">
      <c r="B30264" s="309"/>
      <c r="C30264" s="309"/>
      <c r="I30264" s="309"/>
      <c r="J30264" s="309"/>
    </row>
    <row r="30265">
      <c r="B30265" s="309"/>
      <c r="C30265" s="309"/>
      <c r="I30265" s="309"/>
      <c r="J30265" s="309"/>
    </row>
    <row r="30266">
      <c r="B30266" s="309"/>
      <c r="C30266" s="309"/>
      <c r="I30266" s="309"/>
      <c r="J30266" s="309"/>
    </row>
    <row r="30267">
      <c r="B30267" s="309"/>
      <c r="C30267" s="309"/>
      <c r="I30267" s="309"/>
      <c r="J30267" s="309"/>
    </row>
    <row r="30268">
      <c r="B30268" s="309"/>
      <c r="C30268" s="309"/>
      <c r="I30268" s="309"/>
      <c r="J30268" s="309"/>
    </row>
    <row r="30269">
      <c r="B30269" s="309"/>
      <c r="C30269" s="309"/>
      <c r="I30269" s="309"/>
      <c r="J30269" s="309"/>
    </row>
    <row r="30270">
      <c r="B30270" s="309"/>
      <c r="C30270" s="309"/>
      <c r="I30270" s="309"/>
      <c r="J30270" s="309"/>
    </row>
    <row r="30271">
      <c r="B30271" s="309"/>
      <c r="C30271" s="309"/>
      <c r="I30271" s="309"/>
      <c r="J30271" s="309"/>
    </row>
    <row r="30272">
      <c r="B30272" s="309"/>
      <c r="C30272" s="309"/>
      <c r="I30272" s="309"/>
      <c r="J30272" s="309"/>
    </row>
    <row r="30273">
      <c r="B30273" s="309"/>
      <c r="C30273" s="309"/>
      <c r="I30273" s="309"/>
      <c r="J30273" s="309"/>
    </row>
    <row r="30274">
      <c r="B30274" s="309"/>
      <c r="C30274" s="309"/>
      <c r="I30274" s="309"/>
      <c r="J30274" s="309"/>
    </row>
    <row r="30275">
      <c r="B30275" s="309"/>
      <c r="C30275" s="309"/>
      <c r="I30275" s="309"/>
      <c r="J30275" s="309"/>
    </row>
    <row r="30276">
      <c r="B30276" s="309"/>
      <c r="C30276" s="309"/>
      <c r="I30276" s="309"/>
      <c r="J30276" s="309"/>
    </row>
    <row r="30277">
      <c r="B30277" s="309"/>
      <c r="C30277" s="309"/>
      <c r="I30277" s="309"/>
      <c r="J30277" s="309"/>
    </row>
    <row r="30278">
      <c r="B30278" s="309"/>
      <c r="C30278" s="309"/>
      <c r="I30278" s="309"/>
      <c r="J30278" s="309"/>
    </row>
    <row r="30279">
      <c r="B30279" s="309"/>
      <c r="C30279" s="309"/>
      <c r="I30279" s="309"/>
      <c r="J30279" s="309"/>
    </row>
    <row r="30280">
      <c r="B30280" s="309"/>
      <c r="C30280" s="309"/>
      <c r="I30280" s="309"/>
      <c r="J30280" s="309"/>
    </row>
    <row r="30281">
      <c r="B30281" s="309"/>
      <c r="C30281" s="309"/>
      <c r="I30281" s="309"/>
      <c r="J30281" s="309"/>
    </row>
    <row r="30282">
      <c r="B30282" s="309"/>
      <c r="C30282" s="309"/>
      <c r="I30282" s="309"/>
      <c r="J30282" s="309"/>
    </row>
    <row r="30283">
      <c r="B30283" s="309"/>
      <c r="C30283" s="309"/>
      <c r="I30283" s="309"/>
      <c r="J30283" s="309"/>
    </row>
    <row r="30284">
      <c r="B30284" s="309"/>
      <c r="C30284" s="309"/>
      <c r="I30284" s="309"/>
      <c r="J30284" s="309"/>
    </row>
    <row r="30285">
      <c r="B30285" s="309"/>
      <c r="C30285" s="309"/>
      <c r="I30285" s="309"/>
      <c r="J30285" s="309"/>
    </row>
    <row r="30286">
      <c r="B30286" s="309"/>
      <c r="C30286" s="309"/>
      <c r="I30286" s="309"/>
      <c r="J30286" s="309"/>
    </row>
    <row r="30287">
      <c r="B30287" s="309"/>
      <c r="C30287" s="309"/>
      <c r="I30287" s="309"/>
      <c r="J30287" s="309"/>
    </row>
    <row r="30288">
      <c r="B30288" s="309"/>
      <c r="C30288" s="309"/>
      <c r="I30288" s="309"/>
      <c r="J30288" s="309"/>
    </row>
    <row r="30289">
      <c r="B30289" s="309"/>
      <c r="C30289" s="309"/>
      <c r="I30289" s="309"/>
      <c r="J30289" s="309"/>
    </row>
    <row r="30290">
      <c r="B30290" s="309"/>
      <c r="C30290" s="309"/>
      <c r="I30290" s="309"/>
      <c r="J30290" s="309"/>
    </row>
    <row r="30291">
      <c r="B30291" s="309"/>
      <c r="C30291" s="309"/>
      <c r="I30291" s="309"/>
      <c r="J30291" s="309"/>
    </row>
    <row r="30292">
      <c r="B30292" s="309"/>
      <c r="C30292" s="309"/>
      <c r="I30292" s="309"/>
      <c r="J30292" s="309"/>
    </row>
    <row r="30293">
      <c r="B30293" s="309"/>
      <c r="C30293" s="309"/>
      <c r="I30293" s="309"/>
      <c r="J30293" s="309"/>
    </row>
    <row r="30294">
      <c r="B30294" s="309"/>
      <c r="C30294" s="309"/>
      <c r="I30294" s="309"/>
      <c r="J30294" s="309"/>
    </row>
    <row r="30295">
      <c r="B30295" s="309"/>
      <c r="C30295" s="309"/>
      <c r="I30295" s="309"/>
      <c r="J30295" s="309"/>
    </row>
    <row r="30296">
      <c r="B30296" s="309"/>
      <c r="C30296" s="309"/>
      <c r="I30296" s="309"/>
      <c r="J30296" s="309"/>
    </row>
    <row r="30297">
      <c r="B30297" s="309"/>
      <c r="C30297" s="309"/>
      <c r="I30297" s="309"/>
      <c r="J30297" s="309"/>
    </row>
    <row r="30298">
      <c r="B30298" s="309"/>
      <c r="C30298" s="309"/>
      <c r="I30298" s="309"/>
      <c r="J30298" s="309"/>
    </row>
    <row r="30299">
      <c r="B30299" s="309"/>
      <c r="C30299" s="309"/>
      <c r="I30299" s="309"/>
      <c r="J30299" s="309"/>
    </row>
    <row r="30300">
      <c r="B30300" s="309"/>
      <c r="C30300" s="309"/>
      <c r="I30300" s="309"/>
      <c r="J30300" s="309"/>
    </row>
    <row r="30301">
      <c r="B30301" s="309"/>
      <c r="C30301" s="309"/>
      <c r="I30301" s="309"/>
      <c r="J30301" s="309"/>
    </row>
    <row r="30302">
      <c r="B30302" s="309"/>
      <c r="C30302" s="309"/>
      <c r="I30302" s="309"/>
      <c r="J30302" s="309"/>
    </row>
    <row r="30303">
      <c r="B30303" s="309"/>
      <c r="C30303" s="309"/>
      <c r="I30303" s="309"/>
      <c r="J30303" s="309"/>
    </row>
    <row r="30304">
      <c r="B30304" s="309"/>
      <c r="C30304" s="309"/>
      <c r="I30304" s="309"/>
      <c r="J30304" s="309"/>
    </row>
    <row r="30305">
      <c r="B30305" s="309"/>
      <c r="C30305" s="309"/>
      <c r="I30305" s="309"/>
      <c r="J30305" s="309"/>
    </row>
    <row r="30306">
      <c r="B30306" s="309"/>
      <c r="C30306" s="309"/>
      <c r="I30306" s="309"/>
      <c r="J30306" s="309"/>
    </row>
    <row r="30307">
      <c r="B30307" s="309"/>
      <c r="C30307" s="309"/>
      <c r="I30307" s="309"/>
      <c r="J30307" s="309"/>
    </row>
    <row r="30308">
      <c r="B30308" s="309"/>
      <c r="C30308" s="309"/>
      <c r="I30308" s="309"/>
      <c r="J30308" s="309"/>
    </row>
    <row r="30309">
      <c r="B30309" s="309"/>
      <c r="C30309" s="309"/>
      <c r="I30309" s="309"/>
      <c r="J30309" s="309"/>
    </row>
    <row r="30310">
      <c r="B30310" s="309"/>
      <c r="C30310" s="309"/>
      <c r="I30310" s="309"/>
      <c r="J30310" s="309"/>
    </row>
    <row r="30311">
      <c r="B30311" s="309"/>
      <c r="C30311" s="309"/>
      <c r="I30311" s="309"/>
      <c r="J30311" s="309"/>
    </row>
    <row r="30312">
      <c r="B30312" s="309"/>
      <c r="C30312" s="309"/>
      <c r="I30312" s="309"/>
      <c r="J30312" s="309"/>
    </row>
    <row r="30313">
      <c r="B30313" s="309"/>
      <c r="C30313" s="309"/>
      <c r="I30313" s="309"/>
      <c r="J30313" s="309"/>
    </row>
    <row r="30314">
      <c r="B30314" s="309"/>
      <c r="C30314" s="309"/>
      <c r="I30314" s="309"/>
      <c r="J30314" s="309"/>
    </row>
    <row r="30315">
      <c r="B30315" s="309"/>
      <c r="C30315" s="309"/>
      <c r="I30315" s="309"/>
      <c r="J30315" s="309"/>
    </row>
    <row r="30316">
      <c r="B30316" s="309"/>
      <c r="C30316" s="309"/>
      <c r="I30316" s="309"/>
      <c r="J30316" s="309"/>
    </row>
    <row r="30317">
      <c r="B30317" s="309"/>
      <c r="C30317" s="309"/>
      <c r="I30317" s="309"/>
      <c r="J30317" s="309"/>
    </row>
    <row r="30318">
      <c r="B30318" s="309"/>
      <c r="C30318" s="309"/>
      <c r="I30318" s="309"/>
      <c r="J30318" s="309"/>
    </row>
    <row r="30319">
      <c r="B30319" s="309"/>
      <c r="C30319" s="309"/>
      <c r="I30319" s="309"/>
      <c r="J30319" s="309"/>
    </row>
    <row r="30320">
      <c r="B30320" s="309"/>
      <c r="C30320" s="309"/>
      <c r="I30320" s="309"/>
      <c r="J30320" s="309"/>
    </row>
    <row r="30321">
      <c r="B30321" s="309"/>
      <c r="C30321" s="309"/>
      <c r="I30321" s="309"/>
      <c r="J30321" s="309"/>
    </row>
    <row r="30322">
      <c r="B30322" s="309"/>
      <c r="C30322" s="309"/>
      <c r="I30322" s="309"/>
      <c r="J30322" s="309"/>
    </row>
    <row r="30323">
      <c r="B30323" s="309"/>
      <c r="C30323" s="309"/>
      <c r="I30323" s="309"/>
      <c r="J30323" s="309"/>
    </row>
    <row r="30324">
      <c r="B30324" s="309"/>
      <c r="C30324" s="309"/>
      <c r="I30324" s="309"/>
      <c r="J30324" s="309"/>
    </row>
    <row r="30325">
      <c r="B30325" s="309"/>
      <c r="C30325" s="309"/>
      <c r="I30325" s="309"/>
      <c r="J30325" s="309"/>
    </row>
    <row r="30326">
      <c r="B30326" s="309"/>
      <c r="C30326" s="309"/>
      <c r="I30326" s="309"/>
      <c r="J30326" s="309"/>
    </row>
    <row r="30327">
      <c r="B30327" s="309"/>
      <c r="C30327" s="309"/>
      <c r="I30327" s="309"/>
      <c r="J30327" s="309"/>
    </row>
    <row r="30328">
      <c r="B30328" s="309"/>
      <c r="C30328" s="309"/>
      <c r="I30328" s="309"/>
      <c r="J30328" s="309"/>
    </row>
    <row r="30329">
      <c r="B30329" s="309"/>
      <c r="C30329" s="309"/>
      <c r="I30329" s="309"/>
      <c r="J30329" s="309"/>
    </row>
    <row r="30330">
      <c r="B30330" s="309"/>
      <c r="C30330" s="309"/>
      <c r="I30330" s="309"/>
      <c r="J30330" s="309"/>
    </row>
    <row r="30331">
      <c r="B30331" s="309"/>
      <c r="C30331" s="309"/>
      <c r="I30331" s="309"/>
      <c r="J30331" s="309"/>
    </row>
    <row r="30332">
      <c r="B30332" s="309"/>
      <c r="C30332" s="309"/>
      <c r="I30332" s="309"/>
      <c r="J30332" s="309"/>
    </row>
    <row r="30333">
      <c r="B30333" s="309"/>
      <c r="C30333" s="309"/>
      <c r="I30333" s="309"/>
      <c r="J30333" s="309"/>
    </row>
    <row r="30334">
      <c r="B30334" s="309"/>
      <c r="C30334" s="309"/>
      <c r="I30334" s="309"/>
      <c r="J30334" s="309"/>
    </row>
    <row r="30335">
      <c r="B30335" s="309"/>
      <c r="C30335" s="309"/>
      <c r="I30335" s="309"/>
      <c r="J30335" s="309"/>
    </row>
    <row r="30336">
      <c r="B30336" s="309"/>
      <c r="C30336" s="309"/>
      <c r="I30336" s="309"/>
      <c r="J30336" s="309"/>
    </row>
    <row r="30337">
      <c r="B30337" s="309"/>
      <c r="C30337" s="309"/>
      <c r="I30337" s="309"/>
      <c r="J30337" s="309"/>
    </row>
    <row r="30338">
      <c r="B30338" s="309"/>
      <c r="C30338" s="309"/>
      <c r="I30338" s="309"/>
      <c r="J30338" s="309"/>
    </row>
    <row r="30339">
      <c r="B30339" s="309"/>
      <c r="C30339" s="309"/>
      <c r="I30339" s="309"/>
      <c r="J30339" s="309"/>
    </row>
    <row r="30340">
      <c r="B30340" s="309"/>
      <c r="C30340" s="309"/>
      <c r="I30340" s="309"/>
      <c r="J30340" s="309"/>
    </row>
    <row r="30341">
      <c r="B30341" s="309"/>
      <c r="C30341" s="309"/>
      <c r="I30341" s="309"/>
      <c r="J30341" s="309"/>
    </row>
    <row r="30342">
      <c r="B30342" s="309"/>
      <c r="C30342" s="309"/>
      <c r="I30342" s="309"/>
      <c r="J30342" s="309"/>
    </row>
    <row r="30343">
      <c r="B30343" s="309"/>
      <c r="C30343" s="309"/>
      <c r="I30343" s="309"/>
      <c r="J30343" s="309"/>
    </row>
    <row r="30344">
      <c r="B30344" s="309"/>
      <c r="C30344" s="309"/>
      <c r="I30344" s="309"/>
      <c r="J30344" s="309"/>
    </row>
    <row r="30345">
      <c r="B30345" s="309"/>
      <c r="C30345" s="309"/>
      <c r="I30345" s="309"/>
      <c r="J30345" s="309"/>
    </row>
    <row r="30346">
      <c r="B30346" s="309"/>
      <c r="C30346" s="309"/>
      <c r="I30346" s="309"/>
      <c r="J30346" s="309"/>
    </row>
    <row r="30347">
      <c r="B30347" s="309"/>
      <c r="C30347" s="309"/>
      <c r="I30347" s="309"/>
      <c r="J30347" s="309"/>
    </row>
    <row r="30348">
      <c r="B30348" s="309"/>
      <c r="C30348" s="309"/>
      <c r="I30348" s="309"/>
      <c r="J30348" s="309"/>
    </row>
    <row r="30349">
      <c r="B30349" s="309"/>
      <c r="C30349" s="309"/>
      <c r="I30349" s="309"/>
      <c r="J30349" s="309"/>
    </row>
    <row r="30350">
      <c r="B30350" s="309"/>
      <c r="C30350" s="309"/>
      <c r="I30350" s="309"/>
      <c r="J30350" s="309"/>
    </row>
    <row r="30351">
      <c r="B30351" s="309"/>
      <c r="C30351" s="309"/>
      <c r="I30351" s="309"/>
      <c r="J30351" s="309"/>
    </row>
    <row r="30352">
      <c r="B30352" s="309"/>
      <c r="C30352" s="309"/>
      <c r="I30352" s="309"/>
      <c r="J30352" s="309"/>
    </row>
    <row r="30353">
      <c r="B30353" s="309"/>
      <c r="C30353" s="309"/>
      <c r="I30353" s="309"/>
      <c r="J30353" s="309"/>
    </row>
    <row r="30354">
      <c r="B30354" s="309"/>
      <c r="C30354" s="309"/>
      <c r="I30354" s="309"/>
      <c r="J30354" s="309"/>
    </row>
    <row r="30355">
      <c r="B30355" s="309"/>
      <c r="C30355" s="309"/>
      <c r="I30355" s="309"/>
      <c r="J30355" s="309"/>
    </row>
    <row r="30356">
      <c r="B30356" s="309"/>
      <c r="C30356" s="309"/>
      <c r="I30356" s="309"/>
      <c r="J30356" s="309"/>
    </row>
    <row r="30357">
      <c r="B30357" s="309"/>
      <c r="C30357" s="309"/>
      <c r="I30357" s="309"/>
      <c r="J30357" s="309"/>
    </row>
    <row r="30358">
      <c r="B30358" s="309"/>
      <c r="C30358" s="309"/>
      <c r="I30358" s="309"/>
      <c r="J30358" s="309"/>
    </row>
    <row r="30359">
      <c r="B30359" s="309"/>
      <c r="C30359" s="309"/>
      <c r="I30359" s="309"/>
      <c r="J30359" s="309"/>
    </row>
    <row r="30360">
      <c r="B30360" s="309"/>
      <c r="C30360" s="309"/>
      <c r="I30360" s="309"/>
      <c r="J30360" s="309"/>
    </row>
    <row r="30361">
      <c r="B30361" s="309"/>
      <c r="C30361" s="309"/>
      <c r="I30361" s="309"/>
      <c r="J30361" s="309"/>
    </row>
    <row r="30362">
      <c r="B30362" s="309"/>
      <c r="C30362" s="309"/>
      <c r="I30362" s="309"/>
      <c r="J30362" s="309"/>
    </row>
    <row r="30363">
      <c r="B30363" s="309"/>
      <c r="C30363" s="309"/>
      <c r="I30363" s="309"/>
      <c r="J30363" s="309"/>
    </row>
    <row r="30364">
      <c r="B30364" s="309"/>
      <c r="C30364" s="309"/>
      <c r="I30364" s="309"/>
      <c r="J30364" s="309"/>
    </row>
    <row r="30365">
      <c r="B30365" s="309"/>
      <c r="C30365" s="309"/>
      <c r="I30365" s="309"/>
      <c r="J30365" s="309"/>
    </row>
    <row r="30366">
      <c r="B30366" s="309"/>
      <c r="C30366" s="309"/>
      <c r="I30366" s="309"/>
      <c r="J30366" s="309"/>
    </row>
    <row r="30367">
      <c r="B30367" s="309"/>
      <c r="C30367" s="309"/>
      <c r="I30367" s="309"/>
      <c r="J30367" s="309"/>
    </row>
    <row r="30368">
      <c r="B30368" s="309"/>
      <c r="C30368" s="309"/>
      <c r="I30368" s="309"/>
      <c r="J30368" s="309"/>
    </row>
    <row r="30369">
      <c r="B30369" s="309"/>
      <c r="C30369" s="309"/>
      <c r="I30369" s="309"/>
      <c r="J30369" s="309"/>
    </row>
    <row r="30370">
      <c r="B30370" s="309"/>
      <c r="C30370" s="309"/>
      <c r="I30370" s="309"/>
      <c r="J30370" s="309"/>
    </row>
    <row r="30371">
      <c r="B30371" s="309"/>
      <c r="C30371" s="309"/>
      <c r="I30371" s="309"/>
      <c r="J30371" s="309"/>
    </row>
    <row r="30372">
      <c r="B30372" s="309"/>
      <c r="C30372" s="309"/>
      <c r="I30372" s="309"/>
      <c r="J30372" s="309"/>
    </row>
    <row r="30373">
      <c r="B30373" s="309"/>
      <c r="C30373" s="309"/>
      <c r="I30373" s="309"/>
      <c r="J30373" s="309"/>
    </row>
    <row r="30374">
      <c r="B30374" s="309"/>
      <c r="C30374" s="309"/>
      <c r="I30374" s="309"/>
      <c r="J30374" s="309"/>
    </row>
    <row r="30375">
      <c r="B30375" s="309"/>
      <c r="C30375" s="309"/>
      <c r="I30375" s="309"/>
      <c r="J30375" s="309"/>
    </row>
    <row r="30376">
      <c r="B30376" s="309"/>
      <c r="C30376" s="309"/>
      <c r="I30376" s="309"/>
      <c r="J30376" s="309"/>
    </row>
    <row r="30377">
      <c r="B30377" s="309"/>
      <c r="C30377" s="309"/>
      <c r="I30377" s="309"/>
      <c r="J30377" s="309"/>
    </row>
    <row r="30378">
      <c r="B30378" s="309"/>
      <c r="C30378" s="309"/>
      <c r="I30378" s="309"/>
      <c r="J30378" s="309"/>
    </row>
    <row r="30379">
      <c r="B30379" s="309"/>
      <c r="C30379" s="309"/>
      <c r="I30379" s="309"/>
      <c r="J30379" s="309"/>
    </row>
    <row r="30380">
      <c r="B30380" s="309"/>
      <c r="C30380" s="309"/>
      <c r="I30380" s="309"/>
      <c r="J30380" s="309"/>
    </row>
    <row r="30381">
      <c r="B30381" s="309"/>
      <c r="C30381" s="309"/>
      <c r="I30381" s="309"/>
      <c r="J30381" s="309"/>
    </row>
    <row r="30382">
      <c r="B30382" s="309"/>
      <c r="C30382" s="309"/>
      <c r="I30382" s="309"/>
      <c r="J30382" s="309"/>
    </row>
    <row r="30383">
      <c r="B30383" s="309"/>
      <c r="C30383" s="309"/>
      <c r="I30383" s="309"/>
      <c r="J30383" s="309"/>
    </row>
    <row r="30384">
      <c r="B30384" s="309"/>
      <c r="C30384" s="309"/>
      <c r="I30384" s="309"/>
      <c r="J30384" s="309"/>
    </row>
    <row r="30385">
      <c r="B30385" s="309"/>
      <c r="C30385" s="309"/>
      <c r="I30385" s="309"/>
      <c r="J30385" s="309"/>
    </row>
    <row r="30386">
      <c r="B30386" s="309"/>
      <c r="C30386" s="309"/>
      <c r="I30386" s="309"/>
      <c r="J30386" s="309"/>
    </row>
    <row r="30387">
      <c r="B30387" s="309"/>
      <c r="C30387" s="309"/>
      <c r="I30387" s="309"/>
      <c r="J30387" s="309"/>
    </row>
    <row r="30388">
      <c r="B30388" s="309"/>
      <c r="C30388" s="309"/>
      <c r="I30388" s="309"/>
      <c r="J30388" s="309"/>
    </row>
    <row r="30389">
      <c r="B30389" s="309"/>
      <c r="C30389" s="309"/>
      <c r="I30389" s="309"/>
      <c r="J30389" s="309"/>
    </row>
    <row r="30390">
      <c r="B30390" s="309"/>
      <c r="C30390" s="309"/>
      <c r="I30390" s="309"/>
      <c r="J30390" s="309"/>
    </row>
    <row r="30391">
      <c r="B30391" s="309"/>
      <c r="C30391" s="309"/>
      <c r="I30391" s="309"/>
      <c r="J30391" s="309"/>
    </row>
    <row r="30392">
      <c r="B30392" s="309"/>
      <c r="C30392" s="309"/>
      <c r="I30392" s="309"/>
      <c r="J30392" s="309"/>
    </row>
    <row r="30393">
      <c r="B30393" s="309"/>
      <c r="C30393" s="309"/>
      <c r="I30393" s="309"/>
      <c r="J30393" s="309"/>
    </row>
    <row r="30394">
      <c r="B30394" s="309"/>
      <c r="C30394" s="309"/>
      <c r="I30394" s="309"/>
      <c r="J30394" s="309"/>
    </row>
    <row r="30395">
      <c r="B30395" s="309"/>
      <c r="C30395" s="309"/>
      <c r="I30395" s="309"/>
      <c r="J30395" s="309"/>
    </row>
    <row r="30396">
      <c r="B30396" s="309"/>
      <c r="C30396" s="309"/>
      <c r="I30396" s="309"/>
      <c r="J30396" s="309"/>
    </row>
    <row r="30397">
      <c r="B30397" s="309"/>
      <c r="C30397" s="309"/>
      <c r="I30397" s="309"/>
      <c r="J30397" s="309"/>
    </row>
    <row r="30398">
      <c r="B30398" s="309"/>
      <c r="C30398" s="309"/>
      <c r="I30398" s="309"/>
      <c r="J30398" s="309"/>
    </row>
    <row r="30399">
      <c r="B30399" s="309"/>
      <c r="C30399" s="309"/>
      <c r="I30399" s="309"/>
      <c r="J30399" s="309"/>
    </row>
    <row r="30400">
      <c r="B30400" s="309"/>
      <c r="C30400" s="309"/>
      <c r="I30400" s="309"/>
      <c r="J30400" s="309"/>
    </row>
    <row r="30401">
      <c r="B30401" s="309"/>
      <c r="C30401" s="309"/>
      <c r="I30401" s="309"/>
      <c r="J30401" s="309"/>
    </row>
    <row r="30402">
      <c r="B30402" s="309"/>
      <c r="C30402" s="309"/>
      <c r="I30402" s="309"/>
      <c r="J30402" s="309"/>
    </row>
    <row r="30403">
      <c r="B30403" s="309"/>
      <c r="C30403" s="309"/>
      <c r="I30403" s="309"/>
      <c r="J30403" s="309"/>
    </row>
    <row r="30404">
      <c r="B30404" s="309"/>
      <c r="C30404" s="309"/>
      <c r="I30404" s="309"/>
      <c r="J30404" s="309"/>
    </row>
    <row r="30405">
      <c r="B30405" s="309"/>
      <c r="C30405" s="309"/>
      <c r="I30405" s="309"/>
      <c r="J30405" s="309"/>
    </row>
    <row r="30406">
      <c r="B30406" s="309"/>
      <c r="C30406" s="309"/>
      <c r="I30406" s="309"/>
      <c r="J30406" s="309"/>
    </row>
    <row r="30407">
      <c r="B30407" s="309"/>
      <c r="C30407" s="309"/>
      <c r="I30407" s="309"/>
      <c r="J30407" s="309"/>
    </row>
    <row r="30408">
      <c r="B30408" s="309"/>
      <c r="C30408" s="309"/>
      <c r="I30408" s="309"/>
      <c r="J30408" s="309"/>
    </row>
    <row r="30409">
      <c r="B30409" s="309"/>
      <c r="C30409" s="309"/>
      <c r="I30409" s="309"/>
      <c r="J30409" s="309"/>
    </row>
    <row r="30410">
      <c r="B30410" s="309"/>
      <c r="C30410" s="309"/>
      <c r="I30410" s="309"/>
      <c r="J30410" s="309"/>
    </row>
    <row r="30411">
      <c r="B30411" s="309"/>
      <c r="C30411" s="309"/>
      <c r="I30411" s="309"/>
      <c r="J30411" s="309"/>
    </row>
    <row r="30412">
      <c r="B30412" s="309"/>
      <c r="C30412" s="309"/>
      <c r="I30412" s="309"/>
      <c r="J30412" s="309"/>
    </row>
    <row r="30413">
      <c r="B30413" s="309"/>
      <c r="C30413" s="309"/>
      <c r="I30413" s="309"/>
      <c r="J30413" s="309"/>
    </row>
    <row r="30414">
      <c r="B30414" s="309"/>
      <c r="C30414" s="309"/>
      <c r="I30414" s="309"/>
      <c r="J30414" s="309"/>
    </row>
    <row r="30415">
      <c r="B30415" s="309"/>
      <c r="C30415" s="309"/>
      <c r="I30415" s="309"/>
      <c r="J30415" s="309"/>
    </row>
    <row r="30416">
      <c r="B30416" s="309"/>
      <c r="C30416" s="309"/>
      <c r="I30416" s="309"/>
      <c r="J30416" s="309"/>
    </row>
    <row r="30417">
      <c r="B30417" s="309"/>
      <c r="C30417" s="309"/>
      <c r="I30417" s="309"/>
      <c r="J30417" s="309"/>
    </row>
    <row r="30418">
      <c r="B30418" s="309"/>
      <c r="C30418" s="309"/>
      <c r="I30418" s="309"/>
      <c r="J30418" s="309"/>
    </row>
    <row r="30419">
      <c r="B30419" s="309"/>
      <c r="C30419" s="309"/>
      <c r="I30419" s="309"/>
      <c r="J30419" s="309"/>
    </row>
    <row r="30420">
      <c r="B30420" s="309"/>
      <c r="C30420" s="309"/>
      <c r="I30420" s="309"/>
      <c r="J30420" s="309"/>
    </row>
    <row r="30421">
      <c r="B30421" s="309"/>
      <c r="C30421" s="309"/>
      <c r="I30421" s="309"/>
      <c r="J30421" s="309"/>
    </row>
    <row r="30422">
      <c r="B30422" s="309"/>
      <c r="C30422" s="309"/>
      <c r="I30422" s="309"/>
      <c r="J30422" s="309"/>
    </row>
    <row r="30423">
      <c r="B30423" s="309"/>
      <c r="C30423" s="309"/>
      <c r="I30423" s="309"/>
      <c r="J30423" s="309"/>
    </row>
    <row r="30424">
      <c r="B30424" s="309"/>
      <c r="C30424" s="309"/>
      <c r="I30424" s="309"/>
      <c r="J30424" s="309"/>
    </row>
    <row r="30425">
      <c r="B30425" s="309"/>
      <c r="C30425" s="309"/>
      <c r="I30425" s="309"/>
      <c r="J30425" s="309"/>
    </row>
    <row r="30426">
      <c r="B30426" s="309"/>
      <c r="C30426" s="309"/>
      <c r="I30426" s="309"/>
      <c r="J30426" s="309"/>
    </row>
    <row r="30427">
      <c r="B30427" s="309"/>
      <c r="C30427" s="309"/>
      <c r="I30427" s="309"/>
      <c r="J30427" s="309"/>
    </row>
    <row r="30428">
      <c r="B30428" s="309"/>
      <c r="C30428" s="309"/>
      <c r="I30428" s="309"/>
      <c r="J30428" s="309"/>
    </row>
    <row r="30429">
      <c r="B30429" s="309"/>
      <c r="C30429" s="309"/>
      <c r="I30429" s="309"/>
      <c r="J30429" s="309"/>
    </row>
    <row r="30430">
      <c r="B30430" s="309"/>
      <c r="C30430" s="309"/>
      <c r="I30430" s="309"/>
      <c r="J30430" s="309"/>
    </row>
    <row r="30431">
      <c r="B30431" s="309"/>
      <c r="C30431" s="309"/>
      <c r="I30431" s="309"/>
      <c r="J30431" s="309"/>
    </row>
    <row r="30432">
      <c r="B30432" s="309"/>
      <c r="C30432" s="309"/>
      <c r="I30432" s="309"/>
      <c r="J30432" s="309"/>
    </row>
    <row r="30433">
      <c r="B30433" s="309"/>
      <c r="C30433" s="309"/>
      <c r="I30433" s="309"/>
      <c r="J30433" s="309"/>
    </row>
    <row r="30434">
      <c r="B30434" s="309"/>
      <c r="C30434" s="309"/>
      <c r="I30434" s="309"/>
      <c r="J30434" s="309"/>
    </row>
    <row r="30435">
      <c r="B30435" s="309"/>
      <c r="C30435" s="309"/>
      <c r="I30435" s="309"/>
      <c r="J30435" s="309"/>
    </row>
    <row r="30436">
      <c r="B30436" s="309"/>
      <c r="C30436" s="309"/>
      <c r="I30436" s="309"/>
      <c r="J30436" s="309"/>
    </row>
    <row r="30437">
      <c r="B30437" s="309"/>
      <c r="C30437" s="309"/>
      <c r="I30437" s="309"/>
      <c r="J30437" s="309"/>
    </row>
    <row r="30438">
      <c r="B30438" s="309"/>
      <c r="C30438" s="309"/>
      <c r="I30438" s="309"/>
      <c r="J30438" s="309"/>
    </row>
    <row r="30439">
      <c r="B30439" s="309"/>
      <c r="C30439" s="309"/>
      <c r="I30439" s="309"/>
      <c r="J30439" s="309"/>
    </row>
    <row r="30440">
      <c r="B30440" s="309"/>
      <c r="C30440" s="309"/>
      <c r="I30440" s="309"/>
      <c r="J30440" s="309"/>
    </row>
    <row r="30441">
      <c r="B30441" s="309"/>
      <c r="C30441" s="309"/>
      <c r="I30441" s="309"/>
      <c r="J30441" s="309"/>
    </row>
    <row r="30442">
      <c r="B30442" s="309"/>
      <c r="C30442" s="309"/>
      <c r="I30442" s="309"/>
      <c r="J30442" s="309"/>
    </row>
    <row r="30443">
      <c r="B30443" s="309"/>
      <c r="C30443" s="309"/>
      <c r="I30443" s="309"/>
      <c r="J30443" s="309"/>
    </row>
    <row r="30444">
      <c r="B30444" s="309"/>
      <c r="C30444" s="309"/>
      <c r="I30444" s="309"/>
      <c r="J30444" s="309"/>
    </row>
    <row r="30445">
      <c r="B30445" s="309"/>
      <c r="C30445" s="309"/>
      <c r="I30445" s="309"/>
      <c r="J30445" s="309"/>
    </row>
    <row r="30446">
      <c r="B30446" s="309"/>
      <c r="C30446" s="309"/>
      <c r="I30446" s="309"/>
      <c r="J30446" s="309"/>
    </row>
    <row r="30447">
      <c r="B30447" s="309"/>
      <c r="C30447" s="309"/>
      <c r="I30447" s="309"/>
      <c r="J30447" s="309"/>
    </row>
    <row r="30448">
      <c r="B30448" s="309"/>
      <c r="C30448" s="309"/>
      <c r="I30448" s="309"/>
      <c r="J30448" s="309"/>
    </row>
    <row r="30449">
      <c r="B30449" s="309"/>
      <c r="C30449" s="309"/>
      <c r="I30449" s="309"/>
      <c r="J30449" s="309"/>
    </row>
    <row r="30450">
      <c r="B30450" s="309"/>
      <c r="C30450" s="309"/>
      <c r="I30450" s="309"/>
      <c r="J30450" s="309"/>
    </row>
    <row r="30451">
      <c r="B30451" s="309"/>
      <c r="C30451" s="309"/>
      <c r="I30451" s="309"/>
      <c r="J30451" s="309"/>
    </row>
    <row r="30452">
      <c r="B30452" s="309"/>
      <c r="C30452" s="309"/>
      <c r="I30452" s="309"/>
      <c r="J30452" s="309"/>
    </row>
    <row r="30453">
      <c r="B30453" s="309"/>
      <c r="C30453" s="309"/>
      <c r="I30453" s="309"/>
      <c r="J30453" s="309"/>
    </row>
    <row r="30454">
      <c r="B30454" s="309"/>
      <c r="C30454" s="309"/>
      <c r="I30454" s="309"/>
      <c r="J30454" s="309"/>
    </row>
    <row r="30455">
      <c r="B30455" s="309"/>
      <c r="C30455" s="309"/>
      <c r="I30455" s="309"/>
      <c r="J30455" s="309"/>
    </row>
    <row r="30456">
      <c r="B30456" s="309"/>
      <c r="C30456" s="309"/>
      <c r="I30456" s="309"/>
      <c r="J30456" s="309"/>
    </row>
    <row r="30457">
      <c r="B30457" s="309"/>
      <c r="C30457" s="309"/>
      <c r="I30457" s="309"/>
      <c r="J30457" s="309"/>
    </row>
    <row r="30458">
      <c r="B30458" s="309"/>
      <c r="C30458" s="309"/>
      <c r="I30458" s="309"/>
      <c r="J30458" s="309"/>
    </row>
    <row r="30459">
      <c r="B30459" s="309"/>
      <c r="C30459" s="309"/>
      <c r="I30459" s="309"/>
      <c r="J30459" s="309"/>
    </row>
    <row r="30460">
      <c r="B30460" s="309"/>
      <c r="C30460" s="309"/>
      <c r="I30460" s="309"/>
      <c r="J30460" s="309"/>
    </row>
    <row r="30461">
      <c r="B30461" s="309"/>
      <c r="C30461" s="309"/>
      <c r="I30461" s="309"/>
      <c r="J30461" s="309"/>
    </row>
    <row r="30462">
      <c r="B30462" s="309"/>
      <c r="C30462" s="309"/>
      <c r="I30462" s="309"/>
      <c r="J30462" s="309"/>
    </row>
    <row r="30463">
      <c r="B30463" s="309"/>
      <c r="C30463" s="309"/>
      <c r="I30463" s="309"/>
      <c r="J30463" s="309"/>
    </row>
    <row r="30464">
      <c r="B30464" s="309"/>
      <c r="C30464" s="309"/>
      <c r="I30464" s="309"/>
      <c r="J30464" s="309"/>
    </row>
    <row r="30465">
      <c r="B30465" s="309"/>
      <c r="C30465" s="309"/>
      <c r="I30465" s="309"/>
      <c r="J30465" s="309"/>
    </row>
    <row r="30466">
      <c r="B30466" s="309"/>
      <c r="C30466" s="309"/>
      <c r="I30466" s="309"/>
      <c r="J30466" s="309"/>
    </row>
    <row r="30467">
      <c r="B30467" s="309"/>
      <c r="C30467" s="309"/>
      <c r="I30467" s="309"/>
      <c r="J30467" s="309"/>
    </row>
    <row r="30468">
      <c r="B30468" s="309"/>
      <c r="C30468" s="309"/>
      <c r="I30468" s="309"/>
      <c r="J30468" s="309"/>
    </row>
    <row r="30469">
      <c r="B30469" s="309"/>
      <c r="C30469" s="309"/>
      <c r="I30469" s="309"/>
      <c r="J30469" s="309"/>
    </row>
    <row r="30470">
      <c r="B30470" s="309"/>
      <c r="C30470" s="309"/>
      <c r="I30470" s="309"/>
      <c r="J30470" s="309"/>
    </row>
    <row r="30471">
      <c r="B30471" s="309"/>
      <c r="C30471" s="309"/>
      <c r="I30471" s="309"/>
      <c r="J30471" s="309"/>
    </row>
    <row r="30472">
      <c r="B30472" s="309"/>
      <c r="C30472" s="309"/>
      <c r="I30472" s="309"/>
      <c r="J30472" s="309"/>
    </row>
    <row r="30473">
      <c r="B30473" s="309"/>
      <c r="C30473" s="309"/>
      <c r="I30473" s="309"/>
      <c r="J30473" s="309"/>
    </row>
    <row r="30474">
      <c r="B30474" s="309"/>
      <c r="C30474" s="309"/>
      <c r="I30474" s="309"/>
      <c r="J30474" s="309"/>
    </row>
    <row r="30475">
      <c r="B30475" s="309"/>
      <c r="C30475" s="309"/>
      <c r="I30475" s="309"/>
      <c r="J30475" s="309"/>
    </row>
    <row r="30476">
      <c r="B30476" s="309"/>
      <c r="C30476" s="309"/>
      <c r="I30476" s="309"/>
      <c r="J30476" s="309"/>
    </row>
    <row r="30477">
      <c r="B30477" s="309"/>
      <c r="C30477" s="309"/>
      <c r="I30477" s="309"/>
      <c r="J30477" s="309"/>
    </row>
    <row r="30478">
      <c r="B30478" s="309"/>
      <c r="C30478" s="309"/>
      <c r="I30478" s="309"/>
      <c r="J30478" s="309"/>
    </row>
    <row r="30479">
      <c r="B30479" s="309"/>
      <c r="C30479" s="309"/>
      <c r="I30479" s="309"/>
      <c r="J30479" s="309"/>
    </row>
    <row r="30480">
      <c r="B30480" s="309"/>
      <c r="C30480" s="309"/>
      <c r="I30480" s="309"/>
      <c r="J30480" s="309"/>
    </row>
    <row r="30481">
      <c r="B30481" s="309"/>
      <c r="C30481" s="309"/>
      <c r="I30481" s="309"/>
      <c r="J30481" s="309"/>
    </row>
    <row r="30482">
      <c r="B30482" s="309"/>
      <c r="C30482" s="309"/>
      <c r="I30482" s="309"/>
      <c r="J30482" s="309"/>
    </row>
    <row r="30483">
      <c r="B30483" s="309"/>
      <c r="C30483" s="309"/>
      <c r="I30483" s="309"/>
      <c r="J30483" s="309"/>
    </row>
    <row r="30484">
      <c r="B30484" s="309"/>
      <c r="C30484" s="309"/>
      <c r="I30484" s="309"/>
      <c r="J30484" s="309"/>
    </row>
    <row r="30485">
      <c r="B30485" s="309"/>
      <c r="C30485" s="309"/>
      <c r="I30485" s="309"/>
      <c r="J30485" s="309"/>
    </row>
    <row r="30486">
      <c r="B30486" s="309"/>
      <c r="C30486" s="309"/>
      <c r="I30486" s="309"/>
      <c r="J30486" s="309"/>
    </row>
    <row r="30487">
      <c r="B30487" s="309"/>
      <c r="C30487" s="309"/>
      <c r="I30487" s="309"/>
      <c r="J30487" s="309"/>
    </row>
    <row r="30488">
      <c r="B30488" s="309"/>
      <c r="C30488" s="309"/>
      <c r="I30488" s="309"/>
      <c r="J30488" s="309"/>
    </row>
    <row r="30489">
      <c r="B30489" s="309"/>
      <c r="C30489" s="309"/>
      <c r="I30489" s="309"/>
      <c r="J30489" s="309"/>
    </row>
    <row r="30490">
      <c r="B30490" s="309"/>
      <c r="C30490" s="309"/>
      <c r="I30490" s="309"/>
      <c r="J30490" s="309"/>
    </row>
    <row r="30491">
      <c r="B30491" s="309"/>
      <c r="C30491" s="309"/>
      <c r="I30491" s="309"/>
      <c r="J30491" s="309"/>
    </row>
    <row r="30492">
      <c r="B30492" s="309"/>
      <c r="C30492" s="309"/>
      <c r="I30492" s="309"/>
      <c r="J30492" s="309"/>
    </row>
    <row r="30493">
      <c r="B30493" s="309"/>
      <c r="C30493" s="309"/>
      <c r="I30493" s="309"/>
      <c r="J30493" s="309"/>
    </row>
    <row r="30494">
      <c r="B30494" s="309"/>
      <c r="C30494" s="309"/>
      <c r="I30494" s="309"/>
      <c r="J30494" s="309"/>
    </row>
    <row r="30495">
      <c r="B30495" s="309"/>
      <c r="C30495" s="309"/>
      <c r="I30495" s="309"/>
      <c r="J30495" s="309"/>
    </row>
    <row r="30496">
      <c r="B30496" s="309"/>
      <c r="C30496" s="309"/>
      <c r="I30496" s="309"/>
      <c r="J30496" s="309"/>
    </row>
    <row r="30497">
      <c r="B30497" s="309"/>
      <c r="C30497" s="309"/>
      <c r="I30497" s="309"/>
      <c r="J30497" s="309"/>
    </row>
    <row r="30498">
      <c r="B30498" s="309"/>
      <c r="C30498" s="309"/>
      <c r="I30498" s="309"/>
      <c r="J30498" s="309"/>
    </row>
    <row r="30499">
      <c r="B30499" s="309"/>
      <c r="C30499" s="309"/>
      <c r="I30499" s="309"/>
      <c r="J30499" s="309"/>
    </row>
    <row r="30500">
      <c r="B30500" s="309"/>
      <c r="C30500" s="309"/>
      <c r="I30500" s="309"/>
      <c r="J30500" s="309"/>
    </row>
    <row r="30501">
      <c r="B30501" s="309"/>
      <c r="C30501" s="309"/>
      <c r="I30501" s="309"/>
      <c r="J30501" s="309"/>
    </row>
    <row r="30502">
      <c r="B30502" s="309"/>
      <c r="C30502" s="309"/>
      <c r="I30502" s="309"/>
      <c r="J30502" s="309"/>
    </row>
    <row r="30503">
      <c r="B30503" s="309"/>
      <c r="C30503" s="309"/>
      <c r="I30503" s="309"/>
      <c r="J30503" s="309"/>
    </row>
    <row r="30504">
      <c r="B30504" s="309"/>
      <c r="C30504" s="309"/>
      <c r="I30504" s="309"/>
      <c r="J30504" s="309"/>
    </row>
    <row r="30505">
      <c r="B30505" s="309"/>
      <c r="C30505" s="309"/>
      <c r="I30505" s="309"/>
      <c r="J30505" s="309"/>
    </row>
    <row r="30506">
      <c r="B30506" s="309"/>
      <c r="C30506" s="309"/>
      <c r="I30506" s="309"/>
      <c r="J30506" s="309"/>
    </row>
    <row r="30507">
      <c r="B30507" s="309"/>
      <c r="C30507" s="309"/>
      <c r="I30507" s="309"/>
      <c r="J30507" s="309"/>
    </row>
    <row r="30508">
      <c r="B30508" s="309"/>
      <c r="C30508" s="309"/>
      <c r="I30508" s="309"/>
      <c r="J30508" s="309"/>
    </row>
    <row r="30509">
      <c r="B30509" s="309"/>
      <c r="C30509" s="309"/>
      <c r="I30509" s="309"/>
      <c r="J30509" s="309"/>
    </row>
    <row r="30510">
      <c r="B30510" s="309"/>
      <c r="C30510" s="309"/>
      <c r="I30510" s="309"/>
      <c r="J30510" s="309"/>
    </row>
    <row r="30511">
      <c r="B30511" s="309"/>
      <c r="C30511" s="309"/>
      <c r="I30511" s="309"/>
      <c r="J30511" s="309"/>
    </row>
    <row r="30512">
      <c r="B30512" s="309"/>
      <c r="C30512" s="309"/>
      <c r="I30512" s="309"/>
      <c r="J30512" s="309"/>
    </row>
    <row r="30513">
      <c r="B30513" s="309"/>
      <c r="C30513" s="309"/>
      <c r="I30513" s="309"/>
      <c r="J30513" s="309"/>
    </row>
    <row r="30514">
      <c r="B30514" s="309"/>
      <c r="C30514" s="309"/>
      <c r="I30514" s="309"/>
      <c r="J30514" s="309"/>
    </row>
    <row r="30515">
      <c r="B30515" s="309"/>
      <c r="C30515" s="309"/>
      <c r="I30515" s="309"/>
      <c r="J30515" s="309"/>
    </row>
    <row r="30516">
      <c r="B30516" s="309"/>
      <c r="C30516" s="309"/>
      <c r="I30516" s="309"/>
      <c r="J30516" s="309"/>
    </row>
    <row r="30517">
      <c r="B30517" s="309"/>
      <c r="C30517" s="309"/>
      <c r="I30517" s="309"/>
      <c r="J30517" s="309"/>
    </row>
    <row r="30518">
      <c r="B30518" s="309"/>
      <c r="C30518" s="309"/>
      <c r="I30518" s="309"/>
      <c r="J30518" s="309"/>
    </row>
    <row r="30519">
      <c r="B30519" s="309"/>
      <c r="C30519" s="309"/>
      <c r="I30519" s="309"/>
      <c r="J30519" s="309"/>
    </row>
    <row r="30520">
      <c r="B30520" s="309"/>
      <c r="C30520" s="309"/>
      <c r="I30520" s="309"/>
      <c r="J30520" s="309"/>
    </row>
    <row r="30521">
      <c r="B30521" s="309"/>
      <c r="C30521" s="309"/>
      <c r="I30521" s="309"/>
      <c r="J30521" s="309"/>
    </row>
    <row r="30522">
      <c r="B30522" s="309"/>
      <c r="C30522" s="309"/>
      <c r="I30522" s="309"/>
      <c r="J30522" s="309"/>
    </row>
    <row r="30523">
      <c r="B30523" s="309"/>
      <c r="C30523" s="309"/>
      <c r="I30523" s="309"/>
      <c r="J30523" s="309"/>
    </row>
    <row r="30524">
      <c r="B30524" s="309"/>
      <c r="C30524" s="309"/>
      <c r="I30524" s="309"/>
      <c r="J30524" s="309"/>
    </row>
    <row r="30525">
      <c r="B30525" s="309"/>
      <c r="C30525" s="309"/>
      <c r="I30525" s="309"/>
      <c r="J30525" s="309"/>
    </row>
    <row r="30526">
      <c r="B30526" s="309"/>
      <c r="C30526" s="309"/>
      <c r="I30526" s="309"/>
      <c r="J30526" s="309"/>
    </row>
    <row r="30527">
      <c r="B30527" s="309"/>
      <c r="C30527" s="309"/>
      <c r="I30527" s="309"/>
      <c r="J30527" s="309"/>
    </row>
    <row r="30528">
      <c r="B30528" s="309"/>
      <c r="C30528" s="309"/>
      <c r="I30528" s="309"/>
      <c r="J30528" s="309"/>
    </row>
    <row r="30529">
      <c r="B30529" s="309"/>
      <c r="C30529" s="309"/>
      <c r="I30529" s="309"/>
      <c r="J30529" s="309"/>
    </row>
    <row r="30530">
      <c r="B30530" s="309"/>
      <c r="C30530" s="309"/>
      <c r="I30530" s="309"/>
      <c r="J30530" s="309"/>
    </row>
    <row r="30531">
      <c r="B30531" s="309"/>
      <c r="C30531" s="309"/>
      <c r="I30531" s="309"/>
      <c r="J30531" s="309"/>
    </row>
    <row r="30532">
      <c r="B30532" s="309"/>
      <c r="C30532" s="309"/>
      <c r="I30532" s="309"/>
      <c r="J30532" s="309"/>
    </row>
    <row r="30533">
      <c r="B30533" s="309"/>
      <c r="C30533" s="309"/>
      <c r="I30533" s="309"/>
      <c r="J30533" s="309"/>
    </row>
    <row r="30534">
      <c r="B30534" s="309"/>
      <c r="C30534" s="309"/>
      <c r="I30534" s="309"/>
      <c r="J30534" s="309"/>
    </row>
    <row r="30535">
      <c r="B30535" s="309"/>
      <c r="C30535" s="309"/>
      <c r="I30535" s="309"/>
      <c r="J30535" s="309"/>
    </row>
    <row r="30536">
      <c r="B30536" s="309"/>
      <c r="C30536" s="309"/>
      <c r="I30536" s="309"/>
      <c r="J30536" s="309"/>
    </row>
    <row r="30537">
      <c r="B30537" s="309"/>
      <c r="C30537" s="309"/>
      <c r="I30537" s="309"/>
      <c r="J30537" s="309"/>
    </row>
    <row r="30538">
      <c r="B30538" s="309"/>
      <c r="C30538" s="309"/>
      <c r="I30538" s="309"/>
      <c r="J30538" s="309"/>
    </row>
    <row r="30539">
      <c r="B30539" s="309"/>
      <c r="C30539" s="309"/>
      <c r="I30539" s="309"/>
      <c r="J30539" s="309"/>
    </row>
    <row r="30540">
      <c r="B30540" s="309"/>
      <c r="C30540" s="309"/>
      <c r="I30540" s="309"/>
      <c r="J30540" s="309"/>
    </row>
    <row r="30541">
      <c r="B30541" s="309"/>
      <c r="C30541" s="309"/>
      <c r="I30541" s="309"/>
      <c r="J30541" s="309"/>
    </row>
    <row r="30542">
      <c r="B30542" s="309"/>
      <c r="C30542" s="309"/>
      <c r="I30542" s="309"/>
      <c r="J30542" s="309"/>
    </row>
    <row r="30543">
      <c r="B30543" s="309"/>
      <c r="C30543" s="309"/>
      <c r="I30543" s="309"/>
      <c r="J30543" s="309"/>
    </row>
    <row r="30544">
      <c r="B30544" s="309"/>
      <c r="C30544" s="309"/>
      <c r="I30544" s="309"/>
      <c r="J30544" s="309"/>
    </row>
    <row r="30545">
      <c r="B30545" s="309"/>
      <c r="C30545" s="309"/>
      <c r="I30545" s="309"/>
      <c r="J30545" s="309"/>
    </row>
    <row r="30546">
      <c r="B30546" s="309"/>
      <c r="C30546" s="309"/>
      <c r="I30546" s="309"/>
      <c r="J30546" s="309"/>
    </row>
    <row r="30547">
      <c r="B30547" s="309"/>
      <c r="C30547" s="309"/>
      <c r="I30547" s="309"/>
      <c r="J30547" s="309"/>
    </row>
    <row r="30548">
      <c r="B30548" s="309"/>
      <c r="C30548" s="309"/>
      <c r="I30548" s="309"/>
      <c r="J30548" s="309"/>
    </row>
    <row r="30549">
      <c r="B30549" s="309"/>
      <c r="C30549" s="309"/>
      <c r="I30549" s="309"/>
      <c r="J30549" s="309"/>
    </row>
    <row r="30550">
      <c r="B30550" s="309"/>
      <c r="C30550" s="309"/>
      <c r="I30550" s="309"/>
      <c r="J30550" s="309"/>
    </row>
    <row r="30551">
      <c r="B30551" s="309"/>
      <c r="C30551" s="309"/>
      <c r="I30551" s="309"/>
      <c r="J30551" s="309"/>
    </row>
    <row r="30552">
      <c r="B30552" s="309"/>
      <c r="C30552" s="309"/>
      <c r="I30552" s="309"/>
      <c r="J30552" s="309"/>
    </row>
    <row r="30553">
      <c r="B30553" s="309"/>
      <c r="C30553" s="309"/>
      <c r="I30553" s="309"/>
      <c r="J30553" s="309"/>
    </row>
    <row r="30554">
      <c r="B30554" s="309"/>
      <c r="C30554" s="309"/>
      <c r="I30554" s="309"/>
      <c r="J30554" s="309"/>
    </row>
    <row r="30555">
      <c r="B30555" s="309"/>
      <c r="C30555" s="309"/>
      <c r="I30555" s="309"/>
      <c r="J30555" s="309"/>
    </row>
    <row r="30556">
      <c r="B30556" s="309"/>
      <c r="C30556" s="309"/>
      <c r="I30556" s="309"/>
      <c r="J30556" s="309"/>
    </row>
    <row r="30557">
      <c r="B30557" s="309"/>
      <c r="C30557" s="309"/>
      <c r="I30557" s="309"/>
      <c r="J30557" s="309"/>
    </row>
    <row r="30558">
      <c r="B30558" s="309"/>
      <c r="C30558" s="309"/>
      <c r="I30558" s="309"/>
      <c r="J30558" s="309"/>
    </row>
    <row r="30559">
      <c r="B30559" s="309"/>
      <c r="C30559" s="309"/>
      <c r="I30559" s="309"/>
      <c r="J30559" s="309"/>
    </row>
    <row r="30560">
      <c r="B30560" s="309"/>
      <c r="C30560" s="309"/>
      <c r="I30560" s="309"/>
      <c r="J30560" s="309"/>
    </row>
    <row r="30561">
      <c r="B30561" s="309"/>
      <c r="C30561" s="309"/>
      <c r="I30561" s="309"/>
      <c r="J30561" s="309"/>
    </row>
    <row r="30562">
      <c r="B30562" s="309"/>
      <c r="C30562" s="309"/>
      <c r="I30562" s="309"/>
      <c r="J30562" s="309"/>
    </row>
    <row r="30563">
      <c r="B30563" s="309"/>
      <c r="C30563" s="309"/>
      <c r="I30563" s="309"/>
      <c r="J30563" s="309"/>
    </row>
    <row r="30564">
      <c r="B30564" s="309"/>
      <c r="C30564" s="309"/>
      <c r="I30564" s="309"/>
      <c r="J30564" s="309"/>
    </row>
    <row r="30565">
      <c r="B30565" s="309"/>
      <c r="C30565" s="309"/>
      <c r="I30565" s="309"/>
      <c r="J30565" s="309"/>
    </row>
    <row r="30566">
      <c r="B30566" s="309"/>
      <c r="C30566" s="309"/>
      <c r="I30566" s="309"/>
      <c r="J30566" s="309"/>
    </row>
    <row r="30567">
      <c r="B30567" s="309"/>
      <c r="C30567" s="309"/>
      <c r="I30567" s="309"/>
      <c r="J30567" s="309"/>
    </row>
    <row r="30568">
      <c r="B30568" s="309"/>
      <c r="C30568" s="309"/>
      <c r="I30568" s="309"/>
      <c r="J30568" s="309"/>
    </row>
    <row r="30569">
      <c r="B30569" s="309"/>
      <c r="C30569" s="309"/>
      <c r="I30569" s="309"/>
      <c r="J30569" s="309"/>
    </row>
    <row r="30570">
      <c r="B30570" s="309"/>
      <c r="C30570" s="309"/>
      <c r="I30570" s="309"/>
      <c r="J30570" s="309"/>
    </row>
    <row r="30571">
      <c r="B30571" s="309"/>
      <c r="C30571" s="309"/>
      <c r="I30571" s="309"/>
      <c r="J30571" s="309"/>
    </row>
    <row r="30572">
      <c r="B30572" s="309"/>
      <c r="C30572" s="309"/>
      <c r="I30572" s="309"/>
      <c r="J30572" s="309"/>
    </row>
    <row r="30573">
      <c r="B30573" s="309"/>
      <c r="C30573" s="309"/>
      <c r="I30573" s="309"/>
      <c r="J30573" s="309"/>
    </row>
    <row r="30574">
      <c r="B30574" s="309"/>
      <c r="C30574" s="309"/>
      <c r="I30574" s="309"/>
      <c r="J30574" s="309"/>
    </row>
    <row r="30575">
      <c r="B30575" s="309"/>
      <c r="C30575" s="309"/>
      <c r="I30575" s="309"/>
      <c r="J30575" s="309"/>
    </row>
    <row r="30576">
      <c r="B30576" s="309"/>
      <c r="C30576" s="309"/>
      <c r="I30576" s="309"/>
      <c r="J30576" s="309"/>
    </row>
    <row r="30577">
      <c r="B30577" s="309"/>
      <c r="C30577" s="309"/>
      <c r="I30577" s="309"/>
      <c r="J30577" s="309"/>
    </row>
    <row r="30578">
      <c r="B30578" s="309"/>
      <c r="C30578" s="309"/>
      <c r="I30578" s="309"/>
      <c r="J30578" s="309"/>
    </row>
    <row r="30579">
      <c r="B30579" s="309"/>
      <c r="C30579" s="309"/>
      <c r="I30579" s="309"/>
      <c r="J30579" s="309"/>
    </row>
    <row r="30580">
      <c r="B30580" s="309"/>
      <c r="C30580" s="309"/>
      <c r="I30580" s="309"/>
      <c r="J30580" s="309"/>
    </row>
    <row r="30581">
      <c r="B30581" s="309"/>
      <c r="C30581" s="309"/>
      <c r="I30581" s="309"/>
      <c r="J30581" s="309"/>
    </row>
    <row r="30582">
      <c r="B30582" s="309"/>
      <c r="C30582" s="309"/>
      <c r="I30582" s="309"/>
      <c r="J30582" s="309"/>
    </row>
    <row r="30583">
      <c r="B30583" s="309"/>
      <c r="C30583" s="309"/>
      <c r="I30583" s="309"/>
      <c r="J30583" s="309"/>
    </row>
    <row r="30584">
      <c r="B30584" s="309"/>
      <c r="C30584" s="309"/>
      <c r="I30584" s="309"/>
      <c r="J30584" s="309"/>
    </row>
    <row r="30585">
      <c r="B30585" s="309"/>
      <c r="C30585" s="309"/>
      <c r="I30585" s="309"/>
      <c r="J30585" s="309"/>
    </row>
    <row r="30586">
      <c r="B30586" s="309"/>
      <c r="C30586" s="309"/>
      <c r="I30586" s="309"/>
      <c r="J30586" s="309"/>
    </row>
    <row r="30587">
      <c r="B30587" s="309"/>
      <c r="C30587" s="309"/>
      <c r="I30587" s="309"/>
      <c r="J30587" s="309"/>
    </row>
    <row r="30588">
      <c r="B30588" s="309"/>
      <c r="C30588" s="309"/>
      <c r="I30588" s="309"/>
      <c r="J30588" s="309"/>
    </row>
    <row r="30589">
      <c r="B30589" s="309"/>
      <c r="C30589" s="309"/>
      <c r="I30589" s="309"/>
      <c r="J30589" s="309"/>
    </row>
    <row r="30590">
      <c r="B30590" s="309"/>
      <c r="C30590" s="309"/>
      <c r="I30590" s="309"/>
      <c r="J30590" s="309"/>
    </row>
    <row r="30591">
      <c r="B30591" s="309"/>
      <c r="C30591" s="309"/>
      <c r="I30591" s="309"/>
      <c r="J30591" s="309"/>
    </row>
    <row r="30592">
      <c r="B30592" s="309"/>
      <c r="C30592" s="309"/>
      <c r="I30592" s="309"/>
      <c r="J30592" s="309"/>
    </row>
    <row r="30593">
      <c r="B30593" s="309"/>
      <c r="C30593" s="309"/>
      <c r="I30593" s="309"/>
      <c r="J30593" s="309"/>
    </row>
    <row r="30594">
      <c r="B30594" s="309"/>
      <c r="C30594" s="309"/>
      <c r="I30594" s="309"/>
      <c r="J30594" s="309"/>
    </row>
    <row r="30595">
      <c r="B30595" s="309"/>
      <c r="C30595" s="309"/>
      <c r="I30595" s="309"/>
      <c r="J30595" s="309"/>
    </row>
    <row r="30596">
      <c r="B30596" s="309"/>
      <c r="C30596" s="309"/>
      <c r="I30596" s="309"/>
      <c r="J30596" s="309"/>
    </row>
    <row r="30597">
      <c r="B30597" s="309"/>
      <c r="C30597" s="309"/>
      <c r="I30597" s="309"/>
      <c r="J30597" s="309"/>
    </row>
    <row r="30598">
      <c r="B30598" s="309"/>
      <c r="C30598" s="309"/>
      <c r="I30598" s="309"/>
      <c r="J30598" s="309"/>
    </row>
    <row r="30599">
      <c r="B30599" s="309"/>
      <c r="C30599" s="309"/>
      <c r="I30599" s="309"/>
      <c r="J30599" s="309"/>
    </row>
    <row r="30600">
      <c r="B30600" s="309"/>
      <c r="C30600" s="309"/>
      <c r="I30600" s="309"/>
      <c r="J30600" s="309"/>
    </row>
    <row r="30601">
      <c r="B30601" s="309"/>
      <c r="C30601" s="309"/>
      <c r="I30601" s="309"/>
      <c r="J30601" s="309"/>
    </row>
    <row r="30602">
      <c r="B30602" s="309"/>
      <c r="C30602" s="309"/>
      <c r="I30602" s="309"/>
      <c r="J30602" s="309"/>
    </row>
    <row r="30603">
      <c r="B30603" s="309"/>
      <c r="C30603" s="309"/>
      <c r="I30603" s="309"/>
      <c r="J30603" s="309"/>
    </row>
    <row r="30604">
      <c r="B30604" s="309"/>
      <c r="C30604" s="309"/>
      <c r="I30604" s="309"/>
      <c r="J30604" s="309"/>
    </row>
    <row r="30605">
      <c r="B30605" s="309"/>
      <c r="C30605" s="309"/>
      <c r="I30605" s="309"/>
      <c r="J30605" s="309"/>
    </row>
    <row r="30606">
      <c r="B30606" s="309"/>
      <c r="C30606" s="309"/>
      <c r="I30606" s="309"/>
      <c r="J30606" s="309"/>
    </row>
    <row r="30607">
      <c r="B30607" s="309"/>
      <c r="C30607" s="309"/>
      <c r="I30607" s="309"/>
      <c r="J30607" s="309"/>
    </row>
    <row r="30608">
      <c r="B30608" s="309"/>
      <c r="C30608" s="309"/>
      <c r="I30608" s="309"/>
      <c r="J30608" s="309"/>
    </row>
    <row r="30609">
      <c r="B30609" s="309"/>
      <c r="C30609" s="309"/>
      <c r="I30609" s="309"/>
      <c r="J30609" s="309"/>
    </row>
    <row r="30610">
      <c r="B30610" s="309"/>
      <c r="C30610" s="309"/>
      <c r="I30610" s="309"/>
      <c r="J30610" s="309"/>
    </row>
    <row r="30611">
      <c r="B30611" s="309"/>
      <c r="C30611" s="309"/>
      <c r="I30611" s="309"/>
      <c r="J30611" s="309"/>
    </row>
    <row r="30612">
      <c r="B30612" s="309"/>
      <c r="C30612" s="309"/>
      <c r="I30612" s="309"/>
      <c r="J30612" s="309"/>
    </row>
    <row r="30613">
      <c r="B30613" s="309"/>
      <c r="C30613" s="309"/>
      <c r="I30613" s="309"/>
      <c r="J30613" s="309"/>
    </row>
    <row r="30614">
      <c r="B30614" s="309"/>
      <c r="C30614" s="309"/>
      <c r="I30614" s="309"/>
      <c r="J30614" s="309"/>
    </row>
    <row r="30615">
      <c r="B30615" s="309"/>
      <c r="C30615" s="309"/>
      <c r="I30615" s="309"/>
      <c r="J30615" s="309"/>
    </row>
    <row r="30616">
      <c r="B30616" s="309"/>
      <c r="C30616" s="309"/>
      <c r="I30616" s="309"/>
      <c r="J30616" s="309"/>
    </row>
    <row r="30617">
      <c r="B30617" s="309"/>
      <c r="C30617" s="309"/>
      <c r="I30617" s="309"/>
      <c r="J30617" s="309"/>
    </row>
    <row r="30618">
      <c r="B30618" s="309"/>
      <c r="C30618" s="309"/>
      <c r="I30618" s="309"/>
      <c r="J30618" s="309"/>
    </row>
    <row r="30619">
      <c r="B30619" s="309"/>
      <c r="C30619" s="309"/>
      <c r="I30619" s="309"/>
      <c r="J30619" s="309"/>
    </row>
    <row r="30620">
      <c r="B30620" s="309"/>
      <c r="C30620" s="309"/>
      <c r="I30620" s="309"/>
      <c r="J30620" s="309"/>
    </row>
    <row r="30621">
      <c r="B30621" s="309"/>
      <c r="C30621" s="309"/>
      <c r="I30621" s="309"/>
      <c r="J30621" s="309"/>
    </row>
    <row r="30622">
      <c r="B30622" s="309"/>
      <c r="C30622" s="309"/>
      <c r="I30622" s="309"/>
      <c r="J30622" s="309"/>
    </row>
    <row r="30623">
      <c r="B30623" s="309"/>
      <c r="C30623" s="309"/>
      <c r="I30623" s="309"/>
      <c r="J30623" s="309"/>
    </row>
    <row r="30624">
      <c r="B30624" s="309"/>
      <c r="C30624" s="309"/>
      <c r="I30624" s="309"/>
      <c r="J30624" s="309"/>
    </row>
    <row r="30625">
      <c r="B30625" s="309"/>
      <c r="C30625" s="309"/>
      <c r="I30625" s="309"/>
      <c r="J30625" s="309"/>
    </row>
    <row r="30626">
      <c r="B30626" s="309"/>
      <c r="C30626" s="309"/>
      <c r="I30626" s="309"/>
      <c r="J30626" s="309"/>
    </row>
    <row r="30627">
      <c r="B30627" s="309"/>
      <c r="C30627" s="309"/>
      <c r="I30627" s="309"/>
      <c r="J30627" s="309"/>
    </row>
    <row r="30628">
      <c r="B30628" s="309"/>
      <c r="C30628" s="309"/>
      <c r="I30628" s="309"/>
      <c r="J30628" s="309"/>
    </row>
    <row r="30629">
      <c r="B30629" s="309"/>
      <c r="C30629" s="309"/>
      <c r="I30629" s="309"/>
      <c r="J30629" s="309"/>
    </row>
    <row r="30630">
      <c r="B30630" s="309"/>
      <c r="C30630" s="309"/>
      <c r="I30630" s="309"/>
      <c r="J30630" s="309"/>
    </row>
    <row r="30631">
      <c r="B30631" s="309"/>
      <c r="C30631" s="309"/>
      <c r="I30631" s="309"/>
      <c r="J30631" s="309"/>
    </row>
    <row r="30632">
      <c r="B30632" s="309"/>
      <c r="C30632" s="309"/>
      <c r="I30632" s="309"/>
      <c r="J30632" s="309"/>
    </row>
    <row r="30633">
      <c r="B30633" s="309"/>
      <c r="C30633" s="309"/>
      <c r="I30633" s="309"/>
      <c r="J30633" s="309"/>
    </row>
    <row r="30634">
      <c r="B30634" s="309"/>
      <c r="C30634" s="309"/>
      <c r="I30634" s="309"/>
      <c r="J30634" s="309"/>
    </row>
    <row r="30635">
      <c r="B30635" s="309"/>
      <c r="C30635" s="309"/>
      <c r="I30635" s="309"/>
      <c r="J30635" s="309"/>
    </row>
    <row r="30636">
      <c r="B30636" s="309"/>
      <c r="C30636" s="309"/>
      <c r="I30636" s="309"/>
      <c r="J30636" s="309"/>
    </row>
    <row r="30637">
      <c r="B30637" s="309"/>
      <c r="C30637" s="309"/>
      <c r="I30637" s="309"/>
      <c r="J30637" s="309"/>
    </row>
    <row r="30638">
      <c r="B30638" s="309"/>
      <c r="C30638" s="309"/>
      <c r="I30638" s="309"/>
      <c r="J30638" s="309"/>
    </row>
    <row r="30639">
      <c r="B30639" s="309"/>
      <c r="C30639" s="309"/>
      <c r="I30639" s="309"/>
      <c r="J30639" s="309"/>
    </row>
    <row r="30640">
      <c r="B30640" s="309"/>
      <c r="C30640" s="309"/>
      <c r="I30640" s="309"/>
      <c r="J30640" s="309"/>
    </row>
    <row r="30641">
      <c r="B30641" s="309"/>
      <c r="C30641" s="309"/>
      <c r="I30641" s="309"/>
      <c r="J30641" s="309"/>
    </row>
    <row r="30642">
      <c r="B30642" s="309"/>
      <c r="C30642" s="309"/>
      <c r="I30642" s="309"/>
      <c r="J30642" s="309"/>
    </row>
    <row r="30643">
      <c r="B30643" s="309"/>
      <c r="C30643" s="309"/>
      <c r="I30643" s="309"/>
      <c r="J30643" s="309"/>
    </row>
    <row r="30644">
      <c r="B30644" s="309"/>
      <c r="C30644" s="309"/>
      <c r="I30644" s="309"/>
      <c r="J30644" s="309"/>
    </row>
    <row r="30645">
      <c r="B30645" s="309"/>
      <c r="C30645" s="309"/>
      <c r="I30645" s="309"/>
      <c r="J30645" s="309"/>
    </row>
    <row r="30646">
      <c r="B30646" s="309"/>
      <c r="C30646" s="309"/>
      <c r="I30646" s="309"/>
      <c r="J30646" s="309"/>
    </row>
    <row r="30647">
      <c r="B30647" s="309"/>
      <c r="C30647" s="309"/>
      <c r="I30647" s="309"/>
      <c r="J30647" s="309"/>
    </row>
    <row r="30648">
      <c r="B30648" s="309"/>
      <c r="C30648" s="309"/>
      <c r="I30648" s="309"/>
      <c r="J30648" s="309"/>
    </row>
    <row r="30649">
      <c r="B30649" s="309"/>
      <c r="C30649" s="309"/>
      <c r="I30649" s="309"/>
      <c r="J30649" s="309"/>
    </row>
    <row r="30650">
      <c r="B30650" s="309"/>
      <c r="C30650" s="309"/>
      <c r="I30650" s="309"/>
      <c r="J30650" s="309"/>
    </row>
    <row r="30651">
      <c r="B30651" s="309"/>
      <c r="C30651" s="309"/>
      <c r="I30651" s="309"/>
      <c r="J30651" s="309"/>
    </row>
    <row r="30652">
      <c r="B30652" s="309"/>
      <c r="C30652" s="309"/>
      <c r="I30652" s="309"/>
      <c r="J30652" s="309"/>
    </row>
    <row r="30653">
      <c r="B30653" s="309"/>
      <c r="C30653" s="309"/>
      <c r="I30653" s="309"/>
      <c r="J30653" s="309"/>
    </row>
    <row r="30654">
      <c r="B30654" s="309"/>
      <c r="C30654" s="309"/>
      <c r="I30654" s="309"/>
      <c r="J30654" s="309"/>
    </row>
    <row r="30655">
      <c r="B30655" s="309"/>
      <c r="C30655" s="309"/>
      <c r="I30655" s="309"/>
      <c r="J30655" s="309"/>
    </row>
    <row r="30656">
      <c r="B30656" s="309"/>
      <c r="C30656" s="309"/>
      <c r="I30656" s="309"/>
      <c r="J30656" s="309"/>
    </row>
    <row r="30657">
      <c r="B30657" s="309"/>
      <c r="C30657" s="309"/>
      <c r="I30657" s="309"/>
      <c r="J30657" s="309"/>
    </row>
    <row r="30658">
      <c r="B30658" s="309"/>
      <c r="C30658" s="309"/>
      <c r="I30658" s="309"/>
      <c r="J30658" s="309"/>
    </row>
    <row r="30659">
      <c r="B30659" s="309"/>
      <c r="C30659" s="309"/>
      <c r="I30659" s="309"/>
      <c r="J30659" s="309"/>
    </row>
    <row r="30660">
      <c r="B30660" s="309"/>
      <c r="C30660" s="309"/>
      <c r="I30660" s="309"/>
      <c r="J30660" s="309"/>
    </row>
    <row r="30661">
      <c r="B30661" s="309"/>
      <c r="C30661" s="309"/>
      <c r="I30661" s="309"/>
      <c r="J30661" s="309"/>
    </row>
    <row r="30662">
      <c r="B30662" s="309"/>
      <c r="C30662" s="309"/>
      <c r="I30662" s="309"/>
      <c r="J30662" s="309"/>
    </row>
    <row r="30663">
      <c r="B30663" s="309"/>
      <c r="C30663" s="309"/>
      <c r="I30663" s="309"/>
      <c r="J30663" s="309"/>
    </row>
    <row r="30664">
      <c r="B30664" s="309"/>
      <c r="C30664" s="309"/>
      <c r="I30664" s="309"/>
      <c r="J30664" s="309"/>
    </row>
    <row r="30665">
      <c r="B30665" s="309"/>
      <c r="C30665" s="309"/>
      <c r="I30665" s="309"/>
      <c r="J30665" s="309"/>
    </row>
    <row r="30666">
      <c r="B30666" s="309"/>
      <c r="C30666" s="309"/>
      <c r="I30666" s="309"/>
      <c r="J30666" s="309"/>
    </row>
    <row r="30667">
      <c r="B30667" s="309"/>
      <c r="C30667" s="309"/>
      <c r="I30667" s="309"/>
      <c r="J30667" s="309"/>
    </row>
    <row r="30668">
      <c r="B30668" s="309"/>
      <c r="C30668" s="309"/>
      <c r="I30668" s="309"/>
      <c r="J30668" s="309"/>
    </row>
    <row r="30669">
      <c r="B30669" s="309"/>
      <c r="C30669" s="309"/>
      <c r="I30669" s="309"/>
      <c r="J30669" s="309"/>
    </row>
    <row r="30670">
      <c r="B30670" s="309"/>
      <c r="C30670" s="309"/>
      <c r="I30670" s="309"/>
      <c r="J30670" s="309"/>
    </row>
    <row r="30671">
      <c r="B30671" s="309"/>
      <c r="C30671" s="309"/>
      <c r="I30671" s="309"/>
      <c r="J30671" s="309"/>
    </row>
    <row r="30672">
      <c r="B30672" s="309"/>
      <c r="C30672" s="309"/>
      <c r="I30672" s="309"/>
      <c r="J30672" s="309"/>
    </row>
    <row r="30673">
      <c r="B30673" s="309"/>
      <c r="C30673" s="309"/>
      <c r="I30673" s="309"/>
      <c r="J30673" s="309"/>
    </row>
    <row r="30674">
      <c r="B30674" s="309"/>
      <c r="C30674" s="309"/>
      <c r="I30674" s="309"/>
      <c r="J30674" s="309"/>
    </row>
    <row r="30675">
      <c r="B30675" s="309"/>
      <c r="C30675" s="309"/>
      <c r="I30675" s="309"/>
      <c r="J30675" s="309"/>
    </row>
    <row r="30676">
      <c r="B30676" s="309"/>
      <c r="C30676" s="309"/>
      <c r="I30676" s="309"/>
      <c r="J30676" s="309"/>
    </row>
    <row r="30677">
      <c r="B30677" s="309"/>
      <c r="C30677" s="309"/>
      <c r="I30677" s="309"/>
      <c r="J30677" s="309"/>
    </row>
    <row r="30678">
      <c r="B30678" s="309"/>
      <c r="C30678" s="309"/>
      <c r="I30678" s="309"/>
      <c r="J30678" s="309"/>
    </row>
    <row r="30679">
      <c r="B30679" s="309"/>
      <c r="C30679" s="309"/>
      <c r="I30679" s="309"/>
      <c r="J30679" s="309"/>
    </row>
    <row r="30680">
      <c r="B30680" s="309"/>
      <c r="C30680" s="309"/>
      <c r="I30680" s="309"/>
      <c r="J30680" s="309"/>
    </row>
    <row r="30681">
      <c r="B30681" s="309"/>
      <c r="C30681" s="309"/>
      <c r="I30681" s="309"/>
      <c r="J30681" s="309"/>
    </row>
    <row r="30682">
      <c r="B30682" s="309"/>
      <c r="C30682" s="309"/>
      <c r="I30682" s="309"/>
      <c r="J30682" s="309"/>
    </row>
    <row r="30683">
      <c r="B30683" s="309"/>
      <c r="C30683" s="309"/>
      <c r="I30683" s="309"/>
      <c r="J30683" s="309"/>
    </row>
    <row r="30684">
      <c r="B30684" s="309"/>
      <c r="C30684" s="309"/>
      <c r="I30684" s="309"/>
      <c r="J30684" s="309"/>
    </row>
    <row r="30685">
      <c r="B30685" s="309"/>
      <c r="C30685" s="309"/>
      <c r="I30685" s="309"/>
      <c r="J30685" s="309"/>
    </row>
    <row r="30686">
      <c r="B30686" s="309"/>
      <c r="C30686" s="309"/>
      <c r="I30686" s="309"/>
      <c r="J30686" s="309"/>
    </row>
    <row r="30687">
      <c r="B30687" s="309"/>
      <c r="C30687" s="309"/>
      <c r="I30687" s="309"/>
      <c r="J30687" s="309"/>
    </row>
    <row r="30688">
      <c r="B30688" s="309"/>
      <c r="C30688" s="309"/>
      <c r="I30688" s="309"/>
      <c r="J30688" s="309"/>
    </row>
    <row r="30689">
      <c r="B30689" s="309"/>
      <c r="C30689" s="309"/>
      <c r="I30689" s="309"/>
      <c r="J30689" s="309"/>
    </row>
    <row r="30690">
      <c r="B30690" s="309"/>
      <c r="C30690" s="309"/>
      <c r="I30690" s="309"/>
      <c r="J30690" s="309"/>
    </row>
    <row r="30691">
      <c r="B30691" s="309"/>
      <c r="C30691" s="309"/>
      <c r="I30691" s="309"/>
      <c r="J30691" s="309"/>
    </row>
    <row r="30692">
      <c r="B30692" s="309"/>
      <c r="C30692" s="309"/>
      <c r="I30692" s="309"/>
      <c r="J30692" s="309"/>
    </row>
    <row r="30693">
      <c r="B30693" s="309"/>
      <c r="C30693" s="309"/>
      <c r="I30693" s="309"/>
      <c r="J30693" s="309"/>
    </row>
    <row r="30694">
      <c r="B30694" s="309"/>
      <c r="C30694" s="309"/>
      <c r="I30694" s="309"/>
      <c r="J30694" s="309"/>
    </row>
    <row r="30695">
      <c r="B30695" s="309"/>
      <c r="C30695" s="309"/>
      <c r="I30695" s="309"/>
      <c r="J30695" s="309"/>
    </row>
    <row r="30696">
      <c r="B30696" s="309"/>
      <c r="C30696" s="309"/>
      <c r="I30696" s="309"/>
      <c r="J30696" s="309"/>
    </row>
    <row r="30697">
      <c r="B30697" s="309"/>
      <c r="C30697" s="309"/>
      <c r="I30697" s="309"/>
      <c r="J30697" s="309"/>
    </row>
    <row r="30698">
      <c r="B30698" s="309"/>
      <c r="C30698" s="309"/>
      <c r="I30698" s="309"/>
      <c r="J30698" s="309"/>
    </row>
    <row r="30699">
      <c r="B30699" s="309"/>
      <c r="C30699" s="309"/>
      <c r="I30699" s="309"/>
      <c r="J30699" s="309"/>
    </row>
    <row r="30700">
      <c r="B30700" s="309"/>
      <c r="C30700" s="309"/>
      <c r="I30700" s="309"/>
      <c r="J30700" s="309"/>
    </row>
    <row r="30701">
      <c r="B30701" s="309"/>
      <c r="C30701" s="309"/>
      <c r="I30701" s="309"/>
      <c r="J30701" s="309"/>
    </row>
    <row r="30702">
      <c r="B30702" s="309"/>
      <c r="C30702" s="309"/>
      <c r="I30702" s="309"/>
      <c r="J30702" s="309"/>
    </row>
    <row r="30703">
      <c r="B30703" s="309"/>
      <c r="C30703" s="309"/>
      <c r="I30703" s="309"/>
      <c r="J30703" s="309"/>
    </row>
    <row r="30704">
      <c r="B30704" s="309"/>
      <c r="C30704" s="309"/>
      <c r="I30704" s="309"/>
      <c r="J30704" s="309"/>
    </row>
    <row r="30705">
      <c r="B30705" s="309"/>
      <c r="C30705" s="309"/>
      <c r="I30705" s="309"/>
      <c r="J30705" s="309"/>
    </row>
    <row r="30706">
      <c r="B30706" s="309"/>
      <c r="C30706" s="309"/>
      <c r="I30706" s="309"/>
      <c r="J30706" s="309"/>
    </row>
    <row r="30707">
      <c r="B30707" s="309"/>
      <c r="C30707" s="309"/>
      <c r="I30707" s="309"/>
      <c r="J30707" s="309"/>
    </row>
    <row r="30708">
      <c r="B30708" s="309"/>
      <c r="C30708" s="309"/>
      <c r="I30708" s="309"/>
      <c r="J30708" s="309"/>
    </row>
    <row r="30709">
      <c r="B30709" s="309"/>
      <c r="C30709" s="309"/>
      <c r="I30709" s="309"/>
      <c r="J30709" s="309"/>
    </row>
    <row r="30710">
      <c r="B30710" s="309"/>
      <c r="C30710" s="309"/>
      <c r="I30710" s="309"/>
      <c r="J30710" s="309"/>
    </row>
    <row r="30711">
      <c r="B30711" s="309"/>
      <c r="C30711" s="309"/>
      <c r="I30711" s="309"/>
      <c r="J30711" s="309"/>
    </row>
    <row r="30712">
      <c r="B30712" s="309"/>
      <c r="C30712" s="309"/>
      <c r="I30712" s="309"/>
      <c r="J30712" s="309"/>
    </row>
    <row r="30713">
      <c r="B30713" s="309"/>
      <c r="C30713" s="309"/>
      <c r="I30713" s="309"/>
      <c r="J30713" s="309"/>
    </row>
    <row r="30714">
      <c r="B30714" s="309"/>
      <c r="C30714" s="309"/>
      <c r="I30714" s="309"/>
      <c r="J30714" s="309"/>
    </row>
    <row r="30715">
      <c r="B30715" s="309"/>
      <c r="C30715" s="309"/>
      <c r="I30715" s="309"/>
      <c r="J30715" s="309"/>
    </row>
    <row r="30716">
      <c r="B30716" s="309"/>
      <c r="C30716" s="309"/>
      <c r="I30716" s="309"/>
      <c r="J30716" s="309"/>
    </row>
    <row r="30717">
      <c r="B30717" s="309"/>
      <c r="C30717" s="309"/>
      <c r="I30717" s="309"/>
      <c r="J30717" s="309"/>
    </row>
    <row r="30718">
      <c r="B30718" s="309"/>
      <c r="C30718" s="309"/>
      <c r="I30718" s="309"/>
      <c r="J30718" s="309"/>
    </row>
    <row r="30719">
      <c r="B30719" s="309"/>
      <c r="C30719" s="309"/>
      <c r="I30719" s="309"/>
      <c r="J30719" s="309"/>
    </row>
    <row r="30720">
      <c r="B30720" s="309"/>
      <c r="C30720" s="309"/>
      <c r="I30720" s="309"/>
      <c r="J30720" s="309"/>
    </row>
    <row r="30721">
      <c r="B30721" s="309"/>
      <c r="C30721" s="309"/>
      <c r="I30721" s="309"/>
      <c r="J30721" s="309"/>
    </row>
    <row r="30722">
      <c r="B30722" s="309"/>
      <c r="C30722" s="309"/>
      <c r="I30722" s="309"/>
      <c r="J30722" s="309"/>
    </row>
    <row r="30723">
      <c r="B30723" s="309"/>
      <c r="C30723" s="309"/>
      <c r="I30723" s="309"/>
      <c r="J30723" s="309"/>
    </row>
    <row r="30724">
      <c r="B30724" s="309"/>
      <c r="C30724" s="309"/>
      <c r="I30724" s="309"/>
      <c r="J30724" s="309"/>
    </row>
    <row r="30725">
      <c r="B30725" s="309"/>
      <c r="C30725" s="309"/>
      <c r="I30725" s="309"/>
      <c r="J30725" s="309"/>
    </row>
    <row r="30726">
      <c r="B30726" s="309"/>
      <c r="C30726" s="309"/>
      <c r="I30726" s="309"/>
      <c r="J30726" s="309"/>
    </row>
    <row r="30727">
      <c r="B30727" s="309"/>
      <c r="C30727" s="309"/>
      <c r="I30727" s="309"/>
      <c r="J30727" s="309"/>
    </row>
    <row r="30728">
      <c r="B30728" s="309"/>
      <c r="C30728" s="309"/>
      <c r="I30728" s="309"/>
      <c r="J30728" s="309"/>
    </row>
    <row r="30729">
      <c r="B30729" s="309"/>
      <c r="C30729" s="309"/>
      <c r="I30729" s="309"/>
      <c r="J30729" s="309"/>
    </row>
    <row r="30730">
      <c r="B30730" s="309"/>
      <c r="C30730" s="309"/>
      <c r="I30730" s="309"/>
      <c r="J30730" s="309"/>
    </row>
    <row r="30731">
      <c r="B30731" s="309"/>
      <c r="C30731" s="309"/>
      <c r="I30731" s="309"/>
      <c r="J30731" s="309"/>
    </row>
    <row r="30732">
      <c r="B30732" s="309"/>
      <c r="C30732" s="309"/>
      <c r="I30732" s="309"/>
      <c r="J30732" s="309"/>
    </row>
    <row r="30733">
      <c r="B30733" s="309"/>
      <c r="C30733" s="309"/>
      <c r="I30733" s="309"/>
      <c r="J30733" s="309"/>
    </row>
    <row r="30734">
      <c r="B30734" s="309"/>
      <c r="C30734" s="309"/>
      <c r="I30734" s="309"/>
      <c r="J30734" s="309"/>
    </row>
    <row r="30735">
      <c r="B30735" s="309"/>
      <c r="C30735" s="309"/>
      <c r="I30735" s="309"/>
      <c r="J30735" s="309"/>
    </row>
    <row r="30736">
      <c r="B30736" s="309"/>
      <c r="C30736" s="309"/>
      <c r="I30736" s="309"/>
      <c r="J30736" s="309"/>
    </row>
    <row r="30737">
      <c r="B30737" s="309"/>
      <c r="C30737" s="309"/>
      <c r="I30737" s="309"/>
      <c r="J30737" s="309"/>
    </row>
    <row r="30738">
      <c r="B30738" s="309"/>
      <c r="C30738" s="309"/>
      <c r="I30738" s="309"/>
      <c r="J30738" s="309"/>
    </row>
    <row r="30739">
      <c r="B30739" s="309"/>
      <c r="C30739" s="309"/>
      <c r="I30739" s="309"/>
      <c r="J30739" s="309"/>
    </row>
    <row r="30740">
      <c r="B30740" s="309"/>
      <c r="C30740" s="309"/>
      <c r="I30740" s="309"/>
      <c r="J30740" s="309"/>
    </row>
    <row r="30741">
      <c r="B30741" s="309"/>
      <c r="C30741" s="309"/>
      <c r="I30741" s="309"/>
      <c r="J30741" s="309"/>
    </row>
    <row r="30742">
      <c r="B30742" s="309"/>
      <c r="C30742" s="309"/>
      <c r="I30742" s="309"/>
      <c r="J30742" s="309"/>
    </row>
    <row r="30743">
      <c r="B30743" s="309"/>
      <c r="C30743" s="309"/>
      <c r="I30743" s="309"/>
      <c r="J30743" s="309"/>
    </row>
    <row r="30744">
      <c r="B30744" s="309"/>
      <c r="C30744" s="309"/>
      <c r="I30744" s="309"/>
      <c r="J30744" s="309"/>
    </row>
    <row r="30745">
      <c r="B30745" s="309"/>
      <c r="C30745" s="309"/>
      <c r="I30745" s="309"/>
      <c r="J30745" s="309"/>
    </row>
    <row r="30746">
      <c r="B30746" s="309"/>
      <c r="C30746" s="309"/>
      <c r="I30746" s="309"/>
      <c r="J30746" s="309"/>
    </row>
    <row r="30747">
      <c r="B30747" s="309"/>
      <c r="C30747" s="309"/>
      <c r="I30747" s="309"/>
      <c r="J30747" s="309"/>
    </row>
    <row r="30748">
      <c r="B30748" s="309"/>
      <c r="C30748" s="309"/>
      <c r="I30748" s="309"/>
      <c r="J30748" s="309"/>
    </row>
    <row r="30749">
      <c r="B30749" s="309"/>
      <c r="C30749" s="309"/>
      <c r="I30749" s="309"/>
      <c r="J30749" s="309"/>
    </row>
    <row r="30750">
      <c r="B30750" s="309"/>
      <c r="C30750" s="309"/>
      <c r="I30750" s="309"/>
      <c r="J30750" s="309"/>
    </row>
    <row r="30751">
      <c r="B30751" s="309"/>
      <c r="C30751" s="309"/>
      <c r="I30751" s="309"/>
      <c r="J30751" s="309"/>
    </row>
    <row r="30752">
      <c r="B30752" s="309"/>
      <c r="C30752" s="309"/>
      <c r="I30752" s="309"/>
      <c r="J30752" s="309"/>
    </row>
    <row r="30753">
      <c r="B30753" s="309"/>
      <c r="C30753" s="309"/>
      <c r="I30753" s="309"/>
      <c r="J30753" s="309"/>
    </row>
    <row r="30754">
      <c r="B30754" s="309"/>
      <c r="C30754" s="309"/>
      <c r="I30754" s="309"/>
      <c r="J30754" s="309"/>
    </row>
    <row r="30755">
      <c r="B30755" s="309"/>
      <c r="C30755" s="309"/>
      <c r="I30755" s="309"/>
      <c r="J30755" s="309"/>
    </row>
    <row r="30756">
      <c r="B30756" s="309"/>
      <c r="C30756" s="309"/>
      <c r="I30756" s="309"/>
      <c r="J30756" s="309"/>
    </row>
    <row r="30757">
      <c r="B30757" s="309"/>
      <c r="C30757" s="309"/>
      <c r="I30757" s="309"/>
      <c r="J30757" s="309"/>
    </row>
    <row r="30758">
      <c r="B30758" s="309"/>
      <c r="C30758" s="309"/>
      <c r="I30758" s="309"/>
      <c r="J30758" s="309"/>
    </row>
    <row r="30759">
      <c r="B30759" s="309"/>
      <c r="C30759" s="309"/>
      <c r="I30759" s="309"/>
      <c r="J30759" s="309"/>
    </row>
    <row r="30760">
      <c r="B30760" s="309"/>
      <c r="C30760" s="309"/>
      <c r="I30760" s="309"/>
      <c r="J30760" s="309"/>
    </row>
    <row r="30761">
      <c r="B30761" s="309"/>
      <c r="C30761" s="309"/>
      <c r="I30761" s="309"/>
      <c r="J30761" s="309"/>
    </row>
    <row r="30762">
      <c r="B30762" s="309"/>
      <c r="C30762" s="309"/>
      <c r="I30762" s="309"/>
      <c r="J30762" s="309"/>
    </row>
    <row r="30763">
      <c r="B30763" s="309"/>
      <c r="C30763" s="309"/>
      <c r="I30763" s="309"/>
      <c r="J30763" s="309"/>
    </row>
    <row r="30764">
      <c r="B30764" s="309"/>
      <c r="C30764" s="309"/>
      <c r="I30764" s="309"/>
      <c r="J30764" s="309"/>
    </row>
    <row r="30765">
      <c r="B30765" s="309"/>
      <c r="C30765" s="309"/>
      <c r="I30765" s="309"/>
      <c r="J30765" s="309"/>
    </row>
    <row r="30766">
      <c r="B30766" s="309"/>
      <c r="C30766" s="309"/>
      <c r="I30766" s="309"/>
      <c r="J30766" s="309"/>
    </row>
    <row r="30767">
      <c r="B30767" s="309"/>
      <c r="C30767" s="309"/>
      <c r="I30767" s="309"/>
      <c r="J30767" s="309"/>
    </row>
    <row r="30768">
      <c r="B30768" s="309"/>
      <c r="C30768" s="309"/>
      <c r="I30768" s="309"/>
      <c r="J30768" s="309"/>
    </row>
    <row r="30769">
      <c r="B30769" s="309"/>
      <c r="C30769" s="309"/>
      <c r="I30769" s="309"/>
      <c r="J30769" s="309"/>
    </row>
    <row r="30770">
      <c r="B30770" s="309"/>
      <c r="C30770" s="309"/>
      <c r="I30770" s="309"/>
      <c r="J30770" s="309"/>
    </row>
    <row r="30771">
      <c r="B30771" s="309"/>
      <c r="C30771" s="309"/>
      <c r="I30771" s="309"/>
      <c r="J30771" s="309"/>
    </row>
    <row r="30772">
      <c r="B30772" s="309"/>
      <c r="C30772" s="309"/>
      <c r="I30772" s="309"/>
      <c r="J30772" s="309"/>
    </row>
    <row r="30773">
      <c r="B30773" s="309"/>
      <c r="C30773" s="309"/>
      <c r="I30773" s="309"/>
      <c r="J30773" s="309"/>
    </row>
    <row r="30774">
      <c r="B30774" s="309"/>
      <c r="C30774" s="309"/>
      <c r="I30774" s="309"/>
      <c r="J30774" s="309"/>
    </row>
    <row r="30775">
      <c r="B30775" s="309"/>
      <c r="C30775" s="309"/>
      <c r="I30775" s="309"/>
      <c r="J30775" s="309"/>
    </row>
    <row r="30776">
      <c r="B30776" s="309"/>
      <c r="C30776" s="309"/>
      <c r="I30776" s="309"/>
      <c r="J30776" s="309"/>
    </row>
    <row r="30777">
      <c r="B30777" s="309"/>
      <c r="C30777" s="309"/>
      <c r="I30777" s="309"/>
      <c r="J30777" s="309"/>
    </row>
    <row r="30778">
      <c r="B30778" s="309"/>
      <c r="C30778" s="309"/>
      <c r="I30778" s="309"/>
      <c r="J30778" s="309"/>
    </row>
    <row r="30779">
      <c r="B30779" s="309"/>
      <c r="C30779" s="309"/>
      <c r="I30779" s="309"/>
      <c r="J30779" s="309"/>
    </row>
    <row r="30780">
      <c r="B30780" s="309"/>
      <c r="C30780" s="309"/>
      <c r="I30780" s="309"/>
      <c r="J30780" s="309"/>
    </row>
    <row r="30781">
      <c r="B30781" s="309"/>
      <c r="C30781" s="309"/>
      <c r="I30781" s="309"/>
      <c r="J30781" s="309"/>
    </row>
    <row r="30782">
      <c r="B30782" s="309"/>
      <c r="C30782" s="309"/>
      <c r="I30782" s="309"/>
      <c r="J30782" s="309"/>
    </row>
    <row r="30783">
      <c r="B30783" s="309"/>
      <c r="C30783" s="309"/>
      <c r="I30783" s="309"/>
      <c r="J30783" s="309"/>
    </row>
    <row r="30784">
      <c r="B30784" s="309"/>
      <c r="C30784" s="309"/>
      <c r="I30784" s="309"/>
      <c r="J30784" s="309"/>
    </row>
    <row r="30785">
      <c r="B30785" s="309"/>
      <c r="C30785" s="309"/>
      <c r="I30785" s="309"/>
      <c r="J30785" s="309"/>
    </row>
    <row r="30786">
      <c r="B30786" s="309"/>
      <c r="C30786" s="309"/>
      <c r="I30786" s="309"/>
      <c r="J30786" s="309"/>
    </row>
    <row r="30787">
      <c r="B30787" s="309"/>
      <c r="C30787" s="309"/>
      <c r="I30787" s="309"/>
      <c r="J30787" s="309"/>
    </row>
    <row r="30788">
      <c r="B30788" s="309"/>
      <c r="C30788" s="309"/>
      <c r="I30788" s="309"/>
      <c r="J30788" s="309"/>
    </row>
    <row r="30789">
      <c r="B30789" s="309"/>
      <c r="C30789" s="309"/>
      <c r="I30789" s="309"/>
      <c r="J30789" s="309"/>
    </row>
    <row r="30790">
      <c r="B30790" s="309"/>
      <c r="C30790" s="309"/>
      <c r="I30790" s="309"/>
      <c r="J30790" s="309"/>
    </row>
    <row r="30791">
      <c r="B30791" s="309"/>
      <c r="C30791" s="309"/>
      <c r="I30791" s="309"/>
      <c r="J30791" s="309"/>
    </row>
    <row r="30792">
      <c r="B30792" s="309"/>
      <c r="C30792" s="309"/>
      <c r="I30792" s="309"/>
      <c r="J30792" s="309"/>
    </row>
    <row r="30793">
      <c r="B30793" s="309"/>
      <c r="C30793" s="309"/>
      <c r="I30793" s="309"/>
      <c r="J30793" s="309"/>
    </row>
    <row r="30794">
      <c r="B30794" s="309"/>
      <c r="C30794" s="309"/>
      <c r="I30794" s="309"/>
      <c r="J30794" s="309"/>
    </row>
    <row r="30795">
      <c r="B30795" s="309"/>
      <c r="C30795" s="309"/>
      <c r="I30795" s="309"/>
      <c r="J30795" s="309"/>
    </row>
    <row r="30796">
      <c r="B30796" s="309"/>
      <c r="C30796" s="309"/>
      <c r="I30796" s="309"/>
      <c r="J30796" s="309"/>
    </row>
    <row r="30797">
      <c r="B30797" s="309"/>
      <c r="C30797" s="309"/>
      <c r="I30797" s="309"/>
      <c r="J30797" s="309"/>
    </row>
    <row r="30798">
      <c r="B30798" s="309"/>
      <c r="C30798" s="309"/>
      <c r="I30798" s="309"/>
      <c r="J30798" s="309"/>
    </row>
    <row r="30799">
      <c r="B30799" s="309"/>
      <c r="C30799" s="309"/>
      <c r="I30799" s="309"/>
      <c r="J30799" s="309"/>
    </row>
    <row r="30800">
      <c r="B30800" s="309"/>
      <c r="C30800" s="309"/>
      <c r="I30800" s="309"/>
      <c r="J30800" s="309"/>
    </row>
    <row r="30801">
      <c r="B30801" s="309"/>
      <c r="C30801" s="309"/>
      <c r="I30801" s="309"/>
      <c r="J30801" s="309"/>
    </row>
    <row r="30802">
      <c r="B30802" s="309"/>
      <c r="C30802" s="309"/>
      <c r="I30802" s="309"/>
      <c r="J30802" s="309"/>
    </row>
    <row r="30803">
      <c r="B30803" s="309"/>
      <c r="C30803" s="309"/>
      <c r="I30803" s="309"/>
      <c r="J30803" s="309"/>
    </row>
    <row r="30804">
      <c r="B30804" s="309"/>
      <c r="C30804" s="309"/>
      <c r="I30804" s="309"/>
      <c r="J30804" s="309"/>
    </row>
    <row r="30805">
      <c r="B30805" s="309"/>
      <c r="C30805" s="309"/>
      <c r="I30805" s="309"/>
      <c r="J30805" s="309"/>
    </row>
    <row r="30806">
      <c r="B30806" s="309"/>
      <c r="C30806" s="309"/>
      <c r="I30806" s="309"/>
      <c r="J30806" s="309"/>
    </row>
    <row r="30807">
      <c r="B30807" s="309"/>
      <c r="C30807" s="309"/>
      <c r="I30807" s="309"/>
      <c r="J30807" s="309"/>
    </row>
    <row r="30808">
      <c r="B30808" s="309"/>
      <c r="C30808" s="309"/>
      <c r="I30808" s="309"/>
      <c r="J30808" s="309"/>
    </row>
    <row r="30809">
      <c r="B30809" s="309"/>
      <c r="C30809" s="309"/>
      <c r="I30809" s="309"/>
      <c r="J30809" s="309"/>
    </row>
    <row r="30810">
      <c r="B30810" s="309"/>
      <c r="C30810" s="309"/>
      <c r="I30810" s="309"/>
      <c r="J30810" s="309"/>
    </row>
    <row r="30811">
      <c r="B30811" s="309"/>
      <c r="C30811" s="309"/>
      <c r="I30811" s="309"/>
      <c r="J30811" s="309"/>
    </row>
    <row r="30812">
      <c r="B30812" s="309"/>
      <c r="C30812" s="309"/>
      <c r="I30812" s="309"/>
      <c r="J30812" s="309"/>
    </row>
    <row r="30813">
      <c r="B30813" s="309"/>
      <c r="C30813" s="309"/>
      <c r="I30813" s="309"/>
      <c r="J30813" s="309"/>
    </row>
    <row r="30814">
      <c r="B30814" s="309"/>
      <c r="C30814" s="309"/>
      <c r="I30814" s="309"/>
      <c r="J30814" s="309"/>
    </row>
    <row r="30815">
      <c r="B30815" s="309"/>
      <c r="C30815" s="309"/>
      <c r="I30815" s="309"/>
      <c r="J30815" s="309"/>
    </row>
    <row r="30816">
      <c r="B30816" s="309"/>
      <c r="C30816" s="309"/>
      <c r="I30816" s="309"/>
      <c r="J30816" s="309"/>
    </row>
    <row r="30817">
      <c r="B30817" s="309"/>
      <c r="C30817" s="309"/>
      <c r="I30817" s="309"/>
      <c r="J30817" s="309"/>
    </row>
    <row r="30818">
      <c r="B30818" s="309"/>
      <c r="C30818" s="309"/>
      <c r="I30818" s="309"/>
      <c r="J30818" s="309"/>
    </row>
    <row r="30819">
      <c r="B30819" s="309"/>
      <c r="C30819" s="309"/>
      <c r="I30819" s="309"/>
      <c r="J30819" s="309"/>
    </row>
    <row r="30820">
      <c r="B30820" s="309"/>
      <c r="C30820" s="309"/>
      <c r="I30820" s="309"/>
      <c r="J30820" s="309"/>
    </row>
    <row r="30821">
      <c r="B30821" s="309"/>
      <c r="C30821" s="309"/>
      <c r="I30821" s="309"/>
      <c r="J30821" s="309"/>
    </row>
    <row r="30822">
      <c r="B30822" s="309"/>
      <c r="C30822" s="309"/>
      <c r="I30822" s="309"/>
      <c r="J30822" s="309"/>
    </row>
    <row r="30823">
      <c r="B30823" s="309"/>
      <c r="C30823" s="309"/>
      <c r="I30823" s="309"/>
      <c r="J30823" s="309"/>
    </row>
    <row r="30824">
      <c r="B30824" s="309"/>
      <c r="C30824" s="309"/>
      <c r="I30824" s="309"/>
      <c r="J30824" s="309"/>
    </row>
    <row r="30825">
      <c r="B30825" s="309"/>
      <c r="C30825" s="309"/>
      <c r="I30825" s="309"/>
      <c r="J30825" s="309"/>
    </row>
    <row r="30826">
      <c r="B30826" s="309"/>
      <c r="C30826" s="309"/>
      <c r="I30826" s="309"/>
      <c r="J30826" s="309"/>
    </row>
    <row r="30827">
      <c r="B30827" s="309"/>
      <c r="C30827" s="309"/>
      <c r="I30827" s="309"/>
      <c r="J30827" s="309"/>
    </row>
    <row r="30828">
      <c r="B30828" s="309"/>
      <c r="C30828" s="309"/>
      <c r="I30828" s="309"/>
      <c r="J30828" s="309"/>
    </row>
    <row r="30829">
      <c r="B30829" s="309"/>
      <c r="C30829" s="309"/>
      <c r="I30829" s="309"/>
      <c r="J30829" s="309"/>
    </row>
    <row r="30830">
      <c r="B30830" s="309"/>
      <c r="C30830" s="309"/>
      <c r="I30830" s="309"/>
      <c r="J30830" s="309"/>
    </row>
    <row r="30831">
      <c r="B30831" s="309"/>
      <c r="C30831" s="309"/>
      <c r="I30831" s="309"/>
      <c r="J30831" s="309"/>
    </row>
    <row r="30832">
      <c r="B30832" s="309"/>
      <c r="C30832" s="309"/>
      <c r="I30832" s="309"/>
      <c r="J30832" s="309"/>
    </row>
    <row r="30833">
      <c r="B30833" s="309"/>
      <c r="C30833" s="309"/>
      <c r="I30833" s="309"/>
      <c r="J30833" s="309"/>
    </row>
    <row r="30834">
      <c r="B30834" s="309"/>
      <c r="C30834" s="309"/>
      <c r="I30834" s="309"/>
      <c r="J30834" s="309"/>
    </row>
    <row r="30835">
      <c r="B30835" s="309"/>
      <c r="C30835" s="309"/>
      <c r="I30835" s="309"/>
      <c r="J30835" s="309"/>
    </row>
    <row r="30836">
      <c r="B30836" s="309"/>
      <c r="C30836" s="309"/>
      <c r="I30836" s="309"/>
      <c r="J30836" s="309"/>
    </row>
    <row r="30837">
      <c r="B30837" s="309"/>
      <c r="C30837" s="309"/>
      <c r="I30837" s="309"/>
      <c r="J30837" s="309"/>
    </row>
    <row r="30838">
      <c r="B30838" s="309"/>
      <c r="C30838" s="309"/>
      <c r="I30838" s="309"/>
      <c r="J30838" s="309"/>
    </row>
    <row r="30839">
      <c r="B30839" s="309"/>
      <c r="C30839" s="309"/>
      <c r="I30839" s="309"/>
      <c r="J30839" s="309"/>
    </row>
    <row r="30840">
      <c r="B30840" s="309"/>
      <c r="C30840" s="309"/>
      <c r="I30840" s="309"/>
      <c r="J30840" s="309"/>
    </row>
    <row r="30841">
      <c r="B30841" s="309"/>
      <c r="C30841" s="309"/>
      <c r="I30841" s="309"/>
      <c r="J30841" s="309"/>
    </row>
    <row r="30842">
      <c r="B30842" s="309"/>
      <c r="C30842" s="309"/>
      <c r="I30842" s="309"/>
      <c r="J30842" s="309"/>
    </row>
    <row r="30843">
      <c r="B30843" s="309"/>
      <c r="C30843" s="309"/>
      <c r="I30843" s="309"/>
      <c r="J30843" s="309"/>
    </row>
    <row r="30844">
      <c r="B30844" s="309"/>
      <c r="C30844" s="309"/>
      <c r="I30844" s="309"/>
      <c r="J30844" s="309"/>
    </row>
    <row r="30845">
      <c r="B30845" s="309"/>
      <c r="C30845" s="309"/>
      <c r="I30845" s="309"/>
      <c r="J30845" s="309"/>
    </row>
    <row r="30846">
      <c r="B30846" s="309"/>
      <c r="C30846" s="309"/>
      <c r="I30846" s="309"/>
      <c r="J30846" s="309"/>
    </row>
    <row r="30847">
      <c r="B30847" s="309"/>
      <c r="C30847" s="309"/>
      <c r="I30847" s="309"/>
      <c r="J30847" s="309"/>
    </row>
    <row r="30848">
      <c r="B30848" s="309"/>
      <c r="C30848" s="309"/>
      <c r="I30848" s="309"/>
      <c r="J30848" s="309"/>
    </row>
    <row r="30849">
      <c r="B30849" s="309"/>
      <c r="C30849" s="309"/>
      <c r="I30849" s="309"/>
      <c r="J30849" s="309"/>
    </row>
    <row r="30850">
      <c r="B30850" s="309"/>
      <c r="C30850" s="309"/>
      <c r="I30850" s="309"/>
      <c r="J30850" s="309"/>
    </row>
    <row r="30851">
      <c r="B30851" s="309"/>
      <c r="C30851" s="309"/>
      <c r="I30851" s="309"/>
      <c r="J30851" s="309"/>
    </row>
    <row r="30852">
      <c r="B30852" s="309"/>
      <c r="C30852" s="309"/>
      <c r="I30852" s="309"/>
      <c r="J30852" s="309"/>
    </row>
    <row r="30853">
      <c r="B30853" s="309"/>
      <c r="C30853" s="309"/>
      <c r="I30853" s="309"/>
      <c r="J30853" s="309"/>
    </row>
    <row r="30854">
      <c r="B30854" s="309"/>
      <c r="C30854" s="309"/>
      <c r="I30854" s="309"/>
      <c r="J30854" s="309"/>
    </row>
    <row r="30855">
      <c r="B30855" s="309"/>
      <c r="C30855" s="309"/>
      <c r="I30855" s="309"/>
      <c r="J30855" s="309"/>
    </row>
    <row r="30856">
      <c r="B30856" s="309"/>
      <c r="C30856" s="309"/>
      <c r="I30856" s="309"/>
      <c r="J30856" s="309"/>
    </row>
    <row r="30857">
      <c r="B30857" s="309"/>
      <c r="C30857" s="309"/>
      <c r="I30857" s="309"/>
      <c r="J30857" s="309"/>
    </row>
    <row r="30858">
      <c r="B30858" s="309"/>
      <c r="C30858" s="309"/>
      <c r="I30858" s="309"/>
      <c r="J30858" s="309"/>
    </row>
    <row r="30859">
      <c r="B30859" s="309"/>
      <c r="C30859" s="309"/>
      <c r="I30859" s="309"/>
      <c r="J30859" s="309"/>
    </row>
    <row r="30860">
      <c r="B30860" s="309"/>
      <c r="C30860" s="309"/>
      <c r="I30860" s="309"/>
      <c r="J30860" s="309"/>
    </row>
    <row r="30861">
      <c r="B30861" s="309"/>
      <c r="C30861" s="309"/>
      <c r="I30861" s="309"/>
      <c r="J30861" s="309"/>
    </row>
    <row r="30862">
      <c r="B30862" s="309"/>
      <c r="C30862" s="309"/>
      <c r="I30862" s="309"/>
      <c r="J30862" s="309"/>
    </row>
    <row r="30863">
      <c r="B30863" s="309"/>
      <c r="C30863" s="309"/>
      <c r="I30863" s="309"/>
      <c r="J30863" s="309"/>
    </row>
    <row r="30864">
      <c r="B30864" s="309"/>
      <c r="C30864" s="309"/>
      <c r="I30864" s="309"/>
      <c r="J30864" s="309"/>
    </row>
    <row r="30865">
      <c r="B30865" s="309"/>
      <c r="C30865" s="309"/>
      <c r="I30865" s="309"/>
      <c r="J30865" s="309"/>
    </row>
    <row r="30866">
      <c r="B30866" s="309"/>
      <c r="C30866" s="309"/>
      <c r="I30866" s="309"/>
      <c r="J30866" s="309"/>
    </row>
    <row r="30867">
      <c r="B30867" s="309"/>
      <c r="C30867" s="309"/>
      <c r="I30867" s="309"/>
      <c r="J30867" s="309"/>
    </row>
    <row r="30868">
      <c r="B30868" s="309"/>
      <c r="C30868" s="309"/>
      <c r="I30868" s="309"/>
      <c r="J30868" s="309"/>
    </row>
    <row r="30869">
      <c r="B30869" s="309"/>
      <c r="C30869" s="309"/>
      <c r="I30869" s="309"/>
      <c r="J30869" s="309"/>
    </row>
    <row r="30870">
      <c r="B30870" s="309"/>
      <c r="C30870" s="309"/>
      <c r="I30870" s="309"/>
      <c r="J30870" s="309"/>
    </row>
    <row r="30871">
      <c r="B30871" s="309"/>
      <c r="C30871" s="309"/>
      <c r="I30871" s="309"/>
      <c r="J30871" s="309"/>
    </row>
    <row r="30872">
      <c r="B30872" s="309"/>
      <c r="C30872" s="309"/>
      <c r="I30872" s="309"/>
      <c r="J30872" s="309"/>
    </row>
    <row r="30873">
      <c r="B30873" s="309"/>
      <c r="C30873" s="309"/>
      <c r="I30873" s="309"/>
      <c r="J30873" s="309"/>
    </row>
    <row r="30874">
      <c r="B30874" s="309"/>
      <c r="C30874" s="309"/>
      <c r="I30874" s="309"/>
      <c r="J30874" s="309"/>
    </row>
    <row r="30875">
      <c r="B30875" s="309"/>
      <c r="C30875" s="309"/>
      <c r="I30875" s="309"/>
      <c r="J30875" s="309"/>
    </row>
    <row r="30876">
      <c r="B30876" s="309"/>
      <c r="C30876" s="309"/>
      <c r="I30876" s="309"/>
      <c r="J30876" s="309"/>
    </row>
    <row r="30877">
      <c r="B30877" s="309"/>
      <c r="C30877" s="309"/>
      <c r="I30877" s="309"/>
      <c r="J30877" s="309"/>
    </row>
    <row r="30878">
      <c r="B30878" s="309"/>
      <c r="C30878" s="309"/>
      <c r="I30878" s="309"/>
      <c r="J30878" s="309"/>
    </row>
    <row r="30879">
      <c r="B30879" s="309"/>
      <c r="C30879" s="309"/>
      <c r="I30879" s="309"/>
      <c r="J30879" s="309"/>
    </row>
    <row r="30880">
      <c r="B30880" s="309"/>
      <c r="C30880" s="309"/>
      <c r="I30880" s="309"/>
      <c r="J30880" s="309"/>
    </row>
    <row r="30881">
      <c r="B30881" s="309"/>
      <c r="C30881" s="309"/>
      <c r="I30881" s="309"/>
      <c r="J30881" s="309"/>
    </row>
    <row r="30882">
      <c r="B30882" s="309"/>
      <c r="C30882" s="309"/>
      <c r="I30882" s="309"/>
      <c r="J30882" s="309"/>
    </row>
    <row r="30883">
      <c r="B30883" s="309"/>
      <c r="C30883" s="309"/>
      <c r="I30883" s="309"/>
      <c r="J30883" s="309"/>
    </row>
    <row r="30884">
      <c r="B30884" s="309"/>
      <c r="C30884" s="309"/>
      <c r="I30884" s="309"/>
      <c r="J30884" s="309"/>
    </row>
    <row r="30885">
      <c r="B30885" s="309"/>
      <c r="C30885" s="309"/>
      <c r="I30885" s="309"/>
      <c r="J30885" s="309"/>
    </row>
    <row r="30886">
      <c r="B30886" s="309"/>
      <c r="C30886" s="309"/>
      <c r="I30886" s="309"/>
      <c r="J30886" s="309"/>
    </row>
    <row r="30887">
      <c r="B30887" s="309"/>
      <c r="C30887" s="309"/>
      <c r="I30887" s="309"/>
      <c r="J30887" s="309"/>
    </row>
    <row r="30888">
      <c r="B30888" s="309"/>
      <c r="C30888" s="309"/>
      <c r="I30888" s="309"/>
      <c r="J30888" s="309"/>
    </row>
    <row r="30889">
      <c r="B30889" s="309"/>
      <c r="C30889" s="309"/>
      <c r="I30889" s="309"/>
      <c r="J30889" s="309"/>
    </row>
    <row r="30890">
      <c r="B30890" s="309"/>
      <c r="C30890" s="309"/>
      <c r="I30890" s="309"/>
      <c r="J30890" s="309"/>
    </row>
    <row r="30891">
      <c r="B30891" s="309"/>
      <c r="C30891" s="309"/>
      <c r="I30891" s="309"/>
      <c r="J30891" s="309"/>
    </row>
    <row r="30892">
      <c r="B30892" s="309"/>
      <c r="C30892" s="309"/>
      <c r="I30892" s="309"/>
      <c r="J30892" s="309"/>
    </row>
    <row r="30893">
      <c r="B30893" s="309"/>
      <c r="C30893" s="309"/>
      <c r="I30893" s="309"/>
      <c r="J30893" s="309"/>
    </row>
    <row r="30894">
      <c r="B30894" s="309"/>
      <c r="C30894" s="309"/>
      <c r="I30894" s="309"/>
      <c r="J30894" s="309"/>
    </row>
    <row r="30895">
      <c r="B30895" s="309"/>
      <c r="C30895" s="309"/>
      <c r="I30895" s="309"/>
      <c r="J30895" s="309"/>
    </row>
    <row r="30896">
      <c r="B30896" s="309"/>
      <c r="C30896" s="309"/>
      <c r="I30896" s="309"/>
      <c r="J30896" s="309"/>
    </row>
    <row r="30897">
      <c r="B30897" s="309"/>
      <c r="C30897" s="309"/>
      <c r="I30897" s="309"/>
      <c r="J30897" s="309"/>
    </row>
    <row r="30898">
      <c r="B30898" s="309"/>
      <c r="C30898" s="309"/>
      <c r="I30898" s="309"/>
      <c r="J30898" s="309"/>
    </row>
    <row r="30899">
      <c r="B30899" s="309"/>
      <c r="C30899" s="309"/>
      <c r="I30899" s="309"/>
      <c r="J30899" s="309"/>
    </row>
    <row r="30900">
      <c r="B30900" s="309"/>
      <c r="C30900" s="309"/>
      <c r="I30900" s="309"/>
      <c r="J30900" s="309"/>
    </row>
    <row r="30901">
      <c r="B30901" s="309"/>
      <c r="C30901" s="309"/>
      <c r="I30901" s="309"/>
      <c r="J30901" s="309"/>
    </row>
    <row r="30902">
      <c r="B30902" s="309"/>
      <c r="C30902" s="309"/>
      <c r="I30902" s="309"/>
      <c r="J30902" s="309"/>
    </row>
    <row r="30903">
      <c r="B30903" s="309"/>
      <c r="C30903" s="309"/>
      <c r="I30903" s="309"/>
      <c r="J30903" s="309"/>
    </row>
    <row r="30904">
      <c r="B30904" s="309"/>
      <c r="C30904" s="309"/>
      <c r="I30904" s="309"/>
      <c r="J30904" s="309"/>
    </row>
    <row r="30905">
      <c r="B30905" s="309"/>
      <c r="C30905" s="309"/>
      <c r="I30905" s="309"/>
      <c r="J30905" s="309"/>
    </row>
    <row r="30906">
      <c r="B30906" s="309"/>
      <c r="C30906" s="309"/>
      <c r="I30906" s="309"/>
      <c r="J30906" s="309"/>
    </row>
    <row r="30907">
      <c r="B30907" s="309"/>
      <c r="C30907" s="309"/>
      <c r="I30907" s="309"/>
      <c r="J30907" s="309"/>
    </row>
    <row r="30908">
      <c r="B30908" s="309"/>
      <c r="C30908" s="309"/>
      <c r="I30908" s="309"/>
      <c r="J30908" s="309"/>
    </row>
    <row r="30909">
      <c r="B30909" s="309"/>
      <c r="C30909" s="309"/>
      <c r="I30909" s="309"/>
      <c r="J30909" s="309"/>
    </row>
    <row r="30910">
      <c r="B30910" s="309"/>
      <c r="C30910" s="309"/>
      <c r="I30910" s="309"/>
      <c r="J30910" s="309"/>
    </row>
    <row r="30911">
      <c r="B30911" s="309"/>
      <c r="C30911" s="309"/>
      <c r="I30911" s="309"/>
      <c r="J30911" s="309"/>
    </row>
    <row r="30912">
      <c r="B30912" s="309"/>
      <c r="C30912" s="309"/>
      <c r="I30912" s="309"/>
      <c r="J30912" s="309"/>
    </row>
    <row r="30913">
      <c r="B30913" s="309"/>
      <c r="C30913" s="309"/>
      <c r="I30913" s="309"/>
      <c r="J30913" s="309"/>
    </row>
    <row r="30914">
      <c r="B30914" s="309"/>
      <c r="C30914" s="309"/>
      <c r="I30914" s="309"/>
      <c r="J30914" s="309"/>
    </row>
    <row r="30915">
      <c r="B30915" s="309"/>
      <c r="C30915" s="309"/>
      <c r="I30915" s="309"/>
      <c r="J30915" s="309"/>
    </row>
    <row r="30916">
      <c r="B30916" s="309"/>
      <c r="C30916" s="309"/>
      <c r="I30916" s="309"/>
      <c r="J30916" s="309"/>
    </row>
    <row r="30917">
      <c r="B30917" s="309"/>
      <c r="C30917" s="309"/>
      <c r="I30917" s="309"/>
      <c r="J30917" s="309"/>
    </row>
    <row r="30918">
      <c r="B30918" s="309"/>
      <c r="C30918" s="309"/>
      <c r="I30918" s="309"/>
      <c r="J30918" s="309"/>
    </row>
    <row r="30919">
      <c r="B30919" s="309"/>
      <c r="C30919" s="309"/>
      <c r="I30919" s="309"/>
      <c r="J30919" s="309"/>
    </row>
    <row r="30920">
      <c r="B30920" s="309"/>
      <c r="C30920" s="309"/>
      <c r="I30920" s="309"/>
      <c r="J30920" s="309"/>
    </row>
    <row r="30921">
      <c r="B30921" s="309"/>
      <c r="C30921" s="309"/>
      <c r="I30921" s="309"/>
      <c r="J30921" s="309"/>
    </row>
    <row r="30922">
      <c r="B30922" s="309"/>
      <c r="C30922" s="309"/>
      <c r="I30922" s="309"/>
      <c r="J30922" s="309"/>
    </row>
    <row r="30923">
      <c r="B30923" s="309"/>
      <c r="C30923" s="309"/>
      <c r="I30923" s="309"/>
      <c r="J30923" s="309"/>
    </row>
    <row r="30924">
      <c r="B30924" s="309"/>
      <c r="C30924" s="309"/>
      <c r="I30924" s="309"/>
      <c r="J30924" s="309"/>
    </row>
    <row r="30925">
      <c r="B30925" s="309"/>
      <c r="C30925" s="309"/>
      <c r="I30925" s="309"/>
      <c r="J30925" s="309"/>
    </row>
    <row r="30926">
      <c r="B30926" s="309"/>
      <c r="C30926" s="309"/>
      <c r="I30926" s="309"/>
      <c r="J30926" s="309"/>
    </row>
    <row r="30927">
      <c r="B30927" s="309"/>
      <c r="C30927" s="309"/>
      <c r="I30927" s="309"/>
      <c r="J30927" s="309"/>
    </row>
    <row r="30928">
      <c r="B30928" s="309"/>
      <c r="C30928" s="309"/>
      <c r="I30928" s="309"/>
      <c r="J30928" s="309"/>
    </row>
    <row r="30929">
      <c r="B30929" s="309"/>
      <c r="C30929" s="309"/>
      <c r="I30929" s="309"/>
      <c r="J30929" s="309"/>
    </row>
    <row r="30930">
      <c r="B30930" s="309"/>
      <c r="C30930" s="309"/>
      <c r="I30930" s="309"/>
      <c r="J30930" s="309"/>
    </row>
    <row r="30931">
      <c r="B30931" s="309"/>
      <c r="C30931" s="309"/>
      <c r="I30931" s="309"/>
      <c r="J30931" s="309"/>
    </row>
    <row r="30932">
      <c r="B30932" s="309"/>
      <c r="C30932" s="309"/>
      <c r="I30932" s="309"/>
      <c r="J30932" s="309"/>
    </row>
    <row r="30933">
      <c r="B30933" s="309"/>
      <c r="C30933" s="309"/>
      <c r="I30933" s="309"/>
      <c r="J30933" s="309"/>
    </row>
    <row r="30934">
      <c r="B30934" s="309"/>
      <c r="C30934" s="309"/>
      <c r="I30934" s="309"/>
      <c r="J30934" s="309"/>
    </row>
    <row r="30935">
      <c r="B30935" s="309"/>
      <c r="C30935" s="309"/>
      <c r="I30935" s="309"/>
      <c r="J30935" s="309"/>
    </row>
    <row r="30936">
      <c r="B30936" s="309"/>
      <c r="C30936" s="309"/>
      <c r="I30936" s="309"/>
      <c r="J30936" s="309"/>
    </row>
    <row r="30937">
      <c r="B30937" s="309"/>
      <c r="C30937" s="309"/>
      <c r="I30937" s="309"/>
      <c r="J30937" s="309"/>
    </row>
    <row r="30938">
      <c r="B30938" s="309"/>
      <c r="C30938" s="309"/>
      <c r="I30938" s="309"/>
      <c r="J30938" s="309"/>
    </row>
    <row r="30939">
      <c r="B30939" s="309"/>
      <c r="C30939" s="309"/>
      <c r="I30939" s="309"/>
      <c r="J30939" s="309"/>
    </row>
    <row r="30940">
      <c r="B30940" s="309"/>
      <c r="C30940" s="309"/>
      <c r="I30940" s="309"/>
      <c r="J30940" s="309"/>
    </row>
    <row r="30941">
      <c r="B30941" s="309"/>
      <c r="C30941" s="309"/>
      <c r="I30941" s="309"/>
      <c r="J30941" s="309"/>
    </row>
    <row r="30942">
      <c r="B30942" s="309"/>
      <c r="C30942" s="309"/>
      <c r="I30942" s="309"/>
      <c r="J30942" s="309"/>
    </row>
    <row r="30943">
      <c r="B30943" s="309"/>
      <c r="C30943" s="309"/>
      <c r="I30943" s="309"/>
      <c r="J30943" s="309"/>
    </row>
    <row r="30944">
      <c r="B30944" s="309"/>
      <c r="C30944" s="309"/>
      <c r="I30944" s="309"/>
      <c r="J30944" s="309"/>
    </row>
    <row r="30945">
      <c r="B30945" s="309"/>
      <c r="C30945" s="309"/>
      <c r="I30945" s="309"/>
      <c r="J30945" s="309"/>
    </row>
    <row r="30946">
      <c r="B30946" s="309"/>
      <c r="C30946" s="309"/>
      <c r="I30946" s="309"/>
      <c r="J30946" s="309"/>
    </row>
    <row r="30947">
      <c r="B30947" s="309"/>
      <c r="C30947" s="309"/>
      <c r="I30947" s="309"/>
      <c r="J30947" s="309"/>
    </row>
    <row r="30948">
      <c r="B30948" s="309"/>
      <c r="C30948" s="309"/>
      <c r="I30948" s="309"/>
      <c r="J30948" s="309"/>
    </row>
    <row r="30949">
      <c r="B30949" s="309"/>
      <c r="C30949" s="309"/>
      <c r="I30949" s="309"/>
      <c r="J30949" s="309"/>
    </row>
    <row r="30950">
      <c r="B30950" s="309"/>
      <c r="C30950" s="309"/>
      <c r="I30950" s="309"/>
      <c r="J30950" s="309"/>
    </row>
    <row r="30951">
      <c r="B30951" s="309"/>
      <c r="C30951" s="309"/>
      <c r="I30951" s="309"/>
      <c r="J30951" s="309"/>
    </row>
    <row r="30952">
      <c r="B30952" s="309"/>
      <c r="C30952" s="309"/>
      <c r="I30952" s="309"/>
      <c r="J30952" s="309"/>
    </row>
    <row r="30953">
      <c r="B30953" s="309"/>
      <c r="C30953" s="309"/>
      <c r="I30953" s="309"/>
      <c r="J30953" s="309"/>
    </row>
    <row r="30954">
      <c r="B30954" s="309"/>
      <c r="C30954" s="309"/>
      <c r="I30954" s="309"/>
      <c r="J30954" s="309"/>
    </row>
    <row r="30955">
      <c r="B30955" s="309"/>
      <c r="C30955" s="309"/>
      <c r="I30955" s="309"/>
      <c r="J30955" s="309"/>
    </row>
    <row r="30956">
      <c r="B30956" s="309"/>
      <c r="C30956" s="309"/>
      <c r="I30956" s="309"/>
      <c r="J30956" s="309"/>
    </row>
    <row r="30957">
      <c r="B30957" s="309"/>
      <c r="C30957" s="309"/>
      <c r="I30957" s="309"/>
      <c r="J30957" s="309"/>
    </row>
    <row r="30958">
      <c r="B30958" s="309"/>
      <c r="C30958" s="309"/>
      <c r="I30958" s="309"/>
      <c r="J30958" s="309"/>
    </row>
    <row r="30959">
      <c r="B30959" s="309"/>
      <c r="C30959" s="309"/>
      <c r="I30959" s="309"/>
      <c r="J30959" s="309"/>
    </row>
    <row r="30960">
      <c r="B30960" s="309"/>
      <c r="C30960" s="309"/>
      <c r="I30960" s="309"/>
      <c r="J30960" s="309"/>
    </row>
    <row r="30961">
      <c r="B30961" s="309"/>
      <c r="C30961" s="309"/>
      <c r="I30961" s="309"/>
      <c r="J30961" s="309"/>
    </row>
    <row r="30962">
      <c r="B30962" s="309"/>
      <c r="C30962" s="309"/>
      <c r="I30962" s="309"/>
      <c r="J30962" s="309"/>
    </row>
    <row r="30963">
      <c r="B30963" s="309"/>
      <c r="C30963" s="309"/>
      <c r="I30963" s="309"/>
      <c r="J30963" s="309"/>
    </row>
    <row r="30964">
      <c r="B30964" s="309"/>
      <c r="C30964" s="309"/>
      <c r="I30964" s="309"/>
      <c r="J30964" s="309"/>
    </row>
    <row r="30965">
      <c r="B30965" s="309"/>
      <c r="C30965" s="309"/>
      <c r="I30965" s="309"/>
      <c r="J30965" s="309"/>
    </row>
    <row r="30966">
      <c r="B30966" s="309"/>
      <c r="C30966" s="309"/>
      <c r="I30966" s="309"/>
      <c r="J30966" s="309"/>
    </row>
    <row r="30967">
      <c r="B30967" s="309"/>
      <c r="C30967" s="309"/>
      <c r="I30967" s="309"/>
      <c r="J30967" s="309"/>
    </row>
    <row r="30968">
      <c r="B30968" s="309"/>
      <c r="C30968" s="309"/>
      <c r="I30968" s="309"/>
      <c r="J30968" s="309"/>
    </row>
    <row r="30969">
      <c r="B30969" s="309"/>
      <c r="C30969" s="309"/>
      <c r="I30969" s="309"/>
      <c r="J30969" s="309"/>
    </row>
    <row r="30970">
      <c r="B30970" s="309"/>
      <c r="C30970" s="309"/>
      <c r="I30970" s="309"/>
      <c r="J30970" s="309"/>
    </row>
    <row r="30971">
      <c r="B30971" s="309"/>
      <c r="C30971" s="309"/>
      <c r="I30971" s="309"/>
      <c r="J30971" s="309"/>
    </row>
    <row r="30972">
      <c r="B30972" s="309"/>
      <c r="C30972" s="309"/>
      <c r="I30972" s="309"/>
      <c r="J30972" s="309"/>
    </row>
    <row r="30973">
      <c r="B30973" s="309"/>
      <c r="C30973" s="309"/>
      <c r="I30973" s="309"/>
      <c r="J30973" s="309"/>
    </row>
    <row r="30974">
      <c r="B30974" s="309"/>
      <c r="C30974" s="309"/>
      <c r="I30974" s="309"/>
      <c r="J30974" s="309"/>
    </row>
    <row r="30975">
      <c r="B30975" s="309"/>
      <c r="C30975" s="309"/>
      <c r="I30975" s="309"/>
      <c r="J30975" s="309"/>
    </row>
    <row r="30976">
      <c r="B30976" s="309"/>
      <c r="C30976" s="309"/>
      <c r="I30976" s="309"/>
      <c r="J30976" s="309"/>
    </row>
    <row r="30977">
      <c r="B30977" s="309"/>
      <c r="C30977" s="309"/>
      <c r="I30977" s="309"/>
      <c r="J30977" s="309"/>
    </row>
    <row r="30978">
      <c r="B30978" s="309"/>
      <c r="C30978" s="309"/>
      <c r="I30978" s="309"/>
      <c r="J30978" s="309"/>
    </row>
    <row r="30979">
      <c r="B30979" s="309"/>
      <c r="C30979" s="309"/>
      <c r="I30979" s="309"/>
      <c r="J30979" s="309"/>
    </row>
    <row r="30980">
      <c r="B30980" s="309"/>
      <c r="C30980" s="309"/>
      <c r="I30980" s="309"/>
      <c r="J30980" s="309"/>
    </row>
    <row r="30981">
      <c r="B30981" s="309"/>
      <c r="C30981" s="309"/>
      <c r="I30981" s="309"/>
      <c r="J30981" s="309"/>
    </row>
    <row r="30982">
      <c r="B30982" s="309"/>
      <c r="C30982" s="309"/>
      <c r="I30982" s="309"/>
      <c r="J30982" s="309"/>
    </row>
    <row r="30983">
      <c r="B30983" s="309"/>
      <c r="C30983" s="309"/>
      <c r="I30983" s="309"/>
      <c r="J30983" s="309"/>
    </row>
    <row r="30984">
      <c r="B30984" s="309"/>
      <c r="C30984" s="309"/>
      <c r="I30984" s="309"/>
      <c r="J30984" s="309"/>
    </row>
    <row r="30985">
      <c r="B30985" s="309"/>
      <c r="C30985" s="309"/>
      <c r="I30985" s="309"/>
      <c r="J30985" s="309"/>
    </row>
    <row r="30986">
      <c r="B30986" s="309"/>
      <c r="C30986" s="309"/>
      <c r="I30986" s="309"/>
      <c r="J30986" s="309"/>
    </row>
    <row r="30987">
      <c r="B30987" s="309"/>
      <c r="C30987" s="309"/>
      <c r="I30987" s="309"/>
      <c r="J30987" s="309"/>
    </row>
    <row r="30988">
      <c r="B30988" s="309"/>
      <c r="C30988" s="309"/>
      <c r="I30988" s="309"/>
      <c r="J30988" s="309"/>
    </row>
    <row r="30989">
      <c r="B30989" s="309"/>
      <c r="C30989" s="309"/>
      <c r="I30989" s="309"/>
      <c r="J30989" s="309"/>
    </row>
    <row r="30990">
      <c r="B30990" s="309"/>
      <c r="C30990" s="309"/>
      <c r="I30990" s="309"/>
      <c r="J30990" s="309"/>
    </row>
    <row r="30991">
      <c r="B30991" s="309"/>
      <c r="C30991" s="309"/>
      <c r="I30991" s="309"/>
      <c r="J30991" s="309"/>
    </row>
    <row r="30992">
      <c r="B30992" s="309"/>
      <c r="C30992" s="309"/>
      <c r="I30992" s="309"/>
      <c r="J30992" s="309"/>
    </row>
    <row r="30993">
      <c r="B30993" s="309"/>
      <c r="C30993" s="309"/>
      <c r="I30993" s="309"/>
      <c r="J30993" s="309"/>
    </row>
    <row r="30994">
      <c r="B30994" s="309"/>
      <c r="C30994" s="309"/>
      <c r="I30994" s="309"/>
      <c r="J30994" s="309"/>
    </row>
    <row r="30995">
      <c r="B30995" s="309"/>
      <c r="C30995" s="309"/>
      <c r="I30995" s="309"/>
      <c r="J30995" s="309"/>
    </row>
    <row r="30996">
      <c r="B30996" s="309"/>
      <c r="C30996" s="309"/>
      <c r="I30996" s="309"/>
      <c r="J30996" s="309"/>
    </row>
    <row r="30997">
      <c r="B30997" s="309"/>
      <c r="C30997" s="309"/>
      <c r="I30997" s="309"/>
      <c r="J30997" s="309"/>
    </row>
    <row r="30998">
      <c r="B30998" s="309"/>
      <c r="C30998" s="309"/>
      <c r="I30998" s="309"/>
      <c r="J30998" s="309"/>
    </row>
    <row r="30999">
      <c r="B30999" s="309"/>
      <c r="C30999" s="309"/>
      <c r="I30999" s="309"/>
      <c r="J30999" s="309"/>
    </row>
    <row r="31000">
      <c r="B31000" s="309"/>
      <c r="C31000" s="309"/>
      <c r="I31000" s="309"/>
      <c r="J31000" s="309"/>
    </row>
    <row r="31001">
      <c r="B31001" s="309"/>
      <c r="C31001" s="309"/>
      <c r="I31001" s="309"/>
      <c r="J31001" s="309"/>
    </row>
    <row r="31002">
      <c r="B31002" s="309"/>
      <c r="C31002" s="309"/>
      <c r="I31002" s="309"/>
      <c r="J31002" s="309"/>
    </row>
    <row r="31003">
      <c r="B31003" s="309"/>
      <c r="C31003" s="309"/>
      <c r="I31003" s="309"/>
      <c r="J31003" s="309"/>
    </row>
    <row r="31004">
      <c r="B31004" s="309"/>
      <c r="C31004" s="309"/>
      <c r="I31004" s="309"/>
      <c r="J31004" s="309"/>
    </row>
    <row r="31005">
      <c r="B31005" s="309"/>
      <c r="C31005" s="309"/>
      <c r="I31005" s="309"/>
      <c r="J31005" s="309"/>
    </row>
    <row r="31006">
      <c r="B31006" s="309"/>
      <c r="C31006" s="309"/>
      <c r="I31006" s="309"/>
      <c r="J31006" s="309"/>
    </row>
    <row r="31007">
      <c r="B31007" s="309"/>
      <c r="C31007" s="309"/>
      <c r="I31007" s="309"/>
      <c r="J31007" s="309"/>
    </row>
    <row r="31008">
      <c r="B31008" s="309"/>
      <c r="C31008" s="309"/>
      <c r="I31008" s="309"/>
      <c r="J31008" s="309"/>
    </row>
    <row r="31009">
      <c r="B31009" s="309"/>
      <c r="C31009" s="309"/>
      <c r="I31009" s="309"/>
      <c r="J31009" s="309"/>
    </row>
    <row r="31010">
      <c r="B31010" s="309"/>
      <c r="C31010" s="309"/>
      <c r="I31010" s="309"/>
      <c r="J31010" s="309"/>
    </row>
    <row r="31011">
      <c r="B31011" s="309"/>
      <c r="C31011" s="309"/>
      <c r="I31011" s="309"/>
      <c r="J31011" s="309"/>
    </row>
    <row r="31012">
      <c r="B31012" s="309"/>
      <c r="C31012" s="309"/>
      <c r="I31012" s="309"/>
      <c r="J31012" s="309"/>
    </row>
    <row r="31013">
      <c r="B31013" s="309"/>
      <c r="C31013" s="309"/>
      <c r="I31013" s="309"/>
      <c r="J31013" s="309"/>
    </row>
    <row r="31014">
      <c r="B31014" s="309"/>
      <c r="C31014" s="309"/>
      <c r="I31014" s="309"/>
      <c r="J31014" s="309"/>
    </row>
    <row r="31015">
      <c r="B31015" s="309"/>
      <c r="C31015" s="309"/>
      <c r="I31015" s="309"/>
      <c r="J31015" s="309"/>
    </row>
    <row r="31016">
      <c r="B31016" s="309"/>
      <c r="C31016" s="309"/>
      <c r="I31016" s="309"/>
      <c r="J31016" s="309"/>
    </row>
    <row r="31017">
      <c r="B31017" s="309"/>
      <c r="C31017" s="309"/>
      <c r="I31017" s="309"/>
      <c r="J31017" s="309"/>
    </row>
    <row r="31018">
      <c r="B31018" s="309"/>
      <c r="C31018" s="309"/>
      <c r="I31018" s="309"/>
      <c r="J31018" s="309"/>
    </row>
    <row r="31019">
      <c r="B31019" s="309"/>
      <c r="C31019" s="309"/>
      <c r="I31019" s="309"/>
      <c r="J31019" s="309"/>
    </row>
    <row r="31020">
      <c r="B31020" s="309"/>
      <c r="C31020" s="309"/>
      <c r="I31020" s="309"/>
      <c r="J31020" s="309"/>
    </row>
    <row r="31021">
      <c r="B31021" s="309"/>
      <c r="C31021" s="309"/>
      <c r="I31021" s="309"/>
      <c r="J31021" s="309"/>
    </row>
    <row r="31022">
      <c r="B31022" s="309"/>
      <c r="C31022" s="309"/>
      <c r="I31022" s="309"/>
      <c r="J31022" s="309"/>
    </row>
    <row r="31023">
      <c r="B31023" s="309"/>
      <c r="C31023" s="309"/>
      <c r="I31023" s="309"/>
      <c r="J31023" s="309"/>
    </row>
    <row r="31024">
      <c r="B31024" s="309"/>
      <c r="C31024" s="309"/>
      <c r="I31024" s="309"/>
      <c r="J31024" s="309"/>
    </row>
    <row r="31025">
      <c r="B31025" s="309"/>
      <c r="C31025" s="309"/>
      <c r="I31025" s="309"/>
      <c r="J31025" s="309"/>
    </row>
    <row r="31026">
      <c r="B31026" s="309"/>
      <c r="C31026" s="309"/>
      <c r="I31026" s="309"/>
      <c r="J31026" s="309"/>
    </row>
    <row r="31027">
      <c r="B31027" s="309"/>
      <c r="C31027" s="309"/>
      <c r="I31027" s="309"/>
      <c r="J31027" s="309"/>
    </row>
    <row r="31028">
      <c r="B31028" s="309"/>
      <c r="C31028" s="309"/>
      <c r="I31028" s="309"/>
      <c r="J31028" s="309"/>
    </row>
    <row r="31029">
      <c r="B31029" s="309"/>
      <c r="C31029" s="309"/>
      <c r="I31029" s="309"/>
      <c r="J31029" s="309"/>
    </row>
    <row r="31030">
      <c r="B31030" s="309"/>
      <c r="C31030" s="309"/>
      <c r="I31030" s="309"/>
      <c r="J31030" s="309"/>
    </row>
    <row r="31031">
      <c r="B31031" s="309"/>
      <c r="C31031" s="309"/>
      <c r="I31031" s="309"/>
      <c r="J31031" s="309"/>
    </row>
    <row r="31032">
      <c r="B31032" s="309"/>
      <c r="C31032" s="309"/>
      <c r="I31032" s="309"/>
      <c r="J31032" s="309"/>
    </row>
    <row r="31033">
      <c r="B31033" s="309"/>
      <c r="C31033" s="309"/>
      <c r="I31033" s="309"/>
      <c r="J31033" s="309"/>
    </row>
    <row r="31034">
      <c r="B31034" s="309"/>
      <c r="C31034" s="309"/>
      <c r="I31034" s="309"/>
      <c r="J31034" s="309"/>
    </row>
    <row r="31035">
      <c r="B31035" s="309"/>
      <c r="C31035" s="309"/>
      <c r="I31035" s="309"/>
      <c r="J31035" s="309"/>
    </row>
    <row r="31036">
      <c r="B31036" s="309"/>
      <c r="C31036" s="309"/>
      <c r="I31036" s="309"/>
      <c r="J31036" s="309"/>
    </row>
    <row r="31037">
      <c r="B31037" s="309"/>
      <c r="C31037" s="309"/>
      <c r="I31037" s="309"/>
      <c r="J31037" s="309"/>
    </row>
    <row r="31038">
      <c r="B31038" s="309"/>
      <c r="C31038" s="309"/>
      <c r="I31038" s="309"/>
      <c r="J31038" s="309"/>
    </row>
    <row r="31039">
      <c r="B31039" s="309"/>
      <c r="C31039" s="309"/>
      <c r="I31039" s="309"/>
      <c r="J31039" s="309"/>
    </row>
    <row r="31040">
      <c r="B31040" s="309"/>
      <c r="C31040" s="309"/>
      <c r="I31040" s="309"/>
      <c r="J31040" s="309"/>
    </row>
    <row r="31041">
      <c r="B31041" s="309"/>
      <c r="C31041" s="309"/>
      <c r="I31041" s="309"/>
      <c r="J31041" s="309"/>
    </row>
    <row r="31042">
      <c r="B31042" s="309"/>
      <c r="C31042" s="309"/>
      <c r="I31042" s="309"/>
      <c r="J31042" s="309"/>
    </row>
    <row r="31043">
      <c r="B31043" s="309"/>
      <c r="C31043" s="309"/>
      <c r="I31043" s="309"/>
      <c r="J31043" s="309"/>
    </row>
    <row r="31044">
      <c r="B31044" s="309"/>
      <c r="C31044" s="309"/>
      <c r="I31044" s="309"/>
      <c r="J31044" s="309"/>
    </row>
    <row r="31045">
      <c r="B31045" s="309"/>
      <c r="C31045" s="309"/>
      <c r="I31045" s="309"/>
      <c r="J31045" s="309"/>
    </row>
    <row r="31046">
      <c r="B31046" s="309"/>
      <c r="C31046" s="309"/>
      <c r="I31046" s="309"/>
      <c r="J31046" s="309"/>
    </row>
    <row r="31047">
      <c r="B31047" s="309"/>
      <c r="C31047" s="309"/>
      <c r="I31047" s="309"/>
      <c r="J31047" s="309"/>
    </row>
    <row r="31048">
      <c r="B31048" s="309"/>
      <c r="C31048" s="309"/>
      <c r="I31048" s="309"/>
      <c r="J31048" s="309"/>
    </row>
    <row r="31049">
      <c r="B31049" s="309"/>
      <c r="C31049" s="309"/>
      <c r="I31049" s="309"/>
      <c r="J31049" s="309"/>
    </row>
    <row r="31050">
      <c r="B31050" s="309"/>
      <c r="C31050" s="309"/>
      <c r="I31050" s="309"/>
      <c r="J31050" s="309"/>
    </row>
    <row r="31051">
      <c r="B31051" s="309"/>
      <c r="C31051" s="309"/>
      <c r="I31051" s="309"/>
      <c r="J31051" s="309"/>
    </row>
    <row r="31052">
      <c r="B31052" s="309"/>
      <c r="C31052" s="309"/>
      <c r="I31052" s="309"/>
      <c r="J31052" s="309"/>
    </row>
    <row r="31053">
      <c r="B31053" s="309"/>
      <c r="C31053" s="309"/>
      <c r="I31053" s="309"/>
      <c r="J31053" s="309"/>
    </row>
    <row r="31054">
      <c r="B31054" s="309"/>
      <c r="C31054" s="309"/>
      <c r="I31054" s="309"/>
      <c r="J31054" s="309"/>
    </row>
    <row r="31055">
      <c r="B31055" s="309"/>
      <c r="C31055" s="309"/>
      <c r="I31055" s="309"/>
      <c r="J31055" s="309"/>
    </row>
    <row r="31056">
      <c r="B31056" s="309"/>
      <c r="C31056" s="309"/>
      <c r="I31056" s="309"/>
      <c r="J31056" s="309"/>
    </row>
    <row r="31057">
      <c r="B31057" s="309"/>
      <c r="C31057" s="309"/>
      <c r="I31057" s="309"/>
      <c r="J31057" s="309"/>
    </row>
    <row r="31058">
      <c r="B31058" s="309"/>
      <c r="C31058" s="309"/>
      <c r="I31058" s="309"/>
      <c r="J31058" s="309"/>
    </row>
    <row r="31059">
      <c r="B31059" s="309"/>
      <c r="C31059" s="309"/>
      <c r="I31059" s="309"/>
      <c r="J31059" s="309"/>
    </row>
    <row r="31060">
      <c r="B31060" s="309"/>
      <c r="C31060" s="309"/>
      <c r="I31060" s="309"/>
      <c r="J31060" s="309"/>
    </row>
    <row r="31061">
      <c r="B31061" s="309"/>
      <c r="C31061" s="309"/>
      <c r="I31061" s="309"/>
      <c r="J31061" s="309"/>
    </row>
    <row r="31062">
      <c r="B31062" s="309"/>
      <c r="C31062" s="309"/>
      <c r="I31062" s="309"/>
      <c r="J31062" s="309"/>
    </row>
    <row r="31063">
      <c r="B31063" s="309"/>
      <c r="C31063" s="309"/>
      <c r="I31063" s="309"/>
      <c r="J31063" s="309"/>
    </row>
    <row r="31064">
      <c r="B31064" s="309"/>
      <c r="C31064" s="309"/>
      <c r="I31064" s="309"/>
      <c r="J31064" s="309"/>
    </row>
    <row r="31065">
      <c r="B31065" s="309"/>
      <c r="C31065" s="309"/>
      <c r="I31065" s="309"/>
      <c r="J31065" s="309"/>
    </row>
    <row r="31066">
      <c r="B31066" s="309"/>
      <c r="C31066" s="309"/>
      <c r="I31066" s="309"/>
      <c r="J31066" s="309"/>
    </row>
    <row r="31067">
      <c r="B31067" s="309"/>
      <c r="C31067" s="309"/>
      <c r="I31067" s="309"/>
      <c r="J31067" s="309"/>
    </row>
    <row r="31068">
      <c r="B31068" s="309"/>
      <c r="C31068" s="309"/>
      <c r="I31068" s="309"/>
      <c r="J31068" s="309"/>
    </row>
    <row r="31069">
      <c r="B31069" s="309"/>
      <c r="C31069" s="309"/>
      <c r="I31069" s="309"/>
      <c r="J31069" s="309"/>
    </row>
    <row r="31070">
      <c r="B31070" s="309"/>
      <c r="C31070" s="309"/>
      <c r="I31070" s="309"/>
      <c r="J31070" s="309"/>
    </row>
    <row r="31071">
      <c r="B31071" s="309"/>
      <c r="C31071" s="309"/>
      <c r="I31071" s="309"/>
      <c r="J31071" s="309"/>
    </row>
    <row r="31072">
      <c r="B31072" s="309"/>
      <c r="C31072" s="309"/>
      <c r="I31072" s="309"/>
      <c r="J31072" s="309"/>
    </row>
    <row r="31073">
      <c r="B31073" s="309"/>
      <c r="C31073" s="309"/>
      <c r="I31073" s="309"/>
      <c r="J31073" s="309"/>
    </row>
    <row r="31074">
      <c r="B31074" s="309"/>
      <c r="C31074" s="309"/>
      <c r="I31074" s="309"/>
      <c r="J31074" s="309"/>
    </row>
    <row r="31075">
      <c r="B31075" s="309"/>
      <c r="C31075" s="309"/>
      <c r="I31075" s="309"/>
      <c r="J31075" s="309"/>
    </row>
    <row r="31076">
      <c r="B31076" s="309"/>
      <c r="C31076" s="309"/>
      <c r="I31076" s="309"/>
      <c r="J31076" s="309"/>
    </row>
    <row r="31077">
      <c r="B31077" s="309"/>
      <c r="C31077" s="309"/>
      <c r="I31077" s="309"/>
      <c r="J31077" s="309"/>
    </row>
    <row r="31078">
      <c r="B31078" s="309"/>
      <c r="C31078" s="309"/>
      <c r="I31078" s="309"/>
      <c r="J31078" s="309"/>
    </row>
    <row r="31079">
      <c r="B31079" s="309"/>
      <c r="C31079" s="309"/>
      <c r="I31079" s="309"/>
      <c r="J31079" s="309"/>
    </row>
    <row r="31080">
      <c r="B31080" s="309"/>
      <c r="C31080" s="309"/>
      <c r="I31080" s="309"/>
      <c r="J31080" s="309"/>
    </row>
    <row r="31081">
      <c r="B31081" s="309"/>
      <c r="C31081" s="309"/>
      <c r="I31081" s="309"/>
      <c r="J31081" s="309"/>
    </row>
    <row r="31082">
      <c r="B31082" s="309"/>
      <c r="C31082" s="309"/>
      <c r="I31082" s="309"/>
      <c r="J31082" s="309"/>
    </row>
    <row r="31083">
      <c r="B31083" s="309"/>
      <c r="C31083" s="309"/>
      <c r="I31083" s="309"/>
      <c r="J31083" s="309"/>
    </row>
    <row r="31084">
      <c r="B31084" s="309"/>
      <c r="C31084" s="309"/>
      <c r="I31084" s="309"/>
      <c r="J31084" s="309"/>
    </row>
    <row r="31085">
      <c r="B31085" s="309"/>
      <c r="C31085" s="309"/>
      <c r="I31085" s="309"/>
      <c r="J31085" s="309"/>
    </row>
    <row r="31086">
      <c r="B31086" s="309"/>
      <c r="C31086" s="309"/>
      <c r="I31086" s="309"/>
      <c r="J31086" s="309"/>
    </row>
    <row r="31087">
      <c r="B31087" s="309"/>
      <c r="C31087" s="309"/>
      <c r="I31087" s="309"/>
      <c r="J31087" s="309"/>
    </row>
    <row r="31088">
      <c r="B31088" s="309"/>
      <c r="C31088" s="309"/>
      <c r="I31088" s="309"/>
      <c r="J31088" s="309"/>
    </row>
    <row r="31089">
      <c r="B31089" s="309"/>
      <c r="C31089" s="309"/>
      <c r="I31089" s="309"/>
      <c r="J31089" s="309"/>
    </row>
    <row r="31090">
      <c r="B31090" s="309"/>
      <c r="C31090" s="309"/>
      <c r="I31090" s="309"/>
      <c r="J31090" s="309"/>
    </row>
    <row r="31091">
      <c r="B31091" s="309"/>
      <c r="C31091" s="309"/>
      <c r="I31091" s="309"/>
      <c r="J31091" s="309"/>
    </row>
    <row r="31092">
      <c r="B31092" s="309"/>
      <c r="C31092" s="309"/>
      <c r="I31092" s="309"/>
      <c r="J31092" s="309"/>
    </row>
    <row r="31093">
      <c r="B31093" s="309"/>
      <c r="C31093" s="309"/>
      <c r="I31093" s="309"/>
      <c r="J31093" s="309"/>
    </row>
    <row r="31094">
      <c r="B31094" s="309"/>
      <c r="C31094" s="309"/>
      <c r="I31094" s="309"/>
      <c r="J31094" s="309"/>
    </row>
    <row r="31095">
      <c r="B31095" s="309"/>
      <c r="C31095" s="309"/>
      <c r="I31095" s="309"/>
      <c r="J31095" s="309"/>
    </row>
    <row r="31096">
      <c r="B31096" s="309"/>
      <c r="C31096" s="309"/>
      <c r="I31096" s="309"/>
      <c r="J31096" s="309"/>
    </row>
    <row r="31097">
      <c r="B31097" s="309"/>
      <c r="C31097" s="309"/>
      <c r="I31097" s="309"/>
      <c r="J31097" s="309"/>
    </row>
    <row r="31098">
      <c r="B31098" s="309"/>
      <c r="C31098" s="309"/>
      <c r="I31098" s="309"/>
      <c r="J31098" s="309"/>
    </row>
    <row r="31099">
      <c r="B31099" s="309"/>
      <c r="C31099" s="309"/>
      <c r="I31099" s="309"/>
      <c r="J31099" s="309"/>
    </row>
    <row r="31100">
      <c r="B31100" s="309"/>
      <c r="C31100" s="309"/>
      <c r="I31100" s="309"/>
      <c r="J31100" s="309"/>
    </row>
    <row r="31101">
      <c r="B31101" s="309"/>
      <c r="C31101" s="309"/>
      <c r="I31101" s="309"/>
      <c r="J31101" s="309"/>
    </row>
    <row r="31102">
      <c r="B31102" s="309"/>
      <c r="C31102" s="309"/>
      <c r="I31102" s="309"/>
      <c r="J31102" s="309"/>
    </row>
    <row r="31103">
      <c r="B31103" s="309"/>
      <c r="C31103" s="309"/>
      <c r="I31103" s="309"/>
      <c r="J31103" s="309"/>
    </row>
    <row r="31104">
      <c r="B31104" s="309"/>
      <c r="C31104" s="309"/>
      <c r="I31104" s="309"/>
      <c r="J31104" s="309"/>
    </row>
    <row r="31105">
      <c r="B31105" s="309"/>
      <c r="C31105" s="309"/>
      <c r="I31105" s="309"/>
      <c r="J31105" s="309"/>
    </row>
    <row r="31106">
      <c r="B31106" s="309"/>
      <c r="C31106" s="309"/>
      <c r="I31106" s="309"/>
      <c r="J31106" s="309"/>
    </row>
    <row r="31107">
      <c r="B31107" s="309"/>
      <c r="C31107" s="309"/>
      <c r="I31107" s="309"/>
      <c r="J31107" s="309"/>
    </row>
    <row r="31108">
      <c r="B31108" s="309"/>
      <c r="C31108" s="309"/>
      <c r="I31108" s="309"/>
      <c r="J31108" s="309"/>
    </row>
    <row r="31109">
      <c r="B31109" s="309"/>
      <c r="C31109" s="309"/>
      <c r="I31109" s="309"/>
      <c r="J31109" s="309"/>
    </row>
    <row r="31110">
      <c r="B31110" s="309"/>
      <c r="C31110" s="309"/>
      <c r="I31110" s="309"/>
      <c r="J31110" s="309"/>
    </row>
    <row r="31111">
      <c r="B31111" s="309"/>
      <c r="C31111" s="309"/>
      <c r="I31111" s="309"/>
      <c r="J31111" s="309"/>
    </row>
    <row r="31112">
      <c r="B31112" s="309"/>
      <c r="C31112" s="309"/>
      <c r="I31112" s="309"/>
      <c r="J31112" s="309"/>
    </row>
    <row r="31113">
      <c r="B31113" s="309"/>
      <c r="C31113" s="309"/>
      <c r="I31113" s="309"/>
      <c r="J31113" s="309"/>
    </row>
    <row r="31114">
      <c r="B31114" s="309"/>
      <c r="C31114" s="309"/>
      <c r="I31114" s="309"/>
      <c r="J31114" s="309"/>
    </row>
    <row r="31115">
      <c r="B31115" s="309"/>
      <c r="C31115" s="309"/>
      <c r="I31115" s="309"/>
      <c r="J31115" s="309"/>
    </row>
    <row r="31116">
      <c r="B31116" s="309"/>
      <c r="C31116" s="309"/>
      <c r="I31116" s="309"/>
      <c r="J31116" s="309"/>
    </row>
    <row r="31117">
      <c r="B31117" s="309"/>
      <c r="C31117" s="309"/>
      <c r="I31117" s="309"/>
      <c r="J31117" s="309"/>
    </row>
    <row r="31118">
      <c r="B31118" s="309"/>
      <c r="C31118" s="309"/>
      <c r="I31118" s="309"/>
      <c r="J31118" s="309"/>
    </row>
    <row r="31119">
      <c r="B31119" s="309"/>
      <c r="C31119" s="309"/>
      <c r="I31119" s="309"/>
      <c r="J31119" s="309"/>
    </row>
    <row r="31120">
      <c r="B31120" s="309"/>
      <c r="C31120" s="309"/>
      <c r="I31120" s="309"/>
      <c r="J31120" s="309"/>
    </row>
    <row r="31121">
      <c r="B31121" s="309"/>
      <c r="C31121" s="309"/>
      <c r="I31121" s="309"/>
      <c r="J31121" s="309"/>
    </row>
    <row r="31122">
      <c r="B31122" s="309"/>
      <c r="C31122" s="309"/>
      <c r="I31122" s="309"/>
      <c r="J31122" s="309"/>
    </row>
    <row r="31123">
      <c r="B31123" s="309"/>
      <c r="C31123" s="309"/>
      <c r="I31123" s="309"/>
      <c r="J31123" s="309"/>
    </row>
    <row r="31124">
      <c r="B31124" s="309"/>
      <c r="C31124" s="309"/>
      <c r="I31124" s="309"/>
      <c r="J31124" s="309"/>
    </row>
    <row r="31125">
      <c r="B31125" s="309"/>
      <c r="C31125" s="309"/>
      <c r="I31125" s="309"/>
      <c r="J31125" s="309"/>
    </row>
    <row r="31126">
      <c r="B31126" s="309"/>
      <c r="C31126" s="309"/>
      <c r="I31126" s="309"/>
      <c r="J31126" s="309"/>
    </row>
    <row r="31127">
      <c r="B31127" s="309"/>
      <c r="C31127" s="309"/>
      <c r="I31127" s="309"/>
      <c r="J31127" s="309"/>
    </row>
    <row r="31128">
      <c r="B31128" s="309"/>
      <c r="C31128" s="309"/>
      <c r="I31128" s="309"/>
      <c r="J31128" s="309"/>
    </row>
    <row r="31129">
      <c r="B31129" s="309"/>
      <c r="C31129" s="309"/>
      <c r="I31129" s="309"/>
      <c r="J31129" s="309"/>
    </row>
    <row r="31130">
      <c r="B31130" s="309"/>
      <c r="C31130" s="309"/>
      <c r="I31130" s="309"/>
      <c r="J31130" s="309"/>
    </row>
    <row r="31131">
      <c r="B31131" s="309"/>
      <c r="C31131" s="309"/>
      <c r="I31131" s="309"/>
      <c r="J31131" s="309"/>
    </row>
    <row r="31132">
      <c r="B31132" s="309"/>
      <c r="C31132" s="309"/>
      <c r="I31132" s="309"/>
      <c r="J31132" s="309"/>
    </row>
    <row r="31133">
      <c r="B31133" s="309"/>
      <c r="C31133" s="309"/>
      <c r="I31133" s="309"/>
      <c r="J31133" s="309"/>
    </row>
    <row r="31134">
      <c r="B31134" s="309"/>
      <c r="C31134" s="309"/>
      <c r="I31134" s="309"/>
      <c r="J31134" s="309"/>
    </row>
    <row r="31135">
      <c r="B31135" s="309"/>
      <c r="C31135" s="309"/>
      <c r="I31135" s="309"/>
      <c r="J31135" s="309"/>
    </row>
    <row r="31136">
      <c r="B31136" s="309"/>
      <c r="C31136" s="309"/>
      <c r="I31136" s="309"/>
      <c r="J31136" s="309"/>
    </row>
    <row r="31137">
      <c r="B31137" s="309"/>
      <c r="C31137" s="309"/>
      <c r="I31137" s="309"/>
      <c r="J31137" s="309"/>
    </row>
    <row r="31138">
      <c r="B31138" s="309"/>
      <c r="C31138" s="309"/>
      <c r="I31138" s="309"/>
      <c r="J31138" s="309"/>
    </row>
    <row r="31139">
      <c r="B31139" s="309"/>
      <c r="C31139" s="309"/>
      <c r="I31139" s="309"/>
      <c r="J31139" s="309"/>
    </row>
    <row r="31140">
      <c r="B31140" s="309"/>
      <c r="C31140" s="309"/>
      <c r="I31140" s="309"/>
      <c r="J31140" s="309"/>
    </row>
    <row r="31141">
      <c r="B31141" s="309"/>
      <c r="C31141" s="309"/>
      <c r="I31141" s="309"/>
      <c r="J31141" s="309"/>
    </row>
    <row r="31142">
      <c r="B31142" s="309"/>
      <c r="C31142" s="309"/>
      <c r="I31142" s="309"/>
      <c r="J31142" s="309"/>
    </row>
    <row r="31143">
      <c r="B31143" s="309"/>
      <c r="C31143" s="309"/>
      <c r="I31143" s="309"/>
      <c r="J31143" s="309"/>
    </row>
    <row r="31144">
      <c r="B31144" s="309"/>
      <c r="C31144" s="309"/>
      <c r="I31144" s="309"/>
      <c r="J31144" s="309"/>
    </row>
    <row r="31145">
      <c r="B31145" s="309"/>
      <c r="C31145" s="309"/>
      <c r="I31145" s="309"/>
      <c r="J31145" s="309"/>
    </row>
    <row r="31146">
      <c r="B31146" s="309"/>
      <c r="C31146" s="309"/>
      <c r="I31146" s="309"/>
      <c r="J31146" s="309"/>
    </row>
    <row r="31147">
      <c r="B31147" s="309"/>
      <c r="C31147" s="309"/>
      <c r="I31147" s="309"/>
      <c r="J31147" s="309"/>
    </row>
    <row r="31148">
      <c r="B31148" s="309"/>
      <c r="C31148" s="309"/>
      <c r="I31148" s="309"/>
      <c r="J31148" s="309"/>
    </row>
    <row r="31149">
      <c r="B31149" s="309"/>
      <c r="C31149" s="309"/>
      <c r="I31149" s="309"/>
      <c r="J31149" s="309"/>
    </row>
    <row r="31150">
      <c r="B31150" s="309"/>
      <c r="C31150" s="309"/>
      <c r="I31150" s="309"/>
      <c r="J31150" s="309"/>
    </row>
    <row r="31151">
      <c r="B31151" s="309"/>
      <c r="C31151" s="309"/>
      <c r="I31151" s="309"/>
      <c r="J31151" s="309"/>
    </row>
    <row r="31152">
      <c r="B31152" s="309"/>
      <c r="C31152" s="309"/>
      <c r="I31152" s="309"/>
      <c r="J31152" s="309"/>
    </row>
    <row r="31153">
      <c r="B31153" s="309"/>
      <c r="C31153" s="309"/>
      <c r="I31153" s="309"/>
      <c r="J31153" s="309"/>
    </row>
    <row r="31154">
      <c r="B31154" s="309"/>
      <c r="C31154" s="309"/>
      <c r="I31154" s="309"/>
      <c r="J31154" s="309"/>
    </row>
    <row r="31155">
      <c r="B31155" s="309"/>
      <c r="C31155" s="309"/>
      <c r="I31155" s="309"/>
      <c r="J31155" s="309"/>
    </row>
    <row r="31156">
      <c r="B31156" s="309"/>
      <c r="C31156" s="309"/>
      <c r="I31156" s="309"/>
      <c r="J31156" s="309"/>
    </row>
    <row r="31157">
      <c r="B31157" s="309"/>
      <c r="C31157" s="309"/>
      <c r="I31157" s="309"/>
      <c r="J31157" s="309"/>
    </row>
    <row r="31158">
      <c r="B31158" s="309"/>
      <c r="C31158" s="309"/>
      <c r="I31158" s="309"/>
      <c r="J31158" s="309"/>
    </row>
    <row r="31159">
      <c r="B31159" s="309"/>
      <c r="C31159" s="309"/>
      <c r="I31159" s="309"/>
      <c r="J31159" s="309"/>
    </row>
    <row r="31160">
      <c r="B31160" s="309"/>
      <c r="C31160" s="309"/>
      <c r="I31160" s="309"/>
      <c r="J31160" s="309"/>
    </row>
    <row r="31161">
      <c r="B31161" s="309"/>
      <c r="C31161" s="309"/>
      <c r="I31161" s="309"/>
      <c r="J31161" s="309"/>
    </row>
    <row r="31162">
      <c r="B31162" s="309"/>
      <c r="C31162" s="309"/>
      <c r="I31162" s="309"/>
      <c r="J31162" s="309"/>
    </row>
    <row r="31163">
      <c r="B31163" s="309"/>
      <c r="C31163" s="309"/>
      <c r="I31163" s="309"/>
      <c r="J31163" s="309"/>
    </row>
    <row r="31164">
      <c r="B31164" s="309"/>
      <c r="C31164" s="309"/>
      <c r="I31164" s="309"/>
      <c r="J31164" s="309"/>
    </row>
    <row r="31165">
      <c r="B31165" s="309"/>
      <c r="C31165" s="309"/>
      <c r="I31165" s="309"/>
      <c r="J31165" s="309"/>
    </row>
    <row r="31166">
      <c r="B31166" s="309"/>
      <c r="C31166" s="309"/>
      <c r="I31166" s="309"/>
      <c r="J31166" s="309"/>
    </row>
    <row r="31167">
      <c r="B31167" s="309"/>
      <c r="C31167" s="309"/>
      <c r="I31167" s="309"/>
      <c r="J31167" s="309"/>
    </row>
    <row r="31168">
      <c r="B31168" s="309"/>
      <c r="C31168" s="309"/>
      <c r="I31168" s="309"/>
      <c r="J31168" s="309"/>
    </row>
    <row r="31169">
      <c r="B31169" s="309"/>
      <c r="C31169" s="309"/>
      <c r="I31169" s="309"/>
      <c r="J31169" s="309"/>
    </row>
    <row r="31170">
      <c r="B31170" s="309"/>
      <c r="C31170" s="309"/>
      <c r="I31170" s="309"/>
      <c r="J31170" s="309"/>
    </row>
    <row r="31171">
      <c r="B31171" s="309"/>
      <c r="C31171" s="309"/>
      <c r="I31171" s="309"/>
      <c r="J31171" s="309"/>
    </row>
    <row r="31172">
      <c r="B31172" s="309"/>
      <c r="C31172" s="309"/>
      <c r="I31172" s="309"/>
      <c r="J31172" s="309"/>
    </row>
    <row r="31173">
      <c r="B31173" s="309"/>
      <c r="C31173" s="309"/>
      <c r="I31173" s="309"/>
      <c r="J31173" s="309"/>
    </row>
    <row r="31174">
      <c r="B31174" s="309"/>
      <c r="C31174" s="309"/>
      <c r="I31174" s="309"/>
      <c r="J31174" s="309"/>
    </row>
    <row r="31175">
      <c r="B31175" s="309"/>
      <c r="C31175" s="309"/>
      <c r="I31175" s="309"/>
      <c r="J31175" s="309"/>
    </row>
    <row r="31176">
      <c r="B31176" s="309"/>
      <c r="C31176" s="309"/>
      <c r="I31176" s="309"/>
      <c r="J31176" s="309"/>
    </row>
    <row r="31177">
      <c r="B31177" s="309"/>
      <c r="C31177" s="309"/>
      <c r="I31177" s="309"/>
      <c r="J31177" s="309"/>
    </row>
    <row r="31178">
      <c r="B31178" s="309"/>
      <c r="C31178" s="309"/>
      <c r="I31178" s="309"/>
      <c r="J31178" s="309"/>
    </row>
    <row r="31179">
      <c r="B31179" s="309"/>
      <c r="C31179" s="309"/>
      <c r="I31179" s="309"/>
      <c r="J31179" s="309"/>
    </row>
    <row r="31180">
      <c r="B31180" s="309"/>
      <c r="C31180" s="309"/>
      <c r="I31180" s="309"/>
      <c r="J31180" s="309"/>
    </row>
    <row r="31181">
      <c r="B31181" s="309"/>
      <c r="C31181" s="309"/>
      <c r="I31181" s="309"/>
      <c r="J31181" s="309"/>
    </row>
    <row r="31182">
      <c r="B31182" s="309"/>
      <c r="C31182" s="309"/>
      <c r="I31182" s="309"/>
      <c r="J31182" s="309"/>
    </row>
    <row r="31183">
      <c r="B31183" s="309"/>
      <c r="C31183" s="309"/>
      <c r="I31183" s="309"/>
      <c r="J31183" s="309"/>
    </row>
    <row r="31184">
      <c r="B31184" s="309"/>
      <c r="C31184" s="309"/>
      <c r="I31184" s="309"/>
      <c r="J31184" s="309"/>
    </row>
    <row r="31185">
      <c r="B31185" s="309"/>
      <c r="C31185" s="309"/>
      <c r="I31185" s="309"/>
      <c r="J31185" s="309"/>
    </row>
    <row r="31186">
      <c r="B31186" s="309"/>
      <c r="C31186" s="309"/>
      <c r="I31186" s="309"/>
      <c r="J31186" s="309"/>
    </row>
    <row r="31187">
      <c r="B31187" s="309"/>
      <c r="C31187" s="309"/>
      <c r="I31187" s="309"/>
      <c r="J31187" s="309"/>
    </row>
    <row r="31188">
      <c r="B31188" s="309"/>
      <c r="C31188" s="309"/>
      <c r="I31188" s="309"/>
      <c r="J31188" s="309"/>
    </row>
    <row r="31189">
      <c r="B31189" s="309"/>
      <c r="C31189" s="309"/>
      <c r="I31189" s="309"/>
      <c r="J31189" s="309"/>
    </row>
    <row r="31190">
      <c r="B31190" s="309"/>
      <c r="C31190" s="309"/>
      <c r="I31190" s="309"/>
      <c r="J31190" s="309"/>
    </row>
    <row r="31191">
      <c r="B31191" s="309"/>
      <c r="C31191" s="309"/>
      <c r="I31191" s="309"/>
      <c r="J31191" s="309"/>
    </row>
    <row r="31192">
      <c r="B31192" s="309"/>
      <c r="C31192" s="309"/>
      <c r="I31192" s="309"/>
      <c r="J31192" s="309"/>
    </row>
    <row r="31193">
      <c r="B31193" s="309"/>
      <c r="C31193" s="309"/>
      <c r="I31193" s="309"/>
      <c r="J31193" s="309"/>
    </row>
    <row r="31194">
      <c r="B31194" s="309"/>
      <c r="C31194" s="309"/>
      <c r="I31194" s="309"/>
      <c r="J31194" s="309"/>
    </row>
    <row r="31195">
      <c r="B31195" s="309"/>
      <c r="C31195" s="309"/>
      <c r="I31195" s="309"/>
      <c r="J31195" s="309"/>
    </row>
    <row r="31196">
      <c r="B31196" s="309"/>
      <c r="C31196" s="309"/>
      <c r="I31196" s="309"/>
      <c r="J31196" s="309"/>
    </row>
    <row r="31197">
      <c r="B31197" s="309"/>
      <c r="C31197" s="309"/>
      <c r="I31197" s="309"/>
      <c r="J31197" s="309"/>
    </row>
    <row r="31198">
      <c r="B31198" s="309"/>
      <c r="C31198" s="309"/>
      <c r="I31198" s="309"/>
      <c r="J31198" s="309"/>
    </row>
    <row r="31199">
      <c r="B31199" s="309"/>
      <c r="C31199" s="309"/>
      <c r="I31199" s="309"/>
      <c r="J31199" s="309"/>
    </row>
    <row r="31200">
      <c r="B31200" s="309"/>
      <c r="C31200" s="309"/>
      <c r="I31200" s="309"/>
      <c r="J31200" s="309"/>
    </row>
    <row r="31201">
      <c r="B31201" s="309"/>
      <c r="C31201" s="309"/>
      <c r="I31201" s="309"/>
      <c r="J31201" s="309"/>
    </row>
    <row r="31202">
      <c r="B31202" s="309"/>
      <c r="C31202" s="309"/>
      <c r="I31202" s="309"/>
      <c r="J31202" s="309"/>
    </row>
    <row r="31203">
      <c r="B31203" s="309"/>
      <c r="C31203" s="309"/>
      <c r="I31203" s="309"/>
      <c r="J31203" s="309"/>
    </row>
    <row r="31204">
      <c r="B31204" s="309"/>
      <c r="C31204" s="309"/>
      <c r="I31204" s="309"/>
      <c r="J31204" s="309"/>
    </row>
    <row r="31205">
      <c r="B31205" s="309"/>
      <c r="C31205" s="309"/>
      <c r="I31205" s="309"/>
      <c r="J31205" s="309"/>
    </row>
    <row r="31206">
      <c r="B31206" s="309"/>
      <c r="C31206" s="309"/>
      <c r="I31206" s="309"/>
      <c r="J31206" s="309"/>
    </row>
    <row r="31207">
      <c r="B31207" s="309"/>
      <c r="C31207" s="309"/>
      <c r="I31207" s="309"/>
      <c r="J31207" s="309"/>
    </row>
    <row r="31208">
      <c r="B31208" s="309"/>
      <c r="C31208" s="309"/>
      <c r="I31208" s="309"/>
      <c r="J31208" s="309"/>
    </row>
    <row r="31209">
      <c r="B31209" s="309"/>
      <c r="C31209" s="309"/>
      <c r="I31209" s="309"/>
      <c r="J31209" s="309"/>
    </row>
    <row r="31210">
      <c r="B31210" s="309"/>
      <c r="C31210" s="309"/>
      <c r="I31210" s="309"/>
      <c r="J31210" s="309"/>
    </row>
    <row r="31211">
      <c r="B31211" s="309"/>
      <c r="C31211" s="309"/>
      <c r="I31211" s="309"/>
      <c r="J31211" s="309"/>
    </row>
    <row r="31212">
      <c r="B31212" s="309"/>
      <c r="C31212" s="309"/>
      <c r="I31212" s="309"/>
      <c r="J31212" s="309"/>
    </row>
    <row r="31213">
      <c r="B31213" s="309"/>
      <c r="C31213" s="309"/>
      <c r="I31213" s="309"/>
      <c r="J31213" s="309"/>
    </row>
    <row r="31214">
      <c r="B31214" s="309"/>
      <c r="C31214" s="309"/>
      <c r="I31214" s="309"/>
      <c r="J31214" s="309"/>
    </row>
    <row r="31215">
      <c r="B31215" s="309"/>
      <c r="C31215" s="309"/>
      <c r="I31215" s="309"/>
      <c r="J31215" s="309"/>
    </row>
    <row r="31216">
      <c r="B31216" s="309"/>
      <c r="C31216" s="309"/>
      <c r="I31216" s="309"/>
      <c r="J31216" s="309"/>
    </row>
    <row r="31217">
      <c r="B31217" s="309"/>
      <c r="C31217" s="309"/>
      <c r="I31217" s="309"/>
      <c r="J31217" s="309"/>
    </row>
    <row r="31218">
      <c r="B31218" s="309"/>
      <c r="C31218" s="309"/>
      <c r="I31218" s="309"/>
      <c r="J31218" s="309"/>
    </row>
    <row r="31219">
      <c r="B31219" s="309"/>
      <c r="C31219" s="309"/>
      <c r="I31219" s="309"/>
      <c r="J31219" s="309"/>
    </row>
    <row r="31220">
      <c r="B31220" s="309"/>
      <c r="C31220" s="309"/>
      <c r="I31220" s="309"/>
      <c r="J31220" s="309"/>
    </row>
    <row r="31221">
      <c r="B31221" s="309"/>
      <c r="C31221" s="309"/>
      <c r="I31221" s="309"/>
      <c r="J31221" s="309"/>
    </row>
    <row r="31222">
      <c r="B31222" s="309"/>
      <c r="C31222" s="309"/>
      <c r="I31222" s="309"/>
      <c r="J31222" s="309"/>
    </row>
    <row r="31223">
      <c r="B31223" s="309"/>
      <c r="C31223" s="309"/>
      <c r="I31223" s="309"/>
      <c r="J31223" s="309"/>
    </row>
    <row r="31224">
      <c r="B31224" s="309"/>
      <c r="C31224" s="309"/>
      <c r="I31224" s="309"/>
      <c r="J31224" s="309"/>
    </row>
    <row r="31225">
      <c r="B31225" s="309"/>
      <c r="C31225" s="309"/>
      <c r="I31225" s="309"/>
      <c r="J31225" s="309"/>
    </row>
    <row r="31226">
      <c r="B31226" s="309"/>
      <c r="C31226" s="309"/>
      <c r="I31226" s="309"/>
      <c r="J31226" s="309"/>
    </row>
    <row r="31227">
      <c r="B31227" s="309"/>
      <c r="C31227" s="309"/>
      <c r="I31227" s="309"/>
      <c r="J31227" s="309"/>
    </row>
    <row r="31228">
      <c r="B31228" s="309"/>
      <c r="C31228" s="309"/>
      <c r="I31228" s="309"/>
      <c r="J31228" s="309"/>
    </row>
    <row r="31229">
      <c r="B31229" s="309"/>
      <c r="C31229" s="309"/>
      <c r="I31229" s="309"/>
      <c r="J31229" s="309"/>
    </row>
    <row r="31230">
      <c r="B31230" s="309"/>
      <c r="C31230" s="309"/>
      <c r="I31230" s="309"/>
      <c r="J31230" s="309"/>
    </row>
    <row r="31231">
      <c r="B31231" s="309"/>
      <c r="C31231" s="309"/>
      <c r="I31231" s="309"/>
      <c r="J31231" s="309"/>
    </row>
    <row r="31232">
      <c r="B31232" s="309"/>
      <c r="C31232" s="309"/>
      <c r="I31232" s="309"/>
      <c r="J31232" s="309"/>
    </row>
    <row r="31233">
      <c r="B31233" s="309"/>
      <c r="C31233" s="309"/>
      <c r="I31233" s="309"/>
      <c r="J31233" s="309"/>
    </row>
    <row r="31234">
      <c r="B31234" s="309"/>
      <c r="C31234" s="309"/>
      <c r="I31234" s="309"/>
      <c r="J31234" s="309"/>
    </row>
    <row r="31235">
      <c r="B31235" s="309"/>
      <c r="C31235" s="309"/>
      <c r="I31235" s="309"/>
      <c r="J31235" s="309"/>
    </row>
    <row r="31236">
      <c r="B31236" s="309"/>
      <c r="C31236" s="309"/>
      <c r="I31236" s="309"/>
      <c r="J31236" s="309"/>
    </row>
    <row r="31237">
      <c r="B31237" s="309"/>
      <c r="C31237" s="309"/>
      <c r="I31237" s="309"/>
      <c r="J31237" s="309"/>
    </row>
    <row r="31238">
      <c r="B31238" s="309"/>
      <c r="C31238" s="309"/>
      <c r="I31238" s="309"/>
      <c r="J31238" s="309"/>
    </row>
    <row r="31239">
      <c r="B31239" s="309"/>
      <c r="C31239" s="309"/>
      <c r="I31239" s="309"/>
      <c r="J31239" s="309"/>
    </row>
    <row r="31240">
      <c r="B31240" s="309"/>
      <c r="C31240" s="309"/>
      <c r="I31240" s="309"/>
      <c r="J31240" s="309"/>
    </row>
    <row r="31241">
      <c r="B31241" s="309"/>
      <c r="C31241" s="309"/>
      <c r="I31241" s="309"/>
      <c r="J31241" s="309"/>
    </row>
    <row r="31242">
      <c r="B31242" s="309"/>
      <c r="C31242" s="309"/>
      <c r="I31242" s="309"/>
      <c r="J31242" s="309"/>
    </row>
    <row r="31243">
      <c r="B31243" s="309"/>
      <c r="C31243" s="309"/>
      <c r="I31243" s="309"/>
      <c r="J31243" s="309"/>
    </row>
    <row r="31244">
      <c r="B31244" s="309"/>
      <c r="C31244" s="309"/>
      <c r="I31244" s="309"/>
      <c r="J31244" s="309"/>
    </row>
    <row r="31245">
      <c r="B31245" s="309"/>
      <c r="C31245" s="309"/>
      <c r="I31245" s="309"/>
      <c r="J31245" s="309"/>
    </row>
    <row r="31246">
      <c r="B31246" s="309"/>
      <c r="C31246" s="309"/>
      <c r="I31246" s="309"/>
      <c r="J31246" s="309"/>
    </row>
    <row r="31247">
      <c r="B31247" s="309"/>
      <c r="C31247" s="309"/>
      <c r="I31247" s="309"/>
      <c r="J31247" s="309"/>
    </row>
    <row r="31248">
      <c r="B31248" s="309"/>
      <c r="C31248" s="309"/>
      <c r="I31248" s="309"/>
      <c r="J31248" s="309"/>
    </row>
    <row r="31249">
      <c r="B31249" s="309"/>
      <c r="C31249" s="309"/>
      <c r="I31249" s="309"/>
      <c r="J31249" s="309"/>
    </row>
    <row r="31250">
      <c r="B31250" s="309"/>
      <c r="C31250" s="309"/>
      <c r="I31250" s="309"/>
      <c r="J31250" s="309"/>
    </row>
    <row r="31251">
      <c r="B31251" s="309"/>
      <c r="C31251" s="309"/>
      <c r="I31251" s="309"/>
      <c r="J31251" s="309"/>
    </row>
    <row r="31252">
      <c r="B31252" s="309"/>
      <c r="C31252" s="309"/>
      <c r="I31252" s="309"/>
      <c r="J31252" s="309"/>
    </row>
    <row r="31253">
      <c r="B31253" s="309"/>
      <c r="C31253" s="309"/>
      <c r="I31253" s="309"/>
      <c r="J31253" s="309"/>
    </row>
    <row r="31254">
      <c r="B31254" s="309"/>
      <c r="C31254" s="309"/>
      <c r="I31254" s="309"/>
      <c r="J31254" s="309"/>
    </row>
    <row r="31255">
      <c r="B31255" s="309"/>
      <c r="C31255" s="309"/>
      <c r="I31255" s="309"/>
      <c r="J31255" s="309"/>
    </row>
    <row r="31256">
      <c r="B31256" s="309"/>
      <c r="C31256" s="309"/>
      <c r="I31256" s="309"/>
      <c r="J31256" s="309"/>
    </row>
    <row r="31257">
      <c r="B31257" s="309"/>
      <c r="C31257" s="309"/>
      <c r="I31257" s="309"/>
      <c r="J31257" s="309"/>
    </row>
    <row r="31258">
      <c r="B31258" s="309"/>
      <c r="C31258" s="309"/>
      <c r="I31258" s="309"/>
      <c r="J31258" s="309"/>
    </row>
    <row r="31259">
      <c r="B31259" s="309"/>
      <c r="C31259" s="309"/>
      <c r="I31259" s="309"/>
      <c r="J31259" s="309"/>
    </row>
    <row r="31260">
      <c r="B31260" s="309"/>
      <c r="C31260" s="309"/>
      <c r="I31260" s="309"/>
      <c r="J31260" s="309"/>
    </row>
    <row r="31261">
      <c r="B31261" s="309"/>
      <c r="C31261" s="309"/>
      <c r="I31261" s="309"/>
      <c r="J31261" s="309"/>
    </row>
    <row r="31262">
      <c r="B31262" s="309"/>
      <c r="C31262" s="309"/>
      <c r="I31262" s="309"/>
      <c r="J31262" s="309"/>
    </row>
    <row r="31263">
      <c r="B31263" s="309"/>
      <c r="C31263" s="309"/>
      <c r="I31263" s="309"/>
      <c r="J31263" s="309"/>
    </row>
    <row r="31264">
      <c r="B31264" s="309"/>
      <c r="C31264" s="309"/>
      <c r="I31264" s="309"/>
      <c r="J31264" s="309"/>
    </row>
    <row r="31265">
      <c r="B31265" s="309"/>
      <c r="C31265" s="309"/>
      <c r="I31265" s="309"/>
      <c r="J31265" s="309"/>
    </row>
    <row r="31266">
      <c r="B31266" s="309"/>
      <c r="C31266" s="309"/>
      <c r="I31266" s="309"/>
      <c r="J31266" s="309"/>
    </row>
    <row r="31267">
      <c r="B31267" s="309"/>
      <c r="C31267" s="309"/>
      <c r="I31267" s="309"/>
      <c r="J31267" s="309"/>
    </row>
    <row r="31268">
      <c r="B31268" s="309"/>
      <c r="C31268" s="309"/>
      <c r="I31268" s="309"/>
      <c r="J31268" s="309"/>
    </row>
    <row r="31269">
      <c r="B31269" s="309"/>
      <c r="C31269" s="309"/>
      <c r="I31269" s="309"/>
      <c r="J31269" s="309"/>
    </row>
    <row r="31270">
      <c r="B31270" s="309"/>
      <c r="C31270" s="309"/>
      <c r="I31270" s="309"/>
      <c r="J31270" s="309"/>
    </row>
    <row r="31271">
      <c r="B31271" s="309"/>
      <c r="C31271" s="309"/>
      <c r="I31271" s="309"/>
      <c r="J31271" s="309"/>
    </row>
    <row r="31272">
      <c r="B31272" s="309"/>
      <c r="C31272" s="309"/>
      <c r="I31272" s="309"/>
      <c r="J31272" s="309"/>
    </row>
    <row r="31273">
      <c r="B31273" s="309"/>
      <c r="C31273" s="309"/>
      <c r="I31273" s="309"/>
      <c r="J31273" s="309"/>
    </row>
    <row r="31274">
      <c r="B31274" s="309"/>
      <c r="C31274" s="309"/>
      <c r="I31274" s="309"/>
      <c r="J31274" s="309"/>
    </row>
    <row r="31275">
      <c r="B31275" s="309"/>
      <c r="C31275" s="309"/>
      <c r="I31275" s="309"/>
      <c r="J31275" s="309"/>
    </row>
    <row r="31276">
      <c r="B31276" s="309"/>
      <c r="C31276" s="309"/>
      <c r="I31276" s="309"/>
      <c r="J31276" s="309"/>
    </row>
    <row r="31277">
      <c r="B31277" s="309"/>
      <c r="C31277" s="309"/>
      <c r="I31277" s="309"/>
      <c r="J31277" s="309"/>
    </row>
    <row r="31278">
      <c r="B31278" s="309"/>
      <c r="C31278" s="309"/>
      <c r="I31278" s="309"/>
      <c r="J31278" s="309"/>
    </row>
    <row r="31279">
      <c r="B31279" s="309"/>
      <c r="C31279" s="309"/>
      <c r="I31279" s="309"/>
      <c r="J31279" s="309"/>
    </row>
    <row r="31280">
      <c r="B31280" s="309"/>
      <c r="C31280" s="309"/>
      <c r="I31280" s="309"/>
      <c r="J31280" s="309"/>
    </row>
    <row r="31281">
      <c r="B31281" s="309"/>
      <c r="C31281" s="309"/>
      <c r="I31281" s="309"/>
      <c r="J31281" s="309"/>
    </row>
    <row r="31282">
      <c r="B31282" s="309"/>
      <c r="C31282" s="309"/>
      <c r="I31282" s="309"/>
      <c r="J31282" s="309"/>
    </row>
    <row r="31283">
      <c r="B31283" s="309"/>
      <c r="C31283" s="309"/>
      <c r="I31283" s="309"/>
      <c r="J31283" s="309"/>
    </row>
    <row r="31284">
      <c r="B31284" s="309"/>
      <c r="C31284" s="309"/>
      <c r="I31284" s="309"/>
      <c r="J31284" s="309"/>
    </row>
    <row r="31285">
      <c r="B31285" s="309"/>
      <c r="C31285" s="309"/>
      <c r="I31285" s="309"/>
      <c r="J31285" s="309"/>
    </row>
    <row r="31286">
      <c r="B31286" s="309"/>
      <c r="C31286" s="309"/>
      <c r="I31286" s="309"/>
      <c r="J31286" s="309"/>
    </row>
    <row r="31287">
      <c r="B31287" s="309"/>
      <c r="C31287" s="309"/>
      <c r="I31287" s="309"/>
      <c r="J31287" s="309"/>
    </row>
    <row r="31288">
      <c r="B31288" s="309"/>
      <c r="C31288" s="309"/>
      <c r="I31288" s="309"/>
      <c r="J31288" s="309"/>
    </row>
    <row r="31289">
      <c r="B31289" s="309"/>
      <c r="C31289" s="309"/>
      <c r="I31289" s="309"/>
      <c r="J31289" s="309"/>
    </row>
    <row r="31290">
      <c r="B31290" s="309"/>
      <c r="C31290" s="309"/>
      <c r="I31290" s="309"/>
      <c r="J31290" s="309"/>
    </row>
    <row r="31291">
      <c r="B31291" s="309"/>
      <c r="C31291" s="309"/>
      <c r="I31291" s="309"/>
      <c r="J31291" s="309"/>
    </row>
    <row r="31292">
      <c r="B31292" s="309"/>
      <c r="C31292" s="309"/>
      <c r="I31292" s="309"/>
      <c r="J31292" s="309"/>
    </row>
    <row r="31293">
      <c r="B31293" s="309"/>
      <c r="C31293" s="309"/>
      <c r="I31293" s="309"/>
      <c r="J31293" s="309"/>
    </row>
    <row r="31294">
      <c r="B31294" s="309"/>
      <c r="C31294" s="309"/>
      <c r="I31294" s="309"/>
      <c r="J31294" s="309"/>
    </row>
    <row r="31295">
      <c r="B31295" s="309"/>
      <c r="C31295" s="309"/>
      <c r="I31295" s="309"/>
      <c r="J31295" s="309"/>
    </row>
    <row r="31296">
      <c r="B31296" s="309"/>
      <c r="C31296" s="309"/>
      <c r="I31296" s="309"/>
      <c r="J31296" s="309"/>
    </row>
    <row r="31297">
      <c r="B31297" s="309"/>
      <c r="C31297" s="309"/>
      <c r="I31297" s="309"/>
      <c r="J31297" s="309"/>
    </row>
    <row r="31298">
      <c r="B31298" s="309"/>
      <c r="C31298" s="309"/>
      <c r="I31298" s="309"/>
      <c r="J31298" s="309"/>
    </row>
    <row r="31299">
      <c r="B31299" s="309"/>
      <c r="C31299" s="309"/>
      <c r="I31299" s="309"/>
      <c r="J31299" s="309"/>
    </row>
    <row r="31300">
      <c r="B31300" s="309"/>
      <c r="C31300" s="309"/>
      <c r="I31300" s="309"/>
      <c r="J31300" s="309"/>
    </row>
    <row r="31301">
      <c r="B31301" s="309"/>
      <c r="C31301" s="309"/>
      <c r="I31301" s="309"/>
      <c r="J31301" s="309"/>
    </row>
    <row r="31302">
      <c r="B31302" s="309"/>
      <c r="C31302" s="309"/>
      <c r="I31302" s="309"/>
      <c r="J31302" s="309"/>
    </row>
    <row r="31303">
      <c r="B31303" s="309"/>
      <c r="C31303" s="309"/>
      <c r="I31303" s="309"/>
      <c r="J31303" s="309"/>
    </row>
    <row r="31304">
      <c r="B31304" s="309"/>
      <c r="C31304" s="309"/>
      <c r="I31304" s="309"/>
      <c r="J31304" s="309"/>
    </row>
    <row r="31305">
      <c r="B31305" s="309"/>
      <c r="C31305" s="309"/>
      <c r="I31305" s="309"/>
      <c r="J31305" s="309"/>
    </row>
    <row r="31306">
      <c r="B31306" s="309"/>
      <c r="C31306" s="309"/>
      <c r="I31306" s="309"/>
      <c r="J31306" s="309"/>
    </row>
    <row r="31307">
      <c r="B31307" s="309"/>
      <c r="C31307" s="309"/>
      <c r="I31307" s="309"/>
      <c r="J31307" s="309"/>
    </row>
    <row r="31308">
      <c r="B31308" s="309"/>
      <c r="C31308" s="309"/>
      <c r="I31308" s="309"/>
      <c r="J31308" s="309"/>
    </row>
    <row r="31309">
      <c r="B31309" s="309"/>
      <c r="C31309" s="309"/>
      <c r="I31309" s="309"/>
      <c r="J31309" s="309"/>
    </row>
    <row r="31310">
      <c r="B31310" s="309"/>
      <c r="C31310" s="309"/>
      <c r="I31310" s="309"/>
      <c r="J31310" s="309"/>
    </row>
    <row r="31311">
      <c r="B31311" s="309"/>
      <c r="C31311" s="309"/>
      <c r="I31311" s="309"/>
      <c r="J31311" s="309"/>
    </row>
    <row r="31312">
      <c r="B31312" s="309"/>
      <c r="C31312" s="309"/>
      <c r="I31312" s="309"/>
      <c r="J31312" s="309"/>
    </row>
    <row r="31313">
      <c r="B31313" s="309"/>
      <c r="C31313" s="309"/>
      <c r="I31313" s="309"/>
      <c r="J31313" s="309"/>
    </row>
    <row r="31314">
      <c r="B31314" s="309"/>
      <c r="C31314" s="309"/>
      <c r="I31314" s="309"/>
      <c r="J31314" s="309"/>
    </row>
    <row r="31315">
      <c r="B31315" s="309"/>
      <c r="C31315" s="309"/>
      <c r="I31315" s="309"/>
      <c r="J31315" s="309"/>
    </row>
    <row r="31316">
      <c r="B31316" s="309"/>
      <c r="C31316" s="309"/>
      <c r="I31316" s="309"/>
      <c r="J31316" s="309"/>
    </row>
    <row r="31317">
      <c r="B31317" s="309"/>
      <c r="C31317" s="309"/>
      <c r="I31317" s="309"/>
      <c r="J31317" s="309"/>
    </row>
    <row r="31318">
      <c r="B31318" s="309"/>
      <c r="C31318" s="309"/>
      <c r="I31318" s="309"/>
      <c r="J31318" s="309"/>
    </row>
    <row r="31319">
      <c r="B31319" s="309"/>
      <c r="C31319" s="309"/>
      <c r="I31319" s="309"/>
      <c r="J31319" s="309"/>
    </row>
    <row r="31320">
      <c r="B31320" s="309"/>
      <c r="C31320" s="309"/>
      <c r="I31320" s="309"/>
      <c r="J31320" s="309"/>
    </row>
    <row r="31321">
      <c r="B31321" s="309"/>
      <c r="C31321" s="309"/>
      <c r="I31321" s="309"/>
      <c r="J31321" s="309"/>
    </row>
    <row r="31322">
      <c r="B31322" s="309"/>
      <c r="C31322" s="309"/>
      <c r="I31322" s="309"/>
      <c r="J31322" s="309"/>
    </row>
    <row r="31323">
      <c r="B31323" s="309"/>
      <c r="C31323" s="309"/>
      <c r="I31323" s="309"/>
      <c r="J31323" s="309"/>
    </row>
    <row r="31324">
      <c r="B31324" s="309"/>
      <c r="C31324" s="309"/>
      <c r="I31324" s="309"/>
      <c r="J31324" s="309"/>
    </row>
    <row r="31325">
      <c r="B31325" s="309"/>
      <c r="C31325" s="309"/>
      <c r="I31325" s="309"/>
      <c r="J31325" s="309"/>
    </row>
    <row r="31326">
      <c r="B31326" s="309"/>
      <c r="C31326" s="309"/>
      <c r="I31326" s="309"/>
      <c r="J31326" s="309"/>
    </row>
    <row r="31327">
      <c r="B31327" s="309"/>
      <c r="C31327" s="309"/>
      <c r="I31327" s="309"/>
      <c r="J31327" s="309"/>
    </row>
    <row r="31328">
      <c r="B31328" s="309"/>
      <c r="C31328" s="309"/>
      <c r="I31328" s="309"/>
      <c r="J31328" s="309"/>
    </row>
    <row r="31329">
      <c r="B31329" s="309"/>
      <c r="C31329" s="309"/>
      <c r="I31329" s="309"/>
      <c r="J31329" s="309"/>
    </row>
    <row r="31330">
      <c r="B31330" s="309"/>
      <c r="C31330" s="309"/>
      <c r="I31330" s="309"/>
      <c r="J31330" s="309"/>
    </row>
    <row r="31331">
      <c r="B31331" s="309"/>
      <c r="C31331" s="309"/>
      <c r="I31331" s="309"/>
      <c r="J31331" s="309"/>
    </row>
    <row r="31332">
      <c r="B31332" s="309"/>
      <c r="C31332" s="309"/>
      <c r="I31332" s="309"/>
      <c r="J31332" s="309"/>
    </row>
    <row r="31333">
      <c r="B31333" s="309"/>
      <c r="C31333" s="309"/>
      <c r="I31333" s="309"/>
      <c r="J31333" s="309"/>
    </row>
    <row r="31334">
      <c r="B31334" s="309"/>
      <c r="C31334" s="309"/>
      <c r="I31334" s="309"/>
      <c r="J31334" s="309"/>
    </row>
    <row r="31335">
      <c r="B31335" s="309"/>
      <c r="C31335" s="309"/>
      <c r="I31335" s="309"/>
      <c r="J31335" s="309"/>
    </row>
    <row r="31336">
      <c r="B31336" s="309"/>
      <c r="C31336" s="309"/>
      <c r="I31336" s="309"/>
      <c r="J31336" s="309"/>
    </row>
    <row r="31337">
      <c r="B31337" s="309"/>
      <c r="C31337" s="309"/>
      <c r="I31337" s="309"/>
      <c r="J31337" s="309"/>
    </row>
    <row r="31338">
      <c r="B31338" s="309"/>
      <c r="C31338" s="309"/>
      <c r="I31338" s="309"/>
      <c r="J31338" s="309"/>
    </row>
    <row r="31339">
      <c r="B31339" s="309"/>
      <c r="C31339" s="309"/>
      <c r="I31339" s="309"/>
      <c r="J31339" s="309"/>
    </row>
    <row r="31340">
      <c r="B31340" s="309"/>
      <c r="C31340" s="309"/>
      <c r="I31340" s="309"/>
      <c r="J31340" s="309"/>
    </row>
    <row r="31341">
      <c r="B31341" s="309"/>
      <c r="C31341" s="309"/>
      <c r="I31341" s="309"/>
      <c r="J31341" s="309"/>
    </row>
    <row r="31342">
      <c r="B31342" s="309"/>
      <c r="C31342" s="309"/>
      <c r="I31342" s="309"/>
      <c r="J31342" s="309"/>
    </row>
    <row r="31343">
      <c r="B31343" s="309"/>
      <c r="C31343" s="309"/>
      <c r="I31343" s="309"/>
      <c r="J31343" s="309"/>
    </row>
    <row r="31344">
      <c r="B31344" s="309"/>
      <c r="C31344" s="309"/>
      <c r="I31344" s="309"/>
      <c r="J31344" s="309"/>
    </row>
    <row r="31345">
      <c r="B31345" s="309"/>
      <c r="C31345" s="309"/>
      <c r="I31345" s="309"/>
      <c r="J31345" s="309"/>
    </row>
    <row r="31346">
      <c r="B31346" s="309"/>
      <c r="C31346" s="309"/>
      <c r="I31346" s="309"/>
      <c r="J31346" s="309"/>
    </row>
    <row r="31347">
      <c r="B31347" s="309"/>
      <c r="C31347" s="309"/>
      <c r="I31347" s="309"/>
      <c r="J31347" s="309"/>
    </row>
    <row r="31348">
      <c r="B31348" s="309"/>
      <c r="C31348" s="309"/>
      <c r="I31348" s="309"/>
      <c r="J31348" s="309"/>
    </row>
    <row r="31349">
      <c r="B31349" s="309"/>
      <c r="C31349" s="309"/>
      <c r="I31349" s="309"/>
      <c r="J31349" s="309"/>
    </row>
    <row r="31350">
      <c r="B31350" s="309"/>
      <c r="C31350" s="309"/>
      <c r="I31350" s="309"/>
      <c r="J31350" s="309"/>
    </row>
    <row r="31351">
      <c r="B31351" s="309"/>
      <c r="C31351" s="309"/>
      <c r="I31351" s="309"/>
      <c r="J31351" s="309"/>
    </row>
    <row r="31352">
      <c r="B31352" s="309"/>
      <c r="C31352" s="309"/>
      <c r="I31352" s="309"/>
      <c r="J31352" s="309"/>
    </row>
    <row r="31353">
      <c r="B31353" s="309"/>
      <c r="C31353" s="309"/>
      <c r="I31353" s="309"/>
      <c r="J31353" s="309"/>
    </row>
    <row r="31354">
      <c r="B31354" s="309"/>
      <c r="C31354" s="309"/>
      <c r="I31354" s="309"/>
      <c r="J31354" s="309"/>
    </row>
    <row r="31355">
      <c r="B31355" s="309"/>
      <c r="C31355" s="309"/>
      <c r="I31355" s="309"/>
      <c r="J31355" s="309"/>
    </row>
    <row r="31356">
      <c r="B31356" s="309"/>
      <c r="C31356" s="309"/>
      <c r="I31356" s="309"/>
      <c r="J31356" s="309"/>
    </row>
    <row r="31357">
      <c r="B31357" s="309"/>
      <c r="C31357" s="309"/>
      <c r="I31357" s="309"/>
      <c r="J31357" s="309"/>
    </row>
    <row r="31358">
      <c r="B31358" s="309"/>
      <c r="C31358" s="309"/>
      <c r="I31358" s="309"/>
      <c r="J31358" s="309"/>
    </row>
    <row r="31359">
      <c r="B31359" s="309"/>
      <c r="C31359" s="309"/>
      <c r="I31359" s="309"/>
      <c r="J31359" s="309"/>
    </row>
    <row r="31360">
      <c r="B31360" s="309"/>
      <c r="C31360" s="309"/>
      <c r="I31360" s="309"/>
      <c r="J31360" s="309"/>
    </row>
    <row r="31361">
      <c r="B31361" s="309"/>
      <c r="C31361" s="309"/>
      <c r="I31361" s="309"/>
      <c r="J31361" s="309"/>
    </row>
    <row r="31362">
      <c r="B31362" s="309"/>
      <c r="C31362" s="309"/>
      <c r="I31362" s="309"/>
      <c r="J31362" s="309"/>
    </row>
    <row r="31363">
      <c r="B31363" s="309"/>
      <c r="C31363" s="309"/>
      <c r="I31363" s="309"/>
      <c r="J31363" s="309"/>
    </row>
    <row r="31364">
      <c r="B31364" s="309"/>
      <c r="C31364" s="309"/>
      <c r="I31364" s="309"/>
      <c r="J31364" s="309"/>
    </row>
    <row r="31365">
      <c r="B31365" s="309"/>
      <c r="C31365" s="309"/>
      <c r="I31365" s="309"/>
      <c r="J31365" s="309"/>
    </row>
    <row r="31366">
      <c r="B31366" s="309"/>
      <c r="C31366" s="309"/>
      <c r="I31366" s="309"/>
      <c r="J31366" s="309"/>
    </row>
    <row r="31367">
      <c r="B31367" s="309"/>
      <c r="C31367" s="309"/>
      <c r="I31367" s="309"/>
      <c r="J31367" s="309"/>
    </row>
    <row r="31368">
      <c r="B31368" s="309"/>
      <c r="C31368" s="309"/>
      <c r="I31368" s="309"/>
      <c r="J31368" s="309"/>
    </row>
    <row r="31369">
      <c r="B31369" s="309"/>
      <c r="C31369" s="309"/>
      <c r="I31369" s="309"/>
      <c r="J31369" s="309"/>
    </row>
    <row r="31370">
      <c r="B31370" s="309"/>
      <c r="C31370" s="309"/>
      <c r="I31370" s="309"/>
      <c r="J31370" s="309"/>
    </row>
    <row r="31371">
      <c r="B31371" s="309"/>
      <c r="C31371" s="309"/>
      <c r="I31371" s="309"/>
      <c r="J31371" s="309"/>
    </row>
    <row r="31372">
      <c r="B31372" s="309"/>
      <c r="C31372" s="309"/>
      <c r="I31372" s="309"/>
      <c r="J31372" s="309"/>
    </row>
    <row r="31373">
      <c r="B31373" s="309"/>
      <c r="C31373" s="309"/>
      <c r="I31373" s="309"/>
      <c r="J31373" s="309"/>
    </row>
    <row r="31374">
      <c r="B31374" s="309"/>
      <c r="C31374" s="309"/>
      <c r="I31374" s="309"/>
      <c r="J31374" s="309"/>
    </row>
    <row r="31375">
      <c r="B31375" s="309"/>
      <c r="C31375" s="309"/>
      <c r="I31375" s="309"/>
      <c r="J31375" s="309"/>
    </row>
    <row r="31376">
      <c r="B31376" s="309"/>
      <c r="C31376" s="309"/>
      <c r="I31376" s="309"/>
      <c r="J31376" s="309"/>
    </row>
    <row r="31377">
      <c r="B31377" s="309"/>
      <c r="C31377" s="309"/>
      <c r="I31377" s="309"/>
      <c r="J31377" s="309"/>
    </row>
    <row r="31378">
      <c r="B31378" s="309"/>
      <c r="C31378" s="309"/>
      <c r="I31378" s="309"/>
      <c r="J31378" s="309"/>
    </row>
    <row r="31379">
      <c r="B31379" s="309"/>
      <c r="C31379" s="309"/>
      <c r="I31379" s="309"/>
      <c r="J31379" s="309"/>
    </row>
    <row r="31380">
      <c r="B31380" s="309"/>
      <c r="C31380" s="309"/>
      <c r="I31380" s="309"/>
      <c r="J31380" s="309"/>
    </row>
    <row r="31381">
      <c r="B31381" s="309"/>
      <c r="C31381" s="309"/>
      <c r="I31381" s="309"/>
      <c r="J31381" s="309"/>
    </row>
    <row r="31382">
      <c r="B31382" s="309"/>
      <c r="C31382" s="309"/>
      <c r="I31382" s="309"/>
      <c r="J31382" s="309"/>
    </row>
    <row r="31383">
      <c r="B31383" s="309"/>
      <c r="C31383" s="309"/>
      <c r="I31383" s="309"/>
      <c r="J31383" s="309"/>
    </row>
    <row r="31384">
      <c r="B31384" s="309"/>
      <c r="C31384" s="309"/>
      <c r="I31384" s="309"/>
      <c r="J31384" s="309"/>
    </row>
    <row r="31385">
      <c r="B31385" s="309"/>
      <c r="C31385" s="309"/>
      <c r="I31385" s="309"/>
      <c r="J31385" s="309"/>
    </row>
    <row r="31386">
      <c r="B31386" s="309"/>
      <c r="C31386" s="309"/>
      <c r="I31386" s="309"/>
      <c r="J31386" s="309"/>
    </row>
    <row r="31387">
      <c r="B31387" s="309"/>
      <c r="C31387" s="309"/>
      <c r="I31387" s="309"/>
      <c r="J31387" s="309"/>
    </row>
    <row r="31388">
      <c r="B31388" s="309"/>
      <c r="C31388" s="309"/>
      <c r="I31388" s="309"/>
      <c r="J31388" s="309"/>
    </row>
    <row r="31389">
      <c r="B31389" s="309"/>
      <c r="C31389" s="309"/>
      <c r="I31389" s="309"/>
      <c r="J31389" s="309"/>
    </row>
    <row r="31390">
      <c r="B31390" s="309"/>
      <c r="C31390" s="309"/>
      <c r="I31390" s="309"/>
      <c r="J31390" s="309"/>
    </row>
    <row r="31391">
      <c r="B31391" s="309"/>
      <c r="C31391" s="309"/>
      <c r="I31391" s="309"/>
      <c r="J31391" s="309"/>
    </row>
    <row r="31392">
      <c r="B31392" s="309"/>
      <c r="C31392" s="309"/>
      <c r="I31392" s="309"/>
      <c r="J31392" s="309"/>
    </row>
    <row r="31393">
      <c r="B31393" s="309"/>
      <c r="C31393" s="309"/>
      <c r="I31393" s="309"/>
      <c r="J31393" s="309"/>
    </row>
    <row r="31394">
      <c r="B31394" s="309"/>
      <c r="C31394" s="309"/>
      <c r="I31394" s="309"/>
      <c r="J31394" s="309"/>
    </row>
    <row r="31395">
      <c r="B31395" s="309"/>
      <c r="C31395" s="309"/>
      <c r="I31395" s="309"/>
      <c r="J31395" s="309"/>
    </row>
    <row r="31396">
      <c r="B31396" s="309"/>
      <c r="C31396" s="309"/>
      <c r="I31396" s="309"/>
      <c r="J31396" s="309"/>
    </row>
    <row r="31397">
      <c r="B31397" s="309"/>
      <c r="C31397" s="309"/>
      <c r="I31397" s="309"/>
      <c r="J31397" s="309"/>
    </row>
    <row r="31398">
      <c r="B31398" s="309"/>
      <c r="C31398" s="309"/>
      <c r="I31398" s="309"/>
      <c r="J31398" s="309"/>
    </row>
    <row r="31399">
      <c r="B31399" s="309"/>
      <c r="C31399" s="309"/>
      <c r="I31399" s="309"/>
      <c r="J31399" s="309"/>
    </row>
    <row r="31400">
      <c r="B31400" s="309"/>
      <c r="C31400" s="309"/>
      <c r="I31400" s="309"/>
      <c r="J31400" s="309"/>
    </row>
    <row r="31401">
      <c r="B31401" s="309"/>
      <c r="C31401" s="309"/>
      <c r="I31401" s="309"/>
      <c r="J31401" s="309"/>
    </row>
    <row r="31402">
      <c r="B31402" s="309"/>
      <c r="C31402" s="309"/>
      <c r="I31402" s="309"/>
      <c r="J31402" s="309"/>
    </row>
    <row r="31403">
      <c r="B31403" s="309"/>
      <c r="C31403" s="309"/>
      <c r="I31403" s="309"/>
      <c r="J31403" s="309"/>
    </row>
    <row r="31404">
      <c r="B31404" s="309"/>
      <c r="C31404" s="309"/>
      <c r="I31404" s="309"/>
      <c r="J31404" s="309"/>
    </row>
    <row r="31405">
      <c r="B31405" s="309"/>
      <c r="C31405" s="309"/>
      <c r="I31405" s="309"/>
      <c r="J31405" s="309"/>
    </row>
    <row r="31406">
      <c r="B31406" s="309"/>
      <c r="C31406" s="309"/>
      <c r="I31406" s="309"/>
      <c r="J31406" s="309"/>
    </row>
    <row r="31407">
      <c r="B31407" s="309"/>
      <c r="C31407" s="309"/>
      <c r="I31407" s="309"/>
      <c r="J31407" s="309"/>
    </row>
    <row r="31408">
      <c r="B31408" s="309"/>
      <c r="C31408" s="309"/>
      <c r="I31408" s="309"/>
      <c r="J31408" s="309"/>
    </row>
    <row r="31409">
      <c r="B31409" s="309"/>
      <c r="C31409" s="309"/>
      <c r="I31409" s="309"/>
      <c r="J31409" s="309"/>
    </row>
    <row r="31410">
      <c r="B31410" s="309"/>
      <c r="C31410" s="309"/>
      <c r="I31410" s="309"/>
      <c r="J31410" s="309"/>
    </row>
    <row r="31411">
      <c r="B31411" s="309"/>
      <c r="C31411" s="309"/>
      <c r="I31411" s="309"/>
      <c r="J31411" s="309"/>
    </row>
    <row r="31412">
      <c r="B31412" s="309"/>
      <c r="C31412" s="309"/>
      <c r="I31412" s="309"/>
      <c r="J31412" s="309"/>
    </row>
    <row r="31413">
      <c r="B31413" s="309"/>
      <c r="C31413" s="309"/>
      <c r="I31413" s="309"/>
      <c r="J31413" s="309"/>
    </row>
    <row r="31414">
      <c r="B31414" s="309"/>
      <c r="C31414" s="309"/>
      <c r="I31414" s="309"/>
      <c r="J31414" s="309"/>
    </row>
    <row r="31415">
      <c r="B31415" s="309"/>
      <c r="C31415" s="309"/>
      <c r="I31415" s="309"/>
      <c r="J31415" s="309"/>
    </row>
    <row r="31416">
      <c r="B31416" s="309"/>
      <c r="C31416" s="309"/>
      <c r="I31416" s="309"/>
      <c r="J31416" s="309"/>
    </row>
    <row r="31417">
      <c r="B31417" s="309"/>
      <c r="C31417" s="309"/>
      <c r="I31417" s="309"/>
      <c r="J31417" s="309"/>
    </row>
    <row r="31418">
      <c r="B31418" s="309"/>
      <c r="C31418" s="309"/>
      <c r="I31418" s="309"/>
      <c r="J31418" s="309"/>
    </row>
    <row r="31419">
      <c r="B31419" s="309"/>
      <c r="C31419" s="309"/>
      <c r="I31419" s="309"/>
      <c r="J31419" s="309"/>
    </row>
    <row r="31420">
      <c r="B31420" s="309"/>
      <c r="C31420" s="309"/>
      <c r="I31420" s="309"/>
      <c r="J31420" s="309"/>
    </row>
    <row r="31421">
      <c r="B31421" s="309"/>
      <c r="C31421" s="309"/>
      <c r="I31421" s="309"/>
      <c r="J31421" s="309"/>
    </row>
    <row r="31422">
      <c r="B31422" s="309"/>
      <c r="C31422" s="309"/>
      <c r="I31422" s="309"/>
      <c r="J31422" s="309"/>
    </row>
    <row r="31423">
      <c r="B31423" s="309"/>
      <c r="C31423" s="309"/>
      <c r="I31423" s="309"/>
      <c r="J31423" s="309"/>
    </row>
    <row r="31424">
      <c r="B31424" s="309"/>
      <c r="C31424" s="309"/>
      <c r="I31424" s="309"/>
      <c r="J31424" s="309"/>
    </row>
    <row r="31425">
      <c r="B31425" s="309"/>
      <c r="C31425" s="309"/>
      <c r="I31425" s="309"/>
      <c r="J31425" s="309"/>
    </row>
    <row r="31426">
      <c r="B31426" s="309"/>
      <c r="C31426" s="309"/>
      <c r="I31426" s="309"/>
      <c r="J31426" s="309"/>
    </row>
    <row r="31427">
      <c r="B31427" s="309"/>
      <c r="C31427" s="309"/>
      <c r="I31427" s="309"/>
      <c r="J31427" s="309"/>
    </row>
    <row r="31428">
      <c r="B31428" s="309"/>
      <c r="C31428" s="309"/>
      <c r="I31428" s="309"/>
      <c r="J31428" s="309"/>
    </row>
    <row r="31429">
      <c r="B31429" s="309"/>
      <c r="C31429" s="309"/>
      <c r="I31429" s="309"/>
      <c r="J31429" s="309"/>
    </row>
    <row r="31430">
      <c r="B31430" s="309"/>
      <c r="C31430" s="309"/>
      <c r="I31430" s="309"/>
      <c r="J31430" s="309"/>
    </row>
    <row r="31431">
      <c r="B31431" s="309"/>
      <c r="C31431" s="309"/>
      <c r="I31431" s="309"/>
      <c r="J31431" s="309"/>
    </row>
    <row r="31432">
      <c r="B31432" s="309"/>
      <c r="C31432" s="309"/>
      <c r="I31432" s="309"/>
      <c r="J31432" s="309"/>
    </row>
    <row r="31433">
      <c r="B31433" s="309"/>
      <c r="C31433" s="309"/>
      <c r="I31433" s="309"/>
      <c r="J31433" s="309"/>
    </row>
    <row r="31434">
      <c r="B31434" s="309"/>
      <c r="C31434" s="309"/>
      <c r="I31434" s="309"/>
      <c r="J31434" s="309"/>
    </row>
    <row r="31435">
      <c r="B31435" s="309"/>
      <c r="C31435" s="309"/>
      <c r="I31435" s="309"/>
      <c r="J31435" s="309"/>
    </row>
    <row r="31436">
      <c r="B31436" s="309"/>
      <c r="C31436" s="309"/>
      <c r="I31436" s="309"/>
      <c r="J31436" s="309"/>
    </row>
    <row r="31437">
      <c r="B31437" s="309"/>
      <c r="C31437" s="309"/>
      <c r="I31437" s="309"/>
      <c r="J31437" s="309"/>
    </row>
    <row r="31438">
      <c r="B31438" s="309"/>
      <c r="C31438" s="309"/>
      <c r="I31438" s="309"/>
      <c r="J31438" s="309"/>
    </row>
    <row r="31439">
      <c r="B31439" s="309"/>
      <c r="C31439" s="309"/>
      <c r="I31439" s="309"/>
      <c r="J31439" s="309"/>
    </row>
    <row r="31440">
      <c r="B31440" s="309"/>
      <c r="C31440" s="309"/>
      <c r="I31440" s="309"/>
      <c r="J31440" s="309"/>
    </row>
    <row r="31441">
      <c r="B31441" s="309"/>
      <c r="C31441" s="309"/>
      <c r="I31441" s="309"/>
      <c r="J31441" s="309"/>
    </row>
    <row r="31442">
      <c r="B31442" s="309"/>
      <c r="C31442" s="309"/>
      <c r="I31442" s="309"/>
      <c r="J31442" s="309"/>
    </row>
    <row r="31443">
      <c r="B31443" s="309"/>
      <c r="C31443" s="309"/>
      <c r="I31443" s="309"/>
      <c r="J31443" s="309"/>
    </row>
    <row r="31444">
      <c r="B31444" s="309"/>
      <c r="C31444" s="309"/>
      <c r="I31444" s="309"/>
      <c r="J31444" s="309"/>
    </row>
    <row r="31445">
      <c r="B31445" s="309"/>
      <c r="C31445" s="309"/>
      <c r="I31445" s="309"/>
      <c r="J31445" s="309"/>
    </row>
    <row r="31446">
      <c r="B31446" s="309"/>
      <c r="C31446" s="309"/>
      <c r="I31446" s="309"/>
      <c r="J31446" s="309"/>
    </row>
    <row r="31447">
      <c r="B31447" s="309"/>
      <c r="C31447" s="309"/>
      <c r="I31447" s="309"/>
      <c r="J31447" s="309"/>
    </row>
    <row r="31448">
      <c r="B31448" s="309"/>
      <c r="C31448" s="309"/>
      <c r="I31448" s="309"/>
      <c r="J31448" s="309"/>
    </row>
    <row r="31449">
      <c r="B31449" s="309"/>
      <c r="C31449" s="309"/>
      <c r="I31449" s="309"/>
      <c r="J31449" s="309"/>
    </row>
    <row r="31450">
      <c r="B31450" s="309"/>
      <c r="C31450" s="309"/>
      <c r="I31450" s="309"/>
      <c r="J31450" s="309"/>
    </row>
    <row r="31451">
      <c r="B31451" s="309"/>
      <c r="C31451" s="309"/>
      <c r="I31451" s="309"/>
      <c r="J31451" s="309"/>
    </row>
    <row r="31452">
      <c r="B31452" s="309"/>
      <c r="C31452" s="309"/>
      <c r="I31452" s="309"/>
      <c r="J31452" s="309"/>
    </row>
    <row r="31453">
      <c r="B31453" s="309"/>
      <c r="C31453" s="309"/>
      <c r="I31453" s="309"/>
      <c r="J31453" s="309"/>
    </row>
    <row r="31454">
      <c r="B31454" s="309"/>
      <c r="C31454" s="309"/>
      <c r="I31454" s="309"/>
      <c r="J31454" s="309"/>
    </row>
    <row r="31455">
      <c r="B31455" s="309"/>
      <c r="C31455" s="309"/>
      <c r="I31455" s="309"/>
      <c r="J31455" s="309"/>
    </row>
    <row r="31456">
      <c r="B31456" s="309"/>
      <c r="C31456" s="309"/>
      <c r="I31456" s="309"/>
      <c r="J31456" s="309"/>
    </row>
    <row r="31457">
      <c r="B31457" s="309"/>
      <c r="C31457" s="309"/>
      <c r="I31457" s="309"/>
      <c r="J31457" s="309"/>
    </row>
    <row r="31458">
      <c r="B31458" s="309"/>
      <c r="C31458" s="309"/>
      <c r="I31458" s="309"/>
      <c r="J31458" s="309"/>
    </row>
    <row r="31459">
      <c r="B31459" s="309"/>
      <c r="C31459" s="309"/>
      <c r="I31459" s="309"/>
      <c r="J31459" s="309"/>
    </row>
    <row r="31460">
      <c r="B31460" s="309"/>
      <c r="C31460" s="309"/>
      <c r="I31460" s="309"/>
      <c r="J31460" s="309"/>
    </row>
    <row r="31461">
      <c r="B31461" s="309"/>
      <c r="C31461" s="309"/>
      <c r="I31461" s="309"/>
      <c r="J31461" s="309"/>
    </row>
    <row r="31462">
      <c r="B31462" s="309"/>
      <c r="C31462" s="309"/>
      <c r="I31462" s="309"/>
      <c r="J31462" s="309"/>
    </row>
    <row r="31463">
      <c r="B31463" s="309"/>
      <c r="C31463" s="309"/>
      <c r="I31463" s="309"/>
      <c r="J31463" s="309"/>
    </row>
    <row r="31464">
      <c r="B31464" s="309"/>
      <c r="C31464" s="309"/>
      <c r="I31464" s="309"/>
      <c r="J31464" s="309"/>
    </row>
    <row r="31465">
      <c r="B31465" s="309"/>
      <c r="C31465" s="309"/>
      <c r="I31465" s="309"/>
      <c r="J31465" s="309"/>
    </row>
    <row r="31466">
      <c r="B31466" s="309"/>
      <c r="C31466" s="309"/>
      <c r="I31466" s="309"/>
      <c r="J31466" s="309"/>
    </row>
    <row r="31467">
      <c r="B31467" s="309"/>
      <c r="C31467" s="309"/>
      <c r="I31467" s="309"/>
      <c r="J31467" s="309"/>
    </row>
    <row r="31468">
      <c r="B31468" s="309"/>
      <c r="C31468" s="309"/>
      <c r="I31468" s="309"/>
      <c r="J31468" s="309"/>
    </row>
    <row r="31469">
      <c r="B31469" s="309"/>
      <c r="C31469" s="309"/>
      <c r="I31469" s="309"/>
      <c r="J31469" s="309"/>
    </row>
    <row r="31470">
      <c r="B31470" s="309"/>
      <c r="C31470" s="309"/>
      <c r="I31470" s="309"/>
      <c r="J31470" s="309"/>
    </row>
    <row r="31471">
      <c r="B31471" s="309"/>
      <c r="C31471" s="309"/>
      <c r="I31471" s="309"/>
      <c r="J31471" s="309"/>
    </row>
    <row r="31472">
      <c r="B31472" s="309"/>
      <c r="C31472" s="309"/>
      <c r="I31472" s="309"/>
      <c r="J31472" s="309"/>
    </row>
    <row r="31473">
      <c r="B31473" s="309"/>
      <c r="C31473" s="309"/>
      <c r="I31473" s="309"/>
      <c r="J31473" s="309"/>
    </row>
    <row r="31474">
      <c r="B31474" s="309"/>
      <c r="C31474" s="309"/>
      <c r="I31474" s="309"/>
      <c r="J31474" s="309"/>
    </row>
    <row r="31475">
      <c r="B31475" s="309"/>
      <c r="C31475" s="309"/>
      <c r="I31475" s="309"/>
      <c r="J31475" s="309"/>
    </row>
    <row r="31476">
      <c r="B31476" s="309"/>
      <c r="C31476" s="309"/>
      <c r="I31476" s="309"/>
      <c r="J31476" s="309"/>
    </row>
    <row r="31477">
      <c r="B31477" s="309"/>
      <c r="C31477" s="309"/>
      <c r="I31477" s="309"/>
      <c r="J31477" s="309"/>
    </row>
    <row r="31478">
      <c r="B31478" s="309"/>
      <c r="C31478" s="309"/>
      <c r="I31478" s="309"/>
      <c r="J31478" s="309"/>
    </row>
    <row r="31479">
      <c r="B31479" s="309"/>
      <c r="C31479" s="309"/>
      <c r="I31479" s="309"/>
      <c r="J31479" s="309"/>
    </row>
    <row r="31480">
      <c r="B31480" s="309"/>
      <c r="C31480" s="309"/>
      <c r="I31480" s="309"/>
      <c r="J31480" s="309"/>
    </row>
    <row r="31481">
      <c r="B31481" s="309"/>
      <c r="C31481" s="309"/>
      <c r="I31481" s="309"/>
      <c r="J31481" s="309"/>
    </row>
    <row r="31482">
      <c r="B31482" s="309"/>
      <c r="C31482" s="309"/>
      <c r="I31482" s="309"/>
      <c r="J31482" s="309"/>
    </row>
    <row r="31483">
      <c r="B31483" s="309"/>
      <c r="C31483" s="309"/>
      <c r="I31483" s="309"/>
      <c r="J31483" s="309"/>
    </row>
    <row r="31484">
      <c r="B31484" s="309"/>
      <c r="C31484" s="309"/>
      <c r="I31484" s="309"/>
      <c r="J31484" s="309"/>
    </row>
    <row r="31485">
      <c r="B31485" s="309"/>
      <c r="C31485" s="309"/>
      <c r="I31485" s="309"/>
      <c r="J31485" s="309"/>
    </row>
    <row r="31486">
      <c r="B31486" s="309"/>
      <c r="C31486" s="309"/>
      <c r="I31486" s="309"/>
      <c r="J31486" s="309"/>
    </row>
    <row r="31487">
      <c r="B31487" s="309"/>
      <c r="C31487" s="309"/>
      <c r="I31487" s="309"/>
      <c r="J31487" s="309"/>
    </row>
    <row r="31488">
      <c r="B31488" s="309"/>
      <c r="C31488" s="309"/>
      <c r="I31488" s="309"/>
      <c r="J31488" s="309"/>
    </row>
    <row r="31489">
      <c r="B31489" s="309"/>
      <c r="C31489" s="309"/>
      <c r="I31489" s="309"/>
      <c r="J31489" s="309"/>
    </row>
    <row r="31490">
      <c r="B31490" s="309"/>
      <c r="C31490" s="309"/>
      <c r="I31490" s="309"/>
      <c r="J31490" s="309"/>
    </row>
    <row r="31491">
      <c r="B31491" s="309"/>
      <c r="C31491" s="309"/>
      <c r="I31491" s="309"/>
      <c r="J31491" s="309"/>
    </row>
    <row r="31492">
      <c r="B31492" s="309"/>
      <c r="C31492" s="309"/>
      <c r="I31492" s="309"/>
      <c r="J31492" s="309"/>
    </row>
    <row r="31493">
      <c r="B31493" s="309"/>
      <c r="C31493" s="309"/>
      <c r="I31493" s="309"/>
      <c r="J31493" s="309"/>
    </row>
    <row r="31494">
      <c r="B31494" s="309"/>
      <c r="C31494" s="309"/>
      <c r="I31494" s="309"/>
      <c r="J31494" s="309"/>
    </row>
    <row r="31495">
      <c r="B31495" s="309"/>
      <c r="C31495" s="309"/>
      <c r="I31495" s="309"/>
      <c r="J31495" s="309"/>
    </row>
    <row r="31496">
      <c r="B31496" s="309"/>
      <c r="C31496" s="309"/>
      <c r="I31496" s="309"/>
      <c r="J31496" s="309"/>
    </row>
    <row r="31497">
      <c r="B31497" s="309"/>
      <c r="C31497" s="309"/>
      <c r="I31497" s="309"/>
      <c r="J31497" s="309"/>
    </row>
    <row r="31498">
      <c r="B31498" s="309"/>
      <c r="C31498" s="309"/>
      <c r="I31498" s="309"/>
      <c r="J31498" s="309"/>
    </row>
    <row r="31499">
      <c r="B31499" s="309"/>
      <c r="C31499" s="309"/>
      <c r="I31499" s="309"/>
      <c r="J31499" s="309"/>
    </row>
    <row r="31500">
      <c r="B31500" s="309"/>
      <c r="C31500" s="309"/>
      <c r="I31500" s="309"/>
      <c r="J31500" s="309"/>
    </row>
    <row r="31501">
      <c r="B31501" s="309"/>
      <c r="C31501" s="309"/>
      <c r="I31501" s="309"/>
      <c r="J31501" s="309"/>
    </row>
    <row r="31502">
      <c r="B31502" s="309"/>
      <c r="C31502" s="309"/>
      <c r="I31502" s="309"/>
      <c r="J31502" s="309"/>
    </row>
    <row r="31503">
      <c r="B31503" s="309"/>
      <c r="C31503" s="309"/>
      <c r="I31503" s="309"/>
      <c r="J31503" s="309"/>
    </row>
    <row r="31504">
      <c r="B31504" s="309"/>
      <c r="C31504" s="309"/>
      <c r="I31504" s="309"/>
      <c r="J31504" s="309"/>
    </row>
    <row r="31505">
      <c r="B31505" s="309"/>
      <c r="C31505" s="309"/>
      <c r="I31505" s="309"/>
      <c r="J31505" s="309"/>
    </row>
    <row r="31506">
      <c r="B31506" s="309"/>
      <c r="C31506" s="309"/>
      <c r="I31506" s="309"/>
      <c r="J31506" s="309"/>
    </row>
    <row r="31507">
      <c r="B31507" s="309"/>
      <c r="C31507" s="309"/>
      <c r="I31507" s="309"/>
      <c r="J31507" s="309"/>
    </row>
    <row r="31508">
      <c r="B31508" s="309"/>
      <c r="C31508" s="309"/>
      <c r="I31508" s="309"/>
      <c r="J31508" s="309"/>
    </row>
    <row r="31509">
      <c r="B31509" s="309"/>
      <c r="C31509" s="309"/>
      <c r="I31509" s="309"/>
      <c r="J31509" s="309"/>
    </row>
    <row r="31510">
      <c r="B31510" s="309"/>
      <c r="C31510" s="309"/>
      <c r="I31510" s="309"/>
      <c r="J31510" s="309"/>
    </row>
    <row r="31511">
      <c r="B31511" s="309"/>
      <c r="C31511" s="309"/>
      <c r="I31511" s="309"/>
      <c r="J31511" s="309"/>
    </row>
    <row r="31512">
      <c r="B31512" s="309"/>
      <c r="C31512" s="309"/>
      <c r="I31512" s="309"/>
      <c r="J31512" s="309"/>
    </row>
    <row r="31513">
      <c r="B31513" s="309"/>
      <c r="C31513" s="309"/>
      <c r="I31513" s="309"/>
      <c r="J31513" s="309"/>
    </row>
    <row r="31514">
      <c r="B31514" s="309"/>
      <c r="C31514" s="309"/>
      <c r="I31514" s="309"/>
      <c r="J31514" s="309"/>
    </row>
    <row r="31515">
      <c r="B31515" s="309"/>
      <c r="C31515" s="309"/>
      <c r="I31515" s="309"/>
      <c r="J31515" s="309"/>
    </row>
    <row r="31516">
      <c r="B31516" s="309"/>
      <c r="C31516" s="309"/>
      <c r="I31516" s="309"/>
      <c r="J31516" s="309"/>
    </row>
    <row r="31517">
      <c r="B31517" s="309"/>
      <c r="C31517" s="309"/>
      <c r="I31517" s="309"/>
      <c r="J31517" s="309"/>
    </row>
    <row r="31518">
      <c r="B31518" s="309"/>
      <c r="C31518" s="309"/>
      <c r="I31518" s="309"/>
      <c r="J31518" s="309"/>
    </row>
    <row r="31519">
      <c r="B31519" s="309"/>
      <c r="C31519" s="309"/>
      <c r="I31519" s="309"/>
      <c r="J31519" s="309"/>
    </row>
    <row r="31520">
      <c r="B31520" s="309"/>
      <c r="C31520" s="309"/>
      <c r="I31520" s="309"/>
      <c r="J31520" s="309"/>
    </row>
    <row r="31521">
      <c r="B31521" s="309"/>
      <c r="C31521" s="309"/>
      <c r="I31521" s="309"/>
      <c r="J31521" s="309"/>
    </row>
    <row r="31522">
      <c r="B31522" s="309"/>
      <c r="C31522" s="309"/>
      <c r="I31522" s="309"/>
      <c r="J31522" s="309"/>
    </row>
    <row r="31523">
      <c r="B31523" s="309"/>
      <c r="C31523" s="309"/>
      <c r="I31523" s="309"/>
      <c r="J31523" s="309"/>
    </row>
    <row r="31524">
      <c r="B31524" s="309"/>
      <c r="C31524" s="309"/>
      <c r="I31524" s="309"/>
      <c r="J31524" s="309"/>
    </row>
    <row r="31525">
      <c r="B31525" s="309"/>
      <c r="C31525" s="309"/>
      <c r="I31525" s="309"/>
      <c r="J31525" s="309"/>
    </row>
    <row r="31526">
      <c r="B31526" s="309"/>
      <c r="C31526" s="309"/>
      <c r="I31526" s="309"/>
      <c r="J31526" s="309"/>
    </row>
    <row r="31527">
      <c r="B31527" s="309"/>
      <c r="C31527" s="309"/>
      <c r="I31527" s="309"/>
      <c r="J31527" s="309"/>
    </row>
    <row r="31528">
      <c r="B31528" s="309"/>
      <c r="C31528" s="309"/>
      <c r="I31528" s="309"/>
      <c r="J31528" s="309"/>
    </row>
    <row r="31529">
      <c r="B31529" s="309"/>
      <c r="C31529" s="309"/>
      <c r="I31529" s="309"/>
      <c r="J31529" s="309"/>
    </row>
    <row r="31530">
      <c r="B31530" s="309"/>
      <c r="C31530" s="309"/>
      <c r="I31530" s="309"/>
      <c r="J31530" s="309"/>
    </row>
    <row r="31531">
      <c r="B31531" s="309"/>
      <c r="C31531" s="309"/>
      <c r="I31531" s="309"/>
      <c r="J31531" s="309"/>
    </row>
    <row r="31532">
      <c r="B31532" s="309"/>
      <c r="C31532" s="309"/>
      <c r="I31532" s="309"/>
      <c r="J31532" s="309"/>
    </row>
    <row r="31533">
      <c r="B31533" s="309"/>
      <c r="C31533" s="309"/>
      <c r="I31533" s="309"/>
      <c r="J31533" s="309"/>
    </row>
    <row r="31534">
      <c r="B31534" s="309"/>
      <c r="C31534" s="309"/>
      <c r="I31534" s="309"/>
      <c r="J31534" s="309"/>
    </row>
    <row r="31535">
      <c r="B31535" s="309"/>
      <c r="C31535" s="309"/>
      <c r="I31535" s="309"/>
      <c r="J31535" s="309"/>
    </row>
    <row r="31536">
      <c r="B31536" s="309"/>
      <c r="C31536" s="309"/>
      <c r="I31536" s="309"/>
      <c r="J31536" s="309"/>
    </row>
    <row r="31537">
      <c r="B31537" s="309"/>
      <c r="C31537" s="309"/>
      <c r="I31537" s="309"/>
      <c r="J31537" s="309"/>
    </row>
    <row r="31538">
      <c r="B31538" s="309"/>
      <c r="C31538" s="309"/>
      <c r="I31538" s="309"/>
      <c r="J31538" s="309"/>
    </row>
    <row r="31539">
      <c r="B31539" s="309"/>
      <c r="C31539" s="309"/>
      <c r="I31539" s="309"/>
      <c r="J31539" s="309"/>
    </row>
    <row r="31540">
      <c r="B31540" s="309"/>
      <c r="C31540" s="309"/>
      <c r="I31540" s="309"/>
      <c r="J31540" s="309"/>
    </row>
    <row r="31541">
      <c r="B31541" s="309"/>
      <c r="C31541" s="309"/>
      <c r="I31541" s="309"/>
      <c r="J31541" s="309"/>
    </row>
    <row r="31542">
      <c r="B31542" s="309"/>
      <c r="C31542" s="309"/>
      <c r="I31542" s="309"/>
      <c r="J31542" s="309"/>
    </row>
    <row r="31543">
      <c r="B31543" s="309"/>
      <c r="C31543" s="309"/>
      <c r="I31543" s="309"/>
      <c r="J31543" s="309"/>
    </row>
    <row r="31544">
      <c r="B31544" s="309"/>
      <c r="C31544" s="309"/>
      <c r="I31544" s="309"/>
      <c r="J31544" s="309"/>
    </row>
    <row r="31545">
      <c r="B31545" s="309"/>
      <c r="C31545" s="309"/>
      <c r="I31545" s="309"/>
      <c r="J31545" s="309"/>
    </row>
    <row r="31546">
      <c r="B31546" s="309"/>
      <c r="C31546" s="309"/>
      <c r="I31546" s="309"/>
      <c r="J31546" s="309"/>
    </row>
    <row r="31547">
      <c r="B31547" s="309"/>
      <c r="C31547" s="309"/>
      <c r="I31547" s="309"/>
      <c r="J31547" s="309"/>
    </row>
    <row r="31548">
      <c r="B31548" s="309"/>
      <c r="C31548" s="309"/>
      <c r="I31548" s="309"/>
      <c r="J31548" s="309"/>
    </row>
    <row r="31549">
      <c r="B31549" s="309"/>
      <c r="C31549" s="309"/>
      <c r="I31549" s="309"/>
      <c r="J31549" s="309"/>
    </row>
    <row r="31550">
      <c r="B31550" s="309"/>
      <c r="C31550" s="309"/>
      <c r="I31550" s="309"/>
      <c r="J31550" s="309"/>
    </row>
    <row r="31551">
      <c r="B31551" s="309"/>
      <c r="C31551" s="309"/>
      <c r="I31551" s="309"/>
      <c r="J31551" s="309"/>
    </row>
    <row r="31552">
      <c r="B31552" s="309"/>
      <c r="C31552" s="309"/>
      <c r="I31552" s="309"/>
      <c r="J31552" s="309"/>
    </row>
    <row r="31553">
      <c r="B31553" s="309"/>
      <c r="C31553" s="309"/>
      <c r="I31553" s="309"/>
      <c r="J31553" s="309"/>
    </row>
    <row r="31554">
      <c r="B31554" s="309"/>
      <c r="C31554" s="309"/>
      <c r="I31554" s="309"/>
      <c r="J31554" s="309"/>
    </row>
    <row r="31555">
      <c r="B31555" s="309"/>
      <c r="C31555" s="309"/>
      <c r="I31555" s="309"/>
      <c r="J31555" s="309"/>
    </row>
    <row r="31556">
      <c r="B31556" s="309"/>
      <c r="C31556" s="309"/>
      <c r="I31556" s="309"/>
      <c r="J31556" s="309"/>
    </row>
    <row r="31557">
      <c r="B31557" s="309"/>
      <c r="C31557" s="309"/>
      <c r="I31557" s="309"/>
      <c r="J31557" s="309"/>
    </row>
    <row r="31558">
      <c r="B31558" s="309"/>
      <c r="C31558" s="309"/>
      <c r="I31558" s="309"/>
      <c r="J31558" s="309"/>
    </row>
    <row r="31559">
      <c r="B31559" s="309"/>
      <c r="C31559" s="309"/>
      <c r="I31559" s="309"/>
      <c r="J31559" s="309"/>
    </row>
    <row r="31560">
      <c r="B31560" s="309"/>
      <c r="C31560" s="309"/>
      <c r="I31560" s="309"/>
      <c r="J31560" s="309"/>
    </row>
    <row r="31561">
      <c r="B31561" s="309"/>
      <c r="C31561" s="309"/>
      <c r="I31561" s="309"/>
      <c r="J31561" s="309"/>
    </row>
    <row r="31562">
      <c r="B31562" s="309"/>
      <c r="C31562" s="309"/>
      <c r="I31562" s="309"/>
      <c r="J31562" s="309"/>
    </row>
    <row r="31563">
      <c r="B31563" s="309"/>
      <c r="C31563" s="309"/>
      <c r="I31563" s="309"/>
      <c r="J31563" s="309"/>
    </row>
    <row r="31564">
      <c r="B31564" s="309"/>
      <c r="C31564" s="309"/>
      <c r="I31564" s="309"/>
      <c r="J31564" s="309"/>
    </row>
    <row r="31565">
      <c r="B31565" s="309"/>
      <c r="C31565" s="309"/>
      <c r="I31565" s="309"/>
      <c r="J31565" s="309"/>
    </row>
    <row r="31566">
      <c r="B31566" s="309"/>
      <c r="C31566" s="309"/>
      <c r="I31566" s="309"/>
      <c r="J31566" s="309"/>
    </row>
    <row r="31567">
      <c r="B31567" s="309"/>
      <c r="C31567" s="309"/>
      <c r="I31567" s="309"/>
      <c r="J31567" s="309"/>
    </row>
    <row r="31568">
      <c r="B31568" s="309"/>
      <c r="C31568" s="309"/>
      <c r="I31568" s="309"/>
      <c r="J31568" s="309"/>
    </row>
    <row r="31569">
      <c r="B31569" s="309"/>
      <c r="C31569" s="309"/>
      <c r="I31569" s="309"/>
      <c r="J31569" s="309"/>
    </row>
    <row r="31570">
      <c r="B31570" s="309"/>
      <c r="C31570" s="309"/>
      <c r="I31570" s="309"/>
      <c r="J31570" s="309"/>
    </row>
    <row r="31571">
      <c r="B31571" s="309"/>
      <c r="C31571" s="309"/>
      <c r="I31571" s="309"/>
      <c r="J31571" s="309"/>
    </row>
    <row r="31572">
      <c r="B31572" s="309"/>
      <c r="C31572" s="309"/>
      <c r="I31572" s="309"/>
      <c r="J31572" s="309"/>
    </row>
    <row r="31573">
      <c r="B31573" s="309"/>
      <c r="C31573" s="309"/>
      <c r="I31573" s="309"/>
      <c r="J31573" s="309"/>
    </row>
    <row r="31574">
      <c r="B31574" s="309"/>
      <c r="C31574" s="309"/>
      <c r="I31574" s="309"/>
      <c r="J31574" s="309"/>
    </row>
    <row r="31575">
      <c r="B31575" s="309"/>
      <c r="C31575" s="309"/>
      <c r="I31575" s="309"/>
      <c r="J31575" s="309"/>
    </row>
    <row r="31576">
      <c r="B31576" s="309"/>
      <c r="C31576" s="309"/>
      <c r="I31576" s="309"/>
      <c r="J31576" s="309"/>
    </row>
    <row r="31577">
      <c r="B31577" s="309"/>
      <c r="C31577" s="309"/>
      <c r="I31577" s="309"/>
      <c r="J31577" s="309"/>
    </row>
    <row r="31578">
      <c r="B31578" s="309"/>
      <c r="C31578" s="309"/>
      <c r="I31578" s="309"/>
      <c r="J31578" s="309"/>
    </row>
    <row r="31579">
      <c r="B31579" s="309"/>
      <c r="C31579" s="309"/>
      <c r="I31579" s="309"/>
      <c r="J31579" s="309"/>
    </row>
    <row r="31580">
      <c r="B31580" s="309"/>
      <c r="C31580" s="309"/>
      <c r="I31580" s="309"/>
      <c r="J31580" s="309"/>
    </row>
    <row r="31581">
      <c r="B31581" s="309"/>
      <c r="C31581" s="309"/>
      <c r="I31581" s="309"/>
      <c r="J31581" s="309"/>
    </row>
    <row r="31582">
      <c r="B31582" s="309"/>
      <c r="C31582" s="309"/>
      <c r="I31582" s="309"/>
      <c r="J31582" s="309"/>
    </row>
    <row r="31583">
      <c r="B31583" s="309"/>
      <c r="C31583" s="309"/>
      <c r="I31583" s="309"/>
      <c r="J31583" s="309"/>
    </row>
    <row r="31584">
      <c r="B31584" s="309"/>
      <c r="C31584" s="309"/>
      <c r="I31584" s="309"/>
      <c r="J31584" s="309"/>
    </row>
    <row r="31585">
      <c r="B31585" s="309"/>
      <c r="C31585" s="309"/>
      <c r="I31585" s="309"/>
      <c r="J31585" s="309"/>
    </row>
    <row r="31586">
      <c r="B31586" s="309"/>
      <c r="C31586" s="309"/>
      <c r="I31586" s="309"/>
      <c r="J31586" s="309"/>
    </row>
    <row r="31587">
      <c r="B31587" s="309"/>
      <c r="C31587" s="309"/>
      <c r="I31587" s="309"/>
      <c r="J31587" s="309"/>
    </row>
    <row r="31588">
      <c r="B31588" s="309"/>
      <c r="C31588" s="309"/>
      <c r="I31588" s="309"/>
      <c r="J31588" s="309"/>
    </row>
    <row r="31589">
      <c r="B31589" s="309"/>
      <c r="C31589" s="309"/>
      <c r="I31589" s="309"/>
      <c r="J31589" s="309"/>
    </row>
    <row r="31590">
      <c r="B31590" s="309"/>
      <c r="C31590" s="309"/>
      <c r="I31590" s="309"/>
      <c r="J31590" s="309"/>
    </row>
    <row r="31591">
      <c r="B31591" s="309"/>
      <c r="C31591" s="309"/>
      <c r="I31591" s="309"/>
      <c r="J31591" s="309"/>
    </row>
    <row r="31592">
      <c r="B31592" s="309"/>
      <c r="C31592" s="309"/>
      <c r="I31592" s="309"/>
      <c r="J31592" s="309"/>
    </row>
    <row r="31593">
      <c r="B31593" s="309"/>
      <c r="C31593" s="309"/>
      <c r="I31593" s="309"/>
      <c r="J31593" s="309"/>
    </row>
    <row r="31594">
      <c r="B31594" s="309"/>
      <c r="C31594" s="309"/>
      <c r="I31594" s="309"/>
      <c r="J31594" s="309"/>
    </row>
    <row r="31595">
      <c r="B31595" s="309"/>
      <c r="C31595" s="309"/>
      <c r="I31595" s="309"/>
      <c r="J31595" s="309"/>
    </row>
    <row r="31596">
      <c r="B31596" s="309"/>
      <c r="C31596" s="309"/>
      <c r="I31596" s="309"/>
      <c r="J31596" s="309"/>
    </row>
    <row r="31597">
      <c r="B31597" s="309"/>
      <c r="C31597" s="309"/>
      <c r="I31597" s="309"/>
      <c r="J31597" s="309"/>
    </row>
    <row r="31598">
      <c r="B31598" s="309"/>
      <c r="C31598" s="309"/>
      <c r="I31598" s="309"/>
      <c r="J31598" s="309"/>
    </row>
    <row r="31599">
      <c r="B31599" s="309"/>
      <c r="C31599" s="309"/>
      <c r="I31599" s="309"/>
      <c r="J31599" s="309"/>
    </row>
    <row r="31600">
      <c r="B31600" s="309"/>
      <c r="C31600" s="309"/>
      <c r="I31600" s="309"/>
      <c r="J31600" s="309"/>
    </row>
    <row r="31601">
      <c r="B31601" s="309"/>
      <c r="C31601" s="309"/>
      <c r="I31601" s="309"/>
      <c r="J31601" s="309"/>
    </row>
    <row r="31602">
      <c r="B31602" s="309"/>
      <c r="C31602" s="309"/>
      <c r="I31602" s="309"/>
      <c r="J31602" s="309"/>
    </row>
    <row r="31603">
      <c r="B31603" s="309"/>
      <c r="C31603" s="309"/>
      <c r="I31603" s="309"/>
      <c r="J31603" s="309"/>
    </row>
    <row r="31604">
      <c r="B31604" s="309"/>
      <c r="C31604" s="309"/>
      <c r="I31604" s="309"/>
      <c r="J31604" s="309"/>
    </row>
    <row r="31605">
      <c r="B31605" s="309"/>
      <c r="C31605" s="309"/>
      <c r="I31605" s="309"/>
      <c r="J31605" s="309"/>
    </row>
    <row r="31606">
      <c r="B31606" s="309"/>
      <c r="C31606" s="309"/>
      <c r="I31606" s="309"/>
      <c r="J31606" s="309"/>
    </row>
    <row r="31607">
      <c r="B31607" s="309"/>
      <c r="C31607" s="309"/>
      <c r="I31607" s="309"/>
      <c r="J31607" s="309"/>
    </row>
    <row r="31608">
      <c r="B31608" s="309"/>
      <c r="C31608" s="309"/>
      <c r="I31608" s="309"/>
      <c r="J31608" s="309"/>
    </row>
    <row r="31609">
      <c r="B31609" s="309"/>
      <c r="C31609" s="309"/>
      <c r="I31609" s="309"/>
      <c r="J31609" s="309"/>
    </row>
    <row r="31610">
      <c r="B31610" s="309"/>
      <c r="C31610" s="309"/>
      <c r="I31610" s="309"/>
      <c r="J31610" s="309"/>
    </row>
    <row r="31611">
      <c r="B31611" s="309"/>
      <c r="C31611" s="309"/>
      <c r="I31611" s="309"/>
      <c r="J31611" s="309"/>
    </row>
    <row r="31612">
      <c r="B31612" s="309"/>
      <c r="C31612" s="309"/>
      <c r="I31612" s="309"/>
      <c r="J31612" s="309"/>
    </row>
    <row r="31613">
      <c r="B31613" s="309"/>
      <c r="C31613" s="309"/>
      <c r="I31613" s="309"/>
      <c r="J31613" s="309"/>
    </row>
    <row r="31614">
      <c r="B31614" s="309"/>
      <c r="C31614" s="309"/>
      <c r="I31614" s="309"/>
      <c r="J31614" s="309"/>
    </row>
    <row r="31615">
      <c r="B31615" s="309"/>
      <c r="C31615" s="309"/>
      <c r="I31615" s="309"/>
      <c r="J31615" s="309"/>
    </row>
    <row r="31616">
      <c r="B31616" s="309"/>
      <c r="C31616" s="309"/>
      <c r="I31616" s="309"/>
      <c r="J31616" s="309"/>
    </row>
    <row r="31617">
      <c r="B31617" s="309"/>
      <c r="C31617" s="309"/>
      <c r="I31617" s="309"/>
      <c r="J31617" s="309"/>
    </row>
    <row r="31618">
      <c r="B31618" s="309"/>
      <c r="C31618" s="309"/>
      <c r="I31618" s="309"/>
      <c r="J31618" s="309"/>
    </row>
    <row r="31619">
      <c r="B31619" s="309"/>
      <c r="C31619" s="309"/>
      <c r="I31619" s="309"/>
      <c r="J31619" s="309"/>
    </row>
    <row r="31620">
      <c r="B31620" s="309"/>
      <c r="C31620" s="309"/>
      <c r="I31620" s="309"/>
      <c r="J31620" s="309"/>
    </row>
    <row r="31621">
      <c r="B31621" s="309"/>
      <c r="C31621" s="309"/>
      <c r="I31621" s="309"/>
      <c r="J31621" s="309"/>
    </row>
    <row r="31622">
      <c r="B31622" s="309"/>
      <c r="C31622" s="309"/>
      <c r="I31622" s="309"/>
      <c r="J31622" s="309"/>
    </row>
    <row r="31623">
      <c r="B31623" s="309"/>
      <c r="C31623" s="309"/>
      <c r="I31623" s="309"/>
      <c r="J31623" s="309"/>
    </row>
    <row r="31624">
      <c r="B31624" s="309"/>
      <c r="C31624" s="309"/>
      <c r="I31624" s="309"/>
      <c r="J31624" s="309"/>
    </row>
    <row r="31625">
      <c r="B31625" s="309"/>
      <c r="C31625" s="309"/>
      <c r="I31625" s="309"/>
      <c r="J31625" s="309"/>
    </row>
    <row r="31626">
      <c r="B31626" s="309"/>
      <c r="C31626" s="309"/>
      <c r="I31626" s="309"/>
      <c r="J31626" s="309"/>
    </row>
    <row r="31627">
      <c r="B31627" s="309"/>
      <c r="C31627" s="309"/>
      <c r="I31627" s="309"/>
      <c r="J31627" s="309"/>
    </row>
    <row r="31628">
      <c r="B31628" s="309"/>
      <c r="C31628" s="309"/>
      <c r="I31628" s="309"/>
      <c r="J31628" s="309"/>
    </row>
    <row r="31629">
      <c r="B31629" s="309"/>
      <c r="C31629" s="309"/>
      <c r="I31629" s="309"/>
      <c r="J31629" s="309"/>
    </row>
    <row r="31630">
      <c r="B31630" s="309"/>
      <c r="C31630" s="309"/>
      <c r="I31630" s="309"/>
      <c r="J31630" s="309"/>
    </row>
    <row r="31631">
      <c r="B31631" s="309"/>
      <c r="C31631" s="309"/>
      <c r="I31631" s="309"/>
      <c r="J31631" s="309"/>
    </row>
    <row r="31632">
      <c r="B31632" s="309"/>
      <c r="C31632" s="309"/>
      <c r="I31632" s="309"/>
      <c r="J31632" s="309"/>
    </row>
    <row r="31633">
      <c r="B31633" s="309"/>
      <c r="C31633" s="309"/>
      <c r="I31633" s="309"/>
      <c r="J31633" s="309"/>
    </row>
    <row r="31634">
      <c r="B31634" s="309"/>
      <c r="C31634" s="309"/>
      <c r="I31634" s="309"/>
      <c r="J31634" s="309"/>
    </row>
    <row r="31635">
      <c r="B31635" s="309"/>
      <c r="C31635" s="309"/>
      <c r="I31635" s="309"/>
      <c r="J31635" s="309"/>
    </row>
    <row r="31636">
      <c r="B31636" s="309"/>
      <c r="C31636" s="309"/>
      <c r="I31636" s="309"/>
      <c r="J31636" s="309"/>
    </row>
    <row r="31637">
      <c r="B31637" s="309"/>
      <c r="C31637" s="309"/>
      <c r="I31637" s="309"/>
      <c r="J31637" s="309"/>
    </row>
    <row r="31638">
      <c r="B31638" s="309"/>
      <c r="C31638" s="309"/>
      <c r="I31638" s="309"/>
      <c r="J31638" s="309"/>
    </row>
    <row r="31639">
      <c r="B31639" s="309"/>
      <c r="C31639" s="309"/>
      <c r="I31639" s="309"/>
      <c r="J31639" s="309"/>
    </row>
    <row r="31640">
      <c r="B31640" s="309"/>
      <c r="C31640" s="309"/>
      <c r="I31640" s="309"/>
      <c r="J31640" s="309"/>
    </row>
    <row r="31641">
      <c r="B31641" s="309"/>
      <c r="C31641" s="309"/>
      <c r="I31641" s="309"/>
      <c r="J31641" s="309"/>
    </row>
    <row r="31642">
      <c r="B31642" s="309"/>
      <c r="C31642" s="309"/>
      <c r="I31642" s="309"/>
      <c r="J31642" s="309"/>
    </row>
    <row r="31643">
      <c r="B31643" s="309"/>
      <c r="C31643" s="309"/>
      <c r="I31643" s="309"/>
      <c r="J31643" s="309"/>
    </row>
    <row r="31644">
      <c r="B31644" s="309"/>
      <c r="C31644" s="309"/>
      <c r="I31644" s="309"/>
      <c r="J31644" s="309"/>
    </row>
    <row r="31645">
      <c r="B31645" s="309"/>
      <c r="C31645" s="309"/>
      <c r="I31645" s="309"/>
      <c r="J31645" s="309"/>
    </row>
    <row r="31646">
      <c r="B31646" s="309"/>
      <c r="C31646" s="309"/>
      <c r="I31646" s="309"/>
      <c r="J31646" s="309"/>
    </row>
    <row r="31647">
      <c r="B31647" s="309"/>
      <c r="C31647" s="309"/>
      <c r="I31647" s="309"/>
      <c r="J31647" s="309"/>
    </row>
    <row r="31648">
      <c r="B31648" s="309"/>
      <c r="C31648" s="309"/>
      <c r="I31648" s="309"/>
      <c r="J31648" s="309"/>
    </row>
    <row r="31649">
      <c r="B31649" s="309"/>
      <c r="C31649" s="309"/>
      <c r="I31649" s="309"/>
      <c r="J31649" s="309"/>
    </row>
    <row r="31650">
      <c r="B31650" s="309"/>
      <c r="C31650" s="309"/>
      <c r="I31650" s="309"/>
      <c r="J31650" s="309"/>
    </row>
    <row r="31651">
      <c r="B31651" s="309"/>
      <c r="C31651" s="309"/>
      <c r="I31651" s="309"/>
      <c r="J31651" s="309"/>
    </row>
    <row r="31652">
      <c r="B31652" s="309"/>
      <c r="C31652" s="309"/>
      <c r="I31652" s="309"/>
      <c r="J31652" s="309"/>
    </row>
    <row r="31653">
      <c r="B31653" s="309"/>
      <c r="C31653" s="309"/>
      <c r="I31653" s="309"/>
      <c r="J31653" s="309"/>
    </row>
    <row r="31654">
      <c r="B31654" s="309"/>
      <c r="C31654" s="309"/>
      <c r="I31654" s="309"/>
      <c r="J31654" s="309"/>
    </row>
    <row r="31655">
      <c r="B31655" s="309"/>
      <c r="C31655" s="309"/>
      <c r="I31655" s="309"/>
      <c r="J31655" s="309"/>
    </row>
    <row r="31656">
      <c r="B31656" s="309"/>
      <c r="C31656" s="309"/>
      <c r="I31656" s="309"/>
      <c r="J31656" s="309"/>
    </row>
    <row r="31657">
      <c r="B31657" s="309"/>
      <c r="C31657" s="309"/>
      <c r="I31657" s="309"/>
      <c r="J31657" s="309"/>
    </row>
    <row r="31658">
      <c r="B31658" s="309"/>
      <c r="C31658" s="309"/>
      <c r="I31658" s="309"/>
      <c r="J31658" s="309"/>
    </row>
    <row r="31659">
      <c r="B31659" s="309"/>
      <c r="C31659" s="309"/>
      <c r="I31659" s="309"/>
      <c r="J31659" s="309"/>
    </row>
    <row r="31660">
      <c r="B31660" s="309"/>
      <c r="C31660" s="309"/>
      <c r="I31660" s="309"/>
      <c r="J31660" s="309"/>
    </row>
    <row r="31661">
      <c r="B31661" s="309"/>
      <c r="C31661" s="309"/>
      <c r="I31661" s="309"/>
      <c r="J31661" s="309"/>
    </row>
    <row r="31662">
      <c r="B31662" s="309"/>
      <c r="C31662" s="309"/>
      <c r="I31662" s="309"/>
      <c r="J31662" s="309"/>
    </row>
    <row r="31663">
      <c r="B31663" s="309"/>
      <c r="C31663" s="309"/>
      <c r="I31663" s="309"/>
      <c r="J31663" s="309"/>
    </row>
    <row r="31664">
      <c r="B31664" s="309"/>
      <c r="C31664" s="309"/>
      <c r="I31664" s="309"/>
      <c r="J31664" s="309"/>
    </row>
    <row r="31665">
      <c r="B31665" s="309"/>
      <c r="C31665" s="309"/>
      <c r="I31665" s="309"/>
      <c r="J31665" s="309"/>
    </row>
    <row r="31666">
      <c r="B31666" s="309"/>
      <c r="C31666" s="309"/>
      <c r="I31666" s="309"/>
      <c r="J31666" s="309"/>
    </row>
    <row r="31667">
      <c r="B31667" s="309"/>
      <c r="C31667" s="309"/>
      <c r="I31667" s="309"/>
      <c r="J31667" s="309"/>
    </row>
    <row r="31668">
      <c r="B31668" s="309"/>
      <c r="C31668" s="309"/>
      <c r="I31668" s="309"/>
      <c r="J31668" s="309"/>
    </row>
    <row r="31669">
      <c r="B31669" s="309"/>
      <c r="C31669" s="309"/>
      <c r="I31669" s="309"/>
      <c r="J31669" s="309"/>
    </row>
    <row r="31670">
      <c r="B31670" s="309"/>
      <c r="C31670" s="309"/>
      <c r="I31670" s="309"/>
      <c r="J31670" s="309"/>
    </row>
    <row r="31671">
      <c r="B31671" s="309"/>
      <c r="C31671" s="309"/>
      <c r="I31671" s="309"/>
      <c r="J31671" s="309"/>
    </row>
    <row r="31672">
      <c r="B31672" s="309"/>
      <c r="C31672" s="309"/>
      <c r="I31672" s="309"/>
      <c r="J31672" s="309"/>
    </row>
    <row r="31673">
      <c r="B31673" s="309"/>
      <c r="C31673" s="309"/>
      <c r="I31673" s="309"/>
      <c r="J31673" s="309"/>
    </row>
    <row r="31674">
      <c r="B31674" s="309"/>
      <c r="C31674" s="309"/>
      <c r="I31674" s="309"/>
      <c r="J31674" s="309"/>
    </row>
    <row r="31675">
      <c r="B31675" s="309"/>
      <c r="C31675" s="309"/>
      <c r="I31675" s="309"/>
      <c r="J31675" s="309"/>
    </row>
    <row r="31676">
      <c r="B31676" s="309"/>
      <c r="C31676" s="309"/>
      <c r="I31676" s="309"/>
      <c r="J31676" s="309"/>
    </row>
    <row r="31677">
      <c r="B31677" s="309"/>
      <c r="C31677" s="309"/>
      <c r="I31677" s="309"/>
      <c r="J31677" s="309"/>
    </row>
    <row r="31678">
      <c r="B31678" s="309"/>
      <c r="C31678" s="309"/>
      <c r="I31678" s="309"/>
      <c r="J31678" s="309"/>
    </row>
    <row r="31679">
      <c r="B31679" s="309"/>
      <c r="C31679" s="309"/>
      <c r="I31679" s="309"/>
      <c r="J31679" s="309"/>
    </row>
    <row r="31680">
      <c r="B31680" s="309"/>
      <c r="C31680" s="309"/>
      <c r="I31680" s="309"/>
      <c r="J31680" s="309"/>
    </row>
    <row r="31681">
      <c r="B31681" s="309"/>
      <c r="C31681" s="309"/>
      <c r="I31681" s="309"/>
      <c r="J31681" s="309"/>
    </row>
    <row r="31682">
      <c r="B31682" s="309"/>
      <c r="C31682" s="309"/>
      <c r="I31682" s="309"/>
      <c r="J31682" s="309"/>
    </row>
    <row r="31683">
      <c r="B31683" s="309"/>
      <c r="C31683" s="309"/>
      <c r="I31683" s="309"/>
      <c r="J31683" s="309"/>
    </row>
    <row r="31684">
      <c r="B31684" s="309"/>
      <c r="C31684" s="309"/>
      <c r="I31684" s="309"/>
      <c r="J31684" s="309"/>
    </row>
    <row r="31685">
      <c r="B31685" s="309"/>
      <c r="C31685" s="309"/>
      <c r="I31685" s="309"/>
      <c r="J31685" s="309"/>
    </row>
    <row r="31686">
      <c r="B31686" s="309"/>
      <c r="C31686" s="309"/>
      <c r="I31686" s="309"/>
      <c r="J31686" s="309"/>
    </row>
    <row r="31687">
      <c r="B31687" s="309"/>
      <c r="C31687" s="309"/>
      <c r="I31687" s="309"/>
      <c r="J31687" s="309"/>
    </row>
    <row r="31688">
      <c r="B31688" s="309"/>
      <c r="C31688" s="309"/>
      <c r="I31688" s="309"/>
      <c r="J31688" s="309"/>
    </row>
    <row r="31689">
      <c r="B31689" s="309"/>
      <c r="C31689" s="309"/>
      <c r="I31689" s="309"/>
      <c r="J31689" s="309"/>
    </row>
    <row r="31690">
      <c r="B31690" s="309"/>
      <c r="C31690" s="309"/>
      <c r="I31690" s="309"/>
      <c r="J31690" s="309"/>
    </row>
    <row r="31691">
      <c r="B31691" s="309"/>
      <c r="C31691" s="309"/>
      <c r="I31691" s="309"/>
      <c r="J31691" s="309"/>
    </row>
    <row r="31692">
      <c r="B31692" s="309"/>
      <c r="C31692" s="309"/>
      <c r="I31692" s="309"/>
      <c r="J31692" s="309"/>
    </row>
    <row r="31693">
      <c r="B31693" s="309"/>
      <c r="C31693" s="309"/>
      <c r="I31693" s="309"/>
      <c r="J31693" s="309"/>
    </row>
    <row r="31694">
      <c r="B31694" s="309"/>
      <c r="C31694" s="309"/>
      <c r="I31694" s="309"/>
      <c r="J31694" s="309"/>
    </row>
    <row r="31695">
      <c r="B31695" s="309"/>
      <c r="C31695" s="309"/>
      <c r="I31695" s="309"/>
      <c r="J31695" s="309"/>
    </row>
    <row r="31696">
      <c r="B31696" s="309"/>
      <c r="C31696" s="309"/>
      <c r="I31696" s="309"/>
      <c r="J31696" s="309"/>
    </row>
    <row r="31697">
      <c r="B31697" s="309"/>
      <c r="C31697" s="309"/>
      <c r="I31697" s="309"/>
      <c r="J31697" s="309"/>
    </row>
    <row r="31698">
      <c r="B31698" s="309"/>
      <c r="C31698" s="309"/>
      <c r="I31698" s="309"/>
      <c r="J31698" s="309"/>
    </row>
    <row r="31699">
      <c r="B31699" s="309"/>
      <c r="C31699" s="309"/>
      <c r="I31699" s="309"/>
      <c r="J31699" s="309"/>
    </row>
    <row r="31700">
      <c r="B31700" s="309"/>
      <c r="C31700" s="309"/>
      <c r="I31700" s="309"/>
      <c r="J31700" s="309"/>
    </row>
    <row r="31701">
      <c r="B31701" s="309"/>
      <c r="C31701" s="309"/>
      <c r="I31701" s="309"/>
      <c r="J31701" s="309"/>
    </row>
    <row r="31702">
      <c r="B31702" s="309"/>
      <c r="C31702" s="309"/>
      <c r="I31702" s="309"/>
      <c r="J31702" s="309"/>
    </row>
    <row r="31703">
      <c r="B31703" s="309"/>
      <c r="C31703" s="309"/>
      <c r="I31703" s="309"/>
      <c r="J31703" s="309"/>
    </row>
    <row r="31704">
      <c r="B31704" s="309"/>
      <c r="C31704" s="309"/>
      <c r="I31704" s="309"/>
      <c r="J31704" s="309"/>
    </row>
    <row r="31705">
      <c r="B31705" s="309"/>
      <c r="C31705" s="309"/>
      <c r="I31705" s="309"/>
      <c r="J31705" s="309"/>
    </row>
    <row r="31706">
      <c r="B31706" s="309"/>
      <c r="C31706" s="309"/>
      <c r="I31706" s="309"/>
      <c r="J31706" s="309"/>
    </row>
    <row r="31707">
      <c r="B31707" s="309"/>
      <c r="C31707" s="309"/>
      <c r="I31707" s="309"/>
      <c r="J31707" s="309"/>
    </row>
    <row r="31708">
      <c r="B31708" s="309"/>
      <c r="C31708" s="309"/>
      <c r="I31708" s="309"/>
      <c r="J31708" s="309"/>
    </row>
    <row r="31709">
      <c r="B31709" s="309"/>
      <c r="C31709" s="309"/>
      <c r="I31709" s="309"/>
      <c r="J31709" s="309"/>
    </row>
    <row r="31710">
      <c r="B31710" s="309"/>
      <c r="C31710" s="309"/>
      <c r="I31710" s="309"/>
      <c r="J31710" s="309"/>
    </row>
    <row r="31711">
      <c r="B31711" s="309"/>
      <c r="C31711" s="309"/>
      <c r="I31711" s="309"/>
      <c r="J31711" s="309"/>
    </row>
    <row r="31712">
      <c r="B31712" s="309"/>
      <c r="C31712" s="309"/>
      <c r="I31712" s="309"/>
      <c r="J31712" s="309"/>
    </row>
    <row r="31713">
      <c r="B31713" s="309"/>
      <c r="C31713" s="309"/>
      <c r="I31713" s="309"/>
      <c r="J31713" s="309"/>
    </row>
    <row r="31714">
      <c r="B31714" s="309"/>
      <c r="C31714" s="309"/>
      <c r="I31714" s="309"/>
      <c r="J31714" s="309"/>
    </row>
    <row r="31715">
      <c r="B31715" s="309"/>
      <c r="C31715" s="309"/>
      <c r="I31715" s="309"/>
      <c r="J31715" s="309"/>
    </row>
    <row r="31716">
      <c r="B31716" s="309"/>
      <c r="C31716" s="309"/>
      <c r="I31716" s="309"/>
      <c r="J31716" s="309"/>
    </row>
    <row r="31717">
      <c r="B31717" s="309"/>
      <c r="C31717" s="309"/>
      <c r="I31717" s="309"/>
      <c r="J31717" s="309"/>
    </row>
    <row r="31718">
      <c r="B31718" s="309"/>
      <c r="C31718" s="309"/>
      <c r="I31718" s="309"/>
      <c r="J31718" s="309"/>
    </row>
    <row r="31719">
      <c r="B31719" s="309"/>
      <c r="C31719" s="309"/>
      <c r="I31719" s="309"/>
      <c r="J31719" s="309"/>
    </row>
    <row r="31720">
      <c r="B31720" s="309"/>
      <c r="C31720" s="309"/>
      <c r="I31720" s="309"/>
      <c r="J31720" s="309"/>
    </row>
    <row r="31721">
      <c r="B31721" s="309"/>
      <c r="C31721" s="309"/>
      <c r="I31721" s="309"/>
      <c r="J31721" s="309"/>
    </row>
    <row r="31722">
      <c r="B31722" s="309"/>
      <c r="C31722" s="309"/>
      <c r="I31722" s="309"/>
      <c r="J31722" s="309"/>
    </row>
    <row r="31723">
      <c r="B31723" s="309"/>
      <c r="C31723" s="309"/>
      <c r="I31723" s="309"/>
      <c r="J31723" s="309"/>
    </row>
    <row r="31724">
      <c r="B31724" s="309"/>
      <c r="C31724" s="309"/>
      <c r="I31724" s="309"/>
      <c r="J31724" s="309"/>
    </row>
    <row r="31725">
      <c r="B31725" s="309"/>
      <c r="C31725" s="309"/>
      <c r="I31725" s="309"/>
      <c r="J31725" s="309"/>
    </row>
    <row r="31726">
      <c r="B31726" s="309"/>
      <c r="C31726" s="309"/>
      <c r="I31726" s="309"/>
      <c r="J31726" s="309"/>
    </row>
    <row r="31727">
      <c r="B31727" s="309"/>
      <c r="C31727" s="309"/>
      <c r="I31727" s="309"/>
      <c r="J31727" s="309"/>
    </row>
    <row r="31728">
      <c r="B31728" s="309"/>
      <c r="C31728" s="309"/>
      <c r="I31728" s="309"/>
      <c r="J31728" s="309"/>
    </row>
    <row r="31729">
      <c r="B31729" s="309"/>
      <c r="C31729" s="309"/>
      <c r="I31729" s="309"/>
      <c r="J31729" s="309"/>
    </row>
    <row r="31730">
      <c r="B31730" s="309"/>
      <c r="C31730" s="309"/>
      <c r="I31730" s="309"/>
      <c r="J31730" s="309"/>
    </row>
    <row r="31731">
      <c r="B31731" s="309"/>
      <c r="C31731" s="309"/>
      <c r="I31731" s="309"/>
      <c r="J31731" s="309"/>
    </row>
    <row r="31732">
      <c r="B31732" s="309"/>
      <c r="C31732" s="309"/>
      <c r="I31732" s="309"/>
      <c r="J31732" s="309"/>
    </row>
    <row r="31733">
      <c r="B31733" s="309"/>
      <c r="C31733" s="309"/>
      <c r="I31733" s="309"/>
      <c r="J31733" s="309"/>
    </row>
    <row r="31734">
      <c r="B31734" s="309"/>
      <c r="C31734" s="309"/>
      <c r="I31734" s="309"/>
      <c r="J31734" s="309"/>
    </row>
    <row r="31735">
      <c r="B31735" s="309"/>
      <c r="C31735" s="309"/>
      <c r="I31735" s="309"/>
      <c r="J31735" s="309"/>
    </row>
    <row r="31736">
      <c r="B31736" s="309"/>
      <c r="C31736" s="309"/>
      <c r="I31736" s="309"/>
      <c r="J31736" s="309"/>
    </row>
    <row r="31737">
      <c r="B31737" s="309"/>
      <c r="C31737" s="309"/>
      <c r="I31737" s="309"/>
      <c r="J31737" s="309"/>
    </row>
    <row r="31738">
      <c r="B31738" s="309"/>
      <c r="C31738" s="309"/>
      <c r="I31738" s="309"/>
      <c r="J31738" s="309"/>
    </row>
    <row r="31739">
      <c r="B31739" s="309"/>
      <c r="C31739" s="309"/>
      <c r="I31739" s="309"/>
      <c r="J31739" s="309"/>
    </row>
    <row r="31740">
      <c r="B31740" s="309"/>
      <c r="C31740" s="309"/>
      <c r="I31740" s="309"/>
      <c r="J31740" s="309"/>
    </row>
    <row r="31741">
      <c r="B31741" s="309"/>
      <c r="C31741" s="309"/>
      <c r="I31741" s="309"/>
      <c r="J31741" s="309"/>
    </row>
    <row r="31742">
      <c r="B31742" s="309"/>
      <c r="C31742" s="309"/>
      <c r="I31742" s="309"/>
      <c r="J31742" s="309"/>
    </row>
    <row r="31743">
      <c r="B31743" s="309"/>
      <c r="C31743" s="309"/>
      <c r="I31743" s="309"/>
      <c r="J31743" s="309"/>
    </row>
    <row r="31744">
      <c r="B31744" s="309"/>
      <c r="C31744" s="309"/>
      <c r="I31744" s="309"/>
      <c r="J31744" s="309"/>
    </row>
    <row r="31745">
      <c r="B31745" s="309"/>
      <c r="C31745" s="309"/>
      <c r="I31745" s="309"/>
      <c r="J31745" s="309"/>
    </row>
    <row r="31746">
      <c r="B31746" s="309"/>
      <c r="C31746" s="309"/>
      <c r="I31746" s="309"/>
      <c r="J31746" s="309"/>
    </row>
    <row r="31747">
      <c r="B31747" s="309"/>
      <c r="C31747" s="309"/>
      <c r="I31747" s="309"/>
      <c r="J31747" s="309"/>
    </row>
    <row r="31748">
      <c r="B31748" s="309"/>
      <c r="C31748" s="309"/>
      <c r="I31748" s="309"/>
      <c r="J31748" s="309"/>
    </row>
    <row r="31749">
      <c r="B31749" s="309"/>
      <c r="C31749" s="309"/>
      <c r="I31749" s="309"/>
      <c r="J31749" s="309"/>
    </row>
    <row r="31750">
      <c r="B31750" s="309"/>
      <c r="C31750" s="309"/>
      <c r="I31750" s="309"/>
      <c r="J31750" s="309"/>
    </row>
    <row r="31751">
      <c r="B31751" s="309"/>
      <c r="C31751" s="309"/>
      <c r="I31751" s="309"/>
      <c r="J31751" s="309"/>
    </row>
    <row r="31752">
      <c r="B31752" s="309"/>
      <c r="C31752" s="309"/>
      <c r="I31752" s="309"/>
      <c r="J31752" s="309"/>
    </row>
    <row r="31753">
      <c r="B31753" s="309"/>
      <c r="C31753" s="309"/>
      <c r="I31753" s="309"/>
      <c r="J31753" s="309"/>
    </row>
    <row r="31754">
      <c r="B31754" s="309"/>
      <c r="C31754" s="309"/>
      <c r="I31754" s="309"/>
      <c r="J31754" s="309"/>
    </row>
    <row r="31755">
      <c r="B31755" s="309"/>
      <c r="C31755" s="309"/>
      <c r="I31755" s="309"/>
      <c r="J31755" s="309"/>
    </row>
    <row r="31756">
      <c r="B31756" s="309"/>
      <c r="C31756" s="309"/>
      <c r="I31756" s="309"/>
      <c r="J31756" s="309"/>
    </row>
    <row r="31757">
      <c r="B31757" s="309"/>
      <c r="C31757" s="309"/>
      <c r="I31757" s="309"/>
      <c r="J31757" s="309"/>
    </row>
    <row r="31758">
      <c r="B31758" s="309"/>
      <c r="C31758" s="309"/>
      <c r="I31758" s="309"/>
      <c r="J31758" s="309"/>
    </row>
    <row r="31759">
      <c r="B31759" s="309"/>
      <c r="C31759" s="309"/>
      <c r="I31759" s="309"/>
      <c r="J31759" s="309"/>
    </row>
    <row r="31760">
      <c r="B31760" s="309"/>
      <c r="C31760" s="309"/>
      <c r="I31760" s="309"/>
      <c r="J31760" s="309"/>
    </row>
    <row r="31761">
      <c r="B31761" s="309"/>
      <c r="C31761" s="309"/>
      <c r="I31761" s="309"/>
      <c r="J31761" s="309"/>
    </row>
    <row r="31762">
      <c r="B31762" s="309"/>
      <c r="C31762" s="309"/>
      <c r="I31762" s="309"/>
      <c r="J31762" s="309"/>
    </row>
    <row r="31763">
      <c r="B31763" s="309"/>
      <c r="C31763" s="309"/>
      <c r="I31763" s="309"/>
      <c r="J31763" s="309"/>
    </row>
    <row r="31764">
      <c r="B31764" s="309"/>
      <c r="C31764" s="309"/>
      <c r="I31764" s="309"/>
      <c r="J31764" s="309"/>
    </row>
    <row r="31765">
      <c r="B31765" s="309"/>
      <c r="C31765" s="309"/>
      <c r="I31765" s="309"/>
      <c r="J31765" s="309"/>
    </row>
    <row r="31766">
      <c r="B31766" s="309"/>
      <c r="C31766" s="309"/>
      <c r="I31766" s="309"/>
      <c r="J31766" s="309"/>
    </row>
    <row r="31767">
      <c r="B31767" s="309"/>
      <c r="C31767" s="309"/>
      <c r="I31767" s="309"/>
      <c r="J31767" s="309"/>
    </row>
    <row r="31768">
      <c r="B31768" s="309"/>
      <c r="C31768" s="309"/>
      <c r="I31768" s="309"/>
      <c r="J31768" s="309"/>
    </row>
    <row r="31769">
      <c r="B31769" s="309"/>
      <c r="C31769" s="309"/>
      <c r="I31769" s="309"/>
      <c r="J31769" s="309"/>
    </row>
    <row r="31770">
      <c r="B31770" s="309"/>
      <c r="C31770" s="309"/>
      <c r="I31770" s="309"/>
      <c r="J31770" s="309"/>
    </row>
    <row r="31771">
      <c r="B31771" s="309"/>
      <c r="C31771" s="309"/>
      <c r="I31771" s="309"/>
      <c r="J31771" s="309"/>
    </row>
    <row r="31772">
      <c r="B31772" s="309"/>
      <c r="C31772" s="309"/>
      <c r="I31772" s="309"/>
      <c r="J31772" s="309"/>
    </row>
    <row r="31773">
      <c r="B31773" s="309"/>
      <c r="C31773" s="309"/>
      <c r="I31773" s="309"/>
      <c r="J31773" s="309"/>
    </row>
    <row r="31774">
      <c r="B31774" s="309"/>
      <c r="C31774" s="309"/>
      <c r="I31774" s="309"/>
      <c r="J31774" s="309"/>
    </row>
    <row r="31775">
      <c r="B31775" s="309"/>
      <c r="C31775" s="309"/>
      <c r="I31775" s="309"/>
      <c r="J31775" s="309"/>
    </row>
    <row r="31776">
      <c r="B31776" s="309"/>
      <c r="C31776" s="309"/>
      <c r="I31776" s="309"/>
      <c r="J31776" s="309"/>
    </row>
    <row r="31777">
      <c r="B31777" s="309"/>
      <c r="C31777" s="309"/>
      <c r="I31777" s="309"/>
      <c r="J31777" s="309"/>
    </row>
    <row r="31778">
      <c r="B31778" s="309"/>
      <c r="C31778" s="309"/>
      <c r="I31778" s="309"/>
      <c r="J31778" s="309"/>
    </row>
    <row r="31779">
      <c r="B31779" s="309"/>
      <c r="C31779" s="309"/>
      <c r="I31779" s="309"/>
      <c r="J31779" s="309"/>
    </row>
    <row r="31780">
      <c r="B31780" s="309"/>
      <c r="C31780" s="309"/>
      <c r="I31780" s="309"/>
      <c r="J31780" s="309"/>
    </row>
    <row r="31781">
      <c r="B31781" s="309"/>
      <c r="C31781" s="309"/>
      <c r="I31781" s="309"/>
      <c r="J31781" s="309"/>
    </row>
    <row r="31782">
      <c r="B31782" s="309"/>
      <c r="C31782" s="309"/>
      <c r="I31782" s="309"/>
      <c r="J31782" s="309"/>
    </row>
    <row r="31783">
      <c r="B31783" s="309"/>
      <c r="C31783" s="309"/>
      <c r="I31783" s="309"/>
      <c r="J31783" s="309"/>
    </row>
    <row r="31784">
      <c r="B31784" s="309"/>
      <c r="C31784" s="309"/>
      <c r="I31784" s="309"/>
      <c r="J31784" s="309"/>
    </row>
    <row r="31785">
      <c r="B31785" s="309"/>
      <c r="C31785" s="309"/>
      <c r="I31785" s="309"/>
      <c r="J31785" s="309"/>
    </row>
    <row r="31786">
      <c r="B31786" s="309"/>
      <c r="C31786" s="309"/>
      <c r="I31786" s="309"/>
      <c r="J31786" s="309"/>
    </row>
    <row r="31787">
      <c r="B31787" s="309"/>
      <c r="C31787" s="309"/>
      <c r="I31787" s="309"/>
      <c r="J31787" s="309"/>
    </row>
    <row r="31788">
      <c r="B31788" s="309"/>
      <c r="C31788" s="309"/>
      <c r="I31788" s="309"/>
      <c r="J31788" s="309"/>
    </row>
    <row r="31789">
      <c r="B31789" s="309"/>
      <c r="C31789" s="309"/>
      <c r="I31789" s="309"/>
      <c r="J31789" s="309"/>
    </row>
    <row r="31790">
      <c r="B31790" s="309"/>
      <c r="C31790" s="309"/>
      <c r="I31790" s="309"/>
      <c r="J31790" s="309"/>
    </row>
    <row r="31791">
      <c r="B31791" s="309"/>
      <c r="C31791" s="309"/>
      <c r="I31791" s="309"/>
      <c r="J31791" s="309"/>
    </row>
    <row r="31792">
      <c r="B31792" s="309"/>
      <c r="C31792" s="309"/>
      <c r="I31792" s="309"/>
      <c r="J31792" s="309"/>
    </row>
    <row r="31793">
      <c r="B31793" s="309"/>
      <c r="C31793" s="309"/>
      <c r="I31793" s="309"/>
      <c r="J31793" s="309"/>
    </row>
    <row r="31794">
      <c r="B31794" s="309"/>
      <c r="C31794" s="309"/>
      <c r="I31794" s="309"/>
      <c r="J31794" s="309"/>
    </row>
    <row r="31795">
      <c r="B31795" s="309"/>
      <c r="C31795" s="309"/>
      <c r="I31795" s="309"/>
      <c r="J31795" s="309"/>
    </row>
    <row r="31796">
      <c r="B31796" s="309"/>
      <c r="C31796" s="309"/>
      <c r="I31796" s="309"/>
      <c r="J31796" s="309"/>
    </row>
    <row r="31797">
      <c r="B31797" s="309"/>
      <c r="C31797" s="309"/>
      <c r="I31797" s="309"/>
      <c r="J31797" s="309"/>
    </row>
    <row r="31798">
      <c r="B31798" s="309"/>
      <c r="C31798" s="309"/>
      <c r="I31798" s="309"/>
      <c r="J31798" s="309"/>
    </row>
    <row r="31799">
      <c r="B31799" s="309"/>
      <c r="C31799" s="309"/>
      <c r="I31799" s="309"/>
      <c r="J31799" s="309"/>
    </row>
    <row r="31800">
      <c r="B31800" s="309"/>
      <c r="C31800" s="309"/>
      <c r="I31800" s="309"/>
      <c r="J31800" s="309"/>
    </row>
    <row r="31801">
      <c r="B31801" s="309"/>
      <c r="C31801" s="309"/>
      <c r="I31801" s="309"/>
      <c r="J31801" s="309"/>
    </row>
    <row r="31802">
      <c r="B31802" s="309"/>
      <c r="C31802" s="309"/>
      <c r="I31802" s="309"/>
      <c r="J31802" s="309"/>
    </row>
    <row r="31803">
      <c r="B31803" s="309"/>
      <c r="C31803" s="309"/>
      <c r="I31803" s="309"/>
      <c r="J31803" s="309"/>
    </row>
    <row r="31804">
      <c r="B31804" s="309"/>
      <c r="C31804" s="309"/>
      <c r="I31804" s="309"/>
      <c r="J31804" s="309"/>
    </row>
    <row r="31805">
      <c r="B31805" s="309"/>
      <c r="C31805" s="309"/>
      <c r="I31805" s="309"/>
      <c r="J31805" s="309"/>
    </row>
    <row r="31806">
      <c r="B31806" s="309"/>
      <c r="C31806" s="309"/>
      <c r="I31806" s="309"/>
      <c r="J31806" s="309"/>
    </row>
    <row r="31807">
      <c r="B31807" s="309"/>
      <c r="C31807" s="309"/>
      <c r="I31807" s="309"/>
      <c r="J31807" s="309"/>
    </row>
    <row r="31808">
      <c r="B31808" s="309"/>
      <c r="C31808" s="309"/>
      <c r="I31808" s="309"/>
      <c r="J31808" s="309"/>
    </row>
    <row r="31809">
      <c r="B31809" s="309"/>
      <c r="C31809" s="309"/>
      <c r="I31809" s="309"/>
      <c r="J31809" s="309"/>
    </row>
    <row r="31810">
      <c r="B31810" s="309"/>
      <c r="C31810" s="309"/>
      <c r="I31810" s="309"/>
      <c r="J31810" s="309"/>
    </row>
    <row r="31811">
      <c r="B31811" s="309"/>
      <c r="C31811" s="309"/>
      <c r="I31811" s="309"/>
      <c r="J31811" s="309"/>
    </row>
    <row r="31812">
      <c r="B31812" s="309"/>
      <c r="C31812" s="309"/>
      <c r="I31812" s="309"/>
      <c r="J31812" s="309"/>
    </row>
    <row r="31813">
      <c r="B31813" s="309"/>
      <c r="C31813" s="309"/>
      <c r="I31813" s="309"/>
      <c r="J31813" s="309"/>
    </row>
    <row r="31814">
      <c r="B31814" s="309"/>
      <c r="C31814" s="309"/>
      <c r="I31814" s="309"/>
      <c r="J31814" s="309"/>
    </row>
    <row r="31815">
      <c r="B31815" s="309"/>
      <c r="C31815" s="309"/>
      <c r="I31815" s="309"/>
      <c r="J31815" s="309"/>
    </row>
    <row r="31816">
      <c r="B31816" s="309"/>
      <c r="C31816" s="309"/>
      <c r="I31816" s="309"/>
      <c r="J31816" s="309"/>
    </row>
    <row r="31817">
      <c r="B31817" s="309"/>
      <c r="C31817" s="309"/>
      <c r="I31817" s="309"/>
      <c r="J31817" s="309"/>
    </row>
    <row r="31818">
      <c r="B31818" s="309"/>
      <c r="C31818" s="309"/>
      <c r="I31818" s="309"/>
      <c r="J31818" s="309"/>
    </row>
    <row r="31819">
      <c r="B31819" s="309"/>
      <c r="C31819" s="309"/>
      <c r="I31819" s="309"/>
      <c r="J31819" s="309"/>
    </row>
    <row r="31820">
      <c r="B31820" s="309"/>
      <c r="C31820" s="309"/>
      <c r="I31820" s="309"/>
      <c r="J31820" s="309"/>
    </row>
    <row r="31821">
      <c r="B31821" s="309"/>
      <c r="C31821" s="309"/>
      <c r="I31821" s="309"/>
      <c r="J31821" s="309"/>
    </row>
    <row r="31822">
      <c r="B31822" s="309"/>
      <c r="C31822" s="309"/>
      <c r="I31822" s="309"/>
      <c r="J31822" s="309"/>
    </row>
    <row r="31823">
      <c r="B31823" s="309"/>
      <c r="C31823" s="309"/>
      <c r="I31823" s="309"/>
      <c r="J31823" s="309"/>
    </row>
    <row r="31824">
      <c r="B31824" s="309"/>
      <c r="C31824" s="309"/>
      <c r="I31824" s="309"/>
      <c r="J31824" s="309"/>
    </row>
    <row r="31825">
      <c r="B31825" s="309"/>
      <c r="C31825" s="309"/>
      <c r="I31825" s="309"/>
      <c r="J31825" s="309"/>
    </row>
    <row r="31826">
      <c r="B31826" s="309"/>
      <c r="C31826" s="309"/>
      <c r="I31826" s="309"/>
      <c r="J31826" s="309"/>
    </row>
    <row r="31827">
      <c r="B31827" s="309"/>
      <c r="C31827" s="309"/>
      <c r="I31827" s="309"/>
      <c r="J31827" s="309"/>
    </row>
    <row r="31828">
      <c r="B31828" s="309"/>
      <c r="C31828" s="309"/>
      <c r="I31828" s="309"/>
      <c r="J31828" s="309"/>
    </row>
    <row r="31829">
      <c r="B31829" s="309"/>
      <c r="C31829" s="309"/>
      <c r="I31829" s="309"/>
      <c r="J31829" s="309"/>
    </row>
    <row r="31830">
      <c r="B31830" s="309"/>
      <c r="C31830" s="309"/>
      <c r="I31830" s="309"/>
      <c r="J31830" s="309"/>
    </row>
    <row r="31831">
      <c r="B31831" s="309"/>
      <c r="C31831" s="309"/>
      <c r="I31831" s="309"/>
      <c r="J31831" s="309"/>
    </row>
    <row r="31832">
      <c r="B31832" s="309"/>
      <c r="C31832" s="309"/>
      <c r="I31832" s="309"/>
      <c r="J31832" s="309"/>
    </row>
    <row r="31833">
      <c r="B31833" s="309"/>
      <c r="C31833" s="309"/>
      <c r="I31833" s="309"/>
      <c r="J31833" s="309"/>
    </row>
    <row r="31834">
      <c r="B31834" s="309"/>
      <c r="C31834" s="309"/>
      <c r="I31834" s="309"/>
      <c r="J31834" s="309"/>
    </row>
    <row r="31835">
      <c r="B31835" s="309"/>
      <c r="C31835" s="309"/>
      <c r="I31835" s="309"/>
      <c r="J31835" s="309"/>
    </row>
    <row r="31836">
      <c r="B31836" s="309"/>
      <c r="C31836" s="309"/>
      <c r="I31836" s="309"/>
      <c r="J31836" s="309"/>
    </row>
    <row r="31837">
      <c r="B31837" s="309"/>
      <c r="C31837" s="309"/>
      <c r="I31837" s="309"/>
      <c r="J31837" s="309"/>
    </row>
    <row r="31838">
      <c r="B31838" s="309"/>
      <c r="C31838" s="309"/>
      <c r="I31838" s="309"/>
      <c r="J31838" s="309"/>
    </row>
    <row r="31839">
      <c r="B31839" s="309"/>
      <c r="C31839" s="309"/>
      <c r="I31839" s="309"/>
      <c r="J31839" s="309"/>
    </row>
    <row r="31840">
      <c r="B31840" s="309"/>
      <c r="C31840" s="309"/>
      <c r="I31840" s="309"/>
      <c r="J31840" s="309"/>
    </row>
    <row r="31841">
      <c r="B31841" s="309"/>
      <c r="C31841" s="309"/>
      <c r="I31841" s="309"/>
      <c r="J31841" s="309"/>
    </row>
    <row r="31842">
      <c r="B31842" s="309"/>
      <c r="C31842" s="309"/>
      <c r="I31842" s="309"/>
      <c r="J31842" s="309"/>
    </row>
    <row r="31843">
      <c r="B31843" s="309"/>
      <c r="C31843" s="309"/>
      <c r="I31843" s="309"/>
      <c r="J31843" s="309"/>
    </row>
    <row r="31844">
      <c r="B31844" s="309"/>
      <c r="C31844" s="309"/>
      <c r="I31844" s="309"/>
      <c r="J31844" s="309"/>
    </row>
    <row r="31845">
      <c r="B31845" s="309"/>
      <c r="C31845" s="309"/>
      <c r="I31845" s="309"/>
      <c r="J31845" s="309"/>
    </row>
    <row r="31846">
      <c r="B31846" s="309"/>
      <c r="C31846" s="309"/>
      <c r="I31846" s="309"/>
      <c r="J31846" s="309"/>
    </row>
    <row r="31847">
      <c r="B31847" s="309"/>
      <c r="C31847" s="309"/>
      <c r="I31847" s="309"/>
      <c r="J31847" s="309"/>
    </row>
    <row r="31848">
      <c r="B31848" s="309"/>
      <c r="C31848" s="309"/>
      <c r="I31848" s="309"/>
      <c r="J31848" s="309"/>
    </row>
    <row r="31849">
      <c r="B31849" s="309"/>
      <c r="C31849" s="309"/>
      <c r="I31849" s="309"/>
      <c r="J31849" s="309"/>
    </row>
    <row r="31850">
      <c r="B31850" s="309"/>
      <c r="C31850" s="309"/>
      <c r="I31850" s="309"/>
      <c r="J31850" s="309"/>
    </row>
    <row r="31851">
      <c r="B31851" s="309"/>
      <c r="C31851" s="309"/>
      <c r="I31851" s="309"/>
      <c r="J31851" s="309"/>
    </row>
    <row r="31852">
      <c r="B31852" s="309"/>
      <c r="C31852" s="309"/>
      <c r="I31852" s="309"/>
      <c r="J31852" s="309"/>
    </row>
    <row r="31853">
      <c r="B31853" s="309"/>
      <c r="C31853" s="309"/>
      <c r="I31853" s="309"/>
      <c r="J31853" s="309"/>
    </row>
    <row r="31854">
      <c r="B31854" s="309"/>
      <c r="C31854" s="309"/>
      <c r="I31854" s="309"/>
      <c r="J31854" s="309"/>
    </row>
    <row r="31855">
      <c r="B31855" s="309"/>
      <c r="C31855" s="309"/>
      <c r="I31855" s="309"/>
      <c r="J31855" s="309"/>
    </row>
    <row r="31856">
      <c r="B31856" s="309"/>
      <c r="C31856" s="309"/>
      <c r="I31856" s="309"/>
      <c r="J31856" s="309"/>
    </row>
    <row r="31857">
      <c r="B31857" s="309"/>
      <c r="C31857" s="309"/>
      <c r="I31857" s="309"/>
      <c r="J31857" s="309"/>
    </row>
    <row r="31858">
      <c r="B31858" s="309"/>
      <c r="C31858" s="309"/>
      <c r="I31858" s="309"/>
      <c r="J31858" s="309"/>
    </row>
    <row r="31859">
      <c r="B31859" s="309"/>
      <c r="C31859" s="309"/>
      <c r="I31859" s="309"/>
      <c r="J31859" s="309"/>
    </row>
    <row r="31860">
      <c r="B31860" s="309"/>
      <c r="C31860" s="309"/>
      <c r="I31860" s="309"/>
      <c r="J31860" s="309"/>
    </row>
    <row r="31861">
      <c r="B31861" s="309"/>
      <c r="C31861" s="309"/>
      <c r="I31861" s="309"/>
      <c r="J31861" s="309"/>
    </row>
    <row r="31862">
      <c r="B31862" s="309"/>
      <c r="C31862" s="309"/>
      <c r="I31862" s="309"/>
      <c r="J31862" s="309"/>
    </row>
    <row r="31863">
      <c r="B31863" s="309"/>
      <c r="C31863" s="309"/>
      <c r="I31863" s="309"/>
      <c r="J31863" s="309"/>
    </row>
    <row r="31864">
      <c r="B31864" s="309"/>
      <c r="C31864" s="309"/>
      <c r="I31864" s="309"/>
      <c r="J31864" s="309"/>
    </row>
    <row r="31865">
      <c r="B31865" s="309"/>
      <c r="C31865" s="309"/>
      <c r="I31865" s="309"/>
      <c r="J31865" s="309"/>
    </row>
    <row r="31866">
      <c r="B31866" s="309"/>
      <c r="C31866" s="309"/>
      <c r="I31866" s="309"/>
      <c r="J31866" s="309"/>
    </row>
    <row r="31867">
      <c r="B31867" s="309"/>
      <c r="C31867" s="309"/>
      <c r="I31867" s="309"/>
      <c r="J31867" s="309"/>
    </row>
    <row r="31868">
      <c r="B31868" s="309"/>
      <c r="C31868" s="309"/>
      <c r="I31868" s="309"/>
      <c r="J31868" s="309"/>
    </row>
    <row r="31869">
      <c r="B31869" s="309"/>
      <c r="C31869" s="309"/>
      <c r="I31869" s="309"/>
      <c r="J31869" s="309"/>
    </row>
    <row r="31870">
      <c r="B31870" s="309"/>
      <c r="C31870" s="309"/>
      <c r="I31870" s="309"/>
      <c r="J31870" s="309"/>
    </row>
    <row r="31871">
      <c r="B31871" s="309"/>
      <c r="C31871" s="309"/>
      <c r="I31871" s="309"/>
      <c r="J31871" s="309"/>
    </row>
    <row r="31872">
      <c r="B31872" s="309"/>
      <c r="C31872" s="309"/>
      <c r="I31872" s="309"/>
      <c r="J31872" s="309"/>
    </row>
    <row r="31873">
      <c r="B31873" s="309"/>
      <c r="C31873" s="309"/>
      <c r="I31873" s="309"/>
      <c r="J31873" s="309"/>
    </row>
    <row r="31874">
      <c r="B31874" s="309"/>
      <c r="C31874" s="309"/>
      <c r="I31874" s="309"/>
      <c r="J31874" s="309"/>
    </row>
    <row r="31875">
      <c r="B31875" s="309"/>
      <c r="C31875" s="309"/>
      <c r="I31875" s="309"/>
      <c r="J31875" s="309"/>
    </row>
    <row r="31876">
      <c r="B31876" s="309"/>
      <c r="C31876" s="309"/>
      <c r="I31876" s="309"/>
      <c r="J31876" s="309"/>
    </row>
    <row r="31877">
      <c r="B31877" s="309"/>
      <c r="C31877" s="309"/>
      <c r="I31877" s="309"/>
      <c r="J31877" s="309"/>
    </row>
    <row r="31878">
      <c r="B31878" s="309"/>
      <c r="C31878" s="309"/>
      <c r="I31878" s="309"/>
      <c r="J31878" s="309"/>
    </row>
    <row r="31879">
      <c r="B31879" s="309"/>
      <c r="C31879" s="309"/>
      <c r="I31879" s="309"/>
      <c r="J31879" s="309"/>
    </row>
    <row r="31880">
      <c r="B31880" s="309"/>
      <c r="C31880" s="309"/>
      <c r="I31880" s="309"/>
      <c r="J31880" s="309"/>
    </row>
    <row r="31881">
      <c r="B31881" s="309"/>
      <c r="C31881" s="309"/>
      <c r="I31881" s="309"/>
      <c r="J31881" s="309"/>
    </row>
    <row r="31882">
      <c r="B31882" s="309"/>
      <c r="C31882" s="309"/>
      <c r="I31882" s="309"/>
      <c r="J31882" s="309"/>
    </row>
    <row r="31883">
      <c r="B31883" s="309"/>
      <c r="C31883" s="309"/>
      <c r="I31883" s="309"/>
      <c r="J31883" s="309"/>
    </row>
    <row r="31884">
      <c r="B31884" s="309"/>
      <c r="C31884" s="309"/>
      <c r="I31884" s="309"/>
      <c r="J31884" s="309"/>
    </row>
    <row r="31885">
      <c r="B31885" s="309"/>
      <c r="C31885" s="309"/>
      <c r="I31885" s="309"/>
      <c r="J31885" s="309"/>
    </row>
    <row r="31886">
      <c r="B31886" s="309"/>
      <c r="C31886" s="309"/>
      <c r="I31886" s="309"/>
      <c r="J31886" s="309"/>
    </row>
    <row r="31887">
      <c r="B31887" s="309"/>
      <c r="C31887" s="309"/>
      <c r="I31887" s="309"/>
      <c r="J31887" s="309"/>
    </row>
    <row r="31888">
      <c r="B31888" s="309"/>
      <c r="C31888" s="309"/>
      <c r="I31888" s="309"/>
      <c r="J31888" s="309"/>
    </row>
    <row r="31889">
      <c r="B31889" s="309"/>
      <c r="C31889" s="309"/>
      <c r="I31889" s="309"/>
      <c r="J31889" s="309"/>
    </row>
    <row r="31890">
      <c r="B31890" s="309"/>
      <c r="C31890" s="309"/>
      <c r="I31890" s="309"/>
      <c r="J31890" s="309"/>
    </row>
    <row r="31891">
      <c r="B31891" s="309"/>
      <c r="C31891" s="309"/>
      <c r="I31891" s="309"/>
      <c r="J31891" s="309"/>
    </row>
    <row r="31892">
      <c r="B31892" s="309"/>
      <c r="C31892" s="309"/>
      <c r="I31892" s="309"/>
      <c r="J31892" s="309"/>
    </row>
    <row r="31893">
      <c r="B31893" s="309"/>
      <c r="C31893" s="309"/>
      <c r="I31893" s="309"/>
      <c r="J31893" s="309"/>
    </row>
    <row r="31894">
      <c r="B31894" s="309"/>
      <c r="C31894" s="309"/>
      <c r="I31894" s="309"/>
      <c r="J31894" s="309"/>
    </row>
    <row r="31895">
      <c r="B31895" s="309"/>
      <c r="C31895" s="309"/>
      <c r="I31895" s="309"/>
      <c r="J31895" s="309"/>
    </row>
    <row r="31896">
      <c r="B31896" s="309"/>
      <c r="C31896" s="309"/>
      <c r="I31896" s="309"/>
      <c r="J31896" s="309"/>
    </row>
    <row r="31897">
      <c r="B31897" s="309"/>
      <c r="C31897" s="309"/>
      <c r="I31897" s="309"/>
      <c r="J31897" s="309"/>
    </row>
    <row r="31898">
      <c r="B31898" s="309"/>
      <c r="C31898" s="309"/>
      <c r="I31898" s="309"/>
      <c r="J31898" s="309"/>
    </row>
    <row r="31899">
      <c r="B31899" s="309"/>
      <c r="C31899" s="309"/>
      <c r="I31899" s="309"/>
      <c r="J31899" s="309"/>
    </row>
    <row r="31900">
      <c r="B31900" s="309"/>
      <c r="C31900" s="309"/>
      <c r="I31900" s="309"/>
      <c r="J31900" s="309"/>
    </row>
    <row r="31901">
      <c r="B31901" s="309"/>
      <c r="C31901" s="309"/>
      <c r="I31901" s="309"/>
      <c r="J31901" s="309"/>
    </row>
    <row r="31902">
      <c r="B31902" s="309"/>
      <c r="C31902" s="309"/>
      <c r="I31902" s="309"/>
      <c r="J31902" s="309"/>
    </row>
    <row r="31903">
      <c r="B31903" s="309"/>
      <c r="C31903" s="309"/>
      <c r="I31903" s="309"/>
      <c r="J31903" s="309"/>
    </row>
    <row r="31904">
      <c r="B31904" s="309"/>
      <c r="C31904" s="309"/>
      <c r="I31904" s="309"/>
      <c r="J31904" s="309"/>
    </row>
    <row r="31905">
      <c r="B31905" s="309"/>
      <c r="C31905" s="309"/>
      <c r="I31905" s="309"/>
      <c r="J31905" s="309"/>
    </row>
    <row r="31906">
      <c r="B31906" s="309"/>
      <c r="C31906" s="309"/>
      <c r="I31906" s="309"/>
      <c r="J31906" s="309"/>
    </row>
    <row r="31907">
      <c r="B31907" s="309"/>
      <c r="C31907" s="309"/>
      <c r="I31907" s="309"/>
      <c r="J31907" s="309"/>
    </row>
    <row r="31908">
      <c r="B31908" s="309"/>
      <c r="C31908" s="309"/>
      <c r="I31908" s="309"/>
      <c r="J31908" s="309"/>
    </row>
    <row r="31909">
      <c r="B31909" s="309"/>
      <c r="C31909" s="309"/>
      <c r="I31909" s="309"/>
      <c r="J31909" s="309"/>
    </row>
    <row r="31910">
      <c r="B31910" s="309"/>
      <c r="C31910" s="309"/>
      <c r="I31910" s="309"/>
      <c r="J31910" s="309"/>
    </row>
    <row r="31911">
      <c r="B31911" s="309"/>
      <c r="C31911" s="309"/>
      <c r="I31911" s="309"/>
      <c r="J31911" s="309"/>
    </row>
    <row r="31912">
      <c r="B31912" s="309"/>
      <c r="C31912" s="309"/>
      <c r="I31912" s="309"/>
      <c r="J31912" s="309"/>
    </row>
    <row r="31913">
      <c r="B31913" s="309"/>
      <c r="C31913" s="309"/>
      <c r="I31913" s="309"/>
      <c r="J31913" s="309"/>
    </row>
    <row r="31914">
      <c r="B31914" s="309"/>
      <c r="C31914" s="309"/>
      <c r="I31914" s="309"/>
      <c r="J31914" s="309"/>
    </row>
    <row r="31915">
      <c r="B31915" s="309"/>
      <c r="C31915" s="309"/>
      <c r="I31915" s="309"/>
      <c r="J31915" s="309"/>
    </row>
    <row r="31916">
      <c r="B31916" s="309"/>
      <c r="C31916" s="309"/>
      <c r="I31916" s="309"/>
      <c r="J31916" s="309"/>
    </row>
    <row r="31917">
      <c r="B31917" s="309"/>
      <c r="C31917" s="309"/>
      <c r="I31917" s="309"/>
      <c r="J31917" s="309"/>
    </row>
    <row r="31918">
      <c r="B31918" s="309"/>
      <c r="C31918" s="309"/>
      <c r="I31918" s="309"/>
      <c r="J31918" s="309"/>
    </row>
    <row r="31919">
      <c r="B31919" s="309"/>
      <c r="C31919" s="309"/>
      <c r="I31919" s="309"/>
      <c r="J31919" s="309"/>
    </row>
    <row r="31920">
      <c r="B31920" s="309"/>
      <c r="C31920" s="309"/>
      <c r="I31920" s="309"/>
      <c r="J31920" s="309"/>
    </row>
    <row r="31921">
      <c r="B31921" s="309"/>
      <c r="C31921" s="309"/>
      <c r="I31921" s="309"/>
      <c r="J31921" s="309"/>
    </row>
    <row r="31922">
      <c r="B31922" s="309"/>
      <c r="C31922" s="309"/>
      <c r="I31922" s="309"/>
      <c r="J31922" s="309"/>
    </row>
    <row r="31923">
      <c r="B31923" s="309"/>
      <c r="C31923" s="309"/>
      <c r="I31923" s="309"/>
      <c r="J31923" s="309"/>
    </row>
    <row r="31924">
      <c r="B31924" s="309"/>
      <c r="C31924" s="309"/>
      <c r="I31924" s="309"/>
      <c r="J31924" s="309"/>
    </row>
    <row r="31925">
      <c r="B31925" s="309"/>
      <c r="C31925" s="309"/>
      <c r="I31925" s="309"/>
      <c r="J31925" s="309"/>
    </row>
    <row r="31926">
      <c r="B31926" s="309"/>
      <c r="C31926" s="309"/>
      <c r="I31926" s="309"/>
      <c r="J31926" s="309"/>
    </row>
    <row r="31927">
      <c r="B31927" s="309"/>
      <c r="C31927" s="309"/>
      <c r="I31927" s="309"/>
      <c r="J31927" s="309"/>
    </row>
    <row r="31928">
      <c r="B31928" s="309"/>
      <c r="C31928" s="309"/>
      <c r="I31928" s="309"/>
      <c r="J31928" s="309"/>
    </row>
    <row r="31929">
      <c r="B31929" s="309"/>
      <c r="C31929" s="309"/>
      <c r="I31929" s="309"/>
      <c r="J31929" s="309"/>
    </row>
    <row r="31930">
      <c r="B31930" s="309"/>
      <c r="C31930" s="309"/>
      <c r="I31930" s="309"/>
      <c r="J31930" s="309"/>
    </row>
    <row r="31931">
      <c r="B31931" s="309"/>
      <c r="C31931" s="309"/>
      <c r="I31931" s="309"/>
      <c r="J31931" s="309"/>
    </row>
    <row r="31932">
      <c r="B31932" s="309"/>
      <c r="C31932" s="309"/>
      <c r="I31932" s="309"/>
      <c r="J31932" s="309"/>
    </row>
    <row r="31933">
      <c r="B31933" s="309"/>
      <c r="C31933" s="309"/>
      <c r="I31933" s="309"/>
      <c r="J31933" s="309"/>
    </row>
    <row r="31934">
      <c r="B31934" s="309"/>
      <c r="C31934" s="309"/>
      <c r="I31934" s="309"/>
      <c r="J31934" s="309"/>
    </row>
    <row r="31935">
      <c r="B31935" s="309"/>
      <c r="C31935" s="309"/>
      <c r="I31935" s="309"/>
      <c r="J31935" s="309"/>
    </row>
    <row r="31936">
      <c r="B31936" s="309"/>
      <c r="C31936" s="309"/>
      <c r="I31936" s="309"/>
      <c r="J31936" s="309"/>
    </row>
    <row r="31937">
      <c r="B31937" s="309"/>
      <c r="C31937" s="309"/>
      <c r="I31937" s="309"/>
      <c r="J31937" s="309"/>
    </row>
    <row r="31938">
      <c r="B31938" s="309"/>
      <c r="C31938" s="309"/>
      <c r="I31938" s="309"/>
      <c r="J31938" s="309"/>
    </row>
    <row r="31939">
      <c r="B31939" s="309"/>
      <c r="C31939" s="309"/>
      <c r="I31939" s="309"/>
      <c r="J31939" s="309"/>
    </row>
    <row r="31940">
      <c r="B31940" s="309"/>
      <c r="C31940" s="309"/>
      <c r="I31940" s="309"/>
      <c r="J31940" s="309"/>
    </row>
    <row r="31941">
      <c r="B31941" s="309"/>
      <c r="C31941" s="309"/>
      <c r="I31941" s="309"/>
      <c r="J31941" s="309"/>
    </row>
    <row r="31942">
      <c r="B31942" s="309"/>
      <c r="C31942" s="309"/>
      <c r="I31942" s="309"/>
      <c r="J31942" s="309"/>
    </row>
    <row r="31943">
      <c r="B31943" s="309"/>
      <c r="C31943" s="309"/>
      <c r="I31943" s="309"/>
      <c r="J31943" s="309"/>
    </row>
    <row r="31944">
      <c r="B31944" s="309"/>
      <c r="C31944" s="309"/>
      <c r="I31944" s="309"/>
      <c r="J31944" s="309"/>
    </row>
    <row r="31945">
      <c r="B31945" s="309"/>
      <c r="C31945" s="309"/>
      <c r="I31945" s="309"/>
      <c r="J31945" s="309"/>
    </row>
    <row r="31946">
      <c r="B31946" s="309"/>
      <c r="C31946" s="309"/>
      <c r="I31946" s="309"/>
      <c r="J31946" s="309"/>
    </row>
    <row r="31947">
      <c r="B31947" s="309"/>
      <c r="C31947" s="309"/>
      <c r="I31947" s="309"/>
      <c r="J31947" s="309"/>
    </row>
    <row r="31948">
      <c r="B31948" s="309"/>
      <c r="C31948" s="309"/>
      <c r="I31948" s="309"/>
      <c r="J31948" s="309"/>
    </row>
    <row r="31949">
      <c r="B31949" s="309"/>
      <c r="C31949" s="309"/>
      <c r="I31949" s="309"/>
      <c r="J31949" s="309"/>
    </row>
    <row r="31950">
      <c r="B31950" s="309"/>
      <c r="C31950" s="309"/>
      <c r="I31950" s="309"/>
      <c r="J31950" s="309"/>
    </row>
    <row r="31951">
      <c r="B31951" s="309"/>
      <c r="C31951" s="309"/>
      <c r="I31951" s="309"/>
      <c r="J31951" s="309"/>
    </row>
    <row r="31952">
      <c r="B31952" s="309"/>
      <c r="C31952" s="309"/>
      <c r="I31952" s="309"/>
      <c r="J31952" s="309"/>
    </row>
    <row r="31953">
      <c r="B31953" s="309"/>
      <c r="C31953" s="309"/>
      <c r="I31953" s="309"/>
      <c r="J31953" s="309"/>
    </row>
    <row r="31954">
      <c r="B31954" s="309"/>
      <c r="C31954" s="309"/>
      <c r="I31954" s="309"/>
      <c r="J31954" s="309"/>
    </row>
    <row r="31955">
      <c r="B31955" s="309"/>
      <c r="C31955" s="309"/>
      <c r="I31955" s="309"/>
      <c r="J31955" s="309"/>
    </row>
    <row r="31956">
      <c r="B31956" s="309"/>
      <c r="C31956" s="309"/>
      <c r="I31956" s="309"/>
      <c r="J31956" s="309"/>
    </row>
    <row r="31957">
      <c r="B31957" s="309"/>
      <c r="C31957" s="309"/>
      <c r="I31957" s="309"/>
      <c r="J31957" s="309"/>
    </row>
    <row r="31958">
      <c r="B31958" s="309"/>
      <c r="C31958" s="309"/>
      <c r="I31958" s="309"/>
      <c r="J31958" s="309"/>
    </row>
    <row r="31959">
      <c r="B31959" s="309"/>
      <c r="C31959" s="309"/>
      <c r="I31959" s="309"/>
      <c r="J31959" s="309"/>
    </row>
    <row r="31960">
      <c r="B31960" s="309"/>
      <c r="C31960" s="309"/>
      <c r="I31960" s="309"/>
      <c r="J31960" s="309"/>
    </row>
    <row r="31961">
      <c r="B31961" s="309"/>
      <c r="C31961" s="309"/>
      <c r="I31961" s="309"/>
      <c r="J31961" s="309"/>
    </row>
    <row r="31962">
      <c r="B31962" s="309"/>
      <c r="C31962" s="309"/>
      <c r="I31962" s="309"/>
      <c r="J31962" s="309"/>
    </row>
    <row r="31963">
      <c r="B31963" s="309"/>
      <c r="C31963" s="309"/>
      <c r="I31963" s="309"/>
      <c r="J31963" s="309"/>
    </row>
    <row r="31964">
      <c r="B31964" s="309"/>
      <c r="C31964" s="309"/>
      <c r="I31964" s="309"/>
      <c r="J31964" s="309"/>
    </row>
    <row r="31965">
      <c r="B31965" s="309"/>
      <c r="C31965" s="309"/>
      <c r="I31965" s="309"/>
      <c r="J31965" s="309"/>
    </row>
    <row r="31966">
      <c r="B31966" s="309"/>
      <c r="C31966" s="309"/>
      <c r="I31966" s="309"/>
      <c r="J31966" s="309"/>
    </row>
    <row r="31967">
      <c r="B31967" s="309"/>
      <c r="C31967" s="309"/>
      <c r="I31967" s="309"/>
      <c r="J31967" s="309"/>
    </row>
    <row r="31968">
      <c r="B31968" s="309"/>
      <c r="C31968" s="309"/>
      <c r="I31968" s="309"/>
      <c r="J31968" s="309"/>
    </row>
    <row r="31969">
      <c r="B31969" s="309"/>
      <c r="C31969" s="309"/>
      <c r="I31969" s="309"/>
      <c r="J31969" s="309"/>
    </row>
    <row r="31970">
      <c r="B31970" s="309"/>
      <c r="C31970" s="309"/>
      <c r="I31970" s="309"/>
      <c r="J31970" s="309"/>
    </row>
    <row r="31971">
      <c r="B31971" s="309"/>
      <c r="C31971" s="309"/>
      <c r="I31971" s="309"/>
      <c r="J31971" s="309"/>
    </row>
    <row r="31972">
      <c r="B31972" s="309"/>
      <c r="C31972" s="309"/>
      <c r="I31972" s="309"/>
      <c r="J31972" s="309"/>
    </row>
    <row r="31973">
      <c r="B31973" s="309"/>
      <c r="C31973" s="309"/>
      <c r="I31973" s="309"/>
      <c r="J31973" s="309"/>
    </row>
    <row r="31974">
      <c r="B31974" s="309"/>
      <c r="C31974" s="309"/>
      <c r="I31974" s="309"/>
      <c r="J31974" s="309"/>
    </row>
    <row r="31975">
      <c r="B31975" s="309"/>
      <c r="C31975" s="309"/>
      <c r="I31975" s="309"/>
      <c r="J31975" s="309"/>
    </row>
    <row r="31976">
      <c r="B31976" s="309"/>
      <c r="C31976" s="309"/>
      <c r="I31976" s="309"/>
      <c r="J31976" s="309"/>
    </row>
    <row r="31977">
      <c r="B31977" s="309"/>
      <c r="C31977" s="309"/>
      <c r="I31977" s="309"/>
      <c r="J31977" s="309"/>
    </row>
    <row r="31978">
      <c r="B31978" s="309"/>
      <c r="C31978" s="309"/>
      <c r="I31978" s="309"/>
      <c r="J31978" s="309"/>
    </row>
    <row r="31979">
      <c r="B31979" s="309"/>
      <c r="C31979" s="309"/>
      <c r="I31979" s="309"/>
      <c r="J31979" s="309"/>
    </row>
    <row r="31980">
      <c r="B31980" s="309"/>
      <c r="C31980" s="309"/>
      <c r="I31980" s="309"/>
      <c r="J31980" s="309"/>
    </row>
    <row r="31981">
      <c r="B31981" s="309"/>
      <c r="C31981" s="309"/>
      <c r="I31981" s="309"/>
      <c r="J31981" s="309"/>
    </row>
    <row r="31982">
      <c r="B31982" s="309"/>
      <c r="C31982" s="309"/>
      <c r="I31982" s="309"/>
      <c r="J31982" s="309"/>
    </row>
    <row r="31983">
      <c r="B31983" s="309"/>
      <c r="C31983" s="309"/>
      <c r="I31983" s="309"/>
      <c r="J31983" s="309"/>
    </row>
    <row r="31984">
      <c r="B31984" s="309"/>
      <c r="C31984" s="309"/>
      <c r="I31984" s="309"/>
      <c r="J31984" s="309"/>
    </row>
    <row r="31985">
      <c r="B31985" s="309"/>
      <c r="C31985" s="309"/>
      <c r="I31985" s="309"/>
      <c r="J31985" s="309"/>
    </row>
    <row r="31986">
      <c r="B31986" s="309"/>
      <c r="C31986" s="309"/>
      <c r="I31986" s="309"/>
      <c r="J31986" s="309"/>
    </row>
    <row r="31987">
      <c r="B31987" s="309"/>
      <c r="C31987" s="309"/>
      <c r="I31987" s="309"/>
      <c r="J31987" s="309"/>
    </row>
    <row r="31988">
      <c r="B31988" s="309"/>
      <c r="C31988" s="309"/>
      <c r="I31988" s="309"/>
      <c r="J31988" s="309"/>
    </row>
    <row r="31989">
      <c r="B31989" s="309"/>
      <c r="C31989" s="309"/>
      <c r="I31989" s="309"/>
      <c r="J31989" s="309"/>
    </row>
    <row r="31990">
      <c r="B31990" s="309"/>
      <c r="C31990" s="309"/>
      <c r="I31990" s="309"/>
      <c r="J31990" s="309"/>
    </row>
    <row r="31991">
      <c r="B31991" s="309"/>
      <c r="C31991" s="309"/>
      <c r="I31991" s="309"/>
      <c r="J31991" s="309"/>
    </row>
    <row r="31992">
      <c r="B31992" s="309"/>
      <c r="C31992" s="309"/>
      <c r="I31992" s="309"/>
      <c r="J31992" s="309"/>
    </row>
    <row r="31993">
      <c r="B31993" s="309"/>
      <c r="C31993" s="309"/>
      <c r="I31993" s="309"/>
      <c r="J31993" s="309"/>
    </row>
    <row r="31994">
      <c r="B31994" s="309"/>
      <c r="C31994" s="309"/>
      <c r="I31994" s="309"/>
      <c r="J31994" s="309"/>
    </row>
    <row r="31995">
      <c r="B31995" s="309"/>
      <c r="C31995" s="309"/>
      <c r="I31995" s="309"/>
      <c r="J31995" s="309"/>
    </row>
    <row r="31996">
      <c r="B31996" s="309"/>
      <c r="C31996" s="309"/>
      <c r="I31996" s="309"/>
      <c r="J31996" s="309"/>
    </row>
    <row r="31997">
      <c r="B31997" s="309"/>
      <c r="C31997" s="309"/>
      <c r="I31997" s="309"/>
      <c r="J31997" s="309"/>
    </row>
    <row r="31998">
      <c r="B31998" s="309"/>
      <c r="C31998" s="309"/>
      <c r="I31998" s="309"/>
      <c r="J31998" s="309"/>
    </row>
    <row r="31999">
      <c r="B31999" s="309"/>
      <c r="C31999" s="309"/>
      <c r="I31999" s="309"/>
      <c r="J31999" s="309"/>
    </row>
    <row r="32000">
      <c r="B32000" s="309"/>
      <c r="C32000" s="309"/>
      <c r="I32000" s="309"/>
      <c r="J32000" s="309"/>
    </row>
    <row r="32001">
      <c r="B32001" s="309"/>
      <c r="C32001" s="309"/>
      <c r="I32001" s="309"/>
      <c r="J32001" s="309"/>
    </row>
    <row r="32002">
      <c r="B32002" s="309"/>
      <c r="C32002" s="309"/>
      <c r="I32002" s="309"/>
      <c r="J32002" s="309"/>
    </row>
    <row r="32003">
      <c r="B32003" s="309"/>
      <c r="C32003" s="309"/>
      <c r="I32003" s="309"/>
      <c r="J32003" s="309"/>
    </row>
    <row r="32004">
      <c r="B32004" s="309"/>
      <c r="C32004" s="309"/>
      <c r="I32004" s="309"/>
      <c r="J32004" s="309"/>
    </row>
    <row r="32005">
      <c r="B32005" s="309"/>
      <c r="C32005" s="309"/>
      <c r="I32005" s="309"/>
      <c r="J32005" s="309"/>
    </row>
    <row r="32006">
      <c r="B32006" s="309"/>
      <c r="C32006" s="309"/>
      <c r="I32006" s="309"/>
      <c r="J32006" s="309"/>
    </row>
    <row r="32007">
      <c r="B32007" s="309"/>
      <c r="C32007" s="309"/>
      <c r="I32007" s="309"/>
      <c r="J32007" s="309"/>
    </row>
    <row r="32008">
      <c r="B32008" s="309"/>
      <c r="C32008" s="309"/>
      <c r="I32008" s="309"/>
      <c r="J32008" s="309"/>
    </row>
    <row r="32009">
      <c r="B32009" s="309"/>
      <c r="C32009" s="309"/>
      <c r="I32009" s="309"/>
      <c r="J32009" s="309"/>
    </row>
    <row r="32010">
      <c r="B32010" s="309"/>
      <c r="C32010" s="309"/>
      <c r="I32010" s="309"/>
      <c r="J32010" s="309"/>
    </row>
    <row r="32011">
      <c r="B32011" s="309"/>
      <c r="C32011" s="309"/>
      <c r="I32011" s="309"/>
      <c r="J32011" s="309"/>
    </row>
    <row r="32012">
      <c r="B32012" s="309"/>
      <c r="C32012" s="309"/>
      <c r="I32012" s="309"/>
      <c r="J32012" s="309"/>
    </row>
    <row r="32013">
      <c r="B32013" s="309"/>
      <c r="C32013" s="309"/>
      <c r="I32013" s="309"/>
      <c r="J32013" s="309"/>
    </row>
    <row r="32014">
      <c r="B32014" s="309"/>
      <c r="C32014" s="309"/>
      <c r="I32014" s="309"/>
      <c r="J32014" s="309"/>
    </row>
    <row r="32015">
      <c r="B32015" s="309"/>
      <c r="C32015" s="309"/>
      <c r="I32015" s="309"/>
      <c r="J32015" s="309"/>
    </row>
    <row r="32016">
      <c r="B32016" s="309"/>
      <c r="C32016" s="309"/>
      <c r="I32016" s="309"/>
      <c r="J32016" s="309"/>
    </row>
    <row r="32017">
      <c r="B32017" s="309"/>
      <c r="C32017" s="309"/>
      <c r="I32017" s="309"/>
      <c r="J32017" s="309"/>
    </row>
    <row r="32018">
      <c r="B32018" s="309"/>
      <c r="C32018" s="309"/>
      <c r="I32018" s="309"/>
      <c r="J32018" s="309"/>
    </row>
    <row r="32019">
      <c r="B32019" s="309"/>
      <c r="C32019" s="309"/>
      <c r="I32019" s="309"/>
      <c r="J32019" s="309"/>
    </row>
    <row r="32020">
      <c r="B32020" s="309"/>
      <c r="C32020" s="309"/>
      <c r="I32020" s="309"/>
      <c r="J32020" s="309"/>
    </row>
    <row r="32021">
      <c r="B32021" s="309"/>
      <c r="C32021" s="309"/>
      <c r="I32021" s="309"/>
      <c r="J32021" s="309"/>
    </row>
    <row r="32022">
      <c r="B32022" s="309"/>
      <c r="C32022" s="309"/>
      <c r="I32022" s="309"/>
      <c r="J32022" s="309"/>
    </row>
    <row r="32023">
      <c r="B32023" s="309"/>
      <c r="C32023" s="309"/>
      <c r="I32023" s="309"/>
      <c r="J32023" s="309"/>
    </row>
    <row r="32024">
      <c r="B32024" s="309"/>
      <c r="C32024" s="309"/>
      <c r="I32024" s="309"/>
      <c r="J32024" s="309"/>
    </row>
    <row r="32025">
      <c r="B32025" s="309"/>
      <c r="C32025" s="309"/>
      <c r="I32025" s="309"/>
      <c r="J32025" s="309"/>
    </row>
    <row r="32026">
      <c r="B32026" s="309"/>
      <c r="C32026" s="309"/>
      <c r="I32026" s="309"/>
      <c r="J32026" s="309"/>
    </row>
    <row r="32027">
      <c r="B32027" s="309"/>
      <c r="C32027" s="309"/>
      <c r="I32027" s="309"/>
      <c r="J32027" s="309"/>
    </row>
    <row r="32028">
      <c r="B32028" s="309"/>
      <c r="C32028" s="309"/>
      <c r="I32028" s="309"/>
      <c r="J32028" s="309"/>
    </row>
    <row r="32029">
      <c r="B32029" s="309"/>
      <c r="C32029" s="309"/>
      <c r="I32029" s="309"/>
      <c r="J32029" s="309"/>
    </row>
    <row r="32030">
      <c r="B32030" s="309"/>
      <c r="C32030" s="309"/>
      <c r="I32030" s="309"/>
      <c r="J32030" s="309"/>
    </row>
    <row r="32031">
      <c r="B32031" s="309"/>
      <c r="C32031" s="309"/>
      <c r="I32031" s="309"/>
      <c r="J32031" s="309"/>
    </row>
    <row r="32032">
      <c r="B32032" s="309"/>
      <c r="C32032" s="309"/>
      <c r="I32032" s="309"/>
      <c r="J32032" s="309"/>
    </row>
    <row r="32033">
      <c r="B32033" s="309"/>
      <c r="C32033" s="309"/>
      <c r="I32033" s="309"/>
      <c r="J32033" s="309"/>
    </row>
    <row r="32034">
      <c r="B32034" s="309"/>
      <c r="C32034" s="309"/>
      <c r="I32034" s="309"/>
      <c r="J32034" s="309"/>
    </row>
    <row r="32035">
      <c r="B32035" s="309"/>
      <c r="C32035" s="309"/>
      <c r="I32035" s="309"/>
      <c r="J32035" s="309"/>
    </row>
    <row r="32036">
      <c r="B32036" s="309"/>
      <c r="C32036" s="309"/>
      <c r="I32036" s="309"/>
      <c r="J32036" s="309"/>
    </row>
    <row r="32037">
      <c r="B32037" s="309"/>
      <c r="C32037" s="309"/>
      <c r="I32037" s="309"/>
      <c r="J32037" s="309"/>
    </row>
    <row r="32038">
      <c r="B32038" s="309"/>
      <c r="C32038" s="309"/>
      <c r="I32038" s="309"/>
      <c r="J32038" s="309"/>
    </row>
    <row r="32039">
      <c r="B32039" s="309"/>
      <c r="C32039" s="309"/>
      <c r="I32039" s="309"/>
      <c r="J32039" s="309"/>
    </row>
    <row r="32040">
      <c r="B32040" s="309"/>
      <c r="C32040" s="309"/>
      <c r="I32040" s="309"/>
      <c r="J32040" s="309"/>
    </row>
    <row r="32041">
      <c r="B32041" s="309"/>
      <c r="C32041" s="309"/>
      <c r="I32041" s="309"/>
      <c r="J32041" s="309"/>
    </row>
    <row r="32042">
      <c r="B32042" s="309"/>
      <c r="C32042" s="309"/>
      <c r="I32042" s="309"/>
      <c r="J32042" s="309"/>
    </row>
    <row r="32043">
      <c r="B32043" s="309"/>
      <c r="C32043" s="309"/>
      <c r="I32043" s="309"/>
      <c r="J32043" s="309"/>
    </row>
    <row r="32044">
      <c r="B32044" s="309"/>
      <c r="C32044" s="309"/>
      <c r="I32044" s="309"/>
      <c r="J32044" s="309"/>
    </row>
    <row r="32045">
      <c r="B32045" s="309"/>
      <c r="C32045" s="309"/>
      <c r="I32045" s="309"/>
      <c r="J32045" s="309"/>
    </row>
    <row r="32046">
      <c r="B32046" s="309"/>
      <c r="C32046" s="309"/>
      <c r="I32046" s="309"/>
      <c r="J32046" s="309"/>
    </row>
    <row r="32047">
      <c r="B32047" s="309"/>
      <c r="C32047" s="309"/>
      <c r="I32047" s="309"/>
      <c r="J32047" s="309"/>
    </row>
    <row r="32048">
      <c r="B32048" s="309"/>
      <c r="C32048" s="309"/>
      <c r="I32048" s="309"/>
      <c r="J32048" s="309"/>
    </row>
    <row r="32049">
      <c r="B32049" s="309"/>
      <c r="C32049" s="309"/>
      <c r="I32049" s="309"/>
      <c r="J32049" s="309"/>
    </row>
    <row r="32050">
      <c r="B32050" s="309"/>
      <c r="C32050" s="309"/>
      <c r="I32050" s="309"/>
      <c r="J32050" s="309"/>
    </row>
    <row r="32051">
      <c r="B32051" s="309"/>
      <c r="C32051" s="309"/>
      <c r="I32051" s="309"/>
      <c r="J32051" s="309"/>
    </row>
    <row r="32052">
      <c r="B32052" s="309"/>
      <c r="C32052" s="309"/>
      <c r="I32052" s="309"/>
      <c r="J32052" s="309"/>
    </row>
    <row r="32053">
      <c r="B32053" s="309"/>
      <c r="C32053" s="309"/>
      <c r="I32053" s="309"/>
      <c r="J32053" s="309"/>
    </row>
    <row r="32054">
      <c r="B32054" s="309"/>
      <c r="C32054" s="309"/>
      <c r="I32054" s="309"/>
      <c r="J32054" s="309"/>
    </row>
    <row r="32055">
      <c r="B32055" s="309"/>
      <c r="C32055" s="309"/>
      <c r="I32055" s="309"/>
      <c r="J32055" s="309"/>
    </row>
    <row r="32056">
      <c r="B32056" s="309"/>
      <c r="C32056" s="309"/>
      <c r="I32056" s="309"/>
      <c r="J32056" s="309"/>
    </row>
    <row r="32057">
      <c r="B32057" s="309"/>
      <c r="C32057" s="309"/>
      <c r="I32057" s="309"/>
      <c r="J32057" s="309"/>
    </row>
    <row r="32058">
      <c r="B32058" s="309"/>
      <c r="C32058" s="309"/>
      <c r="I32058" s="309"/>
      <c r="J32058" s="309"/>
    </row>
    <row r="32059">
      <c r="B32059" s="309"/>
      <c r="C32059" s="309"/>
      <c r="I32059" s="309"/>
      <c r="J32059" s="309"/>
    </row>
    <row r="32060">
      <c r="B32060" s="309"/>
      <c r="C32060" s="309"/>
      <c r="I32060" s="309"/>
      <c r="J32060" s="309"/>
    </row>
    <row r="32061">
      <c r="B32061" s="309"/>
      <c r="C32061" s="309"/>
      <c r="I32061" s="309"/>
      <c r="J32061" s="309"/>
    </row>
    <row r="32062">
      <c r="B32062" s="309"/>
      <c r="C32062" s="309"/>
      <c r="I32062" s="309"/>
      <c r="J32062" s="309"/>
    </row>
    <row r="32063">
      <c r="B32063" s="309"/>
      <c r="C32063" s="309"/>
      <c r="I32063" s="309"/>
      <c r="J32063" s="309"/>
    </row>
    <row r="32064">
      <c r="B32064" s="309"/>
      <c r="C32064" s="309"/>
      <c r="I32064" s="309"/>
      <c r="J32064" s="309"/>
    </row>
    <row r="32065">
      <c r="B32065" s="309"/>
      <c r="C32065" s="309"/>
      <c r="I32065" s="309"/>
      <c r="J32065" s="309"/>
    </row>
    <row r="32066">
      <c r="B32066" s="309"/>
      <c r="C32066" s="309"/>
      <c r="I32066" s="309"/>
      <c r="J32066" s="309"/>
    </row>
    <row r="32067">
      <c r="B32067" s="309"/>
      <c r="C32067" s="309"/>
      <c r="I32067" s="309"/>
      <c r="J32067" s="309"/>
    </row>
    <row r="32068">
      <c r="B32068" s="309"/>
      <c r="C32068" s="309"/>
      <c r="I32068" s="309"/>
      <c r="J32068" s="309"/>
    </row>
    <row r="32069">
      <c r="B32069" s="309"/>
      <c r="C32069" s="309"/>
      <c r="I32069" s="309"/>
      <c r="J32069" s="309"/>
    </row>
    <row r="32070">
      <c r="B32070" s="309"/>
      <c r="C32070" s="309"/>
      <c r="I32070" s="309"/>
      <c r="J32070" s="309"/>
    </row>
    <row r="32071">
      <c r="B32071" s="309"/>
      <c r="C32071" s="309"/>
      <c r="I32071" s="309"/>
      <c r="J32071" s="309"/>
    </row>
    <row r="32072">
      <c r="B32072" s="309"/>
      <c r="C32072" s="309"/>
      <c r="I32072" s="309"/>
      <c r="J32072" s="309"/>
    </row>
    <row r="32073">
      <c r="B32073" s="309"/>
      <c r="C32073" s="309"/>
      <c r="I32073" s="309"/>
      <c r="J32073" s="309"/>
    </row>
    <row r="32074">
      <c r="B32074" s="309"/>
      <c r="C32074" s="309"/>
      <c r="I32074" s="309"/>
      <c r="J32074" s="309"/>
    </row>
    <row r="32075">
      <c r="B32075" s="309"/>
      <c r="C32075" s="309"/>
      <c r="I32075" s="309"/>
      <c r="J32075" s="309"/>
    </row>
    <row r="32076">
      <c r="B32076" s="309"/>
      <c r="C32076" s="309"/>
      <c r="I32076" s="309"/>
      <c r="J32076" s="309"/>
    </row>
    <row r="32077">
      <c r="B32077" s="309"/>
      <c r="C32077" s="309"/>
      <c r="I32077" s="309"/>
      <c r="J32077" s="309"/>
    </row>
    <row r="32078">
      <c r="B32078" s="309"/>
      <c r="C32078" s="309"/>
      <c r="I32078" s="309"/>
      <c r="J32078" s="309"/>
    </row>
    <row r="32079">
      <c r="B32079" s="309"/>
      <c r="C32079" s="309"/>
      <c r="I32079" s="309"/>
      <c r="J32079" s="309"/>
    </row>
    <row r="32080">
      <c r="B32080" s="309"/>
      <c r="C32080" s="309"/>
      <c r="I32080" s="309"/>
      <c r="J32080" s="309"/>
    </row>
    <row r="32081">
      <c r="B32081" s="309"/>
      <c r="C32081" s="309"/>
      <c r="I32081" s="309"/>
      <c r="J32081" s="309"/>
    </row>
    <row r="32082">
      <c r="B32082" s="309"/>
      <c r="C32082" s="309"/>
      <c r="I32082" s="309"/>
      <c r="J32082" s="309"/>
    </row>
    <row r="32083">
      <c r="B32083" s="309"/>
      <c r="C32083" s="309"/>
      <c r="I32083" s="309"/>
      <c r="J32083" s="309"/>
    </row>
    <row r="32084">
      <c r="B32084" s="309"/>
      <c r="C32084" s="309"/>
      <c r="I32084" s="309"/>
      <c r="J32084" s="309"/>
    </row>
    <row r="32085">
      <c r="B32085" s="309"/>
      <c r="C32085" s="309"/>
      <c r="I32085" s="309"/>
      <c r="J32085" s="309"/>
    </row>
    <row r="32086">
      <c r="B32086" s="309"/>
      <c r="C32086" s="309"/>
      <c r="I32086" s="309"/>
      <c r="J32086" s="309"/>
    </row>
    <row r="32087">
      <c r="B32087" s="309"/>
      <c r="C32087" s="309"/>
      <c r="I32087" s="309"/>
      <c r="J32087" s="309"/>
    </row>
    <row r="32088">
      <c r="B32088" s="309"/>
      <c r="C32088" s="309"/>
      <c r="I32088" s="309"/>
      <c r="J32088" s="309"/>
    </row>
    <row r="32089">
      <c r="B32089" s="309"/>
      <c r="C32089" s="309"/>
      <c r="I32089" s="309"/>
      <c r="J32089" s="309"/>
    </row>
    <row r="32090">
      <c r="B32090" s="309"/>
      <c r="C32090" s="309"/>
      <c r="I32090" s="309"/>
      <c r="J32090" s="309"/>
    </row>
    <row r="32091">
      <c r="B32091" s="309"/>
      <c r="C32091" s="309"/>
      <c r="I32091" s="309"/>
      <c r="J32091" s="309"/>
    </row>
    <row r="32092">
      <c r="B32092" s="309"/>
      <c r="C32092" s="309"/>
      <c r="I32092" s="309"/>
      <c r="J32092" s="309"/>
    </row>
    <row r="32093">
      <c r="B32093" s="309"/>
      <c r="C32093" s="309"/>
      <c r="I32093" s="309"/>
      <c r="J32093" s="309"/>
    </row>
    <row r="32094">
      <c r="B32094" s="309"/>
      <c r="C32094" s="309"/>
      <c r="I32094" s="309"/>
      <c r="J32094" s="309"/>
    </row>
    <row r="32095">
      <c r="B32095" s="309"/>
      <c r="C32095" s="309"/>
      <c r="I32095" s="309"/>
      <c r="J32095" s="309"/>
    </row>
    <row r="32096">
      <c r="B32096" s="309"/>
      <c r="C32096" s="309"/>
      <c r="I32096" s="309"/>
      <c r="J32096" s="309"/>
    </row>
    <row r="32097">
      <c r="B32097" s="309"/>
      <c r="C32097" s="309"/>
      <c r="I32097" s="309"/>
      <c r="J32097" s="309"/>
    </row>
    <row r="32098">
      <c r="B32098" s="309"/>
      <c r="C32098" s="309"/>
      <c r="I32098" s="309"/>
      <c r="J32098" s="309"/>
    </row>
    <row r="32099">
      <c r="B32099" s="309"/>
      <c r="C32099" s="309"/>
      <c r="I32099" s="309"/>
      <c r="J32099" s="309"/>
    </row>
    <row r="32100">
      <c r="B32100" s="309"/>
      <c r="C32100" s="309"/>
      <c r="I32100" s="309"/>
      <c r="J32100" s="309"/>
    </row>
    <row r="32101">
      <c r="B32101" s="309"/>
      <c r="C32101" s="309"/>
      <c r="I32101" s="309"/>
      <c r="J32101" s="309"/>
    </row>
    <row r="32102">
      <c r="B32102" s="309"/>
      <c r="C32102" s="309"/>
      <c r="I32102" s="309"/>
      <c r="J32102" s="309"/>
    </row>
    <row r="32103">
      <c r="B32103" s="309"/>
      <c r="C32103" s="309"/>
      <c r="I32103" s="309"/>
      <c r="J32103" s="309"/>
    </row>
    <row r="32104">
      <c r="B32104" s="309"/>
      <c r="C32104" s="309"/>
      <c r="I32104" s="309"/>
      <c r="J32104" s="309"/>
    </row>
    <row r="32105">
      <c r="B32105" s="309"/>
      <c r="C32105" s="309"/>
      <c r="I32105" s="309"/>
      <c r="J32105" s="309"/>
    </row>
    <row r="32106">
      <c r="B32106" s="309"/>
      <c r="C32106" s="309"/>
      <c r="I32106" s="309"/>
      <c r="J32106" s="309"/>
    </row>
    <row r="32107">
      <c r="B32107" s="309"/>
      <c r="C32107" s="309"/>
      <c r="I32107" s="309"/>
      <c r="J32107" s="309"/>
    </row>
    <row r="32108">
      <c r="B32108" s="309"/>
      <c r="C32108" s="309"/>
      <c r="I32108" s="309"/>
      <c r="J32108" s="309"/>
    </row>
    <row r="32109">
      <c r="B32109" s="309"/>
      <c r="C32109" s="309"/>
      <c r="I32109" s="309"/>
      <c r="J32109" s="309"/>
    </row>
    <row r="32110">
      <c r="B32110" s="309"/>
      <c r="C32110" s="309"/>
      <c r="I32110" s="309"/>
      <c r="J32110" s="309"/>
    </row>
    <row r="32111">
      <c r="B32111" s="309"/>
      <c r="C32111" s="309"/>
      <c r="I32111" s="309"/>
      <c r="J32111" s="309"/>
    </row>
    <row r="32112">
      <c r="B32112" s="309"/>
      <c r="C32112" s="309"/>
      <c r="I32112" s="309"/>
      <c r="J32112" s="309"/>
    </row>
    <row r="32113">
      <c r="B32113" s="309"/>
      <c r="C32113" s="309"/>
      <c r="I32113" s="309"/>
      <c r="J32113" s="309"/>
    </row>
    <row r="32114">
      <c r="B32114" s="309"/>
      <c r="C32114" s="309"/>
      <c r="I32114" s="309"/>
      <c r="J32114" s="309"/>
    </row>
    <row r="32115">
      <c r="B32115" s="309"/>
      <c r="C32115" s="309"/>
      <c r="I32115" s="309"/>
      <c r="J32115" s="309"/>
    </row>
    <row r="32116">
      <c r="B32116" s="309"/>
      <c r="C32116" s="309"/>
      <c r="I32116" s="309"/>
      <c r="J32116" s="309"/>
    </row>
    <row r="32117">
      <c r="B32117" s="309"/>
      <c r="C32117" s="309"/>
      <c r="I32117" s="309"/>
      <c r="J32117" s="309"/>
    </row>
    <row r="32118">
      <c r="B32118" s="309"/>
      <c r="C32118" s="309"/>
      <c r="I32118" s="309"/>
      <c r="J32118" s="309"/>
    </row>
    <row r="32119">
      <c r="B32119" s="309"/>
      <c r="C32119" s="309"/>
      <c r="I32119" s="309"/>
      <c r="J32119" s="309"/>
    </row>
    <row r="32120">
      <c r="B32120" s="309"/>
      <c r="C32120" s="309"/>
      <c r="I32120" s="309"/>
      <c r="J32120" s="309"/>
    </row>
    <row r="32121">
      <c r="B32121" s="309"/>
      <c r="C32121" s="309"/>
      <c r="I32121" s="309"/>
      <c r="J32121" s="309"/>
    </row>
    <row r="32122">
      <c r="B32122" s="309"/>
      <c r="C32122" s="309"/>
      <c r="I32122" s="309"/>
      <c r="J32122" s="309"/>
    </row>
    <row r="32123">
      <c r="B32123" s="309"/>
      <c r="C32123" s="309"/>
      <c r="I32123" s="309"/>
      <c r="J32123" s="309"/>
    </row>
    <row r="32124">
      <c r="B32124" s="309"/>
      <c r="C32124" s="309"/>
      <c r="I32124" s="309"/>
      <c r="J32124" s="309"/>
    </row>
    <row r="32125">
      <c r="B32125" s="309"/>
      <c r="C32125" s="309"/>
      <c r="I32125" s="309"/>
      <c r="J32125" s="309"/>
    </row>
    <row r="32126">
      <c r="B32126" s="309"/>
      <c r="C32126" s="309"/>
      <c r="I32126" s="309"/>
      <c r="J32126" s="309"/>
    </row>
    <row r="32127">
      <c r="B32127" s="309"/>
      <c r="C32127" s="309"/>
      <c r="I32127" s="309"/>
      <c r="J32127" s="309"/>
    </row>
    <row r="32128">
      <c r="B32128" s="309"/>
      <c r="C32128" s="309"/>
      <c r="I32128" s="309"/>
      <c r="J32128" s="309"/>
    </row>
    <row r="32129">
      <c r="B32129" s="309"/>
      <c r="C32129" s="309"/>
      <c r="I32129" s="309"/>
      <c r="J32129" s="309"/>
    </row>
    <row r="32130">
      <c r="B32130" s="309"/>
      <c r="C32130" s="309"/>
      <c r="I32130" s="309"/>
      <c r="J32130" s="309"/>
    </row>
    <row r="32131">
      <c r="B32131" s="309"/>
      <c r="C32131" s="309"/>
      <c r="I32131" s="309"/>
      <c r="J32131" s="309"/>
    </row>
    <row r="32132">
      <c r="B32132" s="309"/>
      <c r="C32132" s="309"/>
      <c r="I32132" s="309"/>
      <c r="J32132" s="309"/>
    </row>
    <row r="32133">
      <c r="B32133" s="309"/>
      <c r="C32133" s="309"/>
      <c r="I32133" s="309"/>
      <c r="J32133" s="309"/>
    </row>
    <row r="32134">
      <c r="B32134" s="309"/>
      <c r="C32134" s="309"/>
      <c r="I32134" s="309"/>
      <c r="J32134" s="309"/>
    </row>
    <row r="32135">
      <c r="B32135" s="309"/>
      <c r="C32135" s="309"/>
      <c r="I32135" s="309"/>
      <c r="J32135" s="309"/>
    </row>
    <row r="32136">
      <c r="B32136" s="309"/>
      <c r="C32136" s="309"/>
      <c r="I32136" s="309"/>
      <c r="J32136" s="309"/>
    </row>
    <row r="32137">
      <c r="B32137" s="309"/>
      <c r="C32137" s="309"/>
      <c r="I32137" s="309"/>
      <c r="J32137" s="309"/>
    </row>
    <row r="32138">
      <c r="B32138" s="309"/>
      <c r="C32138" s="309"/>
      <c r="I32138" s="309"/>
      <c r="J32138" s="309"/>
    </row>
    <row r="32139">
      <c r="B32139" s="309"/>
      <c r="C32139" s="309"/>
      <c r="I32139" s="309"/>
      <c r="J32139" s="309"/>
    </row>
    <row r="32140">
      <c r="B32140" s="309"/>
      <c r="C32140" s="309"/>
      <c r="I32140" s="309"/>
      <c r="J32140" s="309"/>
    </row>
    <row r="32141">
      <c r="B32141" s="309"/>
      <c r="C32141" s="309"/>
      <c r="I32141" s="309"/>
      <c r="J32141" s="309"/>
    </row>
    <row r="32142">
      <c r="B32142" s="309"/>
      <c r="C32142" s="309"/>
      <c r="I32142" s="309"/>
      <c r="J32142" s="309"/>
    </row>
    <row r="32143">
      <c r="B32143" s="309"/>
      <c r="C32143" s="309"/>
      <c r="I32143" s="309"/>
      <c r="J32143" s="309"/>
    </row>
    <row r="32144">
      <c r="B32144" s="309"/>
      <c r="C32144" s="309"/>
      <c r="I32144" s="309"/>
      <c r="J32144" s="309"/>
    </row>
    <row r="32145">
      <c r="B32145" s="309"/>
      <c r="C32145" s="309"/>
      <c r="I32145" s="309"/>
      <c r="J32145" s="309"/>
    </row>
    <row r="32146">
      <c r="B32146" s="309"/>
      <c r="C32146" s="309"/>
      <c r="I32146" s="309"/>
      <c r="J32146" s="309"/>
    </row>
    <row r="32147">
      <c r="B32147" s="309"/>
      <c r="C32147" s="309"/>
      <c r="I32147" s="309"/>
      <c r="J32147" s="309"/>
    </row>
    <row r="32148">
      <c r="B32148" s="309"/>
      <c r="C32148" s="309"/>
      <c r="I32148" s="309"/>
      <c r="J32148" s="309"/>
    </row>
    <row r="32149">
      <c r="B32149" s="309"/>
      <c r="C32149" s="309"/>
      <c r="I32149" s="309"/>
      <c r="J32149" s="309"/>
    </row>
    <row r="32150">
      <c r="B32150" s="309"/>
      <c r="C32150" s="309"/>
      <c r="I32150" s="309"/>
      <c r="J32150" s="309"/>
    </row>
    <row r="32151">
      <c r="B32151" s="309"/>
      <c r="C32151" s="309"/>
      <c r="I32151" s="309"/>
      <c r="J32151" s="309"/>
    </row>
    <row r="32152">
      <c r="B32152" s="309"/>
      <c r="C32152" s="309"/>
      <c r="I32152" s="309"/>
      <c r="J32152" s="309"/>
    </row>
    <row r="32153">
      <c r="B32153" s="309"/>
      <c r="C32153" s="309"/>
      <c r="I32153" s="309"/>
      <c r="J32153" s="309"/>
    </row>
    <row r="32154">
      <c r="B32154" s="309"/>
      <c r="C32154" s="309"/>
      <c r="I32154" s="309"/>
      <c r="J32154" s="309"/>
    </row>
    <row r="32155">
      <c r="B32155" s="309"/>
      <c r="C32155" s="309"/>
      <c r="I32155" s="309"/>
      <c r="J32155" s="309"/>
    </row>
    <row r="32156">
      <c r="B32156" s="309"/>
      <c r="C32156" s="309"/>
      <c r="I32156" s="309"/>
      <c r="J32156" s="309"/>
    </row>
    <row r="32157">
      <c r="B32157" s="309"/>
      <c r="C32157" s="309"/>
      <c r="I32157" s="309"/>
      <c r="J32157" s="309"/>
    </row>
    <row r="32158">
      <c r="B32158" s="309"/>
      <c r="C32158" s="309"/>
      <c r="I32158" s="309"/>
      <c r="J32158" s="309"/>
    </row>
    <row r="32159">
      <c r="B32159" s="309"/>
      <c r="C32159" s="309"/>
      <c r="I32159" s="309"/>
      <c r="J32159" s="309"/>
    </row>
    <row r="32160">
      <c r="B32160" s="309"/>
      <c r="C32160" s="309"/>
      <c r="I32160" s="309"/>
      <c r="J32160" s="309"/>
    </row>
    <row r="32161">
      <c r="B32161" s="309"/>
      <c r="C32161" s="309"/>
      <c r="I32161" s="309"/>
      <c r="J32161" s="309"/>
    </row>
    <row r="32162">
      <c r="B32162" s="309"/>
      <c r="C32162" s="309"/>
      <c r="I32162" s="309"/>
      <c r="J32162" s="309"/>
    </row>
    <row r="32163">
      <c r="B32163" s="309"/>
      <c r="C32163" s="309"/>
      <c r="I32163" s="309"/>
      <c r="J32163" s="309"/>
    </row>
    <row r="32164">
      <c r="B32164" s="309"/>
      <c r="C32164" s="309"/>
      <c r="I32164" s="309"/>
      <c r="J32164" s="309"/>
    </row>
    <row r="32165">
      <c r="B32165" s="309"/>
      <c r="C32165" s="309"/>
      <c r="I32165" s="309"/>
      <c r="J32165" s="309"/>
    </row>
    <row r="32166">
      <c r="B32166" s="309"/>
      <c r="C32166" s="309"/>
      <c r="I32166" s="309"/>
      <c r="J32166" s="309"/>
    </row>
    <row r="32167">
      <c r="B32167" s="309"/>
      <c r="C32167" s="309"/>
      <c r="I32167" s="309"/>
      <c r="J32167" s="309"/>
    </row>
    <row r="32168">
      <c r="B32168" s="309"/>
      <c r="C32168" s="309"/>
      <c r="I32168" s="309"/>
      <c r="J32168" s="309"/>
    </row>
    <row r="32169">
      <c r="B32169" s="309"/>
      <c r="C32169" s="309"/>
      <c r="I32169" s="309"/>
      <c r="J32169" s="309"/>
    </row>
    <row r="32170">
      <c r="B32170" s="309"/>
      <c r="C32170" s="309"/>
      <c r="I32170" s="309"/>
      <c r="J32170" s="309"/>
    </row>
    <row r="32171">
      <c r="B32171" s="309"/>
      <c r="C32171" s="309"/>
      <c r="I32171" s="309"/>
      <c r="J32171" s="309"/>
    </row>
    <row r="32172">
      <c r="B32172" s="309"/>
      <c r="C32172" s="309"/>
      <c r="I32172" s="309"/>
      <c r="J32172" s="309"/>
    </row>
    <row r="32173">
      <c r="B32173" s="309"/>
      <c r="C32173" s="309"/>
      <c r="I32173" s="309"/>
      <c r="J32173" s="309"/>
    </row>
    <row r="32174">
      <c r="B32174" s="309"/>
      <c r="C32174" s="309"/>
      <c r="I32174" s="309"/>
      <c r="J32174" s="309"/>
    </row>
    <row r="32175">
      <c r="B32175" s="309"/>
      <c r="C32175" s="309"/>
      <c r="I32175" s="309"/>
      <c r="J32175" s="309"/>
    </row>
    <row r="32176">
      <c r="B32176" s="309"/>
      <c r="C32176" s="309"/>
      <c r="I32176" s="309"/>
      <c r="J32176" s="309"/>
    </row>
    <row r="32177">
      <c r="B32177" s="309"/>
      <c r="C32177" s="309"/>
      <c r="I32177" s="309"/>
      <c r="J32177" s="309"/>
    </row>
    <row r="32178">
      <c r="B32178" s="309"/>
      <c r="C32178" s="309"/>
      <c r="I32178" s="309"/>
      <c r="J32178" s="309"/>
    </row>
    <row r="32179">
      <c r="B32179" s="309"/>
      <c r="C32179" s="309"/>
      <c r="I32179" s="309"/>
      <c r="J32179" s="309"/>
    </row>
    <row r="32180">
      <c r="B32180" s="309"/>
      <c r="C32180" s="309"/>
      <c r="I32180" s="309"/>
      <c r="J32180" s="309"/>
    </row>
    <row r="32181">
      <c r="B32181" s="309"/>
      <c r="C32181" s="309"/>
      <c r="I32181" s="309"/>
      <c r="J32181" s="309"/>
    </row>
    <row r="32182">
      <c r="B32182" s="309"/>
      <c r="C32182" s="309"/>
      <c r="I32182" s="309"/>
      <c r="J32182" s="309"/>
    </row>
    <row r="32183">
      <c r="B32183" s="309"/>
      <c r="C32183" s="309"/>
      <c r="I32183" s="309"/>
      <c r="J32183" s="309"/>
    </row>
    <row r="32184">
      <c r="B32184" s="309"/>
      <c r="C32184" s="309"/>
      <c r="I32184" s="309"/>
      <c r="J32184" s="309"/>
    </row>
    <row r="32185">
      <c r="B32185" s="309"/>
      <c r="C32185" s="309"/>
      <c r="I32185" s="309"/>
      <c r="J32185" s="309"/>
    </row>
    <row r="32186">
      <c r="B32186" s="309"/>
      <c r="C32186" s="309"/>
      <c r="I32186" s="309"/>
      <c r="J32186" s="309"/>
    </row>
    <row r="32187">
      <c r="B32187" s="309"/>
      <c r="C32187" s="309"/>
      <c r="I32187" s="309"/>
      <c r="J32187" s="309"/>
    </row>
    <row r="32188">
      <c r="B32188" s="309"/>
      <c r="C32188" s="309"/>
      <c r="I32188" s="309"/>
      <c r="J32188" s="309"/>
    </row>
    <row r="32189">
      <c r="B32189" s="309"/>
      <c r="C32189" s="309"/>
      <c r="I32189" s="309"/>
      <c r="J32189" s="309"/>
    </row>
    <row r="32190">
      <c r="B32190" s="309"/>
      <c r="C32190" s="309"/>
      <c r="I32190" s="309"/>
      <c r="J32190" s="309"/>
    </row>
    <row r="32191">
      <c r="B32191" s="309"/>
      <c r="C32191" s="309"/>
      <c r="I32191" s="309"/>
      <c r="J32191" s="309"/>
    </row>
    <row r="32192">
      <c r="B32192" s="309"/>
      <c r="C32192" s="309"/>
      <c r="I32192" s="309"/>
      <c r="J32192" s="309"/>
    </row>
    <row r="32193">
      <c r="B32193" s="309"/>
      <c r="C32193" s="309"/>
      <c r="I32193" s="309"/>
      <c r="J32193" s="309"/>
    </row>
    <row r="32194">
      <c r="B32194" s="309"/>
      <c r="C32194" s="309"/>
      <c r="I32194" s="309"/>
      <c r="J32194" s="309"/>
    </row>
    <row r="32195">
      <c r="B32195" s="309"/>
      <c r="C32195" s="309"/>
      <c r="I32195" s="309"/>
      <c r="J32195" s="309"/>
    </row>
    <row r="32196">
      <c r="B32196" s="309"/>
      <c r="C32196" s="309"/>
      <c r="I32196" s="309"/>
      <c r="J32196" s="309"/>
    </row>
    <row r="32197">
      <c r="B32197" s="309"/>
      <c r="C32197" s="309"/>
      <c r="I32197" s="309"/>
      <c r="J32197" s="309"/>
    </row>
    <row r="32198">
      <c r="B32198" s="309"/>
      <c r="C32198" s="309"/>
      <c r="I32198" s="309"/>
      <c r="J32198" s="309"/>
    </row>
    <row r="32199">
      <c r="B32199" s="309"/>
      <c r="C32199" s="309"/>
      <c r="I32199" s="309"/>
      <c r="J32199" s="309"/>
    </row>
    <row r="32200">
      <c r="B32200" s="309"/>
      <c r="C32200" s="309"/>
      <c r="I32200" s="309"/>
      <c r="J32200" s="309"/>
    </row>
    <row r="32201">
      <c r="B32201" s="309"/>
      <c r="C32201" s="309"/>
      <c r="I32201" s="309"/>
      <c r="J32201" s="309"/>
    </row>
    <row r="32202">
      <c r="B32202" s="309"/>
      <c r="C32202" s="309"/>
      <c r="I32202" s="309"/>
      <c r="J32202" s="309"/>
    </row>
    <row r="32203">
      <c r="B32203" s="309"/>
      <c r="C32203" s="309"/>
      <c r="I32203" s="309"/>
      <c r="J32203" s="309"/>
    </row>
    <row r="32204">
      <c r="B32204" s="309"/>
      <c r="C32204" s="309"/>
      <c r="I32204" s="309"/>
      <c r="J32204" s="309"/>
    </row>
    <row r="32205">
      <c r="B32205" s="309"/>
      <c r="C32205" s="309"/>
      <c r="I32205" s="309"/>
      <c r="J32205" s="309"/>
    </row>
    <row r="32206">
      <c r="B32206" s="309"/>
      <c r="C32206" s="309"/>
      <c r="I32206" s="309"/>
      <c r="J32206" s="309"/>
    </row>
    <row r="32207">
      <c r="B32207" s="309"/>
      <c r="C32207" s="309"/>
      <c r="I32207" s="309"/>
      <c r="J32207" s="309"/>
    </row>
    <row r="32208">
      <c r="B32208" s="309"/>
      <c r="C32208" s="309"/>
      <c r="I32208" s="309"/>
      <c r="J32208" s="309"/>
    </row>
    <row r="32209">
      <c r="B32209" s="309"/>
      <c r="C32209" s="309"/>
      <c r="I32209" s="309"/>
      <c r="J32209" s="309"/>
    </row>
    <row r="32210">
      <c r="B32210" s="309"/>
      <c r="C32210" s="309"/>
      <c r="I32210" s="309"/>
      <c r="J32210" s="309"/>
    </row>
    <row r="32211">
      <c r="B32211" s="309"/>
      <c r="C32211" s="309"/>
      <c r="I32211" s="309"/>
      <c r="J32211" s="309"/>
    </row>
    <row r="32212">
      <c r="B32212" s="309"/>
      <c r="C32212" s="309"/>
      <c r="I32212" s="309"/>
      <c r="J32212" s="309"/>
    </row>
    <row r="32213">
      <c r="B32213" s="309"/>
      <c r="C32213" s="309"/>
      <c r="I32213" s="309"/>
      <c r="J32213" s="309"/>
    </row>
    <row r="32214">
      <c r="B32214" s="309"/>
      <c r="C32214" s="309"/>
      <c r="I32214" s="309"/>
      <c r="J32214" s="309"/>
    </row>
    <row r="32215">
      <c r="B32215" s="309"/>
      <c r="C32215" s="309"/>
      <c r="I32215" s="309"/>
      <c r="J32215" s="309"/>
    </row>
    <row r="32216">
      <c r="B32216" s="309"/>
      <c r="C32216" s="309"/>
      <c r="I32216" s="309"/>
      <c r="J32216" s="309"/>
    </row>
    <row r="32217">
      <c r="B32217" s="309"/>
      <c r="C32217" s="309"/>
      <c r="I32217" s="309"/>
      <c r="J32217" s="309"/>
    </row>
    <row r="32218">
      <c r="B32218" s="309"/>
      <c r="C32218" s="309"/>
      <c r="I32218" s="309"/>
      <c r="J32218" s="309"/>
    </row>
    <row r="32219">
      <c r="B32219" s="309"/>
      <c r="C32219" s="309"/>
      <c r="I32219" s="309"/>
      <c r="J32219" s="309"/>
    </row>
    <row r="32220">
      <c r="B32220" s="309"/>
      <c r="C32220" s="309"/>
      <c r="I32220" s="309"/>
      <c r="J32220" s="309"/>
    </row>
    <row r="32221">
      <c r="B32221" s="309"/>
      <c r="C32221" s="309"/>
      <c r="I32221" s="309"/>
      <c r="J32221" s="309"/>
    </row>
    <row r="32222">
      <c r="B32222" s="309"/>
      <c r="C32222" s="309"/>
      <c r="I32222" s="309"/>
      <c r="J32222" s="309"/>
    </row>
    <row r="32223">
      <c r="B32223" s="309"/>
      <c r="C32223" s="309"/>
      <c r="I32223" s="309"/>
      <c r="J32223" s="309"/>
    </row>
    <row r="32224">
      <c r="B32224" s="309"/>
      <c r="C32224" s="309"/>
      <c r="I32224" s="309"/>
      <c r="J32224" s="309"/>
    </row>
    <row r="32225">
      <c r="B32225" s="309"/>
      <c r="C32225" s="309"/>
      <c r="I32225" s="309"/>
      <c r="J32225" s="309"/>
    </row>
    <row r="32226">
      <c r="B32226" s="309"/>
      <c r="C32226" s="309"/>
      <c r="I32226" s="309"/>
      <c r="J32226" s="309"/>
    </row>
    <row r="32227">
      <c r="B32227" s="309"/>
      <c r="C32227" s="309"/>
      <c r="I32227" s="309"/>
      <c r="J32227" s="309"/>
    </row>
    <row r="32228">
      <c r="B32228" s="309"/>
      <c r="C32228" s="309"/>
      <c r="I32228" s="309"/>
      <c r="J32228" s="309"/>
    </row>
    <row r="32229">
      <c r="B32229" s="309"/>
      <c r="C32229" s="309"/>
      <c r="I32229" s="309"/>
      <c r="J32229" s="309"/>
    </row>
    <row r="32230">
      <c r="B32230" s="309"/>
      <c r="C32230" s="309"/>
      <c r="I32230" s="309"/>
      <c r="J32230" s="309"/>
    </row>
    <row r="32231">
      <c r="B32231" s="309"/>
      <c r="C32231" s="309"/>
      <c r="I32231" s="309"/>
      <c r="J32231" s="309"/>
    </row>
    <row r="32232">
      <c r="B32232" s="309"/>
      <c r="C32232" s="309"/>
      <c r="I32232" s="309"/>
      <c r="J32232" s="309"/>
    </row>
    <row r="32233">
      <c r="B32233" s="309"/>
      <c r="C32233" s="309"/>
      <c r="I32233" s="309"/>
      <c r="J32233" s="309"/>
    </row>
    <row r="32234">
      <c r="B32234" s="309"/>
      <c r="C32234" s="309"/>
      <c r="I32234" s="309"/>
      <c r="J32234" s="309"/>
    </row>
    <row r="32235">
      <c r="B32235" s="309"/>
      <c r="C32235" s="309"/>
      <c r="I32235" s="309"/>
      <c r="J32235" s="309"/>
    </row>
    <row r="32236">
      <c r="B32236" s="309"/>
      <c r="C32236" s="309"/>
      <c r="I32236" s="309"/>
      <c r="J32236" s="309"/>
    </row>
    <row r="32237">
      <c r="B32237" s="309"/>
      <c r="C32237" s="309"/>
      <c r="I32237" s="309"/>
      <c r="J32237" s="309"/>
    </row>
    <row r="32238">
      <c r="B32238" s="309"/>
      <c r="C32238" s="309"/>
      <c r="I32238" s="309"/>
      <c r="J32238" s="309"/>
    </row>
    <row r="32239">
      <c r="B32239" s="309"/>
      <c r="C32239" s="309"/>
      <c r="I32239" s="309"/>
      <c r="J32239" s="309"/>
    </row>
    <row r="32240">
      <c r="B32240" s="309"/>
      <c r="C32240" s="309"/>
      <c r="I32240" s="309"/>
      <c r="J32240" s="309"/>
    </row>
    <row r="32241">
      <c r="B32241" s="309"/>
      <c r="C32241" s="309"/>
      <c r="I32241" s="309"/>
      <c r="J32241" s="309"/>
    </row>
    <row r="32242">
      <c r="B32242" s="309"/>
      <c r="C32242" s="309"/>
      <c r="I32242" s="309"/>
      <c r="J32242" s="309"/>
    </row>
    <row r="32243">
      <c r="B32243" s="309"/>
      <c r="C32243" s="309"/>
      <c r="I32243" s="309"/>
      <c r="J32243" s="309"/>
    </row>
    <row r="32244">
      <c r="B32244" s="309"/>
      <c r="C32244" s="309"/>
      <c r="I32244" s="309"/>
      <c r="J32244" s="309"/>
    </row>
    <row r="32245">
      <c r="B32245" s="309"/>
      <c r="C32245" s="309"/>
      <c r="I32245" s="309"/>
      <c r="J32245" s="309"/>
    </row>
    <row r="32246">
      <c r="B32246" s="309"/>
      <c r="C32246" s="309"/>
      <c r="I32246" s="309"/>
      <c r="J32246" s="309"/>
    </row>
    <row r="32247">
      <c r="B32247" s="309"/>
      <c r="C32247" s="309"/>
      <c r="I32247" s="309"/>
      <c r="J32247" s="309"/>
    </row>
    <row r="32248">
      <c r="B32248" s="309"/>
      <c r="C32248" s="309"/>
      <c r="I32248" s="309"/>
      <c r="J32248" s="309"/>
    </row>
    <row r="32249">
      <c r="B32249" s="309"/>
      <c r="C32249" s="309"/>
      <c r="I32249" s="309"/>
      <c r="J32249" s="309"/>
    </row>
    <row r="32250">
      <c r="B32250" s="309"/>
      <c r="C32250" s="309"/>
      <c r="I32250" s="309"/>
      <c r="J32250" s="309"/>
    </row>
    <row r="32251">
      <c r="B32251" s="309"/>
      <c r="C32251" s="309"/>
      <c r="I32251" s="309"/>
      <c r="J32251" s="309"/>
    </row>
    <row r="32252">
      <c r="B32252" s="309"/>
      <c r="C32252" s="309"/>
      <c r="I32252" s="309"/>
      <c r="J32252" s="309"/>
    </row>
    <row r="32253">
      <c r="B32253" s="309"/>
      <c r="C32253" s="309"/>
      <c r="I32253" s="309"/>
      <c r="J32253" s="309"/>
    </row>
    <row r="32254">
      <c r="B32254" s="309"/>
      <c r="C32254" s="309"/>
      <c r="I32254" s="309"/>
      <c r="J32254" s="309"/>
    </row>
    <row r="32255">
      <c r="B32255" s="309"/>
      <c r="C32255" s="309"/>
      <c r="I32255" s="309"/>
      <c r="J32255" s="309"/>
    </row>
    <row r="32256">
      <c r="B32256" s="309"/>
      <c r="C32256" s="309"/>
      <c r="I32256" s="309"/>
      <c r="J32256" s="309"/>
    </row>
    <row r="32257">
      <c r="B32257" s="309"/>
      <c r="C32257" s="309"/>
      <c r="I32257" s="309"/>
      <c r="J32257" s="309"/>
    </row>
    <row r="32258">
      <c r="B32258" s="309"/>
      <c r="C32258" s="309"/>
      <c r="I32258" s="309"/>
      <c r="J32258" s="309"/>
    </row>
    <row r="32259">
      <c r="B32259" s="309"/>
      <c r="C32259" s="309"/>
      <c r="I32259" s="309"/>
      <c r="J32259" s="309"/>
    </row>
    <row r="32260">
      <c r="B32260" s="309"/>
      <c r="C32260" s="309"/>
      <c r="I32260" s="309"/>
      <c r="J32260" s="309"/>
    </row>
    <row r="32261">
      <c r="B32261" s="309"/>
      <c r="C32261" s="309"/>
      <c r="I32261" s="309"/>
      <c r="J32261" s="309"/>
    </row>
    <row r="32262">
      <c r="B32262" s="309"/>
      <c r="C32262" s="309"/>
      <c r="I32262" s="309"/>
      <c r="J32262" s="309"/>
    </row>
    <row r="32263">
      <c r="B32263" s="309"/>
      <c r="C32263" s="309"/>
      <c r="I32263" s="309"/>
      <c r="J32263" s="309"/>
    </row>
    <row r="32264">
      <c r="B32264" s="309"/>
      <c r="C32264" s="309"/>
      <c r="I32264" s="309"/>
      <c r="J32264" s="309"/>
    </row>
    <row r="32265">
      <c r="B32265" s="309"/>
      <c r="C32265" s="309"/>
      <c r="I32265" s="309"/>
      <c r="J32265" s="309"/>
    </row>
    <row r="32266">
      <c r="B32266" s="309"/>
      <c r="C32266" s="309"/>
      <c r="I32266" s="309"/>
      <c r="J32266" s="309"/>
    </row>
    <row r="32267">
      <c r="B32267" s="309"/>
      <c r="C32267" s="309"/>
      <c r="I32267" s="309"/>
      <c r="J32267" s="309"/>
    </row>
    <row r="32268">
      <c r="B32268" s="309"/>
      <c r="C32268" s="309"/>
      <c r="I32268" s="309"/>
      <c r="J32268" s="309"/>
    </row>
    <row r="32269">
      <c r="B32269" s="309"/>
      <c r="C32269" s="309"/>
      <c r="I32269" s="309"/>
      <c r="J32269" s="309"/>
    </row>
    <row r="32270">
      <c r="B32270" s="309"/>
      <c r="C32270" s="309"/>
      <c r="I32270" s="309"/>
      <c r="J32270" s="309"/>
    </row>
    <row r="32271">
      <c r="B32271" s="309"/>
      <c r="C32271" s="309"/>
      <c r="I32271" s="309"/>
      <c r="J32271" s="309"/>
    </row>
    <row r="32272">
      <c r="B32272" s="309"/>
      <c r="C32272" s="309"/>
      <c r="I32272" s="309"/>
      <c r="J32272" s="309"/>
    </row>
    <row r="32273">
      <c r="B32273" s="309"/>
      <c r="C32273" s="309"/>
      <c r="I32273" s="309"/>
      <c r="J32273" s="309"/>
    </row>
    <row r="32274">
      <c r="B32274" s="309"/>
      <c r="C32274" s="309"/>
      <c r="I32274" s="309"/>
      <c r="J32274" s="309"/>
    </row>
    <row r="32275">
      <c r="B32275" s="309"/>
      <c r="C32275" s="309"/>
      <c r="I32275" s="309"/>
      <c r="J32275" s="309"/>
    </row>
    <row r="32276">
      <c r="B32276" s="309"/>
      <c r="C32276" s="309"/>
      <c r="I32276" s="309"/>
      <c r="J32276" s="309"/>
    </row>
    <row r="32277">
      <c r="B32277" s="309"/>
      <c r="C32277" s="309"/>
      <c r="I32277" s="309"/>
      <c r="J32277" s="309"/>
    </row>
    <row r="32278">
      <c r="B32278" s="309"/>
      <c r="C32278" s="309"/>
      <c r="I32278" s="309"/>
      <c r="J32278" s="309"/>
    </row>
    <row r="32279">
      <c r="B32279" s="309"/>
      <c r="C32279" s="309"/>
      <c r="I32279" s="309"/>
      <c r="J32279" s="309"/>
    </row>
    <row r="32280">
      <c r="B32280" s="309"/>
      <c r="C32280" s="309"/>
      <c r="I32280" s="309"/>
      <c r="J32280" s="309"/>
    </row>
    <row r="32281">
      <c r="B32281" s="309"/>
      <c r="C32281" s="309"/>
      <c r="I32281" s="309"/>
      <c r="J32281" s="309"/>
    </row>
    <row r="32282">
      <c r="B32282" s="309"/>
      <c r="C32282" s="309"/>
      <c r="I32282" s="309"/>
      <c r="J32282" s="309"/>
    </row>
    <row r="32283">
      <c r="B32283" s="309"/>
      <c r="C32283" s="309"/>
      <c r="I32283" s="309"/>
      <c r="J32283" s="309"/>
    </row>
    <row r="32284">
      <c r="B32284" s="309"/>
      <c r="C32284" s="309"/>
      <c r="I32284" s="309"/>
      <c r="J32284" s="309"/>
    </row>
    <row r="32285">
      <c r="B32285" s="309"/>
      <c r="C32285" s="309"/>
      <c r="I32285" s="309"/>
      <c r="J32285" s="309"/>
    </row>
    <row r="32286">
      <c r="B32286" s="309"/>
      <c r="C32286" s="309"/>
      <c r="I32286" s="309"/>
      <c r="J32286" s="309"/>
    </row>
    <row r="32287">
      <c r="B32287" s="309"/>
      <c r="C32287" s="309"/>
      <c r="I32287" s="309"/>
      <c r="J32287" s="309"/>
    </row>
    <row r="32288">
      <c r="B32288" s="309"/>
      <c r="C32288" s="309"/>
      <c r="I32288" s="309"/>
      <c r="J32288" s="309"/>
    </row>
    <row r="32289">
      <c r="B32289" s="309"/>
      <c r="C32289" s="309"/>
      <c r="I32289" s="309"/>
      <c r="J32289" s="309"/>
    </row>
    <row r="32290">
      <c r="B32290" s="309"/>
      <c r="C32290" s="309"/>
      <c r="I32290" s="309"/>
      <c r="J32290" s="309"/>
    </row>
    <row r="32291">
      <c r="B32291" s="309"/>
      <c r="C32291" s="309"/>
      <c r="I32291" s="309"/>
      <c r="J32291" s="309"/>
    </row>
    <row r="32292">
      <c r="B32292" s="309"/>
      <c r="C32292" s="309"/>
      <c r="I32292" s="309"/>
      <c r="J32292" s="309"/>
    </row>
    <row r="32293">
      <c r="B32293" s="309"/>
      <c r="C32293" s="309"/>
      <c r="I32293" s="309"/>
      <c r="J32293" s="309"/>
    </row>
    <row r="32294">
      <c r="B32294" s="309"/>
      <c r="C32294" s="309"/>
      <c r="I32294" s="309"/>
      <c r="J32294" s="309"/>
    </row>
    <row r="32295">
      <c r="B32295" s="309"/>
      <c r="C32295" s="309"/>
      <c r="I32295" s="309"/>
      <c r="J32295" s="309"/>
    </row>
    <row r="32296">
      <c r="B32296" s="309"/>
      <c r="C32296" s="309"/>
      <c r="I32296" s="309"/>
      <c r="J32296" s="309"/>
    </row>
    <row r="32297">
      <c r="B32297" s="309"/>
      <c r="C32297" s="309"/>
      <c r="I32297" s="309"/>
      <c r="J32297" s="309"/>
    </row>
    <row r="32298">
      <c r="B32298" s="309"/>
      <c r="C32298" s="309"/>
      <c r="I32298" s="309"/>
      <c r="J32298" s="309"/>
    </row>
    <row r="32299">
      <c r="B32299" s="309"/>
      <c r="C32299" s="309"/>
      <c r="I32299" s="309"/>
      <c r="J32299" s="309"/>
    </row>
    <row r="32300">
      <c r="B32300" s="309"/>
      <c r="C32300" s="309"/>
      <c r="I32300" s="309"/>
      <c r="J32300" s="309"/>
    </row>
    <row r="32301">
      <c r="B32301" s="309"/>
      <c r="C32301" s="309"/>
      <c r="I32301" s="309"/>
      <c r="J32301" s="309"/>
    </row>
    <row r="32302">
      <c r="B32302" s="309"/>
      <c r="C32302" s="309"/>
      <c r="I32302" s="309"/>
      <c r="J32302" s="309"/>
    </row>
    <row r="32303">
      <c r="B32303" s="309"/>
      <c r="C32303" s="309"/>
      <c r="I32303" s="309"/>
      <c r="J32303" s="309"/>
    </row>
    <row r="32304">
      <c r="B32304" s="309"/>
      <c r="C32304" s="309"/>
      <c r="I32304" s="309"/>
      <c r="J32304" s="309"/>
    </row>
    <row r="32305">
      <c r="B32305" s="309"/>
      <c r="C32305" s="309"/>
      <c r="I32305" s="309"/>
      <c r="J32305" s="309"/>
    </row>
    <row r="32306">
      <c r="B32306" s="309"/>
      <c r="C32306" s="309"/>
      <c r="I32306" s="309"/>
      <c r="J32306" s="309"/>
    </row>
    <row r="32307">
      <c r="B32307" s="309"/>
      <c r="C32307" s="309"/>
      <c r="I32307" s="309"/>
      <c r="J32307" s="309"/>
    </row>
    <row r="32308">
      <c r="B32308" s="309"/>
      <c r="C32308" s="309"/>
      <c r="I32308" s="309"/>
      <c r="J32308" s="309"/>
    </row>
    <row r="32309">
      <c r="B32309" s="309"/>
      <c r="C32309" s="309"/>
      <c r="I32309" s="309"/>
      <c r="J32309" s="309"/>
    </row>
    <row r="32310">
      <c r="B32310" s="309"/>
      <c r="C32310" s="309"/>
      <c r="I32310" s="309"/>
      <c r="J32310" s="309"/>
    </row>
    <row r="32311">
      <c r="B32311" s="309"/>
      <c r="C32311" s="309"/>
      <c r="I32311" s="309"/>
      <c r="J32311" s="309"/>
    </row>
    <row r="32312">
      <c r="B32312" s="309"/>
      <c r="C32312" s="309"/>
      <c r="I32312" s="309"/>
      <c r="J32312" s="309"/>
    </row>
    <row r="32313">
      <c r="B32313" s="309"/>
      <c r="C32313" s="309"/>
      <c r="I32313" s="309"/>
      <c r="J32313" s="309"/>
    </row>
    <row r="32314">
      <c r="B32314" s="309"/>
      <c r="C32314" s="309"/>
      <c r="I32314" s="309"/>
      <c r="J32314" s="309"/>
    </row>
    <row r="32315">
      <c r="B32315" s="309"/>
      <c r="C32315" s="309"/>
      <c r="I32315" s="309"/>
      <c r="J32315" s="309"/>
    </row>
    <row r="32316">
      <c r="B32316" s="309"/>
      <c r="C32316" s="309"/>
      <c r="I32316" s="309"/>
      <c r="J32316" s="309"/>
    </row>
    <row r="32317">
      <c r="B32317" s="309"/>
      <c r="C32317" s="309"/>
      <c r="I32317" s="309"/>
      <c r="J32317" s="309"/>
    </row>
    <row r="32318">
      <c r="B32318" s="309"/>
      <c r="C32318" s="309"/>
      <c r="I32318" s="309"/>
      <c r="J32318" s="309"/>
    </row>
    <row r="32319">
      <c r="B32319" s="309"/>
      <c r="C32319" s="309"/>
      <c r="I32319" s="309"/>
      <c r="J32319" s="309"/>
    </row>
    <row r="32320">
      <c r="B32320" s="309"/>
      <c r="C32320" s="309"/>
      <c r="I32320" s="309"/>
      <c r="J32320" s="309"/>
    </row>
    <row r="32321">
      <c r="B32321" s="309"/>
      <c r="C32321" s="309"/>
      <c r="I32321" s="309"/>
      <c r="J32321" s="309"/>
    </row>
    <row r="32322">
      <c r="B32322" s="309"/>
      <c r="C32322" s="309"/>
      <c r="I32322" s="309"/>
      <c r="J32322" s="309"/>
    </row>
    <row r="32323">
      <c r="B32323" s="309"/>
      <c r="C32323" s="309"/>
      <c r="I32323" s="309"/>
      <c r="J32323" s="309"/>
    </row>
    <row r="32324">
      <c r="B32324" s="309"/>
      <c r="C32324" s="309"/>
      <c r="I32324" s="309"/>
      <c r="J32324" s="309"/>
    </row>
    <row r="32325">
      <c r="B32325" s="309"/>
      <c r="C32325" s="309"/>
      <c r="I32325" s="309"/>
      <c r="J32325" s="309"/>
    </row>
    <row r="32326">
      <c r="B32326" s="309"/>
      <c r="C32326" s="309"/>
      <c r="I32326" s="309"/>
      <c r="J32326" s="309"/>
    </row>
    <row r="32327">
      <c r="B32327" s="309"/>
      <c r="C32327" s="309"/>
      <c r="I32327" s="309"/>
      <c r="J32327" s="309"/>
    </row>
    <row r="32328">
      <c r="B32328" s="309"/>
      <c r="C32328" s="309"/>
      <c r="I32328" s="309"/>
      <c r="J32328" s="309"/>
    </row>
    <row r="32329">
      <c r="B32329" s="309"/>
      <c r="C32329" s="309"/>
      <c r="I32329" s="309"/>
      <c r="J32329" s="309"/>
    </row>
    <row r="32330">
      <c r="B32330" s="309"/>
      <c r="C32330" s="309"/>
      <c r="I32330" s="309"/>
      <c r="J32330" s="309"/>
    </row>
    <row r="32331">
      <c r="B32331" s="309"/>
      <c r="C32331" s="309"/>
      <c r="I32331" s="309"/>
      <c r="J32331" s="309"/>
    </row>
    <row r="32332">
      <c r="B32332" s="309"/>
      <c r="C32332" s="309"/>
      <c r="I32332" s="309"/>
      <c r="J32332" s="309"/>
    </row>
    <row r="32333">
      <c r="B32333" s="309"/>
      <c r="C32333" s="309"/>
      <c r="I32333" s="309"/>
      <c r="J32333" s="309"/>
    </row>
    <row r="32334">
      <c r="B32334" s="309"/>
      <c r="C32334" s="309"/>
      <c r="I32334" s="309"/>
      <c r="J32334" s="309"/>
    </row>
    <row r="32335">
      <c r="B32335" s="309"/>
      <c r="C32335" s="309"/>
      <c r="I32335" s="309"/>
      <c r="J32335" s="309"/>
    </row>
    <row r="32336">
      <c r="B32336" s="309"/>
      <c r="C32336" s="309"/>
      <c r="I32336" s="309"/>
      <c r="J32336" s="309"/>
    </row>
    <row r="32337">
      <c r="B32337" s="309"/>
      <c r="C32337" s="309"/>
      <c r="I32337" s="309"/>
      <c r="J32337" s="309"/>
    </row>
    <row r="32338">
      <c r="B32338" s="309"/>
      <c r="C32338" s="309"/>
      <c r="I32338" s="309"/>
      <c r="J32338" s="309"/>
    </row>
    <row r="32339">
      <c r="B32339" s="309"/>
      <c r="C32339" s="309"/>
      <c r="I32339" s="309"/>
      <c r="J32339" s="309"/>
    </row>
    <row r="32340">
      <c r="B32340" s="309"/>
      <c r="C32340" s="309"/>
      <c r="I32340" s="309"/>
      <c r="J32340" s="309"/>
    </row>
    <row r="32341">
      <c r="B32341" s="309"/>
      <c r="C32341" s="309"/>
      <c r="I32341" s="309"/>
      <c r="J32341" s="309"/>
    </row>
    <row r="32342">
      <c r="B32342" s="309"/>
      <c r="C32342" s="309"/>
      <c r="I32342" s="309"/>
      <c r="J32342" s="309"/>
    </row>
    <row r="32343">
      <c r="B32343" s="309"/>
      <c r="C32343" s="309"/>
      <c r="I32343" s="309"/>
      <c r="J32343" s="309"/>
    </row>
    <row r="32344">
      <c r="B32344" s="309"/>
      <c r="C32344" s="309"/>
      <c r="I32344" s="309"/>
      <c r="J32344" s="309"/>
    </row>
    <row r="32345">
      <c r="B32345" s="309"/>
      <c r="C32345" s="309"/>
      <c r="I32345" s="309"/>
      <c r="J32345" s="309"/>
    </row>
    <row r="32346">
      <c r="B32346" s="309"/>
      <c r="C32346" s="309"/>
      <c r="I32346" s="309"/>
      <c r="J32346" s="309"/>
    </row>
    <row r="32347">
      <c r="B32347" s="309"/>
      <c r="C32347" s="309"/>
      <c r="I32347" s="309"/>
      <c r="J32347" s="309"/>
    </row>
    <row r="32348">
      <c r="B32348" s="309"/>
      <c r="C32348" s="309"/>
      <c r="I32348" s="309"/>
      <c r="J32348" s="309"/>
    </row>
    <row r="32349">
      <c r="B32349" s="309"/>
      <c r="C32349" s="309"/>
      <c r="I32349" s="309"/>
      <c r="J32349" s="309"/>
    </row>
    <row r="32350">
      <c r="B32350" s="309"/>
      <c r="C32350" s="309"/>
      <c r="I32350" s="309"/>
      <c r="J32350" s="309"/>
    </row>
    <row r="32351">
      <c r="B32351" s="309"/>
      <c r="C32351" s="309"/>
      <c r="I32351" s="309"/>
      <c r="J32351" s="309"/>
    </row>
    <row r="32352">
      <c r="B32352" s="309"/>
      <c r="C32352" s="309"/>
      <c r="I32352" s="309"/>
      <c r="J32352" s="309"/>
    </row>
    <row r="32353">
      <c r="B32353" s="309"/>
      <c r="C32353" s="309"/>
      <c r="I32353" s="309"/>
      <c r="J32353" s="309"/>
    </row>
    <row r="32354">
      <c r="B32354" s="309"/>
      <c r="C32354" s="309"/>
      <c r="I32354" s="309"/>
      <c r="J32354" s="309"/>
    </row>
    <row r="32355">
      <c r="B32355" s="309"/>
      <c r="C32355" s="309"/>
      <c r="I32355" s="309"/>
      <c r="J32355" s="309"/>
    </row>
    <row r="32356">
      <c r="B32356" s="309"/>
      <c r="C32356" s="309"/>
      <c r="I32356" s="309"/>
      <c r="J32356" s="309"/>
    </row>
    <row r="32357">
      <c r="B32357" s="309"/>
      <c r="C32357" s="309"/>
      <c r="I32357" s="309"/>
      <c r="J32357" s="309"/>
    </row>
    <row r="32358">
      <c r="B32358" s="309"/>
      <c r="C32358" s="309"/>
      <c r="I32358" s="309"/>
      <c r="J32358" s="309"/>
    </row>
    <row r="32359">
      <c r="B32359" s="309"/>
      <c r="C32359" s="309"/>
      <c r="I32359" s="309"/>
      <c r="J32359" s="309"/>
    </row>
    <row r="32360">
      <c r="B32360" s="309"/>
      <c r="C32360" s="309"/>
      <c r="I32360" s="309"/>
      <c r="J32360" s="309"/>
    </row>
    <row r="32361">
      <c r="B32361" s="309"/>
      <c r="C32361" s="309"/>
      <c r="I32361" s="309"/>
      <c r="J32361" s="309"/>
    </row>
    <row r="32362">
      <c r="B32362" s="309"/>
      <c r="C32362" s="309"/>
      <c r="I32362" s="309"/>
      <c r="J32362" s="309"/>
    </row>
    <row r="32363">
      <c r="B32363" s="309"/>
      <c r="C32363" s="309"/>
      <c r="I32363" s="309"/>
      <c r="J32363" s="309"/>
    </row>
    <row r="32364">
      <c r="B32364" s="309"/>
      <c r="C32364" s="309"/>
      <c r="I32364" s="309"/>
      <c r="J32364" s="309"/>
    </row>
    <row r="32365">
      <c r="B32365" s="309"/>
      <c r="C32365" s="309"/>
      <c r="I32365" s="309"/>
      <c r="J32365" s="309"/>
    </row>
    <row r="32366">
      <c r="B32366" s="309"/>
      <c r="C32366" s="309"/>
      <c r="I32366" s="309"/>
      <c r="J32366" s="309"/>
    </row>
    <row r="32367">
      <c r="B32367" s="309"/>
      <c r="C32367" s="309"/>
      <c r="I32367" s="309"/>
      <c r="J32367" s="309"/>
    </row>
    <row r="32368">
      <c r="B32368" s="309"/>
      <c r="C32368" s="309"/>
      <c r="I32368" s="309"/>
      <c r="J32368" s="309"/>
    </row>
    <row r="32369">
      <c r="B32369" s="309"/>
      <c r="C32369" s="309"/>
      <c r="I32369" s="309"/>
      <c r="J32369" s="309"/>
    </row>
    <row r="32370">
      <c r="B32370" s="309"/>
      <c r="C32370" s="309"/>
      <c r="I32370" s="309"/>
      <c r="J32370" s="309"/>
    </row>
    <row r="32371">
      <c r="B32371" s="309"/>
      <c r="C32371" s="309"/>
      <c r="I32371" s="309"/>
      <c r="J32371" s="309"/>
    </row>
    <row r="32372">
      <c r="B32372" s="309"/>
      <c r="C32372" s="309"/>
      <c r="I32372" s="309"/>
      <c r="J32372" s="309"/>
    </row>
    <row r="32373">
      <c r="B32373" s="309"/>
      <c r="C32373" s="309"/>
      <c r="I32373" s="309"/>
      <c r="J32373" s="309"/>
    </row>
    <row r="32374">
      <c r="B32374" s="309"/>
      <c r="C32374" s="309"/>
      <c r="I32374" s="309"/>
      <c r="J32374" s="309"/>
    </row>
    <row r="32375">
      <c r="B32375" s="309"/>
      <c r="C32375" s="309"/>
      <c r="I32375" s="309"/>
      <c r="J32375" s="309"/>
    </row>
    <row r="32376">
      <c r="B32376" s="309"/>
      <c r="C32376" s="309"/>
      <c r="I32376" s="309"/>
      <c r="J32376" s="309"/>
    </row>
    <row r="32377">
      <c r="B32377" s="309"/>
      <c r="C32377" s="309"/>
      <c r="I32377" s="309"/>
      <c r="J32377" s="309"/>
    </row>
    <row r="32378">
      <c r="B32378" s="309"/>
      <c r="C32378" s="309"/>
      <c r="I32378" s="309"/>
      <c r="J32378" s="309"/>
    </row>
    <row r="32379">
      <c r="B32379" s="309"/>
      <c r="C32379" s="309"/>
      <c r="I32379" s="309"/>
      <c r="J32379" s="309"/>
    </row>
    <row r="32380">
      <c r="B32380" s="309"/>
      <c r="C32380" s="309"/>
      <c r="I32380" s="309"/>
      <c r="J32380" s="309"/>
    </row>
    <row r="32381">
      <c r="B32381" s="309"/>
      <c r="C32381" s="309"/>
      <c r="I32381" s="309"/>
      <c r="J32381" s="309"/>
    </row>
    <row r="32382">
      <c r="B32382" s="309"/>
      <c r="C32382" s="309"/>
      <c r="I32382" s="309"/>
      <c r="J32382" s="309"/>
    </row>
    <row r="32383">
      <c r="B32383" s="309"/>
      <c r="C32383" s="309"/>
      <c r="I32383" s="309"/>
      <c r="J32383" s="309"/>
    </row>
    <row r="32384">
      <c r="B32384" s="309"/>
      <c r="C32384" s="309"/>
      <c r="I32384" s="309"/>
      <c r="J32384" s="309"/>
    </row>
    <row r="32385">
      <c r="B32385" s="309"/>
      <c r="C32385" s="309"/>
      <c r="I32385" s="309"/>
      <c r="J32385" s="309"/>
    </row>
    <row r="32386">
      <c r="B32386" s="309"/>
      <c r="C32386" s="309"/>
      <c r="I32386" s="309"/>
      <c r="J32386" s="309"/>
    </row>
    <row r="32387">
      <c r="B32387" s="309"/>
      <c r="C32387" s="309"/>
      <c r="I32387" s="309"/>
      <c r="J32387" s="309"/>
    </row>
    <row r="32388">
      <c r="B32388" s="309"/>
      <c r="C32388" s="309"/>
      <c r="I32388" s="309"/>
      <c r="J32388" s="309"/>
    </row>
    <row r="32389">
      <c r="B32389" s="309"/>
      <c r="C32389" s="309"/>
      <c r="I32389" s="309"/>
      <c r="J32389" s="309"/>
    </row>
    <row r="32390">
      <c r="B32390" s="309"/>
      <c r="C32390" s="309"/>
      <c r="I32390" s="309"/>
      <c r="J32390" s="309"/>
    </row>
    <row r="32391">
      <c r="B32391" s="309"/>
      <c r="C32391" s="309"/>
      <c r="I32391" s="309"/>
      <c r="J32391" s="309"/>
    </row>
    <row r="32392">
      <c r="B32392" s="309"/>
      <c r="C32392" s="309"/>
      <c r="I32392" s="309"/>
      <c r="J32392" s="309"/>
    </row>
    <row r="32393">
      <c r="B32393" s="309"/>
      <c r="C32393" s="309"/>
      <c r="I32393" s="309"/>
      <c r="J32393" s="309"/>
    </row>
    <row r="32394">
      <c r="B32394" s="309"/>
      <c r="C32394" s="309"/>
      <c r="I32394" s="309"/>
      <c r="J32394" s="309"/>
    </row>
    <row r="32395">
      <c r="B32395" s="309"/>
      <c r="C32395" s="309"/>
      <c r="I32395" s="309"/>
      <c r="J32395" s="309"/>
    </row>
    <row r="32396">
      <c r="B32396" s="309"/>
      <c r="C32396" s="309"/>
      <c r="I32396" s="309"/>
      <c r="J32396" s="309"/>
    </row>
    <row r="32397">
      <c r="B32397" s="309"/>
      <c r="C32397" s="309"/>
      <c r="I32397" s="309"/>
      <c r="J32397" s="309"/>
    </row>
    <row r="32398">
      <c r="B32398" s="309"/>
      <c r="C32398" s="309"/>
      <c r="I32398" s="309"/>
      <c r="J32398" s="309"/>
    </row>
    <row r="32399">
      <c r="B32399" s="309"/>
      <c r="C32399" s="309"/>
      <c r="I32399" s="309"/>
      <c r="J32399" s="309"/>
    </row>
    <row r="32400">
      <c r="B32400" s="309"/>
      <c r="C32400" s="309"/>
      <c r="I32400" s="309"/>
      <c r="J32400" s="309"/>
    </row>
    <row r="32401">
      <c r="B32401" s="309"/>
      <c r="C32401" s="309"/>
      <c r="I32401" s="309"/>
      <c r="J32401" s="309"/>
    </row>
    <row r="32402">
      <c r="B32402" s="309"/>
      <c r="C32402" s="309"/>
      <c r="I32402" s="309"/>
      <c r="J32402" s="309"/>
    </row>
    <row r="32403">
      <c r="B32403" s="309"/>
      <c r="C32403" s="309"/>
      <c r="I32403" s="309"/>
      <c r="J32403" s="309"/>
    </row>
    <row r="32404">
      <c r="B32404" s="309"/>
      <c r="C32404" s="309"/>
      <c r="I32404" s="309"/>
      <c r="J32404" s="309"/>
    </row>
    <row r="32405">
      <c r="B32405" s="309"/>
      <c r="C32405" s="309"/>
      <c r="I32405" s="309"/>
      <c r="J32405" s="309"/>
    </row>
    <row r="32406">
      <c r="B32406" s="309"/>
      <c r="C32406" s="309"/>
      <c r="I32406" s="309"/>
      <c r="J32406" s="309"/>
    </row>
    <row r="32407">
      <c r="B32407" s="309"/>
      <c r="C32407" s="309"/>
      <c r="I32407" s="309"/>
      <c r="J32407" s="309"/>
    </row>
    <row r="32408">
      <c r="B32408" s="309"/>
      <c r="C32408" s="309"/>
      <c r="I32408" s="309"/>
      <c r="J32408" s="309"/>
    </row>
    <row r="32409">
      <c r="B32409" s="309"/>
      <c r="C32409" s="309"/>
      <c r="I32409" s="309"/>
      <c r="J32409" s="309"/>
    </row>
    <row r="32410">
      <c r="B32410" s="309"/>
      <c r="C32410" s="309"/>
      <c r="I32410" s="309"/>
      <c r="J32410" s="309"/>
    </row>
    <row r="32411">
      <c r="B32411" s="309"/>
      <c r="C32411" s="309"/>
      <c r="I32411" s="309"/>
      <c r="J32411" s="309"/>
    </row>
    <row r="32412">
      <c r="B32412" s="309"/>
      <c r="C32412" s="309"/>
      <c r="I32412" s="309"/>
      <c r="J32412" s="309"/>
    </row>
    <row r="32413">
      <c r="B32413" s="309"/>
      <c r="C32413" s="309"/>
      <c r="I32413" s="309"/>
      <c r="J32413" s="309"/>
    </row>
    <row r="32414">
      <c r="B32414" s="309"/>
      <c r="C32414" s="309"/>
      <c r="I32414" s="309"/>
      <c r="J32414" s="309"/>
    </row>
    <row r="32415">
      <c r="B32415" s="309"/>
      <c r="C32415" s="309"/>
      <c r="I32415" s="309"/>
      <c r="J32415" s="309"/>
    </row>
    <row r="32416">
      <c r="B32416" s="309"/>
      <c r="C32416" s="309"/>
      <c r="I32416" s="309"/>
      <c r="J32416" s="309"/>
    </row>
    <row r="32417">
      <c r="B32417" s="309"/>
      <c r="C32417" s="309"/>
      <c r="I32417" s="309"/>
      <c r="J32417" s="309"/>
    </row>
    <row r="32418">
      <c r="B32418" s="309"/>
      <c r="C32418" s="309"/>
      <c r="I32418" s="309"/>
      <c r="J32418" s="309"/>
    </row>
    <row r="32419">
      <c r="B32419" s="309"/>
      <c r="C32419" s="309"/>
      <c r="I32419" s="309"/>
      <c r="J32419" s="309"/>
    </row>
    <row r="32420">
      <c r="B32420" s="309"/>
      <c r="C32420" s="309"/>
      <c r="I32420" s="309"/>
      <c r="J32420" s="309"/>
    </row>
    <row r="32421">
      <c r="B32421" s="309"/>
      <c r="C32421" s="309"/>
      <c r="I32421" s="309"/>
      <c r="J32421" s="309"/>
    </row>
    <row r="32422">
      <c r="B32422" s="309"/>
      <c r="C32422" s="309"/>
      <c r="I32422" s="309"/>
      <c r="J32422" s="309"/>
    </row>
    <row r="32423">
      <c r="B32423" s="309"/>
      <c r="C32423" s="309"/>
      <c r="I32423" s="309"/>
      <c r="J32423" s="309"/>
    </row>
    <row r="32424">
      <c r="B32424" s="309"/>
      <c r="C32424" s="309"/>
      <c r="I32424" s="309"/>
      <c r="J32424" s="309"/>
    </row>
    <row r="32425">
      <c r="B32425" s="309"/>
      <c r="C32425" s="309"/>
      <c r="I32425" s="309"/>
      <c r="J32425" s="309"/>
    </row>
    <row r="32426">
      <c r="B32426" s="309"/>
      <c r="C32426" s="309"/>
      <c r="I32426" s="309"/>
      <c r="J32426" s="309"/>
    </row>
    <row r="32427">
      <c r="B32427" s="309"/>
      <c r="C32427" s="309"/>
      <c r="I32427" s="309"/>
      <c r="J32427" s="309"/>
    </row>
    <row r="32428">
      <c r="B32428" s="309"/>
      <c r="C32428" s="309"/>
      <c r="I32428" s="309"/>
      <c r="J32428" s="309"/>
    </row>
    <row r="32429">
      <c r="B32429" s="309"/>
      <c r="C32429" s="309"/>
      <c r="I32429" s="309"/>
      <c r="J32429" s="309"/>
    </row>
    <row r="32430">
      <c r="B32430" s="309"/>
      <c r="C32430" s="309"/>
      <c r="I32430" s="309"/>
      <c r="J32430" s="309"/>
    </row>
    <row r="32431">
      <c r="B32431" s="309"/>
      <c r="C32431" s="309"/>
      <c r="I32431" s="309"/>
      <c r="J32431" s="309"/>
    </row>
    <row r="32432">
      <c r="B32432" s="309"/>
      <c r="C32432" s="309"/>
      <c r="I32432" s="309"/>
      <c r="J32432" s="309"/>
    </row>
    <row r="32433">
      <c r="B32433" s="309"/>
      <c r="C32433" s="309"/>
      <c r="I32433" s="309"/>
      <c r="J32433" s="309"/>
    </row>
    <row r="32434">
      <c r="B32434" s="309"/>
      <c r="C32434" s="309"/>
      <c r="I32434" s="309"/>
      <c r="J32434" s="309"/>
    </row>
    <row r="32435">
      <c r="B32435" s="309"/>
      <c r="C32435" s="309"/>
      <c r="I32435" s="309"/>
      <c r="J32435" s="309"/>
    </row>
    <row r="32436">
      <c r="B32436" s="309"/>
      <c r="C32436" s="309"/>
      <c r="I32436" s="309"/>
      <c r="J32436" s="309"/>
    </row>
    <row r="32437">
      <c r="B32437" s="309"/>
      <c r="C32437" s="309"/>
      <c r="I32437" s="309"/>
      <c r="J32437" s="309"/>
    </row>
    <row r="32438">
      <c r="B32438" s="309"/>
      <c r="C32438" s="309"/>
      <c r="I32438" s="309"/>
      <c r="J32438" s="309"/>
    </row>
    <row r="32439">
      <c r="B32439" s="309"/>
      <c r="C32439" s="309"/>
      <c r="I32439" s="309"/>
      <c r="J32439" s="309"/>
    </row>
    <row r="32440">
      <c r="B32440" s="309"/>
      <c r="C32440" s="309"/>
      <c r="I32440" s="309"/>
      <c r="J32440" s="309"/>
    </row>
    <row r="32441">
      <c r="B32441" s="309"/>
      <c r="C32441" s="309"/>
      <c r="I32441" s="309"/>
      <c r="J32441" s="309"/>
    </row>
    <row r="32442">
      <c r="B32442" s="309"/>
      <c r="C32442" s="309"/>
      <c r="I32442" s="309"/>
      <c r="J32442" s="309"/>
    </row>
    <row r="32443">
      <c r="B32443" s="309"/>
      <c r="C32443" s="309"/>
      <c r="I32443" s="309"/>
      <c r="J32443" s="309"/>
    </row>
    <row r="32444">
      <c r="B32444" s="309"/>
      <c r="C32444" s="309"/>
      <c r="I32444" s="309"/>
      <c r="J32444" s="309"/>
    </row>
    <row r="32445">
      <c r="B32445" s="309"/>
      <c r="C32445" s="309"/>
      <c r="I32445" s="309"/>
      <c r="J32445" s="309"/>
    </row>
    <row r="32446">
      <c r="B32446" s="309"/>
      <c r="C32446" s="309"/>
      <c r="I32446" s="309"/>
      <c r="J32446" s="309"/>
    </row>
    <row r="32447">
      <c r="B32447" s="309"/>
      <c r="C32447" s="309"/>
      <c r="I32447" s="309"/>
      <c r="J32447" s="309"/>
    </row>
    <row r="32448">
      <c r="B32448" s="309"/>
      <c r="C32448" s="309"/>
      <c r="I32448" s="309"/>
      <c r="J32448" s="309"/>
    </row>
    <row r="32449">
      <c r="B32449" s="309"/>
      <c r="C32449" s="309"/>
      <c r="I32449" s="309"/>
      <c r="J32449" s="309"/>
    </row>
    <row r="32450">
      <c r="B32450" s="309"/>
      <c r="C32450" s="309"/>
      <c r="I32450" s="309"/>
      <c r="J32450" s="309"/>
    </row>
    <row r="32451">
      <c r="B32451" s="309"/>
      <c r="C32451" s="309"/>
      <c r="I32451" s="309"/>
      <c r="J32451" s="309"/>
    </row>
    <row r="32452">
      <c r="B32452" s="309"/>
      <c r="C32452" s="309"/>
      <c r="I32452" s="309"/>
      <c r="J32452" s="309"/>
    </row>
    <row r="32453">
      <c r="B32453" s="309"/>
      <c r="C32453" s="309"/>
      <c r="I32453" s="309"/>
      <c r="J32453" s="309"/>
    </row>
    <row r="32454">
      <c r="B32454" s="309"/>
      <c r="C32454" s="309"/>
      <c r="I32454" s="309"/>
      <c r="J32454" s="309"/>
    </row>
    <row r="32455">
      <c r="B32455" s="309"/>
      <c r="C32455" s="309"/>
      <c r="I32455" s="309"/>
      <c r="J32455" s="309"/>
    </row>
    <row r="32456">
      <c r="B32456" s="309"/>
      <c r="C32456" s="309"/>
      <c r="I32456" s="309"/>
      <c r="J32456" s="309"/>
    </row>
    <row r="32457">
      <c r="B32457" s="309"/>
      <c r="C32457" s="309"/>
      <c r="I32457" s="309"/>
      <c r="J32457" s="309"/>
    </row>
    <row r="32458">
      <c r="B32458" s="309"/>
      <c r="C32458" s="309"/>
      <c r="I32458" s="309"/>
      <c r="J32458" s="309"/>
    </row>
    <row r="32459">
      <c r="B32459" s="309"/>
      <c r="C32459" s="309"/>
      <c r="I32459" s="309"/>
      <c r="J32459" s="309"/>
    </row>
    <row r="32460">
      <c r="B32460" s="309"/>
      <c r="C32460" s="309"/>
      <c r="I32460" s="309"/>
      <c r="J32460" s="309"/>
    </row>
    <row r="32461">
      <c r="B32461" s="309"/>
      <c r="C32461" s="309"/>
      <c r="I32461" s="309"/>
      <c r="J32461" s="309"/>
    </row>
    <row r="32462">
      <c r="B32462" s="309"/>
      <c r="C32462" s="309"/>
      <c r="I32462" s="309"/>
      <c r="J32462" s="309"/>
    </row>
    <row r="32463">
      <c r="B32463" s="309"/>
      <c r="C32463" s="309"/>
      <c r="I32463" s="309"/>
      <c r="J32463" s="309"/>
    </row>
    <row r="32464">
      <c r="B32464" s="309"/>
      <c r="C32464" s="309"/>
      <c r="I32464" s="309"/>
      <c r="J32464" s="309"/>
    </row>
    <row r="32465">
      <c r="B32465" s="309"/>
      <c r="C32465" s="309"/>
      <c r="I32465" s="309"/>
      <c r="J32465" s="309"/>
    </row>
    <row r="32466">
      <c r="B32466" s="309"/>
      <c r="C32466" s="309"/>
      <c r="I32466" s="309"/>
      <c r="J32466" s="309"/>
    </row>
    <row r="32467">
      <c r="B32467" s="309"/>
      <c r="C32467" s="309"/>
      <c r="I32467" s="309"/>
      <c r="J32467" s="309"/>
    </row>
    <row r="32468">
      <c r="B32468" s="309"/>
      <c r="C32468" s="309"/>
      <c r="I32468" s="309"/>
      <c r="J32468" s="309"/>
    </row>
    <row r="32469">
      <c r="B32469" s="309"/>
      <c r="C32469" s="309"/>
      <c r="I32469" s="309"/>
      <c r="J32469" s="309"/>
    </row>
    <row r="32470">
      <c r="B32470" s="309"/>
      <c r="C32470" s="309"/>
      <c r="I32470" s="309"/>
      <c r="J32470" s="309"/>
    </row>
    <row r="32471">
      <c r="B32471" s="309"/>
      <c r="C32471" s="309"/>
      <c r="I32471" s="309"/>
      <c r="J32471" s="309"/>
    </row>
    <row r="32472">
      <c r="B32472" s="309"/>
      <c r="C32472" s="309"/>
      <c r="I32472" s="309"/>
      <c r="J32472" s="309"/>
    </row>
    <row r="32473">
      <c r="B32473" s="309"/>
      <c r="C32473" s="309"/>
      <c r="I32473" s="309"/>
      <c r="J32473" s="309"/>
    </row>
    <row r="32474">
      <c r="B32474" s="309"/>
      <c r="C32474" s="309"/>
      <c r="I32474" s="309"/>
      <c r="J32474" s="309"/>
    </row>
    <row r="32475">
      <c r="B32475" s="309"/>
      <c r="C32475" s="309"/>
      <c r="I32475" s="309"/>
      <c r="J32475" s="309"/>
    </row>
    <row r="32476">
      <c r="B32476" s="309"/>
      <c r="C32476" s="309"/>
      <c r="I32476" s="309"/>
      <c r="J32476" s="309"/>
    </row>
    <row r="32477">
      <c r="B32477" s="309"/>
      <c r="C32477" s="309"/>
      <c r="I32477" s="309"/>
      <c r="J32477" s="309"/>
    </row>
    <row r="32478">
      <c r="B32478" s="309"/>
      <c r="C32478" s="309"/>
      <c r="I32478" s="309"/>
      <c r="J32478" s="309"/>
    </row>
    <row r="32479">
      <c r="B32479" s="309"/>
      <c r="C32479" s="309"/>
      <c r="I32479" s="309"/>
      <c r="J32479" s="309"/>
    </row>
    <row r="32480">
      <c r="B32480" s="309"/>
      <c r="C32480" s="309"/>
      <c r="I32480" s="309"/>
      <c r="J32480" s="309"/>
    </row>
    <row r="32481">
      <c r="B32481" s="309"/>
      <c r="C32481" s="309"/>
      <c r="I32481" s="309"/>
      <c r="J32481" s="309"/>
    </row>
    <row r="32482">
      <c r="B32482" s="309"/>
      <c r="C32482" s="309"/>
      <c r="I32482" s="309"/>
      <c r="J32482" s="309"/>
    </row>
    <row r="32483">
      <c r="B32483" s="309"/>
      <c r="C32483" s="309"/>
      <c r="I32483" s="309"/>
      <c r="J32483" s="309"/>
    </row>
    <row r="32484">
      <c r="B32484" s="309"/>
      <c r="C32484" s="309"/>
      <c r="I32484" s="309"/>
      <c r="J32484" s="309"/>
    </row>
    <row r="32485">
      <c r="B32485" s="309"/>
      <c r="C32485" s="309"/>
      <c r="I32485" s="309"/>
      <c r="J32485" s="309"/>
    </row>
    <row r="32486">
      <c r="B32486" s="309"/>
      <c r="C32486" s="309"/>
      <c r="I32486" s="309"/>
      <c r="J32486" s="309"/>
    </row>
    <row r="32487">
      <c r="B32487" s="309"/>
      <c r="C32487" s="309"/>
      <c r="I32487" s="309"/>
      <c r="J32487" s="309"/>
    </row>
    <row r="32488">
      <c r="B32488" s="309"/>
      <c r="C32488" s="309"/>
      <c r="I32488" s="309"/>
      <c r="J32488" s="309"/>
    </row>
    <row r="32489">
      <c r="B32489" s="309"/>
      <c r="C32489" s="309"/>
      <c r="I32489" s="309"/>
      <c r="J32489" s="309"/>
    </row>
    <row r="32490">
      <c r="B32490" s="309"/>
      <c r="C32490" s="309"/>
      <c r="I32490" s="309"/>
      <c r="J32490" s="309"/>
    </row>
    <row r="32491">
      <c r="B32491" s="309"/>
      <c r="C32491" s="309"/>
      <c r="I32491" s="309"/>
      <c r="J32491" s="309"/>
    </row>
    <row r="32492">
      <c r="B32492" s="309"/>
      <c r="C32492" s="309"/>
      <c r="I32492" s="309"/>
      <c r="J32492" s="309"/>
    </row>
    <row r="32493">
      <c r="B32493" s="309"/>
      <c r="C32493" s="309"/>
      <c r="I32493" s="309"/>
      <c r="J32493" s="309"/>
    </row>
    <row r="32494">
      <c r="B32494" s="309"/>
      <c r="C32494" s="309"/>
      <c r="I32494" s="309"/>
      <c r="J32494" s="309"/>
    </row>
    <row r="32495">
      <c r="B32495" s="309"/>
      <c r="C32495" s="309"/>
      <c r="I32495" s="309"/>
      <c r="J32495" s="309"/>
    </row>
    <row r="32496">
      <c r="B32496" s="309"/>
      <c r="C32496" s="309"/>
      <c r="I32496" s="309"/>
      <c r="J32496" s="309"/>
    </row>
    <row r="32497">
      <c r="B32497" s="309"/>
      <c r="C32497" s="309"/>
      <c r="I32497" s="309"/>
      <c r="J32497" s="309"/>
    </row>
    <row r="32498">
      <c r="B32498" s="309"/>
      <c r="C32498" s="309"/>
      <c r="I32498" s="309"/>
      <c r="J32498" s="309"/>
    </row>
    <row r="32499">
      <c r="B32499" s="309"/>
      <c r="C32499" s="309"/>
      <c r="I32499" s="309"/>
      <c r="J32499" s="309"/>
    </row>
    <row r="32500">
      <c r="B32500" s="309"/>
      <c r="C32500" s="309"/>
      <c r="I32500" s="309"/>
      <c r="J32500" s="309"/>
    </row>
    <row r="32501">
      <c r="B32501" s="309"/>
      <c r="C32501" s="309"/>
      <c r="I32501" s="309"/>
      <c r="J32501" s="309"/>
    </row>
    <row r="32502">
      <c r="B32502" s="309"/>
      <c r="C32502" s="309"/>
      <c r="I32502" s="309"/>
      <c r="J32502" s="309"/>
    </row>
    <row r="32503">
      <c r="B32503" s="309"/>
      <c r="C32503" s="309"/>
      <c r="I32503" s="309"/>
      <c r="J32503" s="309"/>
    </row>
    <row r="32504">
      <c r="B32504" s="309"/>
      <c r="C32504" s="309"/>
      <c r="I32504" s="309"/>
      <c r="J32504" s="309"/>
    </row>
    <row r="32505">
      <c r="B32505" s="309"/>
      <c r="C32505" s="309"/>
      <c r="I32505" s="309"/>
      <c r="J32505" s="309"/>
    </row>
    <row r="32506">
      <c r="B32506" s="309"/>
      <c r="C32506" s="309"/>
      <c r="I32506" s="309"/>
      <c r="J32506" s="309"/>
    </row>
    <row r="32507">
      <c r="B32507" s="309"/>
      <c r="C32507" s="309"/>
      <c r="I32507" s="309"/>
      <c r="J32507" s="309"/>
    </row>
    <row r="32508">
      <c r="B32508" s="309"/>
      <c r="C32508" s="309"/>
      <c r="I32508" s="309"/>
      <c r="J32508" s="309"/>
    </row>
    <row r="32509">
      <c r="B32509" s="309"/>
      <c r="C32509" s="309"/>
      <c r="I32509" s="309"/>
      <c r="J32509" s="309"/>
    </row>
    <row r="32510">
      <c r="B32510" s="309"/>
      <c r="C32510" s="309"/>
      <c r="I32510" s="309"/>
      <c r="J32510" s="309"/>
    </row>
    <row r="32511">
      <c r="B32511" s="309"/>
      <c r="C32511" s="309"/>
      <c r="I32511" s="309"/>
      <c r="J32511" s="309"/>
    </row>
    <row r="32512">
      <c r="B32512" s="309"/>
      <c r="C32512" s="309"/>
      <c r="I32512" s="309"/>
      <c r="J32512" s="309"/>
    </row>
    <row r="32513">
      <c r="B32513" s="309"/>
      <c r="C32513" s="309"/>
      <c r="I32513" s="309"/>
      <c r="J32513" s="309"/>
    </row>
    <row r="32514">
      <c r="B32514" s="309"/>
      <c r="C32514" s="309"/>
      <c r="I32514" s="309"/>
      <c r="J32514" s="309"/>
    </row>
    <row r="32515">
      <c r="B32515" s="309"/>
      <c r="C32515" s="309"/>
      <c r="I32515" s="309"/>
      <c r="J32515" s="309"/>
    </row>
    <row r="32516">
      <c r="B32516" s="309"/>
      <c r="C32516" s="309"/>
      <c r="I32516" s="309"/>
      <c r="J32516" s="309"/>
    </row>
    <row r="32517">
      <c r="B32517" s="309"/>
      <c r="C32517" s="309"/>
      <c r="I32517" s="309"/>
      <c r="J32517" s="309"/>
    </row>
    <row r="32518">
      <c r="B32518" s="309"/>
      <c r="C32518" s="309"/>
      <c r="I32518" s="309"/>
      <c r="J32518" s="309"/>
    </row>
    <row r="32519">
      <c r="B32519" s="309"/>
      <c r="C32519" s="309"/>
      <c r="I32519" s="309"/>
      <c r="J32519" s="309"/>
    </row>
    <row r="32520">
      <c r="B32520" s="309"/>
      <c r="C32520" s="309"/>
      <c r="I32520" s="309"/>
      <c r="J32520" s="309"/>
    </row>
    <row r="32521">
      <c r="B32521" s="309"/>
      <c r="C32521" s="309"/>
      <c r="I32521" s="309"/>
      <c r="J32521" s="309"/>
    </row>
    <row r="32522">
      <c r="B32522" s="309"/>
      <c r="C32522" s="309"/>
      <c r="I32522" s="309"/>
      <c r="J32522" s="309"/>
    </row>
    <row r="32523">
      <c r="B32523" s="309"/>
      <c r="C32523" s="309"/>
      <c r="I32523" s="309"/>
      <c r="J32523" s="309"/>
    </row>
    <row r="32524">
      <c r="B32524" s="309"/>
      <c r="C32524" s="309"/>
      <c r="I32524" s="309"/>
      <c r="J32524" s="309"/>
    </row>
    <row r="32525">
      <c r="B32525" s="309"/>
      <c r="C32525" s="309"/>
      <c r="I32525" s="309"/>
      <c r="J32525" s="309"/>
    </row>
    <row r="32526">
      <c r="B32526" s="309"/>
      <c r="C32526" s="309"/>
      <c r="I32526" s="309"/>
      <c r="J32526" s="309"/>
    </row>
    <row r="32527">
      <c r="B32527" s="309"/>
      <c r="C32527" s="309"/>
      <c r="I32527" s="309"/>
      <c r="J32527" s="309"/>
    </row>
    <row r="32528">
      <c r="B32528" s="309"/>
      <c r="C32528" s="309"/>
      <c r="I32528" s="309"/>
      <c r="J32528" s="309"/>
    </row>
    <row r="32529">
      <c r="B32529" s="309"/>
      <c r="C32529" s="309"/>
      <c r="I32529" s="309"/>
      <c r="J32529" s="309"/>
    </row>
    <row r="32530">
      <c r="B32530" s="309"/>
      <c r="C32530" s="309"/>
      <c r="I32530" s="309"/>
      <c r="J32530" s="309"/>
    </row>
    <row r="32531">
      <c r="B32531" s="309"/>
      <c r="C32531" s="309"/>
      <c r="I32531" s="309"/>
      <c r="J32531" s="309"/>
    </row>
    <row r="32532">
      <c r="B32532" s="309"/>
      <c r="C32532" s="309"/>
      <c r="I32532" s="309"/>
      <c r="J32532" s="309"/>
    </row>
    <row r="32533">
      <c r="B32533" s="309"/>
      <c r="C32533" s="309"/>
      <c r="I32533" s="309"/>
      <c r="J32533" s="309"/>
    </row>
    <row r="32534">
      <c r="B32534" s="309"/>
      <c r="C32534" s="309"/>
      <c r="I32534" s="309"/>
      <c r="J32534" s="309"/>
    </row>
    <row r="32535">
      <c r="B32535" s="309"/>
      <c r="C32535" s="309"/>
      <c r="I32535" s="309"/>
      <c r="J32535" s="309"/>
    </row>
    <row r="32536">
      <c r="B32536" s="309"/>
      <c r="C32536" s="309"/>
      <c r="I32536" s="309"/>
      <c r="J32536" s="309"/>
    </row>
    <row r="32537">
      <c r="B32537" s="309"/>
      <c r="C32537" s="309"/>
      <c r="I32537" s="309"/>
      <c r="J32537" s="309"/>
    </row>
    <row r="32538">
      <c r="B32538" s="309"/>
      <c r="C32538" s="309"/>
      <c r="I32538" s="309"/>
      <c r="J32538" s="309"/>
    </row>
    <row r="32539">
      <c r="B32539" s="309"/>
      <c r="C32539" s="309"/>
      <c r="I32539" s="309"/>
      <c r="J32539" s="309"/>
    </row>
    <row r="32540">
      <c r="B32540" s="309"/>
      <c r="C32540" s="309"/>
      <c r="I32540" s="309"/>
      <c r="J32540" s="309"/>
    </row>
    <row r="32541">
      <c r="B32541" s="309"/>
      <c r="C32541" s="309"/>
      <c r="I32541" s="309"/>
      <c r="J32541" s="309"/>
    </row>
    <row r="32542">
      <c r="B32542" s="309"/>
      <c r="C32542" s="309"/>
      <c r="I32542" s="309"/>
      <c r="J32542" s="309"/>
    </row>
    <row r="32543">
      <c r="B32543" s="309"/>
      <c r="C32543" s="309"/>
      <c r="I32543" s="309"/>
      <c r="J32543" s="309"/>
    </row>
    <row r="32544">
      <c r="B32544" s="309"/>
      <c r="C32544" s="309"/>
      <c r="I32544" s="309"/>
      <c r="J32544" s="309"/>
    </row>
    <row r="32545">
      <c r="B32545" s="309"/>
      <c r="C32545" s="309"/>
      <c r="I32545" s="309"/>
      <c r="J32545" s="309"/>
    </row>
    <row r="32546">
      <c r="B32546" s="309"/>
      <c r="C32546" s="309"/>
      <c r="I32546" s="309"/>
      <c r="J32546" s="309"/>
    </row>
    <row r="32547">
      <c r="B32547" s="309"/>
      <c r="C32547" s="309"/>
      <c r="I32547" s="309"/>
      <c r="J32547" s="309"/>
    </row>
    <row r="32548">
      <c r="B32548" s="309"/>
      <c r="C32548" s="309"/>
      <c r="I32548" s="309"/>
      <c r="J32548" s="309"/>
    </row>
    <row r="32549">
      <c r="B32549" s="309"/>
      <c r="C32549" s="309"/>
      <c r="I32549" s="309"/>
      <c r="J32549" s="309"/>
    </row>
    <row r="32550">
      <c r="B32550" s="309"/>
      <c r="C32550" s="309"/>
      <c r="I32550" s="309"/>
      <c r="J32550" s="309"/>
    </row>
    <row r="32551">
      <c r="B32551" s="309"/>
      <c r="C32551" s="309"/>
      <c r="I32551" s="309"/>
      <c r="J32551" s="309"/>
    </row>
    <row r="32552">
      <c r="B32552" s="309"/>
      <c r="C32552" s="309"/>
      <c r="I32552" s="309"/>
      <c r="J32552" s="309"/>
    </row>
    <row r="32553">
      <c r="B32553" s="309"/>
      <c r="C32553" s="309"/>
      <c r="I32553" s="309"/>
      <c r="J32553" s="309"/>
    </row>
    <row r="32554">
      <c r="B32554" s="309"/>
      <c r="C32554" s="309"/>
      <c r="I32554" s="309"/>
      <c r="J32554" s="309"/>
    </row>
    <row r="32555">
      <c r="B32555" s="309"/>
      <c r="C32555" s="309"/>
      <c r="I32555" s="309"/>
      <c r="J32555" s="309"/>
    </row>
    <row r="32556">
      <c r="B32556" s="309"/>
      <c r="C32556" s="309"/>
      <c r="I32556" s="309"/>
      <c r="J32556" s="309"/>
    </row>
    <row r="32557">
      <c r="B32557" s="309"/>
      <c r="C32557" s="309"/>
      <c r="I32557" s="309"/>
      <c r="J32557" s="309"/>
    </row>
    <row r="32558">
      <c r="B32558" s="309"/>
      <c r="C32558" s="309"/>
      <c r="I32558" s="309"/>
      <c r="J32558" s="309"/>
    </row>
    <row r="32559">
      <c r="B32559" s="309"/>
      <c r="C32559" s="309"/>
      <c r="I32559" s="309"/>
      <c r="J32559" s="309"/>
    </row>
    <row r="32560">
      <c r="B32560" s="309"/>
      <c r="C32560" s="309"/>
      <c r="I32560" s="309"/>
      <c r="J32560" s="309"/>
    </row>
    <row r="32561">
      <c r="B32561" s="309"/>
      <c r="C32561" s="309"/>
      <c r="I32561" s="309"/>
      <c r="J32561" s="309"/>
    </row>
    <row r="32562">
      <c r="B32562" s="309"/>
      <c r="C32562" s="309"/>
      <c r="I32562" s="309"/>
      <c r="J32562" s="309"/>
    </row>
    <row r="32563">
      <c r="B32563" s="309"/>
      <c r="C32563" s="309"/>
      <c r="I32563" s="309"/>
      <c r="J32563" s="309"/>
    </row>
    <row r="32564">
      <c r="B32564" s="309"/>
      <c r="C32564" s="309"/>
      <c r="I32564" s="309"/>
      <c r="J32564" s="309"/>
    </row>
    <row r="32565">
      <c r="B32565" s="309"/>
      <c r="C32565" s="309"/>
      <c r="I32565" s="309"/>
      <c r="J32565" s="309"/>
    </row>
    <row r="32566">
      <c r="B32566" s="309"/>
      <c r="C32566" s="309"/>
      <c r="I32566" s="309"/>
      <c r="J32566" s="309"/>
    </row>
    <row r="32567">
      <c r="B32567" s="309"/>
      <c r="C32567" s="309"/>
      <c r="I32567" s="309"/>
      <c r="J32567" s="309"/>
    </row>
    <row r="32568">
      <c r="B32568" s="309"/>
      <c r="C32568" s="309"/>
      <c r="I32568" s="309"/>
      <c r="J32568" s="309"/>
    </row>
    <row r="32569">
      <c r="B32569" s="309"/>
      <c r="C32569" s="309"/>
      <c r="I32569" s="309"/>
      <c r="J32569" s="309"/>
    </row>
    <row r="32570">
      <c r="B32570" s="309"/>
      <c r="C32570" s="309"/>
      <c r="I32570" s="309"/>
      <c r="J32570" s="309"/>
    </row>
    <row r="32571">
      <c r="B32571" s="309"/>
      <c r="C32571" s="309"/>
      <c r="I32571" s="309"/>
      <c r="J32571" s="309"/>
    </row>
    <row r="32572">
      <c r="B32572" s="309"/>
      <c r="C32572" s="309"/>
      <c r="I32572" s="309"/>
      <c r="J32572" s="309"/>
    </row>
    <row r="32573">
      <c r="B32573" s="309"/>
      <c r="C32573" s="309"/>
      <c r="I32573" s="309"/>
      <c r="J32573" s="309"/>
    </row>
    <row r="32574">
      <c r="B32574" s="309"/>
      <c r="C32574" s="309"/>
      <c r="I32574" s="309"/>
      <c r="J32574" s="309"/>
    </row>
    <row r="32575">
      <c r="B32575" s="309"/>
      <c r="C32575" s="309"/>
      <c r="I32575" s="309"/>
      <c r="J32575" s="309"/>
    </row>
    <row r="32576">
      <c r="B32576" s="309"/>
      <c r="C32576" s="309"/>
      <c r="I32576" s="309"/>
      <c r="J32576" s="309"/>
    </row>
    <row r="32577">
      <c r="B32577" s="309"/>
      <c r="C32577" s="309"/>
      <c r="I32577" s="309"/>
      <c r="J32577" s="309"/>
    </row>
    <row r="32578">
      <c r="B32578" s="309"/>
      <c r="C32578" s="309"/>
      <c r="I32578" s="309"/>
      <c r="J32578" s="309"/>
    </row>
    <row r="32579">
      <c r="B32579" s="309"/>
      <c r="C32579" s="309"/>
      <c r="I32579" s="309"/>
      <c r="J32579" s="309"/>
    </row>
    <row r="32580">
      <c r="B32580" s="309"/>
      <c r="C32580" s="309"/>
      <c r="I32580" s="309"/>
      <c r="J32580" s="309"/>
    </row>
    <row r="32581">
      <c r="B32581" s="309"/>
      <c r="C32581" s="309"/>
      <c r="I32581" s="309"/>
      <c r="J32581" s="309"/>
    </row>
    <row r="32582">
      <c r="B32582" s="309"/>
      <c r="C32582" s="309"/>
      <c r="I32582" s="309"/>
      <c r="J32582" s="309"/>
    </row>
    <row r="32583">
      <c r="B32583" s="309"/>
      <c r="C32583" s="309"/>
      <c r="I32583" s="309"/>
      <c r="J32583" s="309"/>
    </row>
    <row r="32584">
      <c r="B32584" s="309"/>
      <c r="C32584" s="309"/>
      <c r="I32584" s="309"/>
      <c r="J32584" s="309"/>
    </row>
    <row r="32585">
      <c r="B32585" s="309"/>
      <c r="C32585" s="309"/>
      <c r="I32585" s="309"/>
      <c r="J32585" s="309"/>
    </row>
    <row r="32586">
      <c r="B32586" s="309"/>
      <c r="C32586" s="309"/>
      <c r="I32586" s="309"/>
      <c r="J32586" s="309"/>
    </row>
    <row r="32587">
      <c r="B32587" s="309"/>
      <c r="C32587" s="309"/>
      <c r="I32587" s="309"/>
      <c r="J32587" s="309"/>
    </row>
    <row r="32588">
      <c r="B32588" s="309"/>
      <c r="C32588" s="309"/>
      <c r="I32588" s="309"/>
      <c r="J32588" s="309"/>
    </row>
    <row r="32589">
      <c r="B32589" s="309"/>
      <c r="C32589" s="309"/>
      <c r="I32589" s="309"/>
      <c r="J32589" s="309"/>
    </row>
    <row r="32590">
      <c r="B32590" s="309"/>
      <c r="C32590" s="309"/>
      <c r="I32590" s="309"/>
      <c r="J32590" s="309"/>
    </row>
    <row r="32591">
      <c r="B32591" s="309"/>
      <c r="C32591" s="309"/>
      <c r="I32591" s="309"/>
      <c r="J32591" s="309"/>
    </row>
    <row r="32592">
      <c r="B32592" s="309"/>
      <c r="C32592" s="309"/>
      <c r="I32592" s="309"/>
      <c r="J32592" s="309"/>
    </row>
    <row r="32593">
      <c r="B32593" s="309"/>
      <c r="C32593" s="309"/>
      <c r="I32593" s="309"/>
      <c r="J32593" s="309"/>
    </row>
    <row r="32594">
      <c r="B32594" s="309"/>
      <c r="C32594" s="309"/>
      <c r="I32594" s="309"/>
      <c r="J32594" s="309"/>
    </row>
    <row r="32595">
      <c r="B32595" s="309"/>
      <c r="C32595" s="309"/>
      <c r="I32595" s="309"/>
      <c r="J32595" s="309"/>
    </row>
    <row r="32596">
      <c r="B32596" s="309"/>
      <c r="C32596" s="309"/>
      <c r="I32596" s="309"/>
      <c r="J32596" s="309"/>
    </row>
    <row r="32597">
      <c r="B32597" s="309"/>
      <c r="C32597" s="309"/>
      <c r="I32597" s="309"/>
      <c r="J32597" s="309"/>
    </row>
    <row r="32598">
      <c r="B32598" s="309"/>
      <c r="C32598" s="309"/>
      <c r="I32598" s="309"/>
      <c r="J32598" s="309"/>
    </row>
    <row r="32599">
      <c r="B32599" s="309"/>
      <c r="C32599" s="309"/>
      <c r="I32599" s="309"/>
      <c r="J32599" s="309"/>
    </row>
    <row r="32600">
      <c r="B32600" s="309"/>
      <c r="C32600" s="309"/>
      <c r="I32600" s="309"/>
      <c r="J32600" s="309"/>
    </row>
    <row r="32601">
      <c r="B32601" s="309"/>
      <c r="C32601" s="309"/>
      <c r="I32601" s="309"/>
      <c r="J32601" s="309"/>
    </row>
    <row r="32602">
      <c r="B32602" s="309"/>
      <c r="C32602" s="309"/>
      <c r="I32602" s="309"/>
      <c r="J32602" s="309"/>
    </row>
    <row r="32603">
      <c r="B32603" s="309"/>
      <c r="C32603" s="309"/>
      <c r="I32603" s="309"/>
      <c r="J32603" s="309"/>
    </row>
    <row r="32604">
      <c r="B32604" s="309"/>
      <c r="C32604" s="309"/>
      <c r="I32604" s="309"/>
      <c r="J32604" s="309"/>
    </row>
    <row r="32605">
      <c r="B32605" s="309"/>
      <c r="C32605" s="309"/>
      <c r="I32605" s="309"/>
      <c r="J32605" s="309"/>
    </row>
    <row r="32606">
      <c r="B32606" s="309"/>
      <c r="C32606" s="309"/>
      <c r="I32606" s="309"/>
      <c r="J32606" s="309"/>
    </row>
    <row r="32607">
      <c r="B32607" s="309"/>
      <c r="C32607" s="309"/>
      <c r="I32607" s="309"/>
      <c r="J32607" s="309"/>
    </row>
    <row r="32608">
      <c r="B32608" s="309"/>
      <c r="C32608" s="309"/>
      <c r="I32608" s="309"/>
      <c r="J32608" s="309"/>
    </row>
    <row r="32609">
      <c r="B32609" s="309"/>
      <c r="C32609" s="309"/>
      <c r="I32609" s="309"/>
      <c r="J32609" s="309"/>
    </row>
    <row r="32610">
      <c r="B32610" s="309"/>
      <c r="C32610" s="309"/>
      <c r="I32610" s="309"/>
      <c r="J32610" s="309"/>
    </row>
    <row r="32611">
      <c r="B32611" s="309"/>
      <c r="C32611" s="309"/>
      <c r="I32611" s="309"/>
      <c r="J32611" s="309"/>
    </row>
    <row r="32612">
      <c r="B32612" s="309"/>
      <c r="C32612" s="309"/>
      <c r="I32612" s="309"/>
      <c r="J32612" s="309"/>
    </row>
    <row r="32613">
      <c r="B32613" s="309"/>
      <c r="C32613" s="309"/>
      <c r="I32613" s="309"/>
      <c r="J32613" s="309"/>
    </row>
    <row r="32614">
      <c r="B32614" s="309"/>
      <c r="C32614" s="309"/>
      <c r="I32614" s="309"/>
      <c r="J32614" s="309"/>
    </row>
    <row r="32615">
      <c r="B32615" s="309"/>
      <c r="C32615" s="309"/>
      <c r="I32615" s="309"/>
      <c r="J32615" s="309"/>
    </row>
    <row r="32616">
      <c r="B32616" s="309"/>
      <c r="C32616" s="309"/>
      <c r="I32616" s="309"/>
      <c r="J32616" s="309"/>
    </row>
    <row r="32617">
      <c r="B32617" s="309"/>
      <c r="C32617" s="309"/>
      <c r="I32617" s="309"/>
      <c r="J32617" s="309"/>
    </row>
    <row r="32618">
      <c r="B32618" s="309"/>
      <c r="C32618" s="309"/>
      <c r="I32618" s="309"/>
      <c r="J32618" s="309"/>
    </row>
    <row r="32619">
      <c r="B32619" s="309"/>
      <c r="C32619" s="309"/>
      <c r="I32619" s="309"/>
      <c r="J32619" s="309"/>
    </row>
    <row r="32620">
      <c r="B32620" s="309"/>
      <c r="C32620" s="309"/>
      <c r="I32620" s="309"/>
      <c r="J32620" s="309"/>
    </row>
    <row r="32621">
      <c r="B32621" s="309"/>
      <c r="C32621" s="309"/>
      <c r="I32621" s="309"/>
      <c r="J32621" s="309"/>
    </row>
    <row r="32622">
      <c r="B32622" s="309"/>
      <c r="C32622" s="309"/>
      <c r="I32622" s="309"/>
      <c r="J32622" s="309"/>
    </row>
    <row r="32623">
      <c r="B32623" s="309"/>
      <c r="C32623" s="309"/>
      <c r="I32623" s="309"/>
      <c r="J32623" s="309"/>
    </row>
    <row r="32624">
      <c r="B32624" s="309"/>
      <c r="C32624" s="309"/>
      <c r="I32624" s="309"/>
      <c r="J32624" s="309"/>
    </row>
    <row r="32625">
      <c r="B32625" s="309"/>
      <c r="C32625" s="309"/>
      <c r="I32625" s="309"/>
      <c r="J32625" s="309"/>
    </row>
    <row r="32626">
      <c r="B32626" s="309"/>
      <c r="C32626" s="309"/>
      <c r="I32626" s="309"/>
      <c r="J32626" s="309"/>
    </row>
    <row r="32627">
      <c r="B32627" s="309"/>
      <c r="C32627" s="309"/>
      <c r="I32627" s="309"/>
      <c r="J32627" s="309"/>
    </row>
    <row r="32628">
      <c r="B32628" s="309"/>
      <c r="C32628" s="309"/>
      <c r="I32628" s="309"/>
      <c r="J32628" s="309"/>
    </row>
    <row r="32629">
      <c r="B32629" s="309"/>
      <c r="C32629" s="309"/>
      <c r="I32629" s="309"/>
      <c r="J32629" s="309"/>
    </row>
    <row r="32630">
      <c r="B32630" s="309"/>
      <c r="C32630" s="309"/>
      <c r="I32630" s="309"/>
      <c r="J32630" s="309"/>
    </row>
    <row r="32631">
      <c r="B32631" s="309"/>
      <c r="C32631" s="309"/>
      <c r="I32631" s="309"/>
      <c r="J32631" s="309"/>
    </row>
    <row r="32632">
      <c r="B32632" s="309"/>
      <c r="C32632" s="309"/>
      <c r="I32632" s="309"/>
      <c r="J32632" s="309"/>
    </row>
    <row r="32633">
      <c r="B32633" s="309"/>
      <c r="C32633" s="309"/>
      <c r="I32633" s="309"/>
      <c r="J32633" s="309"/>
    </row>
    <row r="32634">
      <c r="B32634" s="309"/>
      <c r="C32634" s="309"/>
      <c r="I32634" s="309"/>
      <c r="J32634" s="309"/>
    </row>
    <row r="32635">
      <c r="B32635" s="309"/>
      <c r="C32635" s="309"/>
      <c r="I32635" s="309"/>
      <c r="J32635" s="309"/>
    </row>
    <row r="32636">
      <c r="B32636" s="309"/>
      <c r="C32636" s="309"/>
      <c r="I32636" s="309"/>
      <c r="J32636" s="309"/>
    </row>
    <row r="32637">
      <c r="B32637" s="309"/>
      <c r="C32637" s="309"/>
      <c r="I32637" s="309"/>
      <c r="J32637" s="309"/>
    </row>
    <row r="32638">
      <c r="B32638" s="309"/>
      <c r="C32638" s="309"/>
      <c r="I32638" s="309"/>
      <c r="J32638" s="309"/>
    </row>
    <row r="32639">
      <c r="B32639" s="309"/>
      <c r="C32639" s="309"/>
      <c r="I32639" s="309"/>
      <c r="J32639" s="309"/>
    </row>
    <row r="32640">
      <c r="B32640" s="309"/>
      <c r="C32640" s="309"/>
      <c r="I32640" s="309"/>
      <c r="J32640" s="309"/>
    </row>
    <row r="32641">
      <c r="B32641" s="309"/>
      <c r="C32641" s="309"/>
      <c r="I32641" s="309"/>
      <c r="J32641" s="309"/>
    </row>
    <row r="32642">
      <c r="B32642" s="309"/>
      <c r="C32642" s="309"/>
      <c r="I32642" s="309"/>
      <c r="J32642" s="309"/>
    </row>
    <row r="32643">
      <c r="B32643" s="309"/>
      <c r="C32643" s="309"/>
      <c r="I32643" s="309"/>
      <c r="J32643" s="309"/>
    </row>
    <row r="32644">
      <c r="B32644" s="309"/>
      <c r="C32644" s="309"/>
      <c r="I32644" s="309"/>
      <c r="J32644" s="309"/>
    </row>
    <row r="32645">
      <c r="B32645" s="309"/>
      <c r="C32645" s="309"/>
      <c r="I32645" s="309"/>
      <c r="J32645" s="309"/>
    </row>
    <row r="32646">
      <c r="B32646" s="309"/>
      <c r="C32646" s="309"/>
      <c r="I32646" s="309"/>
      <c r="J32646" s="309"/>
    </row>
    <row r="32647">
      <c r="B32647" s="309"/>
      <c r="C32647" s="309"/>
      <c r="I32647" s="309"/>
      <c r="J32647" s="309"/>
    </row>
    <row r="32648">
      <c r="B32648" s="309"/>
      <c r="C32648" s="309"/>
      <c r="I32648" s="309"/>
      <c r="J32648" s="309"/>
    </row>
    <row r="32649">
      <c r="B32649" s="309"/>
      <c r="C32649" s="309"/>
      <c r="I32649" s="309"/>
      <c r="J32649" s="309"/>
    </row>
    <row r="32650">
      <c r="B32650" s="309"/>
      <c r="C32650" s="309"/>
      <c r="I32650" s="309"/>
      <c r="J32650" s="309"/>
    </row>
    <row r="32651">
      <c r="B32651" s="309"/>
      <c r="C32651" s="309"/>
      <c r="I32651" s="309"/>
      <c r="J32651" s="309"/>
    </row>
    <row r="32652">
      <c r="B32652" s="309"/>
      <c r="C32652" s="309"/>
      <c r="I32652" s="309"/>
      <c r="J32652" s="309"/>
    </row>
    <row r="32653">
      <c r="B32653" s="309"/>
      <c r="C32653" s="309"/>
      <c r="I32653" s="309"/>
      <c r="J32653" s="309"/>
    </row>
    <row r="32654">
      <c r="B32654" s="309"/>
      <c r="C32654" s="309"/>
      <c r="I32654" s="309"/>
      <c r="J32654" s="309"/>
    </row>
    <row r="32655">
      <c r="B32655" s="309"/>
      <c r="C32655" s="309"/>
      <c r="I32655" s="309"/>
      <c r="J32655" s="309"/>
    </row>
    <row r="32656">
      <c r="B32656" s="309"/>
      <c r="C32656" s="309"/>
      <c r="I32656" s="309"/>
      <c r="J32656" s="309"/>
    </row>
    <row r="32657">
      <c r="B32657" s="309"/>
      <c r="C32657" s="309"/>
      <c r="I32657" s="309"/>
      <c r="J32657" s="309"/>
    </row>
    <row r="32658">
      <c r="B32658" s="309"/>
      <c r="C32658" s="309"/>
      <c r="I32658" s="309"/>
      <c r="J32658" s="309"/>
    </row>
    <row r="32659">
      <c r="B32659" s="309"/>
      <c r="C32659" s="309"/>
      <c r="I32659" s="309"/>
      <c r="J32659" s="309"/>
    </row>
    <row r="32660">
      <c r="B32660" s="309"/>
      <c r="C32660" s="309"/>
      <c r="I32660" s="309"/>
      <c r="J32660" s="309"/>
    </row>
    <row r="32661">
      <c r="B32661" s="309"/>
      <c r="C32661" s="309"/>
      <c r="I32661" s="309"/>
      <c r="J32661" s="309"/>
    </row>
    <row r="32662">
      <c r="B32662" s="309"/>
      <c r="C32662" s="309"/>
      <c r="I32662" s="309"/>
      <c r="J32662" s="309"/>
    </row>
    <row r="32663">
      <c r="B32663" s="309"/>
      <c r="C32663" s="309"/>
      <c r="I32663" s="309"/>
      <c r="J32663" s="309"/>
    </row>
    <row r="32664">
      <c r="B32664" s="309"/>
      <c r="C32664" s="309"/>
      <c r="I32664" s="309"/>
      <c r="J32664" s="309"/>
    </row>
    <row r="32665">
      <c r="B32665" s="309"/>
      <c r="C32665" s="309"/>
      <c r="I32665" s="309"/>
      <c r="J32665" s="309"/>
    </row>
    <row r="32666">
      <c r="B32666" s="309"/>
      <c r="C32666" s="309"/>
      <c r="I32666" s="309"/>
      <c r="J32666" s="309"/>
    </row>
    <row r="32667">
      <c r="B32667" s="309"/>
      <c r="C32667" s="309"/>
      <c r="I32667" s="309"/>
      <c r="J32667" s="309"/>
    </row>
    <row r="32668">
      <c r="B32668" s="309"/>
      <c r="C32668" s="309"/>
      <c r="I32668" s="309"/>
      <c r="J32668" s="309"/>
    </row>
    <row r="32669">
      <c r="B32669" s="309"/>
      <c r="C32669" s="309"/>
      <c r="I32669" s="309"/>
      <c r="J32669" s="309"/>
    </row>
    <row r="32670">
      <c r="B32670" s="309"/>
      <c r="C32670" s="309"/>
      <c r="I32670" s="309"/>
      <c r="J32670" s="309"/>
    </row>
    <row r="32671">
      <c r="B32671" s="309"/>
      <c r="C32671" s="309"/>
      <c r="I32671" s="309"/>
      <c r="J32671" s="309"/>
    </row>
    <row r="32672">
      <c r="B32672" s="309"/>
      <c r="C32672" s="309"/>
      <c r="I32672" s="309"/>
      <c r="J32672" s="309"/>
    </row>
    <row r="32673">
      <c r="B32673" s="309"/>
      <c r="C32673" s="309"/>
      <c r="I32673" s="309"/>
      <c r="J32673" s="309"/>
    </row>
    <row r="32674">
      <c r="B32674" s="309"/>
      <c r="C32674" s="309"/>
      <c r="I32674" s="309"/>
      <c r="J32674" s="309"/>
    </row>
    <row r="32675">
      <c r="B32675" s="309"/>
      <c r="C32675" s="309"/>
      <c r="I32675" s="309"/>
      <c r="J32675" s="309"/>
    </row>
    <row r="32676">
      <c r="B32676" s="309"/>
      <c r="C32676" s="309"/>
      <c r="I32676" s="309"/>
      <c r="J32676" s="309"/>
    </row>
    <row r="32677">
      <c r="B32677" s="309"/>
      <c r="C32677" s="309"/>
      <c r="I32677" s="309"/>
      <c r="J32677" s="309"/>
    </row>
    <row r="32678">
      <c r="B32678" s="309"/>
      <c r="C32678" s="309"/>
      <c r="I32678" s="309"/>
      <c r="J32678" s="309"/>
    </row>
    <row r="32679">
      <c r="B32679" s="309"/>
      <c r="C32679" s="309"/>
      <c r="I32679" s="309"/>
      <c r="J32679" s="309"/>
    </row>
    <row r="32680">
      <c r="B32680" s="309"/>
      <c r="C32680" s="309"/>
      <c r="I32680" s="309"/>
      <c r="J32680" s="309"/>
    </row>
    <row r="32681">
      <c r="B32681" s="309"/>
      <c r="C32681" s="309"/>
      <c r="I32681" s="309"/>
      <c r="J32681" s="309"/>
    </row>
    <row r="32682">
      <c r="B32682" s="309"/>
      <c r="C32682" s="309"/>
      <c r="I32682" s="309"/>
      <c r="J32682" s="309"/>
    </row>
    <row r="32683">
      <c r="B32683" s="309"/>
      <c r="C32683" s="309"/>
      <c r="I32683" s="309"/>
      <c r="J32683" s="309"/>
    </row>
    <row r="32684">
      <c r="B32684" s="309"/>
      <c r="C32684" s="309"/>
      <c r="I32684" s="309"/>
      <c r="J32684" s="309"/>
    </row>
    <row r="32685">
      <c r="B32685" s="309"/>
      <c r="C32685" s="309"/>
      <c r="I32685" s="309"/>
      <c r="J32685" s="309"/>
    </row>
    <row r="32686">
      <c r="B32686" s="309"/>
      <c r="C32686" s="309"/>
      <c r="I32686" s="309"/>
      <c r="J32686" s="309"/>
    </row>
    <row r="32687">
      <c r="B32687" s="309"/>
      <c r="C32687" s="309"/>
      <c r="I32687" s="309"/>
      <c r="J32687" s="309"/>
    </row>
    <row r="32688">
      <c r="B32688" s="309"/>
      <c r="C32688" s="309"/>
      <c r="I32688" s="309"/>
      <c r="J32688" s="309"/>
    </row>
    <row r="32689">
      <c r="B32689" s="309"/>
      <c r="C32689" s="309"/>
      <c r="I32689" s="309"/>
      <c r="J32689" s="309"/>
    </row>
    <row r="32690">
      <c r="B32690" s="309"/>
      <c r="C32690" s="309"/>
      <c r="I32690" s="309"/>
      <c r="J32690" s="309"/>
    </row>
    <row r="32691">
      <c r="B32691" s="309"/>
      <c r="C32691" s="309"/>
      <c r="I32691" s="309"/>
      <c r="J32691" s="309"/>
    </row>
    <row r="32692">
      <c r="B32692" s="309"/>
      <c r="C32692" s="309"/>
      <c r="I32692" s="309"/>
      <c r="J32692" s="309"/>
    </row>
    <row r="32693">
      <c r="B32693" s="309"/>
      <c r="C32693" s="309"/>
      <c r="I32693" s="309"/>
      <c r="J32693" s="309"/>
    </row>
    <row r="32694">
      <c r="B32694" s="309"/>
      <c r="C32694" s="309"/>
      <c r="I32694" s="309"/>
      <c r="J32694" s="309"/>
    </row>
    <row r="32695">
      <c r="B32695" s="309"/>
      <c r="C32695" s="309"/>
      <c r="I32695" s="309"/>
      <c r="J32695" s="309"/>
    </row>
    <row r="32696">
      <c r="B32696" s="309"/>
      <c r="C32696" s="309"/>
      <c r="I32696" s="309"/>
      <c r="J32696" s="309"/>
    </row>
    <row r="32697">
      <c r="B32697" s="309"/>
      <c r="C32697" s="309"/>
      <c r="I32697" s="309"/>
      <c r="J32697" s="309"/>
    </row>
    <row r="32698">
      <c r="B32698" s="309"/>
      <c r="C32698" s="309"/>
      <c r="I32698" s="309"/>
      <c r="J32698" s="309"/>
    </row>
    <row r="32699">
      <c r="B32699" s="309"/>
      <c r="C32699" s="309"/>
      <c r="I32699" s="309"/>
      <c r="J32699" s="309"/>
    </row>
    <row r="32700">
      <c r="B32700" s="309"/>
      <c r="C32700" s="309"/>
      <c r="I32700" s="309"/>
      <c r="J32700" s="309"/>
    </row>
    <row r="32701">
      <c r="B32701" s="309"/>
      <c r="C32701" s="309"/>
      <c r="I32701" s="309"/>
      <c r="J32701" s="309"/>
    </row>
    <row r="32702">
      <c r="B32702" s="309"/>
      <c r="C32702" s="309"/>
      <c r="I32702" s="309"/>
      <c r="J32702" s="309"/>
    </row>
    <row r="32703">
      <c r="B32703" s="309"/>
      <c r="C32703" s="309"/>
      <c r="I32703" s="309"/>
      <c r="J32703" s="309"/>
    </row>
    <row r="32704">
      <c r="B32704" s="309"/>
      <c r="C32704" s="309"/>
      <c r="I32704" s="309"/>
      <c r="J32704" s="309"/>
    </row>
    <row r="32705">
      <c r="B32705" s="309"/>
      <c r="C32705" s="309"/>
      <c r="I32705" s="309"/>
      <c r="J32705" s="309"/>
    </row>
    <row r="32706">
      <c r="B32706" s="309"/>
      <c r="C32706" s="309"/>
      <c r="I32706" s="309"/>
      <c r="J32706" s="309"/>
    </row>
    <row r="32707">
      <c r="B32707" s="309"/>
      <c r="C32707" s="309"/>
      <c r="I32707" s="309"/>
      <c r="J32707" s="309"/>
    </row>
    <row r="32708">
      <c r="B32708" s="309"/>
      <c r="C32708" s="309"/>
      <c r="I32708" s="309"/>
      <c r="J32708" s="309"/>
    </row>
    <row r="32709">
      <c r="B32709" s="309"/>
      <c r="C32709" s="309"/>
      <c r="I32709" s="309"/>
      <c r="J32709" s="309"/>
    </row>
    <row r="32710">
      <c r="B32710" s="309"/>
      <c r="C32710" s="309"/>
      <c r="I32710" s="309"/>
      <c r="J32710" s="309"/>
    </row>
    <row r="32711">
      <c r="B32711" s="309"/>
      <c r="C32711" s="309"/>
      <c r="I32711" s="309"/>
      <c r="J32711" s="309"/>
    </row>
    <row r="32712">
      <c r="B32712" s="309"/>
      <c r="C32712" s="309"/>
      <c r="I32712" s="309"/>
      <c r="J32712" s="309"/>
    </row>
    <row r="32713">
      <c r="B32713" s="309"/>
      <c r="C32713" s="309"/>
      <c r="I32713" s="309"/>
      <c r="J32713" s="309"/>
    </row>
    <row r="32714">
      <c r="B32714" s="309"/>
      <c r="C32714" s="309"/>
      <c r="I32714" s="309"/>
      <c r="J32714" s="309"/>
    </row>
    <row r="32715">
      <c r="B32715" s="309"/>
      <c r="C32715" s="309"/>
      <c r="I32715" s="309"/>
      <c r="J32715" s="309"/>
    </row>
    <row r="32716">
      <c r="B32716" s="309"/>
      <c r="C32716" s="309"/>
      <c r="I32716" s="309"/>
      <c r="J32716" s="309"/>
    </row>
    <row r="32717">
      <c r="B32717" s="309"/>
      <c r="C32717" s="309"/>
      <c r="I32717" s="309"/>
      <c r="J32717" s="309"/>
    </row>
    <row r="32718">
      <c r="B32718" s="309"/>
      <c r="C32718" s="309"/>
      <c r="I32718" s="309"/>
      <c r="J32718" s="309"/>
    </row>
    <row r="32719">
      <c r="B32719" s="309"/>
      <c r="C32719" s="309"/>
      <c r="I32719" s="309"/>
      <c r="J32719" s="309"/>
    </row>
    <row r="32720">
      <c r="B32720" s="309"/>
      <c r="C32720" s="309"/>
      <c r="I32720" s="309"/>
      <c r="J32720" s="309"/>
    </row>
    <row r="32721">
      <c r="B32721" s="309"/>
      <c r="C32721" s="309"/>
      <c r="I32721" s="309"/>
      <c r="J32721" s="309"/>
    </row>
    <row r="32722">
      <c r="B32722" s="309"/>
      <c r="C32722" s="309"/>
      <c r="I32722" s="309"/>
      <c r="J32722" s="309"/>
    </row>
    <row r="32723">
      <c r="B32723" s="309"/>
      <c r="C32723" s="309"/>
      <c r="I32723" s="309"/>
      <c r="J32723" s="309"/>
    </row>
    <row r="32724">
      <c r="B32724" s="309"/>
      <c r="C32724" s="309"/>
      <c r="I32724" s="309"/>
      <c r="J32724" s="309"/>
    </row>
    <row r="32725">
      <c r="B32725" s="309"/>
      <c r="C32725" s="309"/>
      <c r="I32725" s="309"/>
      <c r="J32725" s="309"/>
    </row>
    <row r="32726">
      <c r="B32726" s="309"/>
      <c r="C32726" s="309"/>
      <c r="I32726" s="309"/>
      <c r="J32726" s="309"/>
    </row>
    <row r="32727">
      <c r="B32727" s="309"/>
      <c r="C32727" s="309"/>
      <c r="I32727" s="309"/>
      <c r="J32727" s="309"/>
    </row>
    <row r="32728">
      <c r="B32728" s="309"/>
      <c r="C32728" s="309"/>
      <c r="I32728" s="309"/>
      <c r="J32728" s="309"/>
    </row>
    <row r="32729">
      <c r="B32729" s="309"/>
      <c r="C32729" s="309"/>
      <c r="I32729" s="309"/>
      <c r="J32729" s="309"/>
    </row>
    <row r="32730">
      <c r="B32730" s="309"/>
      <c r="C32730" s="309"/>
      <c r="I32730" s="309"/>
      <c r="J32730" s="309"/>
    </row>
    <row r="32731">
      <c r="B32731" s="309"/>
      <c r="C32731" s="309"/>
      <c r="I32731" s="309"/>
      <c r="J32731" s="309"/>
    </row>
    <row r="32732">
      <c r="B32732" s="309"/>
      <c r="C32732" s="309"/>
      <c r="I32732" s="309"/>
      <c r="J32732" s="309"/>
    </row>
    <row r="32733">
      <c r="B32733" s="309"/>
      <c r="C32733" s="309"/>
      <c r="I32733" s="309"/>
      <c r="J32733" s="309"/>
    </row>
    <row r="32734">
      <c r="B32734" s="309"/>
      <c r="C32734" s="309"/>
      <c r="I32734" s="309"/>
      <c r="J32734" s="309"/>
    </row>
    <row r="32735">
      <c r="B32735" s="309"/>
      <c r="C32735" s="309"/>
      <c r="I32735" s="309"/>
      <c r="J32735" s="309"/>
    </row>
    <row r="32736">
      <c r="B32736" s="309"/>
      <c r="C32736" s="309"/>
      <c r="I32736" s="309"/>
      <c r="J32736" s="309"/>
    </row>
    <row r="32737">
      <c r="B32737" s="309"/>
      <c r="C32737" s="309"/>
      <c r="I32737" s="309"/>
      <c r="J32737" s="309"/>
    </row>
    <row r="32738">
      <c r="B32738" s="309"/>
      <c r="C32738" s="309"/>
      <c r="I32738" s="309"/>
      <c r="J32738" s="309"/>
    </row>
    <row r="32739">
      <c r="B32739" s="309"/>
      <c r="C32739" s="309"/>
      <c r="I32739" s="309"/>
      <c r="J32739" s="309"/>
    </row>
    <row r="32740">
      <c r="B32740" s="309"/>
      <c r="C32740" s="309"/>
      <c r="I32740" s="309"/>
      <c r="J32740" s="309"/>
    </row>
    <row r="32741">
      <c r="B32741" s="309"/>
      <c r="C32741" s="309"/>
      <c r="I32741" s="309"/>
      <c r="J32741" s="309"/>
    </row>
    <row r="32742">
      <c r="B32742" s="309"/>
      <c r="C32742" s="309"/>
      <c r="I32742" s="309"/>
      <c r="J32742" s="309"/>
    </row>
    <row r="32743">
      <c r="B32743" s="309"/>
      <c r="C32743" s="309"/>
      <c r="I32743" s="309"/>
      <c r="J32743" s="309"/>
    </row>
    <row r="32744">
      <c r="B32744" s="309"/>
      <c r="C32744" s="309"/>
      <c r="I32744" s="309"/>
      <c r="J32744" s="309"/>
    </row>
    <row r="32745">
      <c r="B32745" s="309"/>
      <c r="C32745" s="309"/>
      <c r="I32745" s="309"/>
      <c r="J32745" s="309"/>
    </row>
    <row r="32746">
      <c r="B32746" s="309"/>
      <c r="C32746" s="309"/>
      <c r="I32746" s="309"/>
      <c r="J32746" s="309"/>
    </row>
    <row r="32747">
      <c r="B32747" s="309"/>
      <c r="C32747" s="309"/>
      <c r="I32747" s="309"/>
      <c r="J32747" s="309"/>
    </row>
    <row r="32748">
      <c r="B32748" s="309"/>
      <c r="C32748" s="309"/>
      <c r="I32748" s="309"/>
      <c r="J32748" s="309"/>
    </row>
    <row r="32749">
      <c r="B32749" s="309"/>
      <c r="C32749" s="309"/>
      <c r="I32749" s="309"/>
      <c r="J32749" s="309"/>
    </row>
    <row r="32750">
      <c r="B32750" s="309"/>
      <c r="C32750" s="309"/>
      <c r="I32750" s="309"/>
      <c r="J32750" s="309"/>
    </row>
    <row r="32751">
      <c r="B32751" s="309"/>
      <c r="C32751" s="309"/>
      <c r="I32751" s="309"/>
      <c r="J32751" s="309"/>
    </row>
    <row r="32752">
      <c r="B32752" s="309"/>
      <c r="C32752" s="309"/>
      <c r="I32752" s="309"/>
      <c r="J32752" s="309"/>
    </row>
    <row r="32753">
      <c r="B32753" s="309"/>
      <c r="C32753" s="309"/>
      <c r="I32753" s="309"/>
      <c r="J32753" s="309"/>
    </row>
    <row r="32754">
      <c r="B32754" s="309"/>
      <c r="C32754" s="309"/>
      <c r="I32754" s="309"/>
      <c r="J32754" s="309"/>
    </row>
    <row r="32755">
      <c r="B32755" s="309"/>
      <c r="C32755" s="309"/>
      <c r="I32755" s="309"/>
      <c r="J32755" s="309"/>
    </row>
    <row r="32756">
      <c r="B32756" s="309"/>
      <c r="C32756" s="309"/>
      <c r="I32756" s="309"/>
      <c r="J32756" s="309"/>
    </row>
    <row r="32757">
      <c r="B32757" s="309"/>
      <c r="C32757" s="309"/>
      <c r="I32757" s="309"/>
      <c r="J32757" s="309"/>
    </row>
    <row r="32758">
      <c r="B32758" s="309"/>
      <c r="C32758" s="309"/>
      <c r="I32758" s="309"/>
      <c r="J32758" s="309"/>
    </row>
    <row r="32759">
      <c r="B32759" s="309"/>
      <c r="C32759" s="309"/>
      <c r="I32759" s="309"/>
      <c r="J32759" s="309"/>
    </row>
    <row r="32760">
      <c r="B32760" s="309"/>
      <c r="C32760" s="309"/>
      <c r="I32760" s="309"/>
      <c r="J32760" s="309"/>
    </row>
    <row r="32761">
      <c r="B32761" s="309"/>
      <c r="C32761" s="309"/>
      <c r="I32761" s="309"/>
      <c r="J32761" s="309"/>
    </row>
    <row r="32762">
      <c r="B32762" s="309"/>
      <c r="C32762" s="309"/>
      <c r="I32762" s="309"/>
      <c r="J32762" s="309"/>
    </row>
    <row r="32763">
      <c r="B32763" s="309"/>
      <c r="C32763" s="309"/>
      <c r="I32763" s="309"/>
      <c r="J32763" s="309"/>
    </row>
    <row r="32764">
      <c r="B32764" s="309"/>
      <c r="C32764" s="309"/>
      <c r="I32764" s="309"/>
      <c r="J32764" s="309"/>
    </row>
    <row r="32765">
      <c r="B32765" s="309"/>
      <c r="C32765" s="309"/>
      <c r="I32765" s="309"/>
      <c r="J32765" s="309"/>
    </row>
    <row r="32766">
      <c r="B32766" s="309"/>
      <c r="C32766" s="309"/>
      <c r="I32766" s="309"/>
      <c r="J32766" s="309"/>
    </row>
    <row r="32767">
      <c r="B32767" s="309"/>
      <c r="C32767" s="309"/>
      <c r="I32767" s="309"/>
      <c r="J32767" s="309"/>
    </row>
    <row r="32768">
      <c r="B32768" s="309"/>
      <c r="C32768" s="309"/>
      <c r="I32768" s="309"/>
      <c r="J32768" s="309"/>
    </row>
    <row r="32769">
      <c r="B32769" s="309"/>
      <c r="C32769" s="309"/>
      <c r="I32769" s="309"/>
      <c r="J32769" s="309"/>
    </row>
    <row r="32770">
      <c r="B32770" s="309"/>
      <c r="C32770" s="309"/>
      <c r="I32770" s="309"/>
      <c r="J32770" s="309"/>
    </row>
    <row r="32771">
      <c r="B32771" s="309"/>
      <c r="C32771" s="309"/>
      <c r="I32771" s="309"/>
      <c r="J32771" s="309"/>
    </row>
    <row r="32772">
      <c r="B32772" s="309"/>
      <c r="C32772" s="309"/>
      <c r="I32772" s="309"/>
      <c r="J32772" s="309"/>
    </row>
    <row r="32773">
      <c r="B32773" s="309"/>
      <c r="C32773" s="309"/>
      <c r="I32773" s="309"/>
      <c r="J32773" s="309"/>
    </row>
    <row r="32774">
      <c r="B32774" s="309"/>
      <c r="C32774" s="309"/>
      <c r="I32774" s="309"/>
      <c r="J32774" s="309"/>
    </row>
    <row r="32775">
      <c r="B32775" s="309"/>
      <c r="C32775" s="309"/>
      <c r="I32775" s="309"/>
      <c r="J32775" s="309"/>
    </row>
    <row r="32776">
      <c r="B32776" s="309"/>
      <c r="C32776" s="309"/>
      <c r="I32776" s="309"/>
      <c r="J32776" s="309"/>
    </row>
    <row r="32777">
      <c r="B32777" s="309"/>
      <c r="C32777" s="309"/>
      <c r="I32777" s="309"/>
      <c r="J32777" s="309"/>
    </row>
    <row r="32778">
      <c r="B32778" s="309"/>
      <c r="C32778" s="309"/>
      <c r="I32778" s="309"/>
      <c r="J32778" s="309"/>
    </row>
    <row r="32779">
      <c r="B32779" s="309"/>
      <c r="C32779" s="309"/>
      <c r="I32779" s="309"/>
      <c r="J32779" s="309"/>
    </row>
    <row r="32780">
      <c r="B32780" s="309"/>
      <c r="C32780" s="309"/>
      <c r="I32780" s="309"/>
      <c r="J32780" s="309"/>
    </row>
    <row r="32781">
      <c r="B32781" s="309"/>
      <c r="C32781" s="309"/>
      <c r="I32781" s="309"/>
      <c r="J32781" s="309"/>
    </row>
    <row r="32782">
      <c r="B32782" s="309"/>
      <c r="C32782" s="309"/>
      <c r="I32782" s="309"/>
      <c r="J32782" s="309"/>
    </row>
    <row r="32783">
      <c r="B32783" s="309"/>
      <c r="C32783" s="309"/>
      <c r="I32783" s="309"/>
      <c r="J32783" s="309"/>
    </row>
    <row r="32784">
      <c r="B32784" s="309"/>
      <c r="C32784" s="309"/>
      <c r="I32784" s="309"/>
      <c r="J32784" s="309"/>
    </row>
    <row r="32785">
      <c r="B32785" s="309"/>
      <c r="C32785" s="309"/>
      <c r="I32785" s="309"/>
      <c r="J32785" s="309"/>
    </row>
    <row r="32786">
      <c r="B32786" s="309"/>
      <c r="C32786" s="309"/>
      <c r="I32786" s="309"/>
      <c r="J32786" s="309"/>
    </row>
    <row r="32787">
      <c r="B32787" s="309"/>
      <c r="C32787" s="309"/>
      <c r="I32787" s="309"/>
      <c r="J32787" s="309"/>
    </row>
    <row r="32788">
      <c r="B32788" s="309"/>
      <c r="C32788" s="309"/>
      <c r="I32788" s="309"/>
      <c r="J32788" s="309"/>
    </row>
    <row r="32789">
      <c r="B32789" s="309"/>
      <c r="C32789" s="309"/>
      <c r="I32789" s="309"/>
      <c r="J32789" s="309"/>
    </row>
    <row r="32790">
      <c r="B32790" s="309"/>
      <c r="C32790" s="309"/>
      <c r="I32790" s="309"/>
      <c r="J32790" s="309"/>
    </row>
    <row r="32791">
      <c r="B32791" s="309"/>
      <c r="C32791" s="309"/>
      <c r="I32791" s="309"/>
      <c r="J32791" s="309"/>
    </row>
    <row r="32792">
      <c r="B32792" s="309"/>
      <c r="C32792" s="309"/>
      <c r="I32792" s="309"/>
      <c r="J32792" s="309"/>
    </row>
    <row r="32793">
      <c r="B32793" s="309"/>
      <c r="C32793" s="309"/>
      <c r="I32793" s="309"/>
      <c r="J32793" s="309"/>
    </row>
    <row r="32794">
      <c r="B32794" s="309"/>
      <c r="C32794" s="309"/>
      <c r="I32794" s="309"/>
      <c r="J32794" s="309"/>
    </row>
    <row r="32795">
      <c r="B32795" s="309"/>
      <c r="C32795" s="309"/>
      <c r="I32795" s="309"/>
      <c r="J32795" s="309"/>
    </row>
    <row r="32796">
      <c r="B32796" s="309"/>
      <c r="C32796" s="309"/>
      <c r="I32796" s="309"/>
      <c r="J32796" s="309"/>
    </row>
    <row r="32797">
      <c r="B32797" s="309"/>
      <c r="C32797" s="309"/>
      <c r="I32797" s="309"/>
      <c r="J32797" s="309"/>
    </row>
    <row r="32798">
      <c r="B32798" s="309"/>
      <c r="C32798" s="309"/>
      <c r="I32798" s="309"/>
      <c r="J32798" s="309"/>
    </row>
    <row r="32799">
      <c r="B32799" s="309"/>
      <c r="C32799" s="309"/>
      <c r="I32799" s="309"/>
      <c r="J32799" s="309"/>
    </row>
    <row r="32800">
      <c r="B32800" s="309"/>
      <c r="C32800" s="309"/>
      <c r="I32800" s="309"/>
      <c r="J32800" s="309"/>
    </row>
    <row r="32801">
      <c r="B32801" s="309"/>
      <c r="C32801" s="309"/>
      <c r="I32801" s="309"/>
      <c r="J32801" s="309"/>
    </row>
    <row r="32802">
      <c r="B32802" s="309"/>
      <c r="C32802" s="309"/>
      <c r="I32802" s="309"/>
      <c r="J32802" s="309"/>
    </row>
    <row r="32803">
      <c r="B32803" s="309"/>
      <c r="C32803" s="309"/>
      <c r="I32803" s="309"/>
      <c r="J32803" s="309"/>
    </row>
    <row r="32804">
      <c r="B32804" s="309"/>
      <c r="C32804" s="309"/>
      <c r="I32804" s="309"/>
      <c r="J32804" s="309"/>
    </row>
    <row r="32805">
      <c r="B32805" s="309"/>
      <c r="C32805" s="309"/>
      <c r="I32805" s="309"/>
      <c r="J32805" s="309"/>
    </row>
    <row r="32806">
      <c r="B32806" s="309"/>
      <c r="C32806" s="309"/>
      <c r="I32806" s="309"/>
      <c r="J32806" s="309"/>
    </row>
    <row r="32807">
      <c r="B32807" s="309"/>
      <c r="C32807" s="309"/>
      <c r="I32807" s="309"/>
      <c r="J32807" s="309"/>
    </row>
    <row r="32808">
      <c r="B32808" s="309"/>
      <c r="C32808" s="309"/>
      <c r="I32808" s="309"/>
      <c r="J32808" s="309"/>
    </row>
    <row r="32809">
      <c r="B32809" s="309"/>
      <c r="C32809" s="309"/>
      <c r="I32809" s="309"/>
      <c r="J32809" s="309"/>
    </row>
    <row r="32810">
      <c r="B32810" s="309"/>
      <c r="C32810" s="309"/>
      <c r="I32810" s="309"/>
      <c r="J32810" s="309"/>
    </row>
    <row r="32811">
      <c r="B32811" s="309"/>
      <c r="C32811" s="309"/>
      <c r="I32811" s="309"/>
      <c r="J32811" s="309"/>
    </row>
    <row r="32812">
      <c r="B32812" s="309"/>
      <c r="C32812" s="309"/>
      <c r="I32812" s="309"/>
      <c r="J32812" s="309"/>
    </row>
    <row r="32813">
      <c r="B32813" s="309"/>
      <c r="C32813" s="309"/>
      <c r="I32813" s="309"/>
      <c r="J32813" s="309"/>
    </row>
    <row r="32814">
      <c r="B32814" s="309"/>
      <c r="C32814" s="309"/>
      <c r="I32814" s="309"/>
      <c r="J32814" s="309"/>
    </row>
    <row r="32815">
      <c r="B32815" s="309"/>
      <c r="C32815" s="309"/>
      <c r="I32815" s="309"/>
      <c r="J32815" s="309"/>
    </row>
    <row r="32816">
      <c r="B32816" s="309"/>
      <c r="C32816" s="309"/>
      <c r="I32816" s="309"/>
      <c r="J32816" s="309"/>
    </row>
    <row r="32817">
      <c r="B32817" s="309"/>
      <c r="C32817" s="309"/>
      <c r="I32817" s="309"/>
      <c r="J32817" s="309"/>
    </row>
    <row r="32818">
      <c r="B32818" s="309"/>
      <c r="C32818" s="309"/>
      <c r="I32818" s="309"/>
      <c r="J32818" s="309"/>
    </row>
    <row r="32819">
      <c r="B32819" s="309"/>
      <c r="C32819" s="309"/>
      <c r="I32819" s="309"/>
      <c r="J32819" s="309"/>
    </row>
    <row r="32820">
      <c r="B32820" s="309"/>
      <c r="C32820" s="309"/>
      <c r="I32820" s="309"/>
      <c r="J32820" s="309"/>
    </row>
    <row r="32821">
      <c r="B32821" s="309"/>
      <c r="C32821" s="309"/>
      <c r="I32821" s="309"/>
      <c r="J32821" s="309"/>
    </row>
    <row r="32822">
      <c r="B32822" s="309"/>
      <c r="C32822" s="309"/>
      <c r="I32822" s="309"/>
      <c r="J32822" s="309"/>
    </row>
    <row r="32823">
      <c r="B32823" s="309"/>
      <c r="C32823" s="309"/>
      <c r="I32823" s="309"/>
      <c r="J32823" s="309"/>
    </row>
    <row r="32824">
      <c r="B32824" s="309"/>
      <c r="C32824" s="309"/>
      <c r="I32824" s="309"/>
      <c r="J32824" s="309"/>
    </row>
    <row r="32825">
      <c r="B32825" s="309"/>
      <c r="C32825" s="309"/>
      <c r="I32825" s="309"/>
      <c r="J32825" s="309"/>
    </row>
    <row r="32826">
      <c r="B32826" s="309"/>
      <c r="C32826" s="309"/>
      <c r="I32826" s="309"/>
      <c r="J32826" s="309"/>
    </row>
    <row r="32827">
      <c r="B32827" s="309"/>
      <c r="C32827" s="309"/>
      <c r="I32827" s="309"/>
      <c r="J32827" s="309"/>
    </row>
    <row r="32828">
      <c r="B32828" s="309"/>
      <c r="C32828" s="309"/>
      <c r="I32828" s="309"/>
      <c r="J32828" s="309"/>
    </row>
    <row r="32829">
      <c r="B32829" s="309"/>
      <c r="C32829" s="309"/>
      <c r="I32829" s="309"/>
      <c r="J32829" s="309"/>
    </row>
    <row r="32830">
      <c r="B32830" s="309"/>
      <c r="C32830" s="309"/>
      <c r="I32830" s="309"/>
      <c r="J32830" s="309"/>
    </row>
    <row r="32831">
      <c r="B32831" s="309"/>
      <c r="C32831" s="309"/>
      <c r="I32831" s="309"/>
      <c r="J32831" s="309"/>
    </row>
    <row r="32832">
      <c r="B32832" s="309"/>
      <c r="C32832" s="309"/>
      <c r="I32832" s="309"/>
      <c r="J32832" s="309"/>
    </row>
    <row r="32833">
      <c r="B32833" s="309"/>
      <c r="C32833" s="309"/>
      <c r="I32833" s="309"/>
      <c r="J32833" s="309"/>
    </row>
    <row r="32834">
      <c r="B32834" s="309"/>
      <c r="C32834" s="309"/>
      <c r="I32834" s="309"/>
      <c r="J32834" s="309"/>
    </row>
    <row r="32835">
      <c r="B32835" s="309"/>
      <c r="C32835" s="309"/>
      <c r="I32835" s="309"/>
      <c r="J32835" s="309"/>
    </row>
    <row r="32836">
      <c r="B32836" s="309"/>
      <c r="C32836" s="309"/>
      <c r="I32836" s="309"/>
      <c r="J32836" s="309"/>
    </row>
    <row r="32837">
      <c r="B32837" s="309"/>
      <c r="C32837" s="309"/>
      <c r="I32837" s="309"/>
      <c r="J32837" s="309"/>
    </row>
    <row r="32838">
      <c r="B32838" s="309"/>
      <c r="C32838" s="309"/>
      <c r="I32838" s="309"/>
      <c r="J32838" s="309"/>
    </row>
    <row r="32839">
      <c r="B32839" s="309"/>
      <c r="C32839" s="309"/>
      <c r="I32839" s="309"/>
      <c r="J32839" s="309"/>
    </row>
    <row r="32840">
      <c r="B32840" s="309"/>
      <c r="C32840" s="309"/>
      <c r="I32840" s="309"/>
      <c r="J32840" s="309"/>
    </row>
    <row r="32841">
      <c r="B32841" s="309"/>
      <c r="C32841" s="309"/>
      <c r="I32841" s="309"/>
      <c r="J32841" s="309"/>
    </row>
    <row r="32842">
      <c r="B32842" s="309"/>
      <c r="C32842" s="309"/>
      <c r="I32842" s="309"/>
      <c r="J32842" s="309"/>
    </row>
    <row r="32843">
      <c r="B32843" s="309"/>
      <c r="C32843" s="309"/>
      <c r="I32843" s="309"/>
      <c r="J32843" s="309"/>
    </row>
    <row r="32844">
      <c r="B32844" s="309"/>
      <c r="C32844" s="309"/>
      <c r="I32844" s="309"/>
      <c r="J32844" s="309"/>
    </row>
    <row r="32845">
      <c r="B32845" s="309"/>
      <c r="C32845" s="309"/>
      <c r="I32845" s="309"/>
      <c r="J32845" s="309"/>
    </row>
    <row r="32846">
      <c r="B32846" s="309"/>
      <c r="C32846" s="309"/>
      <c r="I32846" s="309"/>
      <c r="J32846" s="309"/>
    </row>
    <row r="32847">
      <c r="B32847" s="309"/>
      <c r="C32847" s="309"/>
      <c r="I32847" s="309"/>
      <c r="J32847" s="309"/>
    </row>
    <row r="32848">
      <c r="B32848" s="309"/>
      <c r="C32848" s="309"/>
      <c r="I32848" s="309"/>
      <c r="J32848" s="309"/>
    </row>
    <row r="32849">
      <c r="B32849" s="309"/>
      <c r="C32849" s="309"/>
      <c r="I32849" s="309"/>
      <c r="J32849" s="309"/>
    </row>
    <row r="32850">
      <c r="B32850" s="309"/>
      <c r="C32850" s="309"/>
      <c r="I32850" s="309"/>
      <c r="J32850" s="309"/>
    </row>
    <row r="32851">
      <c r="B32851" s="309"/>
      <c r="C32851" s="309"/>
      <c r="I32851" s="309"/>
      <c r="J32851" s="309"/>
    </row>
    <row r="32852">
      <c r="B32852" s="309"/>
      <c r="C32852" s="309"/>
      <c r="I32852" s="309"/>
      <c r="J32852" s="309"/>
    </row>
    <row r="32853">
      <c r="B32853" s="309"/>
      <c r="C32853" s="309"/>
      <c r="I32853" s="309"/>
      <c r="J32853" s="309"/>
    </row>
    <row r="32854">
      <c r="B32854" s="309"/>
      <c r="C32854" s="309"/>
      <c r="I32854" s="309"/>
      <c r="J32854" s="309"/>
    </row>
    <row r="32855">
      <c r="B32855" s="309"/>
      <c r="C32855" s="309"/>
      <c r="I32855" s="309"/>
      <c r="J32855" s="309"/>
    </row>
    <row r="32856">
      <c r="B32856" s="309"/>
      <c r="C32856" s="309"/>
      <c r="I32856" s="309"/>
      <c r="J32856" s="309"/>
    </row>
    <row r="32857">
      <c r="B32857" s="309"/>
      <c r="C32857" s="309"/>
      <c r="I32857" s="309"/>
      <c r="J32857" s="309"/>
    </row>
    <row r="32858">
      <c r="B32858" s="309"/>
      <c r="C32858" s="309"/>
      <c r="I32858" s="309"/>
      <c r="J32858" s="309"/>
    </row>
    <row r="32859">
      <c r="B32859" s="309"/>
      <c r="C32859" s="309"/>
      <c r="I32859" s="309"/>
      <c r="J32859" s="309"/>
    </row>
    <row r="32860">
      <c r="B32860" s="309"/>
      <c r="C32860" s="309"/>
      <c r="I32860" s="309"/>
      <c r="J32860" s="309"/>
    </row>
    <row r="32861">
      <c r="B32861" s="309"/>
      <c r="C32861" s="309"/>
      <c r="I32861" s="309"/>
      <c r="J32861" s="309"/>
    </row>
    <row r="32862">
      <c r="B32862" s="309"/>
      <c r="C32862" s="309"/>
      <c r="I32862" s="309"/>
      <c r="J32862" s="309"/>
    </row>
    <row r="32863">
      <c r="B32863" s="309"/>
      <c r="C32863" s="309"/>
      <c r="I32863" s="309"/>
      <c r="J32863" s="309"/>
    </row>
    <row r="32864">
      <c r="B32864" s="309"/>
      <c r="C32864" s="309"/>
      <c r="I32864" s="309"/>
      <c r="J32864" s="309"/>
    </row>
    <row r="32865">
      <c r="B32865" s="309"/>
      <c r="C32865" s="309"/>
      <c r="I32865" s="309"/>
      <c r="J32865" s="309"/>
    </row>
    <row r="32866">
      <c r="B32866" s="309"/>
      <c r="C32866" s="309"/>
      <c r="I32866" s="309"/>
      <c r="J32866" s="309"/>
    </row>
    <row r="32867">
      <c r="B32867" s="309"/>
      <c r="C32867" s="309"/>
      <c r="I32867" s="309"/>
      <c r="J32867" s="309"/>
    </row>
    <row r="32868">
      <c r="B32868" s="309"/>
      <c r="C32868" s="309"/>
      <c r="I32868" s="309"/>
      <c r="J32868" s="309"/>
    </row>
    <row r="32869">
      <c r="B32869" s="309"/>
      <c r="C32869" s="309"/>
      <c r="I32869" s="309"/>
      <c r="J32869" s="309"/>
    </row>
    <row r="32870">
      <c r="B32870" s="309"/>
      <c r="C32870" s="309"/>
      <c r="I32870" s="309"/>
      <c r="J32870" s="309"/>
    </row>
    <row r="32871">
      <c r="B32871" s="309"/>
      <c r="C32871" s="309"/>
      <c r="I32871" s="309"/>
      <c r="J32871" s="309"/>
    </row>
    <row r="32872">
      <c r="B32872" s="309"/>
      <c r="C32872" s="309"/>
      <c r="I32872" s="309"/>
      <c r="J32872" s="309"/>
    </row>
    <row r="32873">
      <c r="B32873" s="309"/>
      <c r="C32873" s="309"/>
      <c r="I32873" s="309"/>
      <c r="J32873" s="309"/>
    </row>
    <row r="32874">
      <c r="B32874" s="309"/>
      <c r="C32874" s="309"/>
      <c r="I32874" s="309"/>
      <c r="J32874" s="309"/>
    </row>
    <row r="32875">
      <c r="B32875" s="309"/>
      <c r="C32875" s="309"/>
      <c r="I32875" s="309"/>
      <c r="J32875" s="309"/>
    </row>
    <row r="32876">
      <c r="B32876" s="309"/>
      <c r="C32876" s="309"/>
      <c r="I32876" s="309"/>
      <c r="J32876" s="309"/>
    </row>
    <row r="32877">
      <c r="B32877" s="309"/>
      <c r="C32877" s="309"/>
      <c r="I32877" s="309"/>
      <c r="J32877" s="309"/>
    </row>
    <row r="32878">
      <c r="B32878" s="309"/>
      <c r="C32878" s="309"/>
      <c r="I32878" s="309"/>
      <c r="J32878" s="309"/>
    </row>
    <row r="32879">
      <c r="B32879" s="309"/>
      <c r="C32879" s="309"/>
      <c r="I32879" s="309"/>
      <c r="J32879" s="309"/>
    </row>
    <row r="32880">
      <c r="B32880" s="309"/>
      <c r="C32880" s="309"/>
      <c r="I32880" s="309"/>
      <c r="J32880" s="309"/>
    </row>
    <row r="32881">
      <c r="B32881" s="309"/>
      <c r="C32881" s="309"/>
      <c r="I32881" s="309"/>
      <c r="J32881" s="309"/>
    </row>
    <row r="32882">
      <c r="B32882" s="309"/>
      <c r="C32882" s="309"/>
      <c r="I32882" s="309"/>
      <c r="J32882" s="309"/>
    </row>
    <row r="32883">
      <c r="B32883" s="309"/>
      <c r="C32883" s="309"/>
      <c r="I32883" s="309"/>
      <c r="J32883" s="309"/>
    </row>
    <row r="32884">
      <c r="B32884" s="309"/>
      <c r="C32884" s="309"/>
      <c r="I32884" s="309"/>
      <c r="J32884" s="309"/>
    </row>
    <row r="32885">
      <c r="B32885" s="309"/>
      <c r="C32885" s="309"/>
      <c r="I32885" s="309"/>
      <c r="J32885" s="309"/>
    </row>
    <row r="32886">
      <c r="B32886" s="309"/>
      <c r="C32886" s="309"/>
      <c r="I32886" s="309"/>
      <c r="J32886" s="309"/>
    </row>
    <row r="32887">
      <c r="B32887" s="309"/>
      <c r="C32887" s="309"/>
      <c r="I32887" s="309"/>
      <c r="J32887" s="309"/>
    </row>
    <row r="32888">
      <c r="B32888" s="309"/>
      <c r="C32888" s="309"/>
      <c r="I32888" s="309"/>
      <c r="J32888" s="309"/>
    </row>
    <row r="32889">
      <c r="B32889" s="309"/>
      <c r="C32889" s="309"/>
      <c r="I32889" s="309"/>
      <c r="J32889" s="309"/>
    </row>
    <row r="32890">
      <c r="B32890" s="309"/>
      <c r="C32890" s="309"/>
      <c r="I32890" s="309"/>
      <c r="J32890" s="309"/>
    </row>
    <row r="32891">
      <c r="B32891" s="309"/>
      <c r="C32891" s="309"/>
      <c r="I32891" s="309"/>
      <c r="J32891" s="309"/>
    </row>
    <row r="32892">
      <c r="B32892" s="309"/>
      <c r="C32892" s="309"/>
      <c r="I32892" s="309"/>
      <c r="J32892" s="309"/>
    </row>
    <row r="32893">
      <c r="B32893" s="309"/>
      <c r="C32893" s="309"/>
      <c r="I32893" s="309"/>
      <c r="J32893" s="309"/>
    </row>
    <row r="32894">
      <c r="B32894" s="309"/>
      <c r="C32894" s="309"/>
      <c r="I32894" s="309"/>
      <c r="J32894" s="309"/>
    </row>
    <row r="32895">
      <c r="B32895" s="309"/>
      <c r="C32895" s="309"/>
      <c r="I32895" s="309"/>
      <c r="J32895" s="309"/>
    </row>
    <row r="32896">
      <c r="B32896" s="309"/>
      <c r="C32896" s="309"/>
      <c r="I32896" s="309"/>
      <c r="J32896" s="309"/>
    </row>
    <row r="32897">
      <c r="B32897" s="309"/>
      <c r="C32897" s="309"/>
      <c r="I32897" s="309"/>
      <c r="J32897" s="309"/>
    </row>
    <row r="32898">
      <c r="B32898" s="309"/>
      <c r="C32898" s="309"/>
      <c r="I32898" s="309"/>
      <c r="J32898" s="309"/>
    </row>
    <row r="32899">
      <c r="B32899" s="309"/>
      <c r="C32899" s="309"/>
      <c r="I32899" s="309"/>
      <c r="J32899" s="309"/>
    </row>
    <row r="32900">
      <c r="B32900" s="309"/>
      <c r="C32900" s="309"/>
      <c r="I32900" s="309"/>
      <c r="J32900" s="309"/>
    </row>
    <row r="32901">
      <c r="B32901" s="309"/>
      <c r="C32901" s="309"/>
      <c r="I32901" s="309"/>
      <c r="J32901" s="309"/>
    </row>
    <row r="32902">
      <c r="B32902" s="309"/>
      <c r="C32902" s="309"/>
      <c r="I32902" s="309"/>
      <c r="J32902" s="309"/>
    </row>
    <row r="32903">
      <c r="B32903" s="309"/>
      <c r="C32903" s="309"/>
      <c r="I32903" s="309"/>
      <c r="J32903" s="309"/>
    </row>
    <row r="32904">
      <c r="B32904" s="309"/>
      <c r="C32904" s="309"/>
      <c r="I32904" s="309"/>
      <c r="J32904" s="309"/>
    </row>
    <row r="32905">
      <c r="B32905" s="309"/>
      <c r="C32905" s="309"/>
      <c r="I32905" s="309"/>
      <c r="J32905" s="309"/>
    </row>
    <row r="32906">
      <c r="B32906" s="309"/>
      <c r="C32906" s="309"/>
      <c r="I32906" s="309"/>
      <c r="J32906" s="309"/>
    </row>
    <row r="32907">
      <c r="B32907" s="309"/>
      <c r="C32907" s="309"/>
      <c r="I32907" s="309"/>
      <c r="J32907" s="309"/>
    </row>
    <row r="32908">
      <c r="B32908" s="309"/>
      <c r="C32908" s="309"/>
      <c r="I32908" s="309"/>
      <c r="J32908" s="309"/>
    </row>
    <row r="32909">
      <c r="B32909" s="309"/>
      <c r="C32909" s="309"/>
      <c r="I32909" s="309"/>
      <c r="J32909" s="309"/>
    </row>
    <row r="32910">
      <c r="B32910" s="309"/>
      <c r="C32910" s="309"/>
      <c r="I32910" s="309"/>
      <c r="J32910" s="309"/>
    </row>
    <row r="32911">
      <c r="B32911" s="309"/>
      <c r="C32911" s="309"/>
      <c r="I32911" s="309"/>
      <c r="J32911" s="309"/>
    </row>
    <row r="32912">
      <c r="B32912" s="309"/>
      <c r="C32912" s="309"/>
      <c r="I32912" s="309"/>
      <c r="J32912" s="309"/>
    </row>
    <row r="32913">
      <c r="B32913" s="309"/>
      <c r="C32913" s="309"/>
      <c r="I32913" s="309"/>
      <c r="J32913" s="309"/>
    </row>
    <row r="32914">
      <c r="B32914" s="309"/>
      <c r="C32914" s="309"/>
      <c r="I32914" s="309"/>
      <c r="J32914" s="309"/>
    </row>
    <row r="32915">
      <c r="B32915" s="309"/>
      <c r="C32915" s="309"/>
      <c r="I32915" s="309"/>
      <c r="J32915" s="309"/>
    </row>
    <row r="32916">
      <c r="B32916" s="309"/>
      <c r="C32916" s="309"/>
      <c r="I32916" s="309"/>
      <c r="J32916" s="309"/>
    </row>
    <row r="32917">
      <c r="B32917" s="309"/>
      <c r="C32917" s="309"/>
      <c r="I32917" s="309"/>
      <c r="J32917" s="309"/>
    </row>
    <row r="32918">
      <c r="B32918" s="309"/>
      <c r="C32918" s="309"/>
      <c r="I32918" s="309"/>
      <c r="J32918" s="309"/>
    </row>
    <row r="32919">
      <c r="B32919" s="309"/>
      <c r="C32919" s="309"/>
      <c r="I32919" s="309"/>
      <c r="J32919" s="309"/>
    </row>
    <row r="32920">
      <c r="B32920" s="309"/>
      <c r="C32920" s="309"/>
      <c r="I32920" s="309"/>
      <c r="J32920" s="309"/>
    </row>
    <row r="32921">
      <c r="B32921" s="309"/>
      <c r="C32921" s="309"/>
      <c r="I32921" s="309"/>
      <c r="J32921" s="309"/>
    </row>
    <row r="32922">
      <c r="B32922" s="309"/>
      <c r="C32922" s="309"/>
      <c r="I32922" s="309"/>
      <c r="J32922" s="309"/>
    </row>
    <row r="32923">
      <c r="B32923" s="309"/>
      <c r="C32923" s="309"/>
      <c r="I32923" s="309"/>
      <c r="J32923" s="309"/>
    </row>
    <row r="32924">
      <c r="B32924" s="309"/>
      <c r="C32924" s="309"/>
      <c r="I32924" s="309"/>
      <c r="J32924" s="309"/>
    </row>
    <row r="32925">
      <c r="B32925" s="309"/>
      <c r="C32925" s="309"/>
      <c r="I32925" s="309"/>
      <c r="J32925" s="309"/>
    </row>
    <row r="32926">
      <c r="B32926" s="309"/>
      <c r="C32926" s="309"/>
      <c r="I32926" s="309"/>
      <c r="J32926" s="309"/>
    </row>
    <row r="32927">
      <c r="B32927" s="309"/>
      <c r="C32927" s="309"/>
      <c r="I32927" s="309"/>
      <c r="J32927" s="309"/>
    </row>
    <row r="32928">
      <c r="B32928" s="309"/>
      <c r="C32928" s="309"/>
      <c r="I32928" s="309"/>
      <c r="J32928" s="309"/>
    </row>
    <row r="32929">
      <c r="B32929" s="309"/>
      <c r="C32929" s="309"/>
      <c r="I32929" s="309"/>
      <c r="J32929" s="309"/>
    </row>
    <row r="32930">
      <c r="B32930" s="309"/>
      <c r="C32930" s="309"/>
      <c r="I32930" s="309"/>
      <c r="J32930" s="309"/>
    </row>
    <row r="32931">
      <c r="B32931" s="309"/>
      <c r="C32931" s="309"/>
      <c r="I32931" s="309"/>
      <c r="J32931" s="309"/>
    </row>
    <row r="32932">
      <c r="B32932" s="309"/>
      <c r="C32932" s="309"/>
      <c r="I32932" s="309"/>
      <c r="J32932" s="309"/>
    </row>
    <row r="32933">
      <c r="B32933" s="309"/>
      <c r="C32933" s="309"/>
      <c r="I32933" s="309"/>
      <c r="J32933" s="309"/>
    </row>
    <row r="32934">
      <c r="B32934" s="309"/>
      <c r="C32934" s="309"/>
      <c r="I32934" s="309"/>
      <c r="J32934" s="309"/>
    </row>
    <row r="32935">
      <c r="B32935" s="309"/>
      <c r="C32935" s="309"/>
      <c r="I32935" s="309"/>
      <c r="J32935" s="309"/>
    </row>
    <row r="32936">
      <c r="B32936" s="309"/>
      <c r="C32936" s="309"/>
      <c r="I32936" s="309"/>
      <c r="J32936" s="309"/>
    </row>
    <row r="32937">
      <c r="B32937" s="309"/>
      <c r="C32937" s="309"/>
      <c r="I32937" s="309"/>
      <c r="J32937" s="309"/>
    </row>
    <row r="32938">
      <c r="B32938" s="309"/>
      <c r="C32938" s="309"/>
      <c r="I32938" s="309"/>
      <c r="J32938" s="309"/>
    </row>
    <row r="32939">
      <c r="B32939" s="309"/>
      <c r="C32939" s="309"/>
      <c r="I32939" s="309"/>
      <c r="J32939" s="309"/>
    </row>
    <row r="32940">
      <c r="B32940" s="309"/>
      <c r="C32940" s="309"/>
      <c r="I32940" s="309"/>
      <c r="J32940" s="309"/>
    </row>
    <row r="32941">
      <c r="B32941" s="309"/>
      <c r="C32941" s="309"/>
      <c r="I32941" s="309"/>
      <c r="J32941" s="309"/>
    </row>
    <row r="32942">
      <c r="B32942" s="309"/>
      <c r="C32942" s="309"/>
      <c r="I32942" s="309"/>
      <c r="J32942" s="309"/>
    </row>
    <row r="32943">
      <c r="B32943" s="309"/>
      <c r="C32943" s="309"/>
      <c r="I32943" s="309"/>
      <c r="J32943" s="309"/>
    </row>
    <row r="32944">
      <c r="B32944" s="309"/>
      <c r="C32944" s="309"/>
      <c r="I32944" s="309"/>
      <c r="J32944" s="309"/>
    </row>
    <row r="32945">
      <c r="B32945" s="309"/>
      <c r="C32945" s="309"/>
      <c r="I32945" s="309"/>
      <c r="J32945" s="309"/>
    </row>
    <row r="32946">
      <c r="B32946" s="309"/>
      <c r="C32946" s="309"/>
      <c r="I32946" s="309"/>
      <c r="J32946" s="309"/>
    </row>
    <row r="32947">
      <c r="B32947" s="309"/>
      <c r="C32947" s="309"/>
      <c r="I32947" s="309"/>
      <c r="J32947" s="309"/>
    </row>
    <row r="32948">
      <c r="B32948" s="309"/>
      <c r="C32948" s="309"/>
      <c r="I32948" s="309"/>
      <c r="J32948" s="309"/>
    </row>
    <row r="32949">
      <c r="B32949" s="309"/>
      <c r="C32949" s="309"/>
      <c r="I32949" s="309"/>
      <c r="J32949" s="309"/>
    </row>
    <row r="32950">
      <c r="B32950" s="309"/>
      <c r="C32950" s="309"/>
      <c r="I32950" s="309"/>
      <c r="J32950" s="309"/>
    </row>
    <row r="32951">
      <c r="B32951" s="309"/>
      <c r="C32951" s="309"/>
      <c r="I32951" s="309"/>
      <c r="J32951" s="309"/>
    </row>
    <row r="32952">
      <c r="B32952" s="309"/>
      <c r="C32952" s="309"/>
      <c r="I32952" s="309"/>
      <c r="J32952" s="309"/>
    </row>
    <row r="32953">
      <c r="B32953" s="309"/>
      <c r="C32953" s="309"/>
      <c r="I32953" s="309"/>
      <c r="J32953" s="309"/>
    </row>
    <row r="32954">
      <c r="B32954" s="309"/>
      <c r="C32954" s="309"/>
      <c r="I32954" s="309"/>
      <c r="J32954" s="309"/>
    </row>
    <row r="32955">
      <c r="B32955" s="309"/>
      <c r="C32955" s="309"/>
      <c r="I32955" s="309"/>
      <c r="J32955" s="309"/>
    </row>
    <row r="32956">
      <c r="B32956" s="309"/>
      <c r="C32956" s="309"/>
      <c r="I32956" s="309"/>
      <c r="J32956" s="309"/>
    </row>
    <row r="32957">
      <c r="B32957" s="309"/>
      <c r="C32957" s="309"/>
      <c r="I32957" s="309"/>
      <c r="J32957" s="309"/>
    </row>
    <row r="32958">
      <c r="B32958" s="309"/>
      <c r="C32958" s="309"/>
      <c r="I32958" s="309"/>
      <c r="J32958" s="309"/>
    </row>
    <row r="32959">
      <c r="B32959" s="309"/>
      <c r="C32959" s="309"/>
      <c r="I32959" s="309"/>
      <c r="J32959" s="309"/>
    </row>
    <row r="32960">
      <c r="B32960" s="309"/>
      <c r="C32960" s="309"/>
      <c r="I32960" s="309"/>
      <c r="J32960" s="309"/>
    </row>
    <row r="32961">
      <c r="B32961" s="309"/>
      <c r="C32961" s="309"/>
      <c r="I32961" s="309"/>
      <c r="J32961" s="309"/>
    </row>
    <row r="32962">
      <c r="B32962" s="309"/>
      <c r="C32962" s="309"/>
      <c r="I32962" s="309"/>
      <c r="J32962" s="309"/>
    </row>
    <row r="32963">
      <c r="B32963" s="309"/>
      <c r="C32963" s="309"/>
      <c r="I32963" s="309"/>
      <c r="J32963" s="309"/>
    </row>
    <row r="32964">
      <c r="B32964" s="309"/>
      <c r="C32964" s="309"/>
      <c r="I32964" s="309"/>
      <c r="J32964" s="309"/>
    </row>
    <row r="32965">
      <c r="B32965" s="309"/>
      <c r="C32965" s="309"/>
      <c r="I32965" s="309"/>
      <c r="J32965" s="309"/>
    </row>
    <row r="32966">
      <c r="B32966" s="309"/>
      <c r="C32966" s="309"/>
      <c r="I32966" s="309"/>
      <c r="J32966" s="309"/>
    </row>
    <row r="32967">
      <c r="B32967" s="309"/>
      <c r="C32967" s="309"/>
      <c r="I32967" s="309"/>
      <c r="J32967" s="309"/>
    </row>
    <row r="32968">
      <c r="B32968" s="309"/>
      <c r="C32968" s="309"/>
      <c r="I32968" s="309"/>
      <c r="J32968" s="309"/>
    </row>
    <row r="32969">
      <c r="B32969" s="309"/>
      <c r="C32969" s="309"/>
      <c r="I32969" s="309"/>
      <c r="J32969" s="309"/>
    </row>
    <row r="32970">
      <c r="B32970" s="309"/>
      <c r="C32970" s="309"/>
      <c r="I32970" s="309"/>
      <c r="J32970" s="309"/>
    </row>
    <row r="32971">
      <c r="B32971" s="309"/>
      <c r="C32971" s="309"/>
      <c r="I32971" s="309"/>
      <c r="J32971" s="309"/>
    </row>
    <row r="32972">
      <c r="B32972" s="309"/>
      <c r="C32972" s="309"/>
      <c r="I32972" s="309"/>
      <c r="J32972" s="309"/>
    </row>
    <row r="32973">
      <c r="B32973" s="309"/>
      <c r="C32973" s="309"/>
      <c r="I32973" s="309"/>
      <c r="J32973" s="309"/>
    </row>
    <row r="32974">
      <c r="B32974" s="309"/>
      <c r="C32974" s="309"/>
      <c r="I32974" s="309"/>
      <c r="J32974" s="309"/>
    </row>
    <row r="32975">
      <c r="B32975" s="309"/>
      <c r="C32975" s="309"/>
      <c r="I32975" s="309"/>
      <c r="J32975" s="309"/>
    </row>
    <row r="32976">
      <c r="B32976" s="309"/>
      <c r="C32976" s="309"/>
      <c r="I32976" s="309"/>
      <c r="J32976" s="309"/>
    </row>
    <row r="32977">
      <c r="B32977" s="309"/>
      <c r="C32977" s="309"/>
      <c r="I32977" s="309"/>
      <c r="J32977" s="309"/>
    </row>
    <row r="32978">
      <c r="B32978" s="309"/>
      <c r="C32978" s="309"/>
      <c r="I32978" s="309"/>
      <c r="J32978" s="309"/>
    </row>
    <row r="32979">
      <c r="B32979" s="309"/>
      <c r="C32979" s="309"/>
      <c r="I32979" s="309"/>
      <c r="J32979" s="309"/>
    </row>
    <row r="32980">
      <c r="B32980" s="309"/>
      <c r="C32980" s="309"/>
      <c r="I32980" s="309"/>
      <c r="J32980" s="309"/>
    </row>
    <row r="32981">
      <c r="B32981" s="309"/>
      <c r="C32981" s="309"/>
      <c r="I32981" s="309"/>
      <c r="J32981" s="309"/>
    </row>
    <row r="32982">
      <c r="B32982" s="309"/>
      <c r="C32982" s="309"/>
      <c r="I32982" s="309"/>
      <c r="J32982" s="309"/>
    </row>
    <row r="32983">
      <c r="B32983" s="309"/>
      <c r="C32983" s="309"/>
      <c r="I32983" s="309"/>
      <c r="J32983" s="309"/>
    </row>
    <row r="32984">
      <c r="B32984" s="309"/>
      <c r="C32984" s="309"/>
      <c r="I32984" s="309"/>
      <c r="J32984" s="309"/>
    </row>
    <row r="32985">
      <c r="B32985" s="309"/>
      <c r="C32985" s="309"/>
      <c r="I32985" s="309"/>
      <c r="J32985" s="309"/>
    </row>
    <row r="32986">
      <c r="B32986" s="309"/>
      <c r="C32986" s="309"/>
      <c r="I32986" s="309"/>
      <c r="J32986" s="309"/>
    </row>
    <row r="32987">
      <c r="B32987" s="309"/>
      <c r="C32987" s="309"/>
      <c r="I32987" s="309"/>
      <c r="J32987" s="309"/>
    </row>
    <row r="32988">
      <c r="B32988" s="309"/>
      <c r="C32988" s="309"/>
      <c r="I32988" s="309"/>
      <c r="J32988" s="309"/>
    </row>
    <row r="32989">
      <c r="B32989" s="309"/>
      <c r="C32989" s="309"/>
      <c r="I32989" s="309"/>
      <c r="J32989" s="309"/>
    </row>
    <row r="32990">
      <c r="B32990" s="309"/>
      <c r="C32990" s="309"/>
      <c r="I32990" s="309"/>
      <c r="J32990" s="309"/>
    </row>
    <row r="32991">
      <c r="B32991" s="309"/>
      <c r="C32991" s="309"/>
      <c r="I32991" s="309"/>
      <c r="J32991" s="309"/>
    </row>
    <row r="32992">
      <c r="B32992" s="309"/>
      <c r="C32992" s="309"/>
      <c r="I32992" s="309"/>
      <c r="J32992" s="309"/>
    </row>
    <row r="32993">
      <c r="B32993" s="309"/>
      <c r="C32993" s="309"/>
      <c r="I32993" s="309"/>
      <c r="J32993" s="309"/>
    </row>
    <row r="32994">
      <c r="B32994" s="309"/>
      <c r="C32994" s="309"/>
      <c r="I32994" s="309"/>
      <c r="J32994" s="309"/>
    </row>
    <row r="32995">
      <c r="B32995" s="309"/>
      <c r="C32995" s="309"/>
      <c r="I32995" s="309"/>
      <c r="J32995" s="309"/>
    </row>
    <row r="32996">
      <c r="B32996" s="309"/>
      <c r="C32996" s="309"/>
      <c r="I32996" s="309"/>
      <c r="J32996" s="309"/>
    </row>
    <row r="32997">
      <c r="B32997" s="309"/>
      <c r="C32997" s="309"/>
      <c r="I32997" s="309"/>
      <c r="J32997" s="309"/>
    </row>
    <row r="32998">
      <c r="B32998" s="309"/>
      <c r="C32998" s="309"/>
      <c r="I32998" s="309"/>
      <c r="J32998" s="309"/>
    </row>
    <row r="32999">
      <c r="B32999" s="309"/>
      <c r="C32999" s="309"/>
      <c r="I32999" s="309"/>
      <c r="J32999" s="309"/>
    </row>
    <row r="33000">
      <c r="B33000" s="309"/>
      <c r="C33000" s="309"/>
      <c r="I33000" s="309"/>
      <c r="J33000" s="309"/>
    </row>
    <row r="33001">
      <c r="B33001" s="309"/>
      <c r="C33001" s="309"/>
      <c r="I33001" s="309"/>
      <c r="J33001" s="309"/>
    </row>
    <row r="33002">
      <c r="B33002" s="309"/>
      <c r="C33002" s="309"/>
      <c r="I33002" s="309"/>
      <c r="J33002" s="309"/>
    </row>
    <row r="33003">
      <c r="B33003" s="309"/>
      <c r="C33003" s="309"/>
      <c r="I33003" s="309"/>
      <c r="J33003" s="309"/>
    </row>
    <row r="33004">
      <c r="B33004" s="309"/>
      <c r="C33004" s="309"/>
      <c r="I33004" s="309"/>
      <c r="J33004" s="309"/>
    </row>
    <row r="33005">
      <c r="B33005" s="309"/>
      <c r="C33005" s="309"/>
      <c r="I33005" s="309"/>
      <c r="J33005" s="309"/>
    </row>
    <row r="33006">
      <c r="B33006" s="309"/>
      <c r="C33006" s="309"/>
      <c r="I33006" s="309"/>
      <c r="J33006" s="309"/>
    </row>
    <row r="33007">
      <c r="B33007" s="309"/>
      <c r="C33007" s="309"/>
      <c r="I33007" s="309"/>
      <c r="J33007" s="309"/>
    </row>
    <row r="33008">
      <c r="B33008" s="309"/>
      <c r="C33008" s="309"/>
      <c r="I33008" s="309"/>
      <c r="J33008" s="309"/>
    </row>
    <row r="33009">
      <c r="B33009" s="309"/>
      <c r="C33009" s="309"/>
      <c r="I33009" s="309"/>
      <c r="J33009" s="309"/>
    </row>
    <row r="33010">
      <c r="B33010" s="309"/>
      <c r="C33010" s="309"/>
      <c r="I33010" s="309"/>
      <c r="J33010" s="309"/>
    </row>
    <row r="33011">
      <c r="B33011" s="309"/>
      <c r="C33011" s="309"/>
      <c r="I33011" s="309"/>
      <c r="J33011" s="309"/>
    </row>
    <row r="33012">
      <c r="B33012" s="309"/>
      <c r="C33012" s="309"/>
      <c r="I33012" s="309"/>
      <c r="J33012" s="309"/>
    </row>
    <row r="33013">
      <c r="B33013" s="309"/>
      <c r="C33013" s="309"/>
      <c r="I33013" s="309"/>
      <c r="J33013" s="309"/>
    </row>
    <row r="33014">
      <c r="B33014" s="309"/>
      <c r="C33014" s="309"/>
      <c r="I33014" s="309"/>
      <c r="J33014" s="309"/>
    </row>
    <row r="33015">
      <c r="B33015" s="309"/>
      <c r="C33015" s="309"/>
      <c r="I33015" s="309"/>
      <c r="J33015" s="309"/>
    </row>
    <row r="33016">
      <c r="B33016" s="309"/>
      <c r="C33016" s="309"/>
      <c r="I33016" s="309"/>
      <c r="J33016" s="309"/>
    </row>
    <row r="33017">
      <c r="B33017" s="309"/>
      <c r="C33017" s="309"/>
      <c r="I33017" s="309"/>
      <c r="J33017" s="309"/>
    </row>
    <row r="33018">
      <c r="B33018" s="309"/>
      <c r="C33018" s="309"/>
      <c r="I33018" s="309"/>
      <c r="J33018" s="309"/>
    </row>
    <row r="33019">
      <c r="B33019" s="309"/>
      <c r="C33019" s="309"/>
      <c r="I33019" s="309"/>
      <c r="J33019" s="309"/>
    </row>
    <row r="33020">
      <c r="B33020" s="309"/>
      <c r="C33020" s="309"/>
      <c r="I33020" s="309"/>
      <c r="J33020" s="309"/>
    </row>
    <row r="33021">
      <c r="B33021" s="309"/>
      <c r="C33021" s="309"/>
      <c r="I33021" s="309"/>
      <c r="J33021" s="309"/>
    </row>
    <row r="33022">
      <c r="B33022" s="309"/>
      <c r="C33022" s="309"/>
      <c r="I33022" s="309"/>
      <c r="J33022" s="309"/>
    </row>
    <row r="33023">
      <c r="B33023" s="309"/>
      <c r="C33023" s="309"/>
      <c r="I33023" s="309"/>
      <c r="J33023" s="309"/>
    </row>
    <row r="33024">
      <c r="B33024" s="309"/>
      <c r="C33024" s="309"/>
      <c r="I33024" s="309"/>
      <c r="J33024" s="309"/>
    </row>
    <row r="33025">
      <c r="B33025" s="309"/>
      <c r="C33025" s="309"/>
      <c r="I33025" s="309"/>
      <c r="J33025" s="309"/>
    </row>
    <row r="33026">
      <c r="B33026" s="309"/>
      <c r="C33026" s="309"/>
      <c r="I33026" s="309"/>
      <c r="J33026" s="309"/>
    </row>
    <row r="33027">
      <c r="B33027" s="309"/>
      <c r="C33027" s="309"/>
      <c r="I33027" s="309"/>
      <c r="J33027" s="309"/>
    </row>
    <row r="33028">
      <c r="B33028" s="309"/>
      <c r="C33028" s="309"/>
      <c r="I33028" s="309"/>
      <c r="J33028" s="309"/>
    </row>
    <row r="33029">
      <c r="B33029" s="309"/>
      <c r="C33029" s="309"/>
      <c r="I33029" s="309"/>
      <c r="J33029" s="309"/>
    </row>
    <row r="33030">
      <c r="B33030" s="309"/>
      <c r="C33030" s="309"/>
      <c r="I33030" s="309"/>
      <c r="J33030" s="309"/>
    </row>
    <row r="33031">
      <c r="B33031" s="309"/>
      <c r="C33031" s="309"/>
      <c r="I33031" s="309"/>
      <c r="J33031" s="309"/>
    </row>
    <row r="33032">
      <c r="B33032" s="309"/>
      <c r="C33032" s="309"/>
      <c r="I33032" s="309"/>
      <c r="J33032" s="309"/>
    </row>
    <row r="33033">
      <c r="B33033" s="309"/>
      <c r="C33033" s="309"/>
      <c r="I33033" s="309"/>
      <c r="J33033" s="309"/>
    </row>
    <row r="33034">
      <c r="B33034" s="309"/>
      <c r="C33034" s="309"/>
      <c r="I33034" s="309"/>
      <c r="J33034" s="309"/>
    </row>
    <row r="33035">
      <c r="B33035" s="309"/>
      <c r="C33035" s="309"/>
      <c r="I33035" s="309"/>
      <c r="J33035" s="309"/>
    </row>
    <row r="33036">
      <c r="B33036" s="309"/>
      <c r="C33036" s="309"/>
      <c r="I33036" s="309"/>
      <c r="J33036" s="309"/>
    </row>
    <row r="33037">
      <c r="B33037" s="309"/>
      <c r="C33037" s="309"/>
      <c r="I33037" s="309"/>
      <c r="J33037" s="309"/>
    </row>
    <row r="33038">
      <c r="B33038" s="309"/>
      <c r="C33038" s="309"/>
      <c r="I33038" s="309"/>
      <c r="J33038" s="309"/>
    </row>
    <row r="33039">
      <c r="B33039" s="309"/>
      <c r="C33039" s="309"/>
      <c r="I33039" s="309"/>
      <c r="J33039" s="309"/>
    </row>
    <row r="33040">
      <c r="B33040" s="309"/>
      <c r="C33040" s="309"/>
      <c r="I33040" s="309"/>
      <c r="J33040" s="309"/>
    </row>
    <row r="33041">
      <c r="B33041" s="309"/>
      <c r="C33041" s="309"/>
      <c r="I33041" s="309"/>
      <c r="J33041" s="309"/>
    </row>
    <row r="33042">
      <c r="B33042" s="309"/>
      <c r="C33042" s="309"/>
      <c r="I33042" s="309"/>
      <c r="J33042" s="309"/>
    </row>
    <row r="33043">
      <c r="B33043" s="309"/>
      <c r="C33043" s="309"/>
      <c r="I33043" s="309"/>
      <c r="J33043" s="309"/>
    </row>
    <row r="33044">
      <c r="B33044" s="309"/>
      <c r="C33044" s="309"/>
      <c r="I33044" s="309"/>
      <c r="J33044" s="309"/>
    </row>
    <row r="33045">
      <c r="B33045" s="309"/>
      <c r="C33045" s="309"/>
      <c r="I33045" s="309"/>
      <c r="J33045" s="309"/>
    </row>
    <row r="33046">
      <c r="B33046" s="309"/>
      <c r="C33046" s="309"/>
      <c r="I33046" s="309"/>
      <c r="J33046" s="309"/>
    </row>
    <row r="33047">
      <c r="B33047" s="309"/>
      <c r="C33047" s="309"/>
      <c r="I33047" s="309"/>
      <c r="J33047" s="309"/>
    </row>
    <row r="33048">
      <c r="B33048" s="309"/>
      <c r="C33048" s="309"/>
      <c r="I33048" s="309"/>
      <c r="J33048" s="309"/>
    </row>
    <row r="33049">
      <c r="B33049" s="309"/>
      <c r="C33049" s="309"/>
      <c r="I33049" s="309"/>
      <c r="J33049" s="309"/>
    </row>
    <row r="33050">
      <c r="B33050" s="309"/>
      <c r="C33050" s="309"/>
      <c r="I33050" s="309"/>
      <c r="J33050" s="309"/>
    </row>
    <row r="33051">
      <c r="B33051" s="309"/>
      <c r="C33051" s="309"/>
      <c r="I33051" s="309"/>
      <c r="J33051" s="309"/>
    </row>
    <row r="33052">
      <c r="B33052" s="309"/>
      <c r="C33052" s="309"/>
      <c r="I33052" s="309"/>
      <c r="J33052" s="309"/>
    </row>
    <row r="33053">
      <c r="B33053" s="309"/>
      <c r="C33053" s="309"/>
      <c r="I33053" s="309"/>
      <c r="J33053" s="309"/>
    </row>
    <row r="33054">
      <c r="B33054" s="309"/>
      <c r="C33054" s="309"/>
      <c r="I33054" s="309"/>
      <c r="J33054" s="309"/>
    </row>
    <row r="33055">
      <c r="B33055" s="309"/>
      <c r="C33055" s="309"/>
      <c r="I33055" s="309"/>
      <c r="J33055" s="309"/>
    </row>
    <row r="33056">
      <c r="B33056" s="309"/>
      <c r="C33056" s="309"/>
      <c r="I33056" s="309"/>
      <c r="J33056" s="309"/>
    </row>
    <row r="33057">
      <c r="B33057" s="309"/>
      <c r="C33057" s="309"/>
      <c r="I33057" s="309"/>
      <c r="J33057" s="309"/>
    </row>
    <row r="33058">
      <c r="B33058" s="309"/>
      <c r="C33058" s="309"/>
      <c r="I33058" s="309"/>
      <c r="J33058" s="309"/>
    </row>
    <row r="33059">
      <c r="B33059" s="309"/>
      <c r="C33059" s="309"/>
      <c r="I33059" s="309"/>
      <c r="J33059" s="309"/>
    </row>
    <row r="33060">
      <c r="B33060" s="309"/>
      <c r="C33060" s="309"/>
      <c r="I33060" s="309"/>
      <c r="J33060" s="309"/>
    </row>
    <row r="33061">
      <c r="B33061" s="309"/>
      <c r="C33061" s="309"/>
      <c r="I33061" s="309"/>
      <c r="J33061" s="309"/>
    </row>
    <row r="33062">
      <c r="B33062" s="309"/>
      <c r="C33062" s="309"/>
      <c r="I33062" s="309"/>
      <c r="J33062" s="309"/>
    </row>
    <row r="33063">
      <c r="B33063" s="309"/>
      <c r="C33063" s="309"/>
      <c r="I33063" s="309"/>
      <c r="J33063" s="309"/>
    </row>
    <row r="33064">
      <c r="B33064" s="309"/>
      <c r="C33064" s="309"/>
      <c r="I33064" s="309"/>
      <c r="J33064" s="309"/>
    </row>
    <row r="33065">
      <c r="B33065" s="309"/>
      <c r="C33065" s="309"/>
      <c r="I33065" s="309"/>
      <c r="J33065" s="309"/>
    </row>
    <row r="33066">
      <c r="B33066" s="309"/>
      <c r="C33066" s="309"/>
      <c r="I33066" s="309"/>
      <c r="J33066" s="309"/>
    </row>
    <row r="33067">
      <c r="B33067" s="309"/>
      <c r="C33067" s="309"/>
      <c r="I33067" s="309"/>
      <c r="J33067" s="309"/>
    </row>
    <row r="33068">
      <c r="B33068" s="309"/>
      <c r="C33068" s="309"/>
      <c r="I33068" s="309"/>
      <c r="J33068" s="309"/>
    </row>
    <row r="33069">
      <c r="B33069" s="309"/>
      <c r="C33069" s="309"/>
      <c r="I33069" s="309"/>
      <c r="J33069" s="309"/>
    </row>
    <row r="33070">
      <c r="B33070" s="309"/>
      <c r="C33070" s="309"/>
      <c r="I33070" s="309"/>
      <c r="J33070" s="309"/>
    </row>
    <row r="33071">
      <c r="B33071" s="309"/>
      <c r="C33071" s="309"/>
      <c r="I33071" s="309"/>
      <c r="J33071" s="309"/>
    </row>
    <row r="33072">
      <c r="B33072" s="309"/>
      <c r="C33072" s="309"/>
      <c r="I33072" s="309"/>
      <c r="J33072" s="309"/>
    </row>
    <row r="33073">
      <c r="B33073" s="309"/>
      <c r="C33073" s="309"/>
      <c r="I33073" s="309"/>
      <c r="J33073" s="309"/>
    </row>
    <row r="33074">
      <c r="B33074" s="309"/>
      <c r="C33074" s="309"/>
      <c r="I33074" s="309"/>
      <c r="J33074" s="309"/>
    </row>
    <row r="33075">
      <c r="B33075" s="309"/>
      <c r="C33075" s="309"/>
      <c r="I33075" s="309"/>
      <c r="J33075" s="309"/>
    </row>
    <row r="33076">
      <c r="B33076" s="309"/>
      <c r="C33076" s="309"/>
      <c r="I33076" s="309"/>
      <c r="J33076" s="309"/>
    </row>
    <row r="33077">
      <c r="B33077" s="309"/>
      <c r="C33077" s="309"/>
      <c r="I33077" s="309"/>
      <c r="J33077" s="309"/>
    </row>
    <row r="33078">
      <c r="B33078" s="309"/>
      <c r="C33078" s="309"/>
      <c r="I33078" s="309"/>
      <c r="J33078" s="309"/>
    </row>
    <row r="33079">
      <c r="B33079" s="309"/>
      <c r="C33079" s="309"/>
      <c r="I33079" s="309"/>
      <c r="J33079" s="309"/>
    </row>
    <row r="33080">
      <c r="B33080" s="309"/>
      <c r="C33080" s="309"/>
      <c r="I33080" s="309"/>
      <c r="J33080" s="309"/>
    </row>
    <row r="33081">
      <c r="B33081" s="309"/>
      <c r="C33081" s="309"/>
      <c r="I33081" s="309"/>
      <c r="J33081" s="309"/>
    </row>
    <row r="33082">
      <c r="B33082" s="309"/>
      <c r="C33082" s="309"/>
      <c r="I33082" s="309"/>
      <c r="J33082" s="309"/>
    </row>
    <row r="33083">
      <c r="B33083" s="309"/>
      <c r="C33083" s="309"/>
      <c r="I33083" s="309"/>
      <c r="J33083" s="309"/>
    </row>
    <row r="33084">
      <c r="B33084" s="309"/>
      <c r="C33084" s="309"/>
      <c r="I33084" s="309"/>
      <c r="J33084" s="309"/>
    </row>
    <row r="33085">
      <c r="B33085" s="309"/>
      <c r="C33085" s="309"/>
      <c r="I33085" s="309"/>
      <c r="J33085" s="309"/>
    </row>
    <row r="33086">
      <c r="B33086" s="309"/>
      <c r="C33086" s="309"/>
      <c r="I33086" s="309"/>
      <c r="J33086" s="309"/>
    </row>
    <row r="33087">
      <c r="B33087" s="309"/>
      <c r="C33087" s="309"/>
      <c r="I33087" s="309"/>
      <c r="J33087" s="309"/>
    </row>
    <row r="33088">
      <c r="B33088" s="309"/>
      <c r="C33088" s="309"/>
      <c r="I33088" s="309"/>
      <c r="J33088" s="309"/>
    </row>
    <row r="33089">
      <c r="B33089" s="309"/>
      <c r="C33089" s="309"/>
      <c r="I33089" s="309"/>
      <c r="J33089" s="309"/>
    </row>
    <row r="33090">
      <c r="B33090" s="309"/>
      <c r="C33090" s="309"/>
      <c r="I33090" s="309"/>
      <c r="J33090" s="309"/>
    </row>
    <row r="33091">
      <c r="B33091" s="309"/>
      <c r="C33091" s="309"/>
      <c r="I33091" s="309"/>
      <c r="J33091" s="309"/>
    </row>
    <row r="33092">
      <c r="B33092" s="309"/>
      <c r="C33092" s="309"/>
      <c r="I33092" s="309"/>
      <c r="J33092" s="309"/>
    </row>
    <row r="33093">
      <c r="B33093" s="309"/>
      <c r="C33093" s="309"/>
      <c r="I33093" s="309"/>
      <c r="J33093" s="309"/>
    </row>
    <row r="33094">
      <c r="B33094" s="309"/>
      <c r="C33094" s="309"/>
      <c r="I33094" s="309"/>
      <c r="J33094" s="309"/>
    </row>
    <row r="33095">
      <c r="B33095" s="309"/>
      <c r="C33095" s="309"/>
      <c r="I33095" s="309"/>
      <c r="J33095" s="309"/>
    </row>
    <row r="33096">
      <c r="B33096" s="309"/>
      <c r="C33096" s="309"/>
      <c r="I33096" s="309"/>
      <c r="J33096" s="309"/>
    </row>
    <row r="33097">
      <c r="B33097" s="309"/>
      <c r="C33097" s="309"/>
      <c r="I33097" s="309"/>
      <c r="J33097" s="309"/>
    </row>
    <row r="33098">
      <c r="B33098" s="309"/>
      <c r="C33098" s="309"/>
      <c r="I33098" s="309"/>
      <c r="J33098" s="309"/>
    </row>
    <row r="33099">
      <c r="B33099" s="309"/>
      <c r="C33099" s="309"/>
      <c r="I33099" s="309"/>
      <c r="J33099" s="309"/>
    </row>
    <row r="33100">
      <c r="B33100" s="309"/>
      <c r="C33100" s="309"/>
      <c r="I33100" s="309"/>
      <c r="J33100" s="309"/>
    </row>
    <row r="33101">
      <c r="B33101" s="309"/>
      <c r="C33101" s="309"/>
      <c r="I33101" s="309"/>
      <c r="J33101" s="309"/>
    </row>
    <row r="33102">
      <c r="B33102" s="309"/>
      <c r="C33102" s="309"/>
      <c r="I33102" s="309"/>
      <c r="J33102" s="309"/>
    </row>
    <row r="33103">
      <c r="B33103" s="309"/>
      <c r="C33103" s="309"/>
      <c r="I33103" s="309"/>
      <c r="J33103" s="309"/>
    </row>
    <row r="33104">
      <c r="B33104" s="309"/>
      <c r="C33104" s="309"/>
      <c r="I33104" s="309"/>
      <c r="J33104" s="309"/>
    </row>
    <row r="33105">
      <c r="B33105" s="309"/>
      <c r="C33105" s="309"/>
      <c r="I33105" s="309"/>
      <c r="J33105" s="309"/>
    </row>
    <row r="33106">
      <c r="B33106" s="309"/>
      <c r="C33106" s="309"/>
      <c r="I33106" s="309"/>
      <c r="J33106" s="309"/>
    </row>
    <row r="33107">
      <c r="B33107" s="309"/>
      <c r="C33107" s="309"/>
      <c r="I33107" s="309"/>
      <c r="J33107" s="309"/>
    </row>
    <row r="33108">
      <c r="B33108" s="309"/>
      <c r="C33108" s="309"/>
      <c r="I33108" s="309"/>
      <c r="J33108" s="309"/>
    </row>
    <row r="33109">
      <c r="B33109" s="309"/>
      <c r="C33109" s="309"/>
      <c r="I33109" s="309"/>
      <c r="J33109" s="309"/>
    </row>
    <row r="33110">
      <c r="B33110" s="309"/>
      <c r="C33110" s="309"/>
      <c r="I33110" s="309"/>
      <c r="J33110" s="309"/>
    </row>
    <row r="33111">
      <c r="B33111" s="309"/>
      <c r="C33111" s="309"/>
      <c r="I33111" s="309"/>
      <c r="J33111" s="309"/>
    </row>
    <row r="33112">
      <c r="B33112" s="309"/>
      <c r="C33112" s="309"/>
      <c r="I33112" s="309"/>
      <c r="J33112" s="309"/>
    </row>
    <row r="33113">
      <c r="B33113" s="309"/>
      <c r="C33113" s="309"/>
      <c r="I33113" s="309"/>
      <c r="J33113" s="309"/>
    </row>
    <row r="33114">
      <c r="B33114" s="309"/>
      <c r="C33114" s="309"/>
      <c r="I33114" s="309"/>
      <c r="J33114" s="309"/>
    </row>
    <row r="33115">
      <c r="B33115" s="309"/>
      <c r="C33115" s="309"/>
      <c r="I33115" s="309"/>
      <c r="J33115" s="309"/>
    </row>
    <row r="33116">
      <c r="B33116" s="309"/>
      <c r="C33116" s="309"/>
      <c r="I33116" s="309"/>
      <c r="J33116" s="309"/>
    </row>
    <row r="33117">
      <c r="B33117" s="309"/>
      <c r="C33117" s="309"/>
      <c r="I33117" s="309"/>
      <c r="J33117" s="309"/>
    </row>
    <row r="33118">
      <c r="B33118" s="309"/>
      <c r="C33118" s="309"/>
      <c r="I33118" s="309"/>
      <c r="J33118" s="309"/>
    </row>
    <row r="33119">
      <c r="B33119" s="309"/>
      <c r="C33119" s="309"/>
      <c r="I33119" s="309"/>
      <c r="J33119" s="309"/>
    </row>
    <row r="33120">
      <c r="B33120" s="309"/>
      <c r="C33120" s="309"/>
      <c r="I33120" s="309"/>
      <c r="J33120" s="309"/>
    </row>
    <row r="33121">
      <c r="B33121" s="309"/>
      <c r="C33121" s="309"/>
      <c r="I33121" s="309"/>
      <c r="J33121" s="309"/>
    </row>
    <row r="33122">
      <c r="B33122" s="309"/>
      <c r="C33122" s="309"/>
      <c r="I33122" s="309"/>
      <c r="J33122" s="309"/>
    </row>
    <row r="33123">
      <c r="B33123" s="309"/>
      <c r="C33123" s="309"/>
      <c r="I33123" s="309"/>
      <c r="J33123" s="309"/>
    </row>
    <row r="33124">
      <c r="B33124" s="309"/>
      <c r="C33124" s="309"/>
      <c r="I33124" s="309"/>
      <c r="J33124" s="309"/>
    </row>
    <row r="33125">
      <c r="B33125" s="309"/>
      <c r="C33125" s="309"/>
      <c r="I33125" s="309"/>
      <c r="J33125" s="309"/>
    </row>
    <row r="33126">
      <c r="B33126" s="309"/>
      <c r="C33126" s="309"/>
      <c r="I33126" s="309"/>
      <c r="J33126" s="309"/>
    </row>
    <row r="33127">
      <c r="B33127" s="309"/>
      <c r="C33127" s="309"/>
      <c r="I33127" s="309"/>
      <c r="J33127" s="309"/>
    </row>
    <row r="33128">
      <c r="B33128" s="309"/>
      <c r="C33128" s="309"/>
      <c r="I33128" s="309"/>
      <c r="J33128" s="309"/>
    </row>
    <row r="33129">
      <c r="B33129" s="309"/>
      <c r="C33129" s="309"/>
      <c r="I33129" s="309"/>
      <c r="J33129" s="309"/>
    </row>
    <row r="33130">
      <c r="B33130" s="309"/>
      <c r="C33130" s="309"/>
      <c r="I33130" s="309"/>
      <c r="J33130" s="309"/>
    </row>
    <row r="33131">
      <c r="B33131" s="309"/>
      <c r="C33131" s="309"/>
      <c r="I33131" s="309"/>
      <c r="J33131" s="309"/>
    </row>
    <row r="33132">
      <c r="B33132" s="309"/>
      <c r="C33132" s="309"/>
      <c r="I33132" s="309"/>
      <c r="J33132" s="309"/>
    </row>
    <row r="33133">
      <c r="B33133" s="309"/>
      <c r="C33133" s="309"/>
      <c r="I33133" s="309"/>
      <c r="J33133" s="309"/>
    </row>
    <row r="33134">
      <c r="B33134" s="309"/>
      <c r="C33134" s="309"/>
      <c r="I33134" s="309"/>
      <c r="J33134" s="309"/>
    </row>
    <row r="33135">
      <c r="B33135" s="309"/>
      <c r="C33135" s="309"/>
      <c r="I33135" s="309"/>
      <c r="J33135" s="309"/>
    </row>
    <row r="33136">
      <c r="B33136" s="309"/>
      <c r="C33136" s="309"/>
      <c r="I33136" s="309"/>
      <c r="J33136" s="309"/>
    </row>
    <row r="33137">
      <c r="B33137" s="309"/>
      <c r="C33137" s="309"/>
      <c r="I33137" s="309"/>
      <c r="J33137" s="309"/>
    </row>
    <row r="33138">
      <c r="B33138" s="309"/>
      <c r="C33138" s="309"/>
      <c r="I33138" s="309"/>
      <c r="J33138" s="309"/>
    </row>
    <row r="33139">
      <c r="B33139" s="309"/>
      <c r="C33139" s="309"/>
      <c r="I33139" s="309"/>
      <c r="J33139" s="309"/>
    </row>
    <row r="33140">
      <c r="B33140" s="309"/>
      <c r="C33140" s="309"/>
      <c r="I33140" s="309"/>
      <c r="J33140" s="309"/>
    </row>
    <row r="33141">
      <c r="B33141" s="309"/>
      <c r="C33141" s="309"/>
      <c r="I33141" s="309"/>
      <c r="J33141" s="309"/>
    </row>
    <row r="33142">
      <c r="B33142" s="309"/>
      <c r="C33142" s="309"/>
      <c r="I33142" s="309"/>
      <c r="J33142" s="309"/>
    </row>
    <row r="33143">
      <c r="B33143" s="309"/>
      <c r="C33143" s="309"/>
      <c r="I33143" s="309"/>
      <c r="J33143" s="309"/>
    </row>
    <row r="33144">
      <c r="B33144" s="309"/>
      <c r="C33144" s="309"/>
      <c r="I33144" s="309"/>
      <c r="J33144" s="309"/>
    </row>
    <row r="33145">
      <c r="B33145" s="309"/>
      <c r="C33145" s="309"/>
      <c r="I33145" s="309"/>
      <c r="J33145" s="309"/>
    </row>
    <row r="33146">
      <c r="B33146" s="309"/>
      <c r="C33146" s="309"/>
      <c r="I33146" s="309"/>
      <c r="J33146" s="309"/>
    </row>
    <row r="33147">
      <c r="B33147" s="309"/>
      <c r="C33147" s="309"/>
      <c r="I33147" s="309"/>
      <c r="J33147" s="309"/>
    </row>
    <row r="33148">
      <c r="B33148" s="309"/>
      <c r="C33148" s="309"/>
      <c r="I33148" s="309"/>
      <c r="J33148" s="309"/>
    </row>
    <row r="33149">
      <c r="B33149" s="309"/>
      <c r="C33149" s="309"/>
      <c r="I33149" s="309"/>
      <c r="J33149" s="309"/>
    </row>
    <row r="33150">
      <c r="B33150" s="309"/>
      <c r="C33150" s="309"/>
      <c r="I33150" s="309"/>
      <c r="J33150" s="309"/>
    </row>
    <row r="33151">
      <c r="B33151" s="309"/>
      <c r="C33151" s="309"/>
      <c r="I33151" s="309"/>
      <c r="J33151" s="309"/>
    </row>
    <row r="33152">
      <c r="B33152" s="309"/>
      <c r="C33152" s="309"/>
      <c r="I33152" s="309"/>
      <c r="J33152" s="309"/>
    </row>
    <row r="33153">
      <c r="B33153" s="309"/>
      <c r="C33153" s="309"/>
      <c r="I33153" s="309"/>
      <c r="J33153" s="309"/>
    </row>
    <row r="33154">
      <c r="B33154" s="309"/>
      <c r="C33154" s="309"/>
      <c r="I33154" s="309"/>
      <c r="J33154" s="309"/>
    </row>
    <row r="33155">
      <c r="B33155" s="309"/>
      <c r="C33155" s="309"/>
      <c r="I33155" s="309"/>
      <c r="J33155" s="309"/>
    </row>
    <row r="33156">
      <c r="B33156" s="309"/>
      <c r="C33156" s="309"/>
      <c r="I33156" s="309"/>
      <c r="J33156" s="309"/>
    </row>
    <row r="33157">
      <c r="B33157" s="309"/>
      <c r="C33157" s="309"/>
      <c r="I33157" s="309"/>
      <c r="J33157" s="309"/>
    </row>
    <row r="33158">
      <c r="B33158" s="309"/>
      <c r="C33158" s="309"/>
      <c r="I33158" s="309"/>
      <c r="J33158" s="309"/>
    </row>
    <row r="33159">
      <c r="B33159" s="309"/>
      <c r="C33159" s="309"/>
      <c r="I33159" s="309"/>
      <c r="J33159" s="309"/>
    </row>
    <row r="33160">
      <c r="B33160" s="309"/>
      <c r="C33160" s="309"/>
      <c r="I33160" s="309"/>
      <c r="J33160" s="309"/>
    </row>
    <row r="33161">
      <c r="B33161" s="309"/>
      <c r="C33161" s="309"/>
      <c r="I33161" s="309"/>
      <c r="J33161" s="309"/>
    </row>
    <row r="33162">
      <c r="B33162" s="309"/>
      <c r="C33162" s="309"/>
      <c r="I33162" s="309"/>
      <c r="J33162" s="309"/>
    </row>
    <row r="33163">
      <c r="B33163" s="309"/>
      <c r="C33163" s="309"/>
      <c r="I33163" s="309"/>
      <c r="J33163" s="309"/>
    </row>
    <row r="33164">
      <c r="B33164" s="309"/>
      <c r="C33164" s="309"/>
      <c r="I33164" s="309"/>
      <c r="J33164" s="309"/>
    </row>
    <row r="33165">
      <c r="B33165" s="309"/>
      <c r="C33165" s="309"/>
      <c r="I33165" s="309"/>
      <c r="J33165" s="309"/>
    </row>
    <row r="33166">
      <c r="B33166" s="309"/>
      <c r="C33166" s="309"/>
      <c r="I33166" s="309"/>
      <c r="J33166" s="309"/>
    </row>
    <row r="33167">
      <c r="B33167" s="309"/>
      <c r="C33167" s="309"/>
      <c r="I33167" s="309"/>
      <c r="J33167" s="309"/>
    </row>
    <row r="33168">
      <c r="B33168" s="309"/>
      <c r="C33168" s="309"/>
      <c r="I33168" s="309"/>
      <c r="J33168" s="309"/>
    </row>
    <row r="33169">
      <c r="B33169" s="309"/>
      <c r="C33169" s="309"/>
      <c r="I33169" s="309"/>
      <c r="J33169" s="309"/>
    </row>
    <row r="33170">
      <c r="B33170" s="309"/>
      <c r="C33170" s="309"/>
      <c r="I33170" s="309"/>
      <c r="J33170" s="309"/>
    </row>
    <row r="33171">
      <c r="B33171" s="309"/>
      <c r="C33171" s="309"/>
      <c r="I33171" s="309"/>
      <c r="J33171" s="309"/>
    </row>
    <row r="33172">
      <c r="B33172" s="309"/>
      <c r="C33172" s="309"/>
      <c r="I33172" s="309"/>
      <c r="J33172" s="309"/>
    </row>
    <row r="33173">
      <c r="B33173" s="309"/>
      <c r="C33173" s="309"/>
      <c r="I33173" s="309"/>
      <c r="J33173" s="309"/>
    </row>
    <row r="33174">
      <c r="B33174" s="309"/>
      <c r="C33174" s="309"/>
      <c r="I33174" s="309"/>
      <c r="J33174" s="309"/>
    </row>
    <row r="33175">
      <c r="B33175" s="309"/>
      <c r="C33175" s="309"/>
      <c r="I33175" s="309"/>
      <c r="J33175" s="309"/>
    </row>
    <row r="33176">
      <c r="B33176" s="309"/>
      <c r="C33176" s="309"/>
      <c r="I33176" s="309"/>
      <c r="J33176" s="309"/>
    </row>
    <row r="33177">
      <c r="B33177" s="309"/>
      <c r="C33177" s="309"/>
      <c r="I33177" s="309"/>
      <c r="J33177" s="309"/>
    </row>
    <row r="33178">
      <c r="B33178" s="309"/>
      <c r="C33178" s="309"/>
      <c r="I33178" s="309"/>
      <c r="J33178" s="309"/>
    </row>
    <row r="33179">
      <c r="B33179" s="309"/>
      <c r="C33179" s="309"/>
      <c r="I33179" s="309"/>
      <c r="J33179" s="309"/>
    </row>
    <row r="33180">
      <c r="B33180" s="309"/>
      <c r="C33180" s="309"/>
      <c r="I33180" s="309"/>
      <c r="J33180" s="309"/>
    </row>
    <row r="33181">
      <c r="B33181" s="309"/>
      <c r="C33181" s="309"/>
      <c r="I33181" s="309"/>
      <c r="J33181" s="309"/>
    </row>
    <row r="33182">
      <c r="B33182" s="309"/>
      <c r="C33182" s="309"/>
      <c r="I33182" s="309"/>
      <c r="J33182" s="309"/>
    </row>
    <row r="33183">
      <c r="B33183" s="309"/>
      <c r="C33183" s="309"/>
      <c r="I33183" s="309"/>
      <c r="J33183" s="309"/>
    </row>
    <row r="33184">
      <c r="B33184" s="309"/>
      <c r="C33184" s="309"/>
      <c r="I33184" s="309"/>
      <c r="J33184" s="309"/>
    </row>
    <row r="33185">
      <c r="B33185" s="309"/>
      <c r="C33185" s="309"/>
      <c r="I33185" s="309"/>
      <c r="J33185" s="309"/>
    </row>
    <row r="33186">
      <c r="B33186" s="309"/>
      <c r="C33186" s="309"/>
      <c r="I33186" s="309"/>
      <c r="J33186" s="309"/>
    </row>
    <row r="33187">
      <c r="B33187" s="309"/>
      <c r="C33187" s="309"/>
      <c r="I33187" s="309"/>
      <c r="J33187" s="309"/>
    </row>
    <row r="33188">
      <c r="B33188" s="309"/>
      <c r="C33188" s="309"/>
      <c r="I33188" s="309"/>
      <c r="J33188" s="309"/>
    </row>
    <row r="33189">
      <c r="B33189" s="309"/>
      <c r="C33189" s="309"/>
      <c r="I33189" s="309"/>
      <c r="J33189" s="309"/>
    </row>
    <row r="33190">
      <c r="B33190" s="309"/>
      <c r="C33190" s="309"/>
      <c r="I33190" s="309"/>
      <c r="J33190" s="309"/>
    </row>
    <row r="33191">
      <c r="B33191" s="309"/>
      <c r="C33191" s="309"/>
      <c r="I33191" s="309"/>
      <c r="J33191" s="309"/>
    </row>
    <row r="33192">
      <c r="B33192" s="309"/>
      <c r="C33192" s="309"/>
      <c r="I33192" s="309"/>
      <c r="J33192" s="309"/>
    </row>
    <row r="33193">
      <c r="B33193" s="309"/>
      <c r="C33193" s="309"/>
      <c r="I33193" s="309"/>
      <c r="J33193" s="309"/>
    </row>
    <row r="33194">
      <c r="B33194" s="309"/>
      <c r="C33194" s="309"/>
      <c r="I33194" s="309"/>
      <c r="J33194" s="309"/>
    </row>
    <row r="33195">
      <c r="B33195" s="309"/>
      <c r="C33195" s="309"/>
      <c r="I33195" s="309"/>
      <c r="J33195" s="309"/>
    </row>
    <row r="33196">
      <c r="B33196" s="309"/>
      <c r="C33196" s="309"/>
      <c r="I33196" s="309"/>
      <c r="J33196" s="309"/>
    </row>
    <row r="33197">
      <c r="B33197" s="309"/>
      <c r="C33197" s="309"/>
      <c r="I33197" s="309"/>
      <c r="J33197" s="309"/>
    </row>
    <row r="33198">
      <c r="B33198" s="309"/>
      <c r="C33198" s="309"/>
      <c r="I33198" s="309"/>
      <c r="J33198" s="309"/>
    </row>
    <row r="33199">
      <c r="B33199" s="309"/>
      <c r="C33199" s="309"/>
      <c r="I33199" s="309"/>
      <c r="J33199" s="309"/>
    </row>
    <row r="33200">
      <c r="B33200" s="309"/>
      <c r="C33200" s="309"/>
      <c r="I33200" s="309"/>
      <c r="J33200" s="309"/>
    </row>
    <row r="33201">
      <c r="B33201" s="309"/>
      <c r="C33201" s="309"/>
      <c r="I33201" s="309"/>
      <c r="J33201" s="309"/>
    </row>
    <row r="33202">
      <c r="B33202" s="309"/>
      <c r="C33202" s="309"/>
      <c r="I33202" s="309"/>
      <c r="J33202" s="309"/>
    </row>
    <row r="33203">
      <c r="B33203" s="309"/>
      <c r="C33203" s="309"/>
      <c r="I33203" s="309"/>
      <c r="J33203" s="309"/>
    </row>
    <row r="33204">
      <c r="B33204" s="309"/>
      <c r="C33204" s="309"/>
      <c r="I33204" s="309"/>
      <c r="J33204" s="309"/>
    </row>
    <row r="33205">
      <c r="B33205" s="309"/>
      <c r="C33205" s="309"/>
      <c r="I33205" s="309"/>
      <c r="J33205" s="309"/>
    </row>
    <row r="33206">
      <c r="B33206" s="309"/>
      <c r="C33206" s="309"/>
      <c r="I33206" s="309"/>
      <c r="J33206" s="309"/>
    </row>
    <row r="33207">
      <c r="B33207" s="309"/>
      <c r="C33207" s="309"/>
      <c r="I33207" s="309"/>
      <c r="J33207" s="309"/>
    </row>
    <row r="33208">
      <c r="B33208" s="309"/>
      <c r="C33208" s="309"/>
      <c r="I33208" s="309"/>
      <c r="J33208" s="309"/>
    </row>
    <row r="33209">
      <c r="B33209" s="309"/>
      <c r="C33209" s="309"/>
      <c r="I33209" s="309"/>
      <c r="J33209" s="309"/>
    </row>
    <row r="33210">
      <c r="B33210" s="309"/>
      <c r="C33210" s="309"/>
      <c r="I33210" s="309"/>
      <c r="J33210" s="309"/>
    </row>
    <row r="33211">
      <c r="B33211" s="309"/>
      <c r="C33211" s="309"/>
      <c r="I33211" s="309"/>
      <c r="J33211" s="309"/>
    </row>
    <row r="33212">
      <c r="B33212" s="309"/>
      <c r="C33212" s="309"/>
      <c r="I33212" s="309"/>
      <c r="J33212" s="309"/>
    </row>
    <row r="33213">
      <c r="B33213" s="309"/>
      <c r="C33213" s="309"/>
      <c r="I33213" s="309"/>
      <c r="J33213" s="309"/>
    </row>
    <row r="33214">
      <c r="B33214" s="309"/>
      <c r="C33214" s="309"/>
      <c r="I33214" s="309"/>
      <c r="J33214" s="309"/>
    </row>
    <row r="33215">
      <c r="B33215" s="309"/>
      <c r="C33215" s="309"/>
      <c r="I33215" s="309"/>
      <c r="J33215" s="309"/>
    </row>
    <row r="33216">
      <c r="B33216" s="309"/>
      <c r="C33216" s="309"/>
      <c r="I33216" s="309"/>
      <c r="J33216" s="309"/>
    </row>
    <row r="33217">
      <c r="B33217" s="309"/>
      <c r="C33217" s="309"/>
      <c r="I33217" s="309"/>
      <c r="J33217" s="309"/>
    </row>
    <row r="33218">
      <c r="B33218" s="309"/>
      <c r="C33218" s="309"/>
      <c r="I33218" s="309"/>
      <c r="J33218" s="309"/>
    </row>
    <row r="33219">
      <c r="B33219" s="309"/>
      <c r="C33219" s="309"/>
      <c r="I33219" s="309"/>
      <c r="J33219" s="309"/>
    </row>
    <row r="33220">
      <c r="B33220" s="309"/>
      <c r="C33220" s="309"/>
      <c r="I33220" s="309"/>
      <c r="J33220" s="309"/>
    </row>
    <row r="33221">
      <c r="B33221" s="309"/>
      <c r="C33221" s="309"/>
      <c r="I33221" s="309"/>
      <c r="J33221" s="309"/>
    </row>
    <row r="33222">
      <c r="B33222" s="309"/>
      <c r="C33222" s="309"/>
      <c r="I33222" s="309"/>
      <c r="J33222" s="309"/>
    </row>
    <row r="33223">
      <c r="B33223" s="309"/>
      <c r="C33223" s="309"/>
      <c r="I33223" s="309"/>
      <c r="J33223" s="309"/>
    </row>
    <row r="33224">
      <c r="B33224" s="309"/>
      <c r="C33224" s="309"/>
      <c r="I33224" s="309"/>
      <c r="J33224" s="309"/>
    </row>
    <row r="33225">
      <c r="B33225" s="309"/>
      <c r="C33225" s="309"/>
      <c r="I33225" s="309"/>
      <c r="J33225" s="309"/>
    </row>
    <row r="33226">
      <c r="B33226" s="309"/>
      <c r="C33226" s="309"/>
      <c r="I33226" s="309"/>
      <c r="J33226" s="309"/>
    </row>
    <row r="33227">
      <c r="B33227" s="309"/>
      <c r="C33227" s="309"/>
      <c r="I33227" s="309"/>
      <c r="J33227" s="309"/>
    </row>
    <row r="33228">
      <c r="B33228" s="309"/>
      <c r="C33228" s="309"/>
      <c r="I33228" s="309"/>
      <c r="J33228" s="309"/>
    </row>
    <row r="33229">
      <c r="B33229" s="309"/>
      <c r="C33229" s="309"/>
      <c r="I33229" s="309"/>
      <c r="J33229" s="309"/>
    </row>
    <row r="33230">
      <c r="B33230" s="309"/>
      <c r="C33230" s="309"/>
      <c r="I33230" s="309"/>
      <c r="J33230" s="309"/>
    </row>
    <row r="33231">
      <c r="B33231" s="309"/>
      <c r="C33231" s="309"/>
      <c r="I33231" s="309"/>
      <c r="J33231" s="309"/>
    </row>
    <row r="33232">
      <c r="B33232" s="309"/>
      <c r="C33232" s="309"/>
      <c r="I33232" s="309"/>
      <c r="J33232" s="309"/>
    </row>
    <row r="33233">
      <c r="B33233" s="309"/>
      <c r="C33233" s="309"/>
      <c r="I33233" s="309"/>
      <c r="J33233" s="309"/>
    </row>
    <row r="33234">
      <c r="B33234" s="309"/>
      <c r="C33234" s="309"/>
      <c r="I33234" s="309"/>
      <c r="J33234" s="309"/>
    </row>
    <row r="33235">
      <c r="B33235" s="309"/>
      <c r="C33235" s="309"/>
      <c r="I33235" s="309"/>
      <c r="J33235" s="309"/>
    </row>
    <row r="33236">
      <c r="B33236" s="309"/>
      <c r="C33236" s="309"/>
      <c r="I33236" s="309"/>
      <c r="J33236" s="309"/>
    </row>
    <row r="33237">
      <c r="B33237" s="309"/>
      <c r="C33237" s="309"/>
      <c r="I33237" s="309"/>
      <c r="J33237" s="309"/>
    </row>
    <row r="33238">
      <c r="B33238" s="309"/>
      <c r="C33238" s="309"/>
      <c r="I33238" s="309"/>
      <c r="J33238" s="309"/>
    </row>
    <row r="33239">
      <c r="B33239" s="309"/>
      <c r="C33239" s="309"/>
      <c r="I33239" s="309"/>
      <c r="J33239" s="309"/>
    </row>
    <row r="33240">
      <c r="B33240" s="309"/>
      <c r="C33240" s="309"/>
      <c r="I33240" s="309"/>
      <c r="J33240" s="309"/>
    </row>
    <row r="33241">
      <c r="B33241" s="309"/>
      <c r="C33241" s="309"/>
      <c r="I33241" s="309"/>
      <c r="J33241" s="309"/>
    </row>
    <row r="33242">
      <c r="B33242" s="309"/>
      <c r="C33242" s="309"/>
      <c r="I33242" s="309"/>
      <c r="J33242" s="309"/>
    </row>
    <row r="33243">
      <c r="B33243" s="309"/>
      <c r="C33243" s="309"/>
      <c r="I33243" s="309"/>
      <c r="J33243" s="309"/>
    </row>
    <row r="33244">
      <c r="B33244" s="309"/>
      <c r="C33244" s="309"/>
      <c r="I33244" s="309"/>
      <c r="J33244" s="309"/>
    </row>
    <row r="33245">
      <c r="B33245" s="309"/>
      <c r="C33245" s="309"/>
      <c r="I33245" s="309"/>
      <c r="J33245" s="309"/>
    </row>
    <row r="33246">
      <c r="B33246" s="309"/>
      <c r="C33246" s="309"/>
      <c r="I33246" s="309"/>
      <c r="J33246" s="309"/>
    </row>
    <row r="33247">
      <c r="B33247" s="309"/>
      <c r="C33247" s="309"/>
      <c r="I33247" s="309"/>
      <c r="J33247" s="309"/>
    </row>
    <row r="33248">
      <c r="B33248" s="309"/>
      <c r="C33248" s="309"/>
      <c r="I33248" s="309"/>
      <c r="J33248" s="309"/>
    </row>
    <row r="33249">
      <c r="B33249" s="309"/>
      <c r="C33249" s="309"/>
      <c r="I33249" s="309"/>
      <c r="J33249" s="309"/>
    </row>
    <row r="33250">
      <c r="B33250" s="309"/>
      <c r="C33250" s="309"/>
      <c r="I33250" s="309"/>
      <c r="J33250" s="309"/>
    </row>
    <row r="33251">
      <c r="B33251" s="309"/>
      <c r="C33251" s="309"/>
      <c r="I33251" s="309"/>
      <c r="J33251" s="309"/>
    </row>
    <row r="33252">
      <c r="B33252" s="309"/>
      <c r="C33252" s="309"/>
      <c r="I33252" s="309"/>
      <c r="J33252" s="309"/>
    </row>
    <row r="33253">
      <c r="B33253" s="309"/>
      <c r="C33253" s="309"/>
      <c r="I33253" s="309"/>
      <c r="J33253" s="309"/>
    </row>
    <row r="33254">
      <c r="B33254" s="309"/>
      <c r="C33254" s="309"/>
      <c r="I33254" s="309"/>
      <c r="J33254" s="309"/>
    </row>
    <row r="33255">
      <c r="B33255" s="309"/>
      <c r="C33255" s="309"/>
      <c r="I33255" s="309"/>
      <c r="J33255" s="309"/>
    </row>
    <row r="33256">
      <c r="B33256" s="309"/>
      <c r="C33256" s="309"/>
      <c r="I33256" s="309"/>
      <c r="J33256" s="309"/>
    </row>
    <row r="33257">
      <c r="B33257" s="309"/>
      <c r="C33257" s="309"/>
      <c r="I33257" s="309"/>
      <c r="J33257" s="309"/>
    </row>
    <row r="33258">
      <c r="B33258" s="309"/>
      <c r="C33258" s="309"/>
      <c r="I33258" s="309"/>
      <c r="J33258" s="309"/>
    </row>
    <row r="33259">
      <c r="B33259" s="309"/>
      <c r="C33259" s="309"/>
      <c r="I33259" s="309"/>
      <c r="J33259" s="309"/>
    </row>
    <row r="33260">
      <c r="B33260" s="309"/>
      <c r="C33260" s="309"/>
      <c r="I33260" s="309"/>
      <c r="J33260" s="309"/>
    </row>
    <row r="33261">
      <c r="B33261" s="309"/>
      <c r="C33261" s="309"/>
      <c r="I33261" s="309"/>
      <c r="J33261" s="309"/>
    </row>
    <row r="33262">
      <c r="B33262" s="309"/>
      <c r="C33262" s="309"/>
      <c r="I33262" s="309"/>
      <c r="J33262" s="309"/>
    </row>
    <row r="33263">
      <c r="B33263" s="309"/>
      <c r="C33263" s="309"/>
      <c r="I33263" s="309"/>
      <c r="J33263" s="309"/>
    </row>
    <row r="33264">
      <c r="B33264" s="309"/>
      <c r="C33264" s="309"/>
      <c r="I33264" s="309"/>
      <c r="J33264" s="309"/>
    </row>
    <row r="33265">
      <c r="B33265" s="309"/>
      <c r="C33265" s="309"/>
      <c r="I33265" s="309"/>
      <c r="J33265" s="309"/>
    </row>
    <row r="33266">
      <c r="B33266" s="309"/>
      <c r="C33266" s="309"/>
      <c r="I33266" s="309"/>
      <c r="J33266" s="309"/>
    </row>
    <row r="33267">
      <c r="B33267" s="309"/>
      <c r="C33267" s="309"/>
      <c r="I33267" s="309"/>
      <c r="J33267" s="309"/>
    </row>
    <row r="33268">
      <c r="B33268" s="309"/>
      <c r="C33268" s="309"/>
      <c r="I33268" s="309"/>
      <c r="J33268" s="309"/>
    </row>
    <row r="33269">
      <c r="B33269" s="309"/>
      <c r="C33269" s="309"/>
      <c r="I33269" s="309"/>
      <c r="J33269" s="309"/>
    </row>
    <row r="33270">
      <c r="B33270" s="309"/>
      <c r="C33270" s="309"/>
      <c r="I33270" s="309"/>
      <c r="J33270" s="309"/>
    </row>
    <row r="33271">
      <c r="B33271" s="309"/>
      <c r="C33271" s="309"/>
      <c r="I33271" s="309"/>
      <c r="J33271" s="309"/>
    </row>
    <row r="33272">
      <c r="B33272" s="309"/>
      <c r="C33272" s="309"/>
      <c r="I33272" s="309"/>
      <c r="J33272" s="309"/>
    </row>
    <row r="33273">
      <c r="B33273" s="309"/>
      <c r="C33273" s="309"/>
      <c r="I33273" s="309"/>
      <c r="J33273" s="309"/>
    </row>
    <row r="33274">
      <c r="B33274" s="309"/>
      <c r="C33274" s="309"/>
      <c r="I33274" s="309"/>
      <c r="J33274" s="309"/>
    </row>
    <row r="33275">
      <c r="B33275" s="309"/>
      <c r="C33275" s="309"/>
      <c r="I33275" s="309"/>
      <c r="J33275" s="309"/>
    </row>
    <row r="33276">
      <c r="B33276" s="309"/>
      <c r="C33276" s="309"/>
      <c r="I33276" s="309"/>
      <c r="J33276" s="309"/>
    </row>
    <row r="33277">
      <c r="B33277" s="309"/>
      <c r="C33277" s="309"/>
      <c r="I33277" s="309"/>
      <c r="J33277" s="309"/>
    </row>
    <row r="33278">
      <c r="B33278" s="309"/>
      <c r="C33278" s="309"/>
      <c r="I33278" s="309"/>
      <c r="J33278" s="309"/>
    </row>
    <row r="33279">
      <c r="B33279" s="309"/>
      <c r="C33279" s="309"/>
      <c r="I33279" s="309"/>
      <c r="J33279" s="309"/>
    </row>
    <row r="33280">
      <c r="B33280" s="309"/>
      <c r="C33280" s="309"/>
      <c r="I33280" s="309"/>
      <c r="J33280" s="309"/>
    </row>
    <row r="33281">
      <c r="B33281" s="309"/>
      <c r="C33281" s="309"/>
      <c r="I33281" s="309"/>
      <c r="J33281" s="309"/>
    </row>
    <row r="33282">
      <c r="B33282" s="309"/>
      <c r="C33282" s="309"/>
      <c r="I33282" s="309"/>
      <c r="J33282" s="309"/>
    </row>
    <row r="33283">
      <c r="B33283" s="309"/>
      <c r="C33283" s="309"/>
      <c r="I33283" s="309"/>
      <c r="J33283" s="309"/>
    </row>
    <row r="33284">
      <c r="B33284" s="309"/>
      <c r="C33284" s="309"/>
      <c r="I33284" s="309"/>
      <c r="J33284" s="309"/>
    </row>
    <row r="33285">
      <c r="B33285" s="309"/>
      <c r="C33285" s="309"/>
      <c r="I33285" s="309"/>
      <c r="J33285" s="309"/>
    </row>
    <row r="33286">
      <c r="B33286" s="309"/>
      <c r="C33286" s="309"/>
      <c r="I33286" s="309"/>
      <c r="J33286" s="309"/>
    </row>
    <row r="33287">
      <c r="B33287" s="309"/>
      <c r="C33287" s="309"/>
      <c r="I33287" s="309"/>
      <c r="J33287" s="309"/>
    </row>
    <row r="33288">
      <c r="B33288" s="309"/>
      <c r="C33288" s="309"/>
      <c r="I33288" s="309"/>
      <c r="J33288" s="309"/>
    </row>
    <row r="33289">
      <c r="B33289" s="309"/>
      <c r="C33289" s="309"/>
      <c r="I33289" s="309"/>
      <c r="J33289" s="309"/>
    </row>
    <row r="33290">
      <c r="B33290" s="309"/>
      <c r="C33290" s="309"/>
      <c r="I33290" s="309"/>
      <c r="J33290" s="309"/>
    </row>
    <row r="33291">
      <c r="B33291" s="309"/>
      <c r="C33291" s="309"/>
      <c r="I33291" s="309"/>
      <c r="J33291" s="309"/>
    </row>
    <row r="33292">
      <c r="B33292" s="309"/>
      <c r="C33292" s="309"/>
      <c r="I33292" s="309"/>
      <c r="J33292" s="309"/>
    </row>
    <row r="33293">
      <c r="B33293" s="309"/>
      <c r="C33293" s="309"/>
      <c r="I33293" s="309"/>
      <c r="J33293" s="309"/>
    </row>
    <row r="33294">
      <c r="B33294" s="309"/>
      <c r="C33294" s="309"/>
      <c r="I33294" s="309"/>
      <c r="J33294" s="309"/>
    </row>
    <row r="33295">
      <c r="B33295" s="309"/>
      <c r="C33295" s="309"/>
      <c r="I33295" s="309"/>
      <c r="J33295" s="309"/>
    </row>
    <row r="33296">
      <c r="B33296" s="309"/>
      <c r="C33296" s="309"/>
      <c r="I33296" s="309"/>
      <c r="J33296" s="309"/>
    </row>
    <row r="33297">
      <c r="B33297" s="309"/>
      <c r="C33297" s="309"/>
      <c r="I33297" s="309"/>
      <c r="J33297" s="309"/>
    </row>
    <row r="33298">
      <c r="B33298" s="309"/>
      <c r="C33298" s="309"/>
      <c r="I33298" s="309"/>
      <c r="J33298" s="309"/>
    </row>
    <row r="33299">
      <c r="B33299" s="309"/>
      <c r="C33299" s="309"/>
      <c r="I33299" s="309"/>
      <c r="J33299" s="309"/>
    </row>
    <row r="33300">
      <c r="B33300" s="309"/>
      <c r="C33300" s="309"/>
      <c r="I33300" s="309"/>
      <c r="J33300" s="309"/>
    </row>
    <row r="33301">
      <c r="B33301" s="309"/>
      <c r="C33301" s="309"/>
      <c r="I33301" s="309"/>
      <c r="J33301" s="309"/>
    </row>
    <row r="33302">
      <c r="B33302" s="309"/>
      <c r="C33302" s="309"/>
      <c r="I33302" s="309"/>
      <c r="J33302" s="309"/>
    </row>
    <row r="33303">
      <c r="B33303" s="309"/>
      <c r="C33303" s="309"/>
      <c r="I33303" s="309"/>
      <c r="J33303" s="309"/>
    </row>
    <row r="33304">
      <c r="B33304" s="309"/>
      <c r="C33304" s="309"/>
      <c r="I33304" s="309"/>
      <c r="J33304" s="309"/>
    </row>
    <row r="33305">
      <c r="B33305" s="309"/>
      <c r="C33305" s="309"/>
      <c r="I33305" s="309"/>
      <c r="J33305" s="309"/>
    </row>
    <row r="33306">
      <c r="B33306" s="309"/>
      <c r="C33306" s="309"/>
      <c r="I33306" s="309"/>
      <c r="J33306" s="309"/>
    </row>
    <row r="33307">
      <c r="B33307" s="309"/>
      <c r="C33307" s="309"/>
      <c r="I33307" s="309"/>
      <c r="J33307" s="309"/>
    </row>
    <row r="33308">
      <c r="B33308" s="309"/>
      <c r="C33308" s="309"/>
      <c r="I33308" s="309"/>
      <c r="J33308" s="309"/>
    </row>
    <row r="33309">
      <c r="B33309" s="309"/>
      <c r="C33309" s="309"/>
      <c r="I33309" s="309"/>
      <c r="J33309" s="309"/>
    </row>
    <row r="33310">
      <c r="B33310" s="309"/>
      <c r="C33310" s="309"/>
      <c r="I33310" s="309"/>
      <c r="J33310" s="309"/>
    </row>
    <row r="33311">
      <c r="B33311" s="309"/>
      <c r="C33311" s="309"/>
      <c r="I33311" s="309"/>
      <c r="J33311" s="309"/>
    </row>
    <row r="33312">
      <c r="B33312" s="309"/>
      <c r="C33312" s="309"/>
      <c r="I33312" s="309"/>
      <c r="J33312" s="309"/>
    </row>
    <row r="33313">
      <c r="B33313" s="309"/>
      <c r="C33313" s="309"/>
      <c r="I33313" s="309"/>
      <c r="J33313" s="309"/>
    </row>
    <row r="33314">
      <c r="B33314" s="309"/>
      <c r="C33314" s="309"/>
      <c r="I33314" s="309"/>
      <c r="J33314" s="309"/>
    </row>
    <row r="33315">
      <c r="B33315" s="309"/>
      <c r="C33315" s="309"/>
      <c r="I33315" s="309"/>
      <c r="J33315" s="309"/>
    </row>
    <row r="33316">
      <c r="B33316" s="309"/>
      <c r="C33316" s="309"/>
      <c r="I33316" s="309"/>
      <c r="J33316" s="309"/>
    </row>
    <row r="33317">
      <c r="B33317" s="309"/>
      <c r="C33317" s="309"/>
      <c r="I33317" s="309"/>
      <c r="J33317" s="309"/>
    </row>
    <row r="33318">
      <c r="B33318" s="309"/>
      <c r="C33318" s="309"/>
      <c r="I33318" s="309"/>
      <c r="J33318" s="309"/>
    </row>
    <row r="33319">
      <c r="B33319" s="309"/>
      <c r="C33319" s="309"/>
      <c r="I33319" s="309"/>
      <c r="J33319" s="309"/>
    </row>
    <row r="33320">
      <c r="B33320" s="309"/>
      <c r="C33320" s="309"/>
      <c r="I33320" s="309"/>
      <c r="J33320" s="309"/>
    </row>
    <row r="33321">
      <c r="B33321" s="309"/>
      <c r="C33321" s="309"/>
      <c r="I33321" s="309"/>
      <c r="J33321" s="309"/>
    </row>
    <row r="33322">
      <c r="B33322" s="309"/>
      <c r="C33322" s="309"/>
      <c r="I33322" s="309"/>
      <c r="J33322" s="309"/>
    </row>
    <row r="33323">
      <c r="B33323" s="309"/>
      <c r="C33323" s="309"/>
      <c r="I33323" s="309"/>
      <c r="J33323" s="309"/>
    </row>
    <row r="33324">
      <c r="B33324" s="309"/>
      <c r="C33324" s="309"/>
      <c r="I33324" s="309"/>
      <c r="J33324" s="309"/>
    </row>
    <row r="33325">
      <c r="B33325" s="309"/>
      <c r="C33325" s="309"/>
      <c r="I33325" s="309"/>
      <c r="J33325" s="309"/>
    </row>
    <row r="33326">
      <c r="B33326" s="309"/>
      <c r="C33326" s="309"/>
      <c r="I33326" s="309"/>
      <c r="J33326" s="309"/>
    </row>
    <row r="33327">
      <c r="B33327" s="309"/>
      <c r="C33327" s="309"/>
      <c r="I33327" s="309"/>
      <c r="J33327" s="309"/>
    </row>
    <row r="33328">
      <c r="B33328" s="309"/>
      <c r="C33328" s="309"/>
      <c r="I33328" s="309"/>
      <c r="J33328" s="309"/>
    </row>
    <row r="33329">
      <c r="B33329" s="309"/>
      <c r="C33329" s="309"/>
      <c r="I33329" s="309"/>
      <c r="J33329" s="309"/>
    </row>
    <row r="33330">
      <c r="B33330" s="309"/>
      <c r="C33330" s="309"/>
      <c r="I33330" s="309"/>
      <c r="J33330" s="309"/>
    </row>
    <row r="33331">
      <c r="B33331" s="309"/>
      <c r="C33331" s="309"/>
      <c r="I33331" s="309"/>
      <c r="J33331" s="309"/>
    </row>
    <row r="33332">
      <c r="B33332" s="309"/>
      <c r="C33332" s="309"/>
      <c r="I33332" s="309"/>
      <c r="J33332" s="309"/>
    </row>
    <row r="33333">
      <c r="B33333" s="309"/>
      <c r="C33333" s="309"/>
      <c r="I33333" s="309"/>
      <c r="J33333" s="309"/>
    </row>
    <row r="33334">
      <c r="B33334" s="309"/>
      <c r="C33334" s="309"/>
      <c r="I33334" s="309"/>
      <c r="J33334" s="309"/>
    </row>
    <row r="33335">
      <c r="B33335" s="309"/>
      <c r="C33335" s="309"/>
      <c r="I33335" s="309"/>
      <c r="J33335" s="309"/>
    </row>
    <row r="33336">
      <c r="B33336" s="309"/>
      <c r="C33336" s="309"/>
      <c r="I33336" s="309"/>
      <c r="J33336" s="309"/>
    </row>
    <row r="33337">
      <c r="B33337" s="309"/>
      <c r="C33337" s="309"/>
      <c r="I33337" s="309"/>
      <c r="J33337" s="309"/>
    </row>
    <row r="33338">
      <c r="B33338" s="309"/>
      <c r="C33338" s="309"/>
      <c r="I33338" s="309"/>
      <c r="J33338" s="309"/>
    </row>
    <row r="33339">
      <c r="B33339" s="309"/>
      <c r="C33339" s="309"/>
      <c r="I33339" s="309"/>
      <c r="J33339" s="309"/>
    </row>
    <row r="33340">
      <c r="B33340" s="309"/>
      <c r="C33340" s="309"/>
      <c r="I33340" s="309"/>
      <c r="J33340" s="309"/>
    </row>
    <row r="33341">
      <c r="B33341" s="309"/>
      <c r="C33341" s="309"/>
      <c r="I33341" s="309"/>
      <c r="J33341" s="309"/>
    </row>
    <row r="33342">
      <c r="B33342" s="309"/>
      <c r="C33342" s="309"/>
      <c r="I33342" s="309"/>
      <c r="J33342" s="309"/>
    </row>
    <row r="33343">
      <c r="B33343" s="309"/>
      <c r="C33343" s="309"/>
      <c r="I33343" s="309"/>
      <c r="J33343" s="309"/>
    </row>
    <row r="33344">
      <c r="B33344" s="309"/>
      <c r="C33344" s="309"/>
      <c r="I33344" s="309"/>
      <c r="J33344" s="309"/>
    </row>
    <row r="33345">
      <c r="B33345" s="309"/>
      <c r="C33345" s="309"/>
      <c r="I33345" s="309"/>
      <c r="J33345" s="309"/>
    </row>
    <row r="33346">
      <c r="B33346" s="309"/>
      <c r="C33346" s="309"/>
      <c r="I33346" s="309"/>
      <c r="J33346" s="309"/>
    </row>
    <row r="33347">
      <c r="B33347" s="309"/>
      <c r="C33347" s="309"/>
      <c r="I33347" s="309"/>
      <c r="J33347" s="309"/>
    </row>
    <row r="33348">
      <c r="B33348" s="309"/>
      <c r="C33348" s="309"/>
      <c r="I33348" s="309"/>
      <c r="J33348" s="309"/>
    </row>
    <row r="33349">
      <c r="B33349" s="309"/>
      <c r="C33349" s="309"/>
      <c r="I33349" s="309"/>
      <c r="J33349" s="309"/>
    </row>
    <row r="33350">
      <c r="B33350" s="309"/>
      <c r="C33350" s="309"/>
      <c r="I33350" s="309"/>
      <c r="J33350" s="309"/>
    </row>
    <row r="33351">
      <c r="B33351" s="309"/>
      <c r="C33351" s="309"/>
      <c r="I33351" s="309"/>
      <c r="J33351" s="309"/>
    </row>
    <row r="33352">
      <c r="B33352" s="309"/>
      <c r="C33352" s="309"/>
      <c r="I33352" s="309"/>
      <c r="J33352" s="309"/>
    </row>
    <row r="33353">
      <c r="B33353" s="309"/>
      <c r="C33353" s="309"/>
      <c r="I33353" s="309"/>
      <c r="J33353" s="309"/>
    </row>
    <row r="33354">
      <c r="B33354" s="309"/>
      <c r="C33354" s="309"/>
      <c r="I33354" s="309"/>
      <c r="J33354" s="309"/>
    </row>
    <row r="33355">
      <c r="B33355" s="309"/>
      <c r="C33355" s="309"/>
      <c r="I33355" s="309"/>
      <c r="J33355" s="309"/>
    </row>
    <row r="33356">
      <c r="B33356" s="309"/>
      <c r="C33356" s="309"/>
      <c r="I33356" s="309"/>
      <c r="J33356" s="309"/>
    </row>
    <row r="33357">
      <c r="B33357" s="309"/>
      <c r="C33357" s="309"/>
      <c r="I33357" s="309"/>
      <c r="J33357" s="309"/>
    </row>
    <row r="33358">
      <c r="B33358" s="309"/>
      <c r="C33358" s="309"/>
      <c r="I33358" s="309"/>
      <c r="J33358" s="309"/>
    </row>
    <row r="33359">
      <c r="B33359" s="309"/>
      <c r="C33359" s="309"/>
      <c r="I33359" s="309"/>
      <c r="J33359" s="309"/>
    </row>
    <row r="33360">
      <c r="B33360" s="309"/>
      <c r="C33360" s="309"/>
      <c r="I33360" s="309"/>
      <c r="J33360" s="309"/>
    </row>
    <row r="33361">
      <c r="B33361" s="309"/>
      <c r="C33361" s="309"/>
      <c r="I33361" s="309"/>
      <c r="J33361" s="309"/>
    </row>
    <row r="33362">
      <c r="B33362" s="309"/>
      <c r="C33362" s="309"/>
      <c r="I33362" s="309"/>
      <c r="J33362" s="309"/>
    </row>
    <row r="33363">
      <c r="B33363" s="309"/>
      <c r="C33363" s="309"/>
      <c r="I33363" s="309"/>
      <c r="J33363" s="309"/>
    </row>
    <row r="33364">
      <c r="B33364" s="309"/>
      <c r="C33364" s="309"/>
      <c r="I33364" s="309"/>
      <c r="J33364" s="309"/>
    </row>
    <row r="33365">
      <c r="B33365" s="309"/>
      <c r="C33365" s="309"/>
      <c r="I33365" s="309"/>
      <c r="J33365" s="309"/>
    </row>
    <row r="33366">
      <c r="B33366" s="309"/>
      <c r="C33366" s="309"/>
      <c r="I33366" s="309"/>
      <c r="J33366" s="309"/>
    </row>
    <row r="33367">
      <c r="B33367" s="309"/>
      <c r="C33367" s="309"/>
      <c r="I33367" s="309"/>
      <c r="J33367" s="309"/>
    </row>
    <row r="33368">
      <c r="B33368" s="309"/>
      <c r="C33368" s="309"/>
      <c r="I33368" s="309"/>
      <c r="J33368" s="309"/>
    </row>
    <row r="33369">
      <c r="B33369" s="309"/>
      <c r="C33369" s="309"/>
      <c r="I33369" s="309"/>
      <c r="J33369" s="309"/>
    </row>
    <row r="33370">
      <c r="B33370" s="309"/>
      <c r="C33370" s="309"/>
      <c r="I33370" s="309"/>
      <c r="J33370" s="309"/>
    </row>
    <row r="33371">
      <c r="B33371" s="309"/>
      <c r="C33371" s="309"/>
      <c r="I33371" s="309"/>
      <c r="J33371" s="309"/>
    </row>
    <row r="33372">
      <c r="B33372" s="309"/>
      <c r="C33372" s="309"/>
      <c r="I33372" s="309"/>
      <c r="J33372" s="309"/>
    </row>
    <row r="33373">
      <c r="B33373" s="309"/>
      <c r="C33373" s="309"/>
      <c r="I33373" s="309"/>
      <c r="J33373" s="309"/>
    </row>
    <row r="33374">
      <c r="B33374" s="309"/>
      <c r="C33374" s="309"/>
      <c r="I33374" s="309"/>
      <c r="J33374" s="309"/>
    </row>
    <row r="33375">
      <c r="B33375" s="309"/>
      <c r="C33375" s="309"/>
      <c r="I33375" s="309"/>
      <c r="J33375" s="309"/>
    </row>
    <row r="33376">
      <c r="B33376" s="309"/>
      <c r="C33376" s="309"/>
      <c r="I33376" s="309"/>
      <c r="J33376" s="309"/>
    </row>
    <row r="33377">
      <c r="B33377" s="309"/>
      <c r="C33377" s="309"/>
      <c r="I33377" s="309"/>
      <c r="J33377" s="309"/>
    </row>
    <row r="33378">
      <c r="B33378" s="309"/>
      <c r="C33378" s="309"/>
      <c r="I33378" s="309"/>
      <c r="J33378" s="309"/>
    </row>
    <row r="33379">
      <c r="B33379" s="309"/>
      <c r="C33379" s="309"/>
      <c r="I33379" s="309"/>
      <c r="J33379" s="309"/>
    </row>
    <row r="33380">
      <c r="B33380" s="309"/>
      <c r="C33380" s="309"/>
      <c r="I33380" s="309"/>
      <c r="J33380" s="309"/>
    </row>
    <row r="33381">
      <c r="B33381" s="309"/>
      <c r="C33381" s="309"/>
      <c r="I33381" s="309"/>
      <c r="J33381" s="309"/>
    </row>
    <row r="33382">
      <c r="B33382" s="309"/>
      <c r="C33382" s="309"/>
      <c r="I33382" s="309"/>
      <c r="J33382" s="309"/>
    </row>
    <row r="33383">
      <c r="B33383" s="309"/>
      <c r="C33383" s="309"/>
      <c r="I33383" s="309"/>
      <c r="J33383" s="309"/>
    </row>
    <row r="33384">
      <c r="B33384" s="309"/>
      <c r="C33384" s="309"/>
      <c r="I33384" s="309"/>
      <c r="J33384" s="309"/>
    </row>
    <row r="33385">
      <c r="B33385" s="309"/>
      <c r="C33385" s="309"/>
      <c r="I33385" s="309"/>
      <c r="J33385" s="309"/>
    </row>
    <row r="33386">
      <c r="B33386" s="309"/>
      <c r="C33386" s="309"/>
      <c r="I33386" s="309"/>
      <c r="J33386" s="309"/>
    </row>
    <row r="33387">
      <c r="B33387" s="309"/>
      <c r="C33387" s="309"/>
      <c r="I33387" s="309"/>
      <c r="J33387" s="309"/>
    </row>
    <row r="33388">
      <c r="B33388" s="309"/>
      <c r="C33388" s="309"/>
      <c r="I33388" s="309"/>
      <c r="J33388" s="309"/>
    </row>
    <row r="33389">
      <c r="B33389" s="309"/>
      <c r="C33389" s="309"/>
      <c r="I33389" s="309"/>
      <c r="J33389" s="309"/>
    </row>
    <row r="33390">
      <c r="B33390" s="309"/>
      <c r="C33390" s="309"/>
      <c r="I33390" s="309"/>
      <c r="J33390" s="309"/>
    </row>
    <row r="33391">
      <c r="B33391" s="309"/>
      <c r="C33391" s="309"/>
      <c r="I33391" s="309"/>
      <c r="J33391" s="309"/>
    </row>
    <row r="33392">
      <c r="B33392" s="309"/>
      <c r="C33392" s="309"/>
      <c r="I33392" s="309"/>
      <c r="J33392" s="309"/>
    </row>
    <row r="33393">
      <c r="B33393" s="309"/>
      <c r="C33393" s="309"/>
      <c r="I33393" s="309"/>
      <c r="J33393" s="309"/>
    </row>
    <row r="33394">
      <c r="B33394" s="309"/>
      <c r="C33394" s="309"/>
      <c r="I33394" s="309"/>
      <c r="J33394" s="309"/>
    </row>
    <row r="33395">
      <c r="B33395" s="309"/>
      <c r="C33395" s="309"/>
      <c r="I33395" s="309"/>
      <c r="J33395" s="309"/>
    </row>
    <row r="33396">
      <c r="B33396" s="309"/>
      <c r="C33396" s="309"/>
      <c r="I33396" s="309"/>
      <c r="J33396" s="309"/>
    </row>
    <row r="33397">
      <c r="B33397" s="309"/>
      <c r="C33397" s="309"/>
      <c r="I33397" s="309"/>
      <c r="J33397" s="309"/>
    </row>
    <row r="33398">
      <c r="B33398" s="309"/>
      <c r="C33398" s="309"/>
      <c r="I33398" s="309"/>
      <c r="J33398" s="309"/>
    </row>
    <row r="33399">
      <c r="B33399" s="309"/>
      <c r="C33399" s="309"/>
      <c r="I33399" s="309"/>
      <c r="J33399" s="309"/>
    </row>
    <row r="33400">
      <c r="B33400" s="309"/>
      <c r="C33400" s="309"/>
      <c r="I33400" s="309"/>
      <c r="J33400" s="309"/>
    </row>
    <row r="33401">
      <c r="B33401" s="309"/>
      <c r="C33401" s="309"/>
      <c r="I33401" s="309"/>
      <c r="J33401" s="309"/>
    </row>
    <row r="33402">
      <c r="B33402" s="309"/>
      <c r="C33402" s="309"/>
      <c r="I33402" s="309"/>
      <c r="J33402" s="309"/>
    </row>
    <row r="33403">
      <c r="B33403" s="309"/>
      <c r="C33403" s="309"/>
      <c r="I33403" s="309"/>
      <c r="J33403" s="309"/>
    </row>
    <row r="33404">
      <c r="B33404" s="309"/>
      <c r="C33404" s="309"/>
      <c r="I33404" s="309"/>
      <c r="J33404" s="309"/>
    </row>
    <row r="33405">
      <c r="B33405" s="309"/>
      <c r="C33405" s="309"/>
      <c r="I33405" s="309"/>
      <c r="J33405" s="309"/>
    </row>
    <row r="33406">
      <c r="B33406" s="309"/>
      <c r="C33406" s="309"/>
      <c r="I33406" s="309"/>
      <c r="J33406" s="309"/>
    </row>
    <row r="33407">
      <c r="B33407" s="309"/>
      <c r="C33407" s="309"/>
      <c r="I33407" s="309"/>
      <c r="J33407" s="309"/>
    </row>
    <row r="33408">
      <c r="B33408" s="309"/>
      <c r="C33408" s="309"/>
      <c r="I33408" s="309"/>
      <c r="J33408" s="309"/>
    </row>
    <row r="33409">
      <c r="B33409" s="309"/>
      <c r="C33409" s="309"/>
      <c r="I33409" s="309"/>
      <c r="J33409" s="309"/>
    </row>
    <row r="33410">
      <c r="B33410" s="309"/>
      <c r="C33410" s="309"/>
      <c r="I33410" s="309"/>
      <c r="J33410" s="309"/>
    </row>
    <row r="33411">
      <c r="B33411" s="309"/>
      <c r="C33411" s="309"/>
      <c r="I33411" s="309"/>
      <c r="J33411" s="309"/>
    </row>
    <row r="33412">
      <c r="B33412" s="309"/>
      <c r="C33412" s="309"/>
      <c r="I33412" s="309"/>
      <c r="J33412" s="309"/>
    </row>
    <row r="33413">
      <c r="B33413" s="309"/>
      <c r="C33413" s="309"/>
      <c r="I33413" s="309"/>
      <c r="J33413" s="309"/>
    </row>
    <row r="33414">
      <c r="B33414" s="309"/>
      <c r="C33414" s="309"/>
      <c r="I33414" s="309"/>
      <c r="J33414" s="309"/>
    </row>
    <row r="33415">
      <c r="B33415" s="309"/>
      <c r="C33415" s="309"/>
      <c r="I33415" s="309"/>
      <c r="J33415" s="309"/>
    </row>
    <row r="33416">
      <c r="B33416" s="309"/>
      <c r="C33416" s="309"/>
      <c r="I33416" s="309"/>
      <c r="J33416" s="309"/>
    </row>
    <row r="33417">
      <c r="B33417" s="309"/>
      <c r="C33417" s="309"/>
      <c r="I33417" s="309"/>
      <c r="J33417" s="309"/>
    </row>
    <row r="33418">
      <c r="B33418" s="309"/>
      <c r="C33418" s="309"/>
      <c r="I33418" s="309"/>
      <c r="J33418" s="309"/>
    </row>
    <row r="33419">
      <c r="B33419" s="309"/>
      <c r="C33419" s="309"/>
      <c r="I33419" s="309"/>
      <c r="J33419" s="309"/>
    </row>
    <row r="33420">
      <c r="B33420" s="309"/>
      <c r="C33420" s="309"/>
      <c r="I33420" s="309"/>
      <c r="J33420" s="309"/>
    </row>
    <row r="33421">
      <c r="B33421" s="309"/>
      <c r="C33421" s="309"/>
      <c r="I33421" s="309"/>
      <c r="J33421" s="309"/>
    </row>
    <row r="33422">
      <c r="B33422" s="309"/>
      <c r="C33422" s="309"/>
      <c r="I33422" s="309"/>
      <c r="J33422" s="309"/>
    </row>
    <row r="33423">
      <c r="B33423" s="309"/>
      <c r="C33423" s="309"/>
      <c r="I33423" s="309"/>
      <c r="J33423" s="309"/>
    </row>
    <row r="33424">
      <c r="B33424" s="309"/>
      <c r="C33424" s="309"/>
      <c r="I33424" s="309"/>
      <c r="J33424" s="309"/>
    </row>
    <row r="33425">
      <c r="B33425" s="309"/>
      <c r="C33425" s="309"/>
      <c r="I33425" s="309"/>
      <c r="J33425" s="309"/>
    </row>
    <row r="33426">
      <c r="B33426" s="309"/>
      <c r="C33426" s="309"/>
      <c r="I33426" s="309"/>
      <c r="J33426" s="309"/>
    </row>
    <row r="33427">
      <c r="B33427" s="309"/>
      <c r="C33427" s="309"/>
      <c r="I33427" s="309"/>
      <c r="J33427" s="309"/>
    </row>
    <row r="33428">
      <c r="B33428" s="309"/>
      <c r="C33428" s="309"/>
      <c r="I33428" s="309"/>
      <c r="J33428" s="309"/>
    </row>
    <row r="33429">
      <c r="B33429" s="309"/>
      <c r="C33429" s="309"/>
      <c r="I33429" s="309"/>
      <c r="J33429" s="309"/>
    </row>
    <row r="33430">
      <c r="B33430" s="309"/>
      <c r="C33430" s="309"/>
      <c r="I33430" s="309"/>
      <c r="J33430" s="309"/>
    </row>
    <row r="33431">
      <c r="B33431" s="309"/>
      <c r="C33431" s="309"/>
      <c r="I33431" s="309"/>
      <c r="J33431" s="309"/>
    </row>
    <row r="33432">
      <c r="B33432" s="309"/>
      <c r="C33432" s="309"/>
      <c r="I33432" s="309"/>
      <c r="J33432" s="309"/>
    </row>
    <row r="33433">
      <c r="B33433" s="309"/>
      <c r="C33433" s="309"/>
      <c r="I33433" s="309"/>
      <c r="J33433" s="309"/>
    </row>
    <row r="33434">
      <c r="B33434" s="309"/>
      <c r="C33434" s="309"/>
      <c r="I33434" s="309"/>
      <c r="J33434" s="309"/>
    </row>
    <row r="33435">
      <c r="B33435" s="309"/>
      <c r="C33435" s="309"/>
      <c r="I33435" s="309"/>
      <c r="J33435" s="309"/>
    </row>
    <row r="33436">
      <c r="B33436" s="309"/>
      <c r="C33436" s="309"/>
      <c r="I33436" s="309"/>
      <c r="J33436" s="309"/>
    </row>
    <row r="33437">
      <c r="B33437" s="309"/>
      <c r="C33437" s="309"/>
      <c r="I33437" s="309"/>
      <c r="J33437" s="309"/>
    </row>
    <row r="33438">
      <c r="B33438" s="309"/>
      <c r="C33438" s="309"/>
      <c r="I33438" s="309"/>
      <c r="J33438" s="309"/>
    </row>
    <row r="33439">
      <c r="B33439" s="309"/>
      <c r="C33439" s="309"/>
      <c r="I33439" s="309"/>
      <c r="J33439" s="309"/>
    </row>
    <row r="33440">
      <c r="B33440" s="309"/>
      <c r="C33440" s="309"/>
      <c r="I33440" s="309"/>
      <c r="J33440" s="309"/>
    </row>
    <row r="33441">
      <c r="B33441" s="309"/>
      <c r="C33441" s="309"/>
      <c r="I33441" s="309"/>
      <c r="J33441" s="309"/>
    </row>
    <row r="33442">
      <c r="B33442" s="309"/>
      <c r="C33442" s="309"/>
      <c r="I33442" s="309"/>
      <c r="J33442" s="309"/>
    </row>
    <row r="33443">
      <c r="B33443" s="309"/>
      <c r="C33443" s="309"/>
      <c r="I33443" s="309"/>
      <c r="J33443" s="309"/>
    </row>
    <row r="33444">
      <c r="B33444" s="309"/>
      <c r="C33444" s="309"/>
      <c r="I33444" s="309"/>
      <c r="J33444" s="309"/>
    </row>
    <row r="33445">
      <c r="B33445" s="309"/>
      <c r="C33445" s="309"/>
      <c r="I33445" s="309"/>
      <c r="J33445" s="309"/>
    </row>
    <row r="33446">
      <c r="B33446" s="309"/>
      <c r="C33446" s="309"/>
      <c r="I33446" s="309"/>
      <c r="J33446" s="309"/>
    </row>
    <row r="33447">
      <c r="B33447" s="309"/>
      <c r="C33447" s="309"/>
      <c r="I33447" s="309"/>
      <c r="J33447" s="309"/>
    </row>
    <row r="33448">
      <c r="B33448" s="309"/>
      <c r="C33448" s="309"/>
      <c r="I33448" s="309"/>
      <c r="J33448" s="309"/>
    </row>
    <row r="33449">
      <c r="B33449" s="309"/>
      <c r="C33449" s="309"/>
      <c r="I33449" s="309"/>
      <c r="J33449" s="309"/>
    </row>
    <row r="33450">
      <c r="B33450" s="309"/>
      <c r="C33450" s="309"/>
      <c r="I33450" s="309"/>
      <c r="J33450" s="309"/>
    </row>
    <row r="33451">
      <c r="B33451" s="309"/>
      <c r="C33451" s="309"/>
      <c r="I33451" s="309"/>
      <c r="J33451" s="309"/>
    </row>
    <row r="33452">
      <c r="B33452" s="309"/>
      <c r="C33452" s="309"/>
      <c r="I33452" s="309"/>
      <c r="J33452" s="309"/>
    </row>
    <row r="33453">
      <c r="B33453" s="309"/>
      <c r="C33453" s="309"/>
      <c r="I33453" s="309"/>
      <c r="J33453" s="309"/>
    </row>
    <row r="33454">
      <c r="B33454" s="309"/>
      <c r="C33454" s="309"/>
      <c r="I33454" s="309"/>
      <c r="J33454" s="309"/>
    </row>
    <row r="33455">
      <c r="B33455" s="309"/>
      <c r="C33455" s="309"/>
      <c r="I33455" s="309"/>
      <c r="J33455" s="309"/>
    </row>
    <row r="33456">
      <c r="B33456" s="309"/>
      <c r="C33456" s="309"/>
      <c r="I33456" s="309"/>
      <c r="J33456" s="309"/>
    </row>
    <row r="33457">
      <c r="B33457" s="309"/>
      <c r="C33457" s="309"/>
      <c r="I33457" s="309"/>
      <c r="J33457" s="309"/>
    </row>
    <row r="33458">
      <c r="B33458" s="309"/>
      <c r="C33458" s="309"/>
      <c r="I33458" s="309"/>
      <c r="J33458" s="309"/>
    </row>
    <row r="33459">
      <c r="B33459" s="309"/>
      <c r="C33459" s="309"/>
      <c r="I33459" s="309"/>
      <c r="J33459" s="309"/>
    </row>
    <row r="33460">
      <c r="B33460" s="309"/>
      <c r="C33460" s="309"/>
      <c r="I33460" s="309"/>
      <c r="J33460" s="309"/>
    </row>
    <row r="33461">
      <c r="B33461" s="309"/>
      <c r="C33461" s="309"/>
      <c r="I33461" s="309"/>
      <c r="J33461" s="309"/>
    </row>
    <row r="33462">
      <c r="B33462" s="309"/>
      <c r="C33462" s="309"/>
      <c r="I33462" s="309"/>
      <c r="J33462" s="309"/>
    </row>
    <row r="33463">
      <c r="B33463" s="309"/>
      <c r="C33463" s="309"/>
      <c r="I33463" s="309"/>
      <c r="J33463" s="309"/>
    </row>
    <row r="33464">
      <c r="B33464" s="309"/>
      <c r="C33464" s="309"/>
      <c r="I33464" s="309"/>
      <c r="J33464" s="309"/>
    </row>
    <row r="33465">
      <c r="B33465" s="309"/>
      <c r="C33465" s="309"/>
      <c r="I33465" s="309"/>
      <c r="J33465" s="309"/>
    </row>
    <row r="33466">
      <c r="B33466" s="309"/>
      <c r="C33466" s="309"/>
      <c r="I33466" s="309"/>
      <c r="J33466" s="309"/>
    </row>
    <row r="33467">
      <c r="B33467" s="309"/>
      <c r="C33467" s="309"/>
      <c r="I33467" s="309"/>
      <c r="J33467" s="309"/>
    </row>
    <row r="33468">
      <c r="B33468" s="309"/>
      <c r="C33468" s="309"/>
      <c r="I33468" s="309"/>
      <c r="J33468" s="309"/>
    </row>
    <row r="33469">
      <c r="B33469" s="309"/>
      <c r="C33469" s="309"/>
      <c r="I33469" s="309"/>
      <c r="J33469" s="309"/>
    </row>
    <row r="33470">
      <c r="B33470" s="309"/>
      <c r="C33470" s="309"/>
      <c r="I33470" s="309"/>
      <c r="J33470" s="309"/>
    </row>
    <row r="33471">
      <c r="B33471" s="309"/>
      <c r="C33471" s="309"/>
      <c r="I33471" s="309"/>
      <c r="J33471" s="309"/>
    </row>
    <row r="33472">
      <c r="B33472" s="309"/>
      <c r="C33472" s="309"/>
      <c r="I33472" s="309"/>
      <c r="J33472" s="309"/>
    </row>
    <row r="33473">
      <c r="B33473" s="309"/>
      <c r="C33473" s="309"/>
      <c r="I33473" s="309"/>
      <c r="J33473" s="309"/>
    </row>
    <row r="33474">
      <c r="B33474" s="309"/>
      <c r="C33474" s="309"/>
      <c r="I33474" s="309"/>
      <c r="J33474" s="309"/>
    </row>
    <row r="33475">
      <c r="B33475" s="309"/>
      <c r="C33475" s="309"/>
      <c r="I33475" s="309"/>
      <c r="J33475" s="309"/>
    </row>
    <row r="33476">
      <c r="B33476" s="309"/>
      <c r="C33476" s="309"/>
      <c r="I33476" s="309"/>
      <c r="J33476" s="309"/>
    </row>
    <row r="33477">
      <c r="B33477" s="309"/>
      <c r="C33477" s="309"/>
      <c r="I33477" s="309"/>
      <c r="J33477" s="309"/>
    </row>
    <row r="33478">
      <c r="B33478" s="309"/>
      <c r="C33478" s="309"/>
      <c r="I33478" s="309"/>
      <c r="J33478" s="309"/>
    </row>
    <row r="33479">
      <c r="B33479" s="309"/>
      <c r="C33479" s="309"/>
      <c r="I33479" s="309"/>
      <c r="J33479" s="309"/>
    </row>
    <row r="33480">
      <c r="B33480" s="309"/>
      <c r="C33480" s="309"/>
      <c r="I33480" s="309"/>
      <c r="J33480" s="309"/>
    </row>
    <row r="33481">
      <c r="B33481" s="309"/>
      <c r="C33481" s="309"/>
      <c r="I33481" s="309"/>
      <c r="J33481" s="309"/>
    </row>
    <row r="33482">
      <c r="B33482" s="309"/>
      <c r="C33482" s="309"/>
      <c r="I33482" s="309"/>
      <c r="J33482" s="309"/>
    </row>
    <row r="33483">
      <c r="B33483" s="309"/>
      <c r="C33483" s="309"/>
      <c r="I33483" s="309"/>
      <c r="J33483" s="309"/>
    </row>
    <row r="33484">
      <c r="B33484" s="309"/>
      <c r="C33484" s="309"/>
      <c r="I33484" s="309"/>
      <c r="J33484" s="309"/>
    </row>
    <row r="33485">
      <c r="B33485" s="309"/>
      <c r="C33485" s="309"/>
      <c r="I33485" s="309"/>
      <c r="J33485" s="309"/>
    </row>
    <row r="33486">
      <c r="B33486" s="309"/>
      <c r="C33486" s="309"/>
      <c r="I33486" s="309"/>
      <c r="J33486" s="309"/>
    </row>
    <row r="33487">
      <c r="B33487" s="309"/>
      <c r="C33487" s="309"/>
      <c r="I33487" s="309"/>
      <c r="J33487" s="309"/>
    </row>
    <row r="33488">
      <c r="B33488" s="309"/>
      <c r="C33488" s="309"/>
      <c r="I33488" s="309"/>
      <c r="J33488" s="309"/>
    </row>
    <row r="33489">
      <c r="B33489" s="309"/>
      <c r="C33489" s="309"/>
      <c r="I33489" s="309"/>
      <c r="J33489" s="309"/>
    </row>
    <row r="33490">
      <c r="B33490" s="309"/>
      <c r="C33490" s="309"/>
      <c r="I33490" s="309"/>
      <c r="J33490" s="309"/>
    </row>
    <row r="33491">
      <c r="B33491" s="309"/>
      <c r="C33491" s="309"/>
      <c r="I33491" s="309"/>
      <c r="J33491" s="309"/>
    </row>
    <row r="33492">
      <c r="B33492" s="309"/>
      <c r="C33492" s="309"/>
      <c r="I33492" s="309"/>
      <c r="J33492" s="309"/>
    </row>
    <row r="33493">
      <c r="B33493" s="309"/>
      <c r="C33493" s="309"/>
      <c r="I33493" s="309"/>
      <c r="J33493" s="309"/>
    </row>
    <row r="33494">
      <c r="B33494" s="309"/>
      <c r="C33494" s="309"/>
      <c r="I33494" s="309"/>
      <c r="J33494" s="309"/>
    </row>
    <row r="33495">
      <c r="B33495" s="309"/>
      <c r="C33495" s="309"/>
      <c r="I33495" s="309"/>
      <c r="J33495" s="309"/>
    </row>
    <row r="33496">
      <c r="B33496" s="309"/>
      <c r="C33496" s="309"/>
      <c r="I33496" s="309"/>
      <c r="J33496" s="309"/>
    </row>
    <row r="33497">
      <c r="B33497" s="309"/>
      <c r="C33497" s="309"/>
      <c r="I33497" s="309"/>
      <c r="J33497" s="309"/>
    </row>
    <row r="33498">
      <c r="B33498" s="309"/>
      <c r="C33498" s="309"/>
      <c r="I33498" s="309"/>
      <c r="J33498" s="309"/>
    </row>
    <row r="33499">
      <c r="B33499" s="309"/>
      <c r="C33499" s="309"/>
      <c r="I33499" s="309"/>
      <c r="J33499" s="309"/>
    </row>
    <row r="33500">
      <c r="B33500" s="309"/>
      <c r="C33500" s="309"/>
      <c r="I33500" s="309"/>
      <c r="J33500" s="309"/>
    </row>
    <row r="33501">
      <c r="B33501" s="309"/>
      <c r="C33501" s="309"/>
      <c r="I33501" s="309"/>
      <c r="J33501" s="309"/>
    </row>
    <row r="33502">
      <c r="B33502" s="309"/>
      <c r="C33502" s="309"/>
      <c r="I33502" s="309"/>
      <c r="J33502" s="309"/>
    </row>
    <row r="33503">
      <c r="B33503" s="309"/>
      <c r="C33503" s="309"/>
      <c r="I33503" s="309"/>
      <c r="J33503" s="309"/>
    </row>
    <row r="33504">
      <c r="B33504" s="309"/>
      <c r="C33504" s="309"/>
      <c r="I33504" s="309"/>
      <c r="J33504" s="309"/>
    </row>
    <row r="33505">
      <c r="B33505" s="309"/>
      <c r="C33505" s="309"/>
      <c r="I33505" s="309"/>
      <c r="J33505" s="309"/>
    </row>
    <row r="33506">
      <c r="B33506" s="309"/>
      <c r="C33506" s="309"/>
      <c r="I33506" s="309"/>
      <c r="J33506" s="309"/>
    </row>
    <row r="33507">
      <c r="B33507" s="309"/>
      <c r="C33507" s="309"/>
      <c r="I33507" s="309"/>
      <c r="J33507" s="309"/>
    </row>
    <row r="33508">
      <c r="B33508" s="309"/>
      <c r="C33508" s="309"/>
      <c r="I33508" s="309"/>
      <c r="J33508" s="309"/>
    </row>
    <row r="33509">
      <c r="B33509" s="309"/>
      <c r="C33509" s="309"/>
      <c r="I33509" s="309"/>
      <c r="J33509" s="309"/>
    </row>
    <row r="33510">
      <c r="B33510" s="309"/>
      <c r="C33510" s="309"/>
      <c r="I33510" s="309"/>
      <c r="J33510" s="309"/>
    </row>
    <row r="33511">
      <c r="B33511" s="309"/>
      <c r="C33511" s="309"/>
      <c r="I33511" s="309"/>
      <c r="J33511" s="309"/>
    </row>
    <row r="33512">
      <c r="B33512" s="309"/>
      <c r="C33512" s="309"/>
      <c r="I33512" s="309"/>
      <c r="J33512" s="309"/>
    </row>
    <row r="33513">
      <c r="B33513" s="309"/>
      <c r="C33513" s="309"/>
      <c r="I33513" s="309"/>
      <c r="J33513" s="309"/>
    </row>
    <row r="33514">
      <c r="B33514" s="309"/>
      <c r="C33514" s="309"/>
      <c r="I33514" s="309"/>
      <c r="J33514" s="309"/>
    </row>
    <row r="33515">
      <c r="B33515" s="309"/>
      <c r="C33515" s="309"/>
      <c r="I33515" s="309"/>
      <c r="J33515" s="309"/>
    </row>
    <row r="33516">
      <c r="B33516" s="309"/>
      <c r="C33516" s="309"/>
      <c r="I33516" s="309"/>
      <c r="J33516" s="309"/>
    </row>
    <row r="33517">
      <c r="B33517" s="309"/>
      <c r="C33517" s="309"/>
      <c r="I33517" s="309"/>
      <c r="J33517" s="309"/>
    </row>
    <row r="33518">
      <c r="B33518" s="309"/>
      <c r="C33518" s="309"/>
      <c r="I33518" s="309"/>
      <c r="J33518" s="309"/>
    </row>
    <row r="33519">
      <c r="B33519" s="309"/>
      <c r="C33519" s="309"/>
      <c r="I33519" s="309"/>
      <c r="J33519" s="309"/>
    </row>
    <row r="33520">
      <c r="B33520" s="309"/>
      <c r="C33520" s="309"/>
      <c r="I33520" s="309"/>
      <c r="J33520" s="309"/>
    </row>
    <row r="33521">
      <c r="B33521" s="309"/>
      <c r="C33521" s="309"/>
      <c r="I33521" s="309"/>
      <c r="J33521" s="309"/>
    </row>
    <row r="33522">
      <c r="B33522" s="309"/>
      <c r="C33522" s="309"/>
      <c r="I33522" s="309"/>
      <c r="J33522" s="309"/>
    </row>
    <row r="33523">
      <c r="B33523" s="309"/>
      <c r="C33523" s="309"/>
      <c r="I33523" s="309"/>
      <c r="J33523" s="309"/>
    </row>
    <row r="33524">
      <c r="B33524" s="309"/>
      <c r="C33524" s="309"/>
      <c r="I33524" s="309"/>
      <c r="J33524" s="309"/>
    </row>
    <row r="33525">
      <c r="B33525" s="309"/>
      <c r="C33525" s="309"/>
      <c r="I33525" s="309"/>
      <c r="J33525" s="309"/>
    </row>
    <row r="33526">
      <c r="B33526" s="309"/>
      <c r="C33526" s="309"/>
      <c r="I33526" s="309"/>
      <c r="J33526" s="309"/>
    </row>
    <row r="33527">
      <c r="B33527" s="309"/>
      <c r="C33527" s="309"/>
      <c r="I33527" s="309"/>
      <c r="J33527" s="309"/>
    </row>
    <row r="33528">
      <c r="B33528" s="309"/>
      <c r="C33528" s="309"/>
      <c r="I33528" s="309"/>
      <c r="J33528" s="309"/>
    </row>
    <row r="33529">
      <c r="B33529" s="309"/>
      <c r="C33529" s="309"/>
      <c r="I33529" s="309"/>
      <c r="J33529" s="309"/>
    </row>
    <row r="33530">
      <c r="B33530" s="309"/>
      <c r="C33530" s="309"/>
      <c r="I33530" s="309"/>
      <c r="J33530" s="309"/>
    </row>
    <row r="33531">
      <c r="B33531" s="309"/>
      <c r="C33531" s="309"/>
      <c r="I33531" s="309"/>
      <c r="J33531" s="309"/>
    </row>
    <row r="33532">
      <c r="B33532" s="309"/>
      <c r="C33532" s="309"/>
      <c r="I33532" s="309"/>
      <c r="J33532" s="309"/>
    </row>
    <row r="33533">
      <c r="B33533" s="309"/>
      <c r="C33533" s="309"/>
      <c r="I33533" s="309"/>
      <c r="J33533" s="309"/>
    </row>
    <row r="33534">
      <c r="B33534" s="309"/>
      <c r="C33534" s="309"/>
      <c r="I33534" s="309"/>
      <c r="J33534" s="309"/>
    </row>
    <row r="33535">
      <c r="B33535" s="309"/>
      <c r="C33535" s="309"/>
      <c r="I33535" s="309"/>
      <c r="J33535" s="309"/>
    </row>
    <row r="33536">
      <c r="B33536" s="309"/>
      <c r="C33536" s="309"/>
      <c r="I33536" s="309"/>
      <c r="J33536" s="309"/>
    </row>
    <row r="33537">
      <c r="B33537" s="309"/>
      <c r="C33537" s="309"/>
      <c r="I33537" s="309"/>
      <c r="J33537" s="309"/>
    </row>
    <row r="33538">
      <c r="B33538" s="309"/>
      <c r="C33538" s="309"/>
      <c r="I33538" s="309"/>
      <c r="J33538" s="309"/>
    </row>
    <row r="33539">
      <c r="B33539" s="309"/>
      <c r="C33539" s="309"/>
      <c r="I33539" s="309"/>
      <c r="J33539" s="309"/>
    </row>
    <row r="33540">
      <c r="B33540" s="309"/>
      <c r="C33540" s="309"/>
      <c r="I33540" s="309"/>
      <c r="J33540" s="309"/>
    </row>
    <row r="33541">
      <c r="B33541" s="309"/>
      <c r="C33541" s="309"/>
      <c r="I33541" s="309"/>
      <c r="J33541" s="309"/>
    </row>
    <row r="33542">
      <c r="B33542" s="309"/>
      <c r="C33542" s="309"/>
      <c r="I33542" s="309"/>
      <c r="J33542" s="309"/>
    </row>
    <row r="33543">
      <c r="B33543" s="309"/>
      <c r="C33543" s="309"/>
      <c r="I33543" s="309"/>
      <c r="J33543" s="309"/>
    </row>
    <row r="33544">
      <c r="B33544" s="309"/>
      <c r="C33544" s="309"/>
      <c r="I33544" s="309"/>
      <c r="J33544" s="309"/>
    </row>
    <row r="33545">
      <c r="B33545" s="309"/>
      <c r="C33545" s="309"/>
      <c r="I33545" s="309"/>
      <c r="J33545" s="309"/>
    </row>
    <row r="33546">
      <c r="B33546" s="309"/>
      <c r="C33546" s="309"/>
      <c r="I33546" s="309"/>
      <c r="J33546" s="309"/>
    </row>
    <row r="33547">
      <c r="B33547" s="309"/>
      <c r="C33547" s="309"/>
      <c r="I33547" s="309"/>
      <c r="J33547" s="309"/>
    </row>
    <row r="33548">
      <c r="B33548" s="309"/>
      <c r="C33548" s="309"/>
      <c r="I33548" s="309"/>
      <c r="J33548" s="309"/>
    </row>
    <row r="33549">
      <c r="B33549" s="309"/>
      <c r="C33549" s="309"/>
      <c r="I33549" s="309"/>
      <c r="J33549" s="309"/>
    </row>
    <row r="33550">
      <c r="B33550" s="309"/>
      <c r="C33550" s="309"/>
      <c r="I33550" s="309"/>
      <c r="J33550" s="309"/>
    </row>
    <row r="33551">
      <c r="B33551" s="309"/>
      <c r="C33551" s="309"/>
      <c r="I33551" s="309"/>
      <c r="J33551" s="309"/>
    </row>
    <row r="33552">
      <c r="B33552" s="309"/>
      <c r="C33552" s="309"/>
      <c r="I33552" s="309"/>
      <c r="J33552" s="309"/>
    </row>
    <row r="33553">
      <c r="B33553" s="309"/>
      <c r="C33553" s="309"/>
      <c r="I33553" s="309"/>
      <c r="J33553" s="309"/>
    </row>
    <row r="33554">
      <c r="B33554" s="309"/>
      <c r="C33554" s="309"/>
      <c r="I33554" s="309"/>
      <c r="J33554" s="309"/>
    </row>
    <row r="33555">
      <c r="B33555" s="309"/>
      <c r="C33555" s="309"/>
      <c r="I33555" s="309"/>
      <c r="J33555" s="309"/>
    </row>
    <row r="33556">
      <c r="B33556" s="309"/>
      <c r="C33556" s="309"/>
      <c r="I33556" s="309"/>
      <c r="J33556" s="309"/>
    </row>
    <row r="33557">
      <c r="B33557" s="309"/>
      <c r="C33557" s="309"/>
      <c r="I33557" s="309"/>
      <c r="J33557" s="309"/>
    </row>
    <row r="33558">
      <c r="B33558" s="309"/>
      <c r="C33558" s="309"/>
      <c r="I33558" s="309"/>
      <c r="J33558" s="309"/>
    </row>
    <row r="33559">
      <c r="B33559" s="309"/>
      <c r="C33559" s="309"/>
      <c r="I33559" s="309"/>
      <c r="J33559" s="309"/>
    </row>
    <row r="33560">
      <c r="B33560" s="309"/>
      <c r="C33560" s="309"/>
      <c r="I33560" s="309"/>
      <c r="J33560" s="309"/>
    </row>
    <row r="33561">
      <c r="B33561" s="309"/>
      <c r="C33561" s="309"/>
      <c r="I33561" s="309"/>
      <c r="J33561" s="309"/>
    </row>
    <row r="33562">
      <c r="B33562" s="309"/>
      <c r="C33562" s="309"/>
      <c r="I33562" s="309"/>
      <c r="J33562" s="309"/>
    </row>
    <row r="33563">
      <c r="B33563" s="309"/>
      <c r="C33563" s="309"/>
      <c r="I33563" s="309"/>
      <c r="J33563" s="309"/>
    </row>
    <row r="33564">
      <c r="B33564" s="309"/>
      <c r="C33564" s="309"/>
      <c r="I33564" s="309"/>
      <c r="J33564" s="309"/>
    </row>
    <row r="33565">
      <c r="B33565" s="309"/>
      <c r="C33565" s="309"/>
      <c r="I33565" s="309"/>
      <c r="J33565" s="309"/>
    </row>
    <row r="33566">
      <c r="B33566" s="309"/>
      <c r="C33566" s="309"/>
      <c r="I33566" s="309"/>
      <c r="J33566" s="309"/>
    </row>
    <row r="33567">
      <c r="B33567" s="309"/>
      <c r="C33567" s="309"/>
      <c r="I33567" s="309"/>
      <c r="J33567" s="309"/>
    </row>
    <row r="33568">
      <c r="B33568" s="309"/>
      <c r="C33568" s="309"/>
      <c r="I33568" s="309"/>
      <c r="J33568" s="309"/>
    </row>
    <row r="33569">
      <c r="B33569" s="309"/>
      <c r="C33569" s="309"/>
      <c r="I33569" s="309"/>
      <c r="J33569" s="309"/>
    </row>
    <row r="33570">
      <c r="B33570" s="309"/>
      <c r="C33570" s="309"/>
      <c r="I33570" s="309"/>
      <c r="J33570" s="309"/>
    </row>
    <row r="33571">
      <c r="B33571" s="309"/>
      <c r="C33571" s="309"/>
      <c r="I33571" s="309"/>
      <c r="J33571" s="309"/>
    </row>
    <row r="33572">
      <c r="B33572" s="309"/>
      <c r="C33572" s="309"/>
      <c r="I33572" s="309"/>
      <c r="J33572" s="309"/>
    </row>
    <row r="33573">
      <c r="B33573" s="309"/>
      <c r="C33573" s="309"/>
      <c r="I33573" s="309"/>
      <c r="J33573" s="309"/>
    </row>
    <row r="33574">
      <c r="B33574" s="309"/>
      <c r="C33574" s="309"/>
      <c r="I33574" s="309"/>
      <c r="J33574" s="309"/>
    </row>
    <row r="33575">
      <c r="B33575" s="309"/>
      <c r="C33575" s="309"/>
      <c r="I33575" s="309"/>
      <c r="J33575" s="309"/>
    </row>
    <row r="33576">
      <c r="B33576" s="309"/>
      <c r="C33576" s="309"/>
      <c r="I33576" s="309"/>
      <c r="J33576" s="309"/>
    </row>
    <row r="33577">
      <c r="B33577" s="309"/>
      <c r="C33577" s="309"/>
      <c r="I33577" s="309"/>
      <c r="J33577" s="309"/>
    </row>
    <row r="33578">
      <c r="B33578" s="309"/>
      <c r="C33578" s="309"/>
      <c r="I33578" s="309"/>
      <c r="J33578" s="309"/>
    </row>
    <row r="33579">
      <c r="B33579" s="309"/>
      <c r="C33579" s="309"/>
      <c r="I33579" s="309"/>
      <c r="J33579" s="309"/>
    </row>
    <row r="33580">
      <c r="B33580" s="309"/>
      <c r="C33580" s="309"/>
      <c r="I33580" s="309"/>
      <c r="J33580" s="309"/>
    </row>
    <row r="33581">
      <c r="B33581" s="309"/>
      <c r="C33581" s="309"/>
      <c r="I33581" s="309"/>
      <c r="J33581" s="309"/>
    </row>
    <row r="33582">
      <c r="B33582" s="309"/>
      <c r="C33582" s="309"/>
      <c r="I33582" s="309"/>
      <c r="J33582" s="309"/>
    </row>
    <row r="33583">
      <c r="B33583" s="309"/>
      <c r="C33583" s="309"/>
      <c r="I33583" s="309"/>
      <c r="J33583" s="309"/>
    </row>
    <row r="33584">
      <c r="B33584" s="309"/>
      <c r="C33584" s="309"/>
      <c r="I33584" s="309"/>
      <c r="J33584" s="309"/>
    </row>
    <row r="33585">
      <c r="B33585" s="309"/>
      <c r="C33585" s="309"/>
      <c r="I33585" s="309"/>
      <c r="J33585" s="309"/>
    </row>
    <row r="33586">
      <c r="B33586" s="309"/>
      <c r="C33586" s="309"/>
      <c r="I33586" s="309"/>
      <c r="J33586" s="309"/>
    </row>
    <row r="33587">
      <c r="B33587" s="309"/>
      <c r="C33587" s="309"/>
      <c r="I33587" s="309"/>
      <c r="J33587" s="309"/>
    </row>
    <row r="33588">
      <c r="B33588" s="309"/>
      <c r="C33588" s="309"/>
      <c r="I33588" s="309"/>
      <c r="J33588" s="309"/>
    </row>
    <row r="33589">
      <c r="B33589" s="309"/>
      <c r="C33589" s="309"/>
      <c r="I33589" s="309"/>
      <c r="J33589" s="309"/>
    </row>
    <row r="33590">
      <c r="B33590" s="309"/>
      <c r="C33590" s="309"/>
      <c r="I33590" s="309"/>
      <c r="J33590" s="309"/>
    </row>
    <row r="33591">
      <c r="B33591" s="309"/>
      <c r="C33591" s="309"/>
      <c r="I33591" s="309"/>
      <c r="J33591" s="309"/>
    </row>
    <row r="33592">
      <c r="B33592" s="309"/>
      <c r="C33592" s="309"/>
      <c r="I33592" s="309"/>
      <c r="J33592" s="309"/>
    </row>
    <row r="33593">
      <c r="B33593" s="309"/>
      <c r="C33593" s="309"/>
      <c r="I33593" s="309"/>
      <c r="J33593" s="309"/>
    </row>
    <row r="33594">
      <c r="B33594" s="309"/>
      <c r="C33594" s="309"/>
      <c r="I33594" s="309"/>
      <c r="J33594" s="309"/>
    </row>
    <row r="33595">
      <c r="B33595" s="309"/>
      <c r="C33595" s="309"/>
      <c r="I33595" s="309"/>
      <c r="J33595" s="309"/>
    </row>
    <row r="33596">
      <c r="B33596" s="309"/>
      <c r="C33596" s="309"/>
      <c r="I33596" s="309"/>
      <c r="J33596" s="309"/>
    </row>
    <row r="33597">
      <c r="B33597" s="309"/>
      <c r="C33597" s="309"/>
      <c r="I33597" s="309"/>
      <c r="J33597" s="309"/>
    </row>
    <row r="33598">
      <c r="B33598" s="309"/>
      <c r="C33598" s="309"/>
      <c r="I33598" s="309"/>
      <c r="J33598" s="309"/>
    </row>
    <row r="33599">
      <c r="B33599" s="309"/>
      <c r="C33599" s="309"/>
      <c r="I33599" s="309"/>
      <c r="J33599" s="309"/>
    </row>
    <row r="33600">
      <c r="B33600" s="309"/>
      <c r="C33600" s="309"/>
      <c r="I33600" s="309"/>
      <c r="J33600" s="309"/>
    </row>
    <row r="33601">
      <c r="B33601" s="309"/>
      <c r="C33601" s="309"/>
      <c r="I33601" s="309"/>
      <c r="J33601" s="309"/>
    </row>
    <row r="33602">
      <c r="B33602" s="309"/>
      <c r="C33602" s="309"/>
      <c r="I33602" s="309"/>
      <c r="J33602" s="309"/>
    </row>
    <row r="33603">
      <c r="B33603" s="309"/>
      <c r="C33603" s="309"/>
      <c r="I33603" s="309"/>
      <c r="J33603" s="309"/>
    </row>
    <row r="33604">
      <c r="B33604" s="309"/>
      <c r="C33604" s="309"/>
      <c r="I33604" s="309"/>
      <c r="J33604" s="309"/>
    </row>
    <row r="33605">
      <c r="B33605" s="309"/>
      <c r="C33605" s="309"/>
      <c r="I33605" s="309"/>
      <c r="J33605" s="309"/>
    </row>
    <row r="33606">
      <c r="B33606" s="309"/>
      <c r="C33606" s="309"/>
      <c r="I33606" s="309"/>
      <c r="J33606" s="309"/>
    </row>
    <row r="33607">
      <c r="B33607" s="309"/>
      <c r="C33607" s="309"/>
      <c r="I33607" s="309"/>
      <c r="J33607" s="309"/>
    </row>
    <row r="33608">
      <c r="B33608" s="309"/>
      <c r="C33608" s="309"/>
      <c r="I33608" s="309"/>
      <c r="J33608" s="309"/>
    </row>
    <row r="33609">
      <c r="B33609" s="309"/>
      <c r="C33609" s="309"/>
      <c r="I33609" s="309"/>
      <c r="J33609" s="309"/>
    </row>
    <row r="33610">
      <c r="B33610" s="309"/>
      <c r="C33610" s="309"/>
      <c r="I33610" s="309"/>
      <c r="J33610" s="309"/>
    </row>
    <row r="33611">
      <c r="B33611" s="309"/>
      <c r="C33611" s="309"/>
      <c r="I33611" s="309"/>
      <c r="J33611" s="309"/>
    </row>
    <row r="33612">
      <c r="B33612" s="309"/>
      <c r="C33612" s="309"/>
      <c r="I33612" s="309"/>
      <c r="J33612" s="309"/>
    </row>
    <row r="33613">
      <c r="B33613" s="309"/>
      <c r="C33613" s="309"/>
      <c r="I33613" s="309"/>
      <c r="J33613" s="309"/>
    </row>
    <row r="33614">
      <c r="B33614" s="309"/>
      <c r="C33614" s="309"/>
      <c r="I33614" s="309"/>
      <c r="J33614" s="309"/>
    </row>
    <row r="33615">
      <c r="B33615" s="309"/>
      <c r="C33615" s="309"/>
      <c r="I33615" s="309"/>
      <c r="J33615" s="309"/>
    </row>
    <row r="33616">
      <c r="B33616" s="309"/>
      <c r="C33616" s="309"/>
      <c r="I33616" s="309"/>
      <c r="J33616" s="309"/>
    </row>
    <row r="33617">
      <c r="B33617" s="309"/>
      <c r="C33617" s="309"/>
      <c r="I33617" s="309"/>
      <c r="J33617" s="309"/>
    </row>
    <row r="33618">
      <c r="B33618" s="309"/>
      <c r="C33618" s="309"/>
      <c r="I33618" s="309"/>
      <c r="J33618" s="309"/>
    </row>
    <row r="33619">
      <c r="B33619" s="309"/>
      <c r="C33619" s="309"/>
      <c r="I33619" s="309"/>
      <c r="J33619" s="309"/>
    </row>
    <row r="33620">
      <c r="B33620" s="309"/>
      <c r="C33620" s="309"/>
      <c r="I33620" s="309"/>
      <c r="J33620" s="309"/>
    </row>
    <row r="33621">
      <c r="B33621" s="309"/>
      <c r="C33621" s="309"/>
      <c r="I33621" s="309"/>
      <c r="J33621" s="309"/>
    </row>
    <row r="33622">
      <c r="B33622" s="309"/>
      <c r="C33622" s="309"/>
      <c r="I33622" s="309"/>
      <c r="J33622" s="309"/>
    </row>
    <row r="33623">
      <c r="B33623" s="309"/>
      <c r="C33623" s="309"/>
      <c r="I33623" s="309"/>
      <c r="J33623" s="309"/>
    </row>
    <row r="33624">
      <c r="B33624" s="309"/>
      <c r="C33624" s="309"/>
      <c r="I33624" s="309"/>
      <c r="J33624" s="309"/>
    </row>
    <row r="33625">
      <c r="B33625" s="309"/>
      <c r="C33625" s="309"/>
      <c r="I33625" s="309"/>
      <c r="J33625" s="309"/>
    </row>
    <row r="33626">
      <c r="B33626" s="309"/>
      <c r="C33626" s="309"/>
      <c r="I33626" s="309"/>
      <c r="J33626" s="309"/>
    </row>
    <row r="33627">
      <c r="B33627" s="309"/>
      <c r="C33627" s="309"/>
      <c r="I33627" s="309"/>
      <c r="J33627" s="309"/>
    </row>
    <row r="33628">
      <c r="B33628" s="309"/>
      <c r="C33628" s="309"/>
      <c r="I33628" s="309"/>
      <c r="J33628" s="309"/>
    </row>
    <row r="33629">
      <c r="B33629" s="309"/>
      <c r="C33629" s="309"/>
      <c r="I33629" s="309"/>
      <c r="J33629" s="309"/>
    </row>
    <row r="33630">
      <c r="B33630" s="309"/>
      <c r="C33630" s="309"/>
      <c r="I33630" s="309"/>
      <c r="J33630" s="309"/>
    </row>
    <row r="33631">
      <c r="B33631" s="309"/>
      <c r="C33631" s="309"/>
      <c r="I33631" s="309"/>
      <c r="J33631" s="309"/>
    </row>
    <row r="33632">
      <c r="B33632" s="309"/>
      <c r="C33632" s="309"/>
      <c r="I33632" s="309"/>
      <c r="J33632" s="309"/>
    </row>
    <row r="33633">
      <c r="B33633" s="309"/>
      <c r="C33633" s="309"/>
      <c r="I33633" s="309"/>
      <c r="J33633" s="309"/>
    </row>
    <row r="33634">
      <c r="B33634" s="309"/>
      <c r="C33634" s="309"/>
      <c r="I33634" s="309"/>
      <c r="J33634" s="309"/>
    </row>
    <row r="33635">
      <c r="B33635" s="309"/>
      <c r="C33635" s="309"/>
      <c r="I33635" s="309"/>
      <c r="J33635" s="309"/>
    </row>
    <row r="33636">
      <c r="B33636" s="309"/>
      <c r="C33636" s="309"/>
      <c r="I33636" s="309"/>
      <c r="J33636" s="309"/>
    </row>
    <row r="33637">
      <c r="B33637" s="309"/>
      <c r="C33637" s="309"/>
      <c r="I33637" s="309"/>
      <c r="J33637" s="309"/>
    </row>
    <row r="33638">
      <c r="B33638" s="309"/>
      <c r="C33638" s="309"/>
      <c r="I33638" s="309"/>
      <c r="J33638" s="309"/>
    </row>
    <row r="33639">
      <c r="B33639" s="309"/>
      <c r="C33639" s="309"/>
      <c r="I33639" s="309"/>
      <c r="J33639" s="309"/>
    </row>
    <row r="33640">
      <c r="B33640" s="309"/>
      <c r="C33640" s="309"/>
      <c r="I33640" s="309"/>
      <c r="J33640" s="309"/>
    </row>
    <row r="33641">
      <c r="B33641" s="309"/>
      <c r="C33641" s="309"/>
      <c r="I33641" s="309"/>
      <c r="J33641" s="309"/>
    </row>
    <row r="33642">
      <c r="B33642" s="309"/>
      <c r="C33642" s="309"/>
      <c r="I33642" s="309"/>
      <c r="J33642" s="309"/>
    </row>
    <row r="33643">
      <c r="B33643" s="309"/>
      <c r="C33643" s="309"/>
      <c r="I33643" s="309"/>
      <c r="J33643" s="309"/>
    </row>
    <row r="33644">
      <c r="B33644" s="309"/>
      <c r="C33644" s="309"/>
      <c r="I33644" s="309"/>
      <c r="J33644" s="309"/>
    </row>
    <row r="33645">
      <c r="B33645" s="309"/>
      <c r="C33645" s="309"/>
      <c r="I33645" s="309"/>
      <c r="J33645" s="309"/>
    </row>
    <row r="33646">
      <c r="B33646" s="309"/>
      <c r="C33646" s="309"/>
      <c r="I33646" s="309"/>
      <c r="J33646" s="309"/>
    </row>
    <row r="33647">
      <c r="B33647" s="309"/>
      <c r="C33647" s="309"/>
      <c r="I33647" s="309"/>
      <c r="J33647" s="309"/>
    </row>
    <row r="33648">
      <c r="B33648" s="309"/>
      <c r="C33648" s="309"/>
      <c r="I33648" s="309"/>
      <c r="J33648" s="309"/>
    </row>
    <row r="33649">
      <c r="B33649" s="309"/>
      <c r="C33649" s="309"/>
      <c r="I33649" s="309"/>
      <c r="J33649" s="309"/>
    </row>
    <row r="33650">
      <c r="B33650" s="309"/>
      <c r="C33650" s="309"/>
      <c r="I33650" s="309"/>
      <c r="J33650" s="309"/>
    </row>
    <row r="33651">
      <c r="B33651" s="309"/>
      <c r="C33651" s="309"/>
      <c r="I33651" s="309"/>
      <c r="J33651" s="309"/>
    </row>
    <row r="33652">
      <c r="B33652" s="309"/>
      <c r="C33652" s="309"/>
      <c r="I33652" s="309"/>
      <c r="J33652" s="309"/>
    </row>
    <row r="33653">
      <c r="B33653" s="309"/>
      <c r="C33653" s="309"/>
      <c r="I33653" s="309"/>
      <c r="J33653" s="309"/>
    </row>
    <row r="33654">
      <c r="B33654" s="309"/>
      <c r="C33654" s="309"/>
      <c r="I33654" s="309"/>
      <c r="J33654" s="309"/>
    </row>
    <row r="33655">
      <c r="B33655" s="309"/>
      <c r="C33655" s="309"/>
      <c r="I33655" s="309"/>
      <c r="J33655" s="309"/>
    </row>
    <row r="33656">
      <c r="B33656" s="309"/>
      <c r="C33656" s="309"/>
      <c r="I33656" s="309"/>
      <c r="J33656" s="309"/>
    </row>
    <row r="33657">
      <c r="B33657" s="309"/>
      <c r="C33657" s="309"/>
      <c r="I33657" s="309"/>
      <c r="J33657" s="309"/>
    </row>
    <row r="33658">
      <c r="B33658" s="309"/>
      <c r="C33658" s="309"/>
      <c r="I33658" s="309"/>
      <c r="J33658" s="309"/>
    </row>
    <row r="33659">
      <c r="B33659" s="309"/>
      <c r="C33659" s="309"/>
      <c r="I33659" s="309"/>
      <c r="J33659" s="309"/>
    </row>
    <row r="33660">
      <c r="B33660" s="309"/>
      <c r="C33660" s="309"/>
      <c r="I33660" s="309"/>
      <c r="J33660" s="309"/>
    </row>
    <row r="33661">
      <c r="B33661" s="309"/>
      <c r="C33661" s="309"/>
      <c r="I33661" s="309"/>
      <c r="J33661" s="309"/>
    </row>
    <row r="33662">
      <c r="B33662" s="309"/>
      <c r="C33662" s="309"/>
      <c r="I33662" s="309"/>
      <c r="J33662" s="309"/>
    </row>
    <row r="33663">
      <c r="B33663" s="309"/>
      <c r="C33663" s="309"/>
      <c r="I33663" s="309"/>
      <c r="J33663" s="309"/>
    </row>
    <row r="33664">
      <c r="B33664" s="309"/>
      <c r="C33664" s="309"/>
      <c r="I33664" s="309"/>
      <c r="J33664" s="309"/>
    </row>
    <row r="33665">
      <c r="B33665" s="309"/>
      <c r="C33665" s="309"/>
      <c r="I33665" s="309"/>
      <c r="J33665" s="309"/>
    </row>
    <row r="33666">
      <c r="B33666" s="309"/>
      <c r="C33666" s="309"/>
      <c r="I33666" s="309"/>
      <c r="J33666" s="309"/>
    </row>
    <row r="33667">
      <c r="B33667" s="309"/>
      <c r="C33667" s="309"/>
      <c r="I33667" s="309"/>
      <c r="J33667" s="309"/>
    </row>
    <row r="33668">
      <c r="B33668" s="309"/>
      <c r="C33668" s="309"/>
      <c r="I33668" s="309"/>
      <c r="J33668" s="309"/>
    </row>
    <row r="33669">
      <c r="B33669" s="309"/>
      <c r="C33669" s="309"/>
      <c r="I33669" s="309"/>
      <c r="J33669" s="309"/>
    </row>
    <row r="33670">
      <c r="B33670" s="309"/>
      <c r="C33670" s="309"/>
      <c r="I33670" s="309"/>
      <c r="J33670" s="309"/>
    </row>
    <row r="33671">
      <c r="B33671" s="309"/>
      <c r="C33671" s="309"/>
      <c r="I33671" s="309"/>
      <c r="J33671" s="309"/>
    </row>
    <row r="33672">
      <c r="B33672" s="309"/>
      <c r="C33672" s="309"/>
      <c r="I33672" s="309"/>
      <c r="J33672" s="309"/>
    </row>
    <row r="33673">
      <c r="B33673" s="309"/>
      <c r="C33673" s="309"/>
      <c r="I33673" s="309"/>
      <c r="J33673" s="309"/>
    </row>
    <row r="33674">
      <c r="B33674" s="309"/>
      <c r="C33674" s="309"/>
      <c r="I33674" s="309"/>
      <c r="J33674" s="309"/>
    </row>
    <row r="33675">
      <c r="B33675" s="309"/>
      <c r="C33675" s="309"/>
      <c r="I33675" s="309"/>
      <c r="J33675" s="309"/>
    </row>
    <row r="33676">
      <c r="B33676" s="309"/>
      <c r="C33676" s="309"/>
      <c r="I33676" s="309"/>
      <c r="J33676" s="309"/>
    </row>
    <row r="33677">
      <c r="B33677" s="309"/>
      <c r="C33677" s="309"/>
      <c r="I33677" s="309"/>
      <c r="J33677" s="309"/>
    </row>
    <row r="33678">
      <c r="B33678" s="309"/>
      <c r="C33678" s="309"/>
      <c r="I33678" s="309"/>
      <c r="J33678" s="309"/>
    </row>
    <row r="33679">
      <c r="B33679" s="309"/>
      <c r="C33679" s="309"/>
      <c r="I33679" s="309"/>
      <c r="J33679" s="309"/>
    </row>
    <row r="33680">
      <c r="B33680" s="309"/>
      <c r="C33680" s="309"/>
      <c r="I33680" s="309"/>
      <c r="J33680" s="309"/>
    </row>
    <row r="33681">
      <c r="B33681" s="309"/>
      <c r="C33681" s="309"/>
      <c r="I33681" s="309"/>
      <c r="J33681" s="309"/>
    </row>
    <row r="33682">
      <c r="B33682" s="309"/>
      <c r="C33682" s="309"/>
      <c r="I33682" s="309"/>
      <c r="J33682" s="309"/>
    </row>
    <row r="33683">
      <c r="B33683" s="309"/>
      <c r="C33683" s="309"/>
      <c r="I33683" s="309"/>
      <c r="J33683" s="309"/>
    </row>
    <row r="33684">
      <c r="B33684" s="309"/>
      <c r="C33684" s="309"/>
      <c r="I33684" s="309"/>
      <c r="J33684" s="309"/>
    </row>
    <row r="33685">
      <c r="B33685" s="309"/>
      <c r="C33685" s="309"/>
      <c r="I33685" s="309"/>
      <c r="J33685" s="309"/>
    </row>
    <row r="33686">
      <c r="B33686" s="309"/>
      <c r="C33686" s="309"/>
      <c r="I33686" s="309"/>
      <c r="J33686" s="309"/>
    </row>
    <row r="33687">
      <c r="B33687" s="309"/>
      <c r="C33687" s="309"/>
      <c r="I33687" s="309"/>
      <c r="J33687" s="309"/>
    </row>
    <row r="33688">
      <c r="B33688" s="309"/>
      <c r="C33688" s="309"/>
      <c r="I33688" s="309"/>
      <c r="J33688" s="309"/>
    </row>
    <row r="33689">
      <c r="B33689" s="309"/>
      <c r="C33689" s="309"/>
      <c r="I33689" s="309"/>
      <c r="J33689" s="309"/>
    </row>
    <row r="33690">
      <c r="B33690" s="309"/>
      <c r="C33690" s="309"/>
      <c r="I33690" s="309"/>
      <c r="J33690" s="309"/>
    </row>
    <row r="33691">
      <c r="B33691" s="309"/>
      <c r="C33691" s="309"/>
      <c r="I33691" s="309"/>
      <c r="J33691" s="309"/>
    </row>
    <row r="33692">
      <c r="B33692" s="309"/>
      <c r="C33692" s="309"/>
      <c r="I33692" s="309"/>
      <c r="J33692" s="309"/>
    </row>
    <row r="33693">
      <c r="B33693" s="309"/>
      <c r="C33693" s="309"/>
      <c r="I33693" s="309"/>
      <c r="J33693" s="309"/>
    </row>
    <row r="33694">
      <c r="B33694" s="309"/>
      <c r="C33694" s="309"/>
      <c r="I33694" s="309"/>
      <c r="J33694" s="309"/>
    </row>
    <row r="33695">
      <c r="B33695" s="309"/>
      <c r="C33695" s="309"/>
      <c r="I33695" s="309"/>
      <c r="J33695" s="309"/>
    </row>
    <row r="33696">
      <c r="B33696" s="309"/>
      <c r="C33696" s="309"/>
      <c r="I33696" s="309"/>
      <c r="J33696" s="309"/>
    </row>
    <row r="33697">
      <c r="B33697" s="309"/>
      <c r="C33697" s="309"/>
      <c r="I33697" s="309"/>
      <c r="J33697" s="309"/>
    </row>
    <row r="33698">
      <c r="B33698" s="309"/>
      <c r="C33698" s="309"/>
      <c r="I33698" s="309"/>
      <c r="J33698" s="309"/>
    </row>
    <row r="33699">
      <c r="B33699" s="309"/>
      <c r="C33699" s="309"/>
      <c r="I33699" s="309"/>
      <c r="J33699" s="309"/>
    </row>
    <row r="33700">
      <c r="B33700" s="309"/>
      <c r="C33700" s="309"/>
      <c r="I33700" s="309"/>
      <c r="J33700" s="309"/>
    </row>
    <row r="33701">
      <c r="B33701" s="309"/>
      <c r="C33701" s="309"/>
      <c r="I33701" s="309"/>
      <c r="J33701" s="309"/>
    </row>
    <row r="33702">
      <c r="B33702" s="309"/>
      <c r="C33702" s="309"/>
      <c r="I33702" s="309"/>
      <c r="J33702" s="309"/>
    </row>
    <row r="33703">
      <c r="B33703" s="309"/>
      <c r="C33703" s="309"/>
      <c r="I33703" s="309"/>
      <c r="J33703" s="309"/>
    </row>
    <row r="33704">
      <c r="B33704" s="309"/>
      <c r="C33704" s="309"/>
      <c r="I33704" s="309"/>
      <c r="J33704" s="309"/>
    </row>
    <row r="33705">
      <c r="B33705" s="309"/>
      <c r="C33705" s="309"/>
      <c r="I33705" s="309"/>
      <c r="J33705" s="309"/>
    </row>
    <row r="33706">
      <c r="B33706" s="309"/>
      <c r="C33706" s="309"/>
      <c r="I33706" s="309"/>
      <c r="J33706" s="309"/>
    </row>
    <row r="33707">
      <c r="B33707" s="309"/>
      <c r="C33707" s="309"/>
      <c r="I33707" s="309"/>
      <c r="J33707" s="309"/>
    </row>
    <row r="33708">
      <c r="B33708" s="309"/>
      <c r="C33708" s="309"/>
      <c r="I33708" s="309"/>
      <c r="J33708" s="309"/>
    </row>
    <row r="33709">
      <c r="B33709" s="309"/>
      <c r="C33709" s="309"/>
      <c r="I33709" s="309"/>
      <c r="J33709" s="309"/>
    </row>
    <row r="33710">
      <c r="B33710" s="309"/>
      <c r="C33710" s="309"/>
      <c r="I33710" s="309"/>
      <c r="J33710" s="309"/>
    </row>
    <row r="33711">
      <c r="B33711" s="309"/>
      <c r="C33711" s="309"/>
      <c r="I33711" s="309"/>
      <c r="J33711" s="309"/>
    </row>
    <row r="33712">
      <c r="B33712" s="309"/>
      <c r="C33712" s="309"/>
      <c r="I33712" s="309"/>
      <c r="J33712" s="309"/>
    </row>
    <row r="33713">
      <c r="B33713" s="309"/>
      <c r="C33713" s="309"/>
      <c r="I33713" s="309"/>
      <c r="J33713" s="309"/>
    </row>
    <row r="33714">
      <c r="B33714" s="309"/>
      <c r="C33714" s="309"/>
      <c r="I33714" s="309"/>
      <c r="J33714" s="309"/>
    </row>
    <row r="33715">
      <c r="B33715" s="309"/>
      <c r="C33715" s="309"/>
      <c r="I33715" s="309"/>
      <c r="J33715" s="309"/>
    </row>
    <row r="33716">
      <c r="B33716" s="309"/>
      <c r="C33716" s="309"/>
      <c r="I33716" s="309"/>
      <c r="J33716" s="309"/>
    </row>
    <row r="33717">
      <c r="B33717" s="309"/>
      <c r="C33717" s="309"/>
      <c r="I33717" s="309"/>
      <c r="J33717" s="309"/>
    </row>
    <row r="33718">
      <c r="B33718" s="309"/>
      <c r="C33718" s="309"/>
      <c r="I33718" s="309"/>
      <c r="J33718" s="309"/>
    </row>
    <row r="33719">
      <c r="B33719" s="309"/>
      <c r="C33719" s="309"/>
      <c r="I33719" s="309"/>
      <c r="J33719" s="309"/>
    </row>
    <row r="33720">
      <c r="B33720" s="309"/>
      <c r="C33720" s="309"/>
      <c r="I33720" s="309"/>
      <c r="J33720" s="309"/>
    </row>
    <row r="33721">
      <c r="B33721" s="309"/>
      <c r="C33721" s="309"/>
      <c r="I33721" s="309"/>
      <c r="J33721" s="309"/>
    </row>
    <row r="33722">
      <c r="B33722" s="309"/>
      <c r="C33722" s="309"/>
      <c r="I33722" s="309"/>
      <c r="J33722" s="309"/>
    </row>
    <row r="33723">
      <c r="B33723" s="309"/>
      <c r="C33723" s="309"/>
      <c r="I33723" s="309"/>
      <c r="J33723" s="309"/>
    </row>
    <row r="33724">
      <c r="B33724" s="309"/>
      <c r="C33724" s="309"/>
      <c r="I33724" s="309"/>
      <c r="J33724" s="309"/>
    </row>
    <row r="33725">
      <c r="B33725" s="309"/>
      <c r="C33725" s="309"/>
      <c r="I33725" s="309"/>
      <c r="J33725" s="309"/>
    </row>
    <row r="33726">
      <c r="B33726" s="309"/>
      <c r="C33726" s="309"/>
      <c r="I33726" s="309"/>
      <c r="J33726" s="309"/>
    </row>
    <row r="33727">
      <c r="B33727" s="309"/>
      <c r="C33727" s="309"/>
      <c r="I33727" s="309"/>
      <c r="J33727" s="309"/>
    </row>
    <row r="33728">
      <c r="B33728" s="309"/>
      <c r="C33728" s="309"/>
      <c r="I33728" s="309"/>
      <c r="J33728" s="309"/>
    </row>
    <row r="33729">
      <c r="B33729" s="309"/>
      <c r="C33729" s="309"/>
      <c r="I33729" s="309"/>
      <c r="J33729" s="309"/>
    </row>
    <row r="33730">
      <c r="B33730" s="309"/>
      <c r="C33730" s="309"/>
      <c r="I33730" s="309"/>
      <c r="J33730" s="309"/>
    </row>
    <row r="33731">
      <c r="B33731" s="309"/>
      <c r="C33731" s="309"/>
      <c r="I33731" s="309"/>
      <c r="J33731" s="309"/>
    </row>
    <row r="33732">
      <c r="B33732" s="309"/>
      <c r="C33732" s="309"/>
      <c r="I33732" s="309"/>
      <c r="J33732" s="309"/>
    </row>
    <row r="33733">
      <c r="B33733" s="309"/>
      <c r="C33733" s="309"/>
      <c r="I33733" s="309"/>
      <c r="J33733" s="309"/>
    </row>
    <row r="33734">
      <c r="B33734" s="309"/>
      <c r="C33734" s="309"/>
      <c r="I33734" s="309"/>
      <c r="J33734" s="309"/>
    </row>
    <row r="33735">
      <c r="B33735" s="309"/>
      <c r="C33735" s="309"/>
      <c r="I33735" s="309"/>
      <c r="J33735" s="309"/>
    </row>
    <row r="33736">
      <c r="B33736" s="309"/>
      <c r="C33736" s="309"/>
      <c r="I33736" s="309"/>
      <c r="J33736" s="309"/>
    </row>
    <row r="33737">
      <c r="B33737" s="309"/>
      <c r="C33737" s="309"/>
      <c r="I33737" s="309"/>
      <c r="J33737" s="309"/>
    </row>
    <row r="33738">
      <c r="B33738" s="309"/>
      <c r="C33738" s="309"/>
      <c r="I33738" s="309"/>
      <c r="J33738" s="309"/>
    </row>
    <row r="33739">
      <c r="B33739" s="309"/>
      <c r="C33739" s="309"/>
      <c r="I33739" s="309"/>
      <c r="J33739" s="309"/>
    </row>
    <row r="33740">
      <c r="B33740" s="309"/>
      <c r="C33740" s="309"/>
      <c r="I33740" s="309"/>
      <c r="J33740" s="309"/>
    </row>
    <row r="33741">
      <c r="B33741" s="309"/>
      <c r="C33741" s="309"/>
      <c r="I33741" s="309"/>
      <c r="J33741" s="309"/>
    </row>
    <row r="33742">
      <c r="B33742" s="309"/>
      <c r="C33742" s="309"/>
      <c r="I33742" s="309"/>
      <c r="J33742" s="309"/>
    </row>
    <row r="33743">
      <c r="B33743" s="309"/>
      <c r="C33743" s="309"/>
      <c r="I33743" s="309"/>
      <c r="J33743" s="309"/>
    </row>
    <row r="33744">
      <c r="B33744" s="309"/>
      <c r="C33744" s="309"/>
      <c r="I33744" s="309"/>
      <c r="J33744" s="309"/>
    </row>
    <row r="33745">
      <c r="B33745" s="309"/>
      <c r="C33745" s="309"/>
      <c r="I33745" s="309"/>
      <c r="J33745" s="309"/>
    </row>
    <row r="33746">
      <c r="B33746" s="309"/>
      <c r="C33746" s="309"/>
      <c r="I33746" s="309"/>
      <c r="J33746" s="309"/>
    </row>
    <row r="33747">
      <c r="B33747" s="309"/>
      <c r="C33747" s="309"/>
      <c r="I33747" s="309"/>
      <c r="J33747" s="309"/>
    </row>
    <row r="33748">
      <c r="B33748" s="309"/>
      <c r="C33748" s="309"/>
      <c r="I33748" s="309"/>
      <c r="J33748" s="309"/>
    </row>
    <row r="33749">
      <c r="B33749" s="309"/>
      <c r="C33749" s="309"/>
      <c r="I33749" s="309"/>
      <c r="J33749" s="309"/>
    </row>
    <row r="33750">
      <c r="B33750" s="309"/>
      <c r="C33750" s="309"/>
      <c r="I33750" s="309"/>
      <c r="J33750" s="309"/>
    </row>
    <row r="33751">
      <c r="B33751" s="309"/>
      <c r="C33751" s="309"/>
      <c r="I33751" s="309"/>
      <c r="J33751" s="309"/>
    </row>
    <row r="33752">
      <c r="B33752" s="309"/>
      <c r="C33752" s="309"/>
      <c r="I33752" s="309"/>
      <c r="J33752" s="309"/>
    </row>
    <row r="33753">
      <c r="B33753" s="309"/>
      <c r="C33753" s="309"/>
      <c r="I33753" s="309"/>
      <c r="J33753" s="309"/>
    </row>
    <row r="33754">
      <c r="B33754" s="309"/>
      <c r="C33754" s="309"/>
      <c r="I33754" s="309"/>
      <c r="J33754" s="309"/>
    </row>
    <row r="33755">
      <c r="B33755" s="309"/>
      <c r="C33755" s="309"/>
      <c r="I33755" s="309"/>
      <c r="J33755" s="309"/>
    </row>
    <row r="33756">
      <c r="B33756" s="309"/>
      <c r="C33756" s="309"/>
      <c r="I33756" s="309"/>
      <c r="J33756" s="309"/>
    </row>
    <row r="33757">
      <c r="B33757" s="309"/>
      <c r="C33757" s="309"/>
      <c r="I33757" s="309"/>
      <c r="J33757" s="309"/>
    </row>
    <row r="33758">
      <c r="B33758" s="309"/>
      <c r="C33758" s="309"/>
      <c r="I33758" s="309"/>
      <c r="J33758" s="309"/>
    </row>
    <row r="33759">
      <c r="B33759" s="309"/>
      <c r="C33759" s="309"/>
      <c r="I33759" s="309"/>
      <c r="J33759" s="309"/>
    </row>
    <row r="33760">
      <c r="B33760" s="309"/>
      <c r="C33760" s="309"/>
      <c r="I33760" s="309"/>
      <c r="J33760" s="309"/>
    </row>
    <row r="33761">
      <c r="B33761" s="309"/>
      <c r="C33761" s="309"/>
      <c r="I33761" s="309"/>
      <c r="J33761" s="309"/>
    </row>
    <row r="33762">
      <c r="B33762" s="309"/>
      <c r="C33762" s="309"/>
      <c r="I33762" s="309"/>
      <c r="J33762" s="309"/>
    </row>
    <row r="33763">
      <c r="B33763" s="309"/>
      <c r="C33763" s="309"/>
      <c r="I33763" s="309"/>
      <c r="J33763" s="309"/>
    </row>
    <row r="33764">
      <c r="B33764" s="309"/>
      <c r="C33764" s="309"/>
      <c r="I33764" s="309"/>
      <c r="J33764" s="309"/>
    </row>
    <row r="33765">
      <c r="B33765" s="309"/>
      <c r="C33765" s="309"/>
      <c r="I33765" s="309"/>
      <c r="J33765" s="309"/>
    </row>
    <row r="33766">
      <c r="B33766" s="309"/>
      <c r="C33766" s="309"/>
      <c r="I33766" s="309"/>
      <c r="J33766" s="309"/>
    </row>
    <row r="33767">
      <c r="B33767" s="309"/>
      <c r="C33767" s="309"/>
      <c r="I33767" s="309"/>
      <c r="J33767" s="309"/>
    </row>
    <row r="33768">
      <c r="B33768" s="309"/>
      <c r="C33768" s="309"/>
      <c r="I33768" s="309"/>
      <c r="J33768" s="309"/>
    </row>
    <row r="33769">
      <c r="B33769" s="309"/>
      <c r="C33769" s="309"/>
      <c r="I33769" s="309"/>
      <c r="J33769" s="309"/>
    </row>
    <row r="33770">
      <c r="B33770" s="309"/>
      <c r="C33770" s="309"/>
      <c r="I33770" s="309"/>
      <c r="J33770" s="309"/>
    </row>
    <row r="33771">
      <c r="B33771" s="309"/>
      <c r="C33771" s="309"/>
      <c r="I33771" s="309"/>
      <c r="J33771" s="309"/>
    </row>
    <row r="33772">
      <c r="B33772" s="309"/>
      <c r="C33772" s="309"/>
      <c r="I33772" s="309"/>
      <c r="J33772" s="309"/>
    </row>
    <row r="33773">
      <c r="B33773" s="309"/>
      <c r="C33773" s="309"/>
      <c r="I33773" s="309"/>
      <c r="J33773" s="309"/>
    </row>
    <row r="33774">
      <c r="B33774" s="309"/>
      <c r="C33774" s="309"/>
      <c r="I33774" s="309"/>
      <c r="J33774" s="309"/>
    </row>
    <row r="33775">
      <c r="B33775" s="309"/>
      <c r="C33775" s="309"/>
      <c r="I33775" s="309"/>
      <c r="J33775" s="309"/>
    </row>
    <row r="33776">
      <c r="B33776" s="309"/>
      <c r="C33776" s="309"/>
      <c r="I33776" s="309"/>
      <c r="J33776" s="309"/>
    </row>
    <row r="33777">
      <c r="B33777" s="309"/>
      <c r="C33777" s="309"/>
      <c r="I33777" s="309"/>
      <c r="J33777" s="309"/>
    </row>
    <row r="33778">
      <c r="B33778" s="309"/>
      <c r="C33778" s="309"/>
      <c r="I33778" s="309"/>
      <c r="J33778" s="309"/>
    </row>
    <row r="33779">
      <c r="B33779" s="309"/>
      <c r="C33779" s="309"/>
      <c r="I33779" s="309"/>
      <c r="J33779" s="309"/>
    </row>
    <row r="33780">
      <c r="B33780" s="309"/>
      <c r="C33780" s="309"/>
      <c r="I33780" s="309"/>
      <c r="J33780" s="309"/>
    </row>
    <row r="33781">
      <c r="B33781" s="309"/>
      <c r="C33781" s="309"/>
      <c r="I33781" s="309"/>
      <c r="J33781" s="309"/>
    </row>
    <row r="33782">
      <c r="B33782" s="309"/>
      <c r="C33782" s="309"/>
      <c r="I33782" s="309"/>
      <c r="J33782" s="309"/>
    </row>
    <row r="33783">
      <c r="B33783" s="309"/>
      <c r="C33783" s="309"/>
      <c r="I33783" s="309"/>
      <c r="J33783" s="309"/>
    </row>
    <row r="33784">
      <c r="B33784" s="309"/>
      <c r="C33784" s="309"/>
      <c r="I33784" s="309"/>
      <c r="J33784" s="309"/>
    </row>
    <row r="33785">
      <c r="B33785" s="309"/>
      <c r="C33785" s="309"/>
      <c r="I33785" s="309"/>
      <c r="J33785" s="309"/>
    </row>
    <row r="33786">
      <c r="B33786" s="309"/>
      <c r="C33786" s="309"/>
      <c r="I33786" s="309"/>
      <c r="J33786" s="309"/>
    </row>
    <row r="33787">
      <c r="B33787" s="309"/>
      <c r="C33787" s="309"/>
      <c r="I33787" s="309"/>
      <c r="J33787" s="309"/>
    </row>
    <row r="33788">
      <c r="B33788" s="309"/>
      <c r="C33788" s="309"/>
      <c r="I33788" s="309"/>
      <c r="J33788" s="309"/>
    </row>
    <row r="33789">
      <c r="B33789" s="309"/>
      <c r="C33789" s="309"/>
      <c r="I33789" s="309"/>
      <c r="J33789" s="309"/>
    </row>
    <row r="33790">
      <c r="B33790" s="309"/>
      <c r="C33790" s="309"/>
      <c r="I33790" s="309"/>
      <c r="J33790" s="309"/>
    </row>
    <row r="33791">
      <c r="B33791" s="309"/>
      <c r="C33791" s="309"/>
      <c r="I33791" s="309"/>
      <c r="J33791" s="309"/>
    </row>
    <row r="33792">
      <c r="B33792" s="309"/>
      <c r="C33792" s="309"/>
      <c r="I33792" s="309"/>
      <c r="J33792" s="309"/>
    </row>
    <row r="33793">
      <c r="B33793" s="309"/>
      <c r="C33793" s="309"/>
      <c r="I33793" s="309"/>
      <c r="J33793" s="309"/>
    </row>
    <row r="33794">
      <c r="B33794" s="309"/>
      <c r="C33794" s="309"/>
      <c r="I33794" s="309"/>
      <c r="J33794" s="309"/>
    </row>
    <row r="33795">
      <c r="B33795" s="309"/>
      <c r="C33795" s="309"/>
      <c r="I33795" s="309"/>
      <c r="J33795" s="309"/>
    </row>
    <row r="33796">
      <c r="B33796" s="309"/>
      <c r="C33796" s="309"/>
      <c r="I33796" s="309"/>
      <c r="J33796" s="309"/>
    </row>
    <row r="33797">
      <c r="B33797" s="309"/>
      <c r="C33797" s="309"/>
      <c r="I33797" s="309"/>
      <c r="J33797" s="309"/>
    </row>
    <row r="33798">
      <c r="B33798" s="309"/>
      <c r="C33798" s="309"/>
      <c r="I33798" s="309"/>
      <c r="J33798" s="309"/>
    </row>
    <row r="33799">
      <c r="B33799" s="309"/>
      <c r="C33799" s="309"/>
      <c r="I33799" s="309"/>
      <c r="J33799" s="309"/>
    </row>
    <row r="33800">
      <c r="B33800" s="309"/>
      <c r="C33800" s="309"/>
      <c r="I33800" s="309"/>
      <c r="J33800" s="309"/>
    </row>
    <row r="33801">
      <c r="B33801" s="309"/>
      <c r="C33801" s="309"/>
      <c r="I33801" s="309"/>
      <c r="J33801" s="309"/>
    </row>
    <row r="33802">
      <c r="B33802" s="309"/>
      <c r="C33802" s="309"/>
      <c r="I33802" s="309"/>
      <c r="J33802" s="309"/>
    </row>
    <row r="33803">
      <c r="B33803" s="309"/>
      <c r="C33803" s="309"/>
      <c r="I33803" s="309"/>
      <c r="J33803" s="309"/>
    </row>
    <row r="33804">
      <c r="B33804" s="309"/>
      <c r="C33804" s="309"/>
      <c r="I33804" s="309"/>
      <c r="J33804" s="309"/>
    </row>
    <row r="33805">
      <c r="B33805" s="309"/>
      <c r="C33805" s="309"/>
      <c r="I33805" s="309"/>
      <c r="J33805" s="309"/>
    </row>
    <row r="33806">
      <c r="B33806" s="309"/>
      <c r="C33806" s="309"/>
      <c r="I33806" s="309"/>
      <c r="J33806" s="309"/>
    </row>
    <row r="33807">
      <c r="B33807" s="309"/>
      <c r="C33807" s="309"/>
      <c r="I33807" s="309"/>
      <c r="J33807" s="309"/>
    </row>
    <row r="33808">
      <c r="B33808" s="309"/>
      <c r="C33808" s="309"/>
      <c r="I33808" s="309"/>
      <c r="J33808" s="309"/>
    </row>
    <row r="33809">
      <c r="B33809" s="309"/>
      <c r="C33809" s="309"/>
      <c r="I33809" s="309"/>
      <c r="J33809" s="309"/>
    </row>
    <row r="33810">
      <c r="B33810" s="309"/>
      <c r="C33810" s="309"/>
      <c r="I33810" s="309"/>
      <c r="J33810" s="309"/>
    </row>
    <row r="33811">
      <c r="B33811" s="309"/>
      <c r="C33811" s="309"/>
      <c r="I33811" s="309"/>
      <c r="J33811" s="309"/>
    </row>
    <row r="33812">
      <c r="B33812" s="309"/>
      <c r="C33812" s="309"/>
      <c r="I33812" s="309"/>
      <c r="J33812" s="309"/>
    </row>
    <row r="33813">
      <c r="B33813" s="309"/>
      <c r="C33813" s="309"/>
      <c r="I33813" s="309"/>
      <c r="J33813" s="309"/>
    </row>
    <row r="33814">
      <c r="B33814" s="309"/>
      <c r="C33814" s="309"/>
      <c r="I33814" s="309"/>
      <c r="J33814" s="309"/>
    </row>
    <row r="33815">
      <c r="B33815" s="309"/>
      <c r="C33815" s="309"/>
      <c r="I33815" s="309"/>
      <c r="J33815" s="309"/>
    </row>
    <row r="33816">
      <c r="B33816" s="309"/>
      <c r="C33816" s="309"/>
      <c r="I33816" s="309"/>
      <c r="J33816" s="309"/>
    </row>
    <row r="33817">
      <c r="B33817" s="309"/>
      <c r="C33817" s="309"/>
      <c r="I33817" s="309"/>
      <c r="J33817" s="309"/>
    </row>
    <row r="33818">
      <c r="B33818" s="309"/>
      <c r="C33818" s="309"/>
      <c r="I33818" s="309"/>
      <c r="J33818" s="309"/>
    </row>
    <row r="33819">
      <c r="B33819" s="309"/>
      <c r="C33819" s="309"/>
      <c r="I33819" s="309"/>
      <c r="J33819" s="309"/>
    </row>
    <row r="33820">
      <c r="B33820" s="309"/>
      <c r="C33820" s="309"/>
      <c r="I33820" s="309"/>
      <c r="J33820" s="309"/>
    </row>
    <row r="33821">
      <c r="B33821" s="309"/>
      <c r="C33821" s="309"/>
      <c r="I33821" s="309"/>
      <c r="J33821" s="309"/>
    </row>
    <row r="33822">
      <c r="B33822" s="309"/>
      <c r="C33822" s="309"/>
      <c r="I33822" s="309"/>
      <c r="J33822" s="309"/>
    </row>
    <row r="33823">
      <c r="B33823" s="309"/>
      <c r="C33823" s="309"/>
      <c r="I33823" s="309"/>
      <c r="J33823" s="309"/>
    </row>
    <row r="33824">
      <c r="B33824" s="309"/>
      <c r="C33824" s="309"/>
      <c r="I33824" s="309"/>
      <c r="J33824" s="309"/>
    </row>
    <row r="33825">
      <c r="B33825" s="309"/>
      <c r="C33825" s="309"/>
      <c r="I33825" s="309"/>
      <c r="J33825" s="309"/>
    </row>
    <row r="33826">
      <c r="B33826" s="309"/>
      <c r="C33826" s="309"/>
      <c r="I33826" s="309"/>
      <c r="J33826" s="309"/>
    </row>
    <row r="33827">
      <c r="B33827" s="309"/>
      <c r="C33827" s="309"/>
      <c r="I33827" s="309"/>
      <c r="J33827" s="309"/>
    </row>
    <row r="33828">
      <c r="B33828" s="309"/>
      <c r="C33828" s="309"/>
      <c r="I33828" s="309"/>
      <c r="J33828" s="309"/>
    </row>
    <row r="33829">
      <c r="B33829" s="309"/>
      <c r="C33829" s="309"/>
      <c r="I33829" s="309"/>
      <c r="J33829" s="309"/>
    </row>
    <row r="33830">
      <c r="B33830" s="309"/>
      <c r="C33830" s="309"/>
      <c r="I33830" s="309"/>
      <c r="J33830" s="309"/>
    </row>
    <row r="33831">
      <c r="B33831" s="309"/>
      <c r="C33831" s="309"/>
      <c r="I33831" s="309"/>
      <c r="J33831" s="309"/>
    </row>
    <row r="33832">
      <c r="B33832" s="309"/>
      <c r="C33832" s="309"/>
      <c r="I33832" s="309"/>
      <c r="J33832" s="309"/>
    </row>
    <row r="33833">
      <c r="B33833" s="309"/>
      <c r="C33833" s="309"/>
      <c r="I33833" s="309"/>
      <c r="J33833" s="309"/>
    </row>
    <row r="33834">
      <c r="B33834" s="309"/>
      <c r="C33834" s="309"/>
      <c r="I33834" s="309"/>
      <c r="J33834" s="309"/>
    </row>
    <row r="33835">
      <c r="B33835" s="309"/>
      <c r="C33835" s="309"/>
      <c r="I33835" s="309"/>
      <c r="J33835" s="309"/>
    </row>
    <row r="33836">
      <c r="B33836" s="309"/>
      <c r="C33836" s="309"/>
      <c r="I33836" s="309"/>
      <c r="J33836" s="309"/>
    </row>
    <row r="33837">
      <c r="B33837" s="309"/>
      <c r="C33837" s="309"/>
      <c r="I33837" s="309"/>
      <c r="J33837" s="309"/>
    </row>
    <row r="33838">
      <c r="B33838" s="309"/>
      <c r="C33838" s="309"/>
      <c r="I33838" s="309"/>
      <c r="J33838" s="309"/>
    </row>
    <row r="33839">
      <c r="B33839" s="309"/>
      <c r="C33839" s="309"/>
      <c r="I33839" s="309"/>
      <c r="J33839" s="309"/>
    </row>
    <row r="33840">
      <c r="B33840" s="309"/>
      <c r="C33840" s="309"/>
      <c r="I33840" s="309"/>
      <c r="J33840" s="309"/>
    </row>
    <row r="33841">
      <c r="B33841" s="309"/>
      <c r="C33841" s="309"/>
      <c r="I33841" s="309"/>
      <c r="J33841" s="309"/>
    </row>
    <row r="33842">
      <c r="B33842" s="309"/>
      <c r="C33842" s="309"/>
      <c r="I33842" s="309"/>
      <c r="J33842" s="309"/>
    </row>
    <row r="33843">
      <c r="B33843" s="309"/>
      <c r="C33843" s="309"/>
      <c r="I33843" s="309"/>
      <c r="J33843" s="309"/>
    </row>
    <row r="33844">
      <c r="B33844" s="309"/>
      <c r="C33844" s="309"/>
      <c r="I33844" s="309"/>
      <c r="J33844" s="309"/>
    </row>
    <row r="33845">
      <c r="B33845" s="309"/>
      <c r="C33845" s="309"/>
      <c r="I33845" s="309"/>
      <c r="J33845" s="309"/>
    </row>
    <row r="33846">
      <c r="B33846" s="309"/>
      <c r="C33846" s="309"/>
      <c r="I33846" s="309"/>
      <c r="J33846" s="309"/>
    </row>
    <row r="33847">
      <c r="B33847" s="309"/>
      <c r="C33847" s="309"/>
      <c r="I33847" s="309"/>
      <c r="J33847" s="309"/>
    </row>
    <row r="33848">
      <c r="B33848" s="309"/>
      <c r="C33848" s="309"/>
      <c r="I33848" s="309"/>
      <c r="J33848" s="309"/>
    </row>
    <row r="33849">
      <c r="B33849" s="309"/>
      <c r="C33849" s="309"/>
      <c r="I33849" s="309"/>
      <c r="J33849" s="309"/>
    </row>
    <row r="33850">
      <c r="B33850" s="309"/>
      <c r="C33850" s="309"/>
      <c r="I33850" s="309"/>
      <c r="J33850" s="309"/>
    </row>
    <row r="33851">
      <c r="B33851" s="309"/>
      <c r="C33851" s="309"/>
      <c r="I33851" s="309"/>
      <c r="J33851" s="309"/>
    </row>
    <row r="33852">
      <c r="B33852" s="309"/>
      <c r="C33852" s="309"/>
      <c r="I33852" s="309"/>
      <c r="J33852" s="309"/>
    </row>
    <row r="33853">
      <c r="B33853" s="309"/>
      <c r="C33853" s="309"/>
      <c r="I33853" s="309"/>
      <c r="J33853" s="309"/>
    </row>
    <row r="33854">
      <c r="B33854" s="309"/>
      <c r="C33854" s="309"/>
      <c r="I33854" s="309"/>
      <c r="J33854" s="309"/>
    </row>
    <row r="33855">
      <c r="B33855" s="309"/>
      <c r="C33855" s="309"/>
      <c r="I33855" s="309"/>
      <c r="J33855" s="309"/>
    </row>
    <row r="33856">
      <c r="B33856" s="309"/>
      <c r="C33856" s="309"/>
      <c r="I33856" s="309"/>
      <c r="J33856" s="309"/>
    </row>
    <row r="33857">
      <c r="B33857" s="309"/>
      <c r="C33857" s="309"/>
      <c r="I33857" s="309"/>
      <c r="J33857" s="309"/>
    </row>
    <row r="33858">
      <c r="B33858" s="309"/>
      <c r="C33858" s="309"/>
      <c r="I33858" s="309"/>
      <c r="J33858" s="309"/>
    </row>
    <row r="33859">
      <c r="B33859" s="309"/>
      <c r="C33859" s="309"/>
      <c r="I33859" s="309"/>
      <c r="J33859" s="309"/>
    </row>
    <row r="33860">
      <c r="B33860" s="309"/>
      <c r="C33860" s="309"/>
      <c r="I33860" s="309"/>
      <c r="J33860" s="309"/>
    </row>
    <row r="33861">
      <c r="B33861" s="309"/>
      <c r="C33861" s="309"/>
      <c r="I33861" s="309"/>
      <c r="J33861" s="309"/>
    </row>
    <row r="33862">
      <c r="B33862" s="309"/>
      <c r="C33862" s="309"/>
      <c r="I33862" s="309"/>
      <c r="J33862" s="309"/>
    </row>
    <row r="33863">
      <c r="B33863" s="309"/>
      <c r="C33863" s="309"/>
      <c r="I33863" s="309"/>
      <c r="J33863" s="309"/>
    </row>
    <row r="33864">
      <c r="B33864" s="309"/>
      <c r="C33864" s="309"/>
      <c r="I33864" s="309"/>
      <c r="J33864" s="309"/>
    </row>
    <row r="33865">
      <c r="B33865" s="309"/>
      <c r="C33865" s="309"/>
      <c r="I33865" s="309"/>
      <c r="J33865" s="309"/>
    </row>
    <row r="33866">
      <c r="B33866" s="309"/>
      <c r="C33866" s="309"/>
      <c r="I33866" s="309"/>
      <c r="J33866" s="309"/>
    </row>
    <row r="33867">
      <c r="B33867" s="309"/>
      <c r="C33867" s="309"/>
      <c r="I33867" s="309"/>
      <c r="J33867" s="309"/>
    </row>
    <row r="33868">
      <c r="B33868" s="309"/>
      <c r="C33868" s="309"/>
      <c r="I33868" s="309"/>
      <c r="J33868" s="309"/>
    </row>
    <row r="33869">
      <c r="B33869" s="309"/>
      <c r="C33869" s="309"/>
      <c r="I33869" s="309"/>
      <c r="J33869" s="309"/>
    </row>
    <row r="33870">
      <c r="B33870" s="309"/>
      <c r="C33870" s="309"/>
      <c r="I33870" s="309"/>
      <c r="J33870" s="309"/>
    </row>
    <row r="33871">
      <c r="B33871" s="309"/>
      <c r="C33871" s="309"/>
      <c r="I33871" s="309"/>
      <c r="J33871" s="309"/>
    </row>
    <row r="33872">
      <c r="B33872" s="309"/>
      <c r="C33872" s="309"/>
      <c r="I33872" s="309"/>
      <c r="J33872" s="309"/>
    </row>
    <row r="33873">
      <c r="B33873" s="309"/>
      <c r="C33873" s="309"/>
      <c r="I33873" s="309"/>
      <c r="J33873" s="309"/>
    </row>
    <row r="33874">
      <c r="B33874" s="309"/>
      <c r="C33874" s="309"/>
      <c r="I33874" s="309"/>
      <c r="J33874" s="309"/>
    </row>
    <row r="33875">
      <c r="B33875" s="309"/>
      <c r="C33875" s="309"/>
      <c r="I33875" s="309"/>
      <c r="J33875" s="309"/>
    </row>
    <row r="33876">
      <c r="B33876" s="309"/>
      <c r="C33876" s="309"/>
      <c r="I33876" s="309"/>
      <c r="J33876" s="309"/>
    </row>
    <row r="33877">
      <c r="B33877" s="309"/>
      <c r="C33877" s="309"/>
      <c r="I33877" s="309"/>
      <c r="J33877" s="309"/>
    </row>
    <row r="33878">
      <c r="B33878" s="309"/>
      <c r="C33878" s="309"/>
      <c r="I33878" s="309"/>
      <c r="J33878" s="309"/>
    </row>
    <row r="33879">
      <c r="B33879" s="309"/>
      <c r="C33879" s="309"/>
      <c r="I33879" s="309"/>
      <c r="J33879" s="309"/>
    </row>
    <row r="33880">
      <c r="B33880" s="309"/>
      <c r="C33880" s="309"/>
      <c r="I33880" s="309"/>
      <c r="J33880" s="309"/>
    </row>
    <row r="33881">
      <c r="B33881" s="309"/>
      <c r="C33881" s="309"/>
      <c r="I33881" s="309"/>
      <c r="J33881" s="309"/>
    </row>
    <row r="33882">
      <c r="B33882" s="309"/>
      <c r="C33882" s="309"/>
      <c r="I33882" s="309"/>
      <c r="J33882" s="309"/>
    </row>
    <row r="33883">
      <c r="B33883" s="309"/>
      <c r="C33883" s="309"/>
      <c r="I33883" s="309"/>
      <c r="J33883" s="309"/>
    </row>
    <row r="33884">
      <c r="B33884" s="309"/>
      <c r="C33884" s="309"/>
      <c r="I33884" s="309"/>
      <c r="J33884" s="309"/>
    </row>
    <row r="33885">
      <c r="B33885" s="309"/>
      <c r="C33885" s="309"/>
      <c r="I33885" s="309"/>
      <c r="J33885" s="309"/>
    </row>
    <row r="33886">
      <c r="B33886" s="309"/>
      <c r="C33886" s="309"/>
      <c r="I33886" s="309"/>
      <c r="J33886" s="309"/>
    </row>
    <row r="33887">
      <c r="B33887" s="309"/>
      <c r="C33887" s="309"/>
      <c r="I33887" s="309"/>
      <c r="J33887" s="309"/>
    </row>
    <row r="33888">
      <c r="B33888" s="309"/>
      <c r="C33888" s="309"/>
      <c r="I33888" s="309"/>
      <c r="J33888" s="309"/>
    </row>
    <row r="33889">
      <c r="B33889" s="309"/>
      <c r="C33889" s="309"/>
      <c r="I33889" s="309"/>
      <c r="J33889" s="309"/>
    </row>
    <row r="33890">
      <c r="B33890" s="309"/>
      <c r="C33890" s="309"/>
      <c r="I33890" s="309"/>
      <c r="J33890" s="309"/>
    </row>
    <row r="33891">
      <c r="B33891" s="309"/>
      <c r="C33891" s="309"/>
      <c r="I33891" s="309"/>
      <c r="J33891" s="309"/>
    </row>
    <row r="33892">
      <c r="B33892" s="309"/>
      <c r="C33892" s="309"/>
      <c r="I33892" s="309"/>
      <c r="J33892" s="309"/>
    </row>
    <row r="33893">
      <c r="B33893" s="309"/>
      <c r="C33893" s="309"/>
      <c r="I33893" s="309"/>
      <c r="J33893" s="309"/>
    </row>
    <row r="33894">
      <c r="B33894" s="309"/>
      <c r="C33894" s="309"/>
      <c r="I33894" s="309"/>
      <c r="J33894" s="309"/>
    </row>
    <row r="33895">
      <c r="B33895" s="309"/>
      <c r="C33895" s="309"/>
      <c r="I33895" s="309"/>
      <c r="J33895" s="309"/>
    </row>
    <row r="33896">
      <c r="B33896" s="309"/>
      <c r="C33896" s="309"/>
      <c r="I33896" s="309"/>
      <c r="J33896" s="309"/>
    </row>
    <row r="33897">
      <c r="B33897" s="309"/>
      <c r="C33897" s="309"/>
      <c r="I33897" s="309"/>
      <c r="J33897" s="309"/>
    </row>
    <row r="33898">
      <c r="B33898" s="309"/>
      <c r="C33898" s="309"/>
      <c r="I33898" s="309"/>
      <c r="J33898" s="309"/>
    </row>
    <row r="33899">
      <c r="B33899" s="309"/>
      <c r="C33899" s="309"/>
      <c r="I33899" s="309"/>
      <c r="J33899" s="309"/>
    </row>
    <row r="33900">
      <c r="B33900" s="309"/>
      <c r="C33900" s="309"/>
      <c r="I33900" s="309"/>
      <c r="J33900" s="309"/>
    </row>
    <row r="33901">
      <c r="B33901" s="309"/>
      <c r="C33901" s="309"/>
      <c r="I33901" s="309"/>
      <c r="J33901" s="309"/>
    </row>
    <row r="33902">
      <c r="B33902" s="309"/>
      <c r="C33902" s="309"/>
      <c r="I33902" s="309"/>
      <c r="J33902" s="309"/>
    </row>
    <row r="33903">
      <c r="B33903" s="309"/>
      <c r="C33903" s="309"/>
      <c r="I33903" s="309"/>
      <c r="J33903" s="309"/>
    </row>
    <row r="33904">
      <c r="B33904" s="309"/>
      <c r="C33904" s="309"/>
      <c r="I33904" s="309"/>
      <c r="J33904" s="309"/>
    </row>
    <row r="33905">
      <c r="B33905" s="309"/>
      <c r="C33905" s="309"/>
      <c r="I33905" s="309"/>
      <c r="J33905" s="309"/>
    </row>
    <row r="33906">
      <c r="B33906" s="309"/>
      <c r="C33906" s="309"/>
      <c r="I33906" s="309"/>
      <c r="J33906" s="309"/>
    </row>
    <row r="33907">
      <c r="B33907" s="309"/>
      <c r="C33907" s="309"/>
      <c r="I33907" s="309"/>
      <c r="J33907" s="309"/>
    </row>
    <row r="33908">
      <c r="B33908" s="309"/>
      <c r="C33908" s="309"/>
      <c r="I33908" s="309"/>
      <c r="J33908" s="309"/>
    </row>
    <row r="33909">
      <c r="B33909" s="309"/>
      <c r="C33909" s="309"/>
      <c r="I33909" s="309"/>
      <c r="J33909" s="309"/>
    </row>
    <row r="33910">
      <c r="B33910" s="309"/>
      <c r="C33910" s="309"/>
      <c r="I33910" s="309"/>
      <c r="J33910" s="309"/>
    </row>
    <row r="33911">
      <c r="B33911" s="309"/>
      <c r="C33911" s="309"/>
      <c r="I33911" s="309"/>
      <c r="J33911" s="309"/>
    </row>
    <row r="33912">
      <c r="B33912" s="309"/>
      <c r="C33912" s="309"/>
      <c r="I33912" s="309"/>
      <c r="J33912" s="309"/>
    </row>
    <row r="33913">
      <c r="B33913" s="309"/>
      <c r="C33913" s="309"/>
      <c r="I33913" s="309"/>
      <c r="J33913" s="309"/>
    </row>
    <row r="33914">
      <c r="B33914" s="309"/>
      <c r="C33914" s="309"/>
      <c r="I33914" s="309"/>
      <c r="J33914" s="309"/>
    </row>
    <row r="33915">
      <c r="B33915" s="309"/>
      <c r="C33915" s="309"/>
      <c r="I33915" s="309"/>
      <c r="J33915" s="309"/>
    </row>
    <row r="33916">
      <c r="B33916" s="309"/>
      <c r="C33916" s="309"/>
      <c r="I33916" s="309"/>
      <c r="J33916" s="309"/>
    </row>
    <row r="33917">
      <c r="B33917" s="309"/>
      <c r="C33917" s="309"/>
      <c r="I33917" s="309"/>
      <c r="J33917" s="309"/>
    </row>
    <row r="33918">
      <c r="B33918" s="309"/>
      <c r="C33918" s="309"/>
      <c r="I33918" s="309"/>
      <c r="J33918" s="309"/>
    </row>
    <row r="33919">
      <c r="B33919" s="309"/>
      <c r="C33919" s="309"/>
      <c r="I33919" s="309"/>
      <c r="J33919" s="309"/>
    </row>
    <row r="33920">
      <c r="B33920" s="309"/>
      <c r="C33920" s="309"/>
      <c r="I33920" s="309"/>
      <c r="J33920" s="309"/>
    </row>
    <row r="33921">
      <c r="B33921" s="309"/>
      <c r="C33921" s="309"/>
      <c r="I33921" s="309"/>
      <c r="J33921" s="309"/>
    </row>
    <row r="33922">
      <c r="B33922" s="309"/>
      <c r="C33922" s="309"/>
      <c r="I33922" s="309"/>
      <c r="J33922" s="309"/>
    </row>
    <row r="33923">
      <c r="B33923" s="309"/>
      <c r="C33923" s="309"/>
      <c r="I33923" s="309"/>
      <c r="J33923" s="309"/>
    </row>
    <row r="33924">
      <c r="B33924" s="309"/>
      <c r="C33924" s="309"/>
      <c r="I33924" s="309"/>
      <c r="J33924" s="309"/>
    </row>
    <row r="33925">
      <c r="B33925" s="309"/>
      <c r="C33925" s="309"/>
      <c r="I33925" s="309"/>
      <c r="J33925" s="309"/>
    </row>
    <row r="33926">
      <c r="B33926" s="309"/>
      <c r="C33926" s="309"/>
      <c r="I33926" s="309"/>
      <c r="J33926" s="309"/>
    </row>
    <row r="33927">
      <c r="B33927" s="309"/>
      <c r="C33927" s="309"/>
      <c r="I33927" s="309"/>
      <c r="J33927" s="309"/>
    </row>
    <row r="33928">
      <c r="B33928" s="309"/>
      <c r="C33928" s="309"/>
      <c r="I33928" s="309"/>
      <c r="J33928" s="309"/>
    </row>
    <row r="33929">
      <c r="B33929" s="309"/>
      <c r="C33929" s="309"/>
      <c r="I33929" s="309"/>
      <c r="J33929" s="309"/>
    </row>
    <row r="33930">
      <c r="B33930" s="309"/>
      <c r="C33930" s="309"/>
      <c r="I33930" s="309"/>
      <c r="J33930" s="309"/>
    </row>
    <row r="33931">
      <c r="B33931" s="309"/>
      <c r="C33931" s="309"/>
      <c r="I33931" s="309"/>
      <c r="J33931" s="309"/>
    </row>
    <row r="33932">
      <c r="B33932" s="309"/>
      <c r="C33932" s="309"/>
      <c r="I33932" s="309"/>
      <c r="J33932" s="309"/>
    </row>
    <row r="33933">
      <c r="B33933" s="309"/>
      <c r="C33933" s="309"/>
      <c r="I33933" s="309"/>
      <c r="J33933" s="309"/>
    </row>
    <row r="33934">
      <c r="B33934" s="309"/>
      <c r="C33934" s="309"/>
      <c r="I33934" s="309"/>
      <c r="J33934" s="309"/>
    </row>
    <row r="33935">
      <c r="B33935" s="309"/>
      <c r="C33935" s="309"/>
      <c r="I33935" s="309"/>
      <c r="J33935" s="309"/>
    </row>
    <row r="33936">
      <c r="B33936" s="309"/>
      <c r="C33936" s="309"/>
      <c r="I33936" s="309"/>
      <c r="J33936" s="309"/>
    </row>
    <row r="33937">
      <c r="B33937" s="309"/>
      <c r="C33937" s="309"/>
      <c r="I33937" s="309"/>
      <c r="J33937" s="309"/>
    </row>
    <row r="33938">
      <c r="B33938" s="309"/>
      <c r="C33938" s="309"/>
      <c r="I33938" s="309"/>
      <c r="J33938" s="309"/>
    </row>
    <row r="33939">
      <c r="B33939" s="309"/>
      <c r="C33939" s="309"/>
      <c r="I33939" s="309"/>
      <c r="J33939" s="309"/>
    </row>
    <row r="33940">
      <c r="B33940" s="309"/>
      <c r="C33940" s="309"/>
      <c r="I33940" s="309"/>
      <c r="J33940" s="309"/>
    </row>
    <row r="33941">
      <c r="B33941" s="309"/>
      <c r="C33941" s="309"/>
      <c r="I33941" s="309"/>
      <c r="J33941" s="309"/>
    </row>
    <row r="33942">
      <c r="B33942" s="309"/>
      <c r="C33942" s="309"/>
      <c r="I33942" s="309"/>
      <c r="J33942" s="309"/>
    </row>
    <row r="33943">
      <c r="B33943" s="309"/>
      <c r="C33943" s="309"/>
      <c r="I33943" s="309"/>
      <c r="J33943" s="309"/>
    </row>
    <row r="33944">
      <c r="B33944" s="309"/>
      <c r="C33944" s="309"/>
      <c r="I33944" s="309"/>
      <c r="J33944" s="309"/>
    </row>
    <row r="33945">
      <c r="B33945" s="309"/>
      <c r="C33945" s="309"/>
      <c r="I33945" s="309"/>
      <c r="J33945" s="309"/>
    </row>
    <row r="33946">
      <c r="B33946" s="309"/>
      <c r="C33946" s="309"/>
      <c r="I33946" s="309"/>
      <c r="J33946" s="309"/>
    </row>
    <row r="33947">
      <c r="B33947" s="309"/>
      <c r="C33947" s="309"/>
      <c r="I33947" s="309"/>
      <c r="J33947" s="309"/>
    </row>
    <row r="33948">
      <c r="B33948" s="309"/>
      <c r="C33948" s="309"/>
      <c r="I33948" s="309"/>
      <c r="J33948" s="309"/>
    </row>
    <row r="33949">
      <c r="B33949" s="309"/>
      <c r="C33949" s="309"/>
      <c r="I33949" s="309"/>
      <c r="J33949" s="309"/>
    </row>
    <row r="33950">
      <c r="B33950" s="309"/>
      <c r="C33950" s="309"/>
      <c r="I33950" s="309"/>
      <c r="J33950" s="309"/>
    </row>
    <row r="33951">
      <c r="B33951" s="309"/>
      <c r="C33951" s="309"/>
      <c r="I33951" s="309"/>
      <c r="J33951" s="309"/>
    </row>
    <row r="33952">
      <c r="B33952" s="309"/>
      <c r="C33952" s="309"/>
      <c r="I33952" s="309"/>
      <c r="J33952" s="309"/>
    </row>
    <row r="33953">
      <c r="B33953" s="309"/>
      <c r="C33953" s="309"/>
      <c r="I33953" s="309"/>
      <c r="J33953" s="309"/>
    </row>
    <row r="33954">
      <c r="B33954" s="309"/>
      <c r="C33954" s="309"/>
      <c r="I33954" s="309"/>
      <c r="J33954" s="309"/>
    </row>
    <row r="33955">
      <c r="B33955" s="309"/>
      <c r="C33955" s="309"/>
      <c r="I33955" s="309"/>
      <c r="J33955" s="309"/>
    </row>
    <row r="33956">
      <c r="B33956" s="309"/>
      <c r="C33956" s="309"/>
      <c r="I33956" s="309"/>
      <c r="J33956" s="309"/>
    </row>
    <row r="33957">
      <c r="B33957" s="309"/>
      <c r="C33957" s="309"/>
      <c r="I33957" s="309"/>
      <c r="J33957" s="309"/>
    </row>
    <row r="33958">
      <c r="B33958" s="309"/>
      <c r="C33958" s="309"/>
      <c r="I33958" s="309"/>
      <c r="J33958" s="309"/>
    </row>
    <row r="33959">
      <c r="B33959" s="309"/>
      <c r="C33959" s="309"/>
      <c r="I33959" s="309"/>
      <c r="J33959" s="309"/>
    </row>
    <row r="33960">
      <c r="B33960" s="309"/>
      <c r="C33960" s="309"/>
      <c r="I33960" s="309"/>
      <c r="J33960" s="309"/>
    </row>
    <row r="33961">
      <c r="B33961" s="309"/>
      <c r="C33961" s="309"/>
      <c r="I33961" s="309"/>
      <c r="J33961" s="309"/>
    </row>
    <row r="33962">
      <c r="B33962" s="309"/>
      <c r="C33962" s="309"/>
      <c r="I33962" s="309"/>
      <c r="J33962" s="309"/>
    </row>
    <row r="33963">
      <c r="B33963" s="309"/>
      <c r="C33963" s="309"/>
      <c r="I33963" s="309"/>
      <c r="J33963" s="309"/>
    </row>
    <row r="33964">
      <c r="B33964" s="309"/>
      <c r="C33964" s="309"/>
      <c r="I33964" s="309"/>
      <c r="J33964" s="309"/>
    </row>
    <row r="33965">
      <c r="B33965" s="309"/>
      <c r="C33965" s="309"/>
      <c r="I33965" s="309"/>
      <c r="J33965" s="309"/>
    </row>
    <row r="33966">
      <c r="B33966" s="309"/>
      <c r="C33966" s="309"/>
      <c r="I33966" s="309"/>
      <c r="J33966" s="309"/>
    </row>
    <row r="33967">
      <c r="B33967" s="309"/>
      <c r="C33967" s="309"/>
      <c r="I33967" s="309"/>
      <c r="J33967" s="309"/>
    </row>
    <row r="33968">
      <c r="B33968" s="309"/>
      <c r="C33968" s="309"/>
      <c r="I33968" s="309"/>
      <c r="J33968" s="309"/>
    </row>
    <row r="33969">
      <c r="B33969" s="309"/>
      <c r="C33969" s="309"/>
      <c r="I33969" s="309"/>
      <c r="J33969" s="309"/>
    </row>
    <row r="33970">
      <c r="B33970" s="309"/>
      <c r="C33970" s="309"/>
      <c r="I33970" s="309"/>
      <c r="J33970" s="309"/>
    </row>
    <row r="33971">
      <c r="B33971" s="309"/>
      <c r="C33971" s="309"/>
      <c r="I33971" s="309"/>
      <c r="J33971" s="309"/>
    </row>
    <row r="33972">
      <c r="B33972" s="309"/>
      <c r="C33972" s="309"/>
      <c r="I33972" s="309"/>
      <c r="J33972" s="309"/>
    </row>
    <row r="33973">
      <c r="B33973" s="309"/>
      <c r="C33973" s="309"/>
      <c r="I33973" s="309"/>
      <c r="J33973" s="309"/>
    </row>
    <row r="33974">
      <c r="B33974" s="309"/>
      <c r="C33974" s="309"/>
      <c r="I33974" s="309"/>
      <c r="J33974" s="309"/>
    </row>
    <row r="33975">
      <c r="B33975" s="309"/>
      <c r="C33975" s="309"/>
      <c r="I33975" s="309"/>
      <c r="J33975" s="309"/>
    </row>
    <row r="33976">
      <c r="B33976" s="309"/>
      <c r="C33976" s="309"/>
      <c r="I33976" s="309"/>
      <c r="J33976" s="309"/>
    </row>
    <row r="33977">
      <c r="B33977" s="309"/>
      <c r="C33977" s="309"/>
      <c r="I33977" s="309"/>
      <c r="J33977" s="309"/>
    </row>
    <row r="33978">
      <c r="B33978" s="309"/>
      <c r="C33978" s="309"/>
      <c r="I33978" s="309"/>
      <c r="J33978" s="309"/>
    </row>
    <row r="33979">
      <c r="B33979" s="309"/>
      <c r="C33979" s="309"/>
      <c r="I33979" s="309"/>
      <c r="J33979" s="309"/>
    </row>
    <row r="33980">
      <c r="B33980" s="309"/>
      <c r="C33980" s="309"/>
      <c r="I33980" s="309"/>
      <c r="J33980" s="309"/>
    </row>
    <row r="33981">
      <c r="B33981" s="309"/>
      <c r="C33981" s="309"/>
      <c r="I33981" s="309"/>
      <c r="J33981" s="309"/>
    </row>
    <row r="33982">
      <c r="B33982" s="309"/>
      <c r="C33982" s="309"/>
      <c r="I33982" s="309"/>
      <c r="J33982" s="309"/>
    </row>
    <row r="33983">
      <c r="B33983" s="309"/>
      <c r="C33983" s="309"/>
      <c r="I33983" s="309"/>
      <c r="J33983" s="309"/>
    </row>
    <row r="33984">
      <c r="B33984" s="309"/>
      <c r="C33984" s="309"/>
      <c r="I33984" s="309"/>
      <c r="J33984" s="309"/>
    </row>
    <row r="33985">
      <c r="B33985" s="309"/>
      <c r="C33985" s="309"/>
      <c r="I33985" s="309"/>
      <c r="J33985" s="309"/>
    </row>
    <row r="33986">
      <c r="B33986" s="309"/>
      <c r="C33986" s="309"/>
      <c r="I33986" s="309"/>
      <c r="J33986" s="309"/>
    </row>
    <row r="33987">
      <c r="B33987" s="309"/>
      <c r="C33987" s="309"/>
      <c r="I33987" s="309"/>
      <c r="J33987" s="309"/>
    </row>
    <row r="33988">
      <c r="B33988" s="309"/>
      <c r="C33988" s="309"/>
      <c r="I33988" s="309"/>
      <c r="J33988" s="309"/>
    </row>
    <row r="33989">
      <c r="B33989" s="309"/>
      <c r="C33989" s="309"/>
      <c r="I33989" s="309"/>
      <c r="J33989" s="309"/>
    </row>
    <row r="33990">
      <c r="B33990" s="309"/>
      <c r="C33990" s="309"/>
      <c r="I33990" s="309"/>
      <c r="J33990" s="309"/>
    </row>
    <row r="33991">
      <c r="B33991" s="309"/>
      <c r="C33991" s="309"/>
      <c r="I33991" s="309"/>
      <c r="J33991" s="309"/>
    </row>
    <row r="33992">
      <c r="B33992" s="309"/>
      <c r="C33992" s="309"/>
      <c r="I33992" s="309"/>
      <c r="J33992" s="309"/>
    </row>
    <row r="33993">
      <c r="B33993" s="309"/>
      <c r="C33993" s="309"/>
      <c r="I33993" s="309"/>
      <c r="J33993" s="309"/>
    </row>
    <row r="33994">
      <c r="B33994" s="309"/>
      <c r="C33994" s="309"/>
      <c r="I33994" s="309"/>
      <c r="J33994" s="309"/>
    </row>
    <row r="33995">
      <c r="B33995" s="309"/>
      <c r="C33995" s="309"/>
      <c r="I33995" s="309"/>
      <c r="J33995" s="309"/>
    </row>
    <row r="33996">
      <c r="B33996" s="309"/>
      <c r="C33996" s="309"/>
      <c r="I33996" s="309"/>
      <c r="J33996" s="309"/>
    </row>
    <row r="33997">
      <c r="B33997" s="309"/>
      <c r="C33997" s="309"/>
      <c r="I33997" s="309"/>
      <c r="J33997" s="309"/>
    </row>
    <row r="33998">
      <c r="B33998" s="309"/>
      <c r="C33998" s="309"/>
      <c r="I33998" s="309"/>
      <c r="J33998" s="309"/>
    </row>
    <row r="33999">
      <c r="B33999" s="309"/>
      <c r="C33999" s="309"/>
      <c r="I33999" s="309"/>
      <c r="J33999" s="309"/>
    </row>
    <row r="34000">
      <c r="B34000" s="309"/>
      <c r="C34000" s="309"/>
      <c r="I34000" s="309"/>
      <c r="J34000" s="309"/>
    </row>
    <row r="34001">
      <c r="B34001" s="309"/>
      <c r="C34001" s="309"/>
      <c r="I34001" s="309"/>
      <c r="J34001" s="309"/>
    </row>
    <row r="34002">
      <c r="B34002" s="309"/>
      <c r="C34002" s="309"/>
      <c r="I34002" s="309"/>
      <c r="J34002" s="309"/>
    </row>
    <row r="34003">
      <c r="B34003" s="309"/>
      <c r="C34003" s="309"/>
      <c r="I34003" s="309"/>
      <c r="J34003" s="309"/>
    </row>
    <row r="34004">
      <c r="B34004" s="309"/>
      <c r="C34004" s="309"/>
      <c r="I34004" s="309"/>
      <c r="J34004" s="309"/>
    </row>
    <row r="34005">
      <c r="B34005" s="309"/>
      <c r="C34005" s="309"/>
      <c r="I34005" s="309"/>
      <c r="J34005" s="309"/>
    </row>
    <row r="34006">
      <c r="B34006" s="309"/>
      <c r="C34006" s="309"/>
      <c r="I34006" s="309"/>
      <c r="J34006" s="309"/>
    </row>
    <row r="34007">
      <c r="B34007" s="309"/>
      <c r="C34007" s="309"/>
      <c r="I34007" s="309"/>
      <c r="J34007" s="309"/>
    </row>
    <row r="34008">
      <c r="B34008" s="309"/>
      <c r="C34008" s="309"/>
      <c r="I34008" s="309"/>
      <c r="J34008" s="309"/>
    </row>
    <row r="34009">
      <c r="B34009" s="309"/>
      <c r="C34009" s="309"/>
      <c r="I34009" s="309"/>
      <c r="J34009" s="309"/>
    </row>
    <row r="34010">
      <c r="B34010" s="309"/>
      <c r="C34010" s="309"/>
      <c r="I34010" s="309"/>
      <c r="J34010" s="309"/>
    </row>
    <row r="34011">
      <c r="B34011" s="309"/>
      <c r="C34011" s="309"/>
      <c r="I34011" s="309"/>
      <c r="J34011" s="309"/>
    </row>
    <row r="34012">
      <c r="B34012" s="309"/>
      <c r="C34012" s="309"/>
      <c r="I34012" s="309"/>
      <c r="J34012" s="309"/>
    </row>
    <row r="34013">
      <c r="B34013" s="309"/>
      <c r="C34013" s="309"/>
      <c r="I34013" s="309"/>
      <c r="J34013" s="309"/>
    </row>
    <row r="34014">
      <c r="B34014" s="309"/>
      <c r="C34014" s="309"/>
      <c r="I34014" s="309"/>
      <c r="J34014" s="309"/>
    </row>
    <row r="34015">
      <c r="B34015" s="309"/>
      <c r="C34015" s="309"/>
      <c r="I34015" s="309"/>
      <c r="J34015" s="309"/>
    </row>
    <row r="34016">
      <c r="B34016" s="309"/>
      <c r="C34016" s="309"/>
      <c r="I34016" s="309"/>
      <c r="J34016" s="309"/>
    </row>
    <row r="34017">
      <c r="B34017" s="309"/>
      <c r="C34017" s="309"/>
      <c r="I34017" s="309"/>
      <c r="J34017" s="309"/>
    </row>
    <row r="34018">
      <c r="B34018" s="309"/>
      <c r="C34018" s="309"/>
      <c r="I34018" s="309"/>
      <c r="J34018" s="309"/>
    </row>
    <row r="34019">
      <c r="B34019" s="309"/>
      <c r="C34019" s="309"/>
      <c r="I34019" s="309"/>
      <c r="J34019" s="309"/>
    </row>
    <row r="34020">
      <c r="B34020" s="309"/>
      <c r="C34020" s="309"/>
      <c r="I34020" s="309"/>
      <c r="J34020" s="309"/>
    </row>
    <row r="34021">
      <c r="B34021" s="309"/>
      <c r="C34021" s="309"/>
      <c r="I34021" s="309"/>
      <c r="J34021" s="309"/>
    </row>
    <row r="34022">
      <c r="B34022" s="309"/>
      <c r="C34022" s="309"/>
      <c r="I34022" s="309"/>
      <c r="J34022" s="309"/>
    </row>
    <row r="34023">
      <c r="B34023" s="309"/>
      <c r="C34023" s="309"/>
      <c r="I34023" s="309"/>
      <c r="J34023" s="309"/>
    </row>
    <row r="34024">
      <c r="B34024" s="309"/>
      <c r="C34024" s="309"/>
      <c r="I34024" s="309"/>
      <c r="J34024" s="309"/>
    </row>
    <row r="34025">
      <c r="B34025" s="309"/>
      <c r="C34025" s="309"/>
      <c r="I34025" s="309"/>
      <c r="J34025" s="309"/>
    </row>
    <row r="34026">
      <c r="B34026" s="309"/>
      <c r="C34026" s="309"/>
      <c r="I34026" s="309"/>
      <c r="J34026" s="309"/>
    </row>
    <row r="34027">
      <c r="B34027" s="309"/>
      <c r="C34027" s="309"/>
      <c r="I34027" s="309"/>
      <c r="J34027" s="309"/>
    </row>
    <row r="34028">
      <c r="B34028" s="309"/>
      <c r="C34028" s="309"/>
      <c r="I34028" s="309"/>
      <c r="J34028" s="309"/>
    </row>
    <row r="34029">
      <c r="B34029" s="309"/>
      <c r="C34029" s="309"/>
      <c r="I34029" s="309"/>
      <c r="J34029" s="309"/>
    </row>
    <row r="34030">
      <c r="B34030" s="309"/>
      <c r="C34030" s="309"/>
      <c r="I34030" s="309"/>
      <c r="J34030" s="309"/>
    </row>
    <row r="34031">
      <c r="B34031" s="309"/>
      <c r="C34031" s="309"/>
      <c r="I34031" s="309"/>
      <c r="J34031" s="309"/>
    </row>
    <row r="34032">
      <c r="B34032" s="309"/>
      <c r="C34032" s="309"/>
      <c r="I34032" s="309"/>
      <c r="J34032" s="309"/>
    </row>
    <row r="34033">
      <c r="B34033" s="309"/>
      <c r="C34033" s="309"/>
      <c r="I34033" s="309"/>
      <c r="J34033" s="309"/>
    </row>
    <row r="34034">
      <c r="B34034" s="309"/>
      <c r="C34034" s="309"/>
      <c r="I34034" s="309"/>
      <c r="J34034" s="309"/>
    </row>
    <row r="34035">
      <c r="B34035" s="309"/>
      <c r="C34035" s="309"/>
      <c r="I34035" s="309"/>
      <c r="J34035" s="309"/>
    </row>
    <row r="34036">
      <c r="B34036" s="309"/>
      <c r="C34036" s="309"/>
      <c r="I34036" s="309"/>
      <c r="J34036" s="309"/>
    </row>
    <row r="34037">
      <c r="B34037" s="309"/>
      <c r="C34037" s="309"/>
      <c r="I34037" s="309"/>
      <c r="J34037" s="309"/>
    </row>
    <row r="34038">
      <c r="B34038" s="309"/>
      <c r="C34038" s="309"/>
      <c r="I34038" s="309"/>
      <c r="J34038" s="309"/>
    </row>
    <row r="34039">
      <c r="B34039" s="309"/>
      <c r="C34039" s="309"/>
      <c r="I34039" s="309"/>
      <c r="J34039" s="309"/>
    </row>
    <row r="34040">
      <c r="B34040" s="309"/>
      <c r="C34040" s="309"/>
      <c r="I34040" s="309"/>
      <c r="J34040" s="309"/>
    </row>
    <row r="34041">
      <c r="B34041" s="309"/>
      <c r="C34041" s="309"/>
      <c r="I34041" s="309"/>
      <c r="J34041" s="309"/>
    </row>
    <row r="34042">
      <c r="B34042" s="309"/>
      <c r="C34042" s="309"/>
      <c r="I34042" s="309"/>
      <c r="J34042" s="309"/>
    </row>
    <row r="34043">
      <c r="B34043" s="309"/>
      <c r="C34043" s="309"/>
      <c r="I34043" s="309"/>
      <c r="J34043" s="309"/>
    </row>
    <row r="34044">
      <c r="B34044" s="309"/>
      <c r="C34044" s="309"/>
      <c r="I34044" s="309"/>
      <c r="J34044" s="309"/>
    </row>
    <row r="34045">
      <c r="B34045" s="309"/>
      <c r="C34045" s="309"/>
      <c r="I34045" s="309"/>
      <c r="J34045" s="309"/>
    </row>
    <row r="34046">
      <c r="B34046" s="309"/>
      <c r="C34046" s="309"/>
      <c r="I34046" s="309"/>
      <c r="J34046" s="309"/>
    </row>
    <row r="34047">
      <c r="B34047" s="309"/>
      <c r="C34047" s="309"/>
      <c r="I34047" s="309"/>
      <c r="J34047" s="309"/>
    </row>
    <row r="34048">
      <c r="B34048" s="309"/>
      <c r="C34048" s="309"/>
      <c r="I34048" s="309"/>
      <c r="J34048" s="309"/>
    </row>
    <row r="34049">
      <c r="B34049" s="309"/>
      <c r="C34049" s="309"/>
      <c r="I34049" s="309"/>
      <c r="J34049" s="309"/>
    </row>
    <row r="34050">
      <c r="B34050" s="309"/>
      <c r="C34050" s="309"/>
      <c r="I34050" s="309"/>
      <c r="J34050" s="309"/>
    </row>
    <row r="34051">
      <c r="B34051" s="309"/>
      <c r="C34051" s="309"/>
      <c r="I34051" s="309"/>
      <c r="J34051" s="309"/>
    </row>
    <row r="34052">
      <c r="B34052" s="309"/>
      <c r="C34052" s="309"/>
      <c r="I34052" s="309"/>
      <c r="J34052" s="309"/>
    </row>
    <row r="34053">
      <c r="B34053" s="309"/>
      <c r="C34053" s="309"/>
      <c r="I34053" s="309"/>
      <c r="J34053" s="309"/>
    </row>
    <row r="34054">
      <c r="B34054" s="309"/>
      <c r="C34054" s="309"/>
      <c r="I34054" s="309"/>
      <c r="J34054" s="309"/>
    </row>
    <row r="34055">
      <c r="B34055" s="309"/>
      <c r="C34055" s="309"/>
      <c r="I34055" s="309"/>
      <c r="J34055" s="309"/>
    </row>
    <row r="34056">
      <c r="B34056" s="309"/>
      <c r="C34056" s="309"/>
      <c r="I34056" s="309"/>
      <c r="J34056" s="309"/>
    </row>
    <row r="34057">
      <c r="B34057" s="309"/>
      <c r="C34057" s="309"/>
      <c r="I34057" s="309"/>
      <c r="J34057" s="309"/>
    </row>
    <row r="34058">
      <c r="B34058" s="309"/>
      <c r="C34058" s="309"/>
      <c r="I34058" s="309"/>
      <c r="J34058" s="309"/>
    </row>
    <row r="34059">
      <c r="B34059" s="309"/>
      <c r="C34059" s="309"/>
      <c r="I34059" s="309"/>
      <c r="J34059" s="309"/>
    </row>
    <row r="34060">
      <c r="B34060" s="309"/>
      <c r="C34060" s="309"/>
      <c r="I34060" s="309"/>
      <c r="J34060" s="309"/>
    </row>
    <row r="34061">
      <c r="B34061" s="309"/>
      <c r="C34061" s="309"/>
      <c r="I34061" s="309"/>
      <c r="J34061" s="309"/>
    </row>
    <row r="34062">
      <c r="B34062" s="309"/>
      <c r="C34062" s="309"/>
      <c r="I34062" s="309"/>
      <c r="J34062" s="309"/>
    </row>
    <row r="34063">
      <c r="B34063" s="309"/>
      <c r="C34063" s="309"/>
      <c r="I34063" s="309"/>
      <c r="J34063" s="309"/>
    </row>
    <row r="34064">
      <c r="B34064" s="309"/>
      <c r="C34064" s="309"/>
      <c r="I34064" s="309"/>
      <c r="J34064" s="309"/>
    </row>
    <row r="34065">
      <c r="B34065" s="309"/>
      <c r="C34065" s="309"/>
      <c r="I34065" s="309"/>
      <c r="J34065" s="309"/>
    </row>
    <row r="34066">
      <c r="B34066" s="309"/>
      <c r="C34066" s="309"/>
      <c r="I34066" s="309"/>
      <c r="J34066" s="309"/>
    </row>
    <row r="34067">
      <c r="B34067" s="309"/>
      <c r="C34067" s="309"/>
      <c r="I34067" s="309"/>
      <c r="J34067" s="309"/>
    </row>
    <row r="34068">
      <c r="B34068" s="309"/>
      <c r="C34068" s="309"/>
      <c r="I34068" s="309"/>
      <c r="J34068" s="309"/>
    </row>
    <row r="34069">
      <c r="B34069" s="309"/>
      <c r="C34069" s="309"/>
      <c r="I34069" s="309"/>
      <c r="J34069" s="309"/>
    </row>
    <row r="34070">
      <c r="B34070" s="309"/>
      <c r="C34070" s="309"/>
      <c r="I34070" s="309"/>
      <c r="J34070" s="309"/>
    </row>
    <row r="34071">
      <c r="B34071" s="309"/>
      <c r="C34071" s="309"/>
      <c r="I34071" s="309"/>
      <c r="J34071" s="309"/>
    </row>
    <row r="34072">
      <c r="B34072" s="309"/>
      <c r="C34072" s="309"/>
      <c r="I34072" s="309"/>
      <c r="J34072" s="309"/>
    </row>
    <row r="34073">
      <c r="B34073" s="309"/>
      <c r="C34073" s="309"/>
      <c r="I34073" s="309"/>
      <c r="J34073" s="309"/>
    </row>
    <row r="34074">
      <c r="B34074" s="309"/>
      <c r="C34074" s="309"/>
      <c r="I34074" s="309"/>
      <c r="J34074" s="309"/>
    </row>
    <row r="34075">
      <c r="B34075" s="309"/>
      <c r="C34075" s="309"/>
      <c r="I34075" s="309"/>
      <c r="J34075" s="309"/>
    </row>
    <row r="34076">
      <c r="B34076" s="309"/>
      <c r="C34076" s="309"/>
      <c r="I34076" s="309"/>
      <c r="J34076" s="309"/>
    </row>
    <row r="34077">
      <c r="B34077" s="309"/>
      <c r="C34077" s="309"/>
      <c r="I34077" s="309"/>
      <c r="J34077" s="309"/>
    </row>
    <row r="34078">
      <c r="B34078" s="309"/>
      <c r="C34078" s="309"/>
      <c r="I34078" s="309"/>
      <c r="J34078" s="309"/>
    </row>
    <row r="34079">
      <c r="B34079" s="309"/>
      <c r="C34079" s="309"/>
      <c r="I34079" s="309"/>
      <c r="J34079" s="309"/>
    </row>
    <row r="34080">
      <c r="B34080" s="309"/>
      <c r="C34080" s="309"/>
      <c r="I34080" s="309"/>
      <c r="J34080" s="309"/>
    </row>
    <row r="34081">
      <c r="B34081" s="309"/>
      <c r="C34081" s="309"/>
      <c r="I34081" s="309"/>
      <c r="J34081" s="309"/>
    </row>
    <row r="34082">
      <c r="B34082" s="309"/>
      <c r="C34082" s="309"/>
      <c r="I34082" s="309"/>
      <c r="J34082" s="309"/>
    </row>
    <row r="34083">
      <c r="B34083" s="309"/>
      <c r="C34083" s="309"/>
      <c r="I34083" s="309"/>
      <c r="J34083" s="309"/>
    </row>
    <row r="34084">
      <c r="B34084" s="309"/>
      <c r="C34084" s="309"/>
      <c r="I34084" s="309"/>
      <c r="J34084" s="309"/>
    </row>
    <row r="34085">
      <c r="B34085" s="309"/>
      <c r="C34085" s="309"/>
      <c r="I34085" s="309"/>
      <c r="J34085" s="309"/>
    </row>
    <row r="34086">
      <c r="B34086" s="309"/>
      <c r="C34086" s="309"/>
      <c r="I34086" s="309"/>
      <c r="J34086" s="309"/>
    </row>
    <row r="34087">
      <c r="B34087" s="309"/>
      <c r="C34087" s="309"/>
      <c r="I34087" s="309"/>
      <c r="J34087" s="309"/>
    </row>
    <row r="34088">
      <c r="B34088" s="309"/>
      <c r="C34088" s="309"/>
      <c r="I34088" s="309"/>
      <c r="J34088" s="309"/>
    </row>
    <row r="34089">
      <c r="B34089" s="309"/>
      <c r="C34089" s="309"/>
      <c r="I34089" s="309"/>
      <c r="J34089" s="309"/>
    </row>
    <row r="34090">
      <c r="B34090" s="309"/>
      <c r="C34090" s="309"/>
      <c r="I34090" s="309"/>
      <c r="J34090" s="309"/>
    </row>
    <row r="34091">
      <c r="B34091" s="309"/>
      <c r="C34091" s="309"/>
      <c r="I34091" s="309"/>
      <c r="J34091" s="309"/>
    </row>
    <row r="34092">
      <c r="B34092" s="309"/>
      <c r="C34092" s="309"/>
      <c r="I34092" s="309"/>
      <c r="J34092" s="309"/>
    </row>
    <row r="34093">
      <c r="B34093" s="309"/>
      <c r="C34093" s="309"/>
      <c r="I34093" s="309"/>
      <c r="J34093" s="309"/>
    </row>
    <row r="34094">
      <c r="B34094" s="309"/>
      <c r="C34094" s="309"/>
      <c r="I34094" s="309"/>
      <c r="J34094" s="309"/>
    </row>
    <row r="34095">
      <c r="B34095" s="309"/>
      <c r="C34095" s="309"/>
      <c r="I34095" s="309"/>
      <c r="J34095" s="309"/>
    </row>
    <row r="34096">
      <c r="B34096" s="309"/>
      <c r="C34096" s="309"/>
      <c r="I34096" s="309"/>
      <c r="J34096" s="309"/>
    </row>
    <row r="34097">
      <c r="B34097" s="309"/>
      <c r="C34097" s="309"/>
      <c r="I34097" s="309"/>
      <c r="J34097" s="309"/>
    </row>
    <row r="34098">
      <c r="B34098" s="309"/>
      <c r="C34098" s="309"/>
      <c r="I34098" s="309"/>
      <c r="J34098" s="309"/>
    </row>
    <row r="34099">
      <c r="B34099" s="309"/>
      <c r="C34099" s="309"/>
      <c r="I34099" s="309"/>
      <c r="J34099" s="309"/>
    </row>
    <row r="34100">
      <c r="B34100" s="309"/>
      <c r="C34100" s="309"/>
      <c r="I34100" s="309"/>
      <c r="J34100" s="309"/>
    </row>
    <row r="34101">
      <c r="B34101" s="309"/>
      <c r="C34101" s="309"/>
      <c r="I34101" s="309"/>
      <c r="J34101" s="309"/>
    </row>
    <row r="34102">
      <c r="B34102" s="309"/>
      <c r="C34102" s="309"/>
      <c r="I34102" s="309"/>
      <c r="J34102" s="309"/>
    </row>
    <row r="34103">
      <c r="B34103" s="309"/>
      <c r="C34103" s="309"/>
      <c r="I34103" s="309"/>
      <c r="J34103" s="309"/>
    </row>
    <row r="34104">
      <c r="B34104" s="309"/>
      <c r="C34104" s="309"/>
      <c r="I34104" s="309"/>
      <c r="J34104" s="309"/>
    </row>
    <row r="34105">
      <c r="B34105" s="309"/>
      <c r="C34105" s="309"/>
      <c r="I34105" s="309"/>
      <c r="J34105" s="309"/>
    </row>
    <row r="34106">
      <c r="B34106" s="309"/>
      <c r="C34106" s="309"/>
      <c r="I34106" s="309"/>
      <c r="J34106" s="309"/>
    </row>
    <row r="34107">
      <c r="B34107" s="309"/>
      <c r="C34107" s="309"/>
      <c r="I34107" s="309"/>
      <c r="J34107" s="309"/>
    </row>
    <row r="34108">
      <c r="B34108" s="309"/>
      <c r="C34108" s="309"/>
      <c r="I34108" s="309"/>
      <c r="J34108" s="309"/>
    </row>
    <row r="34109">
      <c r="B34109" s="309"/>
      <c r="C34109" s="309"/>
      <c r="I34109" s="309"/>
      <c r="J34109" s="309"/>
    </row>
    <row r="34110">
      <c r="B34110" s="309"/>
      <c r="C34110" s="309"/>
      <c r="I34110" s="309"/>
      <c r="J34110" s="309"/>
    </row>
    <row r="34111">
      <c r="B34111" s="309"/>
      <c r="C34111" s="309"/>
      <c r="I34111" s="309"/>
      <c r="J34111" s="309"/>
    </row>
    <row r="34112">
      <c r="B34112" s="309"/>
      <c r="C34112" s="309"/>
      <c r="I34112" s="309"/>
      <c r="J34112" s="309"/>
    </row>
    <row r="34113">
      <c r="B34113" s="309"/>
      <c r="C34113" s="309"/>
      <c r="I34113" s="309"/>
      <c r="J34113" s="309"/>
    </row>
    <row r="34114">
      <c r="B34114" s="309"/>
      <c r="C34114" s="309"/>
      <c r="I34114" s="309"/>
      <c r="J34114" s="309"/>
    </row>
    <row r="34115">
      <c r="B34115" s="309"/>
      <c r="C34115" s="309"/>
      <c r="I34115" s="309"/>
      <c r="J34115" s="309"/>
    </row>
    <row r="34116">
      <c r="B34116" s="309"/>
      <c r="C34116" s="309"/>
      <c r="I34116" s="309"/>
      <c r="J34116" s="309"/>
    </row>
    <row r="34117">
      <c r="B34117" s="309"/>
      <c r="C34117" s="309"/>
      <c r="I34117" s="309"/>
      <c r="J34117" s="309"/>
    </row>
    <row r="34118">
      <c r="B34118" s="309"/>
      <c r="C34118" s="309"/>
      <c r="I34118" s="309"/>
      <c r="J34118" s="309"/>
    </row>
    <row r="34119">
      <c r="B34119" s="309"/>
      <c r="C34119" s="309"/>
      <c r="I34119" s="309"/>
      <c r="J34119" s="309"/>
    </row>
    <row r="34120">
      <c r="B34120" s="309"/>
      <c r="C34120" s="309"/>
      <c r="I34120" s="309"/>
      <c r="J34120" s="309"/>
    </row>
    <row r="34121">
      <c r="B34121" s="309"/>
      <c r="C34121" s="309"/>
      <c r="I34121" s="309"/>
      <c r="J34121" s="309"/>
    </row>
    <row r="34122">
      <c r="B34122" s="309"/>
      <c r="C34122" s="309"/>
      <c r="I34122" s="309"/>
      <c r="J34122" s="309"/>
    </row>
    <row r="34123">
      <c r="B34123" s="309"/>
      <c r="C34123" s="309"/>
      <c r="I34123" s="309"/>
      <c r="J34123" s="309"/>
    </row>
    <row r="34124">
      <c r="B34124" s="309"/>
      <c r="C34124" s="309"/>
      <c r="I34124" s="309"/>
      <c r="J34124" s="309"/>
    </row>
    <row r="34125">
      <c r="B34125" s="309"/>
      <c r="C34125" s="309"/>
      <c r="I34125" s="309"/>
      <c r="J34125" s="309"/>
    </row>
    <row r="34126">
      <c r="B34126" s="309"/>
      <c r="C34126" s="309"/>
      <c r="I34126" s="309"/>
      <c r="J34126" s="309"/>
    </row>
    <row r="34127">
      <c r="B34127" s="309"/>
      <c r="C34127" s="309"/>
      <c r="I34127" s="309"/>
      <c r="J34127" s="309"/>
    </row>
    <row r="34128">
      <c r="B34128" s="309"/>
      <c r="C34128" s="309"/>
      <c r="I34128" s="309"/>
      <c r="J34128" s="309"/>
    </row>
    <row r="34129">
      <c r="B34129" s="309"/>
      <c r="C34129" s="309"/>
      <c r="I34129" s="309"/>
      <c r="J34129" s="309"/>
    </row>
    <row r="34130">
      <c r="B34130" s="309"/>
      <c r="C34130" s="309"/>
      <c r="I34130" s="309"/>
      <c r="J34130" s="309"/>
    </row>
    <row r="34131">
      <c r="B34131" s="309"/>
      <c r="C34131" s="309"/>
      <c r="I34131" s="309"/>
      <c r="J34131" s="309"/>
    </row>
    <row r="34132">
      <c r="B34132" s="309"/>
      <c r="C34132" s="309"/>
      <c r="I34132" s="309"/>
      <c r="J34132" s="309"/>
    </row>
    <row r="34133">
      <c r="B34133" s="309"/>
      <c r="C34133" s="309"/>
      <c r="I34133" s="309"/>
      <c r="J34133" s="309"/>
    </row>
    <row r="34134">
      <c r="B34134" s="309"/>
      <c r="C34134" s="309"/>
      <c r="I34134" s="309"/>
      <c r="J34134" s="309"/>
    </row>
    <row r="34135">
      <c r="B34135" s="309"/>
      <c r="C34135" s="309"/>
      <c r="I34135" s="309"/>
      <c r="J34135" s="309"/>
    </row>
    <row r="34136">
      <c r="B34136" s="309"/>
      <c r="C34136" s="309"/>
      <c r="I34136" s="309"/>
      <c r="J34136" s="309"/>
    </row>
    <row r="34137">
      <c r="B34137" s="309"/>
      <c r="C34137" s="309"/>
      <c r="I34137" s="309"/>
      <c r="J34137" s="309"/>
    </row>
    <row r="34138">
      <c r="B34138" s="309"/>
      <c r="C34138" s="309"/>
      <c r="I34138" s="309"/>
      <c r="J34138" s="309"/>
    </row>
    <row r="34139">
      <c r="B34139" s="309"/>
      <c r="C34139" s="309"/>
      <c r="I34139" s="309"/>
      <c r="J34139" s="309"/>
    </row>
    <row r="34140">
      <c r="B34140" s="309"/>
      <c r="C34140" s="309"/>
      <c r="I34140" s="309"/>
      <c r="J34140" s="309"/>
    </row>
    <row r="34141">
      <c r="B34141" s="309"/>
      <c r="C34141" s="309"/>
      <c r="I34141" s="309"/>
      <c r="J34141" s="309"/>
    </row>
    <row r="34142">
      <c r="B34142" s="309"/>
      <c r="C34142" s="309"/>
      <c r="I34142" s="309"/>
      <c r="J34142" s="309"/>
    </row>
    <row r="34143">
      <c r="B34143" s="309"/>
      <c r="C34143" s="309"/>
      <c r="I34143" s="309"/>
      <c r="J34143" s="309"/>
    </row>
    <row r="34144">
      <c r="B34144" s="309"/>
      <c r="C34144" s="309"/>
      <c r="I34144" s="309"/>
      <c r="J34144" s="309"/>
    </row>
    <row r="34145">
      <c r="B34145" s="309"/>
      <c r="C34145" s="309"/>
      <c r="I34145" s="309"/>
      <c r="J34145" s="309"/>
    </row>
    <row r="34146">
      <c r="B34146" s="309"/>
      <c r="C34146" s="309"/>
      <c r="I34146" s="309"/>
      <c r="J34146" s="309"/>
    </row>
    <row r="34147">
      <c r="B34147" s="309"/>
      <c r="C34147" s="309"/>
      <c r="I34147" s="309"/>
      <c r="J34147" s="309"/>
    </row>
    <row r="34148">
      <c r="B34148" s="309"/>
      <c r="C34148" s="309"/>
      <c r="I34148" s="309"/>
      <c r="J34148" s="309"/>
    </row>
    <row r="34149">
      <c r="B34149" s="309"/>
      <c r="C34149" s="309"/>
      <c r="I34149" s="309"/>
      <c r="J34149" s="309"/>
    </row>
    <row r="34150">
      <c r="B34150" s="309"/>
      <c r="C34150" s="309"/>
      <c r="I34150" s="309"/>
      <c r="J34150" s="309"/>
    </row>
    <row r="34151">
      <c r="B34151" s="309"/>
      <c r="C34151" s="309"/>
      <c r="I34151" s="309"/>
      <c r="J34151" s="309"/>
    </row>
    <row r="34152">
      <c r="B34152" s="309"/>
      <c r="C34152" s="309"/>
      <c r="I34152" s="309"/>
      <c r="J34152" s="309"/>
    </row>
    <row r="34153">
      <c r="B34153" s="309"/>
      <c r="C34153" s="309"/>
      <c r="I34153" s="309"/>
      <c r="J34153" s="309"/>
    </row>
    <row r="34154">
      <c r="B34154" s="309"/>
      <c r="C34154" s="309"/>
      <c r="I34154" s="309"/>
      <c r="J34154" s="309"/>
    </row>
    <row r="34155">
      <c r="B34155" s="309"/>
      <c r="C34155" s="309"/>
      <c r="I34155" s="309"/>
      <c r="J34155" s="309"/>
    </row>
    <row r="34156">
      <c r="B34156" s="309"/>
      <c r="C34156" s="309"/>
      <c r="I34156" s="309"/>
      <c r="J34156" s="309"/>
    </row>
    <row r="34157">
      <c r="B34157" s="309"/>
      <c r="C34157" s="309"/>
      <c r="I34157" s="309"/>
      <c r="J34157" s="309"/>
    </row>
    <row r="34158">
      <c r="B34158" s="309"/>
      <c r="C34158" s="309"/>
      <c r="I34158" s="309"/>
      <c r="J34158" s="309"/>
    </row>
    <row r="34159">
      <c r="B34159" s="309"/>
      <c r="C34159" s="309"/>
      <c r="I34159" s="309"/>
      <c r="J34159" s="309"/>
    </row>
    <row r="34160">
      <c r="B34160" s="309"/>
      <c r="C34160" s="309"/>
      <c r="I34160" s="309"/>
      <c r="J34160" s="309"/>
    </row>
    <row r="34161">
      <c r="B34161" s="309"/>
      <c r="C34161" s="309"/>
      <c r="I34161" s="309"/>
      <c r="J34161" s="309"/>
    </row>
    <row r="34162">
      <c r="B34162" s="309"/>
      <c r="C34162" s="309"/>
      <c r="I34162" s="309"/>
      <c r="J34162" s="309"/>
    </row>
    <row r="34163">
      <c r="B34163" s="309"/>
      <c r="C34163" s="309"/>
      <c r="I34163" s="309"/>
      <c r="J34163" s="309"/>
    </row>
    <row r="34164">
      <c r="B34164" s="309"/>
      <c r="C34164" s="309"/>
      <c r="I34164" s="309"/>
      <c r="J34164" s="309"/>
    </row>
    <row r="34165">
      <c r="B34165" s="309"/>
      <c r="C34165" s="309"/>
      <c r="I34165" s="309"/>
      <c r="J34165" s="309"/>
    </row>
    <row r="34166">
      <c r="B34166" s="309"/>
      <c r="C34166" s="309"/>
      <c r="I34166" s="309"/>
      <c r="J34166" s="309"/>
    </row>
    <row r="34167">
      <c r="B34167" s="309"/>
      <c r="C34167" s="309"/>
      <c r="I34167" s="309"/>
      <c r="J34167" s="309"/>
    </row>
    <row r="34168">
      <c r="B34168" s="309"/>
      <c r="C34168" s="309"/>
      <c r="I34168" s="309"/>
      <c r="J34168" s="309"/>
    </row>
    <row r="34169">
      <c r="B34169" s="309"/>
      <c r="C34169" s="309"/>
      <c r="I34169" s="309"/>
      <c r="J34169" s="309"/>
    </row>
    <row r="34170">
      <c r="B34170" s="309"/>
      <c r="C34170" s="309"/>
      <c r="I34170" s="309"/>
      <c r="J34170" s="309"/>
    </row>
    <row r="34171">
      <c r="B34171" s="309"/>
      <c r="C34171" s="309"/>
      <c r="I34171" s="309"/>
      <c r="J34171" s="309"/>
    </row>
    <row r="34172">
      <c r="B34172" s="309"/>
      <c r="C34172" s="309"/>
      <c r="I34172" s="309"/>
      <c r="J34172" s="309"/>
    </row>
    <row r="34173">
      <c r="B34173" s="309"/>
      <c r="C34173" s="309"/>
      <c r="I34173" s="309"/>
      <c r="J34173" s="309"/>
    </row>
    <row r="34174">
      <c r="B34174" s="309"/>
      <c r="C34174" s="309"/>
      <c r="I34174" s="309"/>
      <c r="J34174" s="309"/>
    </row>
    <row r="34175">
      <c r="B34175" s="309"/>
      <c r="C34175" s="309"/>
      <c r="I34175" s="309"/>
      <c r="J34175" s="309"/>
    </row>
    <row r="34176">
      <c r="B34176" s="309"/>
      <c r="C34176" s="309"/>
      <c r="I34176" s="309"/>
      <c r="J34176" s="309"/>
    </row>
    <row r="34177">
      <c r="B34177" s="309"/>
      <c r="C34177" s="309"/>
      <c r="I34177" s="309"/>
      <c r="J34177" s="309"/>
    </row>
    <row r="34178">
      <c r="B34178" s="309"/>
      <c r="C34178" s="309"/>
      <c r="I34178" s="309"/>
      <c r="J34178" s="309"/>
    </row>
    <row r="34179">
      <c r="B34179" s="309"/>
      <c r="C34179" s="309"/>
      <c r="I34179" s="309"/>
      <c r="J34179" s="309"/>
    </row>
    <row r="34180">
      <c r="B34180" s="309"/>
      <c r="C34180" s="309"/>
      <c r="I34180" s="309"/>
      <c r="J34180" s="309"/>
    </row>
    <row r="34181">
      <c r="B34181" s="309"/>
      <c r="C34181" s="309"/>
      <c r="I34181" s="309"/>
      <c r="J34181" s="309"/>
    </row>
    <row r="34182">
      <c r="B34182" s="309"/>
      <c r="C34182" s="309"/>
      <c r="I34182" s="309"/>
      <c r="J34182" s="309"/>
    </row>
    <row r="34183">
      <c r="B34183" s="309"/>
      <c r="C34183" s="309"/>
      <c r="I34183" s="309"/>
      <c r="J34183" s="309"/>
    </row>
    <row r="34184">
      <c r="B34184" s="309"/>
      <c r="C34184" s="309"/>
      <c r="I34184" s="309"/>
      <c r="J34184" s="309"/>
    </row>
    <row r="34185">
      <c r="B34185" s="309"/>
      <c r="C34185" s="309"/>
      <c r="I34185" s="309"/>
      <c r="J34185" s="309"/>
    </row>
    <row r="34186">
      <c r="B34186" s="309"/>
      <c r="C34186" s="309"/>
      <c r="I34186" s="309"/>
      <c r="J34186" s="309"/>
    </row>
    <row r="34187">
      <c r="B34187" s="309"/>
      <c r="C34187" s="309"/>
      <c r="I34187" s="309"/>
      <c r="J34187" s="309"/>
    </row>
    <row r="34188">
      <c r="B34188" s="309"/>
      <c r="C34188" s="309"/>
      <c r="I34188" s="309"/>
      <c r="J34188" s="309"/>
    </row>
    <row r="34189">
      <c r="B34189" s="309"/>
      <c r="C34189" s="309"/>
      <c r="I34189" s="309"/>
      <c r="J34189" s="309"/>
    </row>
    <row r="34190">
      <c r="B34190" s="309"/>
      <c r="C34190" s="309"/>
      <c r="I34190" s="309"/>
      <c r="J34190" s="309"/>
    </row>
    <row r="34191">
      <c r="B34191" s="309"/>
      <c r="C34191" s="309"/>
      <c r="I34191" s="309"/>
      <c r="J34191" s="309"/>
    </row>
    <row r="34192">
      <c r="B34192" s="309"/>
      <c r="C34192" s="309"/>
      <c r="I34192" s="309"/>
      <c r="J34192" s="309"/>
    </row>
    <row r="34193">
      <c r="B34193" s="309"/>
      <c r="C34193" s="309"/>
      <c r="I34193" s="309"/>
      <c r="J34193" s="309"/>
    </row>
    <row r="34194">
      <c r="B34194" s="309"/>
      <c r="C34194" s="309"/>
      <c r="I34194" s="309"/>
      <c r="J34194" s="309"/>
    </row>
    <row r="34195">
      <c r="B34195" s="309"/>
      <c r="C34195" s="309"/>
      <c r="I34195" s="309"/>
      <c r="J34195" s="309"/>
    </row>
    <row r="34196">
      <c r="B34196" s="309"/>
      <c r="C34196" s="309"/>
      <c r="I34196" s="309"/>
      <c r="J34196" s="309"/>
    </row>
    <row r="34197">
      <c r="B34197" s="309"/>
      <c r="C34197" s="309"/>
      <c r="I34197" s="309"/>
      <c r="J34197" s="309"/>
    </row>
    <row r="34198">
      <c r="B34198" s="309"/>
      <c r="C34198" s="309"/>
      <c r="I34198" s="309"/>
      <c r="J34198" s="309"/>
    </row>
    <row r="34199">
      <c r="B34199" s="309"/>
      <c r="C34199" s="309"/>
      <c r="I34199" s="309"/>
      <c r="J34199" s="309"/>
    </row>
    <row r="34200">
      <c r="B34200" s="309"/>
      <c r="C34200" s="309"/>
      <c r="I34200" s="309"/>
      <c r="J34200" s="309"/>
    </row>
    <row r="34201">
      <c r="B34201" s="309"/>
      <c r="C34201" s="309"/>
      <c r="I34201" s="309"/>
      <c r="J34201" s="309"/>
    </row>
    <row r="34202">
      <c r="B34202" s="309"/>
      <c r="C34202" s="309"/>
      <c r="I34202" s="309"/>
      <c r="J34202" s="309"/>
    </row>
    <row r="34203">
      <c r="B34203" s="309"/>
      <c r="C34203" s="309"/>
      <c r="I34203" s="309"/>
      <c r="J34203" s="309"/>
    </row>
    <row r="34204">
      <c r="B34204" s="309"/>
      <c r="C34204" s="309"/>
      <c r="I34204" s="309"/>
      <c r="J34204" s="309"/>
    </row>
    <row r="34205">
      <c r="B34205" s="309"/>
      <c r="C34205" s="309"/>
      <c r="I34205" s="309"/>
      <c r="J34205" s="309"/>
    </row>
    <row r="34206">
      <c r="B34206" s="309"/>
      <c r="C34206" s="309"/>
      <c r="I34206" s="309"/>
      <c r="J34206" s="309"/>
    </row>
    <row r="34207">
      <c r="B34207" s="309"/>
      <c r="C34207" s="309"/>
      <c r="I34207" s="309"/>
      <c r="J34207" s="309"/>
    </row>
    <row r="34208">
      <c r="B34208" s="309"/>
      <c r="C34208" s="309"/>
      <c r="I34208" s="309"/>
      <c r="J34208" s="309"/>
    </row>
    <row r="34209">
      <c r="B34209" s="309"/>
      <c r="C34209" s="309"/>
      <c r="I34209" s="309"/>
      <c r="J34209" s="309"/>
    </row>
    <row r="34210">
      <c r="B34210" s="309"/>
      <c r="C34210" s="309"/>
      <c r="I34210" s="309"/>
      <c r="J34210" s="309"/>
    </row>
    <row r="34211">
      <c r="B34211" s="309"/>
      <c r="C34211" s="309"/>
      <c r="I34211" s="309"/>
      <c r="J34211" s="309"/>
    </row>
    <row r="34212">
      <c r="B34212" s="309"/>
      <c r="C34212" s="309"/>
      <c r="I34212" s="309"/>
      <c r="J34212" s="309"/>
    </row>
    <row r="34213">
      <c r="B34213" s="309"/>
      <c r="C34213" s="309"/>
      <c r="I34213" s="309"/>
      <c r="J34213" s="309"/>
    </row>
    <row r="34214">
      <c r="B34214" s="309"/>
      <c r="C34214" s="309"/>
      <c r="I34214" s="309"/>
      <c r="J34214" s="309"/>
    </row>
    <row r="34215">
      <c r="B34215" s="309"/>
      <c r="C34215" s="309"/>
      <c r="I34215" s="309"/>
      <c r="J34215" s="309"/>
    </row>
    <row r="34216">
      <c r="B34216" s="309"/>
      <c r="C34216" s="309"/>
      <c r="I34216" s="309"/>
      <c r="J34216" s="309"/>
    </row>
    <row r="34217">
      <c r="B34217" s="309"/>
      <c r="C34217" s="309"/>
      <c r="I34217" s="309"/>
      <c r="J34217" s="309"/>
    </row>
    <row r="34218">
      <c r="B34218" s="309"/>
      <c r="C34218" s="309"/>
      <c r="I34218" s="309"/>
      <c r="J34218" s="309"/>
    </row>
    <row r="34219">
      <c r="B34219" s="309"/>
      <c r="C34219" s="309"/>
      <c r="I34219" s="309"/>
      <c r="J34219" s="309"/>
    </row>
    <row r="34220">
      <c r="B34220" s="309"/>
      <c r="C34220" s="309"/>
      <c r="I34220" s="309"/>
      <c r="J34220" s="309"/>
    </row>
    <row r="34221">
      <c r="B34221" s="309"/>
      <c r="C34221" s="309"/>
      <c r="I34221" s="309"/>
      <c r="J34221" s="309"/>
    </row>
    <row r="34222">
      <c r="B34222" s="309"/>
      <c r="C34222" s="309"/>
      <c r="I34222" s="309"/>
      <c r="J34222" s="309"/>
    </row>
    <row r="34223">
      <c r="B34223" s="309"/>
      <c r="C34223" s="309"/>
      <c r="I34223" s="309"/>
      <c r="J34223" s="309"/>
    </row>
    <row r="34224">
      <c r="B34224" s="309"/>
      <c r="C34224" s="309"/>
      <c r="I34224" s="309"/>
      <c r="J34224" s="309"/>
    </row>
    <row r="34225">
      <c r="B34225" s="309"/>
      <c r="C34225" s="309"/>
      <c r="I34225" s="309"/>
      <c r="J34225" s="309"/>
    </row>
    <row r="34226">
      <c r="B34226" s="309"/>
      <c r="C34226" s="309"/>
      <c r="I34226" s="309"/>
      <c r="J34226" s="309"/>
    </row>
    <row r="34227">
      <c r="B34227" s="309"/>
      <c r="C34227" s="309"/>
      <c r="I34227" s="309"/>
      <c r="J34227" s="309"/>
    </row>
    <row r="34228">
      <c r="B34228" s="309"/>
      <c r="C34228" s="309"/>
      <c r="I34228" s="309"/>
      <c r="J34228" s="309"/>
    </row>
    <row r="34229">
      <c r="B34229" s="309"/>
      <c r="C34229" s="309"/>
      <c r="I34229" s="309"/>
      <c r="J34229" s="309"/>
    </row>
    <row r="34230">
      <c r="B34230" s="309"/>
      <c r="C34230" s="309"/>
      <c r="I34230" s="309"/>
      <c r="J34230" s="309"/>
    </row>
    <row r="34231">
      <c r="B34231" s="309"/>
      <c r="C34231" s="309"/>
      <c r="I34231" s="309"/>
      <c r="J34231" s="309"/>
    </row>
    <row r="34232">
      <c r="B34232" s="309"/>
      <c r="C34232" s="309"/>
      <c r="I34232" s="309"/>
      <c r="J34232" s="309"/>
    </row>
    <row r="34233">
      <c r="B34233" s="309"/>
      <c r="C34233" s="309"/>
      <c r="I34233" s="309"/>
      <c r="J34233" s="309"/>
    </row>
    <row r="34234">
      <c r="B34234" s="309"/>
      <c r="C34234" s="309"/>
      <c r="I34234" s="309"/>
      <c r="J34234" s="309"/>
    </row>
    <row r="34235">
      <c r="B34235" s="309"/>
      <c r="C34235" s="309"/>
      <c r="I34235" s="309"/>
      <c r="J34235" s="309"/>
    </row>
    <row r="34236">
      <c r="B34236" s="309"/>
      <c r="C34236" s="309"/>
      <c r="I34236" s="309"/>
      <c r="J34236" s="309"/>
    </row>
    <row r="34237">
      <c r="B34237" s="309"/>
      <c r="C34237" s="309"/>
      <c r="I34237" s="309"/>
      <c r="J34237" s="309"/>
    </row>
    <row r="34238">
      <c r="B34238" s="309"/>
      <c r="C34238" s="309"/>
      <c r="I34238" s="309"/>
      <c r="J34238" s="309"/>
    </row>
    <row r="34239">
      <c r="B34239" s="309"/>
      <c r="C34239" s="309"/>
      <c r="I34239" s="309"/>
      <c r="J34239" s="309"/>
    </row>
    <row r="34240">
      <c r="B34240" s="309"/>
      <c r="C34240" s="309"/>
      <c r="I34240" s="309"/>
      <c r="J34240" s="309"/>
    </row>
    <row r="34241">
      <c r="B34241" s="309"/>
      <c r="C34241" s="309"/>
      <c r="I34241" s="309"/>
      <c r="J34241" s="309"/>
    </row>
    <row r="34242">
      <c r="B34242" s="309"/>
      <c r="C34242" s="309"/>
      <c r="I34242" s="309"/>
      <c r="J34242" s="309"/>
    </row>
    <row r="34243">
      <c r="B34243" s="309"/>
      <c r="C34243" s="309"/>
      <c r="I34243" s="309"/>
      <c r="J34243" s="309"/>
    </row>
    <row r="34244">
      <c r="B34244" s="309"/>
      <c r="C34244" s="309"/>
      <c r="I34244" s="309"/>
      <c r="J34244" s="309"/>
    </row>
    <row r="34245">
      <c r="B34245" s="309"/>
      <c r="C34245" s="309"/>
      <c r="I34245" s="309"/>
      <c r="J34245" s="309"/>
    </row>
    <row r="34246">
      <c r="B34246" s="309"/>
      <c r="C34246" s="309"/>
      <c r="I34246" s="309"/>
      <c r="J34246" s="309"/>
    </row>
    <row r="34247">
      <c r="B34247" s="309"/>
      <c r="C34247" s="309"/>
      <c r="I34247" s="309"/>
      <c r="J34247" s="309"/>
    </row>
    <row r="34248">
      <c r="B34248" s="309"/>
      <c r="C34248" s="309"/>
      <c r="I34248" s="309"/>
      <c r="J34248" s="309"/>
    </row>
    <row r="34249">
      <c r="B34249" s="309"/>
      <c r="C34249" s="309"/>
      <c r="I34249" s="309"/>
      <c r="J34249" s="309"/>
    </row>
    <row r="34250">
      <c r="B34250" s="309"/>
      <c r="C34250" s="309"/>
      <c r="I34250" s="309"/>
      <c r="J34250" s="309"/>
    </row>
    <row r="34251">
      <c r="B34251" s="309"/>
      <c r="C34251" s="309"/>
      <c r="I34251" s="309"/>
      <c r="J34251" s="309"/>
    </row>
    <row r="34252">
      <c r="B34252" s="309"/>
      <c r="C34252" s="309"/>
      <c r="I34252" s="309"/>
      <c r="J34252" s="309"/>
    </row>
    <row r="34253">
      <c r="B34253" s="309"/>
      <c r="C34253" s="309"/>
      <c r="I34253" s="309"/>
      <c r="J34253" s="309"/>
    </row>
    <row r="34254">
      <c r="B34254" s="309"/>
      <c r="C34254" s="309"/>
      <c r="I34254" s="309"/>
      <c r="J34254" s="309"/>
    </row>
    <row r="34255">
      <c r="B34255" s="309"/>
      <c r="C34255" s="309"/>
      <c r="I34255" s="309"/>
      <c r="J34255" s="309"/>
    </row>
    <row r="34256">
      <c r="B34256" s="309"/>
      <c r="C34256" s="309"/>
      <c r="I34256" s="309"/>
      <c r="J34256" s="309"/>
    </row>
    <row r="34257">
      <c r="B34257" s="309"/>
      <c r="C34257" s="309"/>
      <c r="I34257" s="309"/>
      <c r="J34257" s="309"/>
    </row>
    <row r="34258">
      <c r="B34258" s="309"/>
      <c r="C34258" s="309"/>
      <c r="I34258" s="309"/>
      <c r="J34258" s="309"/>
    </row>
    <row r="34259">
      <c r="B34259" s="309"/>
      <c r="C34259" s="309"/>
      <c r="I34259" s="309"/>
      <c r="J34259" s="309"/>
    </row>
    <row r="34260">
      <c r="B34260" s="309"/>
      <c r="C34260" s="309"/>
      <c r="I34260" s="309"/>
      <c r="J34260" s="309"/>
    </row>
    <row r="34261">
      <c r="B34261" s="309"/>
      <c r="C34261" s="309"/>
      <c r="I34261" s="309"/>
      <c r="J34261" s="309"/>
    </row>
    <row r="34262">
      <c r="B34262" s="309"/>
      <c r="C34262" s="309"/>
      <c r="I34262" s="309"/>
      <c r="J34262" s="309"/>
    </row>
    <row r="34263">
      <c r="B34263" s="309"/>
      <c r="C34263" s="309"/>
      <c r="I34263" s="309"/>
      <c r="J34263" s="309"/>
    </row>
    <row r="34264">
      <c r="B34264" s="309"/>
      <c r="C34264" s="309"/>
      <c r="I34264" s="309"/>
      <c r="J34264" s="309"/>
    </row>
    <row r="34265">
      <c r="B34265" s="309"/>
      <c r="C34265" s="309"/>
      <c r="I34265" s="309"/>
      <c r="J34265" s="309"/>
    </row>
    <row r="34266">
      <c r="B34266" s="309"/>
      <c r="C34266" s="309"/>
      <c r="I34266" s="309"/>
      <c r="J34266" s="309"/>
    </row>
    <row r="34267">
      <c r="B34267" s="309"/>
      <c r="C34267" s="309"/>
      <c r="I34267" s="309"/>
      <c r="J34267" s="309"/>
    </row>
    <row r="34268">
      <c r="B34268" s="309"/>
      <c r="C34268" s="309"/>
      <c r="I34268" s="309"/>
      <c r="J34268" s="309"/>
    </row>
    <row r="34269">
      <c r="B34269" s="309"/>
      <c r="C34269" s="309"/>
      <c r="I34269" s="309"/>
      <c r="J34269" s="309"/>
    </row>
    <row r="34270">
      <c r="B34270" s="309"/>
      <c r="C34270" s="309"/>
      <c r="I34270" s="309"/>
      <c r="J34270" s="309"/>
    </row>
    <row r="34271">
      <c r="B34271" s="309"/>
      <c r="C34271" s="309"/>
      <c r="I34271" s="309"/>
      <c r="J34271" s="309"/>
    </row>
    <row r="34272">
      <c r="B34272" s="309"/>
      <c r="C34272" s="309"/>
      <c r="I34272" s="309"/>
      <c r="J34272" s="309"/>
    </row>
    <row r="34273">
      <c r="B34273" s="309"/>
      <c r="C34273" s="309"/>
      <c r="I34273" s="309"/>
      <c r="J34273" s="309"/>
    </row>
    <row r="34274">
      <c r="B34274" s="309"/>
      <c r="C34274" s="309"/>
      <c r="I34274" s="309"/>
      <c r="J34274" s="309"/>
    </row>
    <row r="34275">
      <c r="B34275" s="309"/>
      <c r="C34275" s="309"/>
      <c r="I34275" s="309"/>
      <c r="J34275" s="309"/>
    </row>
    <row r="34276">
      <c r="B34276" s="309"/>
      <c r="C34276" s="309"/>
      <c r="I34276" s="309"/>
      <c r="J34276" s="309"/>
    </row>
    <row r="34277">
      <c r="B34277" s="309"/>
      <c r="C34277" s="309"/>
      <c r="I34277" s="309"/>
      <c r="J34277" s="309"/>
    </row>
    <row r="34278">
      <c r="B34278" s="309"/>
      <c r="C34278" s="309"/>
      <c r="I34278" s="309"/>
      <c r="J34278" s="309"/>
    </row>
    <row r="34279">
      <c r="B34279" s="309"/>
      <c r="C34279" s="309"/>
      <c r="I34279" s="309"/>
      <c r="J34279" s="309"/>
    </row>
    <row r="34280">
      <c r="B34280" s="309"/>
      <c r="C34280" s="309"/>
      <c r="I34280" s="309"/>
      <c r="J34280" s="309"/>
    </row>
    <row r="34281">
      <c r="B34281" s="309"/>
      <c r="C34281" s="309"/>
      <c r="I34281" s="309"/>
      <c r="J34281" s="309"/>
    </row>
    <row r="34282">
      <c r="B34282" s="309"/>
      <c r="C34282" s="309"/>
      <c r="I34282" s="309"/>
      <c r="J34282" s="309"/>
    </row>
    <row r="34283">
      <c r="B34283" s="309"/>
      <c r="C34283" s="309"/>
      <c r="I34283" s="309"/>
      <c r="J34283" s="309"/>
    </row>
    <row r="34284">
      <c r="B34284" s="309"/>
      <c r="C34284" s="309"/>
      <c r="I34284" s="309"/>
      <c r="J34284" s="309"/>
    </row>
    <row r="34285">
      <c r="B34285" s="309"/>
      <c r="C34285" s="309"/>
      <c r="I34285" s="309"/>
      <c r="J34285" s="309"/>
    </row>
    <row r="34286">
      <c r="B34286" s="309"/>
      <c r="C34286" s="309"/>
      <c r="I34286" s="309"/>
      <c r="J34286" s="309"/>
    </row>
    <row r="34287">
      <c r="B34287" s="309"/>
      <c r="C34287" s="309"/>
      <c r="I34287" s="309"/>
      <c r="J34287" s="309"/>
    </row>
    <row r="34288">
      <c r="B34288" s="309"/>
      <c r="C34288" s="309"/>
      <c r="I34288" s="309"/>
      <c r="J34288" s="309"/>
    </row>
    <row r="34289">
      <c r="B34289" s="309"/>
      <c r="C34289" s="309"/>
      <c r="I34289" s="309"/>
      <c r="J34289" s="309"/>
    </row>
    <row r="34290">
      <c r="B34290" s="309"/>
      <c r="C34290" s="309"/>
      <c r="I34290" s="309"/>
      <c r="J34290" s="309"/>
    </row>
    <row r="34291">
      <c r="B34291" s="309"/>
      <c r="C34291" s="309"/>
      <c r="I34291" s="309"/>
      <c r="J34291" s="309"/>
    </row>
    <row r="34292">
      <c r="B34292" s="309"/>
      <c r="C34292" s="309"/>
      <c r="I34292" s="309"/>
      <c r="J34292" s="309"/>
    </row>
    <row r="34293">
      <c r="B34293" s="309"/>
      <c r="C34293" s="309"/>
      <c r="I34293" s="309"/>
      <c r="J34293" s="309"/>
    </row>
    <row r="34294">
      <c r="B34294" s="309"/>
      <c r="C34294" s="309"/>
      <c r="I34294" s="309"/>
      <c r="J34294" s="309"/>
    </row>
    <row r="34295">
      <c r="B34295" s="309"/>
      <c r="C34295" s="309"/>
      <c r="I34295" s="309"/>
      <c r="J34295" s="309"/>
    </row>
    <row r="34296">
      <c r="B34296" s="309"/>
      <c r="C34296" s="309"/>
      <c r="I34296" s="309"/>
      <c r="J34296" s="309"/>
    </row>
    <row r="34297">
      <c r="B34297" s="309"/>
      <c r="C34297" s="309"/>
      <c r="I34297" s="309"/>
      <c r="J34297" s="309"/>
    </row>
    <row r="34298">
      <c r="B34298" s="309"/>
      <c r="C34298" s="309"/>
      <c r="I34298" s="309"/>
      <c r="J34298" s="309"/>
    </row>
    <row r="34299">
      <c r="B34299" s="309"/>
      <c r="C34299" s="309"/>
      <c r="I34299" s="309"/>
      <c r="J34299" s="309"/>
    </row>
    <row r="34300">
      <c r="B34300" s="309"/>
      <c r="C34300" s="309"/>
      <c r="I34300" s="309"/>
      <c r="J34300" s="309"/>
    </row>
    <row r="34301">
      <c r="B34301" s="309"/>
      <c r="C34301" s="309"/>
      <c r="I34301" s="309"/>
      <c r="J34301" s="309"/>
    </row>
    <row r="34302">
      <c r="B34302" s="309"/>
      <c r="C34302" s="309"/>
      <c r="I34302" s="309"/>
      <c r="J34302" s="309"/>
    </row>
    <row r="34303">
      <c r="B34303" s="309"/>
      <c r="C34303" s="309"/>
      <c r="I34303" s="309"/>
      <c r="J34303" s="309"/>
    </row>
    <row r="34304">
      <c r="B34304" s="309"/>
      <c r="C34304" s="309"/>
      <c r="I34304" s="309"/>
      <c r="J34304" s="309"/>
    </row>
    <row r="34305">
      <c r="B34305" s="309"/>
      <c r="C34305" s="309"/>
      <c r="I34305" s="309"/>
      <c r="J34305" s="309"/>
    </row>
    <row r="34306">
      <c r="B34306" s="309"/>
      <c r="C34306" s="309"/>
      <c r="I34306" s="309"/>
      <c r="J34306" s="309"/>
    </row>
    <row r="34307">
      <c r="B34307" s="309"/>
      <c r="C34307" s="309"/>
      <c r="I34307" s="309"/>
      <c r="J34307" s="309"/>
    </row>
    <row r="34308">
      <c r="B34308" s="309"/>
      <c r="C34308" s="309"/>
      <c r="I34308" s="309"/>
      <c r="J34308" s="309"/>
    </row>
    <row r="34309">
      <c r="B34309" s="309"/>
      <c r="C34309" s="309"/>
      <c r="I34309" s="309"/>
      <c r="J34309" s="309"/>
    </row>
    <row r="34310">
      <c r="B34310" s="309"/>
      <c r="C34310" s="309"/>
      <c r="I34310" s="309"/>
      <c r="J34310" s="309"/>
    </row>
    <row r="34311">
      <c r="B34311" s="309"/>
      <c r="C34311" s="309"/>
      <c r="I34311" s="309"/>
      <c r="J34311" s="309"/>
    </row>
    <row r="34312">
      <c r="B34312" s="309"/>
      <c r="C34312" s="309"/>
      <c r="I34312" s="309"/>
      <c r="J34312" s="309"/>
    </row>
    <row r="34313">
      <c r="B34313" s="309"/>
      <c r="C34313" s="309"/>
      <c r="I34313" s="309"/>
      <c r="J34313" s="309"/>
    </row>
    <row r="34314">
      <c r="B34314" s="309"/>
      <c r="C34314" s="309"/>
      <c r="I34314" s="309"/>
      <c r="J34314" s="309"/>
    </row>
    <row r="34315">
      <c r="B34315" s="309"/>
      <c r="C34315" s="309"/>
      <c r="I34315" s="309"/>
      <c r="J34315" s="309"/>
    </row>
    <row r="34316">
      <c r="B34316" s="309"/>
      <c r="C34316" s="309"/>
      <c r="I34316" s="309"/>
      <c r="J34316" s="309"/>
    </row>
    <row r="34317">
      <c r="B34317" s="309"/>
      <c r="C34317" s="309"/>
      <c r="I34317" s="309"/>
      <c r="J34317" s="309"/>
    </row>
    <row r="34318">
      <c r="B34318" s="309"/>
      <c r="C34318" s="309"/>
      <c r="I34318" s="309"/>
      <c r="J34318" s="309"/>
    </row>
    <row r="34319">
      <c r="B34319" s="309"/>
      <c r="C34319" s="309"/>
      <c r="I34319" s="309"/>
      <c r="J34319" s="309"/>
    </row>
    <row r="34320">
      <c r="B34320" s="309"/>
      <c r="C34320" s="309"/>
      <c r="I34320" s="309"/>
      <c r="J34320" s="309"/>
    </row>
    <row r="34321">
      <c r="B34321" s="309"/>
      <c r="C34321" s="309"/>
      <c r="I34321" s="309"/>
      <c r="J34321" s="309"/>
    </row>
    <row r="34322">
      <c r="B34322" s="309"/>
      <c r="C34322" s="309"/>
      <c r="I34322" s="309"/>
      <c r="J34322" s="309"/>
    </row>
    <row r="34323">
      <c r="B34323" s="309"/>
      <c r="C34323" s="309"/>
      <c r="I34323" s="309"/>
      <c r="J34323" s="309"/>
    </row>
    <row r="34324">
      <c r="B34324" s="309"/>
      <c r="C34324" s="309"/>
      <c r="I34324" s="309"/>
      <c r="J34324" s="309"/>
    </row>
    <row r="34325">
      <c r="B34325" s="309"/>
      <c r="C34325" s="309"/>
      <c r="I34325" s="309"/>
      <c r="J34325" s="309"/>
    </row>
    <row r="34326">
      <c r="B34326" s="309"/>
      <c r="C34326" s="309"/>
      <c r="I34326" s="309"/>
      <c r="J34326" s="309"/>
    </row>
    <row r="34327">
      <c r="B34327" s="309"/>
      <c r="C34327" s="309"/>
      <c r="I34327" s="309"/>
      <c r="J34327" s="309"/>
    </row>
    <row r="34328">
      <c r="B34328" s="309"/>
      <c r="C34328" s="309"/>
      <c r="I34328" s="309"/>
      <c r="J34328" s="309"/>
    </row>
    <row r="34329">
      <c r="B34329" s="309"/>
      <c r="C34329" s="309"/>
      <c r="I34329" s="309"/>
      <c r="J34329" s="309"/>
    </row>
    <row r="34330">
      <c r="B34330" s="309"/>
      <c r="C34330" s="309"/>
      <c r="I34330" s="309"/>
      <c r="J34330" s="309"/>
    </row>
    <row r="34331">
      <c r="B34331" s="309"/>
      <c r="C34331" s="309"/>
      <c r="I34331" s="309"/>
      <c r="J34331" s="309"/>
    </row>
    <row r="34332">
      <c r="B34332" s="309"/>
      <c r="C34332" s="309"/>
      <c r="I34332" s="309"/>
      <c r="J34332" s="309"/>
    </row>
    <row r="34333">
      <c r="B34333" s="309"/>
      <c r="C34333" s="309"/>
      <c r="I34333" s="309"/>
      <c r="J34333" s="309"/>
    </row>
    <row r="34334">
      <c r="B34334" s="309"/>
      <c r="C34334" s="309"/>
      <c r="I34334" s="309"/>
      <c r="J34334" s="309"/>
    </row>
    <row r="34335">
      <c r="B34335" s="309"/>
      <c r="C34335" s="309"/>
      <c r="I34335" s="309"/>
      <c r="J34335" s="309"/>
    </row>
    <row r="34336">
      <c r="B34336" s="309"/>
      <c r="C34336" s="309"/>
      <c r="I34336" s="309"/>
      <c r="J34336" s="309"/>
    </row>
    <row r="34337">
      <c r="B34337" s="309"/>
      <c r="C34337" s="309"/>
      <c r="I34337" s="309"/>
      <c r="J34337" s="309"/>
    </row>
    <row r="34338">
      <c r="B34338" s="309"/>
      <c r="C34338" s="309"/>
      <c r="I34338" s="309"/>
      <c r="J34338" s="309"/>
    </row>
    <row r="34339">
      <c r="B34339" s="309"/>
      <c r="C34339" s="309"/>
      <c r="I34339" s="309"/>
      <c r="J34339" s="309"/>
    </row>
    <row r="34340">
      <c r="B34340" s="309"/>
      <c r="C34340" s="309"/>
      <c r="I34340" s="309"/>
      <c r="J34340" s="309"/>
    </row>
    <row r="34341">
      <c r="B34341" s="309"/>
      <c r="C34341" s="309"/>
      <c r="I34341" s="309"/>
      <c r="J34341" s="309"/>
    </row>
    <row r="34342">
      <c r="B34342" s="309"/>
      <c r="C34342" s="309"/>
      <c r="I34342" s="309"/>
      <c r="J34342" s="309"/>
    </row>
    <row r="34343">
      <c r="B34343" s="309"/>
      <c r="C34343" s="309"/>
      <c r="I34343" s="309"/>
      <c r="J34343" s="309"/>
    </row>
    <row r="34344">
      <c r="B34344" s="309"/>
      <c r="C34344" s="309"/>
      <c r="I34344" s="309"/>
      <c r="J34344" s="309"/>
    </row>
    <row r="34345">
      <c r="B34345" s="309"/>
      <c r="C34345" s="309"/>
      <c r="I34345" s="309"/>
      <c r="J34345" s="309"/>
    </row>
    <row r="34346">
      <c r="B34346" s="309"/>
      <c r="C34346" s="309"/>
      <c r="I34346" s="309"/>
      <c r="J34346" s="309"/>
    </row>
    <row r="34347">
      <c r="B34347" s="309"/>
      <c r="C34347" s="309"/>
      <c r="I34347" s="309"/>
      <c r="J34347" s="309"/>
    </row>
    <row r="34348">
      <c r="B34348" s="309"/>
      <c r="C34348" s="309"/>
      <c r="I34348" s="309"/>
      <c r="J34348" s="309"/>
    </row>
    <row r="34349">
      <c r="B34349" s="309"/>
      <c r="C34349" s="309"/>
      <c r="I34349" s="309"/>
      <c r="J34349" s="309"/>
    </row>
    <row r="34350">
      <c r="B34350" s="309"/>
      <c r="C34350" s="309"/>
      <c r="I34350" s="309"/>
      <c r="J34350" s="309"/>
    </row>
    <row r="34351">
      <c r="B34351" s="309"/>
      <c r="C34351" s="309"/>
      <c r="I34351" s="309"/>
      <c r="J34351" s="309"/>
    </row>
    <row r="34352">
      <c r="B34352" s="309"/>
      <c r="C34352" s="309"/>
      <c r="I34352" s="309"/>
      <c r="J34352" s="309"/>
    </row>
    <row r="34353">
      <c r="B34353" s="309"/>
      <c r="C34353" s="309"/>
      <c r="I34353" s="309"/>
      <c r="J34353" s="309"/>
    </row>
    <row r="34354">
      <c r="B34354" s="309"/>
      <c r="C34354" s="309"/>
      <c r="I34354" s="309"/>
      <c r="J34354" s="309"/>
    </row>
    <row r="34355">
      <c r="B34355" s="309"/>
      <c r="C34355" s="309"/>
      <c r="I34355" s="309"/>
      <c r="J34355" s="309"/>
    </row>
    <row r="34356">
      <c r="B34356" s="309"/>
      <c r="C34356" s="309"/>
      <c r="I34356" s="309"/>
      <c r="J34356" s="309"/>
    </row>
    <row r="34357">
      <c r="B34357" s="309"/>
      <c r="C34357" s="309"/>
      <c r="I34357" s="309"/>
      <c r="J34357" s="309"/>
    </row>
    <row r="34358">
      <c r="B34358" s="309"/>
      <c r="C34358" s="309"/>
      <c r="I34358" s="309"/>
      <c r="J34358" s="309"/>
    </row>
    <row r="34359">
      <c r="B34359" s="309"/>
      <c r="C34359" s="309"/>
      <c r="I34359" s="309"/>
      <c r="J34359" s="309"/>
    </row>
    <row r="34360">
      <c r="B34360" s="309"/>
      <c r="C34360" s="309"/>
      <c r="I34360" s="309"/>
      <c r="J34360" s="309"/>
    </row>
    <row r="34361">
      <c r="B34361" s="309"/>
      <c r="C34361" s="309"/>
      <c r="I34361" s="309"/>
      <c r="J34361" s="309"/>
    </row>
    <row r="34362">
      <c r="B34362" s="309"/>
      <c r="C34362" s="309"/>
      <c r="I34362" s="309"/>
      <c r="J34362" s="309"/>
    </row>
    <row r="34363">
      <c r="B34363" s="309"/>
      <c r="C34363" s="309"/>
      <c r="I34363" s="309"/>
      <c r="J34363" s="309"/>
    </row>
    <row r="34364">
      <c r="B34364" s="309"/>
      <c r="C34364" s="309"/>
      <c r="I34364" s="309"/>
      <c r="J34364" s="309"/>
    </row>
    <row r="34365">
      <c r="B34365" s="309"/>
      <c r="C34365" s="309"/>
      <c r="I34365" s="309"/>
      <c r="J34365" s="309"/>
    </row>
    <row r="34366">
      <c r="B34366" s="309"/>
      <c r="C34366" s="309"/>
      <c r="I34366" s="309"/>
      <c r="J34366" s="309"/>
    </row>
    <row r="34367">
      <c r="B34367" s="309"/>
      <c r="C34367" s="309"/>
      <c r="I34367" s="309"/>
      <c r="J34367" s="309"/>
    </row>
    <row r="34368">
      <c r="B34368" s="309"/>
      <c r="C34368" s="309"/>
      <c r="I34368" s="309"/>
      <c r="J34368" s="309"/>
    </row>
    <row r="34369">
      <c r="B34369" s="309"/>
      <c r="C34369" s="309"/>
      <c r="I34369" s="309"/>
      <c r="J34369" s="309"/>
    </row>
    <row r="34370">
      <c r="B34370" s="309"/>
      <c r="C34370" s="309"/>
      <c r="I34370" s="309"/>
      <c r="J34370" s="309"/>
    </row>
    <row r="34371">
      <c r="B34371" s="309"/>
      <c r="C34371" s="309"/>
      <c r="I34371" s="309"/>
      <c r="J34371" s="309"/>
    </row>
    <row r="34372">
      <c r="B34372" s="309"/>
      <c r="C34372" s="309"/>
      <c r="I34372" s="309"/>
      <c r="J34372" s="309"/>
    </row>
    <row r="34373">
      <c r="B34373" s="309"/>
      <c r="C34373" s="309"/>
      <c r="I34373" s="309"/>
      <c r="J34373" s="309"/>
    </row>
    <row r="34374">
      <c r="B34374" s="309"/>
      <c r="C34374" s="309"/>
      <c r="I34374" s="309"/>
      <c r="J34374" s="309"/>
    </row>
    <row r="34375">
      <c r="B34375" s="309"/>
      <c r="C34375" s="309"/>
      <c r="I34375" s="309"/>
      <c r="J34375" s="309"/>
    </row>
    <row r="34376">
      <c r="B34376" s="309"/>
      <c r="C34376" s="309"/>
      <c r="I34376" s="309"/>
      <c r="J34376" s="309"/>
    </row>
    <row r="34377">
      <c r="B34377" s="309"/>
      <c r="C34377" s="309"/>
      <c r="I34377" s="309"/>
      <c r="J34377" s="309"/>
    </row>
    <row r="34378">
      <c r="B34378" s="309"/>
      <c r="C34378" s="309"/>
      <c r="I34378" s="309"/>
      <c r="J34378" s="309"/>
    </row>
    <row r="34379">
      <c r="B34379" s="309"/>
      <c r="C34379" s="309"/>
      <c r="I34379" s="309"/>
      <c r="J34379" s="309"/>
    </row>
    <row r="34380">
      <c r="B34380" s="309"/>
      <c r="C34380" s="309"/>
      <c r="I34380" s="309"/>
      <c r="J34380" s="309"/>
    </row>
    <row r="34381">
      <c r="B34381" s="309"/>
      <c r="C34381" s="309"/>
      <c r="I34381" s="309"/>
      <c r="J34381" s="309"/>
    </row>
    <row r="34382">
      <c r="B34382" s="309"/>
      <c r="C34382" s="309"/>
      <c r="I34382" s="309"/>
      <c r="J34382" s="309"/>
    </row>
    <row r="34383">
      <c r="B34383" s="309"/>
      <c r="C34383" s="309"/>
      <c r="I34383" s="309"/>
      <c r="J34383" s="309"/>
    </row>
    <row r="34384">
      <c r="B34384" s="309"/>
      <c r="C34384" s="309"/>
      <c r="I34384" s="309"/>
      <c r="J34384" s="309"/>
    </row>
    <row r="34385">
      <c r="B34385" s="309"/>
      <c r="C34385" s="309"/>
      <c r="I34385" s="309"/>
      <c r="J34385" s="309"/>
    </row>
    <row r="34386">
      <c r="B34386" s="309"/>
      <c r="C34386" s="309"/>
      <c r="I34386" s="309"/>
      <c r="J34386" s="309"/>
    </row>
    <row r="34387">
      <c r="B34387" s="309"/>
      <c r="C34387" s="309"/>
      <c r="I34387" s="309"/>
      <c r="J34387" s="309"/>
    </row>
    <row r="34388">
      <c r="B34388" s="309"/>
      <c r="C34388" s="309"/>
      <c r="I34388" s="309"/>
      <c r="J34388" s="309"/>
    </row>
    <row r="34389">
      <c r="B34389" s="309"/>
      <c r="C34389" s="309"/>
      <c r="I34389" s="309"/>
      <c r="J34389" s="309"/>
    </row>
    <row r="34390">
      <c r="B34390" s="309"/>
      <c r="C34390" s="309"/>
      <c r="I34390" s="309"/>
      <c r="J34390" s="309"/>
    </row>
    <row r="34391">
      <c r="B34391" s="309"/>
      <c r="C34391" s="309"/>
      <c r="I34391" s="309"/>
      <c r="J34391" s="309"/>
    </row>
    <row r="34392">
      <c r="B34392" s="309"/>
      <c r="C34392" s="309"/>
      <c r="I34392" s="309"/>
      <c r="J34392" s="309"/>
    </row>
    <row r="34393">
      <c r="B34393" s="309"/>
      <c r="C34393" s="309"/>
      <c r="I34393" s="309"/>
      <c r="J34393" s="309"/>
    </row>
    <row r="34394">
      <c r="B34394" s="309"/>
      <c r="C34394" s="309"/>
      <c r="I34394" s="309"/>
      <c r="J34394" s="309"/>
    </row>
    <row r="34395">
      <c r="B34395" s="309"/>
      <c r="C34395" s="309"/>
      <c r="I34395" s="309"/>
      <c r="J34395" s="309"/>
    </row>
    <row r="34396">
      <c r="B34396" s="309"/>
      <c r="C34396" s="309"/>
      <c r="I34396" s="309"/>
      <c r="J34396" s="309"/>
    </row>
    <row r="34397">
      <c r="B34397" s="309"/>
      <c r="C34397" s="309"/>
      <c r="I34397" s="309"/>
      <c r="J34397" s="309"/>
    </row>
    <row r="34398">
      <c r="B34398" s="309"/>
      <c r="C34398" s="309"/>
      <c r="I34398" s="309"/>
      <c r="J34398" s="309"/>
    </row>
    <row r="34399">
      <c r="B34399" s="309"/>
      <c r="C34399" s="309"/>
      <c r="I34399" s="309"/>
      <c r="J34399" s="309"/>
    </row>
    <row r="34400">
      <c r="B34400" s="309"/>
      <c r="C34400" s="309"/>
      <c r="I34400" s="309"/>
      <c r="J34400" s="309"/>
    </row>
    <row r="34401">
      <c r="B34401" s="309"/>
      <c r="C34401" s="309"/>
      <c r="I34401" s="309"/>
      <c r="J34401" s="309"/>
    </row>
    <row r="34402">
      <c r="B34402" s="309"/>
      <c r="C34402" s="309"/>
      <c r="I34402" s="309"/>
      <c r="J34402" s="309"/>
    </row>
    <row r="34403">
      <c r="B34403" s="309"/>
      <c r="C34403" s="309"/>
      <c r="I34403" s="309"/>
      <c r="J34403" s="309"/>
    </row>
    <row r="34404">
      <c r="B34404" s="309"/>
      <c r="C34404" s="309"/>
      <c r="I34404" s="309"/>
      <c r="J34404" s="309"/>
    </row>
    <row r="34405">
      <c r="B34405" s="309"/>
      <c r="C34405" s="309"/>
      <c r="I34405" s="309"/>
      <c r="J34405" s="309"/>
    </row>
    <row r="34406">
      <c r="B34406" s="309"/>
      <c r="C34406" s="309"/>
      <c r="I34406" s="309"/>
      <c r="J34406" s="309"/>
    </row>
    <row r="34407">
      <c r="B34407" s="309"/>
      <c r="C34407" s="309"/>
      <c r="I34407" s="309"/>
      <c r="J34407" s="309"/>
    </row>
    <row r="34408">
      <c r="B34408" s="309"/>
      <c r="C34408" s="309"/>
      <c r="I34408" s="309"/>
      <c r="J34408" s="309"/>
    </row>
    <row r="34409">
      <c r="B34409" s="309"/>
      <c r="C34409" s="309"/>
      <c r="I34409" s="309"/>
      <c r="J34409" s="309"/>
    </row>
    <row r="34410">
      <c r="B34410" s="309"/>
      <c r="C34410" s="309"/>
      <c r="I34410" s="309"/>
      <c r="J34410" s="309"/>
    </row>
    <row r="34411">
      <c r="B34411" s="309"/>
      <c r="C34411" s="309"/>
      <c r="I34411" s="309"/>
      <c r="J34411" s="309"/>
    </row>
    <row r="34412">
      <c r="B34412" s="309"/>
      <c r="C34412" s="309"/>
      <c r="I34412" s="309"/>
      <c r="J34412" s="309"/>
    </row>
    <row r="34413">
      <c r="B34413" s="309"/>
      <c r="C34413" s="309"/>
      <c r="I34413" s="309"/>
      <c r="J34413" s="309"/>
    </row>
    <row r="34414">
      <c r="B34414" s="309"/>
      <c r="C34414" s="309"/>
      <c r="I34414" s="309"/>
      <c r="J34414" s="309"/>
    </row>
    <row r="34415">
      <c r="B34415" s="309"/>
      <c r="C34415" s="309"/>
      <c r="I34415" s="309"/>
      <c r="J34415" s="309"/>
    </row>
    <row r="34416">
      <c r="B34416" s="309"/>
      <c r="C34416" s="309"/>
      <c r="I34416" s="309"/>
      <c r="J34416" s="309"/>
    </row>
    <row r="34417">
      <c r="B34417" s="309"/>
      <c r="C34417" s="309"/>
      <c r="I34417" s="309"/>
      <c r="J34417" s="309"/>
    </row>
    <row r="34418">
      <c r="B34418" s="309"/>
      <c r="C34418" s="309"/>
      <c r="I34418" s="309"/>
      <c r="J34418" s="309"/>
    </row>
    <row r="34419">
      <c r="B34419" s="309"/>
      <c r="C34419" s="309"/>
      <c r="I34419" s="309"/>
      <c r="J34419" s="309"/>
    </row>
    <row r="34420">
      <c r="B34420" s="309"/>
      <c r="C34420" s="309"/>
      <c r="I34420" s="309"/>
      <c r="J34420" s="309"/>
    </row>
    <row r="34421">
      <c r="B34421" s="309"/>
      <c r="C34421" s="309"/>
      <c r="I34421" s="309"/>
      <c r="J34421" s="309"/>
    </row>
    <row r="34422">
      <c r="B34422" s="309"/>
      <c r="C34422" s="309"/>
      <c r="I34422" s="309"/>
      <c r="J34422" s="309"/>
    </row>
    <row r="34423">
      <c r="B34423" s="309"/>
      <c r="C34423" s="309"/>
      <c r="I34423" s="309"/>
      <c r="J34423" s="309"/>
    </row>
    <row r="34424">
      <c r="B34424" s="309"/>
      <c r="C34424" s="309"/>
      <c r="I34424" s="309"/>
      <c r="J34424" s="309"/>
    </row>
    <row r="34425">
      <c r="B34425" s="309"/>
      <c r="C34425" s="309"/>
      <c r="I34425" s="309"/>
      <c r="J34425" s="309"/>
    </row>
    <row r="34426">
      <c r="B34426" s="309"/>
      <c r="C34426" s="309"/>
      <c r="I34426" s="309"/>
      <c r="J34426" s="309"/>
    </row>
    <row r="34427">
      <c r="B34427" s="309"/>
      <c r="C34427" s="309"/>
      <c r="I34427" s="309"/>
      <c r="J34427" s="309"/>
    </row>
    <row r="34428">
      <c r="B34428" s="309"/>
      <c r="C34428" s="309"/>
      <c r="I34428" s="309"/>
      <c r="J34428" s="309"/>
    </row>
    <row r="34429">
      <c r="B34429" s="309"/>
      <c r="C34429" s="309"/>
      <c r="I34429" s="309"/>
      <c r="J34429" s="309"/>
    </row>
    <row r="34430">
      <c r="B34430" s="309"/>
      <c r="C34430" s="309"/>
      <c r="I34430" s="309"/>
      <c r="J34430" s="309"/>
    </row>
    <row r="34431">
      <c r="B34431" s="309"/>
      <c r="C34431" s="309"/>
      <c r="I34431" s="309"/>
      <c r="J34431" s="309"/>
    </row>
    <row r="34432">
      <c r="B34432" s="309"/>
      <c r="C34432" s="309"/>
      <c r="I34432" s="309"/>
      <c r="J34432" s="309"/>
    </row>
    <row r="34433">
      <c r="B34433" s="309"/>
      <c r="C34433" s="309"/>
      <c r="I34433" s="309"/>
      <c r="J34433" s="309"/>
    </row>
    <row r="34434">
      <c r="B34434" s="309"/>
      <c r="C34434" s="309"/>
      <c r="I34434" s="309"/>
      <c r="J34434" s="309"/>
    </row>
    <row r="34435">
      <c r="B34435" s="309"/>
      <c r="C34435" s="309"/>
      <c r="I34435" s="309"/>
      <c r="J34435" s="309"/>
    </row>
    <row r="34436">
      <c r="B34436" s="309"/>
      <c r="C34436" s="309"/>
      <c r="I34436" s="309"/>
      <c r="J34436" s="309"/>
    </row>
    <row r="34437">
      <c r="B34437" s="309"/>
      <c r="C34437" s="309"/>
      <c r="I34437" s="309"/>
      <c r="J34437" s="309"/>
    </row>
    <row r="34438">
      <c r="B34438" s="309"/>
      <c r="C34438" s="309"/>
      <c r="I34438" s="309"/>
      <c r="J34438" s="309"/>
    </row>
    <row r="34439">
      <c r="B34439" s="309"/>
      <c r="C34439" s="309"/>
      <c r="I34439" s="309"/>
      <c r="J34439" s="309"/>
    </row>
    <row r="34440">
      <c r="B34440" s="309"/>
      <c r="C34440" s="309"/>
      <c r="I34440" s="309"/>
      <c r="J34440" s="309"/>
    </row>
    <row r="34441">
      <c r="B34441" s="309"/>
      <c r="C34441" s="309"/>
      <c r="I34441" s="309"/>
      <c r="J34441" s="309"/>
    </row>
    <row r="34442">
      <c r="B34442" s="309"/>
      <c r="C34442" s="309"/>
      <c r="I34442" s="309"/>
      <c r="J34442" s="309"/>
    </row>
    <row r="34443">
      <c r="B34443" s="309"/>
      <c r="C34443" s="309"/>
      <c r="I34443" s="309"/>
      <c r="J34443" s="309"/>
    </row>
    <row r="34444">
      <c r="B34444" s="309"/>
      <c r="C34444" s="309"/>
      <c r="I34444" s="309"/>
      <c r="J34444" s="309"/>
    </row>
    <row r="34445">
      <c r="B34445" s="309"/>
      <c r="C34445" s="309"/>
      <c r="I34445" s="309"/>
      <c r="J34445" s="309"/>
    </row>
    <row r="34446">
      <c r="B34446" s="309"/>
      <c r="C34446" s="309"/>
      <c r="I34446" s="309"/>
      <c r="J34446" s="309"/>
    </row>
    <row r="34447">
      <c r="B34447" s="309"/>
      <c r="C34447" s="309"/>
      <c r="I34447" s="309"/>
      <c r="J34447" s="309"/>
    </row>
    <row r="34448">
      <c r="B34448" s="309"/>
      <c r="C34448" s="309"/>
      <c r="I34448" s="309"/>
      <c r="J34448" s="309"/>
    </row>
    <row r="34449">
      <c r="B34449" s="309"/>
      <c r="C34449" s="309"/>
      <c r="I34449" s="309"/>
      <c r="J34449" s="309"/>
    </row>
    <row r="34450">
      <c r="B34450" s="309"/>
      <c r="C34450" s="309"/>
      <c r="I34450" s="309"/>
      <c r="J34450" s="309"/>
    </row>
    <row r="34451">
      <c r="B34451" s="309"/>
      <c r="C34451" s="309"/>
      <c r="I34451" s="309"/>
      <c r="J34451" s="309"/>
    </row>
    <row r="34452">
      <c r="B34452" s="309"/>
      <c r="C34452" s="309"/>
      <c r="I34452" s="309"/>
      <c r="J34452" s="309"/>
    </row>
    <row r="34453">
      <c r="B34453" s="309"/>
      <c r="C34453" s="309"/>
      <c r="I34453" s="309"/>
      <c r="J34453" s="309"/>
    </row>
    <row r="34454">
      <c r="B34454" s="309"/>
      <c r="C34454" s="309"/>
      <c r="I34454" s="309"/>
      <c r="J34454" s="309"/>
    </row>
    <row r="34455">
      <c r="B34455" s="309"/>
      <c r="C34455" s="309"/>
      <c r="I34455" s="309"/>
      <c r="J34455" s="309"/>
    </row>
    <row r="34456">
      <c r="B34456" s="309"/>
      <c r="C34456" s="309"/>
      <c r="I34456" s="309"/>
      <c r="J34456" s="309"/>
    </row>
    <row r="34457">
      <c r="B34457" s="309"/>
      <c r="C34457" s="309"/>
      <c r="I34457" s="309"/>
      <c r="J34457" s="309"/>
    </row>
    <row r="34458">
      <c r="B34458" s="309"/>
      <c r="C34458" s="309"/>
      <c r="I34458" s="309"/>
      <c r="J34458" s="309"/>
    </row>
    <row r="34459">
      <c r="B34459" s="309"/>
      <c r="C34459" s="309"/>
      <c r="I34459" s="309"/>
      <c r="J34459" s="309"/>
    </row>
    <row r="34460">
      <c r="B34460" s="309"/>
      <c r="C34460" s="309"/>
      <c r="I34460" s="309"/>
      <c r="J34460" s="309"/>
    </row>
    <row r="34461">
      <c r="B34461" s="309"/>
      <c r="C34461" s="309"/>
      <c r="I34461" s="309"/>
      <c r="J34461" s="309"/>
    </row>
    <row r="34462">
      <c r="B34462" s="309"/>
      <c r="C34462" s="309"/>
      <c r="I34462" s="309"/>
      <c r="J34462" s="309"/>
    </row>
    <row r="34463">
      <c r="B34463" s="309"/>
      <c r="C34463" s="309"/>
      <c r="I34463" s="309"/>
      <c r="J34463" s="309"/>
    </row>
    <row r="34464">
      <c r="B34464" s="309"/>
      <c r="C34464" s="309"/>
      <c r="I34464" s="309"/>
      <c r="J34464" s="309"/>
    </row>
    <row r="34465">
      <c r="B34465" s="309"/>
      <c r="C34465" s="309"/>
      <c r="I34465" s="309"/>
      <c r="J34465" s="309"/>
    </row>
    <row r="34466">
      <c r="B34466" s="309"/>
      <c r="C34466" s="309"/>
      <c r="I34466" s="309"/>
      <c r="J34466" s="309"/>
    </row>
    <row r="34467">
      <c r="B34467" s="309"/>
      <c r="C34467" s="309"/>
      <c r="I34467" s="309"/>
      <c r="J34467" s="309"/>
    </row>
    <row r="34468">
      <c r="B34468" s="309"/>
      <c r="C34468" s="309"/>
      <c r="I34468" s="309"/>
      <c r="J34468" s="309"/>
    </row>
    <row r="34469">
      <c r="B34469" s="309"/>
      <c r="C34469" s="309"/>
      <c r="I34469" s="309"/>
      <c r="J34469" s="309"/>
    </row>
    <row r="34470">
      <c r="B34470" s="309"/>
      <c r="C34470" s="309"/>
      <c r="I34470" s="309"/>
      <c r="J34470" s="309"/>
    </row>
    <row r="34471">
      <c r="B34471" s="309"/>
      <c r="C34471" s="309"/>
      <c r="I34471" s="309"/>
      <c r="J34471" s="309"/>
    </row>
    <row r="34472">
      <c r="B34472" s="309"/>
      <c r="C34472" s="309"/>
      <c r="I34472" s="309"/>
      <c r="J34472" s="309"/>
    </row>
    <row r="34473">
      <c r="B34473" s="309"/>
      <c r="C34473" s="309"/>
      <c r="I34473" s="309"/>
      <c r="J34473" s="309"/>
    </row>
    <row r="34474">
      <c r="B34474" s="309"/>
      <c r="C34474" s="309"/>
      <c r="I34474" s="309"/>
      <c r="J34474" s="309"/>
    </row>
    <row r="34475">
      <c r="B34475" s="309"/>
      <c r="C34475" s="309"/>
      <c r="I34475" s="309"/>
      <c r="J34475" s="309"/>
    </row>
    <row r="34476">
      <c r="B34476" s="309"/>
      <c r="C34476" s="309"/>
      <c r="I34476" s="309"/>
      <c r="J34476" s="309"/>
    </row>
    <row r="34477">
      <c r="B34477" s="309"/>
      <c r="C34477" s="309"/>
      <c r="I34477" s="309"/>
      <c r="J34477" s="309"/>
    </row>
    <row r="34478">
      <c r="B34478" s="309"/>
      <c r="C34478" s="309"/>
      <c r="I34478" s="309"/>
      <c r="J34478" s="309"/>
    </row>
    <row r="34479">
      <c r="B34479" s="309"/>
      <c r="C34479" s="309"/>
      <c r="I34479" s="309"/>
      <c r="J34479" s="309"/>
    </row>
    <row r="34480">
      <c r="B34480" s="309"/>
      <c r="C34480" s="309"/>
      <c r="I34480" s="309"/>
      <c r="J34480" s="309"/>
    </row>
    <row r="34481">
      <c r="B34481" s="309"/>
      <c r="C34481" s="309"/>
      <c r="I34481" s="309"/>
      <c r="J34481" s="309"/>
    </row>
    <row r="34482">
      <c r="B34482" s="309"/>
      <c r="C34482" s="309"/>
      <c r="I34482" s="309"/>
      <c r="J34482" s="309"/>
    </row>
    <row r="34483">
      <c r="B34483" s="309"/>
      <c r="C34483" s="309"/>
      <c r="I34483" s="309"/>
      <c r="J34483" s="309"/>
    </row>
    <row r="34484">
      <c r="B34484" s="309"/>
      <c r="C34484" s="309"/>
      <c r="I34484" s="309"/>
      <c r="J34484" s="309"/>
    </row>
    <row r="34485">
      <c r="B34485" s="309"/>
      <c r="C34485" s="309"/>
      <c r="I34485" s="309"/>
      <c r="J34485" s="309"/>
    </row>
    <row r="34486">
      <c r="B34486" s="309"/>
      <c r="C34486" s="309"/>
      <c r="I34486" s="309"/>
      <c r="J34486" s="309"/>
    </row>
    <row r="34487">
      <c r="B34487" s="309"/>
      <c r="C34487" s="309"/>
      <c r="I34487" s="309"/>
      <c r="J34487" s="309"/>
    </row>
    <row r="34488">
      <c r="B34488" s="309"/>
      <c r="C34488" s="309"/>
      <c r="I34488" s="309"/>
      <c r="J34488" s="309"/>
    </row>
    <row r="34489">
      <c r="B34489" s="309"/>
      <c r="C34489" s="309"/>
      <c r="I34489" s="309"/>
      <c r="J34489" s="309"/>
    </row>
    <row r="34490">
      <c r="B34490" s="309"/>
      <c r="C34490" s="309"/>
      <c r="I34490" s="309"/>
      <c r="J34490" s="309"/>
    </row>
    <row r="34491">
      <c r="B34491" s="309"/>
      <c r="C34491" s="309"/>
      <c r="I34491" s="309"/>
      <c r="J34491" s="309"/>
    </row>
    <row r="34492">
      <c r="B34492" s="309"/>
      <c r="C34492" s="309"/>
      <c r="I34492" s="309"/>
      <c r="J34492" s="309"/>
    </row>
    <row r="34493">
      <c r="B34493" s="309"/>
      <c r="C34493" s="309"/>
      <c r="I34493" s="309"/>
      <c r="J34493" s="309"/>
    </row>
    <row r="34494">
      <c r="B34494" s="309"/>
      <c r="C34494" s="309"/>
      <c r="I34494" s="309"/>
      <c r="J34494" s="309"/>
    </row>
    <row r="34495">
      <c r="B34495" s="309"/>
      <c r="C34495" s="309"/>
      <c r="I34495" s="309"/>
      <c r="J34495" s="309"/>
    </row>
    <row r="34496">
      <c r="B34496" s="309"/>
      <c r="C34496" s="309"/>
      <c r="I34496" s="309"/>
      <c r="J34496" s="309"/>
    </row>
    <row r="34497">
      <c r="B34497" s="309"/>
      <c r="C34497" s="309"/>
      <c r="I34497" s="309"/>
      <c r="J34497" s="309"/>
    </row>
    <row r="34498">
      <c r="B34498" s="309"/>
      <c r="C34498" s="309"/>
      <c r="I34498" s="309"/>
      <c r="J34498" s="309"/>
    </row>
    <row r="34499">
      <c r="B34499" s="309"/>
      <c r="C34499" s="309"/>
      <c r="I34499" s="309"/>
      <c r="J34499" s="309"/>
    </row>
    <row r="34500">
      <c r="B34500" s="309"/>
      <c r="C34500" s="309"/>
      <c r="I34500" s="309"/>
      <c r="J34500" s="309"/>
    </row>
    <row r="34501">
      <c r="B34501" s="309"/>
      <c r="C34501" s="309"/>
      <c r="I34501" s="309"/>
      <c r="J34501" s="309"/>
    </row>
    <row r="34502">
      <c r="B34502" s="309"/>
      <c r="C34502" s="309"/>
      <c r="I34502" s="309"/>
      <c r="J34502" s="309"/>
    </row>
    <row r="34503">
      <c r="B34503" s="309"/>
      <c r="C34503" s="309"/>
      <c r="I34503" s="309"/>
      <c r="J34503" s="309"/>
    </row>
    <row r="34504">
      <c r="B34504" s="309"/>
      <c r="C34504" s="309"/>
      <c r="I34504" s="309"/>
      <c r="J34504" s="309"/>
    </row>
    <row r="34505">
      <c r="B34505" s="309"/>
      <c r="C34505" s="309"/>
      <c r="I34505" s="309"/>
      <c r="J34505" s="309"/>
    </row>
    <row r="34506">
      <c r="B34506" s="309"/>
      <c r="C34506" s="309"/>
      <c r="I34506" s="309"/>
      <c r="J34506" s="309"/>
    </row>
    <row r="34507">
      <c r="B34507" s="309"/>
      <c r="C34507" s="309"/>
      <c r="I34507" s="309"/>
      <c r="J34507" s="309"/>
    </row>
    <row r="34508">
      <c r="B34508" s="309"/>
      <c r="C34508" s="309"/>
      <c r="I34508" s="309"/>
      <c r="J34508" s="309"/>
    </row>
    <row r="34509">
      <c r="B34509" s="309"/>
      <c r="C34509" s="309"/>
      <c r="I34509" s="309"/>
      <c r="J34509" s="309"/>
    </row>
    <row r="34510">
      <c r="B34510" s="309"/>
      <c r="C34510" s="309"/>
      <c r="I34510" s="309"/>
      <c r="J34510" s="309"/>
    </row>
    <row r="34511">
      <c r="B34511" s="309"/>
      <c r="C34511" s="309"/>
      <c r="I34511" s="309"/>
      <c r="J34511" s="309"/>
    </row>
    <row r="34512">
      <c r="B34512" s="309"/>
      <c r="C34512" s="309"/>
      <c r="I34512" s="309"/>
      <c r="J34512" s="309"/>
    </row>
    <row r="34513">
      <c r="B34513" s="309"/>
      <c r="C34513" s="309"/>
      <c r="I34513" s="309"/>
      <c r="J34513" s="309"/>
    </row>
    <row r="34514">
      <c r="B34514" s="309"/>
      <c r="C34514" s="309"/>
      <c r="I34514" s="309"/>
      <c r="J34514" s="309"/>
    </row>
    <row r="34515">
      <c r="B34515" s="309"/>
      <c r="C34515" s="309"/>
      <c r="I34515" s="309"/>
      <c r="J34515" s="309"/>
    </row>
    <row r="34516">
      <c r="B34516" s="309"/>
      <c r="C34516" s="309"/>
      <c r="I34516" s="309"/>
      <c r="J34516" s="309"/>
    </row>
    <row r="34517">
      <c r="B34517" s="309"/>
      <c r="C34517" s="309"/>
      <c r="I34517" s="309"/>
      <c r="J34517" s="309"/>
    </row>
    <row r="34518">
      <c r="B34518" s="309"/>
      <c r="C34518" s="309"/>
      <c r="I34518" s="309"/>
      <c r="J34518" s="309"/>
    </row>
    <row r="34519">
      <c r="B34519" s="309"/>
      <c r="C34519" s="309"/>
      <c r="I34519" s="309"/>
      <c r="J34519" s="309"/>
    </row>
    <row r="34520">
      <c r="B34520" s="309"/>
      <c r="C34520" s="309"/>
      <c r="I34520" s="309"/>
      <c r="J34520" s="309"/>
    </row>
    <row r="34521">
      <c r="B34521" s="309"/>
      <c r="C34521" s="309"/>
      <c r="I34521" s="309"/>
      <c r="J34521" s="309"/>
    </row>
    <row r="34522">
      <c r="B34522" s="309"/>
      <c r="C34522" s="309"/>
      <c r="I34522" s="309"/>
      <c r="J34522" s="309"/>
    </row>
    <row r="34523">
      <c r="B34523" s="309"/>
      <c r="C34523" s="309"/>
      <c r="I34523" s="309"/>
      <c r="J34523" s="309"/>
    </row>
    <row r="34524">
      <c r="B34524" s="309"/>
      <c r="C34524" s="309"/>
      <c r="I34524" s="309"/>
      <c r="J34524" s="309"/>
    </row>
    <row r="34525">
      <c r="B34525" s="309"/>
      <c r="C34525" s="309"/>
      <c r="I34525" s="309"/>
      <c r="J34525" s="309"/>
    </row>
    <row r="34526">
      <c r="B34526" s="309"/>
      <c r="C34526" s="309"/>
      <c r="I34526" s="309"/>
      <c r="J34526" s="309"/>
    </row>
    <row r="34527">
      <c r="B34527" s="309"/>
      <c r="C34527" s="309"/>
      <c r="I34527" s="309"/>
      <c r="J34527" s="309"/>
    </row>
    <row r="34528">
      <c r="B34528" s="309"/>
      <c r="C34528" s="309"/>
      <c r="I34528" s="309"/>
      <c r="J34528" s="309"/>
    </row>
    <row r="34529">
      <c r="B34529" s="309"/>
      <c r="C34529" s="309"/>
      <c r="I34529" s="309"/>
      <c r="J34529" s="309"/>
    </row>
    <row r="34530">
      <c r="B34530" s="309"/>
      <c r="C34530" s="309"/>
      <c r="I34530" s="309"/>
      <c r="J34530" s="309"/>
    </row>
    <row r="34531">
      <c r="B34531" s="309"/>
      <c r="C34531" s="309"/>
      <c r="I34531" s="309"/>
      <c r="J34531" s="309"/>
    </row>
    <row r="34532">
      <c r="B34532" s="309"/>
      <c r="C34532" s="309"/>
      <c r="I34532" s="309"/>
      <c r="J34532" s="309"/>
    </row>
    <row r="34533">
      <c r="B34533" s="309"/>
      <c r="C34533" s="309"/>
      <c r="I34533" s="309"/>
      <c r="J34533" s="309"/>
    </row>
    <row r="34534">
      <c r="B34534" s="309"/>
      <c r="C34534" s="309"/>
      <c r="I34534" s="309"/>
      <c r="J34534" s="309"/>
    </row>
    <row r="34535">
      <c r="B34535" s="309"/>
      <c r="C34535" s="309"/>
      <c r="I34535" s="309"/>
      <c r="J34535" s="309"/>
    </row>
    <row r="34536">
      <c r="B34536" s="309"/>
      <c r="C34536" s="309"/>
      <c r="I34536" s="309"/>
      <c r="J34536" s="309"/>
    </row>
    <row r="34537">
      <c r="B34537" s="309"/>
      <c r="C34537" s="309"/>
      <c r="I34537" s="309"/>
      <c r="J34537" s="309"/>
    </row>
    <row r="34538">
      <c r="B34538" s="309"/>
      <c r="C34538" s="309"/>
      <c r="I34538" s="309"/>
      <c r="J34538" s="309"/>
    </row>
    <row r="34539">
      <c r="B34539" s="309"/>
      <c r="C34539" s="309"/>
      <c r="I34539" s="309"/>
      <c r="J34539" s="309"/>
    </row>
    <row r="34540">
      <c r="B34540" s="309"/>
      <c r="C34540" s="309"/>
      <c r="I34540" s="309"/>
      <c r="J34540" s="309"/>
    </row>
    <row r="34541">
      <c r="B34541" s="309"/>
      <c r="C34541" s="309"/>
      <c r="I34541" s="309"/>
      <c r="J34541" s="309"/>
    </row>
    <row r="34542">
      <c r="B34542" s="309"/>
      <c r="C34542" s="309"/>
      <c r="I34542" s="309"/>
      <c r="J34542" s="309"/>
    </row>
    <row r="34543">
      <c r="B34543" s="309"/>
      <c r="C34543" s="309"/>
      <c r="I34543" s="309"/>
      <c r="J34543" s="309"/>
    </row>
    <row r="34544">
      <c r="B34544" s="309"/>
      <c r="C34544" s="309"/>
      <c r="I34544" s="309"/>
      <c r="J34544" s="309"/>
    </row>
    <row r="34545">
      <c r="B34545" s="309"/>
      <c r="C34545" s="309"/>
      <c r="I34545" s="309"/>
      <c r="J34545" s="309"/>
    </row>
    <row r="34546">
      <c r="B34546" s="309"/>
      <c r="C34546" s="309"/>
      <c r="I34546" s="309"/>
      <c r="J34546" s="309"/>
    </row>
    <row r="34547">
      <c r="B34547" s="309"/>
      <c r="C34547" s="309"/>
      <c r="I34547" s="309"/>
      <c r="J34547" s="309"/>
    </row>
    <row r="34548">
      <c r="B34548" s="309"/>
      <c r="C34548" s="309"/>
      <c r="I34548" s="309"/>
      <c r="J34548" s="309"/>
    </row>
    <row r="34549">
      <c r="B34549" s="309"/>
      <c r="C34549" s="309"/>
      <c r="I34549" s="309"/>
      <c r="J34549" s="309"/>
    </row>
    <row r="34550">
      <c r="B34550" s="309"/>
      <c r="C34550" s="309"/>
      <c r="I34550" s="309"/>
      <c r="J34550" s="309"/>
    </row>
    <row r="34551">
      <c r="B34551" s="309"/>
      <c r="C34551" s="309"/>
      <c r="I34551" s="309"/>
      <c r="J34551" s="309"/>
    </row>
    <row r="34552">
      <c r="B34552" s="309"/>
      <c r="C34552" s="309"/>
      <c r="I34552" s="309"/>
      <c r="J34552" s="309"/>
    </row>
    <row r="34553">
      <c r="B34553" s="309"/>
      <c r="C34553" s="309"/>
      <c r="I34553" s="309"/>
      <c r="J34553" s="309"/>
    </row>
    <row r="34554">
      <c r="B34554" s="309"/>
      <c r="C34554" s="309"/>
      <c r="I34554" s="309"/>
      <c r="J34554" s="309"/>
    </row>
    <row r="34555">
      <c r="B34555" s="309"/>
      <c r="C34555" s="309"/>
      <c r="I34555" s="309"/>
      <c r="J34555" s="309"/>
    </row>
    <row r="34556">
      <c r="B34556" s="309"/>
      <c r="C34556" s="309"/>
      <c r="I34556" s="309"/>
      <c r="J34556" s="309"/>
    </row>
    <row r="34557">
      <c r="B34557" s="309"/>
      <c r="C34557" s="309"/>
      <c r="I34557" s="309"/>
      <c r="J34557" s="309"/>
    </row>
    <row r="34558">
      <c r="B34558" s="309"/>
      <c r="C34558" s="309"/>
      <c r="I34558" s="309"/>
      <c r="J34558" s="309"/>
    </row>
    <row r="34559">
      <c r="B34559" s="309"/>
      <c r="C34559" s="309"/>
      <c r="I34559" s="309"/>
      <c r="J34559" s="309"/>
    </row>
    <row r="34560">
      <c r="B34560" s="309"/>
      <c r="C34560" s="309"/>
      <c r="I34560" s="309"/>
      <c r="J34560" s="309"/>
    </row>
    <row r="34561">
      <c r="B34561" s="309"/>
      <c r="C34561" s="309"/>
      <c r="I34561" s="309"/>
      <c r="J34561" s="309"/>
    </row>
    <row r="34562">
      <c r="B34562" s="309"/>
      <c r="C34562" s="309"/>
      <c r="I34562" s="309"/>
      <c r="J34562" s="309"/>
    </row>
    <row r="34563">
      <c r="B34563" s="309"/>
      <c r="C34563" s="309"/>
      <c r="I34563" s="309"/>
      <c r="J34563" s="309"/>
    </row>
    <row r="34564">
      <c r="B34564" s="309"/>
      <c r="C34564" s="309"/>
      <c r="I34564" s="309"/>
      <c r="J34564" s="309"/>
    </row>
    <row r="34565">
      <c r="B34565" s="309"/>
      <c r="C34565" s="309"/>
      <c r="I34565" s="309"/>
      <c r="J34565" s="309"/>
    </row>
    <row r="34566">
      <c r="B34566" s="309"/>
      <c r="C34566" s="309"/>
      <c r="I34566" s="309"/>
      <c r="J34566" s="309"/>
    </row>
    <row r="34567">
      <c r="B34567" s="309"/>
      <c r="C34567" s="309"/>
      <c r="I34567" s="309"/>
      <c r="J34567" s="309"/>
    </row>
    <row r="34568">
      <c r="B34568" s="309"/>
      <c r="C34568" s="309"/>
      <c r="I34568" s="309"/>
      <c r="J34568" s="309"/>
    </row>
    <row r="34569">
      <c r="B34569" s="309"/>
      <c r="C34569" s="309"/>
      <c r="I34569" s="309"/>
      <c r="J34569" s="309"/>
    </row>
    <row r="34570">
      <c r="B34570" s="309"/>
      <c r="C34570" s="309"/>
      <c r="I34570" s="309"/>
      <c r="J34570" s="309"/>
    </row>
    <row r="34571">
      <c r="B34571" s="309"/>
      <c r="C34571" s="309"/>
      <c r="I34571" s="309"/>
      <c r="J34571" s="309"/>
    </row>
    <row r="34572">
      <c r="B34572" s="309"/>
      <c r="C34572" s="309"/>
      <c r="I34572" s="309"/>
      <c r="J34572" s="309"/>
    </row>
    <row r="34573">
      <c r="B34573" s="309"/>
      <c r="C34573" s="309"/>
      <c r="I34573" s="309"/>
      <c r="J34573" s="309"/>
    </row>
    <row r="34574">
      <c r="B34574" s="309"/>
      <c r="C34574" s="309"/>
      <c r="I34574" s="309"/>
      <c r="J34574" s="309"/>
    </row>
    <row r="34575">
      <c r="B34575" s="309"/>
      <c r="C34575" s="309"/>
      <c r="I34575" s="309"/>
      <c r="J34575" s="309"/>
    </row>
    <row r="34576">
      <c r="B34576" s="309"/>
      <c r="C34576" s="309"/>
      <c r="I34576" s="309"/>
      <c r="J34576" s="309"/>
    </row>
    <row r="34577">
      <c r="B34577" s="309"/>
      <c r="C34577" s="309"/>
      <c r="I34577" s="309"/>
      <c r="J34577" s="309"/>
    </row>
    <row r="34578">
      <c r="B34578" s="309"/>
      <c r="C34578" s="309"/>
      <c r="I34578" s="309"/>
      <c r="J34578" s="309"/>
    </row>
    <row r="34579">
      <c r="B34579" s="309"/>
      <c r="C34579" s="309"/>
      <c r="I34579" s="309"/>
      <c r="J34579" s="309"/>
    </row>
    <row r="34580">
      <c r="B34580" s="309"/>
      <c r="C34580" s="309"/>
      <c r="I34580" s="309"/>
      <c r="J34580" s="309"/>
    </row>
    <row r="34581">
      <c r="B34581" s="309"/>
      <c r="C34581" s="309"/>
      <c r="I34581" s="309"/>
      <c r="J34581" s="309"/>
    </row>
    <row r="34582">
      <c r="B34582" s="309"/>
      <c r="C34582" s="309"/>
      <c r="I34582" s="309"/>
      <c r="J34582" s="309"/>
    </row>
    <row r="34583">
      <c r="B34583" s="309"/>
      <c r="C34583" s="309"/>
      <c r="I34583" s="309"/>
      <c r="J34583" s="309"/>
    </row>
    <row r="34584">
      <c r="B34584" s="309"/>
      <c r="C34584" s="309"/>
      <c r="I34584" s="309"/>
      <c r="J34584" s="309"/>
    </row>
    <row r="34585">
      <c r="B34585" s="309"/>
      <c r="C34585" s="309"/>
      <c r="I34585" s="309"/>
      <c r="J34585" s="309"/>
    </row>
    <row r="34586">
      <c r="B34586" s="309"/>
      <c r="C34586" s="309"/>
      <c r="I34586" s="309"/>
      <c r="J34586" s="309"/>
    </row>
    <row r="34587">
      <c r="B34587" s="309"/>
      <c r="C34587" s="309"/>
      <c r="I34587" s="309"/>
      <c r="J34587" s="309"/>
    </row>
    <row r="34588">
      <c r="B34588" s="309"/>
      <c r="C34588" s="309"/>
      <c r="I34588" s="309"/>
      <c r="J34588" s="309"/>
    </row>
    <row r="34589">
      <c r="B34589" s="309"/>
      <c r="C34589" s="309"/>
      <c r="I34589" s="309"/>
      <c r="J34589" s="309"/>
    </row>
    <row r="34590">
      <c r="B34590" s="309"/>
      <c r="C34590" s="309"/>
      <c r="I34590" s="309"/>
      <c r="J34590" s="309"/>
    </row>
    <row r="34591">
      <c r="B34591" s="309"/>
      <c r="C34591" s="309"/>
      <c r="I34591" s="309"/>
      <c r="J34591" s="309"/>
    </row>
    <row r="34592">
      <c r="B34592" s="309"/>
      <c r="C34592" s="309"/>
      <c r="I34592" s="309"/>
      <c r="J34592" s="309"/>
    </row>
    <row r="34593">
      <c r="B34593" s="309"/>
      <c r="C34593" s="309"/>
      <c r="I34593" s="309"/>
      <c r="J34593" s="309"/>
    </row>
    <row r="34594">
      <c r="B34594" s="309"/>
      <c r="C34594" s="309"/>
      <c r="I34594" s="309"/>
      <c r="J34594" s="309"/>
    </row>
    <row r="34595">
      <c r="B34595" s="309"/>
      <c r="C34595" s="309"/>
      <c r="I34595" s="309"/>
      <c r="J34595" s="309"/>
    </row>
    <row r="34596">
      <c r="B34596" s="309"/>
      <c r="C34596" s="309"/>
      <c r="I34596" s="309"/>
      <c r="J34596" s="309"/>
    </row>
    <row r="34597">
      <c r="B34597" s="309"/>
      <c r="C34597" s="309"/>
      <c r="I34597" s="309"/>
      <c r="J34597" s="309"/>
    </row>
    <row r="34598">
      <c r="B34598" s="309"/>
      <c r="C34598" s="309"/>
      <c r="I34598" s="309"/>
      <c r="J34598" s="309"/>
    </row>
    <row r="34599">
      <c r="B34599" s="309"/>
      <c r="C34599" s="309"/>
      <c r="I34599" s="309"/>
      <c r="J34599" s="309"/>
    </row>
    <row r="34600">
      <c r="B34600" s="309"/>
      <c r="C34600" s="309"/>
      <c r="I34600" s="309"/>
      <c r="J34600" s="309"/>
    </row>
    <row r="34601">
      <c r="B34601" s="309"/>
      <c r="C34601" s="309"/>
      <c r="I34601" s="309"/>
      <c r="J34601" s="309"/>
    </row>
    <row r="34602">
      <c r="B34602" s="309"/>
      <c r="C34602" s="309"/>
      <c r="I34602" s="309"/>
      <c r="J34602" s="309"/>
    </row>
    <row r="34603">
      <c r="B34603" s="309"/>
      <c r="C34603" s="309"/>
      <c r="I34603" s="309"/>
      <c r="J34603" s="309"/>
    </row>
    <row r="34604">
      <c r="B34604" s="309"/>
      <c r="C34604" s="309"/>
      <c r="I34604" s="309"/>
      <c r="J34604" s="309"/>
    </row>
    <row r="34605">
      <c r="B34605" s="309"/>
      <c r="C34605" s="309"/>
      <c r="I34605" s="309"/>
      <c r="J34605" s="309"/>
    </row>
    <row r="34606">
      <c r="B34606" s="309"/>
      <c r="C34606" s="309"/>
      <c r="I34606" s="309"/>
      <c r="J34606" s="309"/>
    </row>
    <row r="34607">
      <c r="B34607" s="309"/>
      <c r="C34607" s="309"/>
      <c r="I34607" s="309"/>
      <c r="J34607" s="309"/>
    </row>
    <row r="34608">
      <c r="B34608" s="309"/>
      <c r="C34608" s="309"/>
      <c r="I34608" s="309"/>
      <c r="J34608" s="309"/>
    </row>
    <row r="34609">
      <c r="B34609" s="309"/>
      <c r="C34609" s="309"/>
      <c r="I34609" s="309"/>
      <c r="J34609" s="309"/>
    </row>
    <row r="34610">
      <c r="B34610" s="309"/>
      <c r="C34610" s="309"/>
      <c r="I34610" s="309"/>
      <c r="J34610" s="309"/>
    </row>
    <row r="34611">
      <c r="B34611" s="309"/>
      <c r="C34611" s="309"/>
      <c r="I34611" s="309"/>
      <c r="J34611" s="309"/>
    </row>
    <row r="34612">
      <c r="B34612" s="309"/>
      <c r="C34612" s="309"/>
      <c r="I34612" s="309"/>
      <c r="J34612" s="309"/>
    </row>
    <row r="34613">
      <c r="B34613" s="309"/>
      <c r="C34613" s="309"/>
      <c r="I34613" s="309"/>
      <c r="J34613" s="309"/>
    </row>
    <row r="34614">
      <c r="B34614" s="309"/>
      <c r="C34614" s="309"/>
      <c r="I34614" s="309"/>
      <c r="J34614" s="309"/>
    </row>
    <row r="34615">
      <c r="B34615" s="309"/>
      <c r="C34615" s="309"/>
      <c r="I34615" s="309"/>
      <c r="J34615" s="309"/>
    </row>
    <row r="34616">
      <c r="B34616" s="309"/>
      <c r="C34616" s="309"/>
      <c r="I34616" s="309"/>
      <c r="J34616" s="309"/>
    </row>
    <row r="34617">
      <c r="B34617" s="309"/>
      <c r="C34617" s="309"/>
      <c r="I34617" s="309"/>
      <c r="J34617" s="309"/>
    </row>
    <row r="34618">
      <c r="B34618" s="309"/>
      <c r="C34618" s="309"/>
      <c r="I34618" s="309"/>
      <c r="J34618" s="309"/>
    </row>
    <row r="34619">
      <c r="B34619" s="309"/>
      <c r="C34619" s="309"/>
      <c r="I34619" s="309"/>
      <c r="J34619" s="309"/>
    </row>
    <row r="34620">
      <c r="B34620" s="309"/>
      <c r="C34620" s="309"/>
      <c r="I34620" s="309"/>
      <c r="J34620" s="309"/>
    </row>
    <row r="34621">
      <c r="B34621" s="309"/>
      <c r="C34621" s="309"/>
      <c r="I34621" s="309"/>
      <c r="J34621" s="309"/>
    </row>
    <row r="34622">
      <c r="B34622" s="309"/>
      <c r="C34622" s="309"/>
      <c r="I34622" s="309"/>
      <c r="J34622" s="309"/>
    </row>
    <row r="34623">
      <c r="B34623" s="309"/>
      <c r="C34623" s="309"/>
      <c r="I34623" s="309"/>
      <c r="J34623" s="309"/>
    </row>
    <row r="34624">
      <c r="B34624" s="309"/>
      <c r="C34624" s="309"/>
      <c r="I34624" s="309"/>
      <c r="J34624" s="309"/>
    </row>
    <row r="34625">
      <c r="B34625" s="309"/>
      <c r="C34625" s="309"/>
      <c r="I34625" s="309"/>
      <c r="J34625" s="309"/>
    </row>
    <row r="34626">
      <c r="B34626" s="309"/>
      <c r="C34626" s="309"/>
      <c r="I34626" s="309"/>
      <c r="J34626" s="309"/>
    </row>
    <row r="34627">
      <c r="B34627" s="309"/>
      <c r="C34627" s="309"/>
      <c r="I34627" s="309"/>
      <c r="J34627" s="309"/>
    </row>
    <row r="34628">
      <c r="B34628" s="309"/>
      <c r="C34628" s="309"/>
      <c r="I34628" s="309"/>
      <c r="J34628" s="309"/>
    </row>
    <row r="34629">
      <c r="B34629" s="309"/>
      <c r="C34629" s="309"/>
      <c r="I34629" s="309"/>
      <c r="J34629" s="309"/>
    </row>
    <row r="34630">
      <c r="B34630" s="309"/>
      <c r="C34630" s="309"/>
      <c r="I34630" s="309"/>
      <c r="J34630" s="309"/>
    </row>
    <row r="34631">
      <c r="B34631" s="309"/>
      <c r="C34631" s="309"/>
      <c r="I34631" s="309"/>
      <c r="J34631" s="309"/>
    </row>
    <row r="34632">
      <c r="B34632" s="309"/>
      <c r="C34632" s="309"/>
      <c r="I34632" s="309"/>
      <c r="J34632" s="309"/>
    </row>
    <row r="34633">
      <c r="B34633" s="309"/>
      <c r="C34633" s="309"/>
      <c r="I34633" s="309"/>
      <c r="J34633" s="309"/>
    </row>
    <row r="34634">
      <c r="B34634" s="309"/>
      <c r="C34634" s="309"/>
      <c r="I34634" s="309"/>
      <c r="J34634" s="309"/>
    </row>
    <row r="34635">
      <c r="B34635" s="309"/>
      <c r="C34635" s="309"/>
      <c r="I34635" s="309"/>
      <c r="J34635" s="309"/>
    </row>
    <row r="34636">
      <c r="B34636" s="309"/>
      <c r="C34636" s="309"/>
      <c r="I34636" s="309"/>
      <c r="J34636" s="309"/>
    </row>
    <row r="34637">
      <c r="B34637" s="309"/>
      <c r="C34637" s="309"/>
      <c r="I34637" s="309"/>
      <c r="J34637" s="309"/>
    </row>
    <row r="34638">
      <c r="B34638" s="309"/>
      <c r="C34638" s="309"/>
      <c r="I34638" s="309"/>
      <c r="J34638" s="309"/>
    </row>
    <row r="34639">
      <c r="B34639" s="309"/>
      <c r="C34639" s="309"/>
      <c r="I34639" s="309"/>
      <c r="J34639" s="309"/>
    </row>
    <row r="34640">
      <c r="B34640" s="309"/>
      <c r="C34640" s="309"/>
      <c r="I34640" s="309"/>
      <c r="J34640" s="309"/>
    </row>
    <row r="34641">
      <c r="B34641" s="309"/>
      <c r="C34641" s="309"/>
      <c r="I34641" s="309"/>
      <c r="J34641" s="309"/>
    </row>
    <row r="34642">
      <c r="B34642" s="309"/>
      <c r="C34642" s="309"/>
      <c r="I34642" s="309"/>
      <c r="J34642" s="309"/>
    </row>
    <row r="34643">
      <c r="B34643" s="309"/>
      <c r="C34643" s="309"/>
      <c r="I34643" s="309"/>
      <c r="J34643" s="309"/>
    </row>
    <row r="34644">
      <c r="B34644" s="309"/>
      <c r="C34644" s="309"/>
      <c r="I34644" s="309"/>
      <c r="J34644" s="309"/>
    </row>
    <row r="34645">
      <c r="B34645" s="309"/>
      <c r="C34645" s="309"/>
      <c r="I34645" s="309"/>
      <c r="J34645" s="309"/>
    </row>
    <row r="34646">
      <c r="B34646" s="309"/>
      <c r="C34646" s="309"/>
      <c r="I34646" s="309"/>
      <c r="J34646" s="309"/>
    </row>
    <row r="34647">
      <c r="B34647" s="309"/>
      <c r="C34647" s="309"/>
      <c r="I34647" s="309"/>
      <c r="J34647" s="309"/>
    </row>
    <row r="34648">
      <c r="B34648" s="309"/>
      <c r="C34648" s="309"/>
      <c r="I34648" s="309"/>
      <c r="J34648" s="309"/>
    </row>
    <row r="34649">
      <c r="B34649" s="309"/>
      <c r="C34649" s="309"/>
      <c r="I34649" s="309"/>
      <c r="J34649" s="309"/>
    </row>
    <row r="34650">
      <c r="B34650" s="309"/>
      <c r="C34650" s="309"/>
      <c r="I34650" s="309"/>
      <c r="J34650" s="309"/>
    </row>
    <row r="34651">
      <c r="B34651" s="309"/>
      <c r="C34651" s="309"/>
      <c r="I34651" s="309"/>
      <c r="J34651" s="309"/>
    </row>
    <row r="34652">
      <c r="B34652" s="309"/>
      <c r="C34652" s="309"/>
      <c r="I34652" s="309"/>
      <c r="J34652" s="309"/>
    </row>
    <row r="34653">
      <c r="B34653" s="309"/>
      <c r="C34653" s="309"/>
      <c r="I34653" s="309"/>
      <c r="J34653" s="309"/>
    </row>
    <row r="34654">
      <c r="B34654" s="309"/>
      <c r="C34654" s="309"/>
      <c r="I34654" s="309"/>
      <c r="J34654" s="309"/>
    </row>
    <row r="34655">
      <c r="B34655" s="309"/>
      <c r="C34655" s="309"/>
      <c r="I34655" s="309"/>
      <c r="J34655" s="309"/>
    </row>
    <row r="34656">
      <c r="B34656" s="309"/>
      <c r="C34656" s="309"/>
      <c r="I34656" s="309"/>
      <c r="J34656" s="309"/>
    </row>
    <row r="34657">
      <c r="B34657" s="309"/>
      <c r="C34657" s="309"/>
      <c r="I34657" s="309"/>
      <c r="J34657" s="309"/>
    </row>
    <row r="34658">
      <c r="B34658" s="309"/>
      <c r="C34658" s="309"/>
      <c r="I34658" s="309"/>
      <c r="J34658" s="309"/>
    </row>
    <row r="34659">
      <c r="B34659" s="309"/>
      <c r="C34659" s="309"/>
      <c r="I34659" s="309"/>
      <c r="J34659" s="309"/>
    </row>
    <row r="34660">
      <c r="B34660" s="309"/>
      <c r="C34660" s="309"/>
      <c r="I34660" s="309"/>
      <c r="J34660" s="309"/>
    </row>
    <row r="34661">
      <c r="B34661" s="309"/>
      <c r="C34661" s="309"/>
      <c r="I34661" s="309"/>
      <c r="J34661" s="309"/>
    </row>
    <row r="34662">
      <c r="B34662" s="309"/>
      <c r="C34662" s="309"/>
      <c r="I34662" s="309"/>
      <c r="J34662" s="309"/>
    </row>
    <row r="34663">
      <c r="B34663" s="309"/>
      <c r="C34663" s="309"/>
      <c r="I34663" s="309"/>
      <c r="J34663" s="309"/>
    </row>
    <row r="34664">
      <c r="B34664" s="309"/>
      <c r="C34664" s="309"/>
      <c r="I34664" s="309"/>
      <c r="J34664" s="309"/>
    </row>
    <row r="34665">
      <c r="B34665" s="309"/>
      <c r="C34665" s="309"/>
      <c r="I34665" s="309"/>
      <c r="J34665" s="309"/>
    </row>
    <row r="34666">
      <c r="B34666" s="309"/>
      <c r="C34666" s="309"/>
      <c r="I34666" s="309"/>
      <c r="J34666" s="309"/>
    </row>
    <row r="34667">
      <c r="B34667" s="309"/>
      <c r="C34667" s="309"/>
      <c r="I34667" s="309"/>
      <c r="J34667" s="309"/>
    </row>
    <row r="34668">
      <c r="B34668" s="309"/>
      <c r="C34668" s="309"/>
      <c r="I34668" s="309"/>
      <c r="J34668" s="309"/>
    </row>
    <row r="34669">
      <c r="B34669" s="309"/>
      <c r="C34669" s="309"/>
      <c r="I34669" s="309"/>
      <c r="J34669" s="309"/>
    </row>
    <row r="34670">
      <c r="B34670" s="309"/>
      <c r="C34670" s="309"/>
      <c r="I34670" s="309"/>
      <c r="J34670" s="309"/>
    </row>
    <row r="34671">
      <c r="B34671" s="309"/>
      <c r="C34671" s="309"/>
      <c r="I34671" s="309"/>
      <c r="J34671" s="309"/>
    </row>
    <row r="34672">
      <c r="B34672" s="309"/>
      <c r="C34672" s="309"/>
      <c r="I34672" s="309"/>
      <c r="J34672" s="309"/>
    </row>
    <row r="34673">
      <c r="B34673" s="309"/>
      <c r="C34673" s="309"/>
      <c r="I34673" s="309"/>
      <c r="J34673" s="309"/>
    </row>
    <row r="34674">
      <c r="B34674" s="309"/>
      <c r="C34674" s="309"/>
      <c r="I34674" s="309"/>
      <c r="J34674" s="309"/>
    </row>
    <row r="34675">
      <c r="B34675" s="309"/>
      <c r="C34675" s="309"/>
      <c r="I34675" s="309"/>
      <c r="J34675" s="309"/>
    </row>
    <row r="34676">
      <c r="B34676" s="309"/>
      <c r="C34676" s="309"/>
      <c r="I34676" s="309"/>
      <c r="J34676" s="309"/>
    </row>
    <row r="34677">
      <c r="B34677" s="309"/>
      <c r="C34677" s="309"/>
      <c r="I34677" s="309"/>
      <c r="J34677" s="309"/>
    </row>
    <row r="34678">
      <c r="B34678" s="309"/>
      <c r="C34678" s="309"/>
      <c r="I34678" s="309"/>
      <c r="J34678" s="309"/>
    </row>
    <row r="34679">
      <c r="B34679" s="309"/>
      <c r="C34679" s="309"/>
      <c r="I34679" s="309"/>
      <c r="J34679" s="309"/>
    </row>
    <row r="34680">
      <c r="B34680" s="309"/>
      <c r="C34680" s="309"/>
      <c r="I34680" s="309"/>
      <c r="J34680" s="309"/>
    </row>
    <row r="34681">
      <c r="B34681" s="309"/>
      <c r="C34681" s="309"/>
      <c r="I34681" s="309"/>
      <c r="J34681" s="309"/>
    </row>
    <row r="34682">
      <c r="B34682" s="309"/>
      <c r="C34682" s="309"/>
      <c r="I34682" s="309"/>
      <c r="J34682" s="309"/>
    </row>
    <row r="34683">
      <c r="B34683" s="309"/>
      <c r="C34683" s="309"/>
      <c r="I34683" s="309"/>
      <c r="J34683" s="309"/>
    </row>
    <row r="34684">
      <c r="B34684" s="309"/>
      <c r="C34684" s="309"/>
      <c r="I34684" s="309"/>
      <c r="J34684" s="309"/>
    </row>
    <row r="34685">
      <c r="B34685" s="309"/>
      <c r="C34685" s="309"/>
      <c r="I34685" s="309"/>
      <c r="J34685" s="309"/>
    </row>
    <row r="34686">
      <c r="B34686" s="309"/>
      <c r="C34686" s="309"/>
      <c r="I34686" s="309"/>
      <c r="J34686" s="309"/>
    </row>
    <row r="34687">
      <c r="B34687" s="309"/>
      <c r="C34687" s="309"/>
      <c r="I34687" s="309"/>
      <c r="J34687" s="309"/>
    </row>
    <row r="34688">
      <c r="B34688" s="309"/>
      <c r="C34688" s="309"/>
      <c r="I34688" s="309"/>
      <c r="J34688" s="309"/>
    </row>
    <row r="34689">
      <c r="B34689" s="309"/>
      <c r="C34689" s="309"/>
      <c r="I34689" s="309"/>
      <c r="J34689" s="309"/>
    </row>
    <row r="34690">
      <c r="B34690" s="309"/>
      <c r="C34690" s="309"/>
      <c r="I34690" s="309"/>
      <c r="J34690" s="309"/>
    </row>
    <row r="34691">
      <c r="B34691" s="309"/>
      <c r="C34691" s="309"/>
      <c r="I34691" s="309"/>
      <c r="J34691" s="309"/>
    </row>
    <row r="34692">
      <c r="B34692" s="309"/>
      <c r="C34692" s="309"/>
      <c r="I34692" s="309"/>
      <c r="J34692" s="309"/>
    </row>
    <row r="34693">
      <c r="B34693" s="309"/>
      <c r="C34693" s="309"/>
      <c r="I34693" s="309"/>
      <c r="J34693" s="309"/>
    </row>
    <row r="34694">
      <c r="B34694" s="309"/>
      <c r="C34694" s="309"/>
      <c r="I34694" s="309"/>
      <c r="J34694" s="309"/>
    </row>
    <row r="34695">
      <c r="B34695" s="309"/>
      <c r="C34695" s="309"/>
      <c r="I34695" s="309"/>
      <c r="J34695" s="309"/>
    </row>
    <row r="34696">
      <c r="B34696" s="309"/>
      <c r="C34696" s="309"/>
      <c r="I34696" s="309"/>
      <c r="J34696" s="309"/>
    </row>
    <row r="34697">
      <c r="B34697" s="309"/>
      <c r="C34697" s="309"/>
      <c r="I34697" s="309"/>
      <c r="J34697" s="309"/>
    </row>
    <row r="34698">
      <c r="B34698" s="309"/>
      <c r="C34698" s="309"/>
      <c r="I34698" s="309"/>
      <c r="J34698" s="309"/>
    </row>
    <row r="34699">
      <c r="B34699" s="309"/>
      <c r="C34699" s="309"/>
      <c r="I34699" s="309"/>
      <c r="J34699" s="309"/>
    </row>
    <row r="34700">
      <c r="B34700" s="309"/>
      <c r="C34700" s="309"/>
      <c r="I34700" s="309"/>
      <c r="J34700" s="309"/>
    </row>
    <row r="34701">
      <c r="B34701" s="309"/>
      <c r="C34701" s="309"/>
      <c r="I34701" s="309"/>
      <c r="J34701" s="309"/>
    </row>
    <row r="34702">
      <c r="B34702" s="309"/>
      <c r="C34702" s="309"/>
      <c r="I34702" s="309"/>
      <c r="J34702" s="309"/>
    </row>
    <row r="34703">
      <c r="B34703" s="309"/>
      <c r="C34703" s="309"/>
      <c r="I34703" s="309"/>
      <c r="J34703" s="309"/>
    </row>
    <row r="34704">
      <c r="B34704" s="309"/>
      <c r="C34704" s="309"/>
      <c r="I34704" s="309"/>
      <c r="J34704" s="309"/>
    </row>
    <row r="34705">
      <c r="B34705" s="309"/>
      <c r="C34705" s="309"/>
      <c r="I34705" s="309"/>
      <c r="J34705" s="309"/>
    </row>
    <row r="34706">
      <c r="B34706" s="309"/>
      <c r="C34706" s="309"/>
      <c r="I34706" s="309"/>
      <c r="J34706" s="309"/>
    </row>
    <row r="34707">
      <c r="B34707" s="309"/>
      <c r="C34707" s="309"/>
      <c r="I34707" s="309"/>
      <c r="J34707" s="309"/>
    </row>
    <row r="34708">
      <c r="B34708" s="309"/>
      <c r="C34708" s="309"/>
      <c r="I34708" s="309"/>
      <c r="J34708" s="309"/>
    </row>
    <row r="34709">
      <c r="B34709" s="309"/>
      <c r="C34709" s="309"/>
      <c r="I34709" s="309"/>
      <c r="J34709" s="309"/>
    </row>
    <row r="34710">
      <c r="B34710" s="309"/>
      <c r="C34710" s="309"/>
      <c r="I34710" s="309"/>
      <c r="J34710" s="309"/>
    </row>
    <row r="34711">
      <c r="B34711" s="309"/>
      <c r="C34711" s="309"/>
      <c r="I34711" s="309"/>
      <c r="J34711" s="309"/>
    </row>
    <row r="34712">
      <c r="B34712" s="309"/>
      <c r="C34712" s="309"/>
      <c r="I34712" s="309"/>
      <c r="J34712" s="309"/>
    </row>
    <row r="34713">
      <c r="B34713" s="309"/>
      <c r="C34713" s="309"/>
      <c r="I34713" s="309"/>
      <c r="J34713" s="309"/>
    </row>
    <row r="34714">
      <c r="B34714" s="309"/>
      <c r="C34714" s="309"/>
      <c r="I34714" s="309"/>
      <c r="J34714" s="309"/>
    </row>
    <row r="34715">
      <c r="B34715" s="309"/>
      <c r="C34715" s="309"/>
      <c r="I34715" s="309"/>
      <c r="J34715" s="309"/>
    </row>
    <row r="34716">
      <c r="B34716" s="309"/>
      <c r="C34716" s="309"/>
      <c r="I34716" s="309"/>
      <c r="J34716" s="309"/>
    </row>
    <row r="34717">
      <c r="B34717" s="309"/>
      <c r="C34717" s="309"/>
      <c r="I34717" s="309"/>
      <c r="J34717" s="309"/>
    </row>
    <row r="34718">
      <c r="B34718" s="309"/>
      <c r="C34718" s="309"/>
      <c r="I34718" s="309"/>
      <c r="J34718" s="309"/>
    </row>
    <row r="34719">
      <c r="B34719" s="309"/>
      <c r="C34719" s="309"/>
      <c r="I34719" s="309"/>
      <c r="J34719" s="309"/>
    </row>
    <row r="34720">
      <c r="B34720" s="309"/>
      <c r="C34720" s="309"/>
      <c r="I34720" s="309"/>
      <c r="J34720" s="309"/>
    </row>
    <row r="34721">
      <c r="B34721" s="309"/>
      <c r="C34721" s="309"/>
      <c r="I34721" s="309"/>
      <c r="J34721" s="309"/>
    </row>
    <row r="34722">
      <c r="B34722" s="309"/>
      <c r="C34722" s="309"/>
      <c r="I34722" s="309"/>
      <c r="J34722" s="309"/>
    </row>
    <row r="34723">
      <c r="B34723" s="309"/>
      <c r="C34723" s="309"/>
      <c r="I34723" s="309"/>
      <c r="J34723" s="309"/>
    </row>
    <row r="34724">
      <c r="B34724" s="309"/>
      <c r="C34724" s="309"/>
      <c r="I34724" s="309"/>
      <c r="J34724" s="309"/>
    </row>
    <row r="34725">
      <c r="B34725" s="309"/>
      <c r="C34725" s="309"/>
      <c r="I34725" s="309"/>
      <c r="J34725" s="309"/>
    </row>
    <row r="34726">
      <c r="B34726" s="309"/>
      <c r="C34726" s="309"/>
      <c r="I34726" s="309"/>
      <c r="J34726" s="309"/>
    </row>
    <row r="34727">
      <c r="B34727" s="309"/>
      <c r="C34727" s="309"/>
      <c r="I34727" s="309"/>
      <c r="J34727" s="309"/>
    </row>
    <row r="34728">
      <c r="B34728" s="309"/>
      <c r="C34728" s="309"/>
      <c r="I34728" s="309"/>
      <c r="J34728" s="309"/>
    </row>
    <row r="34729">
      <c r="B34729" s="309"/>
      <c r="C34729" s="309"/>
      <c r="I34729" s="309"/>
      <c r="J34729" s="309"/>
    </row>
    <row r="34730">
      <c r="B34730" s="309"/>
      <c r="C34730" s="309"/>
      <c r="I34730" s="309"/>
      <c r="J34730" s="309"/>
    </row>
    <row r="34731">
      <c r="B34731" s="309"/>
      <c r="C34731" s="309"/>
      <c r="I34731" s="309"/>
      <c r="J34731" s="309"/>
    </row>
    <row r="34732">
      <c r="B34732" s="309"/>
      <c r="C34732" s="309"/>
      <c r="I34732" s="309"/>
      <c r="J34732" s="309"/>
    </row>
    <row r="34733">
      <c r="B34733" s="309"/>
      <c r="C34733" s="309"/>
      <c r="I34733" s="309"/>
      <c r="J34733" s="309"/>
    </row>
    <row r="34734">
      <c r="B34734" s="309"/>
      <c r="C34734" s="309"/>
      <c r="I34734" s="309"/>
      <c r="J34734" s="309"/>
    </row>
    <row r="34735">
      <c r="B34735" s="309"/>
      <c r="C34735" s="309"/>
      <c r="I34735" s="309"/>
      <c r="J34735" s="309"/>
    </row>
    <row r="34736">
      <c r="B34736" s="309"/>
      <c r="C34736" s="309"/>
      <c r="I34736" s="309"/>
      <c r="J34736" s="309"/>
    </row>
    <row r="34737">
      <c r="B34737" s="309"/>
      <c r="C34737" s="309"/>
      <c r="I34737" s="309"/>
      <c r="J34737" s="309"/>
    </row>
    <row r="34738">
      <c r="B34738" s="309"/>
      <c r="C34738" s="309"/>
      <c r="I34738" s="309"/>
      <c r="J34738" s="309"/>
    </row>
    <row r="34739">
      <c r="B34739" s="309"/>
      <c r="C34739" s="309"/>
      <c r="I34739" s="309"/>
      <c r="J34739" s="309"/>
    </row>
    <row r="34740">
      <c r="B34740" s="309"/>
      <c r="C34740" s="309"/>
      <c r="I34740" s="309"/>
      <c r="J34740" s="309"/>
    </row>
    <row r="34741">
      <c r="B34741" s="309"/>
      <c r="C34741" s="309"/>
      <c r="I34741" s="309"/>
      <c r="J34741" s="309"/>
    </row>
    <row r="34742">
      <c r="B34742" s="309"/>
      <c r="C34742" s="309"/>
      <c r="I34742" s="309"/>
      <c r="J34742" s="309"/>
    </row>
    <row r="34743">
      <c r="B34743" s="309"/>
      <c r="C34743" s="309"/>
      <c r="I34743" s="309"/>
      <c r="J34743" s="309"/>
    </row>
    <row r="34744">
      <c r="B34744" s="309"/>
      <c r="C34744" s="309"/>
      <c r="I34744" s="309"/>
      <c r="J34744" s="309"/>
    </row>
    <row r="34745">
      <c r="B34745" s="309"/>
      <c r="C34745" s="309"/>
      <c r="I34745" s="309"/>
      <c r="J34745" s="309"/>
    </row>
    <row r="34746">
      <c r="B34746" s="309"/>
      <c r="C34746" s="309"/>
      <c r="I34746" s="309"/>
      <c r="J34746" s="309"/>
    </row>
    <row r="34747">
      <c r="B34747" s="309"/>
      <c r="C34747" s="309"/>
      <c r="I34747" s="309"/>
      <c r="J34747" s="309"/>
    </row>
    <row r="34748">
      <c r="B34748" s="309"/>
      <c r="C34748" s="309"/>
      <c r="I34748" s="309"/>
      <c r="J34748" s="309"/>
    </row>
    <row r="34749">
      <c r="B34749" s="309"/>
      <c r="C34749" s="309"/>
      <c r="I34749" s="309"/>
      <c r="J34749" s="309"/>
    </row>
    <row r="34750">
      <c r="B34750" s="309"/>
      <c r="C34750" s="309"/>
      <c r="I34750" s="309"/>
      <c r="J34750" s="309"/>
    </row>
    <row r="34751">
      <c r="B34751" s="309"/>
      <c r="C34751" s="309"/>
      <c r="I34751" s="309"/>
      <c r="J34751" s="309"/>
    </row>
    <row r="34752">
      <c r="B34752" s="309"/>
      <c r="C34752" s="309"/>
      <c r="I34752" s="309"/>
      <c r="J34752" s="309"/>
    </row>
    <row r="34753">
      <c r="B34753" s="309"/>
      <c r="C34753" s="309"/>
      <c r="I34753" s="309"/>
      <c r="J34753" s="309"/>
    </row>
    <row r="34754">
      <c r="B34754" s="309"/>
      <c r="C34754" s="309"/>
      <c r="I34754" s="309"/>
      <c r="J34754" s="309"/>
    </row>
    <row r="34755">
      <c r="B34755" s="309"/>
      <c r="C34755" s="309"/>
      <c r="I34755" s="309"/>
      <c r="J34755" s="309"/>
    </row>
    <row r="34756">
      <c r="B34756" s="309"/>
      <c r="C34756" s="309"/>
      <c r="I34756" s="309"/>
      <c r="J34756" s="309"/>
    </row>
    <row r="34757">
      <c r="B34757" s="309"/>
      <c r="C34757" s="309"/>
      <c r="I34757" s="309"/>
      <c r="J34757" s="309"/>
    </row>
    <row r="34758">
      <c r="B34758" s="309"/>
      <c r="C34758" s="309"/>
      <c r="I34758" s="309"/>
      <c r="J34758" s="309"/>
    </row>
    <row r="34759">
      <c r="B34759" s="309"/>
      <c r="C34759" s="309"/>
      <c r="I34759" s="309"/>
      <c r="J34759" s="309"/>
    </row>
    <row r="34760">
      <c r="B34760" s="309"/>
      <c r="C34760" s="309"/>
      <c r="I34760" s="309"/>
      <c r="J34760" s="309"/>
    </row>
    <row r="34761">
      <c r="B34761" s="309"/>
      <c r="C34761" s="309"/>
      <c r="I34761" s="309"/>
      <c r="J34761" s="309"/>
    </row>
    <row r="34762">
      <c r="B34762" s="309"/>
      <c r="C34762" s="309"/>
      <c r="I34762" s="309"/>
      <c r="J34762" s="309"/>
    </row>
    <row r="34763">
      <c r="B34763" s="309"/>
      <c r="C34763" s="309"/>
      <c r="I34763" s="309"/>
      <c r="J34763" s="309"/>
    </row>
    <row r="34764">
      <c r="B34764" s="309"/>
      <c r="C34764" s="309"/>
      <c r="I34764" s="309"/>
      <c r="J34764" s="309"/>
    </row>
    <row r="34765">
      <c r="B34765" s="309"/>
      <c r="C34765" s="309"/>
      <c r="I34765" s="309"/>
      <c r="J34765" s="309"/>
    </row>
    <row r="34766">
      <c r="B34766" s="309"/>
      <c r="C34766" s="309"/>
      <c r="I34766" s="309"/>
      <c r="J34766" s="309"/>
    </row>
    <row r="34767">
      <c r="B34767" s="309"/>
      <c r="C34767" s="309"/>
      <c r="I34767" s="309"/>
      <c r="J34767" s="309"/>
    </row>
    <row r="34768">
      <c r="B34768" s="309"/>
      <c r="C34768" s="309"/>
      <c r="I34768" s="309"/>
      <c r="J34768" s="309"/>
    </row>
    <row r="34769">
      <c r="B34769" s="309"/>
      <c r="C34769" s="309"/>
      <c r="I34769" s="309"/>
      <c r="J34769" s="309"/>
    </row>
    <row r="34770">
      <c r="B34770" s="309"/>
      <c r="C34770" s="309"/>
      <c r="I34770" s="309"/>
      <c r="J34770" s="309"/>
    </row>
    <row r="34771">
      <c r="B34771" s="309"/>
      <c r="C34771" s="309"/>
      <c r="I34771" s="309"/>
      <c r="J34771" s="309"/>
    </row>
    <row r="34772">
      <c r="B34772" s="309"/>
      <c r="C34772" s="309"/>
      <c r="I34772" s="309"/>
      <c r="J34772" s="309"/>
    </row>
    <row r="34773">
      <c r="B34773" s="309"/>
      <c r="C34773" s="309"/>
      <c r="I34773" s="309"/>
      <c r="J34773" s="309"/>
    </row>
    <row r="34774">
      <c r="B34774" s="309"/>
      <c r="C34774" s="309"/>
      <c r="I34774" s="309"/>
      <c r="J34774" s="309"/>
    </row>
    <row r="34775">
      <c r="B34775" s="309"/>
      <c r="C34775" s="309"/>
      <c r="I34775" s="309"/>
      <c r="J34775" s="309"/>
    </row>
    <row r="34776">
      <c r="B34776" s="309"/>
      <c r="C34776" s="309"/>
      <c r="I34776" s="309"/>
      <c r="J34776" s="309"/>
    </row>
    <row r="34777">
      <c r="B34777" s="309"/>
      <c r="C34777" s="309"/>
      <c r="I34777" s="309"/>
      <c r="J34777" s="309"/>
    </row>
    <row r="34778">
      <c r="B34778" s="309"/>
      <c r="C34778" s="309"/>
      <c r="I34778" s="309"/>
      <c r="J34778" s="309"/>
    </row>
    <row r="34779">
      <c r="B34779" s="309"/>
      <c r="C34779" s="309"/>
      <c r="I34779" s="309"/>
      <c r="J34779" s="309"/>
    </row>
    <row r="34780">
      <c r="B34780" s="309"/>
      <c r="C34780" s="309"/>
      <c r="I34780" s="309"/>
      <c r="J34780" s="309"/>
    </row>
    <row r="34781">
      <c r="B34781" s="309"/>
      <c r="C34781" s="309"/>
      <c r="I34781" s="309"/>
      <c r="J34781" s="309"/>
    </row>
    <row r="34782">
      <c r="B34782" s="309"/>
      <c r="C34782" s="309"/>
      <c r="I34782" s="309"/>
      <c r="J34782" s="309"/>
    </row>
    <row r="34783">
      <c r="B34783" s="309"/>
      <c r="C34783" s="309"/>
      <c r="I34783" s="309"/>
      <c r="J34783" s="309"/>
    </row>
    <row r="34784">
      <c r="B34784" s="309"/>
      <c r="C34784" s="309"/>
      <c r="I34784" s="309"/>
      <c r="J34784" s="309"/>
    </row>
    <row r="34785">
      <c r="B34785" s="309"/>
      <c r="C34785" s="309"/>
      <c r="I34785" s="309"/>
      <c r="J34785" s="309"/>
    </row>
    <row r="34786">
      <c r="B34786" s="309"/>
      <c r="C34786" s="309"/>
      <c r="I34786" s="309"/>
      <c r="J34786" s="309"/>
    </row>
    <row r="34787">
      <c r="B34787" s="309"/>
      <c r="C34787" s="309"/>
      <c r="I34787" s="309"/>
      <c r="J34787" s="309"/>
    </row>
    <row r="34788">
      <c r="B34788" s="309"/>
      <c r="C34788" s="309"/>
      <c r="I34788" s="309"/>
      <c r="J34788" s="309"/>
    </row>
    <row r="34789">
      <c r="B34789" s="309"/>
      <c r="C34789" s="309"/>
      <c r="I34789" s="309"/>
      <c r="J34789" s="309"/>
    </row>
    <row r="34790">
      <c r="B34790" s="309"/>
      <c r="C34790" s="309"/>
      <c r="I34790" s="309"/>
      <c r="J34790" s="309"/>
    </row>
    <row r="34791">
      <c r="B34791" s="309"/>
      <c r="C34791" s="309"/>
      <c r="I34791" s="309"/>
      <c r="J34791" s="309"/>
    </row>
    <row r="34792">
      <c r="B34792" s="309"/>
      <c r="C34792" s="309"/>
      <c r="I34792" s="309"/>
      <c r="J34792" s="309"/>
    </row>
    <row r="34793">
      <c r="B34793" s="309"/>
      <c r="C34793" s="309"/>
      <c r="I34793" s="309"/>
      <c r="J34793" s="309"/>
    </row>
    <row r="34794">
      <c r="B34794" s="309"/>
      <c r="C34794" s="309"/>
      <c r="I34794" s="309"/>
      <c r="J34794" s="309"/>
    </row>
    <row r="34795">
      <c r="B34795" s="309"/>
      <c r="C34795" s="309"/>
      <c r="I34795" s="309"/>
      <c r="J34795" s="309"/>
    </row>
    <row r="34796">
      <c r="B34796" s="309"/>
      <c r="C34796" s="309"/>
      <c r="I34796" s="309"/>
      <c r="J34796" s="309"/>
    </row>
    <row r="34797">
      <c r="B34797" s="309"/>
      <c r="C34797" s="309"/>
      <c r="I34797" s="309"/>
      <c r="J34797" s="309"/>
    </row>
    <row r="34798">
      <c r="B34798" s="309"/>
      <c r="C34798" s="309"/>
      <c r="I34798" s="309"/>
      <c r="J34798" s="309"/>
    </row>
    <row r="34799">
      <c r="B34799" s="309"/>
      <c r="C34799" s="309"/>
      <c r="I34799" s="309"/>
      <c r="J34799" s="309"/>
    </row>
    <row r="34800">
      <c r="B34800" s="309"/>
      <c r="C34800" s="309"/>
      <c r="I34800" s="309"/>
      <c r="J34800" s="309"/>
    </row>
    <row r="34801">
      <c r="B34801" s="309"/>
      <c r="C34801" s="309"/>
      <c r="I34801" s="309"/>
      <c r="J34801" s="309"/>
    </row>
    <row r="34802">
      <c r="B34802" s="309"/>
      <c r="C34802" s="309"/>
      <c r="I34802" s="309"/>
      <c r="J34802" s="309"/>
    </row>
    <row r="34803">
      <c r="B34803" s="309"/>
      <c r="C34803" s="309"/>
      <c r="I34803" s="309"/>
      <c r="J34803" s="309"/>
    </row>
    <row r="34804">
      <c r="B34804" s="309"/>
      <c r="C34804" s="309"/>
      <c r="I34804" s="309"/>
      <c r="J34804" s="309"/>
    </row>
    <row r="34805">
      <c r="B34805" s="309"/>
      <c r="C34805" s="309"/>
      <c r="I34805" s="309"/>
      <c r="J34805" s="309"/>
    </row>
    <row r="34806">
      <c r="B34806" s="309"/>
      <c r="C34806" s="309"/>
      <c r="I34806" s="309"/>
      <c r="J34806" s="309"/>
    </row>
    <row r="34807">
      <c r="B34807" s="309"/>
      <c r="C34807" s="309"/>
      <c r="I34807" s="309"/>
      <c r="J34807" s="309"/>
    </row>
    <row r="34808">
      <c r="B34808" s="309"/>
      <c r="C34808" s="309"/>
      <c r="I34808" s="309"/>
      <c r="J34808" s="309"/>
    </row>
    <row r="34809">
      <c r="B34809" s="309"/>
      <c r="C34809" s="309"/>
      <c r="I34809" s="309"/>
      <c r="J34809" s="309"/>
    </row>
    <row r="34810">
      <c r="B34810" s="309"/>
      <c r="C34810" s="309"/>
      <c r="I34810" s="309"/>
      <c r="J34810" s="309"/>
    </row>
    <row r="34811">
      <c r="B34811" s="309"/>
      <c r="C34811" s="309"/>
      <c r="I34811" s="309"/>
      <c r="J34811" s="309"/>
    </row>
    <row r="34812">
      <c r="B34812" s="309"/>
      <c r="C34812" s="309"/>
      <c r="I34812" s="309"/>
      <c r="J34812" s="309"/>
    </row>
    <row r="34813">
      <c r="B34813" s="309"/>
      <c r="C34813" s="309"/>
      <c r="I34813" s="309"/>
      <c r="J34813" s="309"/>
    </row>
    <row r="34814">
      <c r="B34814" s="309"/>
      <c r="C34814" s="309"/>
      <c r="I34814" s="309"/>
      <c r="J34814" s="309"/>
    </row>
    <row r="34815">
      <c r="B34815" s="309"/>
      <c r="C34815" s="309"/>
      <c r="I34815" s="309"/>
      <c r="J34815" s="309"/>
    </row>
    <row r="34816">
      <c r="B34816" s="309"/>
      <c r="C34816" s="309"/>
      <c r="I34816" s="309"/>
      <c r="J34816" s="309"/>
    </row>
    <row r="34817">
      <c r="B34817" s="309"/>
      <c r="C34817" s="309"/>
      <c r="I34817" s="309"/>
      <c r="J34817" s="309"/>
    </row>
    <row r="34818">
      <c r="B34818" s="309"/>
      <c r="C34818" s="309"/>
      <c r="I34818" s="309"/>
      <c r="J34818" s="309"/>
    </row>
    <row r="34819">
      <c r="B34819" s="309"/>
      <c r="C34819" s="309"/>
      <c r="I34819" s="309"/>
      <c r="J34819" s="309"/>
    </row>
    <row r="34820">
      <c r="B34820" s="309"/>
      <c r="C34820" s="309"/>
      <c r="I34820" s="309"/>
      <c r="J34820" s="309"/>
    </row>
    <row r="34821">
      <c r="B34821" s="309"/>
      <c r="C34821" s="309"/>
      <c r="I34821" s="309"/>
      <c r="J34821" s="309"/>
    </row>
    <row r="34822">
      <c r="B34822" s="309"/>
      <c r="C34822" s="309"/>
      <c r="I34822" s="309"/>
      <c r="J34822" s="309"/>
    </row>
    <row r="34823">
      <c r="B34823" s="309"/>
      <c r="C34823" s="309"/>
      <c r="I34823" s="309"/>
      <c r="J34823" s="309"/>
    </row>
    <row r="34824">
      <c r="B34824" s="309"/>
      <c r="C34824" s="309"/>
      <c r="I34824" s="309"/>
      <c r="J34824" s="309"/>
    </row>
    <row r="34825">
      <c r="B34825" s="309"/>
      <c r="C34825" s="309"/>
      <c r="I34825" s="309"/>
      <c r="J34825" s="309"/>
    </row>
    <row r="34826">
      <c r="B34826" s="309"/>
      <c r="C34826" s="309"/>
      <c r="I34826" s="309"/>
      <c r="J34826" s="309"/>
    </row>
    <row r="34827">
      <c r="B34827" s="309"/>
      <c r="C34827" s="309"/>
      <c r="I34827" s="309"/>
      <c r="J34827" s="309"/>
    </row>
    <row r="34828">
      <c r="B34828" s="309"/>
      <c r="C34828" s="309"/>
      <c r="I34828" s="309"/>
      <c r="J34828" s="309"/>
    </row>
    <row r="34829">
      <c r="B34829" s="309"/>
      <c r="C34829" s="309"/>
      <c r="I34829" s="309"/>
      <c r="J34829" s="309"/>
    </row>
    <row r="34830">
      <c r="B34830" s="309"/>
      <c r="C34830" s="309"/>
      <c r="I34830" s="309"/>
      <c r="J34830" s="309"/>
    </row>
    <row r="34831">
      <c r="B34831" s="309"/>
      <c r="C34831" s="309"/>
      <c r="I34831" s="309"/>
      <c r="J34831" s="309"/>
    </row>
    <row r="34832">
      <c r="B34832" s="309"/>
      <c r="C34832" s="309"/>
      <c r="I34832" s="309"/>
      <c r="J34832" s="309"/>
    </row>
    <row r="34833">
      <c r="B34833" s="309"/>
      <c r="C34833" s="309"/>
      <c r="I34833" s="309"/>
      <c r="J34833" s="309"/>
    </row>
    <row r="34834">
      <c r="B34834" s="309"/>
      <c r="C34834" s="309"/>
      <c r="I34834" s="309"/>
      <c r="J34834" s="309"/>
    </row>
    <row r="34835">
      <c r="B34835" s="309"/>
      <c r="C34835" s="309"/>
      <c r="I34835" s="309"/>
      <c r="J34835" s="309"/>
    </row>
    <row r="34836">
      <c r="B34836" s="309"/>
      <c r="C34836" s="309"/>
      <c r="I34836" s="309"/>
      <c r="J34836" s="309"/>
    </row>
    <row r="34837">
      <c r="B34837" s="309"/>
      <c r="C34837" s="309"/>
      <c r="I34837" s="309"/>
      <c r="J34837" s="309"/>
    </row>
    <row r="34838">
      <c r="B34838" s="309"/>
      <c r="C34838" s="309"/>
      <c r="I34838" s="309"/>
      <c r="J34838" s="309"/>
    </row>
    <row r="34839">
      <c r="B34839" s="309"/>
      <c r="C34839" s="309"/>
      <c r="I34839" s="309"/>
      <c r="J34839" s="309"/>
    </row>
    <row r="34840">
      <c r="B34840" s="309"/>
      <c r="C34840" s="309"/>
      <c r="I34840" s="309"/>
      <c r="J34840" s="309"/>
    </row>
    <row r="34841">
      <c r="B34841" s="309"/>
      <c r="C34841" s="309"/>
      <c r="I34841" s="309"/>
      <c r="J34841" s="309"/>
    </row>
    <row r="34842">
      <c r="B34842" s="309"/>
      <c r="C34842" s="309"/>
      <c r="I34842" s="309"/>
      <c r="J34842" s="309"/>
    </row>
    <row r="34843">
      <c r="B34843" s="309"/>
      <c r="C34843" s="309"/>
      <c r="I34843" s="309"/>
      <c r="J34843" s="309"/>
    </row>
    <row r="34844">
      <c r="B34844" s="309"/>
      <c r="C34844" s="309"/>
      <c r="I34844" s="309"/>
      <c r="J34844" s="309"/>
    </row>
    <row r="34845">
      <c r="B34845" s="309"/>
      <c r="C34845" s="309"/>
      <c r="I34845" s="309"/>
      <c r="J34845" s="309"/>
    </row>
    <row r="34846">
      <c r="B34846" s="309"/>
      <c r="C34846" s="309"/>
      <c r="I34846" s="309"/>
      <c r="J34846" s="309"/>
    </row>
    <row r="34847">
      <c r="B34847" s="309"/>
      <c r="C34847" s="309"/>
      <c r="I34847" s="309"/>
      <c r="J34847" s="309"/>
    </row>
    <row r="34848">
      <c r="B34848" s="309"/>
      <c r="C34848" s="309"/>
      <c r="I34848" s="309"/>
      <c r="J34848" s="309"/>
    </row>
    <row r="34849">
      <c r="B34849" s="309"/>
      <c r="C34849" s="309"/>
      <c r="I34849" s="309"/>
      <c r="J34849" s="309"/>
    </row>
    <row r="34850">
      <c r="B34850" s="309"/>
      <c r="C34850" s="309"/>
      <c r="I34850" s="309"/>
      <c r="J34850" s="309"/>
    </row>
    <row r="34851">
      <c r="B34851" s="309"/>
      <c r="C34851" s="309"/>
      <c r="I34851" s="309"/>
      <c r="J34851" s="309"/>
    </row>
    <row r="34852">
      <c r="B34852" s="309"/>
      <c r="C34852" s="309"/>
      <c r="I34852" s="309"/>
      <c r="J34852" s="309"/>
    </row>
    <row r="34853">
      <c r="B34853" s="309"/>
      <c r="C34853" s="309"/>
      <c r="I34853" s="309"/>
      <c r="J34853" s="309"/>
    </row>
    <row r="34854">
      <c r="B34854" s="309"/>
      <c r="C34854" s="309"/>
      <c r="I34854" s="309"/>
      <c r="J34854" s="309"/>
    </row>
    <row r="34855">
      <c r="B34855" s="309"/>
      <c r="C34855" s="309"/>
      <c r="I34855" s="309"/>
      <c r="J34855" s="309"/>
    </row>
    <row r="34856">
      <c r="B34856" s="309"/>
      <c r="C34856" s="309"/>
      <c r="I34856" s="309"/>
      <c r="J34856" s="309"/>
    </row>
    <row r="34857">
      <c r="B34857" s="309"/>
      <c r="C34857" s="309"/>
      <c r="I34857" s="309"/>
      <c r="J34857" s="309"/>
    </row>
    <row r="34858">
      <c r="B34858" s="309"/>
      <c r="C34858" s="309"/>
      <c r="I34858" s="309"/>
      <c r="J34858" s="309"/>
    </row>
    <row r="34859">
      <c r="B34859" s="309"/>
      <c r="C34859" s="309"/>
      <c r="I34859" s="309"/>
      <c r="J34859" s="309"/>
    </row>
    <row r="34860">
      <c r="B34860" s="309"/>
      <c r="C34860" s="309"/>
      <c r="I34860" s="309"/>
      <c r="J34860" s="309"/>
    </row>
    <row r="34861">
      <c r="B34861" s="309"/>
      <c r="C34861" s="309"/>
      <c r="I34861" s="309"/>
      <c r="J34861" s="309"/>
    </row>
    <row r="34862">
      <c r="B34862" s="309"/>
      <c r="C34862" s="309"/>
      <c r="I34862" s="309"/>
      <c r="J34862" s="309"/>
    </row>
    <row r="34863">
      <c r="B34863" s="309"/>
      <c r="C34863" s="309"/>
      <c r="I34863" s="309"/>
      <c r="J34863" s="309"/>
    </row>
    <row r="34864">
      <c r="B34864" s="309"/>
      <c r="C34864" s="309"/>
      <c r="I34864" s="309"/>
      <c r="J34864" s="309"/>
    </row>
    <row r="34865">
      <c r="B34865" s="309"/>
      <c r="C34865" s="309"/>
      <c r="I34865" s="309"/>
      <c r="J34865" s="309"/>
    </row>
    <row r="34866">
      <c r="B34866" s="309"/>
      <c r="C34866" s="309"/>
      <c r="I34866" s="309"/>
      <c r="J34866" s="309"/>
    </row>
    <row r="34867">
      <c r="B34867" s="309"/>
      <c r="C34867" s="309"/>
      <c r="I34867" s="309"/>
      <c r="J34867" s="309"/>
    </row>
    <row r="34868">
      <c r="B34868" s="309"/>
      <c r="C34868" s="309"/>
      <c r="I34868" s="309"/>
      <c r="J34868" s="309"/>
    </row>
    <row r="34869">
      <c r="B34869" s="309"/>
      <c r="C34869" s="309"/>
      <c r="I34869" s="309"/>
      <c r="J34869" s="309"/>
    </row>
    <row r="34870">
      <c r="B34870" s="309"/>
      <c r="C34870" s="309"/>
      <c r="I34870" s="309"/>
      <c r="J34870" s="309"/>
    </row>
    <row r="34871">
      <c r="B34871" s="309"/>
      <c r="C34871" s="309"/>
      <c r="I34871" s="309"/>
      <c r="J34871" s="309"/>
    </row>
    <row r="34872">
      <c r="B34872" s="309"/>
      <c r="C34872" s="309"/>
      <c r="I34872" s="309"/>
      <c r="J34872" s="309"/>
    </row>
    <row r="34873">
      <c r="B34873" s="309"/>
      <c r="C34873" s="309"/>
      <c r="I34873" s="309"/>
      <c r="J34873" s="309"/>
    </row>
    <row r="34874">
      <c r="B34874" s="309"/>
      <c r="C34874" s="309"/>
      <c r="I34874" s="309"/>
      <c r="J34874" s="309"/>
    </row>
    <row r="34875">
      <c r="B34875" s="309"/>
      <c r="C34875" s="309"/>
      <c r="I34875" s="309"/>
      <c r="J34875" s="309"/>
    </row>
    <row r="34876">
      <c r="B34876" s="309"/>
      <c r="C34876" s="309"/>
      <c r="I34876" s="309"/>
      <c r="J34876" s="309"/>
    </row>
    <row r="34877">
      <c r="B34877" s="309"/>
      <c r="C34877" s="309"/>
      <c r="I34877" s="309"/>
      <c r="J34877" s="309"/>
    </row>
    <row r="34878">
      <c r="B34878" s="309"/>
      <c r="C34878" s="309"/>
      <c r="I34878" s="309"/>
      <c r="J34878" s="309"/>
    </row>
    <row r="34879">
      <c r="B34879" s="309"/>
      <c r="C34879" s="309"/>
      <c r="I34879" s="309"/>
      <c r="J34879" s="309"/>
    </row>
    <row r="34880">
      <c r="B34880" s="309"/>
      <c r="C34880" s="309"/>
      <c r="I34880" s="309"/>
      <c r="J34880" s="309"/>
    </row>
    <row r="34881">
      <c r="B34881" s="309"/>
      <c r="C34881" s="309"/>
      <c r="I34881" s="309"/>
      <c r="J34881" s="309"/>
    </row>
    <row r="34882">
      <c r="B34882" s="309"/>
      <c r="C34882" s="309"/>
      <c r="I34882" s="309"/>
      <c r="J34882" s="309"/>
    </row>
    <row r="34883">
      <c r="B34883" s="309"/>
      <c r="C34883" s="309"/>
      <c r="I34883" s="309"/>
      <c r="J34883" s="309"/>
    </row>
    <row r="34884">
      <c r="B34884" s="309"/>
      <c r="C34884" s="309"/>
      <c r="I34884" s="309"/>
      <c r="J34884" s="309"/>
    </row>
    <row r="34885">
      <c r="B34885" s="309"/>
      <c r="C34885" s="309"/>
      <c r="I34885" s="309"/>
      <c r="J34885" s="309"/>
    </row>
    <row r="34886">
      <c r="B34886" s="309"/>
      <c r="C34886" s="309"/>
      <c r="I34886" s="309"/>
      <c r="J34886" s="309"/>
    </row>
    <row r="34887">
      <c r="B34887" s="309"/>
      <c r="C34887" s="309"/>
      <c r="I34887" s="309"/>
      <c r="J34887" s="309"/>
    </row>
    <row r="34888">
      <c r="B34888" s="309"/>
      <c r="C34888" s="309"/>
      <c r="I34888" s="309"/>
      <c r="J34888" s="309"/>
    </row>
    <row r="34889">
      <c r="B34889" s="309"/>
      <c r="C34889" s="309"/>
      <c r="I34889" s="309"/>
      <c r="J34889" s="309"/>
    </row>
    <row r="34890">
      <c r="B34890" s="309"/>
      <c r="C34890" s="309"/>
      <c r="I34890" s="309"/>
      <c r="J34890" s="309"/>
    </row>
    <row r="34891">
      <c r="B34891" s="309"/>
      <c r="C34891" s="309"/>
      <c r="I34891" s="309"/>
      <c r="J34891" s="309"/>
    </row>
    <row r="34892">
      <c r="B34892" s="309"/>
      <c r="C34892" s="309"/>
      <c r="I34892" s="309"/>
      <c r="J34892" s="309"/>
    </row>
    <row r="34893">
      <c r="B34893" s="309"/>
      <c r="C34893" s="309"/>
      <c r="I34893" s="309"/>
      <c r="J34893" s="309"/>
    </row>
    <row r="34894">
      <c r="B34894" s="309"/>
      <c r="C34894" s="309"/>
      <c r="I34894" s="309"/>
      <c r="J34894" s="309"/>
    </row>
    <row r="34895">
      <c r="B34895" s="309"/>
      <c r="C34895" s="309"/>
      <c r="I34895" s="309"/>
      <c r="J34895" s="309"/>
    </row>
    <row r="34896">
      <c r="B34896" s="309"/>
      <c r="C34896" s="309"/>
      <c r="I34896" s="309"/>
      <c r="J34896" s="309"/>
    </row>
    <row r="34897">
      <c r="B34897" s="309"/>
      <c r="C34897" s="309"/>
      <c r="I34897" s="309"/>
      <c r="J34897" s="309"/>
    </row>
    <row r="34898">
      <c r="B34898" s="309"/>
      <c r="C34898" s="309"/>
      <c r="I34898" s="309"/>
      <c r="J34898" s="309"/>
    </row>
    <row r="34899">
      <c r="B34899" s="309"/>
      <c r="C34899" s="309"/>
      <c r="I34899" s="309"/>
      <c r="J34899" s="309"/>
    </row>
    <row r="34900">
      <c r="B34900" s="309"/>
      <c r="C34900" s="309"/>
      <c r="I34900" s="309"/>
      <c r="J34900" s="309"/>
    </row>
    <row r="34901">
      <c r="B34901" s="309"/>
      <c r="C34901" s="309"/>
      <c r="I34901" s="309"/>
      <c r="J34901" s="309"/>
    </row>
    <row r="34902">
      <c r="B34902" s="309"/>
      <c r="C34902" s="309"/>
      <c r="I34902" s="309"/>
      <c r="J34902" s="309"/>
    </row>
    <row r="34903">
      <c r="B34903" s="309"/>
      <c r="C34903" s="309"/>
      <c r="I34903" s="309"/>
      <c r="J34903" s="309"/>
    </row>
    <row r="34904">
      <c r="B34904" s="309"/>
      <c r="C34904" s="309"/>
      <c r="I34904" s="309"/>
      <c r="J34904" s="309"/>
    </row>
    <row r="34905">
      <c r="B34905" s="309"/>
      <c r="C34905" s="309"/>
      <c r="I34905" s="309"/>
      <c r="J34905" s="309"/>
    </row>
    <row r="34906">
      <c r="B34906" s="309"/>
      <c r="C34906" s="309"/>
      <c r="I34906" s="309"/>
      <c r="J34906" s="309"/>
    </row>
    <row r="34907">
      <c r="B34907" s="309"/>
      <c r="C34907" s="309"/>
      <c r="I34907" s="309"/>
      <c r="J34907" s="309"/>
    </row>
    <row r="34908">
      <c r="B34908" s="309"/>
      <c r="C34908" s="309"/>
      <c r="I34908" s="309"/>
      <c r="J34908" s="309"/>
    </row>
    <row r="34909">
      <c r="B34909" s="309"/>
      <c r="C34909" s="309"/>
      <c r="I34909" s="309"/>
      <c r="J34909" s="309"/>
    </row>
    <row r="34910">
      <c r="B34910" s="309"/>
      <c r="C34910" s="309"/>
      <c r="I34910" s="309"/>
      <c r="J34910" s="309"/>
    </row>
    <row r="34911">
      <c r="B34911" s="309"/>
      <c r="C34911" s="309"/>
      <c r="I34911" s="309"/>
      <c r="J34911" s="309"/>
    </row>
    <row r="34912">
      <c r="B34912" s="309"/>
      <c r="C34912" s="309"/>
      <c r="I34912" s="309"/>
      <c r="J34912" s="309"/>
    </row>
    <row r="34913">
      <c r="B34913" s="309"/>
      <c r="C34913" s="309"/>
      <c r="I34913" s="309"/>
      <c r="J34913" s="309"/>
    </row>
    <row r="34914">
      <c r="B34914" s="309"/>
      <c r="C34914" s="309"/>
      <c r="I34914" s="309"/>
      <c r="J34914" s="309"/>
    </row>
    <row r="34915">
      <c r="B34915" s="309"/>
      <c r="C34915" s="309"/>
      <c r="I34915" s="309"/>
      <c r="J34915" s="309"/>
    </row>
    <row r="34916">
      <c r="B34916" s="309"/>
      <c r="C34916" s="309"/>
      <c r="I34916" s="309"/>
      <c r="J34916" s="309"/>
    </row>
    <row r="34917">
      <c r="B34917" s="309"/>
      <c r="C34917" s="309"/>
      <c r="I34917" s="309"/>
      <c r="J34917" s="309"/>
    </row>
    <row r="34918">
      <c r="B34918" s="309"/>
      <c r="C34918" s="309"/>
      <c r="I34918" s="309"/>
      <c r="J34918" s="309"/>
    </row>
    <row r="34919">
      <c r="B34919" s="309"/>
      <c r="C34919" s="309"/>
      <c r="I34919" s="309"/>
      <c r="J34919" s="309"/>
    </row>
    <row r="34920">
      <c r="B34920" s="309"/>
      <c r="C34920" s="309"/>
      <c r="I34920" s="309"/>
      <c r="J34920" s="309"/>
    </row>
    <row r="34921">
      <c r="B34921" s="309"/>
      <c r="C34921" s="309"/>
      <c r="I34921" s="309"/>
      <c r="J34921" s="309"/>
    </row>
    <row r="34922">
      <c r="B34922" s="309"/>
      <c r="C34922" s="309"/>
      <c r="I34922" s="309"/>
      <c r="J34922" s="309"/>
    </row>
    <row r="34923">
      <c r="B34923" s="309"/>
      <c r="C34923" s="309"/>
      <c r="I34923" s="309"/>
      <c r="J34923" s="309"/>
    </row>
    <row r="34924">
      <c r="B34924" s="309"/>
      <c r="C34924" s="309"/>
      <c r="I34924" s="309"/>
      <c r="J34924" s="309"/>
    </row>
    <row r="34925">
      <c r="B34925" s="309"/>
      <c r="C34925" s="309"/>
      <c r="I34925" s="309"/>
      <c r="J34925" s="309"/>
    </row>
    <row r="34926">
      <c r="B34926" s="309"/>
      <c r="C34926" s="309"/>
      <c r="I34926" s="309"/>
      <c r="J34926" s="309"/>
    </row>
    <row r="34927">
      <c r="B34927" s="309"/>
      <c r="C34927" s="309"/>
      <c r="I34927" s="309"/>
      <c r="J34927" s="309"/>
    </row>
    <row r="34928">
      <c r="B34928" s="309"/>
      <c r="C34928" s="309"/>
      <c r="I34928" s="309"/>
      <c r="J34928" s="309"/>
    </row>
    <row r="34929">
      <c r="B34929" s="309"/>
      <c r="C34929" s="309"/>
      <c r="I34929" s="309"/>
      <c r="J34929" s="309"/>
    </row>
    <row r="34930">
      <c r="B34930" s="309"/>
      <c r="C34930" s="309"/>
      <c r="I34930" s="309"/>
      <c r="J34930" s="309"/>
    </row>
    <row r="34931">
      <c r="B34931" s="309"/>
      <c r="C34931" s="309"/>
      <c r="I34931" s="309"/>
      <c r="J34931" s="309"/>
    </row>
    <row r="34932">
      <c r="B34932" s="309"/>
      <c r="C34932" s="309"/>
      <c r="I34932" s="309"/>
      <c r="J34932" s="309"/>
    </row>
    <row r="34933">
      <c r="B34933" s="309"/>
      <c r="C34933" s="309"/>
      <c r="I34933" s="309"/>
      <c r="J34933" s="309"/>
    </row>
    <row r="34934">
      <c r="B34934" s="309"/>
      <c r="C34934" s="309"/>
      <c r="I34934" s="309"/>
      <c r="J34934" s="309"/>
    </row>
    <row r="34935">
      <c r="B34935" s="309"/>
      <c r="C34935" s="309"/>
      <c r="I34935" s="309"/>
      <c r="J34935" s="309"/>
    </row>
    <row r="34936">
      <c r="B34936" s="309"/>
      <c r="C34936" s="309"/>
      <c r="I34936" s="309"/>
      <c r="J34936" s="309"/>
    </row>
    <row r="34937">
      <c r="B34937" s="309"/>
      <c r="C34937" s="309"/>
      <c r="I34937" s="309"/>
      <c r="J34937" s="309"/>
    </row>
    <row r="34938">
      <c r="B34938" s="309"/>
      <c r="C34938" s="309"/>
      <c r="I34938" s="309"/>
      <c r="J34938" s="309"/>
    </row>
    <row r="34939">
      <c r="B34939" s="309"/>
      <c r="C34939" s="309"/>
      <c r="I34939" s="309"/>
      <c r="J34939" s="309"/>
    </row>
    <row r="34940">
      <c r="B34940" s="309"/>
      <c r="C34940" s="309"/>
      <c r="I34940" s="309"/>
      <c r="J34940" s="309"/>
    </row>
    <row r="34941">
      <c r="B34941" s="309"/>
      <c r="C34941" s="309"/>
      <c r="I34941" s="309"/>
      <c r="J34941" s="309"/>
    </row>
    <row r="34942">
      <c r="B34942" s="309"/>
      <c r="C34942" s="309"/>
      <c r="I34942" s="309"/>
      <c r="J34942" s="309"/>
    </row>
    <row r="34943">
      <c r="B34943" s="309"/>
      <c r="C34943" s="309"/>
      <c r="I34943" s="309"/>
      <c r="J34943" s="309"/>
    </row>
    <row r="34944">
      <c r="B34944" s="309"/>
      <c r="C34944" s="309"/>
      <c r="I34944" s="309"/>
      <c r="J34944" s="309"/>
    </row>
    <row r="34945">
      <c r="B34945" s="309"/>
      <c r="C34945" s="309"/>
      <c r="I34945" s="309"/>
      <c r="J34945" s="309"/>
    </row>
    <row r="34946">
      <c r="B34946" s="309"/>
      <c r="C34946" s="309"/>
      <c r="I34946" s="309"/>
      <c r="J34946" s="309"/>
    </row>
    <row r="34947">
      <c r="B34947" s="309"/>
      <c r="C34947" s="309"/>
      <c r="I34947" s="309"/>
      <c r="J34947" s="309"/>
    </row>
    <row r="34948">
      <c r="B34948" s="309"/>
      <c r="C34948" s="309"/>
      <c r="I34948" s="309"/>
      <c r="J34948" s="309"/>
    </row>
    <row r="34949">
      <c r="B34949" s="309"/>
      <c r="C34949" s="309"/>
      <c r="I34949" s="309"/>
      <c r="J34949" s="309"/>
    </row>
    <row r="34950">
      <c r="B34950" s="309"/>
      <c r="C34950" s="309"/>
      <c r="I34950" s="309"/>
      <c r="J34950" s="309"/>
    </row>
    <row r="34951">
      <c r="B34951" s="309"/>
      <c r="C34951" s="309"/>
      <c r="I34951" s="309"/>
      <c r="J34951" s="309"/>
    </row>
    <row r="34952">
      <c r="B34952" s="309"/>
      <c r="C34952" s="309"/>
      <c r="I34952" s="309"/>
      <c r="J34952" s="309"/>
    </row>
    <row r="34953">
      <c r="B34953" s="309"/>
      <c r="C34953" s="309"/>
      <c r="I34953" s="309"/>
      <c r="J34953" s="309"/>
    </row>
    <row r="34954">
      <c r="B34954" s="309"/>
      <c r="C34954" s="309"/>
      <c r="I34954" s="309"/>
      <c r="J34954" s="309"/>
    </row>
    <row r="34955">
      <c r="B34955" s="309"/>
      <c r="C34955" s="309"/>
      <c r="I34955" s="309"/>
      <c r="J34955" s="309"/>
    </row>
    <row r="34956">
      <c r="B34956" s="309"/>
      <c r="C34956" s="309"/>
      <c r="I34956" s="309"/>
      <c r="J34956" s="309"/>
    </row>
    <row r="34957">
      <c r="B34957" s="309"/>
      <c r="C34957" s="309"/>
      <c r="I34957" s="309"/>
      <c r="J34957" s="309"/>
    </row>
    <row r="34958">
      <c r="B34958" s="309"/>
      <c r="C34958" s="309"/>
      <c r="I34958" s="309"/>
      <c r="J34958" s="309"/>
    </row>
    <row r="34959">
      <c r="B34959" s="309"/>
      <c r="C34959" s="309"/>
      <c r="I34959" s="309"/>
      <c r="J34959" s="309"/>
    </row>
    <row r="34960">
      <c r="B34960" s="309"/>
      <c r="C34960" s="309"/>
      <c r="I34960" s="309"/>
      <c r="J34960" s="309"/>
    </row>
    <row r="34961">
      <c r="B34961" s="309"/>
      <c r="C34961" s="309"/>
      <c r="I34961" s="309"/>
      <c r="J34961" s="309"/>
    </row>
    <row r="34962">
      <c r="B34962" s="309"/>
      <c r="C34962" s="309"/>
      <c r="I34962" s="309"/>
      <c r="J34962" s="309"/>
    </row>
    <row r="34963">
      <c r="B34963" s="309"/>
      <c r="C34963" s="309"/>
      <c r="I34963" s="309"/>
      <c r="J34963" s="309"/>
    </row>
    <row r="34964">
      <c r="B34964" s="309"/>
      <c r="C34964" s="309"/>
      <c r="I34964" s="309"/>
      <c r="J34964" s="309"/>
    </row>
    <row r="34965">
      <c r="B34965" s="309"/>
      <c r="C34965" s="309"/>
      <c r="I34965" s="309"/>
      <c r="J34965" s="309"/>
    </row>
    <row r="34966">
      <c r="B34966" s="309"/>
      <c r="C34966" s="309"/>
      <c r="I34966" s="309"/>
      <c r="J34966" s="309"/>
    </row>
    <row r="34967">
      <c r="B34967" s="309"/>
      <c r="C34967" s="309"/>
      <c r="I34967" s="309"/>
      <c r="J34967" s="309"/>
    </row>
    <row r="34968">
      <c r="B34968" s="309"/>
      <c r="C34968" s="309"/>
      <c r="I34968" s="309"/>
      <c r="J34968" s="309"/>
    </row>
    <row r="34969">
      <c r="B34969" s="309"/>
      <c r="C34969" s="309"/>
      <c r="I34969" s="309"/>
      <c r="J34969" s="309"/>
    </row>
    <row r="34970">
      <c r="B34970" s="309"/>
      <c r="C34970" s="309"/>
      <c r="I34970" s="309"/>
      <c r="J34970" s="309"/>
    </row>
    <row r="34971">
      <c r="B34971" s="309"/>
      <c r="C34971" s="309"/>
      <c r="I34971" s="309"/>
      <c r="J34971" s="309"/>
    </row>
    <row r="34972">
      <c r="B34972" s="309"/>
      <c r="C34972" s="309"/>
      <c r="I34972" s="309"/>
      <c r="J34972" s="309"/>
    </row>
    <row r="34973">
      <c r="B34973" s="309"/>
      <c r="C34973" s="309"/>
      <c r="I34973" s="309"/>
      <c r="J34973" s="309"/>
    </row>
    <row r="34974">
      <c r="B34974" s="309"/>
      <c r="C34974" s="309"/>
      <c r="I34974" s="309"/>
      <c r="J34974" s="309"/>
    </row>
    <row r="34975">
      <c r="B34975" s="309"/>
      <c r="C34975" s="309"/>
      <c r="I34975" s="309"/>
      <c r="J34975" s="309"/>
    </row>
    <row r="34976">
      <c r="B34976" s="309"/>
      <c r="C34976" s="309"/>
      <c r="I34976" s="309"/>
      <c r="J34976" s="309"/>
    </row>
    <row r="34977">
      <c r="B34977" s="309"/>
      <c r="C34977" s="309"/>
      <c r="I34977" s="309"/>
      <c r="J34977" s="309"/>
    </row>
    <row r="34978">
      <c r="B34978" s="309"/>
      <c r="C34978" s="309"/>
      <c r="I34978" s="309"/>
      <c r="J34978" s="309"/>
    </row>
    <row r="34979">
      <c r="B34979" s="309"/>
      <c r="C34979" s="309"/>
      <c r="I34979" s="309"/>
      <c r="J34979" s="309"/>
    </row>
    <row r="34980">
      <c r="B34980" s="309"/>
      <c r="C34980" s="309"/>
      <c r="I34980" s="309"/>
      <c r="J34980" s="309"/>
    </row>
    <row r="34981">
      <c r="B34981" s="309"/>
      <c r="C34981" s="309"/>
      <c r="I34981" s="309"/>
      <c r="J34981" s="309"/>
    </row>
    <row r="34982">
      <c r="B34982" s="309"/>
      <c r="C34982" s="309"/>
      <c r="I34982" s="309"/>
      <c r="J34982" s="309"/>
    </row>
    <row r="34983">
      <c r="B34983" s="309"/>
      <c r="C34983" s="309"/>
      <c r="I34983" s="309"/>
      <c r="J34983" s="309"/>
    </row>
    <row r="34984">
      <c r="B34984" s="309"/>
      <c r="C34984" s="309"/>
      <c r="I34984" s="309"/>
      <c r="J34984" s="309"/>
    </row>
    <row r="34985">
      <c r="B34985" s="309"/>
      <c r="C34985" s="309"/>
      <c r="I34985" s="309"/>
      <c r="J34985" s="309"/>
    </row>
    <row r="34986">
      <c r="B34986" s="309"/>
      <c r="C34986" s="309"/>
      <c r="I34986" s="309"/>
      <c r="J34986" s="309"/>
    </row>
    <row r="34987">
      <c r="B34987" s="309"/>
      <c r="C34987" s="309"/>
      <c r="I34987" s="309"/>
      <c r="J34987" s="309"/>
    </row>
    <row r="34988">
      <c r="B34988" s="309"/>
      <c r="C34988" s="309"/>
      <c r="I34988" s="309"/>
      <c r="J34988" s="309"/>
    </row>
    <row r="34989">
      <c r="B34989" s="309"/>
      <c r="C34989" s="309"/>
      <c r="I34989" s="309"/>
      <c r="J34989" s="309"/>
    </row>
    <row r="34990">
      <c r="B34990" s="309"/>
      <c r="C34990" s="309"/>
      <c r="I34990" s="309"/>
      <c r="J34990" s="309"/>
    </row>
    <row r="34991">
      <c r="B34991" s="309"/>
      <c r="C34991" s="309"/>
      <c r="I34991" s="309"/>
      <c r="J34991" s="309"/>
    </row>
    <row r="34992">
      <c r="B34992" s="309"/>
      <c r="C34992" s="309"/>
      <c r="I34992" s="309"/>
      <c r="J34992" s="309"/>
    </row>
    <row r="34993">
      <c r="B34993" s="309"/>
      <c r="C34993" s="309"/>
      <c r="I34993" s="309"/>
      <c r="J34993" s="309"/>
    </row>
    <row r="34994">
      <c r="B34994" s="309"/>
      <c r="C34994" s="309"/>
      <c r="I34994" s="309"/>
      <c r="J34994" s="309"/>
    </row>
    <row r="34995">
      <c r="B34995" s="309"/>
      <c r="C34995" s="309"/>
      <c r="I34995" s="309"/>
      <c r="J34995" s="309"/>
    </row>
    <row r="34996">
      <c r="B34996" s="309"/>
      <c r="C34996" s="309"/>
      <c r="I34996" s="309"/>
      <c r="J34996" s="309"/>
    </row>
    <row r="34997">
      <c r="B34997" s="309"/>
      <c r="C34997" s="309"/>
      <c r="I34997" s="309"/>
      <c r="J34997" s="309"/>
    </row>
    <row r="34998">
      <c r="B34998" s="309"/>
      <c r="C34998" s="309"/>
      <c r="I34998" s="309"/>
      <c r="J34998" s="309"/>
    </row>
    <row r="34999">
      <c r="B34999" s="309"/>
      <c r="C34999" s="309"/>
      <c r="I34999" s="309"/>
      <c r="J34999" s="309"/>
    </row>
    <row r="35000">
      <c r="B35000" s="309"/>
      <c r="C35000" s="309"/>
      <c r="I35000" s="309"/>
      <c r="J35000" s="309"/>
    </row>
    <row r="35001">
      <c r="B35001" s="309"/>
      <c r="C35001" s="309"/>
      <c r="I35001" s="309"/>
      <c r="J35001" s="309"/>
    </row>
    <row r="35002">
      <c r="B35002" s="309"/>
      <c r="C35002" s="309"/>
      <c r="I35002" s="309"/>
      <c r="J35002" s="309"/>
    </row>
    <row r="35003">
      <c r="B35003" s="309"/>
      <c r="C35003" s="309"/>
      <c r="I35003" s="309"/>
      <c r="J35003" s="309"/>
    </row>
    <row r="35004">
      <c r="B35004" s="309"/>
      <c r="C35004" s="309"/>
      <c r="I35004" s="309"/>
      <c r="J35004" s="309"/>
    </row>
    <row r="35005">
      <c r="B35005" s="309"/>
      <c r="C35005" s="309"/>
      <c r="I35005" s="309"/>
      <c r="J35005" s="309"/>
    </row>
    <row r="35006">
      <c r="B35006" s="309"/>
      <c r="C35006" s="309"/>
      <c r="I35006" s="309"/>
      <c r="J35006" s="309"/>
    </row>
    <row r="35007">
      <c r="B35007" s="309"/>
      <c r="C35007" s="309"/>
      <c r="I35007" s="309"/>
      <c r="J35007" s="309"/>
    </row>
    <row r="35008">
      <c r="B35008" s="309"/>
      <c r="C35008" s="309"/>
      <c r="I35008" s="309"/>
      <c r="J35008" s="309"/>
    </row>
    <row r="35009">
      <c r="B35009" s="309"/>
      <c r="C35009" s="309"/>
      <c r="I35009" s="309"/>
      <c r="J35009" s="309"/>
    </row>
    <row r="35010">
      <c r="B35010" s="309"/>
      <c r="C35010" s="309"/>
      <c r="I35010" s="309"/>
      <c r="J35010" s="309"/>
    </row>
    <row r="35011">
      <c r="B35011" s="309"/>
      <c r="C35011" s="309"/>
      <c r="I35011" s="309"/>
      <c r="J35011" s="309"/>
    </row>
    <row r="35012">
      <c r="B35012" s="309"/>
      <c r="C35012" s="309"/>
      <c r="I35012" s="309"/>
      <c r="J35012" s="309"/>
    </row>
    <row r="35013">
      <c r="B35013" s="309"/>
      <c r="C35013" s="309"/>
      <c r="I35013" s="309"/>
      <c r="J35013" s="309"/>
    </row>
    <row r="35014">
      <c r="B35014" s="309"/>
      <c r="C35014" s="309"/>
      <c r="I35014" s="309"/>
      <c r="J35014" s="309"/>
    </row>
    <row r="35015">
      <c r="B35015" s="309"/>
      <c r="C35015" s="309"/>
      <c r="I35015" s="309"/>
      <c r="J35015" s="309"/>
    </row>
    <row r="35016">
      <c r="B35016" s="309"/>
      <c r="C35016" s="309"/>
      <c r="I35016" s="309"/>
      <c r="J35016" s="309"/>
    </row>
    <row r="35017">
      <c r="B35017" s="309"/>
      <c r="C35017" s="309"/>
      <c r="I35017" s="309"/>
      <c r="J35017" s="309"/>
    </row>
    <row r="35018">
      <c r="B35018" s="309"/>
      <c r="C35018" s="309"/>
      <c r="I35018" s="309"/>
      <c r="J35018" s="309"/>
    </row>
    <row r="35019">
      <c r="B35019" s="309"/>
      <c r="C35019" s="309"/>
      <c r="I35019" s="309"/>
      <c r="J35019" s="309"/>
    </row>
    <row r="35020">
      <c r="B35020" s="309"/>
      <c r="C35020" s="309"/>
      <c r="I35020" s="309"/>
      <c r="J35020" s="309"/>
    </row>
    <row r="35021">
      <c r="B35021" s="309"/>
      <c r="C35021" s="309"/>
      <c r="I35021" s="309"/>
      <c r="J35021" s="309"/>
    </row>
    <row r="35022">
      <c r="B35022" s="309"/>
      <c r="C35022" s="309"/>
      <c r="I35022" s="309"/>
      <c r="J35022" s="309"/>
    </row>
    <row r="35023">
      <c r="B35023" s="309"/>
      <c r="C35023" s="309"/>
      <c r="I35023" s="309"/>
      <c r="J35023" s="309"/>
    </row>
    <row r="35024">
      <c r="B35024" s="309"/>
      <c r="C35024" s="309"/>
      <c r="I35024" s="309"/>
      <c r="J35024" s="309"/>
    </row>
    <row r="35025">
      <c r="B35025" s="309"/>
      <c r="C35025" s="309"/>
      <c r="I35025" s="309"/>
      <c r="J35025" s="309"/>
    </row>
    <row r="35026">
      <c r="B35026" s="309"/>
      <c r="C35026" s="309"/>
      <c r="I35026" s="309"/>
      <c r="J35026" s="309"/>
    </row>
    <row r="35027">
      <c r="B35027" s="309"/>
      <c r="C35027" s="309"/>
      <c r="I35027" s="309"/>
      <c r="J35027" s="309"/>
    </row>
    <row r="35028">
      <c r="B35028" s="309"/>
      <c r="C35028" s="309"/>
      <c r="I35028" s="309"/>
      <c r="J35028" s="309"/>
    </row>
    <row r="35029">
      <c r="B35029" s="309"/>
      <c r="C35029" s="309"/>
      <c r="I35029" s="309"/>
      <c r="J35029" s="309"/>
    </row>
    <row r="35030">
      <c r="B35030" s="309"/>
      <c r="C35030" s="309"/>
      <c r="I35030" s="309"/>
      <c r="J35030" s="309"/>
    </row>
    <row r="35031">
      <c r="B35031" s="309"/>
      <c r="C35031" s="309"/>
      <c r="I35031" s="309"/>
      <c r="J35031" s="309"/>
    </row>
    <row r="35032">
      <c r="B35032" s="309"/>
      <c r="C35032" s="309"/>
      <c r="I35032" s="309"/>
      <c r="J35032" s="309"/>
    </row>
    <row r="35033">
      <c r="B35033" s="309"/>
      <c r="C35033" s="309"/>
      <c r="I35033" s="309"/>
      <c r="J35033" s="309"/>
    </row>
    <row r="35034">
      <c r="B35034" s="309"/>
      <c r="C35034" s="309"/>
      <c r="I35034" s="309"/>
      <c r="J35034" s="309"/>
    </row>
    <row r="35035">
      <c r="B35035" s="309"/>
      <c r="C35035" s="309"/>
      <c r="I35035" s="309"/>
      <c r="J35035" s="309"/>
    </row>
    <row r="35036">
      <c r="B35036" s="309"/>
      <c r="C35036" s="309"/>
      <c r="I35036" s="309"/>
      <c r="J35036" s="309"/>
    </row>
    <row r="35037">
      <c r="B35037" s="309"/>
      <c r="C35037" s="309"/>
      <c r="I35037" s="309"/>
      <c r="J35037" s="309"/>
    </row>
    <row r="35038">
      <c r="B35038" s="309"/>
      <c r="C35038" s="309"/>
      <c r="I35038" s="309"/>
      <c r="J35038" s="309"/>
    </row>
    <row r="35039">
      <c r="B35039" s="309"/>
      <c r="C35039" s="309"/>
      <c r="I35039" s="309"/>
      <c r="J35039" s="309"/>
    </row>
    <row r="35040">
      <c r="B35040" s="309"/>
      <c r="C35040" s="309"/>
      <c r="I35040" s="309"/>
      <c r="J35040" s="309"/>
    </row>
    <row r="35041">
      <c r="B35041" s="309"/>
      <c r="C35041" s="309"/>
      <c r="I35041" s="309"/>
      <c r="J35041" s="309"/>
    </row>
    <row r="35042">
      <c r="B35042" s="309"/>
      <c r="C35042" s="309"/>
      <c r="I35042" s="309"/>
      <c r="J35042" s="309"/>
    </row>
    <row r="35043">
      <c r="B35043" s="309"/>
      <c r="C35043" s="309"/>
      <c r="I35043" s="309"/>
      <c r="J35043" s="309"/>
    </row>
    <row r="35044">
      <c r="B35044" s="309"/>
      <c r="C35044" s="309"/>
      <c r="I35044" s="309"/>
      <c r="J35044" s="309"/>
    </row>
    <row r="35045">
      <c r="B35045" s="309"/>
      <c r="C35045" s="309"/>
      <c r="I35045" s="309"/>
      <c r="J35045" s="309"/>
    </row>
    <row r="35046">
      <c r="B35046" s="309"/>
      <c r="C35046" s="309"/>
      <c r="I35046" s="309"/>
      <c r="J35046" s="309"/>
    </row>
    <row r="35047">
      <c r="B35047" s="309"/>
      <c r="C35047" s="309"/>
      <c r="I35047" s="309"/>
      <c r="J35047" s="309"/>
    </row>
    <row r="35048">
      <c r="B35048" s="309"/>
      <c r="C35048" s="309"/>
      <c r="I35048" s="309"/>
      <c r="J35048" s="309"/>
    </row>
    <row r="35049">
      <c r="B35049" s="309"/>
      <c r="C35049" s="309"/>
      <c r="I35049" s="309"/>
      <c r="J35049" s="309"/>
    </row>
    <row r="35050">
      <c r="B35050" s="309"/>
      <c r="C35050" s="309"/>
      <c r="I35050" s="309"/>
      <c r="J35050" s="309"/>
    </row>
    <row r="35051">
      <c r="B35051" s="309"/>
      <c r="C35051" s="309"/>
      <c r="I35051" s="309"/>
      <c r="J35051" s="309"/>
    </row>
    <row r="35052">
      <c r="B35052" s="309"/>
      <c r="C35052" s="309"/>
      <c r="I35052" s="309"/>
      <c r="J35052" s="309"/>
    </row>
    <row r="35053">
      <c r="B35053" s="309"/>
      <c r="C35053" s="309"/>
      <c r="I35053" s="309"/>
      <c r="J35053" s="309"/>
    </row>
    <row r="35054">
      <c r="B35054" s="309"/>
      <c r="C35054" s="309"/>
      <c r="I35054" s="309"/>
      <c r="J35054" s="309"/>
    </row>
    <row r="35055">
      <c r="B35055" s="309"/>
      <c r="C35055" s="309"/>
      <c r="I35055" s="309"/>
      <c r="J35055" s="309"/>
    </row>
    <row r="35056">
      <c r="B35056" s="309"/>
      <c r="C35056" s="309"/>
      <c r="I35056" s="309"/>
      <c r="J35056" s="309"/>
    </row>
    <row r="35057">
      <c r="B35057" s="309"/>
      <c r="C35057" s="309"/>
      <c r="I35057" s="309"/>
      <c r="J35057" s="309"/>
    </row>
    <row r="35058">
      <c r="B35058" s="309"/>
      <c r="C35058" s="309"/>
      <c r="I35058" s="309"/>
      <c r="J35058" s="309"/>
    </row>
    <row r="35059">
      <c r="B35059" s="309"/>
      <c r="C35059" s="309"/>
      <c r="I35059" s="309"/>
      <c r="J35059" s="309"/>
    </row>
    <row r="35060">
      <c r="B35060" s="309"/>
      <c r="C35060" s="309"/>
      <c r="I35060" s="309"/>
      <c r="J35060" s="309"/>
    </row>
    <row r="35061">
      <c r="B35061" s="309"/>
      <c r="C35061" s="309"/>
      <c r="I35061" s="309"/>
      <c r="J35061" s="309"/>
    </row>
    <row r="35062">
      <c r="B35062" s="309"/>
      <c r="C35062" s="309"/>
      <c r="I35062" s="309"/>
      <c r="J35062" s="309"/>
    </row>
    <row r="35063">
      <c r="B35063" s="309"/>
      <c r="C35063" s="309"/>
      <c r="I35063" s="309"/>
      <c r="J35063" s="309"/>
    </row>
    <row r="35064">
      <c r="B35064" s="309"/>
      <c r="C35064" s="309"/>
      <c r="I35064" s="309"/>
      <c r="J35064" s="309"/>
    </row>
    <row r="35065">
      <c r="B35065" s="309"/>
      <c r="C35065" s="309"/>
      <c r="I35065" s="309"/>
      <c r="J35065" s="309"/>
    </row>
    <row r="35066">
      <c r="B35066" s="309"/>
      <c r="C35066" s="309"/>
      <c r="I35066" s="309"/>
      <c r="J35066" s="309"/>
    </row>
    <row r="35067">
      <c r="B35067" s="309"/>
      <c r="C35067" s="309"/>
      <c r="I35067" s="309"/>
      <c r="J35067" s="309"/>
    </row>
    <row r="35068">
      <c r="B35068" s="309"/>
      <c r="C35068" s="309"/>
      <c r="I35068" s="309"/>
      <c r="J35068" s="309"/>
    </row>
    <row r="35069">
      <c r="B35069" s="309"/>
      <c r="C35069" s="309"/>
      <c r="I35069" s="309"/>
      <c r="J35069" s="309"/>
    </row>
    <row r="35070">
      <c r="B35070" s="309"/>
      <c r="C35070" s="309"/>
      <c r="I35070" s="309"/>
      <c r="J35070" s="309"/>
    </row>
    <row r="35071">
      <c r="B35071" s="309"/>
      <c r="C35071" s="309"/>
      <c r="I35071" s="309"/>
      <c r="J35071" s="309"/>
    </row>
    <row r="35072">
      <c r="B35072" s="309"/>
      <c r="C35072" s="309"/>
      <c r="I35072" s="309"/>
      <c r="J35072" s="309"/>
    </row>
    <row r="35073">
      <c r="B35073" s="309"/>
      <c r="C35073" s="309"/>
      <c r="I35073" s="309"/>
      <c r="J35073" s="309"/>
    </row>
    <row r="35074">
      <c r="B35074" s="309"/>
      <c r="C35074" s="309"/>
      <c r="I35074" s="309"/>
      <c r="J35074" s="309"/>
    </row>
    <row r="35075">
      <c r="B35075" s="309"/>
      <c r="C35075" s="309"/>
      <c r="I35075" s="309"/>
      <c r="J35075" s="309"/>
    </row>
    <row r="35076">
      <c r="B35076" s="309"/>
      <c r="C35076" s="309"/>
      <c r="I35076" s="309"/>
      <c r="J35076" s="309"/>
    </row>
    <row r="35077">
      <c r="B35077" s="309"/>
      <c r="C35077" s="309"/>
      <c r="I35077" s="309"/>
      <c r="J35077" s="309"/>
    </row>
    <row r="35078">
      <c r="B35078" s="309"/>
      <c r="C35078" s="309"/>
      <c r="I35078" s="309"/>
      <c r="J35078" s="309"/>
    </row>
    <row r="35079">
      <c r="B35079" s="309"/>
      <c r="C35079" s="309"/>
      <c r="I35079" s="309"/>
      <c r="J35079" s="309"/>
    </row>
    <row r="35080">
      <c r="B35080" s="309"/>
      <c r="C35080" s="309"/>
      <c r="I35080" s="309"/>
      <c r="J35080" s="309"/>
    </row>
    <row r="35081">
      <c r="B35081" s="309"/>
      <c r="C35081" s="309"/>
      <c r="I35081" s="309"/>
      <c r="J35081" s="309"/>
    </row>
    <row r="35082">
      <c r="B35082" s="309"/>
      <c r="C35082" s="309"/>
      <c r="I35082" s="309"/>
      <c r="J35082" s="309"/>
    </row>
    <row r="35083">
      <c r="B35083" s="309"/>
      <c r="C35083" s="309"/>
      <c r="I35083" s="309"/>
      <c r="J35083" s="309"/>
    </row>
    <row r="35084">
      <c r="B35084" s="309"/>
      <c r="C35084" s="309"/>
      <c r="I35084" s="309"/>
      <c r="J35084" s="309"/>
    </row>
    <row r="35085">
      <c r="B35085" s="309"/>
      <c r="C35085" s="309"/>
      <c r="I35085" s="309"/>
      <c r="J35085" s="309"/>
    </row>
    <row r="35086">
      <c r="B35086" s="309"/>
      <c r="C35086" s="309"/>
      <c r="I35086" s="309"/>
      <c r="J35086" s="309"/>
    </row>
    <row r="35087">
      <c r="B35087" s="309"/>
      <c r="C35087" s="309"/>
      <c r="I35087" s="309"/>
      <c r="J35087" s="309"/>
    </row>
    <row r="35088">
      <c r="B35088" s="309"/>
      <c r="C35088" s="309"/>
      <c r="I35088" s="309"/>
      <c r="J35088" s="309"/>
    </row>
    <row r="35089">
      <c r="B35089" s="309"/>
      <c r="C35089" s="309"/>
      <c r="I35089" s="309"/>
      <c r="J35089" s="309"/>
    </row>
    <row r="35090">
      <c r="B35090" s="309"/>
      <c r="C35090" s="309"/>
      <c r="I35090" s="309"/>
      <c r="J35090" s="309"/>
    </row>
    <row r="35091">
      <c r="B35091" s="309"/>
      <c r="C35091" s="309"/>
      <c r="I35091" s="309"/>
      <c r="J35091" s="309"/>
    </row>
    <row r="35092">
      <c r="B35092" s="309"/>
      <c r="C35092" s="309"/>
      <c r="I35092" s="309"/>
      <c r="J35092" s="309"/>
    </row>
    <row r="35093">
      <c r="B35093" s="309"/>
      <c r="C35093" s="309"/>
      <c r="I35093" s="309"/>
      <c r="J35093" s="309"/>
    </row>
    <row r="35094">
      <c r="B35094" s="309"/>
      <c r="C35094" s="309"/>
      <c r="I35094" s="309"/>
      <c r="J35094" s="309"/>
    </row>
    <row r="35095">
      <c r="B35095" s="309"/>
      <c r="C35095" s="309"/>
      <c r="I35095" s="309"/>
      <c r="J35095" s="309"/>
    </row>
    <row r="35096">
      <c r="B35096" s="309"/>
      <c r="C35096" s="309"/>
      <c r="I35096" s="309"/>
      <c r="J35096" s="309"/>
    </row>
    <row r="35097">
      <c r="B35097" s="309"/>
      <c r="C35097" s="309"/>
      <c r="I35097" s="309"/>
      <c r="J35097" s="309"/>
    </row>
    <row r="35098">
      <c r="B35098" s="309"/>
      <c r="C35098" s="309"/>
      <c r="I35098" s="309"/>
      <c r="J35098" s="309"/>
    </row>
    <row r="35099">
      <c r="B35099" s="309"/>
      <c r="C35099" s="309"/>
      <c r="I35099" s="309"/>
      <c r="J35099" s="309"/>
    </row>
    <row r="35100">
      <c r="B35100" s="309"/>
      <c r="C35100" s="309"/>
      <c r="I35100" s="309"/>
      <c r="J35100" s="309"/>
    </row>
    <row r="35101">
      <c r="B35101" s="309"/>
      <c r="C35101" s="309"/>
      <c r="I35101" s="309"/>
      <c r="J35101" s="309"/>
    </row>
    <row r="35102">
      <c r="B35102" s="309"/>
      <c r="C35102" s="309"/>
      <c r="I35102" s="309"/>
      <c r="J35102" s="309"/>
    </row>
    <row r="35103">
      <c r="B35103" s="309"/>
      <c r="C35103" s="309"/>
      <c r="I35103" s="309"/>
      <c r="J35103" s="309"/>
    </row>
    <row r="35104">
      <c r="B35104" s="309"/>
      <c r="C35104" s="309"/>
      <c r="I35104" s="309"/>
      <c r="J35104" s="309"/>
    </row>
    <row r="35105">
      <c r="B35105" s="309"/>
      <c r="C35105" s="309"/>
      <c r="I35105" s="309"/>
      <c r="J35105" s="309"/>
    </row>
    <row r="35106">
      <c r="B35106" s="309"/>
      <c r="C35106" s="309"/>
      <c r="I35106" s="309"/>
      <c r="J35106" s="309"/>
    </row>
    <row r="35107">
      <c r="B35107" s="309"/>
      <c r="C35107" s="309"/>
      <c r="I35107" s="309"/>
      <c r="J35107" s="309"/>
    </row>
    <row r="35108">
      <c r="B35108" s="309"/>
      <c r="C35108" s="309"/>
      <c r="I35108" s="309"/>
      <c r="J35108" s="309"/>
    </row>
    <row r="35109">
      <c r="B35109" s="309"/>
      <c r="C35109" s="309"/>
      <c r="I35109" s="309"/>
      <c r="J35109" s="309"/>
    </row>
    <row r="35110">
      <c r="B35110" s="309"/>
      <c r="C35110" s="309"/>
      <c r="I35110" s="309"/>
      <c r="J35110" s="309"/>
    </row>
    <row r="35111">
      <c r="B35111" s="309"/>
      <c r="C35111" s="309"/>
      <c r="I35111" s="309"/>
      <c r="J35111" s="309"/>
    </row>
    <row r="35112">
      <c r="B35112" s="309"/>
      <c r="C35112" s="309"/>
      <c r="I35112" s="309"/>
      <c r="J35112" s="309"/>
    </row>
    <row r="35113">
      <c r="B35113" s="309"/>
      <c r="C35113" s="309"/>
      <c r="I35113" s="309"/>
      <c r="J35113" s="309"/>
    </row>
    <row r="35114">
      <c r="B35114" s="309"/>
      <c r="C35114" s="309"/>
      <c r="I35114" s="309"/>
      <c r="J35114" s="309"/>
    </row>
    <row r="35115">
      <c r="B35115" s="309"/>
      <c r="C35115" s="309"/>
      <c r="I35115" s="309"/>
      <c r="J35115" s="309"/>
    </row>
    <row r="35116">
      <c r="B35116" s="309"/>
      <c r="C35116" s="309"/>
      <c r="I35116" s="309"/>
      <c r="J35116" s="309"/>
    </row>
    <row r="35117">
      <c r="B35117" s="309"/>
      <c r="C35117" s="309"/>
      <c r="I35117" s="309"/>
      <c r="J35117" s="309"/>
    </row>
    <row r="35118">
      <c r="B35118" s="309"/>
      <c r="C35118" s="309"/>
      <c r="I35118" s="309"/>
      <c r="J35118" s="309"/>
    </row>
    <row r="35119">
      <c r="B35119" s="309"/>
      <c r="C35119" s="309"/>
      <c r="I35119" s="309"/>
      <c r="J35119" s="309"/>
    </row>
    <row r="35120">
      <c r="B35120" s="309"/>
      <c r="C35120" s="309"/>
      <c r="I35120" s="309"/>
      <c r="J35120" s="309"/>
    </row>
    <row r="35121">
      <c r="B35121" s="309"/>
      <c r="C35121" s="309"/>
      <c r="I35121" s="309"/>
      <c r="J35121" s="309"/>
    </row>
    <row r="35122">
      <c r="B35122" s="309"/>
      <c r="C35122" s="309"/>
      <c r="I35122" s="309"/>
      <c r="J35122" s="309"/>
    </row>
    <row r="35123">
      <c r="B35123" s="309"/>
      <c r="C35123" s="309"/>
      <c r="I35123" s="309"/>
      <c r="J35123" s="309"/>
    </row>
    <row r="35124">
      <c r="B35124" s="309"/>
      <c r="C35124" s="309"/>
      <c r="I35124" s="309"/>
      <c r="J35124" s="309"/>
    </row>
    <row r="35125">
      <c r="B35125" s="309"/>
      <c r="C35125" s="309"/>
      <c r="I35125" s="309"/>
      <c r="J35125" s="309"/>
    </row>
    <row r="35126">
      <c r="B35126" s="309"/>
      <c r="C35126" s="309"/>
      <c r="I35126" s="309"/>
      <c r="J35126" s="309"/>
    </row>
    <row r="35127">
      <c r="B35127" s="309"/>
      <c r="C35127" s="309"/>
      <c r="I35127" s="309"/>
      <c r="J35127" s="309"/>
    </row>
    <row r="35128">
      <c r="B35128" s="309"/>
      <c r="C35128" s="309"/>
      <c r="I35128" s="309"/>
      <c r="J35128" s="309"/>
    </row>
    <row r="35129">
      <c r="B35129" s="309"/>
      <c r="C35129" s="309"/>
      <c r="I35129" s="309"/>
      <c r="J35129" s="309"/>
    </row>
    <row r="35130">
      <c r="B35130" s="309"/>
      <c r="C35130" s="309"/>
      <c r="I35130" s="309"/>
      <c r="J35130" s="309"/>
    </row>
    <row r="35131">
      <c r="B35131" s="309"/>
      <c r="C35131" s="309"/>
      <c r="I35131" s="309"/>
      <c r="J35131" s="309"/>
    </row>
    <row r="35132">
      <c r="B35132" s="309"/>
      <c r="C35132" s="309"/>
      <c r="I35132" s="309"/>
      <c r="J35132" s="309"/>
    </row>
    <row r="35133">
      <c r="B35133" s="309"/>
      <c r="C35133" s="309"/>
      <c r="I35133" s="309"/>
      <c r="J35133" s="309"/>
    </row>
    <row r="35134">
      <c r="B35134" s="309"/>
      <c r="C35134" s="309"/>
      <c r="I35134" s="309"/>
      <c r="J35134" s="309"/>
    </row>
    <row r="35135">
      <c r="B35135" s="309"/>
      <c r="C35135" s="309"/>
      <c r="I35135" s="309"/>
      <c r="J35135" s="309"/>
    </row>
    <row r="35136">
      <c r="B35136" s="309"/>
      <c r="C35136" s="309"/>
      <c r="I35136" s="309"/>
      <c r="J35136" s="309"/>
    </row>
    <row r="35137">
      <c r="B35137" s="309"/>
      <c r="C35137" s="309"/>
      <c r="I35137" s="309"/>
      <c r="J35137" s="309"/>
    </row>
    <row r="35138">
      <c r="B35138" s="309"/>
      <c r="C35138" s="309"/>
      <c r="I35138" s="309"/>
      <c r="J35138" s="309"/>
    </row>
    <row r="35139">
      <c r="B35139" s="309"/>
      <c r="C35139" s="309"/>
      <c r="I35139" s="309"/>
      <c r="J35139" s="309"/>
    </row>
    <row r="35140">
      <c r="B35140" s="309"/>
      <c r="C35140" s="309"/>
      <c r="I35140" s="309"/>
      <c r="J35140" s="309"/>
    </row>
    <row r="35141">
      <c r="B35141" s="309"/>
      <c r="C35141" s="309"/>
      <c r="I35141" s="309"/>
      <c r="J35141" s="309"/>
    </row>
    <row r="35142">
      <c r="B35142" s="309"/>
      <c r="C35142" s="309"/>
      <c r="I35142" s="309"/>
      <c r="J35142" s="309"/>
    </row>
    <row r="35143">
      <c r="B35143" s="309"/>
      <c r="C35143" s="309"/>
      <c r="I35143" s="309"/>
      <c r="J35143" s="309"/>
    </row>
    <row r="35144">
      <c r="B35144" s="309"/>
      <c r="C35144" s="309"/>
      <c r="I35144" s="309"/>
      <c r="J35144" s="309"/>
    </row>
    <row r="35145">
      <c r="B35145" s="309"/>
      <c r="C35145" s="309"/>
      <c r="I35145" s="309"/>
      <c r="J35145" s="309"/>
    </row>
    <row r="35146">
      <c r="B35146" s="309"/>
      <c r="C35146" s="309"/>
      <c r="I35146" s="309"/>
      <c r="J35146" s="309"/>
    </row>
    <row r="35147">
      <c r="B35147" s="309"/>
      <c r="C35147" s="309"/>
      <c r="I35147" s="309"/>
      <c r="J35147" s="309"/>
    </row>
    <row r="35148">
      <c r="B35148" s="309"/>
      <c r="C35148" s="309"/>
      <c r="I35148" s="309"/>
      <c r="J35148" s="309"/>
    </row>
    <row r="35149">
      <c r="B35149" s="309"/>
      <c r="C35149" s="309"/>
      <c r="I35149" s="309"/>
      <c r="J35149" s="309"/>
    </row>
    <row r="35150">
      <c r="B35150" s="309"/>
      <c r="C35150" s="309"/>
      <c r="I35150" s="309"/>
      <c r="J35150" s="309"/>
    </row>
    <row r="35151">
      <c r="B35151" s="309"/>
      <c r="C35151" s="309"/>
      <c r="I35151" s="309"/>
      <c r="J35151" s="309"/>
    </row>
    <row r="35152">
      <c r="B35152" s="309"/>
      <c r="C35152" s="309"/>
      <c r="I35152" s="309"/>
      <c r="J35152" s="309"/>
    </row>
    <row r="35153">
      <c r="B35153" s="309"/>
      <c r="C35153" s="309"/>
      <c r="I35153" s="309"/>
      <c r="J35153" s="309"/>
    </row>
    <row r="35154">
      <c r="B35154" s="309"/>
      <c r="C35154" s="309"/>
      <c r="I35154" s="309"/>
      <c r="J35154" s="309"/>
    </row>
    <row r="35155">
      <c r="B35155" s="309"/>
      <c r="C35155" s="309"/>
      <c r="I35155" s="309"/>
      <c r="J35155" s="309"/>
    </row>
    <row r="35156">
      <c r="B35156" s="309"/>
      <c r="C35156" s="309"/>
      <c r="I35156" s="309"/>
      <c r="J35156" s="309"/>
    </row>
    <row r="35157">
      <c r="B35157" s="309"/>
      <c r="C35157" s="309"/>
      <c r="I35157" s="309"/>
      <c r="J35157" s="309"/>
    </row>
    <row r="35158">
      <c r="B35158" s="309"/>
      <c r="C35158" s="309"/>
      <c r="I35158" s="309"/>
      <c r="J35158" s="309"/>
    </row>
    <row r="35159">
      <c r="B35159" s="309"/>
      <c r="C35159" s="309"/>
      <c r="I35159" s="309"/>
      <c r="J35159" s="309"/>
    </row>
    <row r="35160">
      <c r="B35160" s="309"/>
      <c r="C35160" s="309"/>
      <c r="I35160" s="309"/>
      <c r="J35160" s="309"/>
    </row>
    <row r="35161">
      <c r="B35161" s="309"/>
      <c r="C35161" s="309"/>
      <c r="I35161" s="309"/>
      <c r="J35161" s="309"/>
    </row>
    <row r="35162">
      <c r="B35162" s="309"/>
      <c r="C35162" s="309"/>
      <c r="I35162" s="309"/>
      <c r="J35162" s="309"/>
    </row>
    <row r="35163">
      <c r="B35163" s="309"/>
      <c r="C35163" s="309"/>
      <c r="I35163" s="309"/>
      <c r="J35163" s="309"/>
    </row>
    <row r="35164">
      <c r="B35164" s="309"/>
      <c r="C35164" s="309"/>
      <c r="I35164" s="309"/>
      <c r="J35164" s="309"/>
    </row>
    <row r="35165">
      <c r="B35165" s="309"/>
      <c r="C35165" s="309"/>
      <c r="I35165" s="309"/>
      <c r="J35165" s="309"/>
    </row>
    <row r="35166">
      <c r="B35166" s="309"/>
      <c r="C35166" s="309"/>
      <c r="I35166" s="309"/>
      <c r="J35166" s="309"/>
    </row>
    <row r="35167">
      <c r="B35167" s="309"/>
      <c r="C35167" s="309"/>
      <c r="I35167" s="309"/>
      <c r="J35167" s="309"/>
    </row>
    <row r="35168">
      <c r="B35168" s="309"/>
      <c r="C35168" s="309"/>
      <c r="I35168" s="309"/>
      <c r="J35168" s="309"/>
    </row>
    <row r="35169">
      <c r="B35169" s="309"/>
      <c r="C35169" s="309"/>
      <c r="I35169" s="309"/>
      <c r="J35169" s="309"/>
    </row>
    <row r="35170">
      <c r="B35170" s="309"/>
      <c r="C35170" s="309"/>
      <c r="I35170" s="309"/>
      <c r="J35170" s="309"/>
    </row>
    <row r="35171">
      <c r="B35171" s="309"/>
      <c r="C35171" s="309"/>
      <c r="I35171" s="309"/>
      <c r="J35171" s="309"/>
    </row>
    <row r="35172">
      <c r="B35172" s="309"/>
      <c r="C35172" s="309"/>
      <c r="I35172" s="309"/>
      <c r="J35172" s="309"/>
    </row>
    <row r="35173">
      <c r="B35173" s="309"/>
      <c r="C35173" s="309"/>
      <c r="I35173" s="309"/>
      <c r="J35173" s="309"/>
    </row>
    <row r="35174">
      <c r="B35174" s="309"/>
      <c r="C35174" s="309"/>
      <c r="I35174" s="309"/>
      <c r="J35174" s="309"/>
    </row>
    <row r="35175">
      <c r="B35175" s="309"/>
      <c r="C35175" s="309"/>
      <c r="I35175" s="309"/>
      <c r="J35175" s="309"/>
    </row>
    <row r="35176">
      <c r="B35176" s="309"/>
      <c r="C35176" s="309"/>
      <c r="I35176" s="309"/>
      <c r="J35176" s="309"/>
    </row>
    <row r="35177">
      <c r="B35177" s="309"/>
      <c r="C35177" s="309"/>
      <c r="I35177" s="309"/>
      <c r="J35177" s="309"/>
    </row>
    <row r="35178">
      <c r="B35178" s="309"/>
      <c r="C35178" s="309"/>
      <c r="I35178" s="309"/>
      <c r="J35178" s="309"/>
    </row>
    <row r="35179">
      <c r="B35179" s="309"/>
      <c r="C35179" s="309"/>
      <c r="I35179" s="309"/>
      <c r="J35179" s="309"/>
    </row>
    <row r="35180">
      <c r="B35180" s="309"/>
      <c r="C35180" s="309"/>
      <c r="I35180" s="309"/>
      <c r="J35180" s="309"/>
    </row>
    <row r="35181">
      <c r="B35181" s="309"/>
      <c r="C35181" s="309"/>
      <c r="I35181" s="309"/>
      <c r="J35181" s="309"/>
    </row>
    <row r="35182">
      <c r="B35182" s="309"/>
      <c r="C35182" s="309"/>
      <c r="I35182" s="309"/>
      <c r="J35182" s="309"/>
    </row>
    <row r="35183">
      <c r="B35183" s="309"/>
      <c r="C35183" s="309"/>
      <c r="I35183" s="309"/>
      <c r="J35183" s="309"/>
    </row>
    <row r="35184">
      <c r="B35184" s="309"/>
      <c r="C35184" s="309"/>
      <c r="I35184" s="309"/>
      <c r="J35184" s="309"/>
    </row>
    <row r="35185">
      <c r="B35185" s="309"/>
      <c r="C35185" s="309"/>
      <c r="I35185" s="309"/>
      <c r="J35185" s="309"/>
    </row>
    <row r="35186">
      <c r="B35186" s="309"/>
      <c r="C35186" s="309"/>
      <c r="I35186" s="309"/>
      <c r="J35186" s="309"/>
    </row>
    <row r="35187">
      <c r="B35187" s="309"/>
      <c r="C35187" s="309"/>
      <c r="I35187" s="309"/>
      <c r="J35187" s="309"/>
    </row>
    <row r="35188">
      <c r="B35188" s="309"/>
      <c r="C35188" s="309"/>
      <c r="I35188" s="309"/>
      <c r="J35188" s="309"/>
    </row>
    <row r="35189">
      <c r="B35189" s="309"/>
      <c r="C35189" s="309"/>
      <c r="I35189" s="309"/>
      <c r="J35189" s="309"/>
    </row>
    <row r="35190">
      <c r="B35190" s="309"/>
      <c r="C35190" s="309"/>
      <c r="I35190" s="309"/>
      <c r="J35190" s="309"/>
    </row>
    <row r="35191">
      <c r="B35191" s="309"/>
      <c r="C35191" s="309"/>
      <c r="I35191" s="309"/>
      <c r="J35191" s="309"/>
    </row>
    <row r="35192">
      <c r="B35192" s="309"/>
      <c r="C35192" s="309"/>
      <c r="I35192" s="309"/>
      <c r="J35192" s="309"/>
    </row>
    <row r="35193">
      <c r="B35193" s="309"/>
      <c r="C35193" s="309"/>
      <c r="I35193" s="309"/>
      <c r="J35193" s="309"/>
    </row>
    <row r="35194">
      <c r="B35194" s="309"/>
      <c r="C35194" s="309"/>
      <c r="I35194" s="309"/>
      <c r="J35194" s="309"/>
    </row>
    <row r="35195">
      <c r="B35195" s="309"/>
      <c r="C35195" s="309"/>
      <c r="I35195" s="309"/>
      <c r="J35195" s="309"/>
    </row>
    <row r="35196">
      <c r="B35196" s="309"/>
      <c r="C35196" s="309"/>
      <c r="I35196" s="309"/>
      <c r="J35196" s="309"/>
    </row>
    <row r="35197">
      <c r="B35197" s="309"/>
      <c r="C35197" s="309"/>
      <c r="I35197" s="309"/>
      <c r="J35197" s="309"/>
    </row>
    <row r="35198">
      <c r="B35198" s="309"/>
      <c r="C35198" s="309"/>
      <c r="I35198" s="309"/>
      <c r="J35198" s="309"/>
    </row>
    <row r="35199">
      <c r="B35199" s="309"/>
      <c r="C35199" s="309"/>
      <c r="I35199" s="309"/>
      <c r="J35199" s="309"/>
    </row>
    <row r="35200">
      <c r="B35200" s="309"/>
      <c r="C35200" s="309"/>
      <c r="I35200" s="309"/>
      <c r="J35200" s="309"/>
    </row>
    <row r="35201">
      <c r="B35201" s="309"/>
      <c r="C35201" s="309"/>
      <c r="I35201" s="309"/>
      <c r="J35201" s="309"/>
    </row>
    <row r="35202">
      <c r="B35202" s="309"/>
      <c r="C35202" s="309"/>
      <c r="I35202" s="309"/>
      <c r="J35202" s="309"/>
    </row>
    <row r="35203">
      <c r="B35203" s="309"/>
      <c r="C35203" s="309"/>
      <c r="I35203" s="309"/>
      <c r="J35203" s="309"/>
    </row>
    <row r="35204">
      <c r="B35204" s="309"/>
      <c r="C35204" s="309"/>
      <c r="I35204" s="309"/>
      <c r="J35204" s="309"/>
    </row>
    <row r="35205">
      <c r="B35205" s="309"/>
      <c r="C35205" s="309"/>
      <c r="I35205" s="309"/>
      <c r="J35205" s="309"/>
    </row>
    <row r="35206">
      <c r="B35206" s="309"/>
      <c r="C35206" s="309"/>
      <c r="I35206" s="309"/>
      <c r="J35206" s="309"/>
    </row>
    <row r="35207">
      <c r="B35207" s="309"/>
      <c r="C35207" s="309"/>
      <c r="I35207" s="309"/>
      <c r="J35207" s="309"/>
    </row>
    <row r="35208">
      <c r="B35208" s="309"/>
      <c r="C35208" s="309"/>
      <c r="I35208" s="309"/>
      <c r="J35208" s="309"/>
    </row>
    <row r="35209">
      <c r="B35209" s="309"/>
      <c r="C35209" s="309"/>
      <c r="I35209" s="309"/>
      <c r="J35209" s="309"/>
    </row>
    <row r="35210">
      <c r="B35210" s="309"/>
      <c r="C35210" s="309"/>
      <c r="I35210" s="309"/>
      <c r="J35210" s="309"/>
    </row>
    <row r="35211">
      <c r="B35211" s="309"/>
      <c r="C35211" s="309"/>
      <c r="I35211" s="309"/>
      <c r="J35211" s="309"/>
    </row>
    <row r="35212">
      <c r="B35212" s="309"/>
      <c r="C35212" s="309"/>
      <c r="I35212" s="309"/>
      <c r="J35212" s="309"/>
    </row>
    <row r="35213">
      <c r="B35213" s="309"/>
      <c r="C35213" s="309"/>
      <c r="I35213" s="309"/>
      <c r="J35213" s="309"/>
    </row>
    <row r="35214">
      <c r="B35214" s="309"/>
      <c r="C35214" s="309"/>
      <c r="I35214" s="309"/>
      <c r="J35214" s="309"/>
    </row>
    <row r="35215">
      <c r="B35215" s="309"/>
      <c r="C35215" s="309"/>
      <c r="I35215" s="309"/>
      <c r="J35215" s="309"/>
    </row>
    <row r="35216">
      <c r="B35216" s="309"/>
      <c r="C35216" s="309"/>
      <c r="I35216" s="309"/>
      <c r="J35216" s="309"/>
    </row>
    <row r="35217">
      <c r="B35217" s="309"/>
      <c r="C35217" s="309"/>
      <c r="I35217" s="309"/>
      <c r="J35217" s="309"/>
    </row>
    <row r="35218">
      <c r="B35218" s="309"/>
      <c r="C35218" s="309"/>
      <c r="I35218" s="309"/>
      <c r="J35218" s="309"/>
    </row>
    <row r="35219">
      <c r="B35219" s="309"/>
      <c r="C35219" s="309"/>
      <c r="I35219" s="309"/>
      <c r="J35219" s="309"/>
    </row>
    <row r="35220">
      <c r="B35220" s="309"/>
      <c r="C35220" s="309"/>
      <c r="I35220" s="309"/>
      <c r="J35220" s="309"/>
    </row>
    <row r="35221">
      <c r="B35221" s="309"/>
      <c r="C35221" s="309"/>
      <c r="I35221" s="309"/>
      <c r="J35221" s="309"/>
    </row>
    <row r="35222">
      <c r="B35222" s="309"/>
      <c r="C35222" s="309"/>
      <c r="I35222" s="309"/>
      <c r="J35222" s="309"/>
    </row>
    <row r="35223">
      <c r="B35223" s="309"/>
      <c r="C35223" s="309"/>
      <c r="I35223" s="309"/>
      <c r="J35223" s="309"/>
    </row>
    <row r="35224">
      <c r="B35224" s="309"/>
      <c r="C35224" s="309"/>
      <c r="I35224" s="309"/>
      <c r="J35224" s="309"/>
    </row>
    <row r="35225">
      <c r="B35225" s="309"/>
      <c r="C35225" s="309"/>
      <c r="I35225" s="309"/>
      <c r="J35225" s="309"/>
    </row>
    <row r="35226">
      <c r="B35226" s="309"/>
      <c r="C35226" s="309"/>
      <c r="I35226" s="309"/>
      <c r="J35226" s="309"/>
    </row>
    <row r="35227">
      <c r="B35227" s="309"/>
      <c r="C35227" s="309"/>
      <c r="I35227" s="309"/>
      <c r="J35227" s="309"/>
    </row>
    <row r="35228">
      <c r="B35228" s="309"/>
      <c r="C35228" s="309"/>
      <c r="I35228" s="309"/>
      <c r="J35228" s="309"/>
    </row>
    <row r="35229">
      <c r="B35229" s="309"/>
      <c r="C35229" s="309"/>
      <c r="I35229" s="309"/>
      <c r="J35229" s="309"/>
    </row>
    <row r="35230">
      <c r="B35230" s="309"/>
      <c r="C35230" s="309"/>
      <c r="I35230" s="309"/>
      <c r="J35230" s="309"/>
    </row>
    <row r="35231">
      <c r="B35231" s="309"/>
      <c r="C35231" s="309"/>
      <c r="I35231" s="309"/>
      <c r="J35231" s="309"/>
    </row>
    <row r="35232">
      <c r="B35232" s="309"/>
      <c r="C35232" s="309"/>
      <c r="I35232" s="309"/>
      <c r="J35232" s="309"/>
    </row>
    <row r="35233">
      <c r="B35233" s="309"/>
      <c r="C35233" s="309"/>
      <c r="I35233" s="309"/>
      <c r="J35233" s="309"/>
    </row>
    <row r="35234">
      <c r="B35234" s="309"/>
      <c r="C35234" s="309"/>
      <c r="I35234" s="309"/>
      <c r="J35234" s="309"/>
    </row>
    <row r="35235">
      <c r="B35235" s="309"/>
      <c r="C35235" s="309"/>
      <c r="I35235" s="309"/>
      <c r="J35235" s="309"/>
    </row>
    <row r="35236">
      <c r="B35236" s="309"/>
      <c r="C35236" s="309"/>
      <c r="I35236" s="309"/>
      <c r="J35236" s="309"/>
    </row>
    <row r="35237">
      <c r="B35237" s="309"/>
      <c r="C35237" s="309"/>
      <c r="I35237" s="309"/>
      <c r="J35237" s="309"/>
    </row>
    <row r="35238">
      <c r="B35238" s="309"/>
      <c r="C35238" s="309"/>
      <c r="I35238" s="309"/>
      <c r="J35238" s="309"/>
    </row>
    <row r="35239">
      <c r="B35239" s="309"/>
      <c r="C35239" s="309"/>
      <c r="I35239" s="309"/>
      <c r="J35239" s="309"/>
    </row>
    <row r="35240">
      <c r="B35240" s="309"/>
      <c r="C35240" s="309"/>
      <c r="I35240" s="309"/>
      <c r="J35240" s="309"/>
    </row>
    <row r="35241">
      <c r="B35241" s="309"/>
      <c r="C35241" s="309"/>
      <c r="I35241" s="309"/>
      <c r="J35241" s="309"/>
    </row>
    <row r="35242">
      <c r="B35242" s="309"/>
      <c r="C35242" s="309"/>
      <c r="I35242" s="309"/>
      <c r="J35242" s="309"/>
    </row>
    <row r="35243">
      <c r="B35243" s="309"/>
      <c r="C35243" s="309"/>
      <c r="I35243" s="309"/>
      <c r="J35243" s="309"/>
    </row>
    <row r="35244">
      <c r="B35244" s="309"/>
      <c r="C35244" s="309"/>
      <c r="I35244" s="309"/>
      <c r="J35244" s="309"/>
    </row>
    <row r="35245">
      <c r="B35245" s="309"/>
      <c r="C35245" s="309"/>
      <c r="I35245" s="309"/>
      <c r="J35245" s="309"/>
    </row>
    <row r="35246">
      <c r="B35246" s="309"/>
      <c r="C35246" s="309"/>
      <c r="I35246" s="309"/>
      <c r="J35246" s="309"/>
    </row>
    <row r="35247">
      <c r="B35247" s="309"/>
      <c r="C35247" s="309"/>
      <c r="I35247" s="309"/>
      <c r="J35247" s="309"/>
    </row>
    <row r="35248">
      <c r="B35248" s="309"/>
      <c r="C35248" s="309"/>
      <c r="I35248" s="309"/>
      <c r="J35248" s="309"/>
    </row>
    <row r="35249">
      <c r="B35249" s="309"/>
      <c r="C35249" s="309"/>
      <c r="I35249" s="309"/>
      <c r="J35249" s="309"/>
    </row>
    <row r="35250">
      <c r="B35250" s="309"/>
      <c r="C35250" s="309"/>
      <c r="I35250" s="309"/>
      <c r="J35250" s="309"/>
    </row>
    <row r="35251">
      <c r="B35251" s="309"/>
      <c r="C35251" s="309"/>
      <c r="I35251" s="309"/>
      <c r="J35251" s="309"/>
    </row>
    <row r="35252">
      <c r="B35252" s="309"/>
      <c r="C35252" s="309"/>
      <c r="I35252" s="309"/>
      <c r="J35252" s="309"/>
    </row>
    <row r="35253">
      <c r="B35253" s="309"/>
      <c r="C35253" s="309"/>
      <c r="I35253" s="309"/>
      <c r="J35253" s="309"/>
    </row>
    <row r="35254">
      <c r="B35254" s="309"/>
      <c r="C35254" s="309"/>
      <c r="I35254" s="309"/>
      <c r="J35254" s="309"/>
    </row>
    <row r="35255">
      <c r="B35255" s="309"/>
      <c r="C35255" s="309"/>
      <c r="I35255" s="309"/>
      <c r="J35255" s="309"/>
    </row>
    <row r="35256">
      <c r="B35256" s="309"/>
      <c r="C35256" s="309"/>
      <c r="I35256" s="309"/>
      <c r="J35256" s="309"/>
    </row>
    <row r="35257">
      <c r="B35257" s="309"/>
      <c r="C35257" s="309"/>
      <c r="I35257" s="309"/>
      <c r="J35257" s="309"/>
    </row>
    <row r="35258">
      <c r="B35258" s="309"/>
      <c r="C35258" s="309"/>
      <c r="I35258" s="309"/>
      <c r="J35258" s="309"/>
    </row>
    <row r="35259">
      <c r="B35259" s="309"/>
      <c r="C35259" s="309"/>
      <c r="I35259" s="309"/>
      <c r="J35259" s="309"/>
    </row>
    <row r="35260">
      <c r="B35260" s="309"/>
      <c r="C35260" s="309"/>
      <c r="I35260" s="309"/>
      <c r="J35260" s="309"/>
    </row>
    <row r="35261">
      <c r="B35261" s="309"/>
      <c r="C35261" s="309"/>
      <c r="I35261" s="309"/>
      <c r="J35261" s="309"/>
    </row>
    <row r="35262">
      <c r="B35262" s="309"/>
      <c r="C35262" s="309"/>
      <c r="I35262" s="309"/>
      <c r="J35262" s="309"/>
    </row>
    <row r="35263">
      <c r="B35263" s="309"/>
      <c r="C35263" s="309"/>
      <c r="I35263" s="309"/>
      <c r="J35263" s="309"/>
    </row>
    <row r="35264">
      <c r="B35264" s="309"/>
      <c r="C35264" s="309"/>
      <c r="I35264" s="309"/>
      <c r="J35264" s="309"/>
    </row>
    <row r="35265">
      <c r="B35265" s="309"/>
      <c r="C35265" s="309"/>
      <c r="I35265" s="309"/>
      <c r="J35265" s="309"/>
    </row>
    <row r="35266">
      <c r="B35266" s="309"/>
      <c r="C35266" s="309"/>
      <c r="I35266" s="309"/>
      <c r="J35266" s="309"/>
    </row>
    <row r="35267">
      <c r="B35267" s="309"/>
      <c r="C35267" s="309"/>
      <c r="I35267" s="309"/>
      <c r="J35267" s="309"/>
    </row>
    <row r="35268">
      <c r="B35268" s="309"/>
      <c r="C35268" s="309"/>
      <c r="I35268" s="309"/>
      <c r="J35268" s="309"/>
    </row>
    <row r="35269">
      <c r="B35269" s="309"/>
      <c r="C35269" s="309"/>
      <c r="I35269" s="309"/>
      <c r="J35269" s="309"/>
    </row>
    <row r="35270">
      <c r="B35270" s="309"/>
      <c r="C35270" s="309"/>
      <c r="I35270" s="309"/>
      <c r="J35270" s="309"/>
    </row>
    <row r="35271">
      <c r="B35271" s="309"/>
      <c r="C35271" s="309"/>
      <c r="I35271" s="309"/>
      <c r="J35271" s="309"/>
    </row>
    <row r="35272">
      <c r="B35272" s="309"/>
      <c r="C35272" s="309"/>
      <c r="I35272" s="309"/>
      <c r="J35272" s="309"/>
    </row>
    <row r="35273">
      <c r="B35273" s="309"/>
      <c r="C35273" s="309"/>
      <c r="I35273" s="309"/>
      <c r="J35273" s="309"/>
    </row>
    <row r="35274">
      <c r="B35274" s="309"/>
      <c r="C35274" s="309"/>
      <c r="I35274" s="309"/>
      <c r="J35274" s="309"/>
    </row>
    <row r="35275">
      <c r="B35275" s="309"/>
      <c r="C35275" s="309"/>
      <c r="I35275" s="309"/>
      <c r="J35275" s="309"/>
    </row>
    <row r="35276">
      <c r="B35276" s="309"/>
      <c r="C35276" s="309"/>
      <c r="I35276" s="309"/>
      <c r="J35276" s="309"/>
    </row>
    <row r="35277">
      <c r="B35277" s="309"/>
      <c r="C35277" s="309"/>
      <c r="I35277" s="309"/>
      <c r="J35277" s="309"/>
    </row>
    <row r="35278">
      <c r="B35278" s="309"/>
      <c r="C35278" s="309"/>
      <c r="I35278" s="309"/>
      <c r="J35278" s="309"/>
    </row>
    <row r="35279">
      <c r="B35279" s="309"/>
      <c r="C35279" s="309"/>
      <c r="I35279" s="309"/>
      <c r="J35279" s="309"/>
    </row>
    <row r="35280">
      <c r="B35280" s="309"/>
      <c r="C35280" s="309"/>
      <c r="I35280" s="309"/>
      <c r="J35280" s="309"/>
    </row>
    <row r="35281">
      <c r="B35281" s="309"/>
      <c r="C35281" s="309"/>
      <c r="I35281" s="309"/>
      <c r="J35281" s="309"/>
    </row>
    <row r="35282">
      <c r="B35282" s="309"/>
      <c r="C35282" s="309"/>
      <c r="I35282" s="309"/>
      <c r="J35282" s="309"/>
    </row>
    <row r="35283">
      <c r="B35283" s="309"/>
      <c r="C35283" s="309"/>
      <c r="I35283" s="309"/>
      <c r="J35283" s="309"/>
    </row>
    <row r="35284">
      <c r="B35284" s="309"/>
      <c r="C35284" s="309"/>
      <c r="I35284" s="309"/>
      <c r="J35284" s="309"/>
    </row>
    <row r="35285">
      <c r="B35285" s="309"/>
      <c r="C35285" s="309"/>
      <c r="I35285" s="309"/>
      <c r="J35285" s="309"/>
    </row>
    <row r="35286">
      <c r="B35286" s="309"/>
      <c r="C35286" s="309"/>
      <c r="I35286" s="309"/>
      <c r="J35286" s="309"/>
    </row>
    <row r="35287">
      <c r="B35287" s="309"/>
      <c r="C35287" s="309"/>
      <c r="I35287" s="309"/>
      <c r="J35287" s="309"/>
    </row>
    <row r="35288">
      <c r="B35288" s="309"/>
      <c r="C35288" s="309"/>
      <c r="I35288" s="309"/>
      <c r="J35288" s="309"/>
    </row>
    <row r="35289">
      <c r="B35289" s="309"/>
      <c r="C35289" s="309"/>
      <c r="I35289" s="309"/>
      <c r="J35289" s="309"/>
    </row>
    <row r="35290">
      <c r="B35290" s="309"/>
      <c r="C35290" s="309"/>
      <c r="I35290" s="309"/>
      <c r="J35290" s="309"/>
    </row>
    <row r="35291">
      <c r="B35291" s="309"/>
      <c r="C35291" s="309"/>
      <c r="I35291" s="309"/>
      <c r="J35291" s="309"/>
    </row>
    <row r="35292">
      <c r="B35292" s="309"/>
      <c r="C35292" s="309"/>
      <c r="I35292" s="309"/>
      <c r="J35292" s="309"/>
    </row>
    <row r="35293">
      <c r="B35293" s="309"/>
      <c r="C35293" s="309"/>
      <c r="I35293" s="309"/>
      <c r="J35293" s="309"/>
    </row>
    <row r="35294">
      <c r="B35294" s="309"/>
      <c r="C35294" s="309"/>
      <c r="I35294" s="309"/>
      <c r="J35294" s="309"/>
    </row>
    <row r="35295">
      <c r="B35295" s="309"/>
      <c r="C35295" s="309"/>
      <c r="I35295" s="309"/>
      <c r="J35295" s="309"/>
    </row>
    <row r="35296">
      <c r="B35296" s="309"/>
      <c r="C35296" s="309"/>
      <c r="I35296" s="309"/>
      <c r="J35296" s="309"/>
    </row>
    <row r="35297">
      <c r="B35297" s="309"/>
      <c r="C35297" s="309"/>
      <c r="I35297" s="309"/>
      <c r="J35297" s="309"/>
    </row>
    <row r="35298">
      <c r="B35298" s="309"/>
      <c r="C35298" s="309"/>
      <c r="I35298" s="309"/>
      <c r="J35298" s="309"/>
    </row>
    <row r="35299">
      <c r="B35299" s="309"/>
      <c r="C35299" s="309"/>
      <c r="I35299" s="309"/>
      <c r="J35299" s="309"/>
    </row>
    <row r="35300">
      <c r="B35300" s="309"/>
      <c r="C35300" s="309"/>
      <c r="I35300" s="309"/>
      <c r="J35300" s="309"/>
    </row>
    <row r="35301">
      <c r="B35301" s="309"/>
      <c r="C35301" s="309"/>
      <c r="I35301" s="309"/>
      <c r="J35301" s="309"/>
    </row>
    <row r="35302">
      <c r="B35302" s="309"/>
      <c r="C35302" s="309"/>
      <c r="I35302" s="309"/>
      <c r="J35302" s="309"/>
    </row>
    <row r="35303">
      <c r="B35303" s="309"/>
      <c r="C35303" s="309"/>
      <c r="I35303" s="309"/>
      <c r="J35303" s="309"/>
    </row>
    <row r="35304">
      <c r="B35304" s="309"/>
      <c r="C35304" s="309"/>
      <c r="I35304" s="309"/>
      <c r="J35304" s="309"/>
    </row>
    <row r="35305">
      <c r="B35305" s="309"/>
      <c r="C35305" s="309"/>
      <c r="I35305" s="309"/>
      <c r="J35305" s="309"/>
    </row>
    <row r="35306">
      <c r="B35306" s="309"/>
      <c r="C35306" s="309"/>
      <c r="I35306" s="309"/>
      <c r="J35306" s="309"/>
    </row>
    <row r="35307">
      <c r="B35307" s="309"/>
      <c r="C35307" s="309"/>
      <c r="I35307" s="309"/>
      <c r="J35307" s="309"/>
    </row>
    <row r="35308">
      <c r="B35308" s="309"/>
      <c r="C35308" s="309"/>
      <c r="I35308" s="309"/>
      <c r="J35308" s="309"/>
    </row>
    <row r="35309">
      <c r="B35309" s="309"/>
      <c r="C35309" s="309"/>
      <c r="I35309" s="309"/>
      <c r="J35309" s="309"/>
    </row>
    <row r="35310">
      <c r="B35310" s="309"/>
      <c r="C35310" s="309"/>
      <c r="I35310" s="309"/>
      <c r="J35310" s="309"/>
    </row>
    <row r="35311">
      <c r="B35311" s="309"/>
      <c r="C35311" s="309"/>
      <c r="I35311" s="309"/>
      <c r="J35311" s="309"/>
    </row>
    <row r="35312">
      <c r="B35312" s="309"/>
      <c r="C35312" s="309"/>
      <c r="I35312" s="309"/>
      <c r="J35312" s="309"/>
    </row>
    <row r="35313">
      <c r="B35313" s="309"/>
      <c r="C35313" s="309"/>
      <c r="I35313" s="309"/>
      <c r="J35313" s="309"/>
    </row>
    <row r="35314">
      <c r="B35314" s="309"/>
      <c r="C35314" s="309"/>
      <c r="I35314" s="309"/>
      <c r="J35314" s="309"/>
    </row>
    <row r="35315">
      <c r="B35315" s="309"/>
      <c r="C35315" s="309"/>
      <c r="I35315" s="309"/>
      <c r="J35315" s="309"/>
    </row>
    <row r="35316">
      <c r="B35316" s="309"/>
      <c r="C35316" s="309"/>
      <c r="I35316" s="309"/>
      <c r="J35316" s="309"/>
    </row>
    <row r="35317">
      <c r="B35317" s="309"/>
      <c r="C35317" s="309"/>
      <c r="I35317" s="309"/>
      <c r="J35317" s="309"/>
    </row>
    <row r="35318">
      <c r="B35318" s="309"/>
      <c r="C35318" s="309"/>
      <c r="I35318" s="309"/>
      <c r="J35318" s="309"/>
    </row>
    <row r="35319">
      <c r="B35319" s="309"/>
      <c r="C35319" s="309"/>
      <c r="I35319" s="309"/>
      <c r="J35319" s="309"/>
    </row>
    <row r="35320">
      <c r="B35320" s="309"/>
      <c r="C35320" s="309"/>
      <c r="I35320" s="309"/>
      <c r="J35320" s="309"/>
    </row>
    <row r="35321">
      <c r="B35321" s="309"/>
      <c r="C35321" s="309"/>
      <c r="I35321" s="309"/>
      <c r="J35321" s="309"/>
    </row>
    <row r="35322">
      <c r="B35322" s="309"/>
      <c r="C35322" s="309"/>
      <c r="I35322" s="309"/>
      <c r="J35322" s="309"/>
    </row>
    <row r="35323">
      <c r="B35323" s="309"/>
      <c r="C35323" s="309"/>
      <c r="I35323" s="309"/>
      <c r="J35323" s="309"/>
    </row>
    <row r="35324">
      <c r="B35324" s="309"/>
      <c r="C35324" s="309"/>
      <c r="I35324" s="309"/>
      <c r="J35324" s="309"/>
    </row>
    <row r="35325">
      <c r="B35325" s="309"/>
      <c r="C35325" s="309"/>
      <c r="I35325" s="309"/>
      <c r="J35325" s="309"/>
    </row>
    <row r="35326">
      <c r="B35326" s="309"/>
      <c r="C35326" s="309"/>
      <c r="I35326" s="309"/>
      <c r="J35326" s="309"/>
    </row>
    <row r="35327">
      <c r="B35327" s="309"/>
      <c r="C35327" s="309"/>
      <c r="I35327" s="309"/>
      <c r="J35327" s="309"/>
    </row>
    <row r="35328">
      <c r="B35328" s="309"/>
      <c r="C35328" s="309"/>
      <c r="I35328" s="309"/>
      <c r="J35328" s="309"/>
    </row>
    <row r="35329">
      <c r="B35329" s="309"/>
      <c r="C35329" s="309"/>
      <c r="I35329" s="309"/>
      <c r="J35329" s="309"/>
    </row>
    <row r="35330">
      <c r="B35330" s="309"/>
      <c r="C35330" s="309"/>
      <c r="I35330" s="309"/>
      <c r="J35330" s="309"/>
    </row>
    <row r="35331">
      <c r="B35331" s="309"/>
      <c r="C35331" s="309"/>
      <c r="I35331" s="309"/>
      <c r="J35331" s="309"/>
    </row>
    <row r="35332">
      <c r="B35332" s="309"/>
      <c r="C35332" s="309"/>
      <c r="I35332" s="309"/>
      <c r="J35332" s="309"/>
    </row>
    <row r="35333">
      <c r="B35333" s="309"/>
      <c r="C35333" s="309"/>
      <c r="I35333" s="309"/>
      <c r="J35333" s="309"/>
    </row>
    <row r="35334">
      <c r="B35334" s="309"/>
      <c r="C35334" s="309"/>
      <c r="I35334" s="309"/>
      <c r="J35334" s="309"/>
    </row>
    <row r="35335">
      <c r="B35335" s="309"/>
      <c r="C35335" s="309"/>
      <c r="I35335" s="309"/>
      <c r="J35335" s="309"/>
    </row>
    <row r="35336">
      <c r="B35336" s="309"/>
      <c r="C35336" s="309"/>
      <c r="I35336" s="309"/>
      <c r="J35336" s="309"/>
    </row>
    <row r="35337">
      <c r="B35337" s="309"/>
      <c r="C35337" s="309"/>
      <c r="I35337" s="309"/>
      <c r="J35337" s="309"/>
    </row>
    <row r="35338">
      <c r="B35338" s="309"/>
      <c r="C35338" s="309"/>
      <c r="I35338" s="309"/>
      <c r="J35338" s="309"/>
    </row>
    <row r="35339">
      <c r="B35339" s="309"/>
      <c r="C35339" s="309"/>
      <c r="I35339" s="309"/>
      <c r="J35339" s="309"/>
    </row>
    <row r="35340">
      <c r="B35340" s="309"/>
      <c r="C35340" s="309"/>
      <c r="I35340" s="309"/>
      <c r="J35340" s="309"/>
    </row>
    <row r="35341">
      <c r="B35341" s="309"/>
      <c r="C35341" s="309"/>
      <c r="I35341" s="309"/>
      <c r="J35341" s="309"/>
    </row>
    <row r="35342">
      <c r="B35342" s="309"/>
      <c r="C35342" s="309"/>
      <c r="I35342" s="309"/>
      <c r="J35342" s="309"/>
    </row>
    <row r="35343">
      <c r="B35343" s="309"/>
      <c r="C35343" s="309"/>
      <c r="I35343" s="309"/>
      <c r="J35343" s="309"/>
    </row>
    <row r="35344">
      <c r="B35344" s="309"/>
      <c r="C35344" s="309"/>
      <c r="I35344" s="309"/>
      <c r="J35344" s="309"/>
    </row>
    <row r="35345">
      <c r="B35345" s="309"/>
      <c r="C35345" s="309"/>
      <c r="I35345" s="309"/>
      <c r="J35345" s="309"/>
    </row>
    <row r="35346">
      <c r="B35346" s="309"/>
      <c r="C35346" s="309"/>
      <c r="I35346" s="309"/>
      <c r="J35346" s="309"/>
    </row>
    <row r="35347">
      <c r="B35347" s="309"/>
      <c r="C35347" s="309"/>
      <c r="I35347" s="309"/>
      <c r="J35347" s="309"/>
    </row>
    <row r="35348">
      <c r="B35348" s="309"/>
      <c r="C35348" s="309"/>
      <c r="I35348" s="309"/>
      <c r="J35348" s="309"/>
    </row>
    <row r="35349">
      <c r="B35349" s="309"/>
      <c r="C35349" s="309"/>
      <c r="I35349" s="309"/>
      <c r="J35349" s="309"/>
    </row>
    <row r="35350">
      <c r="B35350" s="309"/>
      <c r="C35350" s="309"/>
      <c r="I35350" s="309"/>
      <c r="J35350" s="309"/>
    </row>
    <row r="35351">
      <c r="B35351" s="309"/>
      <c r="C35351" s="309"/>
      <c r="I35351" s="309"/>
      <c r="J35351" s="309"/>
    </row>
    <row r="35352">
      <c r="B35352" s="309"/>
      <c r="C35352" s="309"/>
      <c r="I35352" s="309"/>
      <c r="J35352" s="309"/>
    </row>
    <row r="35353">
      <c r="B35353" s="309"/>
      <c r="C35353" s="309"/>
      <c r="I35353" s="309"/>
      <c r="J35353" s="309"/>
    </row>
    <row r="35354">
      <c r="B35354" s="309"/>
      <c r="C35354" s="309"/>
      <c r="I35354" s="309"/>
      <c r="J35354" s="309"/>
    </row>
    <row r="35355">
      <c r="B35355" s="309"/>
      <c r="C35355" s="309"/>
      <c r="I35355" s="309"/>
      <c r="J35355" s="309"/>
    </row>
    <row r="35356">
      <c r="B35356" s="309"/>
      <c r="C35356" s="309"/>
      <c r="I35356" s="309"/>
      <c r="J35356" s="309"/>
    </row>
    <row r="35357">
      <c r="B35357" s="309"/>
      <c r="C35357" s="309"/>
      <c r="I35357" s="309"/>
      <c r="J35357" s="309"/>
    </row>
    <row r="35358">
      <c r="B35358" s="309"/>
      <c r="C35358" s="309"/>
      <c r="I35358" s="309"/>
      <c r="J35358" s="309"/>
    </row>
    <row r="35359">
      <c r="B35359" s="309"/>
      <c r="C35359" s="309"/>
      <c r="I35359" s="309"/>
      <c r="J35359" s="309"/>
    </row>
    <row r="35360">
      <c r="B35360" s="309"/>
      <c r="C35360" s="309"/>
      <c r="I35360" s="309"/>
      <c r="J35360" s="309"/>
    </row>
    <row r="35361">
      <c r="B35361" s="309"/>
      <c r="C35361" s="309"/>
      <c r="I35361" s="309"/>
      <c r="J35361" s="309"/>
    </row>
    <row r="35362">
      <c r="B35362" s="309"/>
      <c r="C35362" s="309"/>
      <c r="I35362" s="309"/>
      <c r="J35362" s="309"/>
    </row>
    <row r="35363">
      <c r="B35363" s="309"/>
      <c r="C35363" s="309"/>
      <c r="I35363" s="309"/>
      <c r="J35363" s="309"/>
    </row>
    <row r="35364">
      <c r="B35364" s="309"/>
      <c r="C35364" s="309"/>
      <c r="I35364" s="309"/>
      <c r="J35364" s="309"/>
    </row>
    <row r="35365">
      <c r="B35365" s="309"/>
      <c r="C35365" s="309"/>
      <c r="I35365" s="309"/>
      <c r="J35365" s="309"/>
    </row>
    <row r="35366">
      <c r="B35366" s="309"/>
      <c r="C35366" s="309"/>
      <c r="I35366" s="309"/>
      <c r="J35366" s="309"/>
    </row>
    <row r="35367">
      <c r="B35367" s="309"/>
      <c r="C35367" s="309"/>
      <c r="I35367" s="309"/>
      <c r="J35367" s="309"/>
    </row>
    <row r="35368">
      <c r="B35368" s="309"/>
      <c r="C35368" s="309"/>
      <c r="I35368" s="309"/>
      <c r="J35368" s="309"/>
    </row>
    <row r="35369">
      <c r="B35369" s="309"/>
      <c r="C35369" s="309"/>
      <c r="I35369" s="309"/>
      <c r="J35369" s="309"/>
    </row>
    <row r="35370">
      <c r="B35370" s="309"/>
      <c r="C35370" s="309"/>
      <c r="I35370" s="309"/>
      <c r="J35370" s="309"/>
    </row>
    <row r="35371">
      <c r="B35371" s="309"/>
      <c r="C35371" s="309"/>
      <c r="I35371" s="309"/>
      <c r="J35371" s="309"/>
    </row>
    <row r="35372">
      <c r="B35372" s="309"/>
      <c r="C35372" s="309"/>
      <c r="I35372" s="309"/>
      <c r="J35372" s="309"/>
    </row>
    <row r="35373">
      <c r="B35373" s="309"/>
      <c r="C35373" s="309"/>
      <c r="I35373" s="309"/>
      <c r="J35373" s="309"/>
    </row>
    <row r="35374">
      <c r="B35374" s="309"/>
      <c r="C35374" s="309"/>
      <c r="I35374" s="309"/>
      <c r="J35374" s="309"/>
    </row>
    <row r="35375">
      <c r="B35375" s="309"/>
      <c r="C35375" s="309"/>
      <c r="I35375" s="309"/>
      <c r="J35375" s="309"/>
    </row>
    <row r="35376">
      <c r="B35376" s="309"/>
      <c r="C35376" s="309"/>
      <c r="I35376" s="309"/>
      <c r="J35376" s="309"/>
    </row>
    <row r="35377">
      <c r="B35377" s="309"/>
      <c r="C35377" s="309"/>
      <c r="I35377" s="309"/>
      <c r="J35377" s="309"/>
    </row>
    <row r="35378">
      <c r="B35378" s="309"/>
      <c r="C35378" s="309"/>
      <c r="I35378" s="309"/>
      <c r="J35378" s="309"/>
    </row>
    <row r="35379">
      <c r="B35379" s="309"/>
      <c r="C35379" s="309"/>
      <c r="I35379" s="309"/>
      <c r="J35379" s="309"/>
    </row>
    <row r="35380">
      <c r="B35380" s="309"/>
      <c r="C35380" s="309"/>
      <c r="I35380" s="309"/>
      <c r="J35380" s="309"/>
    </row>
    <row r="35381">
      <c r="B35381" s="309"/>
      <c r="C35381" s="309"/>
      <c r="I35381" s="309"/>
      <c r="J35381" s="309"/>
    </row>
    <row r="35382">
      <c r="B35382" s="309"/>
      <c r="C35382" s="309"/>
      <c r="I35382" s="309"/>
      <c r="J35382" s="309"/>
    </row>
    <row r="35383">
      <c r="B35383" s="309"/>
      <c r="C35383" s="309"/>
      <c r="I35383" s="309"/>
      <c r="J35383" s="309"/>
    </row>
    <row r="35384">
      <c r="B35384" s="309"/>
      <c r="C35384" s="309"/>
      <c r="I35384" s="309"/>
      <c r="J35384" s="309"/>
    </row>
    <row r="35385">
      <c r="B35385" s="309"/>
      <c r="C35385" s="309"/>
      <c r="I35385" s="309"/>
      <c r="J35385" s="309"/>
    </row>
    <row r="35386">
      <c r="B35386" s="309"/>
      <c r="C35386" s="309"/>
      <c r="I35386" s="309"/>
      <c r="J35386" s="309"/>
    </row>
    <row r="35387">
      <c r="B35387" s="309"/>
      <c r="C35387" s="309"/>
      <c r="I35387" s="309"/>
      <c r="J35387" s="309"/>
    </row>
    <row r="35388">
      <c r="B35388" s="309"/>
      <c r="C35388" s="309"/>
      <c r="I35388" s="309"/>
      <c r="J35388" s="309"/>
    </row>
    <row r="35389">
      <c r="B35389" s="309"/>
      <c r="C35389" s="309"/>
      <c r="I35389" s="309"/>
      <c r="J35389" s="309"/>
    </row>
    <row r="35390">
      <c r="B35390" s="309"/>
      <c r="C35390" s="309"/>
      <c r="I35390" s="309"/>
      <c r="J35390" s="309"/>
    </row>
    <row r="35391">
      <c r="B35391" s="309"/>
      <c r="C35391" s="309"/>
      <c r="I35391" s="309"/>
      <c r="J35391" s="309"/>
    </row>
    <row r="35392">
      <c r="B35392" s="309"/>
      <c r="C35392" s="309"/>
      <c r="I35392" s="309"/>
      <c r="J35392" s="309"/>
    </row>
    <row r="35393">
      <c r="B35393" s="309"/>
      <c r="C35393" s="309"/>
      <c r="I35393" s="309"/>
      <c r="J35393" s="309"/>
    </row>
    <row r="35394">
      <c r="B35394" s="309"/>
      <c r="C35394" s="309"/>
      <c r="I35394" s="309"/>
      <c r="J35394" s="309"/>
    </row>
    <row r="35395">
      <c r="B35395" s="309"/>
      <c r="C35395" s="309"/>
      <c r="I35395" s="309"/>
      <c r="J35395" s="309"/>
    </row>
    <row r="35396">
      <c r="B35396" s="309"/>
      <c r="C35396" s="309"/>
      <c r="I35396" s="309"/>
      <c r="J35396" s="309"/>
    </row>
    <row r="35397">
      <c r="B35397" s="309"/>
      <c r="C35397" s="309"/>
      <c r="I35397" s="309"/>
      <c r="J35397" s="309"/>
    </row>
    <row r="35398">
      <c r="B35398" s="309"/>
      <c r="C35398" s="309"/>
      <c r="I35398" s="309"/>
      <c r="J35398" s="309"/>
    </row>
    <row r="35399">
      <c r="B35399" s="309"/>
      <c r="C35399" s="309"/>
      <c r="I35399" s="309"/>
      <c r="J35399" s="309"/>
    </row>
    <row r="35400">
      <c r="B35400" s="309"/>
      <c r="C35400" s="309"/>
      <c r="I35400" s="309"/>
      <c r="J35400" s="309"/>
    </row>
    <row r="35401">
      <c r="B35401" s="309"/>
      <c r="C35401" s="309"/>
      <c r="I35401" s="309"/>
      <c r="J35401" s="309"/>
    </row>
    <row r="35402">
      <c r="B35402" s="309"/>
      <c r="C35402" s="309"/>
      <c r="I35402" s="309"/>
      <c r="J35402" s="309"/>
    </row>
    <row r="35403">
      <c r="B35403" s="309"/>
      <c r="C35403" s="309"/>
      <c r="I35403" s="309"/>
      <c r="J35403" s="309"/>
    </row>
    <row r="35404">
      <c r="B35404" s="309"/>
      <c r="C35404" s="309"/>
      <c r="I35404" s="309"/>
      <c r="J35404" s="309"/>
    </row>
    <row r="35405">
      <c r="B35405" s="309"/>
      <c r="C35405" s="309"/>
      <c r="I35405" s="309"/>
      <c r="J35405" s="309"/>
    </row>
    <row r="35406">
      <c r="B35406" s="309"/>
      <c r="C35406" s="309"/>
      <c r="I35406" s="309"/>
      <c r="J35406" s="309"/>
    </row>
    <row r="35407">
      <c r="B35407" s="309"/>
      <c r="C35407" s="309"/>
      <c r="I35407" s="309"/>
      <c r="J35407" s="309"/>
    </row>
    <row r="35408">
      <c r="B35408" s="309"/>
      <c r="C35408" s="309"/>
      <c r="I35408" s="309"/>
      <c r="J35408" s="309"/>
    </row>
    <row r="35409">
      <c r="B35409" s="309"/>
      <c r="C35409" s="309"/>
      <c r="I35409" s="309"/>
      <c r="J35409" s="309"/>
    </row>
    <row r="35410">
      <c r="B35410" s="309"/>
      <c r="C35410" s="309"/>
      <c r="I35410" s="309"/>
      <c r="J35410" s="309"/>
    </row>
    <row r="35411">
      <c r="B35411" s="309"/>
      <c r="C35411" s="309"/>
      <c r="I35411" s="309"/>
      <c r="J35411" s="309"/>
    </row>
    <row r="35412">
      <c r="B35412" s="309"/>
      <c r="C35412" s="309"/>
      <c r="I35412" s="309"/>
      <c r="J35412" s="309"/>
    </row>
    <row r="35413">
      <c r="B35413" s="309"/>
      <c r="C35413" s="309"/>
      <c r="I35413" s="309"/>
      <c r="J35413" s="309"/>
    </row>
    <row r="35414">
      <c r="B35414" s="309"/>
      <c r="C35414" s="309"/>
      <c r="I35414" s="309"/>
      <c r="J35414" s="309"/>
    </row>
    <row r="35415">
      <c r="B35415" s="309"/>
      <c r="C35415" s="309"/>
      <c r="I35415" s="309"/>
      <c r="J35415" s="309"/>
    </row>
    <row r="35416">
      <c r="B35416" s="309"/>
      <c r="C35416" s="309"/>
      <c r="I35416" s="309"/>
      <c r="J35416" s="309"/>
    </row>
    <row r="35417">
      <c r="B35417" s="309"/>
      <c r="C35417" s="309"/>
      <c r="I35417" s="309"/>
      <c r="J35417" s="309"/>
    </row>
    <row r="35418">
      <c r="B35418" s="309"/>
      <c r="C35418" s="309"/>
      <c r="I35418" s="309"/>
      <c r="J35418" s="309"/>
    </row>
    <row r="35419">
      <c r="B35419" s="309"/>
      <c r="C35419" s="309"/>
      <c r="I35419" s="309"/>
      <c r="J35419" s="309"/>
    </row>
    <row r="35420">
      <c r="B35420" s="309"/>
      <c r="C35420" s="309"/>
      <c r="I35420" s="309"/>
      <c r="J35420" s="309"/>
    </row>
    <row r="35421">
      <c r="B35421" s="309"/>
      <c r="C35421" s="309"/>
      <c r="I35421" s="309"/>
      <c r="J35421" s="309"/>
    </row>
    <row r="35422">
      <c r="B35422" s="309"/>
      <c r="C35422" s="309"/>
      <c r="I35422" s="309"/>
      <c r="J35422" s="309"/>
    </row>
    <row r="35423">
      <c r="B35423" s="309"/>
      <c r="C35423" s="309"/>
      <c r="I35423" s="309"/>
      <c r="J35423" s="309"/>
    </row>
    <row r="35424">
      <c r="B35424" s="309"/>
      <c r="C35424" s="309"/>
      <c r="I35424" s="309"/>
      <c r="J35424" s="309"/>
    </row>
    <row r="35425">
      <c r="B35425" s="309"/>
      <c r="C35425" s="309"/>
      <c r="I35425" s="309"/>
      <c r="J35425" s="309"/>
    </row>
    <row r="35426">
      <c r="B35426" s="309"/>
      <c r="C35426" s="309"/>
      <c r="I35426" s="309"/>
      <c r="J35426" s="309"/>
    </row>
    <row r="35427">
      <c r="B35427" s="309"/>
      <c r="C35427" s="309"/>
      <c r="I35427" s="309"/>
      <c r="J35427" s="309"/>
    </row>
    <row r="35428">
      <c r="B35428" s="309"/>
      <c r="C35428" s="309"/>
      <c r="I35428" s="309"/>
      <c r="J35428" s="309"/>
    </row>
    <row r="35429">
      <c r="B35429" s="309"/>
      <c r="C35429" s="309"/>
      <c r="I35429" s="309"/>
      <c r="J35429" s="309"/>
    </row>
    <row r="35430">
      <c r="B35430" s="309"/>
      <c r="C35430" s="309"/>
      <c r="I35430" s="309"/>
      <c r="J35430" s="309"/>
    </row>
    <row r="35431">
      <c r="B35431" s="309"/>
      <c r="C35431" s="309"/>
      <c r="I35431" s="309"/>
      <c r="J35431" s="309"/>
    </row>
    <row r="35432">
      <c r="B35432" s="309"/>
      <c r="C35432" s="309"/>
      <c r="I35432" s="309"/>
      <c r="J35432" s="309"/>
    </row>
    <row r="35433">
      <c r="B35433" s="309"/>
      <c r="C35433" s="309"/>
      <c r="I35433" s="309"/>
      <c r="J35433" s="309"/>
    </row>
    <row r="35434">
      <c r="B35434" s="309"/>
      <c r="C35434" s="309"/>
      <c r="I35434" s="309"/>
      <c r="J35434" s="309"/>
    </row>
    <row r="35435">
      <c r="B35435" s="309"/>
      <c r="C35435" s="309"/>
      <c r="I35435" s="309"/>
      <c r="J35435" s="309"/>
    </row>
    <row r="35436">
      <c r="B35436" s="309"/>
      <c r="C35436" s="309"/>
      <c r="I35436" s="309"/>
      <c r="J35436" s="309"/>
    </row>
    <row r="35437">
      <c r="B35437" s="309"/>
      <c r="C35437" s="309"/>
      <c r="I35437" s="309"/>
      <c r="J35437" s="309"/>
    </row>
    <row r="35438">
      <c r="B35438" s="309"/>
      <c r="C35438" s="309"/>
      <c r="I35438" s="309"/>
      <c r="J35438" s="309"/>
    </row>
    <row r="35439">
      <c r="B35439" s="309"/>
      <c r="C35439" s="309"/>
      <c r="I35439" s="309"/>
      <c r="J35439" s="309"/>
    </row>
    <row r="35440">
      <c r="B35440" s="309"/>
      <c r="C35440" s="309"/>
      <c r="I35440" s="309"/>
      <c r="J35440" s="309"/>
    </row>
    <row r="35441">
      <c r="B35441" s="309"/>
      <c r="C35441" s="309"/>
      <c r="I35441" s="309"/>
      <c r="J35441" s="309"/>
    </row>
    <row r="35442">
      <c r="B35442" s="309"/>
      <c r="C35442" s="309"/>
      <c r="I35442" s="309"/>
      <c r="J35442" s="309"/>
    </row>
    <row r="35443">
      <c r="B35443" s="309"/>
      <c r="C35443" s="309"/>
      <c r="I35443" s="309"/>
      <c r="J35443" s="309"/>
    </row>
    <row r="35444">
      <c r="B35444" s="309"/>
      <c r="C35444" s="309"/>
      <c r="I35444" s="309"/>
      <c r="J35444" s="309"/>
    </row>
    <row r="35445">
      <c r="B35445" s="309"/>
      <c r="C35445" s="309"/>
      <c r="I35445" s="309"/>
      <c r="J35445" s="309"/>
    </row>
    <row r="35446">
      <c r="B35446" s="309"/>
      <c r="C35446" s="309"/>
      <c r="I35446" s="309"/>
      <c r="J35446" s="309"/>
    </row>
    <row r="35447">
      <c r="B35447" s="309"/>
      <c r="C35447" s="309"/>
      <c r="I35447" s="309"/>
      <c r="J35447" s="309"/>
    </row>
    <row r="35448">
      <c r="B35448" s="309"/>
      <c r="C35448" s="309"/>
      <c r="I35448" s="309"/>
      <c r="J35448" s="309"/>
    </row>
    <row r="35449">
      <c r="B35449" s="309"/>
      <c r="C35449" s="309"/>
      <c r="I35449" s="309"/>
      <c r="J35449" s="309"/>
    </row>
    <row r="35450">
      <c r="B35450" s="309"/>
      <c r="C35450" s="309"/>
      <c r="I35450" s="309"/>
      <c r="J35450" s="309"/>
    </row>
    <row r="35451">
      <c r="B35451" s="309"/>
      <c r="C35451" s="309"/>
      <c r="I35451" s="309"/>
      <c r="J35451" s="309"/>
    </row>
    <row r="35452">
      <c r="B35452" s="309"/>
      <c r="C35452" s="309"/>
      <c r="I35452" s="309"/>
      <c r="J35452" s="309"/>
    </row>
    <row r="35453">
      <c r="B35453" s="309"/>
      <c r="C35453" s="309"/>
      <c r="I35453" s="309"/>
      <c r="J35453" s="309"/>
    </row>
    <row r="35454">
      <c r="B35454" s="309"/>
      <c r="C35454" s="309"/>
      <c r="I35454" s="309"/>
      <c r="J35454" s="309"/>
    </row>
    <row r="35455">
      <c r="B35455" s="309"/>
      <c r="C35455" s="309"/>
      <c r="I35455" s="309"/>
      <c r="J35455" s="309"/>
    </row>
    <row r="35456">
      <c r="B35456" s="309"/>
      <c r="C35456" s="309"/>
      <c r="I35456" s="309"/>
      <c r="J35456" s="309"/>
    </row>
    <row r="35457">
      <c r="B35457" s="309"/>
      <c r="C35457" s="309"/>
      <c r="I35457" s="309"/>
      <c r="J35457" s="309"/>
    </row>
    <row r="35458">
      <c r="B35458" s="309"/>
      <c r="C35458" s="309"/>
      <c r="I35458" s="309"/>
      <c r="J35458" s="309"/>
    </row>
    <row r="35459">
      <c r="B35459" s="309"/>
      <c r="C35459" s="309"/>
      <c r="I35459" s="309"/>
      <c r="J35459" s="309"/>
    </row>
    <row r="35460">
      <c r="B35460" s="309"/>
      <c r="C35460" s="309"/>
      <c r="I35460" s="309"/>
      <c r="J35460" s="309"/>
    </row>
    <row r="35461">
      <c r="B35461" s="309"/>
      <c r="C35461" s="309"/>
      <c r="I35461" s="309"/>
      <c r="J35461" s="309"/>
    </row>
    <row r="35462">
      <c r="B35462" s="309"/>
      <c r="C35462" s="309"/>
      <c r="I35462" s="309"/>
      <c r="J35462" s="309"/>
    </row>
    <row r="35463">
      <c r="B35463" s="309"/>
      <c r="C35463" s="309"/>
      <c r="I35463" s="309"/>
      <c r="J35463" s="309"/>
    </row>
    <row r="35464">
      <c r="B35464" s="309"/>
      <c r="C35464" s="309"/>
      <c r="I35464" s="309"/>
      <c r="J35464" s="309"/>
    </row>
    <row r="35465">
      <c r="B35465" s="309"/>
      <c r="C35465" s="309"/>
      <c r="I35465" s="309"/>
      <c r="J35465" s="309"/>
    </row>
    <row r="35466">
      <c r="B35466" s="309"/>
      <c r="C35466" s="309"/>
      <c r="I35466" s="309"/>
      <c r="J35466" s="309"/>
    </row>
    <row r="35467">
      <c r="B35467" s="309"/>
      <c r="C35467" s="309"/>
      <c r="I35467" s="309"/>
      <c r="J35467" s="309"/>
    </row>
    <row r="35468">
      <c r="B35468" s="309"/>
      <c r="C35468" s="309"/>
      <c r="I35468" s="309"/>
      <c r="J35468" s="309"/>
    </row>
    <row r="35469">
      <c r="B35469" s="309"/>
      <c r="C35469" s="309"/>
      <c r="I35469" s="309"/>
      <c r="J35469" s="309"/>
    </row>
    <row r="35470">
      <c r="B35470" s="309"/>
      <c r="C35470" s="309"/>
      <c r="I35470" s="309"/>
      <c r="J35470" s="309"/>
    </row>
    <row r="35471">
      <c r="B35471" s="309"/>
      <c r="C35471" s="309"/>
      <c r="I35471" s="309"/>
      <c r="J35471" s="309"/>
    </row>
    <row r="35472">
      <c r="B35472" s="309"/>
      <c r="C35472" s="309"/>
      <c r="I35472" s="309"/>
      <c r="J35472" s="309"/>
    </row>
    <row r="35473">
      <c r="B35473" s="309"/>
      <c r="C35473" s="309"/>
      <c r="I35473" s="309"/>
      <c r="J35473" s="309"/>
    </row>
    <row r="35474">
      <c r="B35474" s="309"/>
      <c r="C35474" s="309"/>
      <c r="I35474" s="309"/>
      <c r="J35474" s="309"/>
    </row>
    <row r="35475">
      <c r="B35475" s="309"/>
      <c r="C35475" s="309"/>
      <c r="I35475" s="309"/>
      <c r="J35475" s="309"/>
    </row>
    <row r="35476">
      <c r="B35476" s="309"/>
      <c r="C35476" s="309"/>
      <c r="I35476" s="309"/>
      <c r="J35476" s="309"/>
    </row>
    <row r="35477">
      <c r="B35477" s="309"/>
      <c r="C35477" s="309"/>
      <c r="I35477" s="309"/>
      <c r="J35477" s="309"/>
    </row>
    <row r="35478">
      <c r="B35478" s="309"/>
      <c r="C35478" s="309"/>
      <c r="I35478" s="309"/>
      <c r="J35478" s="309"/>
    </row>
    <row r="35479">
      <c r="B35479" s="309"/>
      <c r="C35479" s="309"/>
      <c r="I35479" s="309"/>
      <c r="J35479" s="309"/>
    </row>
    <row r="35480">
      <c r="B35480" s="309"/>
      <c r="C35480" s="309"/>
      <c r="I35480" s="309"/>
      <c r="J35480" s="309"/>
    </row>
    <row r="35481">
      <c r="B35481" s="309"/>
      <c r="C35481" s="309"/>
      <c r="I35481" s="309"/>
      <c r="J35481" s="309"/>
    </row>
    <row r="35482">
      <c r="B35482" s="309"/>
      <c r="C35482" s="309"/>
      <c r="I35482" s="309"/>
      <c r="J35482" s="309"/>
    </row>
    <row r="35483">
      <c r="B35483" s="309"/>
      <c r="C35483" s="309"/>
      <c r="I35483" s="309"/>
      <c r="J35483" s="309"/>
    </row>
    <row r="35484">
      <c r="B35484" s="309"/>
      <c r="C35484" s="309"/>
      <c r="I35484" s="309"/>
      <c r="J35484" s="309"/>
    </row>
    <row r="35485">
      <c r="B35485" s="309"/>
      <c r="C35485" s="309"/>
      <c r="I35485" s="309"/>
      <c r="J35485" s="309"/>
    </row>
    <row r="35486">
      <c r="B35486" s="309"/>
      <c r="C35486" s="309"/>
      <c r="I35486" s="309"/>
      <c r="J35486" s="309"/>
    </row>
    <row r="35487">
      <c r="B35487" s="309"/>
      <c r="C35487" s="309"/>
      <c r="I35487" s="309"/>
      <c r="J35487" s="309"/>
    </row>
    <row r="35488">
      <c r="B35488" s="309"/>
      <c r="C35488" s="309"/>
      <c r="I35488" s="309"/>
      <c r="J35488" s="309"/>
    </row>
    <row r="35489">
      <c r="B35489" s="309"/>
      <c r="C35489" s="309"/>
      <c r="I35489" s="309"/>
      <c r="J35489" s="309"/>
    </row>
    <row r="35490">
      <c r="B35490" s="309"/>
      <c r="C35490" s="309"/>
      <c r="I35490" s="309"/>
      <c r="J35490" s="309"/>
    </row>
    <row r="35491">
      <c r="B35491" s="309"/>
      <c r="C35491" s="309"/>
      <c r="I35491" s="309"/>
      <c r="J35491" s="309"/>
    </row>
    <row r="35492">
      <c r="B35492" s="309"/>
      <c r="C35492" s="309"/>
      <c r="I35492" s="309"/>
      <c r="J35492" s="309"/>
    </row>
    <row r="35493">
      <c r="B35493" s="309"/>
      <c r="C35493" s="309"/>
      <c r="I35493" s="309"/>
      <c r="J35493" s="309"/>
    </row>
    <row r="35494">
      <c r="B35494" s="309"/>
      <c r="C35494" s="309"/>
      <c r="I35494" s="309"/>
      <c r="J35494" s="309"/>
    </row>
    <row r="35495">
      <c r="B35495" s="309"/>
      <c r="C35495" s="309"/>
      <c r="I35495" s="309"/>
      <c r="J35495" s="309"/>
    </row>
    <row r="35496">
      <c r="B35496" s="309"/>
      <c r="C35496" s="309"/>
      <c r="I35496" s="309"/>
      <c r="J35496" s="309"/>
    </row>
    <row r="35497">
      <c r="B35497" s="309"/>
      <c r="C35497" s="309"/>
      <c r="I35497" s="309"/>
      <c r="J35497" s="309"/>
    </row>
    <row r="35498">
      <c r="B35498" s="309"/>
      <c r="C35498" s="309"/>
      <c r="I35498" s="309"/>
      <c r="J35498" s="309"/>
    </row>
    <row r="35499">
      <c r="B35499" s="309"/>
      <c r="C35499" s="309"/>
      <c r="I35499" s="309"/>
      <c r="J35499" s="309"/>
    </row>
    <row r="35500">
      <c r="B35500" s="309"/>
      <c r="C35500" s="309"/>
      <c r="I35500" s="309"/>
      <c r="J35500" s="309"/>
    </row>
    <row r="35501">
      <c r="B35501" s="309"/>
      <c r="C35501" s="309"/>
      <c r="I35501" s="309"/>
      <c r="J35501" s="309"/>
    </row>
    <row r="35502">
      <c r="B35502" s="309"/>
      <c r="C35502" s="309"/>
      <c r="I35502" s="309"/>
      <c r="J35502" s="309"/>
    </row>
    <row r="35503">
      <c r="B35503" s="309"/>
      <c r="C35503" s="309"/>
      <c r="I35503" s="309"/>
      <c r="J35503" s="309"/>
    </row>
    <row r="35504">
      <c r="B35504" s="309"/>
      <c r="C35504" s="309"/>
      <c r="I35504" s="309"/>
      <c r="J35504" s="309"/>
    </row>
    <row r="35505">
      <c r="B35505" s="309"/>
      <c r="C35505" s="309"/>
      <c r="I35505" s="309"/>
      <c r="J35505" s="309"/>
    </row>
    <row r="35506">
      <c r="B35506" s="309"/>
      <c r="C35506" s="309"/>
      <c r="I35506" s="309"/>
      <c r="J35506" s="309"/>
    </row>
    <row r="35507">
      <c r="B35507" s="309"/>
      <c r="C35507" s="309"/>
      <c r="I35507" s="309"/>
      <c r="J35507" s="309"/>
    </row>
    <row r="35508">
      <c r="B35508" s="309"/>
      <c r="C35508" s="309"/>
      <c r="I35508" s="309"/>
      <c r="J35508" s="309"/>
    </row>
    <row r="35509">
      <c r="B35509" s="309"/>
      <c r="C35509" s="309"/>
      <c r="I35509" s="309"/>
      <c r="J35509" s="309"/>
    </row>
    <row r="35510">
      <c r="B35510" s="309"/>
      <c r="C35510" s="309"/>
      <c r="I35510" s="309"/>
      <c r="J35510" s="309"/>
    </row>
    <row r="35511">
      <c r="B35511" s="309"/>
      <c r="C35511" s="309"/>
      <c r="I35511" s="309"/>
      <c r="J35511" s="309"/>
    </row>
    <row r="35512">
      <c r="B35512" s="309"/>
      <c r="C35512" s="309"/>
      <c r="I35512" s="309"/>
      <c r="J35512" s="309"/>
    </row>
    <row r="35513">
      <c r="B35513" s="309"/>
      <c r="C35513" s="309"/>
      <c r="I35513" s="309"/>
      <c r="J35513" s="309"/>
    </row>
    <row r="35514">
      <c r="B35514" s="309"/>
      <c r="C35514" s="309"/>
      <c r="I35514" s="309"/>
      <c r="J35514" s="309"/>
    </row>
    <row r="35515">
      <c r="B35515" s="309"/>
      <c r="C35515" s="309"/>
      <c r="I35515" s="309"/>
      <c r="J35515" s="309"/>
    </row>
    <row r="35516">
      <c r="B35516" s="309"/>
      <c r="C35516" s="309"/>
      <c r="I35516" s="309"/>
      <c r="J35516" s="309"/>
    </row>
    <row r="35517">
      <c r="B35517" s="309"/>
      <c r="C35517" s="309"/>
      <c r="I35517" s="309"/>
      <c r="J35517" s="309"/>
    </row>
    <row r="35518">
      <c r="B35518" s="309"/>
      <c r="C35518" s="309"/>
      <c r="I35518" s="309"/>
      <c r="J35518" s="309"/>
    </row>
    <row r="35519">
      <c r="B35519" s="309"/>
      <c r="C35519" s="309"/>
      <c r="I35519" s="309"/>
      <c r="J35519" s="309"/>
    </row>
    <row r="35520">
      <c r="B35520" s="309"/>
      <c r="C35520" s="309"/>
      <c r="I35520" s="309"/>
      <c r="J35520" s="309"/>
    </row>
    <row r="35521">
      <c r="B35521" s="309"/>
      <c r="C35521" s="309"/>
      <c r="I35521" s="309"/>
      <c r="J35521" s="309"/>
    </row>
    <row r="35522">
      <c r="B35522" s="309"/>
      <c r="C35522" s="309"/>
      <c r="I35522" s="309"/>
      <c r="J35522" s="309"/>
    </row>
    <row r="35523">
      <c r="B35523" s="309"/>
      <c r="C35523" s="309"/>
      <c r="I35523" s="309"/>
      <c r="J35523" s="309"/>
    </row>
    <row r="35524">
      <c r="B35524" s="309"/>
      <c r="C35524" s="309"/>
      <c r="I35524" s="309"/>
      <c r="J35524" s="309"/>
    </row>
    <row r="35525">
      <c r="B35525" s="309"/>
      <c r="C35525" s="309"/>
      <c r="I35525" s="309"/>
      <c r="J35525" s="309"/>
    </row>
    <row r="35526">
      <c r="B35526" s="309"/>
      <c r="C35526" s="309"/>
      <c r="I35526" s="309"/>
      <c r="J35526" s="309"/>
    </row>
    <row r="35527">
      <c r="B35527" s="309"/>
      <c r="C35527" s="309"/>
      <c r="I35527" s="309"/>
      <c r="J35527" s="309"/>
    </row>
    <row r="35528">
      <c r="B35528" s="309"/>
      <c r="C35528" s="309"/>
      <c r="I35528" s="309"/>
      <c r="J35528" s="309"/>
    </row>
    <row r="35529">
      <c r="B35529" s="309"/>
      <c r="C35529" s="309"/>
      <c r="I35529" s="309"/>
      <c r="J35529" s="309"/>
    </row>
    <row r="35530">
      <c r="B35530" s="309"/>
      <c r="C35530" s="309"/>
      <c r="I35530" s="309"/>
      <c r="J35530" s="309"/>
    </row>
    <row r="35531">
      <c r="B35531" s="309"/>
      <c r="C35531" s="309"/>
      <c r="I35531" s="309"/>
      <c r="J35531" s="309"/>
    </row>
    <row r="35532">
      <c r="B35532" s="309"/>
      <c r="C35532" s="309"/>
      <c r="I35532" s="309"/>
      <c r="J35532" s="309"/>
    </row>
    <row r="35533">
      <c r="B35533" s="309"/>
      <c r="C35533" s="309"/>
      <c r="I35533" s="309"/>
      <c r="J35533" s="309"/>
    </row>
    <row r="35534">
      <c r="B35534" s="309"/>
      <c r="C35534" s="309"/>
      <c r="I35534" s="309"/>
      <c r="J35534" s="309"/>
    </row>
    <row r="35535">
      <c r="B35535" s="309"/>
      <c r="C35535" s="309"/>
      <c r="I35535" s="309"/>
      <c r="J35535" s="309"/>
    </row>
    <row r="35536">
      <c r="B35536" s="309"/>
      <c r="C35536" s="309"/>
      <c r="I35536" s="309"/>
      <c r="J35536" s="309"/>
    </row>
    <row r="35537">
      <c r="B35537" s="309"/>
      <c r="C35537" s="309"/>
      <c r="I35537" s="309"/>
      <c r="J35537" s="309"/>
    </row>
    <row r="35538">
      <c r="B35538" s="309"/>
      <c r="C35538" s="309"/>
      <c r="I35538" s="309"/>
      <c r="J35538" s="309"/>
    </row>
    <row r="35539">
      <c r="B35539" s="309"/>
      <c r="C35539" s="309"/>
      <c r="I35539" s="309"/>
      <c r="J35539" s="309"/>
    </row>
    <row r="35540">
      <c r="B35540" s="309"/>
      <c r="C35540" s="309"/>
      <c r="I35540" s="309"/>
      <c r="J35540" s="309"/>
    </row>
    <row r="35541">
      <c r="B35541" s="309"/>
      <c r="C35541" s="309"/>
      <c r="I35541" s="309"/>
      <c r="J35541" s="309"/>
    </row>
    <row r="35542">
      <c r="B35542" s="309"/>
      <c r="C35542" s="309"/>
      <c r="I35542" s="309"/>
      <c r="J35542" s="309"/>
    </row>
    <row r="35543">
      <c r="B35543" s="309"/>
      <c r="C35543" s="309"/>
      <c r="I35543" s="309"/>
      <c r="J35543" s="309"/>
    </row>
    <row r="35544">
      <c r="B35544" s="309"/>
      <c r="C35544" s="309"/>
      <c r="I35544" s="309"/>
      <c r="J35544" s="309"/>
    </row>
    <row r="35545">
      <c r="B35545" s="309"/>
      <c r="C35545" s="309"/>
      <c r="I35545" s="309"/>
      <c r="J35545" s="309"/>
    </row>
    <row r="35546">
      <c r="B35546" s="309"/>
      <c r="C35546" s="309"/>
      <c r="I35546" s="309"/>
      <c r="J35546" s="309"/>
    </row>
    <row r="35547">
      <c r="B35547" s="309"/>
      <c r="C35547" s="309"/>
      <c r="I35547" s="309"/>
      <c r="J35547" s="309"/>
    </row>
    <row r="35548">
      <c r="B35548" s="309"/>
      <c r="C35548" s="309"/>
      <c r="I35548" s="309"/>
      <c r="J35548" s="309"/>
    </row>
    <row r="35549">
      <c r="B35549" s="309"/>
      <c r="C35549" s="309"/>
      <c r="I35549" s="309"/>
      <c r="J35549" s="309"/>
    </row>
    <row r="35550">
      <c r="B35550" s="309"/>
      <c r="C35550" s="309"/>
      <c r="I35550" s="309"/>
      <c r="J35550" s="309"/>
    </row>
    <row r="35551">
      <c r="B35551" s="309"/>
      <c r="C35551" s="309"/>
      <c r="I35551" s="309"/>
      <c r="J35551" s="309"/>
    </row>
    <row r="35552">
      <c r="B35552" s="309"/>
      <c r="C35552" s="309"/>
      <c r="I35552" s="309"/>
      <c r="J35552" s="309"/>
    </row>
    <row r="35553">
      <c r="B35553" s="309"/>
      <c r="C35553" s="309"/>
      <c r="I35553" s="309"/>
      <c r="J35553" s="309"/>
    </row>
    <row r="35554">
      <c r="B35554" s="309"/>
      <c r="C35554" s="309"/>
      <c r="I35554" s="309"/>
      <c r="J35554" s="309"/>
    </row>
    <row r="35555">
      <c r="B35555" s="309"/>
      <c r="C35555" s="309"/>
      <c r="I35555" s="309"/>
      <c r="J35555" s="309"/>
    </row>
    <row r="35556">
      <c r="B35556" s="309"/>
      <c r="C35556" s="309"/>
      <c r="I35556" s="309"/>
      <c r="J35556" s="309"/>
    </row>
    <row r="35557">
      <c r="B35557" s="309"/>
      <c r="C35557" s="309"/>
      <c r="I35557" s="309"/>
      <c r="J35557" s="309"/>
    </row>
    <row r="35558">
      <c r="B35558" s="309"/>
      <c r="C35558" s="309"/>
      <c r="I35558" s="309"/>
      <c r="J35558" s="309"/>
    </row>
    <row r="35559">
      <c r="B35559" s="309"/>
      <c r="C35559" s="309"/>
      <c r="I35559" s="309"/>
      <c r="J35559" s="309"/>
    </row>
    <row r="35560">
      <c r="B35560" s="309"/>
      <c r="C35560" s="309"/>
      <c r="I35560" s="309"/>
      <c r="J35560" s="309"/>
    </row>
    <row r="35561">
      <c r="B35561" s="309"/>
      <c r="C35561" s="309"/>
      <c r="I35561" s="309"/>
      <c r="J35561" s="309"/>
    </row>
    <row r="35562">
      <c r="B35562" s="309"/>
      <c r="C35562" s="309"/>
      <c r="I35562" s="309"/>
      <c r="J35562" s="309"/>
    </row>
    <row r="35563">
      <c r="B35563" s="309"/>
      <c r="C35563" s="309"/>
      <c r="I35563" s="309"/>
      <c r="J35563" s="309"/>
    </row>
    <row r="35564">
      <c r="B35564" s="309"/>
      <c r="C35564" s="309"/>
      <c r="I35564" s="309"/>
      <c r="J35564" s="309"/>
    </row>
    <row r="35565">
      <c r="B35565" s="309"/>
      <c r="C35565" s="309"/>
      <c r="I35565" s="309"/>
      <c r="J35565" s="309"/>
    </row>
    <row r="35566">
      <c r="B35566" s="309"/>
      <c r="C35566" s="309"/>
      <c r="I35566" s="309"/>
      <c r="J35566" s="309"/>
    </row>
    <row r="35567">
      <c r="B35567" s="309"/>
      <c r="C35567" s="309"/>
      <c r="I35567" s="309"/>
      <c r="J35567" s="309"/>
    </row>
    <row r="35568">
      <c r="B35568" s="309"/>
      <c r="C35568" s="309"/>
      <c r="I35568" s="309"/>
      <c r="J35568" s="309"/>
    </row>
    <row r="35569">
      <c r="B35569" s="309"/>
      <c r="C35569" s="309"/>
      <c r="I35569" s="309"/>
      <c r="J35569" s="309"/>
    </row>
    <row r="35570">
      <c r="B35570" s="309"/>
      <c r="C35570" s="309"/>
      <c r="I35570" s="309"/>
      <c r="J35570" s="309"/>
    </row>
    <row r="35571">
      <c r="B35571" s="309"/>
      <c r="C35571" s="309"/>
      <c r="I35571" s="309"/>
      <c r="J35571" s="309"/>
    </row>
    <row r="35572">
      <c r="B35572" s="309"/>
      <c r="C35572" s="309"/>
      <c r="I35572" s="309"/>
      <c r="J35572" s="309"/>
    </row>
    <row r="35573">
      <c r="B35573" s="309"/>
      <c r="C35573" s="309"/>
      <c r="I35573" s="309"/>
      <c r="J35573" s="309"/>
    </row>
    <row r="35574">
      <c r="B35574" s="309"/>
      <c r="C35574" s="309"/>
      <c r="I35574" s="309"/>
      <c r="J35574" s="309"/>
    </row>
    <row r="35575">
      <c r="B35575" s="309"/>
      <c r="C35575" s="309"/>
      <c r="I35575" s="309"/>
      <c r="J35575" s="309"/>
    </row>
    <row r="35576">
      <c r="B35576" s="309"/>
      <c r="C35576" s="309"/>
      <c r="I35576" s="309"/>
      <c r="J35576" s="309"/>
    </row>
    <row r="35577">
      <c r="B35577" s="309"/>
      <c r="C35577" s="309"/>
      <c r="I35577" s="309"/>
      <c r="J35577" s="309"/>
    </row>
    <row r="35578">
      <c r="B35578" s="309"/>
      <c r="C35578" s="309"/>
      <c r="I35578" s="309"/>
      <c r="J35578" s="309"/>
    </row>
    <row r="35579">
      <c r="B35579" s="309"/>
      <c r="C35579" s="309"/>
      <c r="I35579" s="309"/>
      <c r="J35579" s="309"/>
    </row>
    <row r="35580">
      <c r="B35580" s="309"/>
      <c r="C35580" s="309"/>
      <c r="I35580" s="309"/>
      <c r="J35580" s="309"/>
    </row>
    <row r="35581">
      <c r="B35581" s="309"/>
      <c r="C35581" s="309"/>
      <c r="I35581" s="309"/>
      <c r="J35581" s="309"/>
    </row>
    <row r="35582">
      <c r="B35582" s="309"/>
      <c r="C35582" s="309"/>
      <c r="I35582" s="309"/>
      <c r="J35582" s="309"/>
    </row>
    <row r="35583">
      <c r="B35583" s="309"/>
      <c r="C35583" s="309"/>
      <c r="I35583" s="309"/>
      <c r="J35583" s="309"/>
    </row>
    <row r="35584">
      <c r="B35584" s="309"/>
      <c r="C35584" s="309"/>
      <c r="I35584" s="309"/>
      <c r="J35584" s="309"/>
    </row>
    <row r="35585">
      <c r="B35585" s="309"/>
      <c r="C35585" s="309"/>
      <c r="I35585" s="309"/>
      <c r="J35585" s="309"/>
    </row>
    <row r="35586">
      <c r="B35586" s="309"/>
      <c r="C35586" s="309"/>
      <c r="I35586" s="309"/>
      <c r="J35586" s="309"/>
    </row>
    <row r="35587">
      <c r="B35587" s="309"/>
      <c r="C35587" s="309"/>
      <c r="I35587" s="309"/>
      <c r="J35587" s="309"/>
    </row>
    <row r="35588">
      <c r="B35588" s="309"/>
      <c r="C35588" s="309"/>
      <c r="I35588" s="309"/>
      <c r="J35588" s="309"/>
    </row>
    <row r="35589">
      <c r="B35589" s="309"/>
      <c r="C35589" s="309"/>
      <c r="I35589" s="309"/>
      <c r="J35589" s="309"/>
    </row>
    <row r="35590">
      <c r="B35590" s="309"/>
      <c r="C35590" s="309"/>
      <c r="I35590" s="309"/>
      <c r="J35590" s="309"/>
    </row>
    <row r="35591">
      <c r="B35591" s="309"/>
      <c r="C35591" s="309"/>
      <c r="I35591" s="309"/>
      <c r="J35591" s="309"/>
    </row>
    <row r="35592">
      <c r="B35592" s="309"/>
      <c r="C35592" s="309"/>
      <c r="I35592" s="309"/>
      <c r="J35592" s="309"/>
    </row>
    <row r="35593">
      <c r="B35593" s="309"/>
      <c r="C35593" s="309"/>
      <c r="I35593" s="309"/>
      <c r="J35593" s="309"/>
    </row>
    <row r="35594">
      <c r="B35594" s="309"/>
      <c r="C35594" s="309"/>
      <c r="I35594" s="309"/>
      <c r="J35594" s="309"/>
    </row>
    <row r="35595">
      <c r="B35595" s="309"/>
      <c r="C35595" s="309"/>
      <c r="I35595" s="309"/>
      <c r="J35595" s="309"/>
    </row>
    <row r="35596">
      <c r="B35596" s="309"/>
      <c r="C35596" s="309"/>
      <c r="I35596" s="309"/>
      <c r="J35596" s="309"/>
    </row>
    <row r="35597">
      <c r="B35597" s="309"/>
      <c r="C35597" s="309"/>
      <c r="I35597" s="309"/>
      <c r="J35597" s="309"/>
    </row>
    <row r="35598">
      <c r="B35598" s="309"/>
      <c r="C35598" s="309"/>
      <c r="I35598" s="309"/>
      <c r="J35598" s="309"/>
    </row>
    <row r="35599">
      <c r="B35599" s="309"/>
      <c r="C35599" s="309"/>
      <c r="I35599" s="309"/>
      <c r="J35599" s="309"/>
    </row>
    <row r="35600">
      <c r="B35600" s="309"/>
      <c r="C35600" s="309"/>
      <c r="I35600" s="309"/>
      <c r="J35600" s="309"/>
    </row>
    <row r="35601">
      <c r="B35601" s="309"/>
      <c r="C35601" s="309"/>
      <c r="I35601" s="309"/>
      <c r="J35601" s="309"/>
    </row>
    <row r="35602">
      <c r="B35602" s="309"/>
      <c r="C35602" s="309"/>
      <c r="I35602" s="309"/>
      <c r="J35602" s="309"/>
    </row>
    <row r="35603">
      <c r="B35603" s="309"/>
      <c r="C35603" s="309"/>
      <c r="I35603" s="309"/>
      <c r="J35603" s="309"/>
    </row>
    <row r="35604">
      <c r="B35604" s="309"/>
      <c r="C35604" s="309"/>
      <c r="I35604" s="309"/>
      <c r="J35604" s="309"/>
    </row>
    <row r="35605">
      <c r="B35605" s="309"/>
      <c r="C35605" s="309"/>
      <c r="I35605" s="309"/>
      <c r="J35605" s="309"/>
    </row>
    <row r="35606">
      <c r="B35606" s="309"/>
      <c r="C35606" s="309"/>
      <c r="I35606" s="309"/>
      <c r="J35606" s="309"/>
    </row>
    <row r="35607">
      <c r="B35607" s="309"/>
      <c r="C35607" s="309"/>
      <c r="I35607" s="309"/>
      <c r="J35607" s="309"/>
    </row>
    <row r="35608">
      <c r="B35608" s="309"/>
      <c r="C35608" s="309"/>
      <c r="I35608" s="309"/>
      <c r="J35608" s="309"/>
    </row>
    <row r="35609">
      <c r="B35609" s="309"/>
      <c r="C35609" s="309"/>
      <c r="I35609" s="309"/>
      <c r="J35609" s="309"/>
    </row>
    <row r="35610">
      <c r="B35610" s="309"/>
      <c r="C35610" s="309"/>
      <c r="I35610" s="309"/>
      <c r="J35610" s="309"/>
    </row>
    <row r="35611">
      <c r="B35611" s="309"/>
      <c r="C35611" s="309"/>
      <c r="I35611" s="309"/>
      <c r="J35611" s="309"/>
    </row>
    <row r="35612">
      <c r="B35612" s="309"/>
      <c r="C35612" s="309"/>
      <c r="I35612" s="309"/>
      <c r="J35612" s="309"/>
    </row>
    <row r="35613">
      <c r="B35613" s="309"/>
      <c r="C35613" s="309"/>
      <c r="I35613" s="309"/>
      <c r="J35613" s="309"/>
    </row>
    <row r="35614">
      <c r="B35614" s="309"/>
      <c r="C35614" s="309"/>
      <c r="I35614" s="309"/>
      <c r="J35614" s="309"/>
    </row>
    <row r="35615">
      <c r="B35615" s="309"/>
      <c r="C35615" s="309"/>
      <c r="I35615" s="309"/>
      <c r="J35615" s="309"/>
    </row>
    <row r="35616">
      <c r="B35616" s="309"/>
      <c r="C35616" s="309"/>
      <c r="I35616" s="309"/>
      <c r="J35616" s="309"/>
    </row>
    <row r="35617">
      <c r="B35617" s="309"/>
      <c r="C35617" s="309"/>
      <c r="I35617" s="309"/>
      <c r="J35617" s="309"/>
    </row>
    <row r="35618">
      <c r="B35618" s="309"/>
      <c r="C35618" s="309"/>
      <c r="I35618" s="309"/>
      <c r="J35618" s="309"/>
    </row>
    <row r="35619">
      <c r="B35619" s="309"/>
      <c r="C35619" s="309"/>
      <c r="I35619" s="309"/>
      <c r="J35619" s="309"/>
    </row>
    <row r="35620">
      <c r="B35620" s="309"/>
      <c r="C35620" s="309"/>
      <c r="I35620" s="309"/>
      <c r="J35620" s="309"/>
    </row>
    <row r="35621">
      <c r="B35621" s="309"/>
      <c r="C35621" s="309"/>
      <c r="I35621" s="309"/>
      <c r="J35621" s="309"/>
    </row>
    <row r="35622">
      <c r="B35622" s="309"/>
      <c r="C35622" s="309"/>
      <c r="I35622" s="309"/>
      <c r="J35622" s="309"/>
    </row>
    <row r="35623">
      <c r="B35623" s="309"/>
      <c r="C35623" s="309"/>
      <c r="I35623" s="309"/>
      <c r="J35623" s="309"/>
    </row>
    <row r="35624">
      <c r="B35624" s="309"/>
      <c r="C35624" s="309"/>
      <c r="I35624" s="309"/>
      <c r="J35624" s="309"/>
    </row>
    <row r="35625">
      <c r="B35625" s="309"/>
      <c r="C35625" s="309"/>
      <c r="I35625" s="309"/>
      <c r="J35625" s="309"/>
    </row>
    <row r="35626">
      <c r="B35626" s="309"/>
      <c r="C35626" s="309"/>
      <c r="I35626" s="309"/>
      <c r="J35626" s="309"/>
    </row>
    <row r="35627">
      <c r="B35627" s="309"/>
      <c r="C35627" s="309"/>
      <c r="I35627" s="309"/>
      <c r="J35627" s="309"/>
    </row>
    <row r="35628">
      <c r="B35628" s="309"/>
      <c r="C35628" s="309"/>
      <c r="I35628" s="309"/>
      <c r="J35628" s="309"/>
    </row>
    <row r="35629">
      <c r="B35629" s="309"/>
      <c r="C35629" s="309"/>
      <c r="I35629" s="309"/>
      <c r="J35629" s="309"/>
    </row>
    <row r="35630">
      <c r="B35630" s="309"/>
      <c r="C35630" s="309"/>
      <c r="I35630" s="309"/>
      <c r="J35630" s="309"/>
    </row>
    <row r="35631">
      <c r="B35631" s="309"/>
      <c r="C35631" s="309"/>
      <c r="I35631" s="309"/>
      <c r="J35631" s="309"/>
    </row>
    <row r="35632">
      <c r="B35632" s="309"/>
      <c r="C35632" s="309"/>
      <c r="I35632" s="309"/>
      <c r="J35632" s="309"/>
    </row>
    <row r="35633">
      <c r="B35633" s="309"/>
      <c r="C35633" s="309"/>
      <c r="I35633" s="309"/>
      <c r="J35633" s="309"/>
    </row>
    <row r="35634">
      <c r="B35634" s="309"/>
      <c r="C35634" s="309"/>
      <c r="I35634" s="309"/>
      <c r="J35634" s="309"/>
    </row>
    <row r="35635">
      <c r="B35635" s="309"/>
      <c r="C35635" s="309"/>
      <c r="I35635" s="309"/>
      <c r="J35635" s="309"/>
    </row>
    <row r="35636">
      <c r="B35636" s="309"/>
      <c r="C35636" s="309"/>
      <c r="I35636" s="309"/>
      <c r="J35636" s="309"/>
    </row>
    <row r="35637">
      <c r="B35637" s="309"/>
      <c r="C35637" s="309"/>
      <c r="I35637" s="309"/>
      <c r="J35637" s="309"/>
    </row>
    <row r="35638">
      <c r="B35638" s="309"/>
      <c r="C35638" s="309"/>
      <c r="I35638" s="309"/>
      <c r="J35638" s="309"/>
    </row>
    <row r="35639">
      <c r="B35639" s="309"/>
      <c r="C35639" s="309"/>
      <c r="I35639" s="309"/>
      <c r="J35639" s="309"/>
    </row>
    <row r="35640">
      <c r="B35640" s="309"/>
      <c r="C35640" s="309"/>
      <c r="I35640" s="309"/>
      <c r="J35640" s="309"/>
    </row>
    <row r="35641">
      <c r="B35641" s="309"/>
      <c r="C35641" s="309"/>
      <c r="I35641" s="309"/>
      <c r="J35641" s="309"/>
    </row>
    <row r="35642">
      <c r="B35642" s="309"/>
      <c r="C35642" s="309"/>
      <c r="I35642" s="309"/>
      <c r="J35642" s="309"/>
    </row>
    <row r="35643">
      <c r="B35643" s="309"/>
      <c r="C35643" s="309"/>
      <c r="I35643" s="309"/>
      <c r="J35643" s="309"/>
    </row>
    <row r="35644">
      <c r="B35644" s="309"/>
      <c r="C35644" s="309"/>
      <c r="I35644" s="309"/>
      <c r="J35644" s="309"/>
    </row>
    <row r="35645">
      <c r="B35645" s="309"/>
      <c r="C35645" s="309"/>
      <c r="I35645" s="309"/>
      <c r="J35645" s="309"/>
    </row>
    <row r="35646">
      <c r="B35646" s="309"/>
      <c r="C35646" s="309"/>
      <c r="I35646" s="309"/>
      <c r="J35646" s="309"/>
    </row>
    <row r="35647">
      <c r="B35647" s="309"/>
      <c r="C35647" s="309"/>
      <c r="I35647" s="309"/>
      <c r="J35647" s="309"/>
    </row>
    <row r="35648">
      <c r="B35648" s="309"/>
      <c r="C35648" s="309"/>
      <c r="I35648" s="309"/>
      <c r="J35648" s="309"/>
    </row>
    <row r="35649">
      <c r="B35649" s="309"/>
      <c r="C35649" s="309"/>
      <c r="I35649" s="309"/>
      <c r="J35649" s="309"/>
    </row>
    <row r="35650">
      <c r="B35650" s="309"/>
      <c r="C35650" s="309"/>
      <c r="I35650" s="309"/>
      <c r="J35650" s="309"/>
    </row>
    <row r="35651">
      <c r="B35651" s="309"/>
      <c r="C35651" s="309"/>
      <c r="I35651" s="309"/>
      <c r="J35651" s="309"/>
    </row>
    <row r="35652">
      <c r="B35652" s="309"/>
      <c r="C35652" s="309"/>
      <c r="I35652" s="309"/>
      <c r="J35652" s="309"/>
    </row>
    <row r="35653">
      <c r="B35653" s="309"/>
      <c r="C35653" s="309"/>
      <c r="I35653" s="309"/>
      <c r="J35653" s="309"/>
    </row>
    <row r="35654">
      <c r="B35654" s="309"/>
      <c r="C35654" s="309"/>
      <c r="I35654" s="309"/>
      <c r="J35654" s="309"/>
    </row>
    <row r="35655">
      <c r="B35655" s="309"/>
      <c r="C35655" s="309"/>
      <c r="I35655" s="309"/>
      <c r="J35655" s="309"/>
    </row>
    <row r="35656">
      <c r="B35656" s="309"/>
      <c r="C35656" s="309"/>
      <c r="I35656" s="309"/>
      <c r="J35656" s="309"/>
    </row>
    <row r="35657">
      <c r="B35657" s="309"/>
      <c r="C35657" s="309"/>
      <c r="I35657" s="309"/>
      <c r="J35657" s="309"/>
    </row>
    <row r="35658">
      <c r="B35658" s="309"/>
      <c r="C35658" s="309"/>
      <c r="I35658" s="309"/>
      <c r="J35658" s="309"/>
    </row>
    <row r="35659">
      <c r="B35659" s="309"/>
      <c r="C35659" s="309"/>
      <c r="I35659" s="309"/>
      <c r="J35659" s="309"/>
    </row>
    <row r="35660">
      <c r="B35660" s="309"/>
      <c r="C35660" s="309"/>
      <c r="I35660" s="309"/>
      <c r="J35660" s="309"/>
    </row>
    <row r="35661">
      <c r="B35661" s="309"/>
      <c r="C35661" s="309"/>
      <c r="I35661" s="309"/>
      <c r="J35661" s="309"/>
    </row>
    <row r="35662">
      <c r="B35662" s="309"/>
      <c r="C35662" s="309"/>
      <c r="I35662" s="309"/>
      <c r="J35662" s="309"/>
    </row>
    <row r="35663">
      <c r="B35663" s="309"/>
      <c r="C35663" s="309"/>
      <c r="I35663" s="309"/>
      <c r="J35663" s="309"/>
    </row>
    <row r="35664">
      <c r="B35664" s="309"/>
      <c r="C35664" s="309"/>
      <c r="I35664" s="309"/>
      <c r="J35664" s="309"/>
    </row>
    <row r="35665">
      <c r="B35665" s="309"/>
      <c r="C35665" s="309"/>
      <c r="I35665" s="309"/>
      <c r="J35665" s="309"/>
    </row>
    <row r="35666">
      <c r="B35666" s="309"/>
      <c r="C35666" s="309"/>
      <c r="I35666" s="309"/>
      <c r="J35666" s="309"/>
    </row>
    <row r="35667">
      <c r="B35667" s="309"/>
      <c r="C35667" s="309"/>
      <c r="I35667" s="309"/>
      <c r="J35667" s="309"/>
    </row>
    <row r="35668">
      <c r="B35668" s="309"/>
      <c r="C35668" s="309"/>
      <c r="I35668" s="309"/>
      <c r="J35668" s="309"/>
    </row>
    <row r="35669">
      <c r="B35669" s="309"/>
      <c r="C35669" s="309"/>
      <c r="I35669" s="309"/>
      <c r="J35669" s="309"/>
    </row>
    <row r="35670">
      <c r="B35670" s="309"/>
      <c r="C35670" s="309"/>
      <c r="I35670" s="309"/>
      <c r="J35670" s="309"/>
    </row>
    <row r="35671">
      <c r="B35671" s="309"/>
      <c r="C35671" s="309"/>
      <c r="I35671" s="309"/>
      <c r="J35671" s="309"/>
    </row>
    <row r="35672">
      <c r="B35672" s="309"/>
      <c r="C35672" s="309"/>
      <c r="I35672" s="309"/>
      <c r="J35672" s="309"/>
    </row>
    <row r="35673">
      <c r="B35673" s="309"/>
      <c r="C35673" s="309"/>
      <c r="I35673" s="309"/>
      <c r="J35673" s="309"/>
    </row>
    <row r="35674">
      <c r="B35674" s="309"/>
      <c r="C35674" s="309"/>
      <c r="I35674" s="309"/>
      <c r="J35674" s="309"/>
    </row>
    <row r="35675">
      <c r="B35675" s="309"/>
      <c r="C35675" s="309"/>
      <c r="I35675" s="309"/>
      <c r="J35675" s="309"/>
    </row>
    <row r="35676">
      <c r="B35676" s="309"/>
      <c r="C35676" s="309"/>
      <c r="I35676" s="309"/>
      <c r="J35676" s="309"/>
    </row>
    <row r="35677">
      <c r="B35677" s="309"/>
      <c r="C35677" s="309"/>
      <c r="I35677" s="309"/>
      <c r="J35677" s="309"/>
    </row>
    <row r="35678">
      <c r="B35678" s="309"/>
      <c r="C35678" s="309"/>
      <c r="I35678" s="309"/>
      <c r="J35678" s="309"/>
    </row>
    <row r="35679">
      <c r="B35679" s="309"/>
      <c r="C35679" s="309"/>
      <c r="I35679" s="309"/>
      <c r="J35679" s="309"/>
    </row>
    <row r="35680">
      <c r="B35680" s="309"/>
      <c r="C35680" s="309"/>
      <c r="I35680" s="309"/>
      <c r="J35680" s="309"/>
    </row>
    <row r="35681">
      <c r="B35681" s="309"/>
      <c r="C35681" s="309"/>
      <c r="I35681" s="309"/>
      <c r="J35681" s="309"/>
    </row>
    <row r="35682">
      <c r="B35682" s="309"/>
      <c r="C35682" s="309"/>
      <c r="I35682" s="309"/>
      <c r="J35682" s="309"/>
    </row>
    <row r="35683">
      <c r="B35683" s="309"/>
      <c r="C35683" s="309"/>
      <c r="I35683" s="309"/>
      <c r="J35683" s="309"/>
    </row>
    <row r="35684">
      <c r="B35684" s="309"/>
      <c r="C35684" s="309"/>
      <c r="I35684" s="309"/>
      <c r="J35684" s="309"/>
    </row>
    <row r="35685">
      <c r="B35685" s="309"/>
      <c r="C35685" s="309"/>
      <c r="I35685" s="309"/>
      <c r="J35685" s="309"/>
    </row>
    <row r="35686">
      <c r="B35686" s="309"/>
      <c r="C35686" s="309"/>
      <c r="I35686" s="309"/>
      <c r="J35686" s="309"/>
    </row>
    <row r="35687">
      <c r="B35687" s="309"/>
      <c r="C35687" s="309"/>
      <c r="I35687" s="309"/>
      <c r="J35687" s="309"/>
    </row>
    <row r="35688">
      <c r="B35688" s="309"/>
      <c r="C35688" s="309"/>
      <c r="I35688" s="309"/>
      <c r="J35688" s="309"/>
    </row>
    <row r="35689">
      <c r="B35689" s="309"/>
      <c r="C35689" s="309"/>
      <c r="I35689" s="309"/>
      <c r="J35689" s="309"/>
    </row>
    <row r="35690">
      <c r="B35690" s="309"/>
      <c r="C35690" s="309"/>
      <c r="I35690" s="309"/>
      <c r="J35690" s="309"/>
    </row>
    <row r="35691">
      <c r="B35691" s="309"/>
      <c r="C35691" s="309"/>
      <c r="I35691" s="309"/>
      <c r="J35691" s="309"/>
    </row>
    <row r="35692">
      <c r="B35692" s="309"/>
      <c r="C35692" s="309"/>
      <c r="I35692" s="309"/>
      <c r="J35692" s="309"/>
    </row>
    <row r="35693">
      <c r="B35693" s="309"/>
      <c r="C35693" s="309"/>
      <c r="I35693" s="309"/>
      <c r="J35693" s="309"/>
    </row>
    <row r="35694">
      <c r="B35694" s="309"/>
      <c r="C35694" s="309"/>
      <c r="I35694" s="309"/>
      <c r="J35694" s="309"/>
    </row>
    <row r="35695">
      <c r="B35695" s="309"/>
      <c r="C35695" s="309"/>
      <c r="I35695" s="309"/>
      <c r="J35695" s="309"/>
    </row>
    <row r="35696">
      <c r="B35696" s="309"/>
      <c r="C35696" s="309"/>
      <c r="I35696" s="309"/>
      <c r="J35696" s="309"/>
    </row>
    <row r="35697">
      <c r="B35697" s="309"/>
      <c r="C35697" s="309"/>
      <c r="I35697" s="309"/>
      <c r="J35697" s="309"/>
    </row>
    <row r="35698">
      <c r="B35698" s="309"/>
      <c r="C35698" s="309"/>
      <c r="I35698" s="309"/>
      <c r="J35698" s="309"/>
    </row>
    <row r="35699">
      <c r="B35699" s="309"/>
      <c r="C35699" s="309"/>
      <c r="I35699" s="309"/>
      <c r="J35699" s="309"/>
    </row>
    <row r="35700">
      <c r="B35700" s="309"/>
      <c r="C35700" s="309"/>
      <c r="I35700" s="309"/>
      <c r="J35700" s="309"/>
    </row>
    <row r="35701">
      <c r="B35701" s="309"/>
      <c r="C35701" s="309"/>
      <c r="I35701" s="309"/>
      <c r="J35701" s="309"/>
    </row>
    <row r="35702">
      <c r="B35702" s="309"/>
      <c r="C35702" s="309"/>
      <c r="I35702" s="309"/>
      <c r="J35702" s="309"/>
    </row>
    <row r="35703">
      <c r="B35703" s="309"/>
      <c r="C35703" s="309"/>
      <c r="I35703" s="309"/>
      <c r="J35703" s="309"/>
    </row>
    <row r="35704">
      <c r="B35704" s="309"/>
      <c r="C35704" s="309"/>
      <c r="I35704" s="309"/>
      <c r="J35704" s="309"/>
    </row>
    <row r="35705">
      <c r="B35705" s="309"/>
      <c r="C35705" s="309"/>
      <c r="I35705" s="309"/>
      <c r="J35705" s="309"/>
    </row>
    <row r="35706">
      <c r="B35706" s="309"/>
      <c r="C35706" s="309"/>
      <c r="I35706" s="309"/>
      <c r="J35706" s="309"/>
    </row>
    <row r="35707">
      <c r="B35707" s="309"/>
      <c r="C35707" s="309"/>
      <c r="I35707" s="309"/>
      <c r="J35707" s="309"/>
    </row>
    <row r="35708">
      <c r="B35708" s="309"/>
      <c r="C35708" s="309"/>
      <c r="I35708" s="309"/>
      <c r="J35708" s="309"/>
    </row>
    <row r="35709">
      <c r="B35709" s="309"/>
      <c r="C35709" s="309"/>
      <c r="I35709" s="309"/>
      <c r="J35709" s="309"/>
    </row>
    <row r="35710">
      <c r="B35710" s="309"/>
      <c r="C35710" s="309"/>
      <c r="I35710" s="309"/>
      <c r="J35710" s="309"/>
    </row>
    <row r="35711">
      <c r="B35711" s="309"/>
      <c r="C35711" s="309"/>
      <c r="I35711" s="309"/>
      <c r="J35711" s="309"/>
    </row>
    <row r="35712">
      <c r="B35712" s="309"/>
      <c r="C35712" s="309"/>
      <c r="I35712" s="309"/>
      <c r="J35712" s="309"/>
    </row>
    <row r="35713">
      <c r="B35713" s="309"/>
      <c r="C35713" s="309"/>
      <c r="I35713" s="309"/>
      <c r="J35713" s="309"/>
    </row>
    <row r="35714">
      <c r="B35714" s="309"/>
      <c r="C35714" s="309"/>
      <c r="I35714" s="309"/>
      <c r="J35714" s="309"/>
    </row>
    <row r="35715">
      <c r="B35715" s="309"/>
      <c r="C35715" s="309"/>
      <c r="I35715" s="309"/>
      <c r="J35715" s="309"/>
    </row>
    <row r="35716">
      <c r="B35716" s="309"/>
      <c r="C35716" s="309"/>
      <c r="I35716" s="309"/>
      <c r="J35716" s="309"/>
    </row>
    <row r="35717">
      <c r="B35717" s="309"/>
      <c r="C35717" s="309"/>
      <c r="I35717" s="309"/>
      <c r="J35717" s="309"/>
    </row>
    <row r="35718">
      <c r="B35718" s="309"/>
      <c r="C35718" s="309"/>
      <c r="I35718" s="309"/>
      <c r="J35718" s="309"/>
    </row>
    <row r="35719">
      <c r="B35719" s="309"/>
      <c r="C35719" s="309"/>
      <c r="I35719" s="309"/>
      <c r="J35719" s="309"/>
    </row>
    <row r="35720">
      <c r="B35720" s="309"/>
      <c r="C35720" s="309"/>
      <c r="I35720" s="309"/>
      <c r="J35720" s="309"/>
    </row>
    <row r="35721">
      <c r="B35721" s="309"/>
      <c r="C35721" s="309"/>
      <c r="I35721" s="309"/>
      <c r="J35721" s="309"/>
    </row>
    <row r="35722">
      <c r="B35722" s="309"/>
      <c r="C35722" s="309"/>
      <c r="I35722" s="309"/>
      <c r="J35722" s="309"/>
    </row>
    <row r="35723">
      <c r="B35723" s="309"/>
      <c r="C35723" s="309"/>
      <c r="I35723" s="309"/>
      <c r="J35723" s="309"/>
    </row>
    <row r="35724">
      <c r="B35724" s="309"/>
      <c r="C35724" s="309"/>
      <c r="I35724" s="309"/>
      <c r="J35724" s="309"/>
    </row>
    <row r="35725">
      <c r="B35725" s="309"/>
      <c r="C35725" s="309"/>
      <c r="I35725" s="309"/>
      <c r="J35725" s="309"/>
    </row>
    <row r="35726">
      <c r="B35726" s="309"/>
      <c r="C35726" s="309"/>
      <c r="I35726" s="309"/>
      <c r="J35726" s="309"/>
    </row>
    <row r="35727">
      <c r="B35727" s="309"/>
      <c r="C35727" s="309"/>
      <c r="I35727" s="309"/>
      <c r="J35727" s="309"/>
    </row>
    <row r="35728">
      <c r="B35728" s="309"/>
      <c r="C35728" s="309"/>
      <c r="I35728" s="309"/>
      <c r="J35728" s="309"/>
    </row>
    <row r="35729">
      <c r="B35729" s="309"/>
      <c r="C35729" s="309"/>
      <c r="I35729" s="309"/>
      <c r="J35729" s="309"/>
    </row>
    <row r="35730">
      <c r="B35730" s="309"/>
      <c r="C35730" s="309"/>
      <c r="I35730" s="309"/>
      <c r="J35730" s="309"/>
    </row>
    <row r="35731">
      <c r="B35731" s="309"/>
      <c r="C35731" s="309"/>
      <c r="I35731" s="309"/>
      <c r="J35731" s="309"/>
    </row>
    <row r="35732">
      <c r="B35732" s="309"/>
      <c r="C35732" s="309"/>
      <c r="I35732" s="309"/>
      <c r="J35732" s="309"/>
    </row>
    <row r="35733">
      <c r="B35733" s="309"/>
      <c r="C35733" s="309"/>
      <c r="I35733" s="309"/>
      <c r="J35733" s="309"/>
    </row>
    <row r="35734">
      <c r="B35734" s="309"/>
      <c r="C35734" s="309"/>
      <c r="I35734" s="309"/>
      <c r="J35734" s="309"/>
    </row>
    <row r="35735">
      <c r="B35735" s="309"/>
      <c r="C35735" s="309"/>
      <c r="I35735" s="309"/>
      <c r="J35735" s="309"/>
    </row>
    <row r="35736">
      <c r="B35736" s="309"/>
      <c r="C35736" s="309"/>
      <c r="I35736" s="309"/>
      <c r="J35736" s="309"/>
    </row>
    <row r="35737">
      <c r="B35737" s="309"/>
      <c r="C35737" s="309"/>
      <c r="I35737" s="309"/>
      <c r="J35737" s="309"/>
    </row>
    <row r="35738">
      <c r="B35738" s="309"/>
      <c r="C35738" s="309"/>
      <c r="I35738" s="309"/>
      <c r="J35738" s="309"/>
    </row>
    <row r="35739">
      <c r="B35739" s="309"/>
      <c r="C35739" s="309"/>
      <c r="I35739" s="309"/>
      <c r="J35739" s="309"/>
    </row>
    <row r="35740">
      <c r="B35740" s="309"/>
      <c r="C35740" s="309"/>
      <c r="I35740" s="309"/>
      <c r="J35740" s="309"/>
    </row>
    <row r="35741">
      <c r="B35741" s="309"/>
      <c r="C35741" s="309"/>
      <c r="I35741" s="309"/>
      <c r="J35741" s="309"/>
    </row>
    <row r="35742">
      <c r="B35742" s="309"/>
      <c r="C35742" s="309"/>
      <c r="I35742" s="309"/>
      <c r="J35742" s="309"/>
    </row>
    <row r="35743">
      <c r="B35743" s="309"/>
      <c r="C35743" s="309"/>
      <c r="I35743" s="309"/>
      <c r="J35743" s="309"/>
    </row>
    <row r="35744">
      <c r="B35744" s="309"/>
      <c r="C35744" s="309"/>
      <c r="I35744" s="309"/>
      <c r="J35744" s="309"/>
    </row>
    <row r="35745">
      <c r="B35745" s="309"/>
      <c r="C35745" s="309"/>
      <c r="I35745" s="309"/>
      <c r="J35745" s="309"/>
    </row>
    <row r="35746">
      <c r="B35746" s="309"/>
      <c r="C35746" s="309"/>
      <c r="I35746" s="309"/>
      <c r="J35746" s="309"/>
    </row>
    <row r="35747">
      <c r="B35747" s="309"/>
      <c r="C35747" s="309"/>
      <c r="I35747" s="309"/>
      <c r="J35747" s="309"/>
    </row>
    <row r="35748">
      <c r="B35748" s="309"/>
      <c r="C35748" s="309"/>
      <c r="I35748" s="309"/>
      <c r="J35748" s="309"/>
    </row>
    <row r="35749">
      <c r="B35749" s="309"/>
      <c r="C35749" s="309"/>
      <c r="I35749" s="309"/>
      <c r="J35749" s="309"/>
    </row>
    <row r="35750">
      <c r="B35750" s="309"/>
      <c r="C35750" s="309"/>
      <c r="I35750" s="309"/>
      <c r="J35750" s="309"/>
    </row>
    <row r="35751">
      <c r="B35751" s="309"/>
      <c r="C35751" s="309"/>
      <c r="I35751" s="309"/>
      <c r="J35751" s="309"/>
    </row>
    <row r="35752">
      <c r="B35752" s="309"/>
      <c r="C35752" s="309"/>
      <c r="I35752" s="309"/>
      <c r="J35752" s="309"/>
    </row>
    <row r="35753">
      <c r="B35753" s="309"/>
      <c r="C35753" s="309"/>
      <c r="I35753" s="309"/>
      <c r="J35753" s="309"/>
    </row>
    <row r="35754">
      <c r="B35754" s="309"/>
      <c r="C35754" s="309"/>
      <c r="I35754" s="309"/>
      <c r="J35754" s="309"/>
    </row>
    <row r="35755">
      <c r="B35755" s="309"/>
      <c r="C35755" s="309"/>
      <c r="I35755" s="309"/>
      <c r="J35755" s="309"/>
    </row>
    <row r="35756">
      <c r="B35756" s="309"/>
      <c r="C35756" s="309"/>
      <c r="I35756" s="309"/>
      <c r="J35756" s="309"/>
    </row>
    <row r="35757">
      <c r="B35757" s="309"/>
      <c r="C35757" s="309"/>
      <c r="I35757" s="309"/>
      <c r="J35757" s="309"/>
    </row>
    <row r="35758">
      <c r="B35758" s="309"/>
      <c r="C35758" s="309"/>
      <c r="I35758" s="309"/>
      <c r="J35758" s="309"/>
    </row>
    <row r="35759">
      <c r="B35759" s="309"/>
      <c r="C35759" s="309"/>
      <c r="I35759" s="309"/>
      <c r="J35759" s="309"/>
    </row>
    <row r="35760">
      <c r="B35760" s="309"/>
      <c r="C35760" s="309"/>
      <c r="I35760" s="309"/>
      <c r="J35760" s="309"/>
    </row>
    <row r="35761">
      <c r="B35761" s="309"/>
      <c r="C35761" s="309"/>
      <c r="I35761" s="309"/>
      <c r="J35761" s="309"/>
    </row>
    <row r="35762">
      <c r="B35762" s="309"/>
      <c r="C35762" s="309"/>
      <c r="I35762" s="309"/>
      <c r="J35762" s="309"/>
    </row>
    <row r="35763">
      <c r="B35763" s="309"/>
      <c r="C35763" s="309"/>
      <c r="I35763" s="309"/>
      <c r="J35763" s="309"/>
    </row>
    <row r="35764">
      <c r="B35764" s="309"/>
      <c r="C35764" s="309"/>
      <c r="I35764" s="309"/>
      <c r="J35764" s="309"/>
    </row>
    <row r="35765">
      <c r="B35765" s="309"/>
      <c r="C35765" s="309"/>
      <c r="I35765" s="309"/>
      <c r="J35765" s="309"/>
    </row>
    <row r="35766">
      <c r="B35766" s="309"/>
      <c r="C35766" s="309"/>
      <c r="I35766" s="309"/>
      <c r="J35766" s="309"/>
    </row>
    <row r="35767">
      <c r="B35767" s="309"/>
      <c r="C35767" s="309"/>
      <c r="I35767" s="309"/>
      <c r="J35767" s="309"/>
    </row>
    <row r="35768">
      <c r="B35768" s="309"/>
      <c r="C35768" s="309"/>
      <c r="I35768" s="309"/>
      <c r="J35768" s="309"/>
    </row>
    <row r="35769">
      <c r="B35769" s="309"/>
      <c r="C35769" s="309"/>
      <c r="I35769" s="309"/>
      <c r="J35769" s="309"/>
    </row>
    <row r="35770">
      <c r="B35770" s="309"/>
      <c r="C35770" s="309"/>
      <c r="I35770" s="309"/>
      <c r="J35770" s="309"/>
    </row>
    <row r="35771">
      <c r="B35771" s="309"/>
      <c r="C35771" s="309"/>
      <c r="I35771" s="309"/>
      <c r="J35771" s="309"/>
    </row>
    <row r="35772">
      <c r="B35772" s="309"/>
      <c r="C35772" s="309"/>
      <c r="I35772" s="309"/>
      <c r="J35772" s="309"/>
    </row>
    <row r="35773">
      <c r="B35773" s="309"/>
      <c r="C35773" s="309"/>
      <c r="I35773" s="309"/>
      <c r="J35773" s="309"/>
    </row>
    <row r="35774">
      <c r="B35774" s="309"/>
      <c r="C35774" s="309"/>
      <c r="I35774" s="309"/>
      <c r="J35774" s="309"/>
    </row>
    <row r="35775">
      <c r="B35775" s="309"/>
      <c r="C35775" s="309"/>
      <c r="I35775" s="309"/>
      <c r="J35775" s="309"/>
    </row>
    <row r="35776">
      <c r="B35776" s="309"/>
      <c r="C35776" s="309"/>
      <c r="I35776" s="309"/>
      <c r="J35776" s="309"/>
    </row>
    <row r="35777">
      <c r="B35777" s="309"/>
      <c r="C35777" s="309"/>
      <c r="I35777" s="309"/>
      <c r="J35777" s="309"/>
    </row>
    <row r="35778">
      <c r="B35778" s="309"/>
      <c r="C35778" s="309"/>
      <c r="I35778" s="309"/>
      <c r="J35778" s="309"/>
    </row>
    <row r="35779">
      <c r="B35779" s="309"/>
      <c r="C35779" s="309"/>
      <c r="I35779" s="309"/>
      <c r="J35779" s="309"/>
    </row>
    <row r="35780">
      <c r="B35780" s="309"/>
      <c r="C35780" s="309"/>
      <c r="I35780" s="309"/>
      <c r="J35780" s="309"/>
    </row>
    <row r="35781">
      <c r="B35781" s="309"/>
      <c r="C35781" s="309"/>
      <c r="I35781" s="309"/>
      <c r="J35781" s="309"/>
    </row>
    <row r="35782">
      <c r="B35782" s="309"/>
      <c r="C35782" s="309"/>
      <c r="I35782" s="309"/>
      <c r="J35782" s="309"/>
    </row>
    <row r="35783">
      <c r="B35783" s="309"/>
      <c r="C35783" s="309"/>
      <c r="I35783" s="309"/>
      <c r="J35783" s="309"/>
    </row>
    <row r="35784">
      <c r="B35784" s="309"/>
      <c r="C35784" s="309"/>
      <c r="I35784" s="309"/>
      <c r="J35784" s="309"/>
    </row>
    <row r="35785">
      <c r="B35785" s="309"/>
      <c r="C35785" s="309"/>
      <c r="I35785" s="309"/>
      <c r="J35785" s="309"/>
    </row>
    <row r="35786">
      <c r="B35786" s="309"/>
      <c r="C35786" s="309"/>
      <c r="I35786" s="309"/>
      <c r="J35786" s="309"/>
    </row>
    <row r="35787">
      <c r="B35787" s="309"/>
      <c r="C35787" s="309"/>
      <c r="I35787" s="309"/>
      <c r="J35787" s="309"/>
    </row>
    <row r="35788">
      <c r="B35788" s="309"/>
      <c r="C35788" s="309"/>
      <c r="I35788" s="309"/>
      <c r="J35788" s="309"/>
    </row>
    <row r="35789">
      <c r="B35789" s="309"/>
      <c r="C35789" s="309"/>
      <c r="I35789" s="309"/>
      <c r="J35789" s="309"/>
    </row>
    <row r="35790">
      <c r="B35790" s="309"/>
      <c r="C35790" s="309"/>
      <c r="I35790" s="309"/>
      <c r="J35790" s="309"/>
    </row>
    <row r="35791">
      <c r="B35791" s="309"/>
      <c r="C35791" s="309"/>
      <c r="I35791" s="309"/>
      <c r="J35791" s="309"/>
    </row>
    <row r="35792">
      <c r="B35792" s="309"/>
      <c r="C35792" s="309"/>
      <c r="I35792" s="309"/>
      <c r="J35792" s="309"/>
    </row>
    <row r="35793">
      <c r="B35793" s="309"/>
      <c r="C35793" s="309"/>
      <c r="I35793" s="309"/>
      <c r="J35793" s="309"/>
    </row>
    <row r="35794">
      <c r="B35794" s="309"/>
      <c r="C35794" s="309"/>
      <c r="I35794" s="309"/>
      <c r="J35794" s="309"/>
    </row>
    <row r="35795">
      <c r="B35795" s="309"/>
      <c r="C35795" s="309"/>
      <c r="I35795" s="309"/>
      <c r="J35795" s="309"/>
    </row>
    <row r="35796">
      <c r="B35796" s="309"/>
      <c r="C35796" s="309"/>
      <c r="I35796" s="309"/>
      <c r="J35796" s="309"/>
    </row>
    <row r="35797">
      <c r="B35797" s="309"/>
      <c r="C35797" s="309"/>
      <c r="I35797" s="309"/>
      <c r="J35797" s="309"/>
    </row>
    <row r="35798">
      <c r="B35798" s="309"/>
      <c r="C35798" s="309"/>
      <c r="I35798" s="309"/>
      <c r="J35798" s="309"/>
    </row>
    <row r="35799">
      <c r="B35799" s="309"/>
      <c r="C35799" s="309"/>
      <c r="I35799" s="309"/>
      <c r="J35799" s="309"/>
    </row>
    <row r="35800">
      <c r="B35800" s="309"/>
      <c r="C35800" s="309"/>
      <c r="I35800" s="309"/>
      <c r="J35800" s="309"/>
    </row>
    <row r="35801">
      <c r="B35801" s="309"/>
      <c r="C35801" s="309"/>
      <c r="I35801" s="309"/>
      <c r="J35801" s="309"/>
    </row>
    <row r="35802">
      <c r="B35802" s="309"/>
      <c r="C35802" s="309"/>
      <c r="I35802" s="309"/>
      <c r="J35802" s="309"/>
    </row>
    <row r="35803">
      <c r="B35803" s="309"/>
      <c r="C35803" s="309"/>
      <c r="I35803" s="309"/>
      <c r="J35803" s="309"/>
    </row>
    <row r="35804">
      <c r="B35804" s="309"/>
      <c r="C35804" s="309"/>
      <c r="I35804" s="309"/>
      <c r="J35804" s="309"/>
    </row>
    <row r="35805">
      <c r="B35805" s="309"/>
      <c r="C35805" s="309"/>
      <c r="I35805" s="309"/>
      <c r="J35805" s="309"/>
    </row>
    <row r="35806">
      <c r="B35806" s="309"/>
      <c r="C35806" s="309"/>
      <c r="I35806" s="309"/>
      <c r="J35806" s="309"/>
    </row>
    <row r="35807">
      <c r="B35807" s="309"/>
      <c r="C35807" s="309"/>
      <c r="I35807" s="309"/>
      <c r="J35807" s="309"/>
    </row>
    <row r="35808">
      <c r="B35808" s="309"/>
      <c r="C35808" s="309"/>
      <c r="I35808" s="309"/>
      <c r="J35808" s="309"/>
    </row>
    <row r="35809">
      <c r="B35809" s="309"/>
      <c r="C35809" s="309"/>
      <c r="I35809" s="309"/>
      <c r="J35809" s="309"/>
    </row>
    <row r="35810">
      <c r="B35810" s="309"/>
      <c r="C35810" s="309"/>
      <c r="I35810" s="309"/>
      <c r="J35810" s="309"/>
    </row>
    <row r="35811">
      <c r="B35811" s="309"/>
      <c r="C35811" s="309"/>
      <c r="I35811" s="309"/>
      <c r="J35811" s="309"/>
    </row>
    <row r="35812">
      <c r="B35812" s="309"/>
      <c r="C35812" s="309"/>
      <c r="I35812" s="309"/>
      <c r="J35812" s="309"/>
    </row>
    <row r="35813">
      <c r="B35813" s="309"/>
      <c r="C35813" s="309"/>
      <c r="I35813" s="309"/>
      <c r="J35813" s="309"/>
    </row>
    <row r="35814">
      <c r="B35814" s="309"/>
      <c r="C35814" s="309"/>
      <c r="I35814" s="309"/>
      <c r="J35814" s="309"/>
    </row>
    <row r="35815">
      <c r="B35815" s="309"/>
      <c r="C35815" s="309"/>
      <c r="I35815" s="309"/>
      <c r="J35815" s="309"/>
    </row>
    <row r="35816">
      <c r="B35816" s="309"/>
      <c r="C35816" s="309"/>
      <c r="I35816" s="309"/>
      <c r="J35816" s="309"/>
    </row>
    <row r="35817">
      <c r="B35817" s="309"/>
      <c r="C35817" s="309"/>
      <c r="I35817" s="309"/>
      <c r="J35817" s="309"/>
    </row>
    <row r="35818">
      <c r="B35818" s="309"/>
      <c r="C35818" s="309"/>
      <c r="I35818" s="309"/>
      <c r="J35818" s="309"/>
    </row>
    <row r="35819">
      <c r="B35819" s="309"/>
      <c r="C35819" s="309"/>
      <c r="I35819" s="309"/>
      <c r="J35819" s="309"/>
    </row>
    <row r="35820">
      <c r="B35820" s="309"/>
      <c r="C35820" s="309"/>
      <c r="I35820" s="309"/>
      <c r="J35820" s="309"/>
    </row>
    <row r="35821">
      <c r="B35821" s="309"/>
      <c r="C35821" s="309"/>
      <c r="I35821" s="309"/>
      <c r="J35821" s="309"/>
    </row>
    <row r="35822">
      <c r="B35822" s="309"/>
      <c r="C35822" s="309"/>
      <c r="I35822" s="309"/>
      <c r="J35822" s="309"/>
    </row>
    <row r="35823">
      <c r="B35823" s="309"/>
      <c r="C35823" s="309"/>
      <c r="I35823" s="309"/>
      <c r="J35823" s="309"/>
    </row>
    <row r="35824">
      <c r="B35824" s="309"/>
      <c r="C35824" s="309"/>
      <c r="I35824" s="309"/>
      <c r="J35824" s="309"/>
    </row>
    <row r="35825">
      <c r="B35825" s="309"/>
      <c r="C35825" s="309"/>
      <c r="I35825" s="309"/>
      <c r="J35825" s="309"/>
    </row>
    <row r="35826">
      <c r="B35826" s="309"/>
      <c r="C35826" s="309"/>
      <c r="I35826" s="309"/>
      <c r="J35826" s="309"/>
    </row>
    <row r="35827">
      <c r="B35827" s="309"/>
      <c r="C35827" s="309"/>
      <c r="I35827" s="309"/>
      <c r="J35827" s="309"/>
    </row>
    <row r="35828">
      <c r="B35828" s="309"/>
      <c r="C35828" s="309"/>
      <c r="I35828" s="309"/>
      <c r="J35828" s="309"/>
    </row>
    <row r="35829">
      <c r="B35829" s="309"/>
      <c r="C35829" s="309"/>
      <c r="I35829" s="309"/>
      <c r="J35829" s="309"/>
    </row>
    <row r="35830">
      <c r="B35830" s="309"/>
      <c r="C35830" s="309"/>
      <c r="I35830" s="309"/>
      <c r="J35830" s="309"/>
    </row>
    <row r="35831">
      <c r="B35831" s="309"/>
      <c r="C35831" s="309"/>
      <c r="I35831" s="309"/>
      <c r="J35831" s="309"/>
    </row>
    <row r="35832">
      <c r="B35832" s="309"/>
      <c r="C35832" s="309"/>
      <c r="I35832" s="309"/>
      <c r="J35832" s="309"/>
    </row>
    <row r="35833">
      <c r="B35833" s="309"/>
      <c r="C35833" s="309"/>
      <c r="I35833" s="309"/>
      <c r="J35833" s="309"/>
    </row>
    <row r="35834">
      <c r="B35834" s="309"/>
      <c r="C35834" s="309"/>
      <c r="I35834" s="309"/>
      <c r="J35834" s="309"/>
    </row>
    <row r="35835">
      <c r="B35835" s="309"/>
      <c r="C35835" s="309"/>
      <c r="I35835" s="309"/>
      <c r="J35835" s="309"/>
    </row>
    <row r="35836">
      <c r="B35836" s="309"/>
      <c r="C35836" s="309"/>
      <c r="I35836" s="309"/>
      <c r="J35836" s="309"/>
    </row>
    <row r="35837">
      <c r="B35837" s="309"/>
      <c r="C35837" s="309"/>
      <c r="I35837" s="309"/>
      <c r="J35837" s="309"/>
    </row>
    <row r="35838">
      <c r="B35838" s="309"/>
      <c r="C35838" s="309"/>
      <c r="I35838" s="309"/>
      <c r="J35838" s="309"/>
    </row>
    <row r="35839">
      <c r="B35839" s="309"/>
      <c r="C35839" s="309"/>
      <c r="I35839" s="309"/>
      <c r="J35839" s="309"/>
    </row>
    <row r="35840">
      <c r="B35840" s="309"/>
      <c r="C35840" s="309"/>
      <c r="I35840" s="309"/>
      <c r="J35840" s="309"/>
    </row>
    <row r="35841">
      <c r="B35841" s="309"/>
      <c r="C35841" s="309"/>
      <c r="I35841" s="309"/>
      <c r="J35841" s="309"/>
    </row>
    <row r="35842">
      <c r="B35842" s="309"/>
      <c r="C35842" s="309"/>
      <c r="I35842" s="309"/>
      <c r="J35842" s="309"/>
    </row>
    <row r="35843">
      <c r="B35843" s="309"/>
      <c r="C35843" s="309"/>
      <c r="I35843" s="309"/>
      <c r="J35843" s="309"/>
    </row>
    <row r="35844">
      <c r="B35844" s="309"/>
      <c r="C35844" s="309"/>
      <c r="I35844" s="309"/>
      <c r="J35844" s="309"/>
    </row>
    <row r="35845">
      <c r="B35845" s="309"/>
      <c r="C35845" s="309"/>
      <c r="I35845" s="309"/>
      <c r="J35845" s="309"/>
    </row>
    <row r="35846">
      <c r="B35846" s="309"/>
      <c r="C35846" s="309"/>
      <c r="I35846" s="309"/>
      <c r="J35846" s="309"/>
    </row>
    <row r="35847">
      <c r="B35847" s="309"/>
      <c r="C35847" s="309"/>
      <c r="I35847" s="309"/>
      <c r="J35847" s="309"/>
    </row>
    <row r="35848">
      <c r="B35848" s="309"/>
      <c r="C35848" s="309"/>
      <c r="I35848" s="309"/>
      <c r="J35848" s="309"/>
    </row>
    <row r="35849">
      <c r="B35849" s="309"/>
      <c r="C35849" s="309"/>
      <c r="I35849" s="309"/>
      <c r="J35849" s="309"/>
    </row>
    <row r="35850">
      <c r="B35850" s="309"/>
      <c r="C35850" s="309"/>
      <c r="I35850" s="309"/>
      <c r="J35850" s="309"/>
    </row>
    <row r="35851">
      <c r="B35851" s="309"/>
      <c r="C35851" s="309"/>
      <c r="I35851" s="309"/>
      <c r="J35851" s="309"/>
    </row>
    <row r="35852">
      <c r="B35852" s="309"/>
      <c r="C35852" s="309"/>
      <c r="I35852" s="309"/>
      <c r="J35852" s="309"/>
    </row>
    <row r="35853">
      <c r="B35853" s="309"/>
      <c r="C35853" s="309"/>
      <c r="I35853" s="309"/>
      <c r="J35853" s="309"/>
    </row>
    <row r="35854">
      <c r="B35854" s="309"/>
      <c r="C35854" s="309"/>
      <c r="I35854" s="309"/>
      <c r="J35854" s="309"/>
    </row>
    <row r="35855">
      <c r="B35855" s="309"/>
      <c r="C35855" s="309"/>
      <c r="I35855" s="309"/>
      <c r="J35855" s="309"/>
    </row>
    <row r="35856">
      <c r="B35856" s="309"/>
      <c r="C35856" s="309"/>
      <c r="I35856" s="309"/>
      <c r="J35856" s="309"/>
    </row>
    <row r="35857">
      <c r="B35857" s="309"/>
      <c r="C35857" s="309"/>
      <c r="I35857" s="309"/>
      <c r="J35857" s="309"/>
    </row>
    <row r="35858">
      <c r="B35858" s="309"/>
      <c r="C35858" s="309"/>
      <c r="I35858" s="309"/>
      <c r="J35858" s="309"/>
    </row>
    <row r="35859">
      <c r="B35859" s="309"/>
      <c r="C35859" s="309"/>
      <c r="I35859" s="309"/>
      <c r="J35859" s="309"/>
    </row>
    <row r="35860">
      <c r="B35860" s="309"/>
      <c r="C35860" s="309"/>
      <c r="I35860" s="309"/>
      <c r="J35860" s="309"/>
    </row>
    <row r="35861">
      <c r="B35861" s="309"/>
      <c r="C35861" s="309"/>
      <c r="I35861" s="309"/>
      <c r="J35861" s="309"/>
    </row>
    <row r="35862">
      <c r="B35862" s="309"/>
      <c r="C35862" s="309"/>
      <c r="I35862" s="309"/>
      <c r="J35862" s="309"/>
    </row>
    <row r="35863">
      <c r="B35863" s="309"/>
      <c r="C35863" s="309"/>
      <c r="I35863" s="309"/>
      <c r="J35863" s="309"/>
    </row>
    <row r="35864">
      <c r="B35864" s="309"/>
      <c r="C35864" s="309"/>
      <c r="I35864" s="309"/>
      <c r="J35864" s="309"/>
    </row>
    <row r="35865">
      <c r="B35865" s="309"/>
      <c r="C35865" s="309"/>
      <c r="I35865" s="309"/>
      <c r="J35865" s="309"/>
    </row>
    <row r="35866">
      <c r="B35866" s="309"/>
      <c r="C35866" s="309"/>
      <c r="I35866" s="309"/>
      <c r="J35866" s="309"/>
    </row>
    <row r="35867">
      <c r="B35867" s="309"/>
      <c r="C35867" s="309"/>
      <c r="I35867" s="309"/>
      <c r="J35867" s="309"/>
    </row>
    <row r="35868">
      <c r="B35868" s="309"/>
      <c r="C35868" s="309"/>
      <c r="I35868" s="309"/>
      <c r="J35868" s="309"/>
    </row>
    <row r="35869">
      <c r="B35869" s="309"/>
      <c r="C35869" s="309"/>
      <c r="I35869" s="309"/>
      <c r="J35869" s="309"/>
    </row>
    <row r="35870">
      <c r="B35870" s="309"/>
      <c r="C35870" s="309"/>
      <c r="I35870" s="309"/>
      <c r="J35870" s="309"/>
    </row>
    <row r="35871">
      <c r="B35871" s="309"/>
      <c r="C35871" s="309"/>
      <c r="I35871" s="309"/>
      <c r="J35871" s="309"/>
    </row>
    <row r="35872">
      <c r="B35872" s="309"/>
      <c r="C35872" s="309"/>
      <c r="I35872" s="309"/>
      <c r="J35872" s="309"/>
    </row>
    <row r="35873">
      <c r="B35873" s="309"/>
      <c r="C35873" s="309"/>
      <c r="I35873" s="309"/>
      <c r="J35873" s="309"/>
    </row>
    <row r="35874">
      <c r="B35874" s="309"/>
      <c r="C35874" s="309"/>
      <c r="I35874" s="309"/>
      <c r="J35874" s="309"/>
    </row>
    <row r="35875">
      <c r="B35875" s="309"/>
      <c r="C35875" s="309"/>
      <c r="I35875" s="309"/>
      <c r="J35875" s="309"/>
    </row>
    <row r="35876">
      <c r="B35876" s="309"/>
      <c r="C35876" s="309"/>
      <c r="I35876" s="309"/>
      <c r="J35876" s="309"/>
    </row>
    <row r="35877">
      <c r="B35877" s="309"/>
      <c r="C35877" s="309"/>
      <c r="I35877" s="309"/>
      <c r="J35877" s="309"/>
    </row>
    <row r="35878">
      <c r="B35878" s="309"/>
      <c r="C35878" s="309"/>
      <c r="I35878" s="309"/>
      <c r="J35878" s="309"/>
    </row>
    <row r="35879">
      <c r="B35879" s="309"/>
      <c r="C35879" s="309"/>
      <c r="I35879" s="309"/>
      <c r="J35879" s="309"/>
    </row>
    <row r="35880">
      <c r="B35880" s="309"/>
      <c r="C35880" s="309"/>
      <c r="I35880" s="309"/>
      <c r="J35880" s="309"/>
    </row>
    <row r="35881">
      <c r="B35881" s="309"/>
      <c r="C35881" s="309"/>
      <c r="I35881" s="309"/>
      <c r="J35881" s="309"/>
    </row>
    <row r="35882">
      <c r="B35882" s="309"/>
      <c r="C35882" s="309"/>
      <c r="I35882" s="309"/>
      <c r="J35882" s="309"/>
    </row>
    <row r="35883">
      <c r="B35883" s="309"/>
      <c r="C35883" s="309"/>
      <c r="I35883" s="309"/>
      <c r="J35883" s="309"/>
    </row>
    <row r="35884">
      <c r="B35884" s="309"/>
      <c r="C35884" s="309"/>
      <c r="I35884" s="309"/>
      <c r="J35884" s="309"/>
    </row>
    <row r="35885">
      <c r="B35885" s="309"/>
      <c r="C35885" s="309"/>
      <c r="I35885" s="309"/>
      <c r="J35885" s="309"/>
    </row>
    <row r="35886">
      <c r="B35886" s="309"/>
      <c r="C35886" s="309"/>
      <c r="I35886" s="309"/>
      <c r="J35886" s="309"/>
    </row>
    <row r="35887">
      <c r="B35887" s="309"/>
      <c r="C35887" s="309"/>
      <c r="I35887" s="309"/>
      <c r="J35887" s="309"/>
    </row>
    <row r="35888">
      <c r="B35888" s="309"/>
      <c r="C35888" s="309"/>
      <c r="I35888" s="309"/>
      <c r="J35888" s="309"/>
    </row>
    <row r="35889">
      <c r="B35889" s="309"/>
      <c r="C35889" s="309"/>
      <c r="I35889" s="309"/>
      <c r="J35889" s="309"/>
    </row>
    <row r="35890">
      <c r="B35890" s="309"/>
      <c r="C35890" s="309"/>
      <c r="I35890" s="309"/>
      <c r="J35890" s="309"/>
    </row>
    <row r="35891">
      <c r="B35891" s="309"/>
      <c r="C35891" s="309"/>
      <c r="I35891" s="309"/>
      <c r="J35891" s="309"/>
    </row>
    <row r="35892">
      <c r="B35892" s="309"/>
      <c r="C35892" s="309"/>
      <c r="I35892" s="309"/>
      <c r="J35892" s="309"/>
    </row>
    <row r="35893">
      <c r="B35893" s="309"/>
      <c r="C35893" s="309"/>
      <c r="I35893" s="309"/>
      <c r="J35893" s="309"/>
    </row>
    <row r="35894">
      <c r="B35894" s="309"/>
      <c r="C35894" s="309"/>
      <c r="I35894" s="309"/>
      <c r="J35894" s="309"/>
    </row>
    <row r="35895">
      <c r="B35895" s="309"/>
      <c r="C35895" s="309"/>
      <c r="I35895" s="309"/>
      <c r="J35895" s="309"/>
    </row>
    <row r="35896">
      <c r="B35896" s="309"/>
      <c r="C35896" s="309"/>
      <c r="I35896" s="309"/>
      <c r="J35896" s="309"/>
    </row>
    <row r="35897">
      <c r="B35897" s="309"/>
      <c r="C35897" s="309"/>
      <c r="I35897" s="309"/>
      <c r="J35897" s="309"/>
    </row>
    <row r="35898">
      <c r="B35898" s="309"/>
      <c r="C35898" s="309"/>
      <c r="I35898" s="309"/>
      <c r="J35898" s="309"/>
    </row>
    <row r="35899">
      <c r="B35899" s="309"/>
      <c r="C35899" s="309"/>
      <c r="I35899" s="309"/>
      <c r="J35899" s="309"/>
    </row>
    <row r="35900">
      <c r="B35900" s="309"/>
      <c r="C35900" s="309"/>
      <c r="I35900" s="309"/>
      <c r="J35900" s="309"/>
    </row>
    <row r="35901">
      <c r="B35901" s="309"/>
      <c r="C35901" s="309"/>
      <c r="I35901" s="309"/>
      <c r="J35901" s="309"/>
    </row>
    <row r="35902">
      <c r="B35902" s="309"/>
      <c r="C35902" s="309"/>
      <c r="I35902" s="309"/>
      <c r="J35902" s="309"/>
    </row>
    <row r="35903">
      <c r="B35903" s="309"/>
      <c r="C35903" s="309"/>
      <c r="I35903" s="309"/>
      <c r="J35903" s="309"/>
    </row>
    <row r="35904">
      <c r="B35904" s="309"/>
      <c r="C35904" s="309"/>
      <c r="I35904" s="309"/>
      <c r="J35904" s="309"/>
    </row>
    <row r="35905">
      <c r="B35905" s="309"/>
      <c r="C35905" s="309"/>
      <c r="I35905" s="309"/>
      <c r="J35905" s="309"/>
    </row>
    <row r="35906">
      <c r="B35906" s="309"/>
      <c r="C35906" s="309"/>
      <c r="I35906" s="309"/>
      <c r="J35906" s="309"/>
    </row>
    <row r="35907">
      <c r="B35907" s="309"/>
      <c r="C35907" s="309"/>
      <c r="I35907" s="309"/>
      <c r="J35907" s="309"/>
    </row>
    <row r="35908">
      <c r="B35908" s="309"/>
      <c r="C35908" s="309"/>
      <c r="I35908" s="309"/>
      <c r="J35908" s="309"/>
    </row>
    <row r="35909">
      <c r="B35909" s="309"/>
      <c r="C35909" s="309"/>
      <c r="I35909" s="309"/>
      <c r="J35909" s="309"/>
    </row>
    <row r="35910">
      <c r="B35910" s="309"/>
      <c r="C35910" s="309"/>
      <c r="I35910" s="309"/>
      <c r="J35910" s="309"/>
    </row>
    <row r="35911">
      <c r="B35911" s="309"/>
      <c r="C35911" s="309"/>
      <c r="I35911" s="309"/>
      <c r="J35911" s="309"/>
    </row>
    <row r="35912">
      <c r="B35912" s="309"/>
      <c r="C35912" s="309"/>
      <c r="I35912" s="309"/>
      <c r="J35912" s="309"/>
    </row>
    <row r="35913">
      <c r="B35913" s="309"/>
      <c r="C35913" s="309"/>
      <c r="I35913" s="309"/>
      <c r="J35913" s="309"/>
    </row>
    <row r="35914">
      <c r="B35914" s="309"/>
      <c r="C35914" s="309"/>
      <c r="I35914" s="309"/>
      <c r="J35914" s="309"/>
    </row>
    <row r="35915">
      <c r="B35915" s="309"/>
      <c r="C35915" s="309"/>
      <c r="I35915" s="309"/>
      <c r="J35915" s="309"/>
    </row>
    <row r="35916">
      <c r="B35916" s="309"/>
      <c r="C35916" s="309"/>
      <c r="I35916" s="309"/>
      <c r="J35916" s="309"/>
    </row>
    <row r="35917">
      <c r="B35917" s="309"/>
      <c r="C35917" s="309"/>
      <c r="I35917" s="309"/>
      <c r="J35917" s="309"/>
    </row>
    <row r="35918">
      <c r="B35918" s="309"/>
      <c r="C35918" s="309"/>
      <c r="I35918" s="309"/>
      <c r="J35918" s="309"/>
    </row>
    <row r="35919">
      <c r="B35919" s="309"/>
      <c r="C35919" s="309"/>
      <c r="I35919" s="309"/>
      <c r="J35919" s="309"/>
    </row>
    <row r="35920">
      <c r="B35920" s="309"/>
      <c r="C35920" s="309"/>
      <c r="I35920" s="309"/>
      <c r="J35920" s="309"/>
    </row>
    <row r="35921">
      <c r="B35921" s="309"/>
      <c r="C35921" s="309"/>
      <c r="I35921" s="309"/>
      <c r="J35921" s="309"/>
    </row>
    <row r="35922">
      <c r="B35922" s="309"/>
      <c r="C35922" s="309"/>
      <c r="I35922" s="309"/>
      <c r="J35922" s="309"/>
    </row>
    <row r="35923">
      <c r="B35923" s="309"/>
      <c r="C35923" s="309"/>
      <c r="I35923" s="309"/>
      <c r="J35923" s="309"/>
    </row>
    <row r="35924">
      <c r="B35924" s="309"/>
      <c r="C35924" s="309"/>
      <c r="I35924" s="309"/>
      <c r="J35924" s="309"/>
    </row>
    <row r="35925">
      <c r="B35925" s="309"/>
      <c r="C35925" s="309"/>
      <c r="I35925" s="309"/>
      <c r="J35925" s="309"/>
    </row>
    <row r="35926">
      <c r="B35926" s="309"/>
      <c r="C35926" s="309"/>
      <c r="I35926" s="309"/>
      <c r="J35926" s="309"/>
    </row>
    <row r="35927">
      <c r="B35927" s="309"/>
      <c r="C35927" s="309"/>
      <c r="I35927" s="309"/>
      <c r="J35927" s="309"/>
    </row>
    <row r="35928">
      <c r="B35928" s="309"/>
      <c r="C35928" s="309"/>
      <c r="I35928" s="309"/>
      <c r="J35928" s="309"/>
    </row>
    <row r="35929">
      <c r="B35929" s="309"/>
      <c r="C35929" s="309"/>
      <c r="I35929" s="309"/>
      <c r="J35929" s="309"/>
    </row>
    <row r="35930">
      <c r="B35930" s="309"/>
      <c r="C35930" s="309"/>
      <c r="I35930" s="309"/>
      <c r="J35930" s="309"/>
    </row>
    <row r="35931">
      <c r="B35931" s="309"/>
      <c r="C35931" s="309"/>
      <c r="I35931" s="309"/>
      <c r="J35931" s="309"/>
    </row>
    <row r="35932">
      <c r="B35932" s="309"/>
      <c r="C35932" s="309"/>
      <c r="I35932" s="309"/>
      <c r="J35932" s="309"/>
    </row>
    <row r="35933">
      <c r="B35933" s="309"/>
      <c r="C35933" s="309"/>
      <c r="I35933" s="309"/>
      <c r="J35933" s="309"/>
    </row>
    <row r="35934">
      <c r="B35934" s="309"/>
      <c r="C35934" s="309"/>
      <c r="I35934" s="309"/>
      <c r="J35934" s="309"/>
    </row>
    <row r="35935">
      <c r="B35935" s="309"/>
      <c r="C35935" s="309"/>
      <c r="I35935" s="309"/>
      <c r="J35935" s="309"/>
    </row>
    <row r="35936">
      <c r="B35936" s="309"/>
      <c r="C35936" s="309"/>
      <c r="I35936" s="309"/>
      <c r="J35936" s="309"/>
    </row>
    <row r="35937">
      <c r="B35937" s="309"/>
      <c r="C35937" s="309"/>
      <c r="I35937" s="309"/>
      <c r="J35937" s="309"/>
    </row>
    <row r="35938">
      <c r="B35938" s="309"/>
      <c r="C35938" s="309"/>
      <c r="I35938" s="309"/>
      <c r="J35938" s="309"/>
    </row>
    <row r="35939">
      <c r="B35939" s="309"/>
      <c r="C35939" s="309"/>
      <c r="I35939" s="309"/>
      <c r="J35939" s="309"/>
    </row>
    <row r="35940">
      <c r="B35940" s="309"/>
      <c r="C35940" s="309"/>
      <c r="I35940" s="309"/>
      <c r="J35940" s="309"/>
    </row>
    <row r="35941">
      <c r="B35941" s="309"/>
      <c r="C35941" s="309"/>
      <c r="I35941" s="309"/>
      <c r="J35941" s="309"/>
    </row>
    <row r="35942">
      <c r="B35942" s="309"/>
      <c r="C35942" s="309"/>
      <c r="I35942" s="309"/>
      <c r="J35942" s="309"/>
    </row>
    <row r="35943">
      <c r="B35943" s="309"/>
      <c r="C35943" s="309"/>
      <c r="I35943" s="309"/>
      <c r="J35943" s="309"/>
    </row>
    <row r="35944">
      <c r="B35944" s="309"/>
      <c r="C35944" s="309"/>
      <c r="I35944" s="309"/>
      <c r="J35944" s="309"/>
    </row>
    <row r="35945">
      <c r="B35945" s="309"/>
      <c r="C35945" s="309"/>
      <c r="I35945" s="309"/>
      <c r="J35945" s="309"/>
    </row>
    <row r="35946">
      <c r="B35946" s="309"/>
      <c r="C35946" s="309"/>
      <c r="I35946" s="309"/>
      <c r="J35946" s="309"/>
    </row>
    <row r="35947">
      <c r="B35947" s="309"/>
      <c r="C35947" s="309"/>
      <c r="I35947" s="309"/>
      <c r="J35947" s="309"/>
    </row>
    <row r="35948">
      <c r="B35948" s="309"/>
      <c r="C35948" s="309"/>
      <c r="I35948" s="309"/>
      <c r="J35948" s="309"/>
    </row>
    <row r="35949">
      <c r="B35949" s="309"/>
      <c r="C35949" s="309"/>
      <c r="I35949" s="309"/>
      <c r="J35949" s="309"/>
    </row>
    <row r="35950">
      <c r="B35950" s="309"/>
      <c r="C35950" s="309"/>
      <c r="I35950" s="309"/>
      <c r="J35950" s="309"/>
    </row>
    <row r="35951">
      <c r="B35951" s="309"/>
      <c r="C35951" s="309"/>
      <c r="I35951" s="309"/>
      <c r="J35951" s="309"/>
    </row>
    <row r="35952">
      <c r="B35952" s="309"/>
      <c r="C35952" s="309"/>
      <c r="I35952" s="309"/>
      <c r="J35952" s="309"/>
    </row>
    <row r="35953">
      <c r="B35953" s="309"/>
      <c r="C35953" s="309"/>
      <c r="I35953" s="309"/>
      <c r="J35953" s="309"/>
    </row>
    <row r="35954">
      <c r="B35954" s="309"/>
      <c r="C35954" s="309"/>
      <c r="I35954" s="309"/>
      <c r="J35954" s="309"/>
    </row>
    <row r="35955">
      <c r="B35955" s="309"/>
      <c r="C35955" s="309"/>
      <c r="I35955" s="309"/>
      <c r="J35955" s="309"/>
    </row>
    <row r="35956">
      <c r="B35956" s="309"/>
      <c r="C35956" s="309"/>
      <c r="I35956" s="309"/>
      <c r="J35956" s="309"/>
    </row>
    <row r="35957">
      <c r="B35957" s="309"/>
      <c r="C35957" s="309"/>
      <c r="I35957" s="309"/>
      <c r="J35957" s="309"/>
    </row>
    <row r="35958">
      <c r="B35958" s="309"/>
      <c r="C35958" s="309"/>
      <c r="I35958" s="309"/>
      <c r="J35958" s="309"/>
    </row>
    <row r="35959">
      <c r="B35959" s="309"/>
      <c r="C35959" s="309"/>
      <c r="I35959" s="309"/>
      <c r="J35959" s="309"/>
    </row>
    <row r="35960">
      <c r="B35960" s="309"/>
      <c r="C35960" s="309"/>
      <c r="I35960" s="309"/>
      <c r="J35960" s="309"/>
    </row>
    <row r="35961">
      <c r="B35961" s="309"/>
      <c r="C35961" s="309"/>
      <c r="I35961" s="309"/>
      <c r="J35961" s="309"/>
    </row>
    <row r="35962">
      <c r="B35962" s="309"/>
      <c r="C35962" s="309"/>
      <c r="I35962" s="309"/>
      <c r="J35962" s="309"/>
    </row>
    <row r="35963">
      <c r="B35963" s="309"/>
      <c r="C35963" s="309"/>
      <c r="I35963" s="309"/>
      <c r="J35963" s="309"/>
    </row>
    <row r="35964">
      <c r="B35964" s="309"/>
      <c r="C35964" s="309"/>
      <c r="I35964" s="309"/>
      <c r="J35964" s="309"/>
    </row>
    <row r="35965">
      <c r="B35965" s="309"/>
      <c r="C35965" s="309"/>
      <c r="I35965" s="309"/>
      <c r="J35965" s="309"/>
    </row>
    <row r="35966">
      <c r="B35966" s="309"/>
      <c r="C35966" s="309"/>
      <c r="I35966" s="309"/>
      <c r="J35966" s="309"/>
    </row>
    <row r="35967">
      <c r="B35967" s="309"/>
      <c r="C35967" s="309"/>
      <c r="I35967" s="309"/>
      <c r="J35967" s="309"/>
    </row>
    <row r="35968">
      <c r="B35968" s="309"/>
      <c r="C35968" s="309"/>
      <c r="I35968" s="309"/>
      <c r="J35968" s="309"/>
    </row>
    <row r="35969">
      <c r="B35969" s="309"/>
      <c r="C35969" s="309"/>
      <c r="I35969" s="309"/>
      <c r="J35969" s="309"/>
    </row>
    <row r="35970">
      <c r="B35970" s="309"/>
      <c r="C35970" s="309"/>
      <c r="I35970" s="309"/>
      <c r="J35970" s="309"/>
    </row>
    <row r="35971">
      <c r="B35971" s="309"/>
      <c r="C35971" s="309"/>
      <c r="I35971" s="309"/>
      <c r="J35971" s="309"/>
    </row>
    <row r="35972">
      <c r="B35972" s="309"/>
      <c r="C35972" s="309"/>
      <c r="I35972" s="309"/>
      <c r="J35972" s="309"/>
    </row>
    <row r="35973">
      <c r="B35973" s="309"/>
      <c r="C35973" s="309"/>
      <c r="I35973" s="309"/>
      <c r="J35973" s="309"/>
    </row>
    <row r="35974">
      <c r="B35974" s="309"/>
      <c r="C35974" s="309"/>
      <c r="I35974" s="309"/>
      <c r="J35974" s="309"/>
    </row>
    <row r="35975">
      <c r="B35975" s="309"/>
      <c r="C35975" s="309"/>
      <c r="I35975" s="309"/>
      <c r="J35975" s="309"/>
    </row>
    <row r="35976">
      <c r="B35976" s="309"/>
      <c r="C35976" s="309"/>
      <c r="I35976" s="309"/>
      <c r="J35976" s="309"/>
    </row>
    <row r="35977">
      <c r="B35977" s="309"/>
      <c r="C35977" s="309"/>
      <c r="I35977" s="309"/>
      <c r="J35977" s="309"/>
    </row>
    <row r="35978">
      <c r="B35978" s="309"/>
      <c r="C35978" s="309"/>
      <c r="I35978" s="309"/>
      <c r="J35978" s="309"/>
    </row>
    <row r="35979">
      <c r="B35979" s="309"/>
      <c r="C35979" s="309"/>
      <c r="I35979" s="309"/>
      <c r="J35979" s="309"/>
    </row>
    <row r="35980">
      <c r="B35980" s="309"/>
      <c r="C35980" s="309"/>
      <c r="I35980" s="309"/>
      <c r="J35980" s="309"/>
    </row>
    <row r="35981">
      <c r="B35981" s="309"/>
      <c r="C35981" s="309"/>
      <c r="I35981" s="309"/>
      <c r="J35981" s="309"/>
    </row>
    <row r="35982">
      <c r="B35982" s="309"/>
      <c r="C35982" s="309"/>
      <c r="I35982" s="309"/>
      <c r="J35982" s="309"/>
    </row>
    <row r="35983">
      <c r="B35983" s="309"/>
      <c r="C35983" s="309"/>
      <c r="I35983" s="309"/>
      <c r="J35983" s="309"/>
    </row>
    <row r="35984">
      <c r="B35984" s="309"/>
      <c r="C35984" s="309"/>
      <c r="I35984" s="309"/>
      <c r="J35984" s="309"/>
    </row>
    <row r="35985">
      <c r="B35985" s="309"/>
      <c r="C35985" s="309"/>
      <c r="I35985" s="309"/>
      <c r="J35985" s="309"/>
    </row>
    <row r="35986">
      <c r="B35986" s="309"/>
      <c r="C35986" s="309"/>
      <c r="I35986" s="309"/>
      <c r="J35986" s="309"/>
    </row>
    <row r="35987">
      <c r="B35987" s="309"/>
      <c r="C35987" s="309"/>
      <c r="I35987" s="309"/>
      <c r="J35987" s="309"/>
    </row>
    <row r="35988">
      <c r="B35988" s="309"/>
      <c r="C35988" s="309"/>
      <c r="I35988" s="309"/>
      <c r="J35988" s="309"/>
    </row>
    <row r="35989">
      <c r="B35989" s="309"/>
      <c r="C35989" s="309"/>
      <c r="I35989" s="309"/>
      <c r="J35989" s="309"/>
    </row>
    <row r="35990">
      <c r="B35990" s="309"/>
      <c r="C35990" s="309"/>
      <c r="I35990" s="309"/>
      <c r="J35990" s="309"/>
    </row>
    <row r="35991">
      <c r="B35991" s="309"/>
      <c r="C35991" s="309"/>
      <c r="I35991" s="309"/>
      <c r="J35991" s="309"/>
    </row>
    <row r="35992">
      <c r="B35992" s="309"/>
      <c r="C35992" s="309"/>
      <c r="I35992" s="309"/>
      <c r="J35992" s="309"/>
    </row>
    <row r="35993">
      <c r="B35993" s="309"/>
      <c r="C35993" s="309"/>
      <c r="I35993" s="309"/>
      <c r="J35993" s="309"/>
    </row>
    <row r="35994">
      <c r="B35994" s="309"/>
      <c r="C35994" s="309"/>
      <c r="I35994" s="309"/>
      <c r="J35994" s="309"/>
    </row>
    <row r="35995">
      <c r="B35995" s="309"/>
      <c r="C35995" s="309"/>
      <c r="I35995" s="309"/>
      <c r="J35995" s="309"/>
    </row>
    <row r="35996">
      <c r="B35996" s="309"/>
      <c r="C35996" s="309"/>
      <c r="I35996" s="309"/>
      <c r="J35996" s="309"/>
    </row>
    <row r="35997">
      <c r="B35997" s="309"/>
      <c r="C35997" s="309"/>
      <c r="I35997" s="309"/>
      <c r="J35997" s="309"/>
    </row>
    <row r="35998">
      <c r="B35998" s="309"/>
      <c r="C35998" s="309"/>
      <c r="I35998" s="309"/>
      <c r="J35998" s="309"/>
    </row>
    <row r="35999">
      <c r="B35999" s="309"/>
      <c r="C35999" s="309"/>
      <c r="I35999" s="309"/>
      <c r="J35999" s="309"/>
    </row>
    <row r="36000">
      <c r="B36000" s="309"/>
      <c r="C36000" s="309"/>
      <c r="I36000" s="309"/>
      <c r="J36000" s="309"/>
    </row>
    <row r="36001">
      <c r="B36001" s="309"/>
      <c r="C36001" s="309"/>
      <c r="I36001" s="309"/>
      <c r="J36001" s="309"/>
    </row>
    <row r="36002">
      <c r="B36002" s="309"/>
      <c r="C36002" s="309"/>
      <c r="I36002" s="309"/>
      <c r="J36002" s="309"/>
    </row>
    <row r="36003">
      <c r="B36003" s="309"/>
      <c r="C36003" s="309"/>
      <c r="I36003" s="309"/>
      <c r="J36003" s="309"/>
    </row>
    <row r="36004">
      <c r="B36004" s="309"/>
      <c r="C36004" s="309"/>
      <c r="I36004" s="309"/>
      <c r="J36004" s="309"/>
    </row>
    <row r="36005">
      <c r="B36005" s="309"/>
      <c r="C36005" s="309"/>
      <c r="I36005" s="309"/>
      <c r="J36005" s="309"/>
    </row>
    <row r="36006">
      <c r="B36006" s="309"/>
      <c r="C36006" s="309"/>
      <c r="I36006" s="309"/>
      <c r="J36006" s="309"/>
    </row>
    <row r="36007">
      <c r="B36007" s="309"/>
      <c r="C36007" s="309"/>
      <c r="I36007" s="309"/>
      <c r="J36007" s="309"/>
    </row>
    <row r="36008">
      <c r="B36008" s="309"/>
      <c r="C36008" s="309"/>
      <c r="I36008" s="309"/>
      <c r="J36008" s="309"/>
    </row>
    <row r="36009">
      <c r="B36009" s="309"/>
      <c r="C36009" s="309"/>
      <c r="I36009" s="309"/>
      <c r="J36009" s="309"/>
    </row>
    <row r="36010">
      <c r="B36010" s="309"/>
      <c r="C36010" s="309"/>
      <c r="I36010" s="309"/>
      <c r="J36010" s="309"/>
    </row>
    <row r="36011">
      <c r="B36011" s="309"/>
      <c r="C36011" s="309"/>
      <c r="I36011" s="309"/>
      <c r="J36011" s="309"/>
    </row>
    <row r="36012">
      <c r="B36012" s="309"/>
      <c r="C36012" s="309"/>
      <c r="I36012" s="309"/>
      <c r="J36012" s="309"/>
    </row>
    <row r="36013">
      <c r="B36013" s="309"/>
      <c r="C36013" s="309"/>
      <c r="I36013" s="309"/>
      <c r="J36013" s="309"/>
    </row>
    <row r="36014">
      <c r="B36014" s="309"/>
      <c r="C36014" s="309"/>
      <c r="I36014" s="309"/>
      <c r="J36014" s="309"/>
    </row>
    <row r="36015">
      <c r="B36015" s="309"/>
      <c r="C36015" s="309"/>
      <c r="I36015" s="309"/>
      <c r="J36015" s="309"/>
    </row>
    <row r="36016">
      <c r="B36016" s="309"/>
      <c r="C36016" s="309"/>
      <c r="I36016" s="309"/>
      <c r="J36016" s="309"/>
    </row>
    <row r="36017">
      <c r="B36017" s="309"/>
      <c r="C36017" s="309"/>
      <c r="I36017" s="309"/>
      <c r="J36017" s="309"/>
    </row>
    <row r="36018">
      <c r="B36018" s="309"/>
      <c r="C36018" s="309"/>
      <c r="I36018" s="309"/>
      <c r="J36018" s="309"/>
    </row>
    <row r="36019">
      <c r="B36019" s="309"/>
      <c r="C36019" s="309"/>
      <c r="I36019" s="309"/>
      <c r="J36019" s="309"/>
    </row>
    <row r="36020">
      <c r="B36020" s="309"/>
      <c r="C36020" s="309"/>
      <c r="I36020" s="309"/>
      <c r="J36020" s="309"/>
    </row>
    <row r="36021">
      <c r="B36021" s="309"/>
      <c r="C36021" s="309"/>
      <c r="I36021" s="309"/>
      <c r="J36021" s="309"/>
    </row>
    <row r="36022">
      <c r="B36022" s="309"/>
      <c r="C36022" s="309"/>
      <c r="I36022" s="309"/>
      <c r="J36022" s="309"/>
    </row>
    <row r="36023">
      <c r="B36023" s="309"/>
      <c r="C36023" s="309"/>
      <c r="I36023" s="309"/>
      <c r="J36023" s="309"/>
    </row>
    <row r="36024">
      <c r="B36024" s="309"/>
      <c r="C36024" s="309"/>
      <c r="I36024" s="309"/>
      <c r="J36024" s="309"/>
    </row>
    <row r="36025">
      <c r="B36025" s="309"/>
      <c r="C36025" s="309"/>
      <c r="I36025" s="309"/>
      <c r="J36025" s="309"/>
    </row>
    <row r="36026">
      <c r="B36026" s="309"/>
      <c r="C36026" s="309"/>
      <c r="I36026" s="309"/>
      <c r="J36026" s="309"/>
    </row>
    <row r="36027">
      <c r="B36027" s="309"/>
      <c r="C36027" s="309"/>
      <c r="I36027" s="309"/>
      <c r="J36027" s="309"/>
    </row>
    <row r="36028">
      <c r="B36028" s="309"/>
      <c r="C36028" s="309"/>
      <c r="I36028" s="309"/>
      <c r="J36028" s="309"/>
    </row>
    <row r="36029">
      <c r="B36029" s="309"/>
      <c r="C36029" s="309"/>
      <c r="I36029" s="309"/>
      <c r="J36029" s="309"/>
    </row>
    <row r="36030">
      <c r="B36030" s="309"/>
      <c r="C36030" s="309"/>
      <c r="I36030" s="309"/>
      <c r="J36030" s="309"/>
    </row>
    <row r="36031">
      <c r="B36031" s="309"/>
      <c r="C36031" s="309"/>
      <c r="I36031" s="309"/>
      <c r="J36031" s="309"/>
    </row>
    <row r="36032">
      <c r="B36032" s="309"/>
      <c r="C36032" s="309"/>
      <c r="I36032" s="309"/>
      <c r="J36032" s="309"/>
    </row>
    <row r="36033">
      <c r="B36033" s="309"/>
      <c r="C36033" s="309"/>
      <c r="I36033" s="309"/>
      <c r="J36033" s="309"/>
    </row>
    <row r="36034">
      <c r="B36034" s="309"/>
      <c r="C36034" s="309"/>
      <c r="I36034" s="309"/>
      <c r="J36034" s="309"/>
    </row>
    <row r="36035">
      <c r="B36035" s="309"/>
      <c r="C36035" s="309"/>
      <c r="I36035" s="309"/>
      <c r="J36035" s="309"/>
    </row>
    <row r="36036">
      <c r="B36036" s="309"/>
      <c r="C36036" s="309"/>
      <c r="I36036" s="309"/>
      <c r="J36036" s="309"/>
    </row>
    <row r="36037">
      <c r="B36037" s="309"/>
      <c r="C36037" s="309"/>
      <c r="I36037" s="309"/>
      <c r="J36037" s="309"/>
    </row>
    <row r="36038">
      <c r="B36038" s="309"/>
      <c r="C36038" s="309"/>
      <c r="I36038" s="309"/>
      <c r="J36038" s="309"/>
    </row>
    <row r="36039">
      <c r="B36039" s="309"/>
      <c r="C36039" s="309"/>
      <c r="I36039" s="309"/>
      <c r="J36039" s="309"/>
    </row>
    <row r="36040">
      <c r="B36040" s="309"/>
      <c r="C36040" s="309"/>
      <c r="I36040" s="309"/>
      <c r="J36040" s="309"/>
    </row>
    <row r="36041">
      <c r="B36041" s="309"/>
      <c r="C36041" s="309"/>
      <c r="I36041" s="309"/>
      <c r="J36041" s="309"/>
    </row>
    <row r="36042">
      <c r="B36042" s="309"/>
      <c r="C36042" s="309"/>
      <c r="I36042" s="309"/>
      <c r="J36042" s="309"/>
    </row>
    <row r="36043">
      <c r="B36043" s="309"/>
      <c r="C36043" s="309"/>
      <c r="I36043" s="309"/>
      <c r="J36043" s="309"/>
    </row>
    <row r="36044">
      <c r="B36044" s="309"/>
      <c r="C36044" s="309"/>
      <c r="I36044" s="309"/>
      <c r="J36044" s="309"/>
    </row>
    <row r="36045">
      <c r="B36045" s="309"/>
      <c r="C36045" s="309"/>
      <c r="I36045" s="309"/>
      <c r="J36045" s="309"/>
    </row>
    <row r="36046">
      <c r="B36046" s="309"/>
      <c r="C36046" s="309"/>
      <c r="I36046" s="309"/>
      <c r="J36046" s="309"/>
    </row>
    <row r="36047">
      <c r="B36047" s="309"/>
      <c r="C36047" s="309"/>
      <c r="I36047" s="309"/>
      <c r="J36047" s="309"/>
    </row>
    <row r="36048">
      <c r="B36048" s="309"/>
      <c r="C36048" s="309"/>
      <c r="I36048" s="309"/>
      <c r="J36048" s="309"/>
    </row>
    <row r="36049">
      <c r="B36049" s="309"/>
      <c r="C36049" s="309"/>
      <c r="I36049" s="309"/>
      <c r="J36049" s="309"/>
    </row>
    <row r="36050">
      <c r="B36050" s="309"/>
      <c r="C36050" s="309"/>
      <c r="I36050" s="309"/>
      <c r="J36050" s="309"/>
    </row>
    <row r="36051">
      <c r="B36051" s="309"/>
      <c r="C36051" s="309"/>
      <c r="I36051" s="309"/>
      <c r="J36051" s="309"/>
    </row>
    <row r="36052">
      <c r="B36052" s="309"/>
      <c r="C36052" s="309"/>
      <c r="I36052" s="309"/>
      <c r="J36052" s="309"/>
    </row>
    <row r="36053">
      <c r="B36053" s="309"/>
      <c r="C36053" s="309"/>
      <c r="I36053" s="309"/>
      <c r="J36053" s="309"/>
    </row>
    <row r="36054">
      <c r="B36054" s="309"/>
      <c r="C36054" s="309"/>
      <c r="I36054" s="309"/>
      <c r="J36054" s="309"/>
    </row>
    <row r="36055">
      <c r="B36055" s="309"/>
      <c r="C36055" s="309"/>
      <c r="I36055" s="309"/>
      <c r="J36055" s="309"/>
    </row>
    <row r="36056">
      <c r="B36056" s="309"/>
      <c r="C36056" s="309"/>
      <c r="I36056" s="309"/>
      <c r="J36056" s="309"/>
    </row>
    <row r="36057">
      <c r="B36057" s="309"/>
      <c r="C36057" s="309"/>
      <c r="I36057" s="309"/>
      <c r="J36057" s="309"/>
    </row>
    <row r="36058">
      <c r="B36058" s="309"/>
      <c r="C36058" s="309"/>
      <c r="I36058" s="309"/>
      <c r="J36058" s="309"/>
    </row>
    <row r="36059">
      <c r="B36059" s="309"/>
      <c r="C36059" s="309"/>
      <c r="I36059" s="309"/>
      <c r="J36059" s="309"/>
    </row>
    <row r="36060">
      <c r="B36060" s="309"/>
      <c r="C36060" s="309"/>
      <c r="I36060" s="309"/>
      <c r="J36060" s="309"/>
    </row>
    <row r="36061">
      <c r="B36061" s="309"/>
      <c r="C36061" s="309"/>
      <c r="I36061" s="309"/>
      <c r="J36061" s="309"/>
    </row>
    <row r="36062">
      <c r="B36062" s="309"/>
      <c r="C36062" s="309"/>
      <c r="I36062" s="309"/>
      <c r="J36062" s="309"/>
    </row>
    <row r="36063">
      <c r="B36063" s="309"/>
      <c r="C36063" s="309"/>
      <c r="I36063" s="309"/>
      <c r="J36063" s="309"/>
    </row>
    <row r="36064">
      <c r="B36064" s="309"/>
      <c r="C36064" s="309"/>
      <c r="I36064" s="309"/>
      <c r="J36064" s="309"/>
    </row>
    <row r="36065">
      <c r="B36065" s="309"/>
      <c r="C36065" s="309"/>
      <c r="I36065" s="309"/>
      <c r="J36065" s="309"/>
    </row>
    <row r="36066">
      <c r="B36066" s="309"/>
      <c r="C36066" s="309"/>
      <c r="I36066" s="309"/>
      <c r="J36066" s="309"/>
    </row>
    <row r="36067">
      <c r="B36067" s="309"/>
      <c r="C36067" s="309"/>
      <c r="I36067" s="309"/>
      <c r="J36067" s="309"/>
    </row>
    <row r="36068">
      <c r="B36068" s="309"/>
      <c r="C36068" s="309"/>
      <c r="I36068" s="309"/>
      <c r="J36068" s="309"/>
    </row>
    <row r="36069">
      <c r="B36069" s="309"/>
      <c r="C36069" s="309"/>
      <c r="I36069" s="309"/>
      <c r="J36069" s="309"/>
    </row>
    <row r="36070">
      <c r="B36070" s="309"/>
      <c r="C36070" s="309"/>
      <c r="I36070" s="309"/>
      <c r="J36070" s="309"/>
    </row>
    <row r="36071">
      <c r="B36071" s="309"/>
      <c r="C36071" s="309"/>
      <c r="I36071" s="309"/>
      <c r="J36071" s="309"/>
    </row>
    <row r="36072">
      <c r="B36072" s="309"/>
      <c r="C36072" s="309"/>
      <c r="I36072" s="309"/>
      <c r="J36072" s="309"/>
    </row>
    <row r="36073">
      <c r="B36073" s="309"/>
      <c r="C36073" s="309"/>
      <c r="I36073" s="309"/>
      <c r="J36073" s="309"/>
    </row>
    <row r="36074">
      <c r="B36074" s="309"/>
      <c r="C36074" s="309"/>
      <c r="I36074" s="309"/>
      <c r="J36074" s="309"/>
    </row>
    <row r="36075">
      <c r="B36075" s="309"/>
      <c r="C36075" s="309"/>
      <c r="I36075" s="309"/>
      <c r="J36075" s="309"/>
    </row>
    <row r="36076">
      <c r="B36076" s="309"/>
      <c r="C36076" s="309"/>
      <c r="I36076" s="309"/>
      <c r="J36076" s="309"/>
    </row>
    <row r="36077">
      <c r="B36077" s="309"/>
      <c r="C36077" s="309"/>
      <c r="I36077" s="309"/>
      <c r="J36077" s="309"/>
    </row>
    <row r="36078">
      <c r="B36078" s="309"/>
      <c r="C36078" s="309"/>
      <c r="I36078" s="309"/>
      <c r="J36078" s="309"/>
    </row>
    <row r="36079">
      <c r="B36079" s="309"/>
      <c r="C36079" s="309"/>
      <c r="I36079" s="309"/>
      <c r="J36079" s="309"/>
    </row>
    <row r="36080">
      <c r="B36080" s="309"/>
      <c r="C36080" s="309"/>
      <c r="I36080" s="309"/>
      <c r="J36080" s="309"/>
    </row>
    <row r="36081">
      <c r="B36081" s="309"/>
      <c r="C36081" s="309"/>
      <c r="I36081" s="309"/>
      <c r="J36081" s="309"/>
    </row>
    <row r="36082">
      <c r="B36082" s="309"/>
      <c r="C36082" s="309"/>
      <c r="I36082" s="309"/>
      <c r="J36082" s="309"/>
    </row>
    <row r="36083">
      <c r="B36083" s="309"/>
      <c r="C36083" s="309"/>
      <c r="I36083" s="309"/>
      <c r="J36083" s="309"/>
    </row>
    <row r="36084">
      <c r="B36084" s="309"/>
      <c r="C36084" s="309"/>
      <c r="I36084" s="309"/>
      <c r="J36084" s="309"/>
    </row>
    <row r="36085">
      <c r="B36085" s="309"/>
      <c r="C36085" s="309"/>
      <c r="I36085" s="309"/>
      <c r="J36085" s="309"/>
    </row>
    <row r="36086">
      <c r="B36086" s="309"/>
      <c r="C36086" s="309"/>
      <c r="I36086" s="309"/>
      <c r="J36086" s="309"/>
    </row>
    <row r="36087">
      <c r="B36087" s="309"/>
      <c r="C36087" s="309"/>
      <c r="I36087" s="309"/>
      <c r="J36087" s="309"/>
    </row>
    <row r="36088">
      <c r="B36088" s="309"/>
      <c r="C36088" s="309"/>
      <c r="I36088" s="309"/>
      <c r="J36088" s="309"/>
    </row>
    <row r="36089">
      <c r="B36089" s="309"/>
      <c r="C36089" s="309"/>
      <c r="I36089" s="309"/>
      <c r="J36089" s="309"/>
    </row>
    <row r="36090">
      <c r="B36090" s="309"/>
      <c r="C36090" s="309"/>
      <c r="I36090" s="309"/>
      <c r="J36090" s="309"/>
    </row>
    <row r="36091">
      <c r="B36091" s="309"/>
      <c r="C36091" s="309"/>
      <c r="I36091" s="309"/>
      <c r="J36091" s="309"/>
    </row>
    <row r="36092">
      <c r="B36092" s="309"/>
      <c r="C36092" s="309"/>
      <c r="I36092" s="309"/>
      <c r="J36092" s="309"/>
    </row>
    <row r="36093">
      <c r="B36093" s="309"/>
      <c r="C36093" s="309"/>
      <c r="I36093" s="309"/>
      <c r="J36093" s="309"/>
    </row>
    <row r="36094">
      <c r="B36094" s="309"/>
      <c r="C36094" s="309"/>
      <c r="I36094" s="309"/>
      <c r="J36094" s="309"/>
    </row>
    <row r="36095">
      <c r="B36095" s="309"/>
      <c r="C36095" s="309"/>
      <c r="I36095" s="309"/>
      <c r="J36095" s="309"/>
    </row>
    <row r="36096">
      <c r="B36096" s="309"/>
      <c r="C36096" s="309"/>
      <c r="I36096" s="309"/>
      <c r="J36096" s="309"/>
    </row>
    <row r="36097">
      <c r="B36097" s="309"/>
      <c r="C36097" s="309"/>
      <c r="I36097" s="309"/>
      <c r="J36097" s="309"/>
    </row>
    <row r="36098">
      <c r="B36098" s="309"/>
      <c r="C36098" s="309"/>
      <c r="I36098" s="309"/>
      <c r="J36098" s="309"/>
    </row>
    <row r="36099">
      <c r="B36099" s="309"/>
      <c r="C36099" s="309"/>
      <c r="I36099" s="309"/>
      <c r="J36099" s="309"/>
    </row>
    <row r="36100">
      <c r="B36100" s="309"/>
      <c r="C36100" s="309"/>
      <c r="I36100" s="309"/>
      <c r="J36100" s="309"/>
    </row>
    <row r="36101">
      <c r="B36101" s="309"/>
      <c r="C36101" s="309"/>
      <c r="I36101" s="309"/>
      <c r="J36101" s="309"/>
    </row>
    <row r="36102">
      <c r="B36102" s="309"/>
      <c r="C36102" s="309"/>
      <c r="I36102" s="309"/>
      <c r="J36102" s="309"/>
    </row>
    <row r="36103">
      <c r="B36103" s="309"/>
      <c r="C36103" s="309"/>
      <c r="I36103" s="309"/>
      <c r="J36103" s="309"/>
    </row>
    <row r="36104">
      <c r="B36104" s="309"/>
      <c r="C36104" s="309"/>
      <c r="I36104" s="309"/>
      <c r="J36104" s="309"/>
    </row>
    <row r="36105">
      <c r="B36105" s="309"/>
      <c r="C36105" s="309"/>
      <c r="I36105" s="309"/>
      <c r="J36105" s="309"/>
    </row>
    <row r="36106">
      <c r="B36106" s="309"/>
      <c r="C36106" s="309"/>
      <c r="I36106" s="309"/>
      <c r="J36106" s="309"/>
    </row>
    <row r="36107">
      <c r="B36107" s="309"/>
      <c r="C36107" s="309"/>
      <c r="I36107" s="309"/>
      <c r="J36107" s="309"/>
    </row>
    <row r="36108">
      <c r="B36108" s="309"/>
      <c r="C36108" s="309"/>
      <c r="I36108" s="309"/>
      <c r="J36108" s="309"/>
    </row>
    <row r="36109">
      <c r="B36109" s="309"/>
      <c r="C36109" s="309"/>
      <c r="I36109" s="309"/>
      <c r="J36109" s="309"/>
    </row>
    <row r="36110">
      <c r="B36110" s="309"/>
      <c r="C36110" s="309"/>
      <c r="I36110" s="309"/>
      <c r="J36110" s="309"/>
    </row>
    <row r="36111">
      <c r="B36111" s="309"/>
      <c r="C36111" s="309"/>
      <c r="I36111" s="309"/>
      <c r="J36111" s="309"/>
    </row>
    <row r="36112">
      <c r="B36112" s="309"/>
      <c r="C36112" s="309"/>
      <c r="I36112" s="309"/>
      <c r="J36112" s="309"/>
    </row>
    <row r="36113">
      <c r="B36113" s="309"/>
      <c r="C36113" s="309"/>
      <c r="I36113" s="309"/>
      <c r="J36113" s="309"/>
    </row>
    <row r="36114">
      <c r="B36114" s="309"/>
      <c r="C36114" s="309"/>
      <c r="I36114" s="309"/>
      <c r="J36114" s="309"/>
    </row>
    <row r="36115">
      <c r="B36115" s="309"/>
      <c r="C36115" s="309"/>
      <c r="I36115" s="309"/>
      <c r="J36115" s="309"/>
    </row>
    <row r="36116">
      <c r="B36116" s="309"/>
      <c r="C36116" s="309"/>
      <c r="I36116" s="309"/>
      <c r="J36116" s="309"/>
    </row>
    <row r="36117">
      <c r="B36117" s="309"/>
      <c r="C36117" s="309"/>
      <c r="I36117" s="309"/>
      <c r="J36117" s="309"/>
    </row>
    <row r="36118">
      <c r="B36118" s="309"/>
      <c r="C36118" s="309"/>
      <c r="I36118" s="309"/>
      <c r="J36118" s="309"/>
    </row>
    <row r="36119">
      <c r="B36119" s="309"/>
      <c r="C36119" s="309"/>
      <c r="I36119" s="309"/>
      <c r="J36119" s="309"/>
    </row>
    <row r="36120">
      <c r="B36120" s="309"/>
      <c r="C36120" s="309"/>
      <c r="I36120" s="309"/>
      <c r="J36120" s="309"/>
    </row>
    <row r="36121">
      <c r="B36121" s="309"/>
      <c r="C36121" s="309"/>
      <c r="I36121" s="309"/>
      <c r="J36121" s="309"/>
    </row>
    <row r="36122">
      <c r="B36122" s="309"/>
      <c r="C36122" s="309"/>
      <c r="I36122" s="309"/>
      <c r="J36122" s="309"/>
    </row>
    <row r="36123">
      <c r="B36123" s="309"/>
      <c r="C36123" s="309"/>
      <c r="I36123" s="309"/>
      <c r="J36123" s="309"/>
    </row>
    <row r="36124">
      <c r="B36124" s="309"/>
      <c r="C36124" s="309"/>
      <c r="I36124" s="309"/>
      <c r="J36124" s="309"/>
    </row>
    <row r="36125">
      <c r="B36125" s="309"/>
      <c r="C36125" s="309"/>
      <c r="I36125" s="309"/>
      <c r="J36125" s="309"/>
    </row>
    <row r="36126">
      <c r="B36126" s="309"/>
      <c r="C36126" s="309"/>
      <c r="I36126" s="309"/>
      <c r="J36126" s="309"/>
    </row>
    <row r="36127">
      <c r="B36127" s="309"/>
      <c r="C36127" s="309"/>
      <c r="I36127" s="309"/>
      <c r="J36127" s="309"/>
    </row>
    <row r="36128">
      <c r="B36128" s="309"/>
      <c r="C36128" s="309"/>
      <c r="I36128" s="309"/>
      <c r="J36128" s="309"/>
    </row>
    <row r="36129">
      <c r="B36129" s="309"/>
      <c r="C36129" s="309"/>
      <c r="I36129" s="309"/>
      <c r="J36129" s="309"/>
    </row>
    <row r="36130">
      <c r="B36130" s="309"/>
      <c r="C36130" s="309"/>
      <c r="I36130" s="309"/>
      <c r="J36130" s="309"/>
    </row>
    <row r="36131">
      <c r="B36131" s="309"/>
      <c r="C36131" s="309"/>
      <c r="I36131" s="309"/>
      <c r="J36131" s="309"/>
    </row>
    <row r="36132">
      <c r="B36132" s="309"/>
      <c r="C36132" s="309"/>
      <c r="I36132" s="309"/>
      <c r="J36132" s="309"/>
    </row>
    <row r="36133">
      <c r="B36133" s="309"/>
      <c r="C36133" s="309"/>
      <c r="I36133" s="309"/>
      <c r="J36133" s="309"/>
    </row>
    <row r="36134">
      <c r="B36134" s="309"/>
      <c r="C36134" s="309"/>
      <c r="I36134" s="309"/>
      <c r="J36134" s="309"/>
    </row>
    <row r="36135">
      <c r="B36135" s="309"/>
      <c r="C36135" s="309"/>
      <c r="I36135" s="309"/>
      <c r="J36135" s="309"/>
    </row>
    <row r="36136">
      <c r="B36136" s="309"/>
      <c r="C36136" s="309"/>
      <c r="I36136" s="309"/>
      <c r="J36136" s="309"/>
    </row>
    <row r="36137">
      <c r="B36137" s="309"/>
      <c r="C36137" s="309"/>
      <c r="I36137" s="309"/>
      <c r="J36137" s="309"/>
    </row>
    <row r="36138">
      <c r="B36138" s="309"/>
      <c r="C36138" s="309"/>
      <c r="I36138" s="309"/>
      <c r="J36138" s="309"/>
    </row>
    <row r="36139">
      <c r="B36139" s="309"/>
      <c r="C36139" s="309"/>
      <c r="I36139" s="309"/>
      <c r="J36139" s="309"/>
    </row>
    <row r="36140">
      <c r="B36140" s="309"/>
      <c r="C36140" s="309"/>
      <c r="I36140" s="309"/>
      <c r="J36140" s="309"/>
    </row>
    <row r="36141">
      <c r="B36141" s="309"/>
      <c r="C36141" s="309"/>
      <c r="I36141" s="309"/>
      <c r="J36141" s="309"/>
    </row>
    <row r="36142">
      <c r="B36142" s="309"/>
      <c r="C36142" s="309"/>
      <c r="I36142" s="309"/>
      <c r="J36142" s="309"/>
    </row>
    <row r="36143">
      <c r="B36143" s="309"/>
      <c r="C36143" s="309"/>
      <c r="I36143" s="309"/>
      <c r="J36143" s="309"/>
    </row>
    <row r="36144">
      <c r="B36144" s="309"/>
      <c r="C36144" s="309"/>
      <c r="I36144" s="309"/>
      <c r="J36144" s="309"/>
    </row>
    <row r="36145">
      <c r="B36145" s="309"/>
      <c r="C36145" s="309"/>
      <c r="I36145" s="309"/>
      <c r="J36145" s="309"/>
    </row>
    <row r="36146">
      <c r="B36146" s="309"/>
      <c r="C36146" s="309"/>
      <c r="I36146" s="309"/>
      <c r="J36146" s="309"/>
    </row>
    <row r="36147">
      <c r="B36147" s="309"/>
      <c r="C36147" s="309"/>
      <c r="I36147" s="309"/>
      <c r="J36147" s="309"/>
    </row>
    <row r="36148">
      <c r="B36148" s="309"/>
      <c r="C36148" s="309"/>
      <c r="I36148" s="309"/>
      <c r="J36148" s="309"/>
    </row>
    <row r="36149">
      <c r="B36149" s="309"/>
      <c r="C36149" s="309"/>
      <c r="I36149" s="309"/>
      <c r="J36149" s="309"/>
    </row>
    <row r="36150">
      <c r="B36150" s="309"/>
      <c r="C36150" s="309"/>
      <c r="I36150" s="309"/>
      <c r="J36150" s="309"/>
    </row>
    <row r="36151">
      <c r="B36151" s="309"/>
      <c r="C36151" s="309"/>
      <c r="I36151" s="309"/>
      <c r="J36151" s="309"/>
    </row>
    <row r="36152">
      <c r="B36152" s="309"/>
      <c r="C36152" s="309"/>
      <c r="I36152" s="309"/>
      <c r="J36152" s="309"/>
    </row>
    <row r="36153">
      <c r="B36153" s="309"/>
      <c r="C36153" s="309"/>
      <c r="I36153" s="309"/>
      <c r="J36153" s="309"/>
    </row>
    <row r="36154">
      <c r="B36154" s="309"/>
      <c r="C36154" s="309"/>
      <c r="I36154" s="309"/>
      <c r="J36154" s="309"/>
    </row>
    <row r="36155">
      <c r="B36155" s="309"/>
      <c r="C36155" s="309"/>
      <c r="I36155" s="309"/>
      <c r="J36155" s="309"/>
    </row>
    <row r="36156">
      <c r="B36156" s="309"/>
      <c r="C36156" s="309"/>
      <c r="I36156" s="309"/>
      <c r="J36156" s="309"/>
    </row>
    <row r="36157">
      <c r="B36157" s="309"/>
      <c r="C36157" s="309"/>
      <c r="I36157" s="309"/>
      <c r="J36157" s="309"/>
    </row>
    <row r="36158">
      <c r="B36158" s="309"/>
      <c r="C36158" s="309"/>
      <c r="I36158" s="309"/>
      <c r="J36158" s="309"/>
    </row>
    <row r="36159">
      <c r="B36159" s="309"/>
      <c r="C36159" s="309"/>
      <c r="I36159" s="309"/>
      <c r="J36159" s="309"/>
    </row>
    <row r="36160">
      <c r="B36160" s="309"/>
      <c r="C36160" s="309"/>
      <c r="I36160" s="309"/>
      <c r="J36160" s="309"/>
    </row>
    <row r="36161">
      <c r="B36161" s="309"/>
      <c r="C36161" s="309"/>
      <c r="I36161" s="309"/>
      <c r="J36161" s="309"/>
    </row>
    <row r="36162">
      <c r="B36162" s="309"/>
      <c r="C36162" s="309"/>
      <c r="I36162" s="309"/>
      <c r="J36162" s="309"/>
    </row>
    <row r="36163">
      <c r="B36163" s="309"/>
      <c r="C36163" s="309"/>
      <c r="I36163" s="309"/>
      <c r="J36163" s="309"/>
    </row>
    <row r="36164">
      <c r="B36164" s="309"/>
      <c r="C36164" s="309"/>
      <c r="I36164" s="309"/>
      <c r="J36164" s="309"/>
    </row>
    <row r="36165">
      <c r="B36165" s="309"/>
      <c r="C36165" s="309"/>
      <c r="I36165" s="309"/>
      <c r="J36165" s="309"/>
    </row>
    <row r="36166">
      <c r="B36166" s="309"/>
      <c r="C36166" s="309"/>
      <c r="I36166" s="309"/>
      <c r="J36166" s="309"/>
    </row>
    <row r="36167">
      <c r="B36167" s="309"/>
      <c r="C36167" s="309"/>
      <c r="I36167" s="309"/>
      <c r="J36167" s="309"/>
    </row>
    <row r="36168">
      <c r="B36168" s="309"/>
      <c r="C36168" s="309"/>
      <c r="I36168" s="309"/>
      <c r="J36168" s="309"/>
    </row>
    <row r="36169">
      <c r="B36169" s="309"/>
      <c r="C36169" s="309"/>
      <c r="I36169" s="309"/>
      <c r="J36169" s="309"/>
    </row>
    <row r="36170">
      <c r="B36170" s="309"/>
      <c r="C36170" s="309"/>
      <c r="I36170" s="309"/>
      <c r="J36170" s="309"/>
    </row>
    <row r="36171">
      <c r="B36171" s="309"/>
      <c r="C36171" s="309"/>
      <c r="I36171" s="309"/>
      <c r="J36171" s="309"/>
    </row>
    <row r="36172">
      <c r="B36172" s="309"/>
      <c r="C36172" s="309"/>
      <c r="I36172" s="309"/>
      <c r="J36172" s="309"/>
    </row>
    <row r="36173">
      <c r="B36173" s="309"/>
      <c r="C36173" s="309"/>
      <c r="I36173" s="309"/>
      <c r="J36173" s="309"/>
    </row>
    <row r="36174">
      <c r="B36174" s="309"/>
      <c r="C36174" s="309"/>
      <c r="I36174" s="309"/>
      <c r="J36174" s="309"/>
    </row>
    <row r="36175">
      <c r="B36175" s="309"/>
      <c r="C36175" s="309"/>
      <c r="I36175" s="309"/>
      <c r="J36175" s="309"/>
    </row>
    <row r="36176">
      <c r="B36176" s="309"/>
      <c r="C36176" s="309"/>
      <c r="I36176" s="309"/>
      <c r="J36176" s="309"/>
    </row>
    <row r="36177">
      <c r="B36177" s="309"/>
      <c r="C36177" s="309"/>
      <c r="I36177" s="309"/>
      <c r="J36177" s="309"/>
    </row>
    <row r="36178">
      <c r="B36178" s="309"/>
      <c r="C36178" s="309"/>
      <c r="I36178" s="309"/>
      <c r="J36178" s="309"/>
    </row>
    <row r="36179">
      <c r="B36179" s="309"/>
      <c r="C36179" s="309"/>
      <c r="I36179" s="309"/>
      <c r="J36179" s="309"/>
    </row>
    <row r="36180">
      <c r="B36180" s="309"/>
      <c r="C36180" s="309"/>
      <c r="I36180" s="309"/>
      <c r="J36180" s="309"/>
    </row>
    <row r="36181">
      <c r="B36181" s="309"/>
      <c r="C36181" s="309"/>
      <c r="I36181" s="309"/>
      <c r="J36181" s="309"/>
    </row>
    <row r="36182">
      <c r="B36182" s="309"/>
      <c r="C36182" s="309"/>
      <c r="I36182" s="309"/>
      <c r="J36182" s="309"/>
    </row>
    <row r="36183">
      <c r="B36183" s="309"/>
      <c r="C36183" s="309"/>
      <c r="I36183" s="309"/>
      <c r="J36183" s="309"/>
    </row>
    <row r="36184">
      <c r="B36184" s="309"/>
      <c r="C36184" s="309"/>
      <c r="I36184" s="309"/>
      <c r="J36184" s="309"/>
    </row>
    <row r="36185">
      <c r="B36185" s="309"/>
      <c r="C36185" s="309"/>
      <c r="I36185" s="309"/>
      <c r="J36185" s="309"/>
    </row>
    <row r="36186">
      <c r="B36186" s="309"/>
      <c r="C36186" s="309"/>
      <c r="I36186" s="309"/>
      <c r="J36186" s="309"/>
    </row>
    <row r="36187">
      <c r="B36187" s="309"/>
      <c r="C36187" s="309"/>
      <c r="I36187" s="309"/>
      <c r="J36187" s="309"/>
    </row>
    <row r="36188">
      <c r="B36188" s="309"/>
      <c r="C36188" s="309"/>
      <c r="I36188" s="309"/>
      <c r="J36188" s="309"/>
    </row>
    <row r="36189">
      <c r="B36189" s="309"/>
      <c r="C36189" s="309"/>
      <c r="I36189" s="309"/>
      <c r="J36189" s="309"/>
    </row>
    <row r="36190">
      <c r="B36190" s="309"/>
      <c r="C36190" s="309"/>
      <c r="I36190" s="309"/>
      <c r="J36190" s="309"/>
    </row>
    <row r="36191">
      <c r="B36191" s="309"/>
      <c r="C36191" s="309"/>
      <c r="I36191" s="309"/>
      <c r="J36191" s="309"/>
    </row>
    <row r="36192">
      <c r="B36192" s="309"/>
      <c r="C36192" s="309"/>
      <c r="I36192" s="309"/>
      <c r="J36192" s="309"/>
    </row>
    <row r="36193">
      <c r="B36193" s="309"/>
      <c r="C36193" s="309"/>
      <c r="I36193" s="309"/>
      <c r="J36193" s="309"/>
    </row>
    <row r="36194">
      <c r="B36194" s="309"/>
      <c r="C36194" s="309"/>
      <c r="I36194" s="309"/>
      <c r="J36194" s="309"/>
    </row>
    <row r="36195">
      <c r="B36195" s="309"/>
      <c r="C36195" s="309"/>
      <c r="I36195" s="309"/>
      <c r="J36195" s="309"/>
    </row>
    <row r="36196">
      <c r="B36196" s="309"/>
      <c r="C36196" s="309"/>
      <c r="I36196" s="309"/>
      <c r="J36196" s="309"/>
    </row>
    <row r="36197">
      <c r="B36197" s="309"/>
      <c r="C36197" s="309"/>
      <c r="I36197" s="309"/>
      <c r="J36197" s="309"/>
    </row>
    <row r="36198">
      <c r="B36198" s="309"/>
      <c r="C36198" s="309"/>
      <c r="I36198" s="309"/>
      <c r="J36198" s="309"/>
    </row>
    <row r="36199">
      <c r="B36199" s="309"/>
      <c r="C36199" s="309"/>
      <c r="I36199" s="309"/>
      <c r="J36199" s="309"/>
    </row>
    <row r="36200">
      <c r="B36200" s="309"/>
      <c r="C36200" s="309"/>
      <c r="I36200" s="309"/>
      <c r="J36200" s="309"/>
    </row>
    <row r="36201">
      <c r="B36201" s="309"/>
      <c r="C36201" s="309"/>
      <c r="I36201" s="309"/>
      <c r="J36201" s="309"/>
    </row>
    <row r="36202">
      <c r="B36202" s="309"/>
      <c r="C36202" s="309"/>
      <c r="I36202" s="309"/>
      <c r="J36202" s="309"/>
    </row>
    <row r="36203">
      <c r="B36203" s="309"/>
      <c r="C36203" s="309"/>
      <c r="I36203" s="309"/>
      <c r="J36203" s="309"/>
    </row>
    <row r="36204">
      <c r="B36204" s="309"/>
      <c r="C36204" s="309"/>
      <c r="I36204" s="309"/>
      <c r="J36204" s="309"/>
    </row>
    <row r="36205">
      <c r="B36205" s="309"/>
      <c r="C36205" s="309"/>
      <c r="I36205" s="309"/>
      <c r="J36205" s="309"/>
    </row>
    <row r="36206">
      <c r="B36206" s="309"/>
      <c r="C36206" s="309"/>
      <c r="I36206" s="309"/>
      <c r="J36206" s="309"/>
    </row>
    <row r="36207">
      <c r="B36207" s="309"/>
      <c r="C36207" s="309"/>
      <c r="I36207" s="309"/>
      <c r="J36207" s="309"/>
    </row>
    <row r="36208">
      <c r="B36208" s="309"/>
      <c r="C36208" s="309"/>
      <c r="I36208" s="309"/>
      <c r="J36208" s="309"/>
    </row>
    <row r="36209">
      <c r="B36209" s="309"/>
      <c r="C36209" s="309"/>
      <c r="I36209" s="309"/>
      <c r="J36209" s="309"/>
    </row>
    <row r="36210">
      <c r="B36210" s="309"/>
      <c r="C36210" s="309"/>
      <c r="I36210" s="309"/>
      <c r="J36210" s="309"/>
    </row>
    <row r="36211">
      <c r="B36211" s="309"/>
      <c r="C36211" s="309"/>
      <c r="I36211" s="309"/>
      <c r="J36211" s="309"/>
    </row>
    <row r="36212">
      <c r="B36212" s="309"/>
      <c r="C36212" s="309"/>
      <c r="I36212" s="309"/>
      <c r="J36212" s="309"/>
    </row>
    <row r="36213">
      <c r="B36213" s="309"/>
      <c r="C36213" s="309"/>
      <c r="I36213" s="309"/>
      <c r="J36213" s="309"/>
    </row>
    <row r="36214">
      <c r="B36214" s="309"/>
      <c r="C36214" s="309"/>
      <c r="I36214" s="309"/>
      <c r="J36214" s="309"/>
    </row>
    <row r="36215">
      <c r="B36215" s="309"/>
      <c r="C36215" s="309"/>
      <c r="I36215" s="309"/>
      <c r="J36215" s="309"/>
    </row>
    <row r="36216">
      <c r="B36216" s="309"/>
      <c r="C36216" s="309"/>
      <c r="I36216" s="309"/>
      <c r="J36216" s="309"/>
    </row>
    <row r="36217">
      <c r="B36217" s="309"/>
      <c r="C36217" s="309"/>
      <c r="I36217" s="309"/>
      <c r="J36217" s="309"/>
    </row>
    <row r="36218">
      <c r="B36218" s="309"/>
      <c r="C36218" s="309"/>
      <c r="I36218" s="309"/>
      <c r="J36218" s="309"/>
    </row>
    <row r="36219">
      <c r="B36219" s="309"/>
      <c r="C36219" s="309"/>
      <c r="I36219" s="309"/>
      <c r="J36219" s="309"/>
    </row>
    <row r="36220">
      <c r="B36220" s="309"/>
      <c r="C36220" s="309"/>
      <c r="I36220" s="309"/>
      <c r="J36220" s="309"/>
    </row>
    <row r="36221">
      <c r="B36221" s="309"/>
      <c r="C36221" s="309"/>
      <c r="I36221" s="309"/>
      <c r="J36221" s="309"/>
    </row>
    <row r="36222">
      <c r="B36222" s="309"/>
      <c r="C36222" s="309"/>
      <c r="I36222" s="309"/>
      <c r="J36222" s="309"/>
    </row>
    <row r="36223">
      <c r="B36223" s="309"/>
      <c r="C36223" s="309"/>
      <c r="I36223" s="309"/>
      <c r="J36223" s="309"/>
    </row>
    <row r="36224">
      <c r="B36224" s="309"/>
      <c r="C36224" s="309"/>
      <c r="I36224" s="309"/>
      <c r="J36224" s="309"/>
    </row>
    <row r="36225">
      <c r="B36225" s="309"/>
      <c r="C36225" s="309"/>
      <c r="I36225" s="309"/>
      <c r="J36225" s="309"/>
    </row>
    <row r="36226">
      <c r="B36226" s="309"/>
      <c r="C36226" s="309"/>
      <c r="I36226" s="309"/>
      <c r="J36226" s="309"/>
    </row>
    <row r="36227">
      <c r="B36227" s="309"/>
      <c r="C36227" s="309"/>
      <c r="I36227" s="309"/>
      <c r="J36227" s="309"/>
    </row>
    <row r="36228">
      <c r="B36228" s="309"/>
      <c r="C36228" s="309"/>
      <c r="I36228" s="309"/>
      <c r="J36228" s="309"/>
    </row>
    <row r="36229">
      <c r="B36229" s="309"/>
      <c r="C36229" s="309"/>
      <c r="I36229" s="309"/>
      <c r="J36229" s="309"/>
    </row>
    <row r="36230">
      <c r="B36230" s="309"/>
      <c r="C36230" s="309"/>
      <c r="I36230" s="309"/>
      <c r="J36230" s="309"/>
    </row>
    <row r="36231">
      <c r="B36231" s="309"/>
      <c r="C36231" s="309"/>
      <c r="I36231" s="309"/>
      <c r="J36231" s="309"/>
    </row>
    <row r="36232">
      <c r="B36232" s="309"/>
      <c r="C36232" s="309"/>
      <c r="I36232" s="309"/>
      <c r="J36232" s="309"/>
    </row>
    <row r="36233">
      <c r="B36233" s="309"/>
      <c r="C36233" s="309"/>
      <c r="I36233" s="309"/>
      <c r="J36233" s="309"/>
    </row>
    <row r="36234">
      <c r="B36234" s="309"/>
      <c r="C36234" s="309"/>
      <c r="I36234" s="309"/>
      <c r="J36234" s="309"/>
    </row>
    <row r="36235">
      <c r="B36235" s="309"/>
      <c r="C36235" s="309"/>
      <c r="I36235" s="309"/>
      <c r="J36235" s="309"/>
    </row>
    <row r="36236">
      <c r="B36236" s="309"/>
      <c r="C36236" s="309"/>
      <c r="I36236" s="309"/>
      <c r="J36236" s="309"/>
    </row>
    <row r="36237">
      <c r="B36237" s="309"/>
      <c r="C36237" s="309"/>
      <c r="I36237" s="309"/>
      <c r="J36237" s="309"/>
    </row>
    <row r="36238">
      <c r="B36238" s="309"/>
      <c r="C36238" s="309"/>
      <c r="I36238" s="309"/>
      <c r="J36238" s="309"/>
    </row>
    <row r="36239">
      <c r="B36239" s="309"/>
      <c r="C36239" s="309"/>
      <c r="I36239" s="309"/>
      <c r="J36239" s="309"/>
    </row>
    <row r="36240">
      <c r="B36240" s="309"/>
      <c r="C36240" s="309"/>
      <c r="I36240" s="309"/>
      <c r="J36240" s="309"/>
    </row>
    <row r="36241">
      <c r="B36241" s="309"/>
      <c r="C36241" s="309"/>
      <c r="I36241" s="309"/>
      <c r="J36241" s="309"/>
    </row>
    <row r="36242">
      <c r="B36242" s="309"/>
      <c r="C36242" s="309"/>
      <c r="I36242" s="309"/>
      <c r="J36242" s="309"/>
    </row>
    <row r="36243">
      <c r="B36243" s="309"/>
      <c r="C36243" s="309"/>
      <c r="I36243" s="309"/>
      <c r="J36243" s="309"/>
    </row>
    <row r="36244">
      <c r="B36244" s="309"/>
      <c r="C36244" s="309"/>
      <c r="I36244" s="309"/>
      <c r="J36244" s="309"/>
    </row>
    <row r="36245">
      <c r="B36245" s="309"/>
      <c r="C36245" s="309"/>
      <c r="I36245" s="309"/>
      <c r="J36245" s="309"/>
    </row>
    <row r="36246">
      <c r="B36246" s="309"/>
      <c r="C36246" s="309"/>
      <c r="I36246" s="309"/>
      <c r="J36246" s="309"/>
    </row>
    <row r="36247">
      <c r="B36247" s="309"/>
      <c r="C36247" s="309"/>
      <c r="I36247" s="309"/>
      <c r="J36247" s="309"/>
    </row>
    <row r="36248">
      <c r="B36248" s="309"/>
      <c r="C36248" s="309"/>
      <c r="I36248" s="309"/>
      <c r="J36248" s="309"/>
    </row>
    <row r="36249">
      <c r="B36249" s="309"/>
      <c r="C36249" s="309"/>
      <c r="I36249" s="309"/>
      <c r="J36249" s="309"/>
    </row>
    <row r="36250">
      <c r="B36250" s="309"/>
      <c r="C36250" s="309"/>
      <c r="I36250" s="309"/>
      <c r="J36250" s="309"/>
    </row>
    <row r="36251">
      <c r="B36251" s="309"/>
      <c r="C36251" s="309"/>
      <c r="I36251" s="309"/>
      <c r="J36251" s="309"/>
    </row>
    <row r="36252">
      <c r="B36252" s="309"/>
      <c r="C36252" s="309"/>
      <c r="I36252" s="309"/>
      <c r="J36252" s="309"/>
    </row>
    <row r="36253">
      <c r="B36253" s="309"/>
      <c r="C36253" s="309"/>
      <c r="I36253" s="309"/>
      <c r="J36253" s="309"/>
    </row>
    <row r="36254">
      <c r="B36254" s="309"/>
      <c r="C36254" s="309"/>
      <c r="I36254" s="309"/>
      <c r="J36254" s="309"/>
    </row>
    <row r="36255">
      <c r="B36255" s="309"/>
      <c r="C36255" s="309"/>
      <c r="I36255" s="309"/>
      <c r="J36255" s="309"/>
    </row>
    <row r="36256">
      <c r="B36256" s="309"/>
      <c r="C36256" s="309"/>
      <c r="I36256" s="309"/>
      <c r="J36256" s="309"/>
    </row>
    <row r="36257">
      <c r="B36257" s="309"/>
      <c r="C36257" s="309"/>
      <c r="I36257" s="309"/>
      <c r="J36257" s="309"/>
    </row>
    <row r="36258">
      <c r="B36258" s="309"/>
      <c r="C36258" s="309"/>
      <c r="I36258" s="309"/>
      <c r="J36258" s="309"/>
    </row>
    <row r="36259">
      <c r="B36259" s="309"/>
      <c r="C36259" s="309"/>
      <c r="I36259" s="309"/>
      <c r="J36259" s="309"/>
    </row>
    <row r="36260">
      <c r="B36260" s="309"/>
      <c r="C36260" s="309"/>
      <c r="I36260" s="309"/>
      <c r="J36260" s="309"/>
    </row>
    <row r="36261">
      <c r="B36261" s="309"/>
      <c r="C36261" s="309"/>
      <c r="I36261" s="309"/>
      <c r="J36261" s="309"/>
    </row>
    <row r="36262">
      <c r="B36262" s="309"/>
      <c r="C36262" s="309"/>
      <c r="I36262" s="309"/>
      <c r="J36262" s="309"/>
    </row>
    <row r="36263">
      <c r="B36263" s="309"/>
      <c r="C36263" s="309"/>
      <c r="I36263" s="309"/>
      <c r="J36263" s="309"/>
    </row>
    <row r="36264">
      <c r="B36264" s="309"/>
      <c r="C36264" s="309"/>
      <c r="I36264" s="309"/>
      <c r="J36264" s="309"/>
    </row>
    <row r="36265">
      <c r="B36265" s="309"/>
      <c r="C36265" s="309"/>
      <c r="I36265" s="309"/>
      <c r="J36265" s="309"/>
    </row>
    <row r="36266">
      <c r="B36266" s="309"/>
      <c r="C36266" s="309"/>
      <c r="I36266" s="309"/>
      <c r="J36266" s="309"/>
    </row>
    <row r="36267">
      <c r="B36267" s="309"/>
      <c r="C36267" s="309"/>
      <c r="I36267" s="309"/>
      <c r="J36267" s="309"/>
    </row>
    <row r="36268">
      <c r="B36268" s="309"/>
      <c r="C36268" s="309"/>
      <c r="I36268" s="309"/>
      <c r="J36268" s="309"/>
    </row>
    <row r="36269">
      <c r="B36269" s="309"/>
      <c r="C36269" s="309"/>
      <c r="I36269" s="309"/>
      <c r="J36269" s="309"/>
    </row>
    <row r="36270">
      <c r="B36270" s="309"/>
      <c r="C36270" s="309"/>
      <c r="I36270" s="309"/>
      <c r="J36270" s="309"/>
    </row>
    <row r="36271">
      <c r="B36271" s="309"/>
      <c r="C36271" s="309"/>
      <c r="I36271" s="309"/>
      <c r="J36271" s="309"/>
    </row>
    <row r="36272">
      <c r="B36272" s="309"/>
      <c r="C36272" s="309"/>
      <c r="I36272" s="309"/>
      <c r="J36272" s="309"/>
    </row>
    <row r="36273">
      <c r="B36273" s="309"/>
      <c r="C36273" s="309"/>
      <c r="I36273" s="309"/>
      <c r="J36273" s="309"/>
    </row>
    <row r="36274">
      <c r="B36274" s="309"/>
      <c r="C36274" s="309"/>
      <c r="I36274" s="309"/>
      <c r="J36274" s="309"/>
    </row>
    <row r="36275">
      <c r="B36275" s="309"/>
      <c r="C36275" s="309"/>
      <c r="I36275" s="309"/>
      <c r="J36275" s="309"/>
    </row>
    <row r="36276">
      <c r="B36276" s="309"/>
      <c r="C36276" s="309"/>
      <c r="I36276" s="309"/>
      <c r="J36276" s="309"/>
    </row>
    <row r="36277">
      <c r="B36277" s="309"/>
      <c r="C36277" s="309"/>
      <c r="I36277" s="309"/>
      <c r="J36277" s="309"/>
    </row>
    <row r="36278">
      <c r="B36278" s="309"/>
      <c r="C36278" s="309"/>
      <c r="I36278" s="309"/>
      <c r="J36278" s="309"/>
    </row>
    <row r="36279">
      <c r="B36279" s="309"/>
      <c r="C36279" s="309"/>
      <c r="I36279" s="309"/>
      <c r="J36279" s="309"/>
    </row>
    <row r="36280">
      <c r="B36280" s="309"/>
      <c r="C36280" s="309"/>
      <c r="I36280" s="309"/>
      <c r="J36280" s="309"/>
    </row>
    <row r="36281">
      <c r="B36281" s="309"/>
      <c r="C36281" s="309"/>
      <c r="I36281" s="309"/>
      <c r="J36281" s="309"/>
    </row>
    <row r="36282">
      <c r="B36282" s="309"/>
      <c r="C36282" s="309"/>
      <c r="I36282" s="309"/>
      <c r="J36282" s="309"/>
    </row>
    <row r="36283">
      <c r="B36283" s="309"/>
      <c r="C36283" s="309"/>
      <c r="I36283" s="309"/>
      <c r="J36283" s="309"/>
    </row>
    <row r="36284">
      <c r="B36284" s="309"/>
      <c r="C36284" s="309"/>
      <c r="I36284" s="309"/>
      <c r="J36284" s="309"/>
    </row>
    <row r="36285">
      <c r="B36285" s="309"/>
      <c r="C36285" s="309"/>
      <c r="I36285" s="309"/>
      <c r="J36285" s="309"/>
    </row>
    <row r="36286">
      <c r="B36286" s="309"/>
      <c r="C36286" s="309"/>
      <c r="I36286" s="309"/>
      <c r="J36286" s="309"/>
    </row>
    <row r="36287">
      <c r="B36287" s="309"/>
      <c r="C36287" s="309"/>
      <c r="I36287" s="309"/>
      <c r="J36287" s="309"/>
    </row>
    <row r="36288">
      <c r="B36288" s="309"/>
      <c r="C36288" s="309"/>
      <c r="I36288" s="309"/>
      <c r="J36288" s="309"/>
    </row>
    <row r="36289">
      <c r="B36289" s="309"/>
      <c r="C36289" s="309"/>
      <c r="I36289" s="309"/>
      <c r="J36289" s="309"/>
    </row>
    <row r="36290">
      <c r="B36290" s="309"/>
      <c r="C36290" s="309"/>
      <c r="I36290" s="309"/>
      <c r="J36290" s="309"/>
    </row>
    <row r="36291">
      <c r="B36291" s="309"/>
      <c r="C36291" s="309"/>
      <c r="I36291" s="309"/>
      <c r="J36291" s="309"/>
    </row>
    <row r="36292">
      <c r="B36292" s="309"/>
      <c r="C36292" s="309"/>
      <c r="I36292" s="309"/>
      <c r="J36292" s="309"/>
    </row>
    <row r="36293">
      <c r="B36293" s="309"/>
      <c r="C36293" s="309"/>
      <c r="I36293" s="309"/>
      <c r="J36293" s="309"/>
    </row>
    <row r="36294">
      <c r="B36294" s="309"/>
      <c r="C36294" s="309"/>
      <c r="I36294" s="309"/>
      <c r="J36294" s="309"/>
    </row>
    <row r="36295">
      <c r="B36295" s="309"/>
      <c r="C36295" s="309"/>
      <c r="I36295" s="309"/>
      <c r="J36295" s="309"/>
    </row>
    <row r="36296">
      <c r="B36296" s="309"/>
      <c r="C36296" s="309"/>
      <c r="I36296" s="309"/>
      <c r="J36296" s="309"/>
    </row>
    <row r="36297">
      <c r="B36297" s="309"/>
      <c r="C36297" s="309"/>
      <c r="I36297" s="309"/>
      <c r="J36297" s="309"/>
    </row>
    <row r="36298">
      <c r="B36298" s="309"/>
      <c r="C36298" s="309"/>
      <c r="I36298" s="309"/>
      <c r="J36298" s="309"/>
    </row>
    <row r="36299">
      <c r="B36299" s="309"/>
      <c r="C36299" s="309"/>
      <c r="I36299" s="309"/>
      <c r="J36299" s="309"/>
    </row>
    <row r="36300">
      <c r="B36300" s="309"/>
      <c r="C36300" s="309"/>
      <c r="I36300" s="309"/>
      <c r="J36300" s="309"/>
    </row>
    <row r="36301">
      <c r="B36301" s="309"/>
      <c r="C36301" s="309"/>
      <c r="I36301" s="309"/>
      <c r="J36301" s="309"/>
    </row>
    <row r="36302">
      <c r="B36302" s="309"/>
      <c r="C36302" s="309"/>
      <c r="I36302" s="309"/>
      <c r="J36302" s="309"/>
    </row>
    <row r="36303">
      <c r="B36303" s="309"/>
      <c r="C36303" s="309"/>
      <c r="I36303" s="309"/>
      <c r="J36303" s="309"/>
    </row>
    <row r="36304">
      <c r="B36304" s="309"/>
      <c r="C36304" s="309"/>
      <c r="I36304" s="309"/>
      <c r="J36304" s="309"/>
    </row>
    <row r="36305">
      <c r="B36305" s="309"/>
      <c r="C36305" s="309"/>
      <c r="I36305" s="309"/>
      <c r="J36305" s="309"/>
    </row>
    <row r="36306">
      <c r="B36306" s="309"/>
      <c r="C36306" s="309"/>
      <c r="I36306" s="309"/>
      <c r="J36306" s="309"/>
    </row>
    <row r="36307">
      <c r="B36307" s="309"/>
      <c r="C36307" s="309"/>
      <c r="I36307" s="309"/>
      <c r="J36307" s="309"/>
    </row>
    <row r="36308">
      <c r="B36308" s="309"/>
      <c r="C36308" s="309"/>
      <c r="I36308" s="309"/>
      <c r="J36308" s="309"/>
    </row>
    <row r="36309">
      <c r="B36309" s="309"/>
      <c r="C36309" s="309"/>
      <c r="I36309" s="309"/>
      <c r="J36309" s="309"/>
    </row>
    <row r="36310">
      <c r="B36310" s="309"/>
      <c r="C36310" s="309"/>
      <c r="I36310" s="309"/>
      <c r="J36310" s="309"/>
    </row>
    <row r="36311">
      <c r="B36311" s="309"/>
      <c r="C36311" s="309"/>
      <c r="I36311" s="309"/>
      <c r="J36311" s="309"/>
    </row>
    <row r="36312">
      <c r="B36312" s="309"/>
      <c r="C36312" s="309"/>
      <c r="I36312" s="309"/>
      <c r="J36312" s="309"/>
    </row>
    <row r="36313">
      <c r="B36313" s="309"/>
      <c r="C36313" s="309"/>
      <c r="I36313" s="309"/>
      <c r="J36313" s="309"/>
    </row>
    <row r="36314">
      <c r="B36314" s="309"/>
      <c r="C36314" s="309"/>
      <c r="I36314" s="309"/>
      <c r="J36314" s="309"/>
    </row>
    <row r="36315">
      <c r="B36315" s="309"/>
      <c r="C36315" s="309"/>
      <c r="I36315" s="309"/>
      <c r="J36315" s="309"/>
    </row>
    <row r="36316">
      <c r="B36316" s="309"/>
      <c r="C36316" s="309"/>
      <c r="I36316" s="309"/>
      <c r="J36316" s="309"/>
    </row>
    <row r="36317">
      <c r="B36317" s="309"/>
      <c r="C36317" s="309"/>
      <c r="I36317" s="309"/>
      <c r="J36317" s="309"/>
    </row>
    <row r="36318">
      <c r="B36318" s="309"/>
      <c r="C36318" s="309"/>
      <c r="I36318" s="309"/>
      <c r="J36318" s="309"/>
    </row>
    <row r="36319">
      <c r="B36319" s="309"/>
      <c r="C36319" s="309"/>
      <c r="I36319" s="309"/>
      <c r="J36319" s="309"/>
    </row>
    <row r="36320">
      <c r="B36320" s="309"/>
      <c r="C36320" s="309"/>
      <c r="I36320" s="309"/>
      <c r="J36320" s="309"/>
    </row>
    <row r="36321">
      <c r="B36321" s="309"/>
      <c r="C36321" s="309"/>
      <c r="I36321" s="309"/>
      <c r="J36321" s="309"/>
    </row>
    <row r="36322">
      <c r="B36322" s="309"/>
      <c r="C36322" s="309"/>
      <c r="I36322" s="309"/>
      <c r="J36322" s="309"/>
    </row>
    <row r="36323">
      <c r="B36323" s="309"/>
      <c r="C36323" s="309"/>
      <c r="I36323" s="309"/>
      <c r="J36323" s="309"/>
    </row>
    <row r="36324">
      <c r="B36324" s="309"/>
      <c r="C36324" s="309"/>
      <c r="I36324" s="309"/>
      <c r="J36324" s="309"/>
    </row>
    <row r="36325">
      <c r="B36325" s="309"/>
      <c r="C36325" s="309"/>
      <c r="I36325" s="309"/>
      <c r="J36325" s="309"/>
    </row>
    <row r="36326">
      <c r="B36326" s="309"/>
      <c r="C36326" s="309"/>
      <c r="I36326" s="309"/>
      <c r="J36326" s="309"/>
    </row>
    <row r="36327">
      <c r="B36327" s="309"/>
      <c r="C36327" s="309"/>
      <c r="I36327" s="309"/>
      <c r="J36327" s="309"/>
    </row>
    <row r="36328">
      <c r="B36328" s="309"/>
      <c r="C36328" s="309"/>
      <c r="I36328" s="309"/>
      <c r="J36328" s="309"/>
    </row>
    <row r="36329">
      <c r="B36329" s="309"/>
      <c r="C36329" s="309"/>
      <c r="I36329" s="309"/>
      <c r="J36329" s="309"/>
    </row>
    <row r="36330">
      <c r="B36330" s="309"/>
      <c r="C36330" s="309"/>
      <c r="I36330" s="309"/>
      <c r="J36330" s="309"/>
    </row>
    <row r="36331">
      <c r="B36331" s="309"/>
      <c r="C36331" s="309"/>
      <c r="I36331" s="309"/>
      <c r="J36331" s="309"/>
    </row>
    <row r="36332">
      <c r="B36332" s="309"/>
      <c r="C36332" s="309"/>
      <c r="I36332" s="309"/>
      <c r="J36332" s="309"/>
    </row>
    <row r="36333">
      <c r="B36333" s="309"/>
      <c r="C36333" s="309"/>
      <c r="I36333" s="309"/>
      <c r="J36333" s="309"/>
    </row>
    <row r="36334">
      <c r="B36334" s="309"/>
      <c r="C36334" s="309"/>
      <c r="I36334" s="309"/>
      <c r="J36334" s="309"/>
    </row>
    <row r="36335">
      <c r="B36335" s="309"/>
      <c r="C36335" s="309"/>
      <c r="I36335" s="309"/>
      <c r="J36335" s="309"/>
    </row>
    <row r="36336">
      <c r="B36336" s="309"/>
      <c r="C36336" s="309"/>
      <c r="I36336" s="309"/>
      <c r="J36336" s="309"/>
    </row>
    <row r="36337">
      <c r="B36337" s="309"/>
      <c r="C36337" s="309"/>
      <c r="I36337" s="309"/>
      <c r="J36337" s="309"/>
    </row>
    <row r="36338">
      <c r="B36338" s="309"/>
      <c r="C36338" s="309"/>
      <c r="I36338" s="309"/>
      <c r="J36338" s="309"/>
    </row>
    <row r="36339">
      <c r="B36339" s="309"/>
      <c r="C36339" s="309"/>
      <c r="I36339" s="309"/>
      <c r="J36339" s="309"/>
    </row>
    <row r="36340">
      <c r="B36340" s="309"/>
      <c r="C36340" s="309"/>
      <c r="I36340" s="309"/>
      <c r="J36340" s="309"/>
    </row>
    <row r="36341">
      <c r="B36341" s="309"/>
      <c r="C36341" s="309"/>
      <c r="I36341" s="309"/>
      <c r="J36341" s="309"/>
    </row>
    <row r="36342">
      <c r="B36342" s="309"/>
      <c r="C36342" s="309"/>
      <c r="I36342" s="309"/>
      <c r="J36342" s="309"/>
    </row>
    <row r="36343">
      <c r="B36343" s="309"/>
      <c r="C36343" s="309"/>
      <c r="I36343" s="309"/>
      <c r="J36343" s="309"/>
    </row>
    <row r="36344">
      <c r="B36344" s="309"/>
      <c r="C36344" s="309"/>
      <c r="I36344" s="309"/>
      <c r="J36344" s="309"/>
    </row>
    <row r="36345">
      <c r="B36345" s="309"/>
      <c r="C36345" s="309"/>
      <c r="I36345" s="309"/>
      <c r="J36345" s="309"/>
    </row>
    <row r="36346">
      <c r="B36346" s="309"/>
      <c r="C36346" s="309"/>
      <c r="I36346" s="309"/>
      <c r="J36346" s="309"/>
    </row>
    <row r="36347">
      <c r="B36347" s="309"/>
      <c r="C36347" s="309"/>
      <c r="I36347" s="309"/>
      <c r="J36347" s="309"/>
    </row>
    <row r="36348">
      <c r="B36348" s="309"/>
      <c r="C36348" s="309"/>
      <c r="I36348" s="309"/>
      <c r="J36348" s="309"/>
    </row>
    <row r="36349">
      <c r="B36349" s="309"/>
      <c r="C36349" s="309"/>
      <c r="I36349" s="309"/>
      <c r="J36349" s="309"/>
    </row>
    <row r="36350">
      <c r="B36350" s="309"/>
      <c r="C36350" s="309"/>
      <c r="I36350" s="309"/>
      <c r="J36350" s="309"/>
    </row>
    <row r="36351">
      <c r="B36351" s="309"/>
      <c r="C36351" s="309"/>
      <c r="I36351" s="309"/>
      <c r="J36351" s="309"/>
    </row>
    <row r="36352">
      <c r="B36352" s="309"/>
      <c r="C36352" s="309"/>
      <c r="I36352" s="309"/>
      <c r="J36352" s="309"/>
    </row>
    <row r="36353">
      <c r="B36353" s="309"/>
      <c r="C36353" s="309"/>
      <c r="I36353" s="309"/>
      <c r="J36353" s="309"/>
    </row>
    <row r="36354">
      <c r="B36354" s="309"/>
      <c r="C36354" s="309"/>
      <c r="I36354" s="309"/>
      <c r="J36354" s="309"/>
    </row>
    <row r="36355">
      <c r="B36355" s="309"/>
      <c r="C36355" s="309"/>
      <c r="I36355" s="309"/>
      <c r="J36355" s="309"/>
    </row>
    <row r="36356">
      <c r="B36356" s="309"/>
      <c r="C36356" s="309"/>
      <c r="I36356" s="309"/>
      <c r="J36356" s="309"/>
    </row>
    <row r="36357">
      <c r="B36357" s="309"/>
      <c r="C36357" s="309"/>
      <c r="I36357" s="309"/>
      <c r="J36357" s="309"/>
    </row>
    <row r="36358">
      <c r="B36358" s="309"/>
      <c r="C36358" s="309"/>
      <c r="I36358" s="309"/>
      <c r="J36358" s="309"/>
    </row>
    <row r="36359">
      <c r="B36359" s="309"/>
      <c r="C36359" s="309"/>
      <c r="I36359" s="309"/>
      <c r="J36359" s="309"/>
    </row>
    <row r="36360">
      <c r="B36360" s="309"/>
      <c r="C36360" s="309"/>
      <c r="I36360" s="309"/>
      <c r="J36360" s="309"/>
    </row>
    <row r="36361">
      <c r="B36361" s="309"/>
      <c r="C36361" s="309"/>
      <c r="I36361" s="309"/>
      <c r="J36361" s="309"/>
    </row>
    <row r="36362">
      <c r="B36362" s="309"/>
      <c r="C36362" s="309"/>
      <c r="I36362" s="309"/>
      <c r="J36362" s="309"/>
    </row>
    <row r="36363">
      <c r="B36363" s="309"/>
      <c r="C36363" s="309"/>
      <c r="I36363" s="309"/>
      <c r="J36363" s="309"/>
    </row>
    <row r="36364">
      <c r="B36364" s="309"/>
      <c r="C36364" s="309"/>
      <c r="I36364" s="309"/>
      <c r="J36364" s="309"/>
    </row>
    <row r="36365">
      <c r="B36365" s="309"/>
      <c r="C36365" s="309"/>
      <c r="I36365" s="309"/>
      <c r="J36365" s="309"/>
    </row>
    <row r="36366">
      <c r="B36366" s="309"/>
      <c r="C36366" s="309"/>
      <c r="I36366" s="309"/>
      <c r="J36366" s="309"/>
    </row>
    <row r="36367">
      <c r="B36367" s="309"/>
      <c r="C36367" s="309"/>
      <c r="I36367" s="309"/>
      <c r="J36367" s="309"/>
    </row>
    <row r="36368">
      <c r="B36368" s="309"/>
      <c r="C36368" s="309"/>
      <c r="I36368" s="309"/>
      <c r="J36368" s="309"/>
    </row>
    <row r="36369">
      <c r="B36369" s="309"/>
      <c r="C36369" s="309"/>
      <c r="I36369" s="309"/>
      <c r="J36369" s="309"/>
    </row>
    <row r="36370">
      <c r="B36370" s="309"/>
      <c r="C36370" s="309"/>
      <c r="I36370" s="309"/>
      <c r="J36370" s="309"/>
    </row>
    <row r="36371">
      <c r="B36371" s="309"/>
      <c r="C36371" s="309"/>
      <c r="I36371" s="309"/>
      <c r="J36371" s="309"/>
    </row>
    <row r="36372">
      <c r="B36372" s="309"/>
      <c r="C36372" s="309"/>
      <c r="I36372" s="309"/>
      <c r="J36372" s="309"/>
    </row>
    <row r="36373">
      <c r="B36373" s="309"/>
      <c r="C36373" s="309"/>
      <c r="I36373" s="309"/>
      <c r="J36373" s="309"/>
    </row>
    <row r="36374">
      <c r="B36374" s="309"/>
      <c r="C36374" s="309"/>
      <c r="I36374" s="309"/>
      <c r="J36374" s="309"/>
    </row>
    <row r="36375">
      <c r="B36375" s="309"/>
      <c r="C36375" s="309"/>
      <c r="I36375" s="309"/>
      <c r="J36375" s="309"/>
    </row>
    <row r="36376">
      <c r="B36376" s="309"/>
      <c r="C36376" s="309"/>
      <c r="I36376" s="309"/>
      <c r="J36376" s="309"/>
    </row>
    <row r="36377">
      <c r="B36377" s="309"/>
      <c r="C36377" s="309"/>
      <c r="I36377" s="309"/>
      <c r="J36377" s="309"/>
    </row>
    <row r="36378">
      <c r="B36378" s="309"/>
      <c r="C36378" s="309"/>
      <c r="I36378" s="309"/>
      <c r="J36378" s="309"/>
    </row>
    <row r="36379">
      <c r="B36379" s="309"/>
      <c r="C36379" s="309"/>
      <c r="I36379" s="309"/>
      <c r="J36379" s="309"/>
    </row>
    <row r="36380">
      <c r="B36380" s="309"/>
      <c r="C36380" s="309"/>
      <c r="I36380" s="309"/>
      <c r="J36380" s="309"/>
    </row>
    <row r="36381">
      <c r="B36381" s="309"/>
      <c r="C36381" s="309"/>
      <c r="I36381" s="309"/>
      <c r="J36381" s="309"/>
    </row>
    <row r="36382">
      <c r="B36382" s="309"/>
      <c r="C36382" s="309"/>
      <c r="I36382" s="309"/>
      <c r="J36382" s="309"/>
    </row>
    <row r="36383">
      <c r="B36383" s="309"/>
      <c r="C36383" s="309"/>
      <c r="I36383" s="309"/>
      <c r="J36383" s="309"/>
    </row>
    <row r="36384">
      <c r="B36384" s="309"/>
      <c r="C36384" s="309"/>
      <c r="I36384" s="309"/>
      <c r="J36384" s="309"/>
    </row>
    <row r="36385">
      <c r="B36385" s="309"/>
      <c r="C36385" s="309"/>
      <c r="I36385" s="309"/>
      <c r="J36385" s="309"/>
    </row>
    <row r="36386">
      <c r="B36386" s="309"/>
      <c r="C36386" s="309"/>
      <c r="I36386" s="309"/>
      <c r="J36386" s="309"/>
    </row>
    <row r="36387">
      <c r="B36387" s="309"/>
      <c r="C36387" s="309"/>
      <c r="I36387" s="309"/>
      <c r="J36387" s="309"/>
    </row>
    <row r="36388">
      <c r="B36388" s="309"/>
      <c r="C36388" s="309"/>
      <c r="I36388" s="309"/>
      <c r="J36388" s="309"/>
    </row>
    <row r="36389">
      <c r="B36389" s="309"/>
      <c r="C36389" s="309"/>
      <c r="I36389" s="309"/>
      <c r="J36389" s="309"/>
    </row>
    <row r="36390">
      <c r="B36390" s="309"/>
      <c r="C36390" s="309"/>
      <c r="I36390" s="309"/>
      <c r="J36390" s="309"/>
    </row>
    <row r="36391">
      <c r="B36391" s="309"/>
      <c r="C36391" s="309"/>
      <c r="I36391" s="309"/>
      <c r="J36391" s="309"/>
    </row>
    <row r="36392">
      <c r="B36392" s="309"/>
      <c r="C36392" s="309"/>
      <c r="I36392" s="309"/>
      <c r="J36392" s="309"/>
    </row>
    <row r="36393">
      <c r="B36393" s="309"/>
      <c r="C36393" s="309"/>
      <c r="I36393" s="309"/>
      <c r="J36393" s="309"/>
    </row>
    <row r="36394">
      <c r="B36394" s="309"/>
      <c r="C36394" s="309"/>
      <c r="I36394" s="309"/>
      <c r="J36394" s="309"/>
    </row>
    <row r="36395">
      <c r="B36395" s="309"/>
      <c r="C36395" s="309"/>
      <c r="I36395" s="309"/>
      <c r="J36395" s="309"/>
    </row>
    <row r="36396">
      <c r="B36396" s="309"/>
      <c r="C36396" s="309"/>
      <c r="I36396" s="309"/>
      <c r="J36396" s="309"/>
    </row>
    <row r="36397">
      <c r="B36397" s="309"/>
      <c r="C36397" s="309"/>
      <c r="I36397" s="309"/>
      <c r="J36397" s="309"/>
    </row>
    <row r="36398">
      <c r="B36398" s="309"/>
      <c r="C36398" s="309"/>
      <c r="I36398" s="309"/>
      <c r="J36398" s="309"/>
    </row>
    <row r="36399">
      <c r="B36399" s="309"/>
      <c r="C36399" s="309"/>
      <c r="I36399" s="309"/>
      <c r="J36399" s="309"/>
    </row>
    <row r="36400">
      <c r="B36400" s="309"/>
      <c r="C36400" s="309"/>
      <c r="I36400" s="309"/>
      <c r="J36400" s="309"/>
    </row>
    <row r="36401">
      <c r="B36401" s="309"/>
      <c r="C36401" s="309"/>
      <c r="I36401" s="309"/>
      <c r="J36401" s="309"/>
    </row>
    <row r="36402">
      <c r="B36402" s="309"/>
      <c r="C36402" s="309"/>
      <c r="I36402" s="309"/>
      <c r="J36402" s="309"/>
    </row>
    <row r="36403">
      <c r="B36403" s="309"/>
      <c r="C36403" s="309"/>
      <c r="I36403" s="309"/>
      <c r="J36403" s="309"/>
    </row>
    <row r="36404">
      <c r="B36404" s="309"/>
      <c r="C36404" s="309"/>
      <c r="I36404" s="309"/>
      <c r="J36404" s="309"/>
    </row>
    <row r="36405">
      <c r="B36405" s="309"/>
      <c r="C36405" s="309"/>
      <c r="I36405" s="309"/>
      <c r="J36405" s="309"/>
    </row>
    <row r="36406">
      <c r="B36406" s="309"/>
      <c r="C36406" s="309"/>
      <c r="I36406" s="309"/>
      <c r="J36406" s="309"/>
    </row>
    <row r="36407">
      <c r="B36407" s="309"/>
      <c r="C36407" s="309"/>
      <c r="I36407" s="309"/>
      <c r="J36407" s="309"/>
    </row>
    <row r="36408">
      <c r="B36408" s="309"/>
      <c r="C36408" s="309"/>
      <c r="I36408" s="309"/>
      <c r="J36408" s="309"/>
    </row>
    <row r="36409">
      <c r="B36409" s="309"/>
      <c r="C36409" s="309"/>
      <c r="I36409" s="309"/>
      <c r="J36409" s="309"/>
    </row>
    <row r="36410">
      <c r="B36410" s="309"/>
      <c r="C36410" s="309"/>
      <c r="I36410" s="309"/>
      <c r="J36410" s="309"/>
    </row>
    <row r="36411">
      <c r="B36411" s="309"/>
      <c r="C36411" s="309"/>
      <c r="I36411" s="309"/>
      <c r="J36411" s="309"/>
    </row>
    <row r="36412">
      <c r="B36412" s="309"/>
      <c r="C36412" s="309"/>
      <c r="I36412" s="309"/>
      <c r="J36412" s="309"/>
    </row>
    <row r="36413">
      <c r="B36413" s="309"/>
      <c r="C36413" s="309"/>
      <c r="I36413" s="309"/>
      <c r="J36413" s="309"/>
    </row>
    <row r="36414">
      <c r="B36414" s="309"/>
      <c r="C36414" s="309"/>
      <c r="I36414" s="309"/>
      <c r="J36414" s="309"/>
    </row>
    <row r="36415">
      <c r="B36415" s="309"/>
      <c r="C36415" s="309"/>
      <c r="I36415" s="309"/>
      <c r="J36415" s="309"/>
    </row>
    <row r="36416">
      <c r="B36416" s="309"/>
      <c r="C36416" s="309"/>
      <c r="I36416" s="309"/>
      <c r="J36416" s="309"/>
    </row>
    <row r="36417">
      <c r="B36417" s="309"/>
      <c r="C36417" s="309"/>
      <c r="I36417" s="309"/>
      <c r="J36417" s="309"/>
    </row>
    <row r="36418">
      <c r="B36418" s="309"/>
      <c r="C36418" s="309"/>
      <c r="I36418" s="309"/>
      <c r="J36418" s="309"/>
    </row>
    <row r="36419">
      <c r="B36419" s="309"/>
      <c r="C36419" s="309"/>
      <c r="I36419" s="309"/>
      <c r="J36419" s="309"/>
    </row>
    <row r="36420">
      <c r="B36420" s="309"/>
      <c r="C36420" s="309"/>
      <c r="I36420" s="309"/>
      <c r="J36420" s="309"/>
    </row>
    <row r="36421">
      <c r="B36421" s="309"/>
      <c r="C36421" s="309"/>
      <c r="I36421" s="309"/>
      <c r="J36421" s="309"/>
    </row>
    <row r="36422">
      <c r="B36422" s="309"/>
      <c r="C36422" s="309"/>
      <c r="I36422" s="309"/>
      <c r="J36422" s="309"/>
    </row>
    <row r="36423">
      <c r="B36423" s="309"/>
      <c r="C36423" s="309"/>
      <c r="I36423" s="309"/>
      <c r="J36423" s="309"/>
    </row>
    <row r="36424">
      <c r="B36424" s="309"/>
      <c r="C36424" s="309"/>
      <c r="I36424" s="309"/>
      <c r="J36424" s="309"/>
    </row>
    <row r="36425">
      <c r="B36425" s="309"/>
      <c r="C36425" s="309"/>
      <c r="I36425" s="309"/>
      <c r="J36425" s="309"/>
    </row>
    <row r="36426">
      <c r="B36426" s="309"/>
      <c r="C36426" s="309"/>
      <c r="I36426" s="309"/>
      <c r="J36426" s="309"/>
    </row>
    <row r="36427">
      <c r="B36427" s="309"/>
      <c r="C36427" s="309"/>
      <c r="I36427" s="309"/>
      <c r="J36427" s="309"/>
    </row>
    <row r="36428">
      <c r="B36428" s="309"/>
      <c r="C36428" s="309"/>
      <c r="I36428" s="309"/>
      <c r="J36428" s="309"/>
    </row>
    <row r="36429">
      <c r="B36429" s="309"/>
      <c r="C36429" s="309"/>
      <c r="I36429" s="309"/>
      <c r="J36429" s="309"/>
    </row>
    <row r="36430">
      <c r="B36430" s="309"/>
      <c r="C36430" s="309"/>
      <c r="I36430" s="309"/>
      <c r="J36430" s="309"/>
    </row>
    <row r="36431">
      <c r="B36431" s="309"/>
      <c r="C36431" s="309"/>
      <c r="I36431" s="309"/>
      <c r="J36431" s="309"/>
    </row>
    <row r="36432">
      <c r="B36432" s="309"/>
      <c r="C36432" s="309"/>
      <c r="I36432" s="309"/>
      <c r="J36432" s="309"/>
    </row>
    <row r="36433">
      <c r="B36433" s="309"/>
      <c r="C36433" s="309"/>
      <c r="I36433" s="309"/>
      <c r="J36433" s="309"/>
    </row>
    <row r="36434">
      <c r="B36434" s="309"/>
      <c r="C36434" s="309"/>
      <c r="I36434" s="309"/>
      <c r="J36434" s="309"/>
    </row>
    <row r="36435">
      <c r="B36435" s="309"/>
      <c r="C36435" s="309"/>
      <c r="I36435" s="309"/>
      <c r="J36435" s="309"/>
    </row>
    <row r="36436">
      <c r="B36436" s="309"/>
      <c r="C36436" s="309"/>
      <c r="I36436" s="309"/>
      <c r="J36436" s="309"/>
    </row>
    <row r="36437">
      <c r="B36437" s="309"/>
      <c r="C36437" s="309"/>
      <c r="I36437" s="309"/>
      <c r="J36437" s="309"/>
    </row>
    <row r="36438">
      <c r="B36438" s="309"/>
      <c r="C36438" s="309"/>
      <c r="I36438" s="309"/>
      <c r="J36438" s="309"/>
    </row>
    <row r="36439">
      <c r="B36439" s="309"/>
      <c r="C36439" s="309"/>
      <c r="I36439" s="309"/>
      <c r="J36439" s="309"/>
    </row>
    <row r="36440">
      <c r="B36440" s="309"/>
      <c r="C36440" s="309"/>
      <c r="I36440" s="309"/>
      <c r="J36440" s="309"/>
    </row>
    <row r="36441">
      <c r="B36441" s="309"/>
      <c r="C36441" s="309"/>
      <c r="I36441" s="309"/>
      <c r="J36441" s="309"/>
    </row>
    <row r="36442">
      <c r="B36442" s="309"/>
      <c r="C36442" s="309"/>
      <c r="I36442" s="309"/>
      <c r="J36442" s="309"/>
    </row>
    <row r="36443">
      <c r="B36443" s="309"/>
      <c r="C36443" s="309"/>
      <c r="I36443" s="309"/>
      <c r="J36443" s="309"/>
    </row>
    <row r="36444">
      <c r="B36444" s="309"/>
      <c r="C36444" s="309"/>
      <c r="I36444" s="309"/>
      <c r="J36444" s="309"/>
    </row>
    <row r="36445">
      <c r="B36445" s="309"/>
      <c r="C36445" s="309"/>
      <c r="I36445" s="309"/>
      <c r="J36445" s="309"/>
    </row>
    <row r="36446">
      <c r="B36446" s="309"/>
      <c r="C36446" s="309"/>
      <c r="I36446" s="309"/>
      <c r="J36446" s="309"/>
    </row>
    <row r="36447">
      <c r="B36447" s="309"/>
      <c r="C36447" s="309"/>
      <c r="I36447" s="309"/>
      <c r="J36447" s="309"/>
    </row>
    <row r="36448">
      <c r="B36448" s="309"/>
      <c r="C36448" s="309"/>
      <c r="I36448" s="309"/>
      <c r="J36448" s="309"/>
    </row>
    <row r="36449">
      <c r="B36449" s="309"/>
      <c r="C36449" s="309"/>
      <c r="I36449" s="309"/>
      <c r="J36449" s="309"/>
    </row>
    <row r="36450">
      <c r="B36450" s="309"/>
      <c r="C36450" s="309"/>
      <c r="I36450" s="309"/>
      <c r="J36450" s="309"/>
    </row>
    <row r="36451">
      <c r="B36451" s="309"/>
      <c r="C36451" s="309"/>
      <c r="I36451" s="309"/>
      <c r="J36451" s="309"/>
    </row>
    <row r="36452">
      <c r="B36452" s="309"/>
      <c r="C36452" s="309"/>
      <c r="I36452" s="309"/>
      <c r="J36452" s="309"/>
    </row>
    <row r="36453">
      <c r="B36453" s="309"/>
      <c r="C36453" s="309"/>
      <c r="I36453" s="309"/>
      <c r="J36453" s="309"/>
    </row>
    <row r="36454">
      <c r="B36454" s="309"/>
      <c r="C36454" s="309"/>
      <c r="I36454" s="309"/>
      <c r="J36454" s="309"/>
    </row>
    <row r="36455">
      <c r="B36455" s="309"/>
      <c r="C36455" s="309"/>
      <c r="I36455" s="309"/>
      <c r="J36455" s="309"/>
    </row>
    <row r="36456">
      <c r="B36456" s="309"/>
      <c r="C36456" s="309"/>
      <c r="I36456" s="309"/>
      <c r="J36456" s="309"/>
    </row>
    <row r="36457">
      <c r="B36457" s="309"/>
      <c r="C36457" s="309"/>
      <c r="I36457" s="309"/>
      <c r="J36457" s="309"/>
    </row>
    <row r="36458">
      <c r="B36458" s="309"/>
      <c r="C36458" s="309"/>
      <c r="I36458" s="309"/>
      <c r="J36458" s="309"/>
    </row>
    <row r="36459">
      <c r="B36459" s="309"/>
      <c r="C36459" s="309"/>
      <c r="I36459" s="309"/>
      <c r="J36459" s="309"/>
    </row>
    <row r="36460">
      <c r="B36460" s="309"/>
      <c r="C36460" s="309"/>
      <c r="I36460" s="309"/>
      <c r="J36460" s="309"/>
    </row>
    <row r="36461">
      <c r="B36461" s="309"/>
      <c r="C36461" s="309"/>
      <c r="I36461" s="309"/>
      <c r="J36461" s="309"/>
    </row>
    <row r="36462">
      <c r="B36462" s="309"/>
      <c r="C36462" s="309"/>
      <c r="I36462" s="309"/>
      <c r="J36462" s="309"/>
    </row>
    <row r="36463">
      <c r="B36463" s="309"/>
      <c r="C36463" s="309"/>
      <c r="I36463" s="309"/>
      <c r="J36463" s="309"/>
    </row>
    <row r="36464">
      <c r="B36464" s="309"/>
      <c r="C36464" s="309"/>
      <c r="I36464" s="309"/>
      <c r="J36464" s="309"/>
    </row>
    <row r="36465">
      <c r="B36465" s="309"/>
      <c r="C36465" s="309"/>
      <c r="I36465" s="309"/>
      <c r="J36465" s="309"/>
    </row>
    <row r="36466">
      <c r="B36466" s="309"/>
      <c r="C36466" s="309"/>
      <c r="I36466" s="309"/>
      <c r="J36466" s="309"/>
    </row>
    <row r="36467">
      <c r="B36467" s="309"/>
      <c r="C36467" s="309"/>
      <c r="I36467" s="309"/>
      <c r="J36467" s="309"/>
    </row>
    <row r="36468">
      <c r="B36468" s="309"/>
      <c r="C36468" s="309"/>
      <c r="I36468" s="309"/>
      <c r="J36468" s="309"/>
    </row>
    <row r="36469">
      <c r="B36469" s="309"/>
      <c r="C36469" s="309"/>
      <c r="I36469" s="309"/>
      <c r="J36469" s="309"/>
    </row>
    <row r="36470">
      <c r="B36470" s="309"/>
      <c r="C36470" s="309"/>
      <c r="I36470" s="309"/>
      <c r="J36470" s="309"/>
    </row>
    <row r="36471">
      <c r="B36471" s="309"/>
      <c r="C36471" s="309"/>
      <c r="I36471" s="309"/>
      <c r="J36471" s="309"/>
    </row>
    <row r="36472">
      <c r="B36472" s="309"/>
      <c r="C36472" s="309"/>
      <c r="I36472" s="309"/>
      <c r="J36472" s="309"/>
    </row>
    <row r="36473">
      <c r="B36473" s="309"/>
      <c r="C36473" s="309"/>
      <c r="I36473" s="309"/>
      <c r="J36473" s="309"/>
    </row>
    <row r="36474">
      <c r="B36474" s="309"/>
      <c r="C36474" s="309"/>
      <c r="I36474" s="309"/>
      <c r="J36474" s="309"/>
    </row>
    <row r="36475">
      <c r="B36475" s="309"/>
      <c r="C36475" s="309"/>
      <c r="I36475" s="309"/>
      <c r="J36475" s="309"/>
    </row>
    <row r="36476">
      <c r="B36476" s="309"/>
      <c r="C36476" s="309"/>
      <c r="I36476" s="309"/>
      <c r="J36476" s="309"/>
    </row>
    <row r="36477">
      <c r="B36477" s="309"/>
      <c r="C36477" s="309"/>
      <c r="I36477" s="309"/>
      <c r="J36477" s="309"/>
    </row>
    <row r="36478">
      <c r="B36478" s="309"/>
      <c r="C36478" s="309"/>
      <c r="I36478" s="309"/>
      <c r="J36478" s="309"/>
    </row>
    <row r="36479">
      <c r="B36479" s="309"/>
      <c r="C36479" s="309"/>
      <c r="I36479" s="309"/>
      <c r="J36479" s="309"/>
    </row>
    <row r="36480">
      <c r="B36480" s="309"/>
      <c r="C36480" s="309"/>
      <c r="I36480" s="309"/>
      <c r="J36480" s="309"/>
    </row>
    <row r="36481">
      <c r="B36481" s="309"/>
      <c r="C36481" s="309"/>
      <c r="I36481" s="309"/>
      <c r="J36481" s="309"/>
    </row>
    <row r="36482">
      <c r="B36482" s="309"/>
      <c r="C36482" s="309"/>
      <c r="I36482" s="309"/>
      <c r="J36482" s="309"/>
    </row>
    <row r="36483">
      <c r="B36483" s="309"/>
      <c r="C36483" s="309"/>
      <c r="I36483" s="309"/>
      <c r="J36483" s="309"/>
    </row>
    <row r="36484">
      <c r="B36484" s="309"/>
      <c r="C36484" s="309"/>
      <c r="I36484" s="309"/>
      <c r="J36484" s="309"/>
    </row>
    <row r="36485">
      <c r="B36485" s="309"/>
      <c r="C36485" s="309"/>
      <c r="I36485" s="309"/>
      <c r="J36485" s="309"/>
    </row>
    <row r="36486">
      <c r="B36486" s="309"/>
      <c r="C36486" s="309"/>
      <c r="I36486" s="309"/>
      <c r="J36486" s="309"/>
    </row>
    <row r="36487">
      <c r="B36487" s="309"/>
      <c r="C36487" s="309"/>
      <c r="I36487" s="309"/>
      <c r="J36487" s="309"/>
    </row>
    <row r="36488">
      <c r="B36488" s="309"/>
      <c r="C36488" s="309"/>
      <c r="I36488" s="309"/>
      <c r="J36488" s="309"/>
    </row>
    <row r="36489">
      <c r="B36489" s="309"/>
      <c r="C36489" s="309"/>
      <c r="I36489" s="309"/>
      <c r="J36489" s="309"/>
    </row>
    <row r="36490">
      <c r="B36490" s="309"/>
      <c r="C36490" s="309"/>
      <c r="I36490" s="309"/>
      <c r="J36490" s="309"/>
    </row>
    <row r="36491">
      <c r="B36491" s="309"/>
      <c r="C36491" s="309"/>
      <c r="I36491" s="309"/>
      <c r="J36491" s="309"/>
    </row>
    <row r="36492">
      <c r="B36492" s="309"/>
      <c r="C36492" s="309"/>
      <c r="I36492" s="309"/>
      <c r="J36492" s="309"/>
    </row>
    <row r="36493">
      <c r="B36493" s="309"/>
      <c r="C36493" s="309"/>
      <c r="I36493" s="309"/>
      <c r="J36493" s="309"/>
    </row>
    <row r="36494">
      <c r="B36494" s="309"/>
      <c r="C36494" s="309"/>
      <c r="I36494" s="309"/>
      <c r="J36494" s="309"/>
    </row>
    <row r="36495">
      <c r="B36495" s="309"/>
      <c r="C36495" s="309"/>
      <c r="I36495" s="309"/>
      <c r="J36495" s="309"/>
    </row>
    <row r="36496">
      <c r="B36496" s="309"/>
      <c r="C36496" s="309"/>
      <c r="I36496" s="309"/>
      <c r="J36496" s="309"/>
    </row>
    <row r="36497">
      <c r="B36497" s="309"/>
      <c r="C36497" s="309"/>
      <c r="I36497" s="309"/>
      <c r="J36497" s="309"/>
    </row>
    <row r="36498">
      <c r="B36498" s="309"/>
      <c r="C36498" s="309"/>
      <c r="I36498" s="309"/>
      <c r="J36498" s="309"/>
    </row>
    <row r="36499">
      <c r="B36499" s="309"/>
      <c r="C36499" s="309"/>
      <c r="I36499" s="309"/>
      <c r="J36499" s="309"/>
    </row>
    <row r="36500">
      <c r="B36500" s="309"/>
      <c r="C36500" s="309"/>
      <c r="I36500" s="309"/>
      <c r="J36500" s="309"/>
    </row>
    <row r="36501">
      <c r="B36501" s="309"/>
      <c r="C36501" s="309"/>
      <c r="I36501" s="309"/>
      <c r="J36501" s="309"/>
    </row>
    <row r="36502">
      <c r="B36502" s="309"/>
      <c r="C36502" s="309"/>
      <c r="I36502" s="309"/>
      <c r="J36502" s="309"/>
    </row>
    <row r="36503">
      <c r="B36503" s="309"/>
      <c r="C36503" s="309"/>
      <c r="I36503" s="309"/>
      <c r="J36503" s="309"/>
    </row>
    <row r="36504">
      <c r="B36504" s="309"/>
      <c r="C36504" s="309"/>
      <c r="I36504" s="309"/>
      <c r="J36504" s="309"/>
    </row>
    <row r="36505">
      <c r="B36505" s="309"/>
      <c r="C36505" s="309"/>
      <c r="I36505" s="309"/>
      <c r="J36505" s="309"/>
    </row>
    <row r="36506">
      <c r="B36506" s="309"/>
      <c r="C36506" s="309"/>
      <c r="I36506" s="309"/>
      <c r="J36506" s="309"/>
    </row>
    <row r="36507">
      <c r="B36507" s="309"/>
      <c r="C36507" s="309"/>
      <c r="I36507" s="309"/>
      <c r="J36507" s="309"/>
    </row>
    <row r="36508">
      <c r="B36508" s="309"/>
      <c r="C36508" s="309"/>
      <c r="I36508" s="309"/>
      <c r="J36508" s="309"/>
    </row>
    <row r="36509">
      <c r="B36509" s="309"/>
      <c r="C36509" s="309"/>
      <c r="I36509" s="309"/>
      <c r="J36509" s="309"/>
    </row>
    <row r="36510">
      <c r="B36510" s="309"/>
      <c r="C36510" s="309"/>
      <c r="I36510" s="309"/>
      <c r="J36510" s="309"/>
    </row>
    <row r="36511">
      <c r="B36511" s="309"/>
      <c r="C36511" s="309"/>
      <c r="I36511" s="309"/>
      <c r="J36511" s="309"/>
    </row>
    <row r="36512">
      <c r="B36512" s="309"/>
      <c r="C36512" s="309"/>
      <c r="I36512" s="309"/>
      <c r="J36512" s="309"/>
    </row>
    <row r="36513">
      <c r="B36513" s="309"/>
      <c r="C36513" s="309"/>
      <c r="I36513" s="309"/>
      <c r="J36513" s="309"/>
    </row>
    <row r="36514">
      <c r="B36514" s="309"/>
      <c r="C36514" s="309"/>
      <c r="I36514" s="309"/>
      <c r="J36514" s="309"/>
    </row>
    <row r="36515">
      <c r="B36515" s="309"/>
      <c r="C36515" s="309"/>
      <c r="I36515" s="309"/>
      <c r="J36515" s="309"/>
    </row>
    <row r="36516">
      <c r="B36516" s="309"/>
      <c r="C36516" s="309"/>
      <c r="I36516" s="309"/>
      <c r="J36516" s="309"/>
    </row>
    <row r="36517">
      <c r="B36517" s="309"/>
      <c r="C36517" s="309"/>
      <c r="I36517" s="309"/>
      <c r="J36517" s="309"/>
    </row>
    <row r="36518">
      <c r="B36518" s="309"/>
      <c r="C36518" s="309"/>
      <c r="I36518" s="309"/>
      <c r="J36518" s="309"/>
    </row>
    <row r="36519">
      <c r="B36519" s="309"/>
      <c r="C36519" s="309"/>
      <c r="I36519" s="309"/>
      <c r="J36519" s="309"/>
    </row>
    <row r="36520">
      <c r="B36520" s="309"/>
      <c r="C36520" s="309"/>
      <c r="I36520" s="309"/>
      <c r="J36520" s="309"/>
    </row>
    <row r="36521">
      <c r="B36521" s="309"/>
      <c r="C36521" s="309"/>
      <c r="I36521" s="309"/>
      <c r="J36521" s="309"/>
    </row>
    <row r="36522">
      <c r="B36522" s="309"/>
      <c r="C36522" s="309"/>
      <c r="I36522" s="309"/>
      <c r="J36522" s="309"/>
    </row>
    <row r="36523">
      <c r="B36523" s="309"/>
      <c r="C36523" s="309"/>
      <c r="I36523" s="309"/>
      <c r="J36523" s="309"/>
    </row>
    <row r="36524">
      <c r="B36524" s="309"/>
      <c r="C36524" s="309"/>
      <c r="I36524" s="309"/>
      <c r="J36524" s="309"/>
    </row>
    <row r="36525">
      <c r="B36525" s="309"/>
      <c r="C36525" s="309"/>
      <c r="I36525" s="309"/>
      <c r="J36525" s="309"/>
    </row>
    <row r="36526">
      <c r="B36526" s="309"/>
      <c r="C36526" s="309"/>
      <c r="I36526" s="309"/>
      <c r="J36526" s="309"/>
    </row>
    <row r="36527">
      <c r="B36527" s="309"/>
      <c r="C36527" s="309"/>
      <c r="I36527" s="309"/>
      <c r="J36527" s="309"/>
    </row>
    <row r="36528">
      <c r="B36528" s="309"/>
      <c r="C36528" s="309"/>
      <c r="I36528" s="309"/>
      <c r="J36528" s="309"/>
    </row>
    <row r="36529">
      <c r="B36529" s="309"/>
      <c r="C36529" s="309"/>
      <c r="I36529" s="309"/>
      <c r="J36529" s="309"/>
    </row>
    <row r="36530">
      <c r="B36530" s="309"/>
      <c r="C36530" s="309"/>
      <c r="I36530" s="309"/>
      <c r="J36530" s="309"/>
    </row>
    <row r="36531">
      <c r="B36531" s="309"/>
      <c r="C36531" s="309"/>
      <c r="I36531" s="309"/>
      <c r="J36531" s="309"/>
    </row>
    <row r="36532">
      <c r="B36532" s="309"/>
      <c r="C36532" s="309"/>
      <c r="I36532" s="309"/>
      <c r="J36532" s="309"/>
    </row>
    <row r="36533">
      <c r="B36533" s="309"/>
      <c r="C36533" s="309"/>
      <c r="I36533" s="309"/>
      <c r="J36533" s="309"/>
    </row>
    <row r="36534">
      <c r="B36534" s="309"/>
      <c r="C36534" s="309"/>
      <c r="I36534" s="309"/>
      <c r="J36534" s="309"/>
    </row>
    <row r="36535">
      <c r="B36535" s="309"/>
      <c r="C36535" s="309"/>
      <c r="I36535" s="309"/>
      <c r="J36535" s="309"/>
    </row>
    <row r="36536">
      <c r="B36536" s="309"/>
      <c r="C36536" s="309"/>
      <c r="I36536" s="309"/>
      <c r="J36536" s="309"/>
    </row>
    <row r="36537">
      <c r="B36537" s="309"/>
      <c r="C36537" s="309"/>
      <c r="I36537" s="309"/>
      <c r="J36537" s="309"/>
    </row>
    <row r="36538">
      <c r="B36538" s="309"/>
      <c r="C36538" s="309"/>
      <c r="I36538" s="309"/>
      <c r="J36538" s="309"/>
    </row>
    <row r="36539">
      <c r="B36539" s="309"/>
      <c r="C36539" s="309"/>
      <c r="I36539" s="309"/>
      <c r="J36539" s="309"/>
    </row>
    <row r="36540">
      <c r="B36540" s="309"/>
      <c r="C36540" s="309"/>
      <c r="I36540" s="309"/>
      <c r="J36540" s="309"/>
    </row>
    <row r="36541">
      <c r="B36541" s="309"/>
      <c r="C36541" s="309"/>
      <c r="I36541" s="309"/>
      <c r="J36541" s="309"/>
    </row>
    <row r="36542">
      <c r="B36542" s="309"/>
      <c r="C36542" s="309"/>
      <c r="I36542" s="309"/>
      <c r="J36542" s="309"/>
    </row>
    <row r="36543">
      <c r="B36543" s="309"/>
      <c r="C36543" s="309"/>
      <c r="I36543" s="309"/>
      <c r="J36543" s="309"/>
    </row>
    <row r="36544">
      <c r="B36544" s="309"/>
      <c r="C36544" s="309"/>
      <c r="I36544" s="309"/>
      <c r="J36544" s="309"/>
    </row>
    <row r="36545">
      <c r="B36545" s="309"/>
      <c r="C36545" s="309"/>
      <c r="I36545" s="309"/>
      <c r="J36545" s="309"/>
    </row>
    <row r="36546">
      <c r="B36546" s="309"/>
      <c r="C36546" s="309"/>
      <c r="I36546" s="309"/>
      <c r="J36546" s="309"/>
    </row>
    <row r="36547">
      <c r="B36547" s="309"/>
      <c r="C36547" s="309"/>
      <c r="I36547" s="309"/>
      <c r="J36547" s="309"/>
    </row>
    <row r="36548">
      <c r="B36548" s="309"/>
      <c r="C36548" s="309"/>
      <c r="I36548" s="309"/>
      <c r="J36548" s="309"/>
    </row>
    <row r="36549">
      <c r="B36549" s="309"/>
      <c r="C36549" s="309"/>
      <c r="I36549" s="309"/>
      <c r="J36549" s="309"/>
    </row>
    <row r="36550">
      <c r="B36550" s="309"/>
      <c r="C36550" s="309"/>
      <c r="I36550" s="309"/>
      <c r="J36550" s="309"/>
    </row>
    <row r="36551">
      <c r="B36551" s="309"/>
      <c r="C36551" s="309"/>
      <c r="I36551" s="309"/>
      <c r="J36551" s="309"/>
    </row>
    <row r="36552">
      <c r="B36552" s="309"/>
      <c r="C36552" s="309"/>
      <c r="I36552" s="309"/>
      <c r="J36552" s="309"/>
    </row>
    <row r="36553">
      <c r="B36553" s="309"/>
      <c r="C36553" s="309"/>
      <c r="I36553" s="309"/>
      <c r="J36553" s="309"/>
    </row>
    <row r="36554">
      <c r="B36554" s="309"/>
      <c r="C36554" s="309"/>
      <c r="I36554" s="309"/>
      <c r="J36554" s="309"/>
    </row>
    <row r="36555">
      <c r="B36555" s="309"/>
      <c r="C36555" s="309"/>
      <c r="I36555" s="309"/>
      <c r="J36555" s="309"/>
    </row>
    <row r="36556">
      <c r="B36556" s="309"/>
      <c r="C36556" s="309"/>
      <c r="I36556" s="309"/>
      <c r="J36556" s="309"/>
    </row>
    <row r="36557">
      <c r="B36557" s="309"/>
      <c r="C36557" s="309"/>
      <c r="I36557" s="309"/>
      <c r="J36557" s="309"/>
    </row>
    <row r="36558">
      <c r="B36558" s="309"/>
      <c r="C36558" s="309"/>
      <c r="I36558" s="309"/>
      <c r="J36558" s="309"/>
    </row>
    <row r="36559">
      <c r="B36559" s="309"/>
      <c r="C36559" s="309"/>
      <c r="I36559" s="309"/>
      <c r="J36559" s="309"/>
    </row>
    <row r="36560">
      <c r="B36560" s="309"/>
      <c r="C36560" s="309"/>
      <c r="I36560" s="309"/>
      <c r="J36560" s="309"/>
    </row>
    <row r="36561">
      <c r="B36561" s="309"/>
      <c r="C36561" s="309"/>
      <c r="I36561" s="309"/>
      <c r="J36561" s="309"/>
    </row>
    <row r="36562">
      <c r="B36562" s="309"/>
      <c r="C36562" s="309"/>
      <c r="I36562" s="309"/>
      <c r="J36562" s="309"/>
    </row>
    <row r="36563">
      <c r="B36563" s="309"/>
      <c r="C36563" s="309"/>
      <c r="I36563" s="309"/>
      <c r="J36563" s="309"/>
    </row>
    <row r="36564">
      <c r="B36564" s="309"/>
      <c r="C36564" s="309"/>
      <c r="I36564" s="309"/>
      <c r="J36564" s="309"/>
    </row>
    <row r="36565">
      <c r="B36565" s="309"/>
      <c r="C36565" s="309"/>
      <c r="I36565" s="309"/>
      <c r="J36565" s="309"/>
    </row>
    <row r="36566">
      <c r="B36566" s="309"/>
      <c r="C36566" s="309"/>
      <c r="I36566" s="309"/>
      <c r="J36566" s="309"/>
    </row>
    <row r="36567">
      <c r="B36567" s="309"/>
      <c r="C36567" s="309"/>
      <c r="I36567" s="309"/>
      <c r="J36567" s="309"/>
    </row>
    <row r="36568">
      <c r="B36568" s="309"/>
      <c r="C36568" s="309"/>
      <c r="I36568" s="309"/>
      <c r="J36568" s="309"/>
    </row>
    <row r="36569">
      <c r="B36569" s="309"/>
      <c r="C36569" s="309"/>
      <c r="I36569" s="309"/>
      <c r="J36569" s="309"/>
    </row>
    <row r="36570">
      <c r="B36570" s="309"/>
      <c r="C36570" s="309"/>
      <c r="I36570" s="309"/>
      <c r="J36570" s="309"/>
    </row>
    <row r="36571">
      <c r="B36571" s="309"/>
      <c r="C36571" s="309"/>
      <c r="I36571" s="309"/>
      <c r="J36571" s="309"/>
    </row>
    <row r="36572">
      <c r="B36572" s="309"/>
      <c r="C36572" s="309"/>
      <c r="I36572" s="309"/>
      <c r="J36572" s="309"/>
    </row>
    <row r="36573">
      <c r="B36573" s="309"/>
      <c r="C36573" s="309"/>
      <c r="I36573" s="309"/>
      <c r="J36573" s="309"/>
    </row>
    <row r="36574">
      <c r="B36574" s="309"/>
      <c r="C36574" s="309"/>
      <c r="I36574" s="309"/>
      <c r="J36574" s="309"/>
    </row>
    <row r="36575">
      <c r="B36575" s="309"/>
      <c r="C36575" s="309"/>
      <c r="I36575" s="309"/>
      <c r="J36575" s="309"/>
    </row>
    <row r="36576">
      <c r="B36576" s="309"/>
      <c r="C36576" s="309"/>
      <c r="I36576" s="309"/>
      <c r="J36576" s="309"/>
    </row>
    <row r="36577">
      <c r="B36577" s="309"/>
      <c r="C36577" s="309"/>
      <c r="I36577" s="309"/>
      <c r="J36577" s="309"/>
    </row>
    <row r="36578">
      <c r="B36578" s="309"/>
      <c r="C36578" s="309"/>
      <c r="I36578" s="309"/>
      <c r="J36578" s="309"/>
    </row>
    <row r="36579">
      <c r="B36579" s="309"/>
      <c r="C36579" s="309"/>
      <c r="I36579" s="309"/>
      <c r="J36579" s="309"/>
    </row>
    <row r="36580">
      <c r="B36580" s="309"/>
      <c r="C36580" s="309"/>
      <c r="I36580" s="309"/>
      <c r="J36580" s="309"/>
    </row>
    <row r="36581">
      <c r="B36581" s="309"/>
      <c r="C36581" s="309"/>
      <c r="I36581" s="309"/>
      <c r="J36581" s="309"/>
    </row>
    <row r="36582">
      <c r="B36582" s="309"/>
      <c r="C36582" s="309"/>
      <c r="I36582" s="309"/>
      <c r="J36582" s="309"/>
    </row>
    <row r="36583">
      <c r="B36583" s="309"/>
      <c r="C36583" s="309"/>
      <c r="I36583" s="309"/>
      <c r="J36583" s="309"/>
    </row>
    <row r="36584">
      <c r="B36584" s="309"/>
      <c r="C36584" s="309"/>
      <c r="I36584" s="309"/>
      <c r="J36584" s="309"/>
    </row>
    <row r="36585">
      <c r="B36585" s="309"/>
      <c r="C36585" s="309"/>
      <c r="I36585" s="309"/>
      <c r="J36585" s="309"/>
    </row>
    <row r="36586">
      <c r="B36586" s="309"/>
      <c r="C36586" s="309"/>
      <c r="I36586" s="309"/>
      <c r="J36586" s="309"/>
    </row>
    <row r="36587">
      <c r="B36587" s="309"/>
      <c r="C36587" s="309"/>
      <c r="I36587" s="309"/>
      <c r="J36587" s="309"/>
    </row>
    <row r="36588">
      <c r="B36588" s="309"/>
      <c r="C36588" s="309"/>
      <c r="I36588" s="309"/>
      <c r="J36588" s="309"/>
    </row>
    <row r="36589">
      <c r="B36589" s="309"/>
      <c r="C36589" s="309"/>
      <c r="I36589" s="309"/>
      <c r="J36589" s="309"/>
    </row>
    <row r="36590">
      <c r="B36590" s="309"/>
      <c r="C36590" s="309"/>
      <c r="I36590" s="309"/>
      <c r="J36590" s="309"/>
    </row>
    <row r="36591">
      <c r="B36591" s="309"/>
      <c r="C36591" s="309"/>
      <c r="I36591" s="309"/>
      <c r="J36591" s="309"/>
    </row>
    <row r="36592">
      <c r="B36592" s="309"/>
      <c r="C36592" s="309"/>
      <c r="I36592" s="309"/>
      <c r="J36592" s="309"/>
    </row>
    <row r="36593">
      <c r="B36593" s="309"/>
      <c r="C36593" s="309"/>
      <c r="I36593" s="309"/>
      <c r="J36593" s="309"/>
    </row>
    <row r="36594">
      <c r="B36594" s="309"/>
      <c r="C36594" s="309"/>
      <c r="I36594" s="309"/>
      <c r="J36594" s="309"/>
    </row>
    <row r="36595">
      <c r="B36595" s="309"/>
      <c r="C36595" s="309"/>
      <c r="I36595" s="309"/>
      <c r="J36595" s="309"/>
    </row>
    <row r="36596">
      <c r="B36596" s="309"/>
      <c r="C36596" s="309"/>
      <c r="I36596" s="309"/>
      <c r="J36596" s="309"/>
    </row>
    <row r="36597">
      <c r="B36597" s="309"/>
      <c r="C36597" s="309"/>
      <c r="I36597" s="309"/>
      <c r="J36597" s="309"/>
    </row>
    <row r="36598">
      <c r="B36598" s="309"/>
      <c r="C36598" s="309"/>
      <c r="I36598" s="309"/>
      <c r="J36598" s="309"/>
    </row>
    <row r="36599">
      <c r="B36599" s="309"/>
      <c r="C36599" s="309"/>
      <c r="I36599" s="309"/>
      <c r="J36599" s="309"/>
    </row>
    <row r="36600">
      <c r="B36600" s="309"/>
      <c r="C36600" s="309"/>
      <c r="I36600" s="309"/>
      <c r="J36600" s="309"/>
    </row>
    <row r="36601">
      <c r="B36601" s="309"/>
      <c r="C36601" s="309"/>
      <c r="I36601" s="309"/>
      <c r="J36601" s="309"/>
    </row>
    <row r="36602">
      <c r="B36602" s="309"/>
      <c r="C36602" s="309"/>
      <c r="I36602" s="309"/>
      <c r="J36602" s="309"/>
    </row>
    <row r="36603">
      <c r="B36603" s="309"/>
      <c r="C36603" s="309"/>
      <c r="I36603" s="309"/>
      <c r="J36603" s="309"/>
    </row>
    <row r="36604">
      <c r="B36604" s="309"/>
      <c r="C36604" s="309"/>
      <c r="I36604" s="309"/>
      <c r="J36604" s="309"/>
    </row>
    <row r="36605">
      <c r="B36605" s="309"/>
      <c r="C36605" s="309"/>
      <c r="I36605" s="309"/>
      <c r="J36605" s="309"/>
    </row>
    <row r="36606">
      <c r="B36606" s="309"/>
      <c r="C36606" s="309"/>
      <c r="I36606" s="309"/>
      <c r="J36606" s="309"/>
    </row>
    <row r="36607">
      <c r="B36607" s="309"/>
      <c r="C36607" s="309"/>
      <c r="I36607" s="309"/>
      <c r="J36607" s="309"/>
    </row>
    <row r="36608">
      <c r="B36608" s="309"/>
      <c r="C36608" s="309"/>
      <c r="I36608" s="309"/>
      <c r="J36608" s="309"/>
    </row>
    <row r="36609">
      <c r="B36609" s="309"/>
      <c r="C36609" s="309"/>
      <c r="I36609" s="309"/>
      <c r="J36609" s="309"/>
    </row>
    <row r="36610">
      <c r="B36610" s="309"/>
      <c r="C36610" s="309"/>
      <c r="I36610" s="309"/>
      <c r="J36610" s="309"/>
    </row>
    <row r="36611">
      <c r="B36611" s="309"/>
      <c r="C36611" s="309"/>
      <c r="I36611" s="309"/>
      <c r="J36611" s="309"/>
    </row>
    <row r="36612">
      <c r="B36612" s="309"/>
      <c r="C36612" s="309"/>
      <c r="I36612" s="309"/>
      <c r="J36612" s="309"/>
    </row>
    <row r="36613">
      <c r="B36613" s="309"/>
      <c r="C36613" s="309"/>
      <c r="I36613" s="309"/>
      <c r="J36613" s="309"/>
    </row>
    <row r="36614">
      <c r="B36614" s="309"/>
      <c r="C36614" s="309"/>
      <c r="I36614" s="309"/>
      <c r="J36614" s="309"/>
    </row>
    <row r="36615">
      <c r="B36615" s="309"/>
      <c r="C36615" s="309"/>
      <c r="I36615" s="309"/>
      <c r="J36615" s="309"/>
    </row>
    <row r="36616">
      <c r="B36616" s="309"/>
      <c r="C36616" s="309"/>
      <c r="I36616" s="309"/>
      <c r="J36616" s="309"/>
    </row>
    <row r="36617">
      <c r="B36617" s="309"/>
      <c r="C36617" s="309"/>
      <c r="I36617" s="309"/>
      <c r="J36617" s="309"/>
    </row>
    <row r="36618">
      <c r="B36618" s="309"/>
      <c r="C36618" s="309"/>
      <c r="I36618" s="309"/>
      <c r="J36618" s="309"/>
    </row>
    <row r="36619">
      <c r="B36619" s="309"/>
      <c r="C36619" s="309"/>
      <c r="I36619" s="309"/>
      <c r="J36619" s="309"/>
    </row>
    <row r="36620">
      <c r="B36620" s="309"/>
      <c r="C36620" s="309"/>
      <c r="I36620" s="309"/>
      <c r="J36620" s="309"/>
    </row>
    <row r="36621">
      <c r="B36621" s="309"/>
      <c r="C36621" s="309"/>
      <c r="I36621" s="309"/>
      <c r="J36621" s="309"/>
    </row>
    <row r="36622">
      <c r="B36622" s="309"/>
      <c r="C36622" s="309"/>
      <c r="I36622" s="309"/>
      <c r="J36622" s="309"/>
    </row>
    <row r="36623">
      <c r="B36623" s="309"/>
      <c r="C36623" s="309"/>
      <c r="I36623" s="309"/>
      <c r="J36623" s="309"/>
    </row>
    <row r="36624">
      <c r="B36624" s="309"/>
      <c r="C36624" s="309"/>
      <c r="I36624" s="309"/>
      <c r="J36624" s="309"/>
    </row>
    <row r="36625">
      <c r="B36625" s="309"/>
      <c r="C36625" s="309"/>
      <c r="I36625" s="309"/>
      <c r="J36625" s="309"/>
    </row>
    <row r="36626">
      <c r="B36626" s="309"/>
      <c r="C36626" s="309"/>
      <c r="I36626" s="309"/>
      <c r="J36626" s="309"/>
    </row>
    <row r="36627">
      <c r="B36627" s="309"/>
      <c r="C36627" s="309"/>
      <c r="I36627" s="309"/>
      <c r="J36627" s="309"/>
    </row>
    <row r="36628">
      <c r="B36628" s="309"/>
      <c r="C36628" s="309"/>
      <c r="I36628" s="309"/>
      <c r="J36628" s="309"/>
    </row>
    <row r="36629">
      <c r="B36629" s="309"/>
      <c r="C36629" s="309"/>
      <c r="I36629" s="309"/>
      <c r="J36629" s="309"/>
    </row>
    <row r="36630">
      <c r="B36630" s="309"/>
      <c r="C36630" s="309"/>
      <c r="I36630" s="309"/>
      <c r="J36630" s="309"/>
    </row>
    <row r="36631">
      <c r="B36631" s="309"/>
      <c r="C36631" s="309"/>
      <c r="I36631" s="309"/>
      <c r="J36631" s="309"/>
    </row>
    <row r="36632">
      <c r="B36632" s="309"/>
      <c r="C36632" s="309"/>
      <c r="I36632" s="309"/>
      <c r="J36632" s="309"/>
    </row>
    <row r="36633">
      <c r="B36633" s="309"/>
      <c r="C36633" s="309"/>
      <c r="I36633" s="309"/>
      <c r="J36633" s="309"/>
    </row>
    <row r="36634">
      <c r="B36634" s="309"/>
      <c r="C36634" s="309"/>
      <c r="I36634" s="309"/>
      <c r="J36634" s="309"/>
    </row>
    <row r="36635">
      <c r="B36635" s="309"/>
      <c r="C36635" s="309"/>
      <c r="I36635" s="309"/>
      <c r="J36635" s="309"/>
    </row>
    <row r="36636">
      <c r="B36636" s="309"/>
      <c r="C36636" s="309"/>
      <c r="I36636" s="309"/>
      <c r="J36636" s="309"/>
    </row>
    <row r="36637">
      <c r="B36637" s="309"/>
      <c r="C36637" s="309"/>
      <c r="I36637" s="309"/>
      <c r="J36637" s="309"/>
    </row>
    <row r="36638">
      <c r="B36638" s="309"/>
      <c r="C36638" s="309"/>
      <c r="I36638" s="309"/>
      <c r="J36638" s="309"/>
    </row>
    <row r="36639">
      <c r="B36639" s="309"/>
      <c r="C36639" s="309"/>
      <c r="I36639" s="309"/>
      <c r="J36639" s="309"/>
    </row>
    <row r="36640">
      <c r="B36640" s="309"/>
      <c r="C36640" s="309"/>
      <c r="I36640" s="309"/>
      <c r="J36640" s="309"/>
    </row>
    <row r="36641">
      <c r="B36641" s="309"/>
      <c r="C36641" s="309"/>
      <c r="I36641" s="309"/>
      <c r="J36641" s="309"/>
    </row>
    <row r="36642">
      <c r="B36642" s="309"/>
      <c r="C36642" s="309"/>
      <c r="I36642" s="309"/>
      <c r="J36642" s="309"/>
    </row>
    <row r="36643">
      <c r="B36643" s="309"/>
      <c r="C36643" s="309"/>
      <c r="I36643" s="309"/>
      <c r="J36643" s="309"/>
    </row>
    <row r="36644">
      <c r="B36644" s="309"/>
      <c r="C36644" s="309"/>
      <c r="I36644" s="309"/>
      <c r="J36644" s="309"/>
    </row>
    <row r="36645">
      <c r="B36645" s="309"/>
      <c r="C36645" s="309"/>
      <c r="I36645" s="309"/>
      <c r="J36645" s="309"/>
    </row>
    <row r="36646">
      <c r="B36646" s="309"/>
      <c r="C36646" s="309"/>
      <c r="I36646" s="309"/>
      <c r="J36646" s="309"/>
    </row>
    <row r="36647">
      <c r="B36647" s="309"/>
      <c r="C36647" s="309"/>
      <c r="I36647" s="309"/>
      <c r="J36647" s="309"/>
    </row>
    <row r="36648">
      <c r="B36648" s="309"/>
      <c r="C36648" s="309"/>
      <c r="I36648" s="309"/>
      <c r="J36648" s="309"/>
    </row>
    <row r="36649">
      <c r="B36649" s="309"/>
      <c r="C36649" s="309"/>
      <c r="I36649" s="309"/>
      <c r="J36649" s="309"/>
    </row>
    <row r="36650">
      <c r="B36650" s="309"/>
      <c r="C36650" s="309"/>
      <c r="I36650" s="309"/>
      <c r="J36650" s="309"/>
    </row>
    <row r="36651">
      <c r="B36651" s="309"/>
      <c r="C36651" s="309"/>
      <c r="I36651" s="309"/>
      <c r="J36651" s="309"/>
    </row>
    <row r="36652">
      <c r="B36652" s="309"/>
      <c r="C36652" s="309"/>
      <c r="I36652" s="309"/>
      <c r="J36652" s="309"/>
    </row>
    <row r="36653">
      <c r="B36653" s="309"/>
      <c r="C36653" s="309"/>
      <c r="I36653" s="309"/>
      <c r="J36653" s="309"/>
    </row>
    <row r="36654">
      <c r="B36654" s="309"/>
      <c r="C36654" s="309"/>
      <c r="I36654" s="309"/>
      <c r="J36654" s="309"/>
    </row>
    <row r="36655">
      <c r="B36655" s="309"/>
      <c r="C36655" s="309"/>
      <c r="I36655" s="309"/>
      <c r="J36655" s="309"/>
    </row>
    <row r="36656">
      <c r="B36656" s="309"/>
      <c r="C36656" s="309"/>
      <c r="I36656" s="309"/>
      <c r="J36656" s="309"/>
    </row>
    <row r="36657">
      <c r="B36657" s="309"/>
      <c r="C36657" s="309"/>
      <c r="I36657" s="309"/>
      <c r="J36657" s="309"/>
    </row>
    <row r="36658">
      <c r="B36658" s="309"/>
      <c r="C36658" s="309"/>
      <c r="I36658" s="309"/>
      <c r="J36658" s="309"/>
    </row>
    <row r="36659">
      <c r="B36659" s="309"/>
      <c r="C36659" s="309"/>
      <c r="I36659" s="309"/>
      <c r="J36659" s="309"/>
    </row>
    <row r="36660">
      <c r="B36660" s="309"/>
      <c r="C36660" s="309"/>
      <c r="I36660" s="309"/>
      <c r="J36660" s="309"/>
    </row>
    <row r="36661">
      <c r="B36661" s="309"/>
      <c r="C36661" s="309"/>
      <c r="I36661" s="309"/>
      <c r="J36661" s="309"/>
    </row>
    <row r="36662">
      <c r="B36662" s="309"/>
      <c r="C36662" s="309"/>
      <c r="I36662" s="309"/>
      <c r="J36662" s="309"/>
    </row>
    <row r="36663">
      <c r="B36663" s="309"/>
      <c r="C36663" s="309"/>
      <c r="I36663" s="309"/>
      <c r="J36663" s="309"/>
    </row>
    <row r="36664">
      <c r="B36664" s="309"/>
      <c r="C36664" s="309"/>
      <c r="I36664" s="309"/>
      <c r="J36664" s="309"/>
    </row>
    <row r="36665">
      <c r="B36665" s="309"/>
      <c r="C36665" s="309"/>
      <c r="I36665" s="309"/>
      <c r="J36665" s="309"/>
    </row>
    <row r="36666">
      <c r="B36666" s="309"/>
      <c r="C36666" s="309"/>
      <c r="I36666" s="309"/>
      <c r="J36666" s="309"/>
    </row>
    <row r="36667">
      <c r="B36667" s="309"/>
      <c r="C36667" s="309"/>
      <c r="I36667" s="309"/>
      <c r="J36667" s="309"/>
    </row>
    <row r="36668">
      <c r="B36668" s="309"/>
      <c r="C36668" s="309"/>
      <c r="I36668" s="309"/>
      <c r="J36668" s="309"/>
    </row>
    <row r="36669">
      <c r="B36669" s="309"/>
      <c r="C36669" s="309"/>
      <c r="I36669" s="309"/>
      <c r="J36669" s="309"/>
    </row>
    <row r="36670">
      <c r="B36670" s="309"/>
      <c r="C36670" s="309"/>
      <c r="I36670" s="309"/>
      <c r="J36670" s="309"/>
    </row>
    <row r="36671">
      <c r="B36671" s="309"/>
      <c r="C36671" s="309"/>
      <c r="I36671" s="309"/>
      <c r="J36671" s="309"/>
    </row>
    <row r="36672">
      <c r="B36672" s="309"/>
      <c r="C36672" s="309"/>
      <c r="I36672" s="309"/>
      <c r="J36672" s="309"/>
    </row>
    <row r="36673">
      <c r="B36673" s="309"/>
      <c r="C36673" s="309"/>
      <c r="I36673" s="309"/>
      <c r="J36673" s="309"/>
    </row>
    <row r="36674">
      <c r="B36674" s="309"/>
      <c r="C36674" s="309"/>
      <c r="I36674" s="309"/>
      <c r="J36674" s="309"/>
    </row>
    <row r="36675">
      <c r="B36675" s="309"/>
      <c r="C36675" s="309"/>
      <c r="I36675" s="309"/>
      <c r="J36675" s="309"/>
    </row>
    <row r="36676">
      <c r="B36676" s="309"/>
      <c r="C36676" s="309"/>
      <c r="I36676" s="309"/>
      <c r="J36676" s="309"/>
    </row>
    <row r="36677">
      <c r="B36677" s="309"/>
      <c r="C36677" s="309"/>
      <c r="I36677" s="309"/>
      <c r="J36677" s="309"/>
    </row>
    <row r="36678">
      <c r="B36678" s="309"/>
      <c r="C36678" s="309"/>
      <c r="I36678" s="309"/>
      <c r="J36678" s="309"/>
    </row>
    <row r="36679">
      <c r="B36679" s="309"/>
      <c r="C36679" s="309"/>
      <c r="I36679" s="309"/>
      <c r="J36679" s="309"/>
    </row>
    <row r="36680">
      <c r="B36680" s="309"/>
      <c r="C36680" s="309"/>
      <c r="I36680" s="309"/>
      <c r="J36680" s="309"/>
    </row>
    <row r="36681">
      <c r="B36681" s="309"/>
      <c r="C36681" s="309"/>
      <c r="I36681" s="309"/>
      <c r="J36681" s="309"/>
    </row>
    <row r="36682">
      <c r="B36682" s="309"/>
      <c r="C36682" s="309"/>
      <c r="I36682" s="309"/>
      <c r="J36682" s="309"/>
    </row>
    <row r="36683">
      <c r="B36683" s="309"/>
      <c r="C36683" s="309"/>
      <c r="I36683" s="309"/>
      <c r="J36683" s="309"/>
    </row>
    <row r="36684">
      <c r="B36684" s="309"/>
      <c r="C36684" s="309"/>
      <c r="I36684" s="309"/>
      <c r="J36684" s="309"/>
    </row>
    <row r="36685">
      <c r="B36685" s="309"/>
      <c r="C36685" s="309"/>
      <c r="I36685" s="309"/>
      <c r="J36685" s="309"/>
    </row>
    <row r="36686">
      <c r="B36686" s="309"/>
      <c r="C36686" s="309"/>
      <c r="I36686" s="309"/>
      <c r="J36686" s="309"/>
    </row>
    <row r="36687">
      <c r="B36687" s="309"/>
      <c r="C36687" s="309"/>
      <c r="I36687" s="309"/>
      <c r="J36687" s="309"/>
    </row>
    <row r="36688">
      <c r="B36688" s="309"/>
      <c r="C36688" s="309"/>
      <c r="I36688" s="309"/>
      <c r="J36688" s="309"/>
    </row>
    <row r="36689">
      <c r="B36689" s="309"/>
      <c r="C36689" s="309"/>
      <c r="I36689" s="309"/>
      <c r="J36689" s="309"/>
    </row>
    <row r="36690">
      <c r="B36690" s="309"/>
      <c r="C36690" s="309"/>
      <c r="I36690" s="309"/>
      <c r="J36690" s="309"/>
    </row>
    <row r="36691">
      <c r="B36691" s="309"/>
      <c r="C36691" s="309"/>
      <c r="I36691" s="309"/>
      <c r="J36691" s="309"/>
    </row>
    <row r="36692">
      <c r="B36692" s="309"/>
      <c r="C36692" s="309"/>
      <c r="I36692" s="309"/>
      <c r="J36692" s="309"/>
    </row>
    <row r="36693">
      <c r="B36693" s="309"/>
      <c r="C36693" s="309"/>
      <c r="I36693" s="309"/>
      <c r="J36693" s="309"/>
    </row>
    <row r="36694">
      <c r="B36694" s="309"/>
      <c r="C36694" s="309"/>
      <c r="I36694" s="309"/>
      <c r="J36694" s="309"/>
    </row>
    <row r="36695">
      <c r="B36695" s="309"/>
      <c r="C36695" s="309"/>
      <c r="I36695" s="309"/>
      <c r="J36695" s="309"/>
    </row>
    <row r="36696">
      <c r="B36696" s="309"/>
      <c r="C36696" s="309"/>
      <c r="I36696" s="309"/>
      <c r="J36696" s="309"/>
    </row>
    <row r="36697">
      <c r="B36697" s="309"/>
      <c r="C36697" s="309"/>
      <c r="I36697" s="309"/>
      <c r="J36697" s="309"/>
    </row>
    <row r="36698">
      <c r="B36698" s="309"/>
      <c r="C36698" s="309"/>
      <c r="I36698" s="309"/>
      <c r="J36698" s="309"/>
    </row>
    <row r="36699">
      <c r="B36699" s="309"/>
      <c r="C36699" s="309"/>
      <c r="I36699" s="309"/>
      <c r="J36699" s="309"/>
    </row>
    <row r="36700">
      <c r="B36700" s="309"/>
      <c r="C36700" s="309"/>
      <c r="I36700" s="309"/>
      <c r="J36700" s="309"/>
    </row>
    <row r="36701">
      <c r="B36701" s="309"/>
      <c r="C36701" s="309"/>
      <c r="I36701" s="309"/>
      <c r="J36701" s="309"/>
    </row>
    <row r="36702">
      <c r="B36702" s="309"/>
      <c r="C36702" s="309"/>
      <c r="I36702" s="309"/>
      <c r="J36702" s="309"/>
    </row>
    <row r="36703">
      <c r="B36703" s="309"/>
      <c r="C36703" s="309"/>
      <c r="I36703" s="309"/>
      <c r="J36703" s="309"/>
    </row>
    <row r="36704">
      <c r="B36704" s="309"/>
      <c r="C36704" s="309"/>
      <c r="I36704" s="309"/>
      <c r="J36704" s="309"/>
    </row>
    <row r="36705">
      <c r="B36705" s="309"/>
      <c r="C36705" s="309"/>
      <c r="I36705" s="309"/>
      <c r="J36705" s="309"/>
    </row>
    <row r="36706">
      <c r="B36706" s="309"/>
      <c r="C36706" s="309"/>
      <c r="I36706" s="309"/>
      <c r="J36706" s="309"/>
    </row>
    <row r="36707">
      <c r="B36707" s="309"/>
      <c r="C36707" s="309"/>
      <c r="I36707" s="309"/>
      <c r="J36707" s="309"/>
    </row>
    <row r="36708">
      <c r="B36708" s="309"/>
      <c r="C36708" s="309"/>
      <c r="I36708" s="309"/>
      <c r="J36708" s="309"/>
    </row>
    <row r="36709">
      <c r="B36709" s="309"/>
      <c r="C36709" s="309"/>
      <c r="I36709" s="309"/>
      <c r="J36709" s="309"/>
    </row>
    <row r="36710">
      <c r="B36710" s="309"/>
      <c r="C36710" s="309"/>
      <c r="I36710" s="309"/>
      <c r="J36710" s="309"/>
    </row>
    <row r="36711">
      <c r="B36711" s="309"/>
      <c r="C36711" s="309"/>
      <c r="I36711" s="309"/>
      <c r="J36711" s="309"/>
    </row>
    <row r="36712">
      <c r="B36712" s="309"/>
      <c r="C36712" s="309"/>
      <c r="I36712" s="309"/>
      <c r="J36712" s="309"/>
    </row>
    <row r="36713">
      <c r="B36713" s="309"/>
      <c r="C36713" s="309"/>
      <c r="I36713" s="309"/>
      <c r="J36713" s="309"/>
    </row>
    <row r="36714">
      <c r="B36714" s="309"/>
      <c r="C36714" s="309"/>
      <c r="I36714" s="309"/>
      <c r="J36714" s="309"/>
    </row>
    <row r="36715">
      <c r="B36715" s="309"/>
      <c r="C36715" s="309"/>
      <c r="I36715" s="309"/>
      <c r="J36715" s="309"/>
    </row>
    <row r="36716">
      <c r="B36716" s="309"/>
      <c r="C36716" s="309"/>
      <c r="I36716" s="309"/>
      <c r="J36716" s="309"/>
    </row>
    <row r="36717">
      <c r="B36717" s="309"/>
      <c r="C36717" s="309"/>
      <c r="I36717" s="309"/>
      <c r="J36717" s="309"/>
    </row>
    <row r="36718">
      <c r="B36718" s="309"/>
      <c r="C36718" s="309"/>
      <c r="I36718" s="309"/>
      <c r="J36718" s="309"/>
    </row>
    <row r="36719">
      <c r="B36719" s="309"/>
      <c r="C36719" s="309"/>
      <c r="I36719" s="309"/>
      <c r="J36719" s="309"/>
    </row>
    <row r="36720">
      <c r="B36720" s="309"/>
      <c r="C36720" s="309"/>
      <c r="I36720" s="309"/>
      <c r="J36720" s="309"/>
    </row>
    <row r="36721">
      <c r="B36721" s="309"/>
      <c r="C36721" s="309"/>
      <c r="I36721" s="309"/>
      <c r="J36721" s="309"/>
    </row>
    <row r="36722">
      <c r="B36722" s="309"/>
      <c r="C36722" s="309"/>
      <c r="I36722" s="309"/>
      <c r="J36722" s="309"/>
    </row>
    <row r="36723">
      <c r="B36723" s="309"/>
      <c r="C36723" s="309"/>
      <c r="I36723" s="309"/>
      <c r="J36723" s="309"/>
    </row>
    <row r="36724">
      <c r="B36724" s="309"/>
      <c r="C36724" s="309"/>
      <c r="I36724" s="309"/>
      <c r="J36724" s="309"/>
    </row>
    <row r="36725">
      <c r="B36725" s="309"/>
      <c r="C36725" s="309"/>
      <c r="I36725" s="309"/>
      <c r="J36725" s="309"/>
    </row>
    <row r="36726">
      <c r="B36726" s="309"/>
      <c r="C36726" s="309"/>
      <c r="I36726" s="309"/>
      <c r="J36726" s="309"/>
    </row>
    <row r="36727">
      <c r="B36727" s="309"/>
      <c r="C36727" s="309"/>
      <c r="I36727" s="309"/>
      <c r="J36727" s="309"/>
    </row>
    <row r="36728">
      <c r="B36728" s="309"/>
      <c r="C36728" s="309"/>
      <c r="I36728" s="309"/>
      <c r="J36728" s="309"/>
    </row>
    <row r="36729">
      <c r="B36729" s="309"/>
      <c r="C36729" s="309"/>
      <c r="I36729" s="309"/>
      <c r="J36729" s="309"/>
    </row>
    <row r="36730">
      <c r="B36730" s="309"/>
      <c r="C36730" s="309"/>
      <c r="I36730" s="309"/>
      <c r="J36730" s="309"/>
    </row>
    <row r="36731">
      <c r="B36731" s="309"/>
      <c r="C36731" s="309"/>
      <c r="I36731" s="309"/>
      <c r="J36731" s="309"/>
    </row>
    <row r="36732">
      <c r="B36732" s="309"/>
      <c r="C36732" s="309"/>
      <c r="I36732" s="309"/>
      <c r="J36732" s="309"/>
    </row>
    <row r="36733">
      <c r="B36733" s="309"/>
      <c r="C36733" s="309"/>
      <c r="I36733" s="309"/>
      <c r="J36733" s="309"/>
    </row>
    <row r="36734">
      <c r="B36734" s="309"/>
      <c r="C36734" s="309"/>
      <c r="I36734" s="309"/>
      <c r="J36734" s="309"/>
    </row>
    <row r="36735">
      <c r="B36735" s="309"/>
      <c r="C36735" s="309"/>
      <c r="I36735" s="309"/>
      <c r="J36735" s="309"/>
    </row>
    <row r="36736">
      <c r="B36736" s="309"/>
      <c r="C36736" s="309"/>
      <c r="I36736" s="309"/>
      <c r="J36736" s="309"/>
    </row>
    <row r="36737">
      <c r="B36737" s="309"/>
      <c r="C36737" s="309"/>
      <c r="I36737" s="309"/>
      <c r="J36737" s="309"/>
    </row>
    <row r="36738">
      <c r="B36738" s="309"/>
      <c r="C36738" s="309"/>
      <c r="I36738" s="309"/>
      <c r="J36738" s="309"/>
    </row>
    <row r="36739">
      <c r="B36739" s="309"/>
      <c r="C36739" s="309"/>
      <c r="I36739" s="309"/>
      <c r="J36739" s="309"/>
    </row>
    <row r="36740">
      <c r="B36740" s="309"/>
      <c r="C36740" s="309"/>
      <c r="I36740" s="309"/>
      <c r="J36740" s="309"/>
    </row>
    <row r="36741">
      <c r="B36741" s="309"/>
      <c r="C36741" s="309"/>
      <c r="I36741" s="309"/>
      <c r="J36741" s="309"/>
    </row>
    <row r="36742">
      <c r="B36742" s="309"/>
      <c r="C36742" s="309"/>
      <c r="I36742" s="309"/>
      <c r="J36742" s="309"/>
    </row>
    <row r="36743">
      <c r="B36743" s="309"/>
      <c r="C36743" s="309"/>
      <c r="I36743" s="309"/>
      <c r="J36743" s="309"/>
    </row>
    <row r="36744">
      <c r="B36744" s="309"/>
      <c r="C36744" s="309"/>
      <c r="I36744" s="309"/>
      <c r="J36744" s="309"/>
    </row>
    <row r="36745">
      <c r="B36745" s="309"/>
      <c r="C36745" s="309"/>
      <c r="I36745" s="309"/>
      <c r="J36745" s="309"/>
    </row>
    <row r="36746">
      <c r="B36746" s="309"/>
      <c r="C36746" s="309"/>
      <c r="I36746" s="309"/>
      <c r="J36746" s="309"/>
    </row>
    <row r="36747">
      <c r="B36747" s="309"/>
      <c r="C36747" s="309"/>
      <c r="I36747" s="309"/>
      <c r="J36747" s="309"/>
    </row>
    <row r="36748">
      <c r="B36748" s="309"/>
      <c r="C36748" s="309"/>
      <c r="I36748" s="309"/>
      <c r="J36748" s="309"/>
    </row>
    <row r="36749">
      <c r="B36749" s="309"/>
      <c r="C36749" s="309"/>
      <c r="I36749" s="309"/>
      <c r="J36749" s="309"/>
    </row>
    <row r="36750">
      <c r="B36750" s="309"/>
      <c r="C36750" s="309"/>
      <c r="I36750" s="309"/>
      <c r="J36750" s="309"/>
    </row>
    <row r="36751">
      <c r="B36751" s="309"/>
      <c r="C36751" s="309"/>
      <c r="I36751" s="309"/>
      <c r="J36751" s="309"/>
    </row>
    <row r="36752">
      <c r="B36752" s="309"/>
      <c r="C36752" s="309"/>
      <c r="I36752" s="309"/>
      <c r="J36752" s="309"/>
    </row>
    <row r="36753">
      <c r="B36753" s="309"/>
      <c r="C36753" s="309"/>
      <c r="I36753" s="309"/>
      <c r="J36753" s="309"/>
    </row>
    <row r="36754">
      <c r="B36754" s="309"/>
      <c r="C36754" s="309"/>
      <c r="I36754" s="309"/>
      <c r="J36754" s="309"/>
    </row>
    <row r="36755">
      <c r="B36755" s="309"/>
      <c r="C36755" s="309"/>
      <c r="I36755" s="309"/>
      <c r="J36755" s="309"/>
    </row>
    <row r="36756">
      <c r="B36756" s="309"/>
      <c r="C36756" s="309"/>
      <c r="I36756" s="309"/>
      <c r="J36756" s="309"/>
    </row>
    <row r="36757">
      <c r="B36757" s="309"/>
      <c r="C36757" s="309"/>
      <c r="I36757" s="309"/>
      <c r="J36757" s="309"/>
    </row>
    <row r="36758">
      <c r="B36758" s="309"/>
      <c r="C36758" s="309"/>
      <c r="I36758" s="309"/>
      <c r="J36758" s="309"/>
    </row>
    <row r="36759">
      <c r="B36759" s="309"/>
      <c r="C36759" s="309"/>
      <c r="I36759" s="309"/>
      <c r="J36759" s="309"/>
    </row>
    <row r="36760">
      <c r="B36760" s="309"/>
      <c r="C36760" s="309"/>
      <c r="I36760" s="309"/>
      <c r="J36760" s="309"/>
    </row>
    <row r="36761">
      <c r="B36761" s="309"/>
      <c r="C36761" s="309"/>
      <c r="I36761" s="309"/>
      <c r="J36761" s="309"/>
    </row>
    <row r="36762">
      <c r="B36762" s="309"/>
      <c r="C36762" s="309"/>
      <c r="I36762" s="309"/>
      <c r="J36762" s="309"/>
    </row>
    <row r="36763">
      <c r="B36763" s="309"/>
      <c r="C36763" s="309"/>
      <c r="I36763" s="309"/>
      <c r="J36763" s="309"/>
    </row>
    <row r="36764">
      <c r="B36764" s="309"/>
      <c r="C36764" s="309"/>
      <c r="I36764" s="309"/>
      <c r="J36764" s="309"/>
    </row>
    <row r="36765">
      <c r="B36765" s="309"/>
      <c r="C36765" s="309"/>
      <c r="I36765" s="309"/>
      <c r="J36765" s="309"/>
    </row>
    <row r="36766">
      <c r="B36766" s="309"/>
      <c r="C36766" s="309"/>
      <c r="I36766" s="309"/>
      <c r="J36766" s="309"/>
    </row>
    <row r="36767">
      <c r="B36767" s="309"/>
      <c r="C36767" s="309"/>
      <c r="I36767" s="309"/>
      <c r="J36767" s="309"/>
    </row>
    <row r="36768">
      <c r="B36768" s="309"/>
      <c r="C36768" s="309"/>
      <c r="I36768" s="309"/>
      <c r="J36768" s="309"/>
    </row>
    <row r="36769">
      <c r="B36769" s="309"/>
      <c r="C36769" s="309"/>
      <c r="I36769" s="309"/>
      <c r="J36769" s="309"/>
    </row>
    <row r="36770">
      <c r="B36770" s="309"/>
      <c r="C36770" s="309"/>
      <c r="I36770" s="309"/>
      <c r="J36770" s="309"/>
    </row>
    <row r="36771">
      <c r="B36771" s="309"/>
      <c r="C36771" s="309"/>
      <c r="I36771" s="309"/>
      <c r="J36771" s="309"/>
    </row>
    <row r="36772">
      <c r="B36772" s="309"/>
      <c r="C36772" s="309"/>
      <c r="I36772" s="309"/>
      <c r="J36772" s="309"/>
    </row>
    <row r="36773">
      <c r="B36773" s="309"/>
      <c r="C36773" s="309"/>
      <c r="I36773" s="309"/>
      <c r="J36773" s="309"/>
    </row>
    <row r="36774">
      <c r="B36774" s="309"/>
      <c r="C36774" s="309"/>
      <c r="I36774" s="309"/>
      <c r="J36774" s="309"/>
    </row>
    <row r="36775">
      <c r="B36775" s="309"/>
      <c r="C36775" s="309"/>
      <c r="I36775" s="309"/>
      <c r="J36775" s="309"/>
    </row>
    <row r="36776">
      <c r="B36776" s="309"/>
      <c r="C36776" s="309"/>
      <c r="I36776" s="309"/>
      <c r="J36776" s="309"/>
    </row>
    <row r="36777">
      <c r="B36777" s="309"/>
      <c r="C36777" s="309"/>
      <c r="I36777" s="309"/>
      <c r="J36777" s="309"/>
    </row>
    <row r="36778">
      <c r="B36778" s="309"/>
      <c r="C36778" s="309"/>
      <c r="I36778" s="309"/>
      <c r="J36778" s="309"/>
    </row>
    <row r="36779">
      <c r="B36779" s="309"/>
      <c r="C36779" s="309"/>
      <c r="I36779" s="309"/>
      <c r="J36779" s="309"/>
    </row>
    <row r="36780">
      <c r="B36780" s="309"/>
      <c r="C36780" s="309"/>
      <c r="I36780" s="309"/>
      <c r="J36780" s="309"/>
    </row>
    <row r="36781">
      <c r="B36781" s="309"/>
      <c r="C36781" s="309"/>
      <c r="I36781" s="309"/>
      <c r="J36781" s="309"/>
    </row>
    <row r="36782">
      <c r="B36782" s="309"/>
      <c r="C36782" s="309"/>
      <c r="I36782" s="309"/>
      <c r="J36782" s="309"/>
    </row>
    <row r="36783">
      <c r="B36783" s="309"/>
      <c r="C36783" s="309"/>
      <c r="I36783" s="309"/>
      <c r="J36783" s="309"/>
    </row>
    <row r="36784">
      <c r="B36784" s="309"/>
      <c r="C36784" s="309"/>
      <c r="I36784" s="309"/>
      <c r="J36784" s="309"/>
    </row>
    <row r="36785">
      <c r="B36785" s="309"/>
      <c r="C36785" s="309"/>
      <c r="I36785" s="309"/>
      <c r="J36785" s="309"/>
    </row>
    <row r="36786">
      <c r="B36786" s="309"/>
      <c r="C36786" s="309"/>
      <c r="I36786" s="309"/>
      <c r="J36786" s="309"/>
    </row>
    <row r="36787">
      <c r="B36787" s="309"/>
      <c r="C36787" s="309"/>
      <c r="I36787" s="309"/>
      <c r="J36787" s="309"/>
    </row>
    <row r="36788">
      <c r="B36788" s="309"/>
      <c r="C36788" s="309"/>
      <c r="I36788" s="309"/>
      <c r="J36788" s="309"/>
    </row>
    <row r="36789">
      <c r="B36789" s="309"/>
      <c r="C36789" s="309"/>
      <c r="I36789" s="309"/>
      <c r="J36789" s="309"/>
    </row>
    <row r="36790">
      <c r="B36790" s="309"/>
      <c r="C36790" s="309"/>
      <c r="I36790" s="309"/>
      <c r="J36790" s="309"/>
    </row>
    <row r="36791">
      <c r="B36791" s="309"/>
      <c r="C36791" s="309"/>
      <c r="I36791" s="309"/>
      <c r="J36791" s="309"/>
    </row>
    <row r="36792">
      <c r="B36792" s="309"/>
      <c r="C36792" s="309"/>
      <c r="I36792" s="309"/>
      <c r="J36792" s="309"/>
    </row>
    <row r="36793">
      <c r="B36793" s="309"/>
      <c r="C36793" s="309"/>
      <c r="I36793" s="309"/>
      <c r="J36793" s="309"/>
    </row>
    <row r="36794">
      <c r="B36794" s="309"/>
      <c r="C36794" s="309"/>
      <c r="I36794" s="309"/>
      <c r="J36794" s="309"/>
    </row>
    <row r="36795">
      <c r="B36795" s="309"/>
      <c r="C36795" s="309"/>
      <c r="I36795" s="309"/>
      <c r="J36795" s="309"/>
    </row>
    <row r="36796">
      <c r="B36796" s="309"/>
      <c r="C36796" s="309"/>
      <c r="I36796" s="309"/>
      <c r="J36796" s="309"/>
    </row>
    <row r="36797">
      <c r="B36797" s="309"/>
      <c r="C36797" s="309"/>
      <c r="I36797" s="309"/>
      <c r="J36797" s="309"/>
    </row>
    <row r="36798">
      <c r="B36798" s="309"/>
      <c r="C36798" s="309"/>
      <c r="I36798" s="309"/>
      <c r="J36798" s="309"/>
    </row>
    <row r="36799">
      <c r="B36799" s="309"/>
      <c r="C36799" s="309"/>
      <c r="I36799" s="309"/>
      <c r="J36799" s="309"/>
    </row>
    <row r="36800">
      <c r="B36800" s="309"/>
      <c r="C36800" s="309"/>
      <c r="I36800" s="309"/>
      <c r="J36800" s="309"/>
    </row>
    <row r="36801">
      <c r="B36801" s="309"/>
      <c r="C36801" s="309"/>
      <c r="I36801" s="309"/>
      <c r="J36801" s="309"/>
    </row>
    <row r="36802">
      <c r="B36802" s="309"/>
      <c r="C36802" s="309"/>
      <c r="I36802" s="309"/>
      <c r="J36802" s="309"/>
    </row>
    <row r="36803">
      <c r="B36803" s="309"/>
      <c r="C36803" s="309"/>
      <c r="I36803" s="309"/>
      <c r="J36803" s="309"/>
    </row>
    <row r="36804">
      <c r="B36804" s="309"/>
      <c r="C36804" s="309"/>
      <c r="I36804" s="309"/>
      <c r="J36804" s="309"/>
    </row>
    <row r="36805">
      <c r="B36805" s="309"/>
      <c r="C36805" s="309"/>
      <c r="I36805" s="309"/>
      <c r="J36805" s="309"/>
    </row>
    <row r="36806">
      <c r="B36806" s="309"/>
      <c r="C36806" s="309"/>
      <c r="I36806" s="309"/>
      <c r="J36806" s="309"/>
    </row>
    <row r="36807">
      <c r="B36807" s="309"/>
      <c r="C36807" s="309"/>
      <c r="I36807" s="309"/>
      <c r="J36807" s="309"/>
    </row>
    <row r="36808">
      <c r="B36808" s="309"/>
      <c r="C36808" s="309"/>
      <c r="I36808" s="309"/>
      <c r="J36808" s="309"/>
    </row>
    <row r="36809">
      <c r="B36809" s="309"/>
      <c r="C36809" s="309"/>
      <c r="I36809" s="309"/>
      <c r="J36809" s="309"/>
    </row>
    <row r="36810">
      <c r="B36810" s="309"/>
      <c r="C36810" s="309"/>
      <c r="I36810" s="309"/>
      <c r="J36810" s="309"/>
    </row>
    <row r="36811">
      <c r="B36811" s="309"/>
      <c r="C36811" s="309"/>
      <c r="I36811" s="309"/>
      <c r="J36811" s="309"/>
    </row>
    <row r="36812">
      <c r="B36812" s="309"/>
      <c r="C36812" s="309"/>
      <c r="I36812" s="309"/>
      <c r="J36812" s="309"/>
    </row>
    <row r="36813">
      <c r="B36813" s="309"/>
      <c r="C36813" s="309"/>
      <c r="I36813" s="309"/>
      <c r="J36813" s="309"/>
    </row>
    <row r="36814">
      <c r="B36814" s="309"/>
      <c r="C36814" s="309"/>
      <c r="I36814" s="309"/>
      <c r="J36814" s="309"/>
    </row>
    <row r="36815">
      <c r="B36815" s="309"/>
      <c r="C36815" s="309"/>
      <c r="I36815" s="309"/>
      <c r="J36815" s="309"/>
    </row>
    <row r="36816">
      <c r="B36816" s="309"/>
      <c r="C36816" s="309"/>
      <c r="I36816" s="309"/>
      <c r="J36816" s="309"/>
    </row>
    <row r="36817">
      <c r="B36817" s="309"/>
      <c r="C36817" s="309"/>
      <c r="I36817" s="309"/>
      <c r="J36817" s="309"/>
    </row>
    <row r="36818">
      <c r="B36818" s="309"/>
      <c r="C36818" s="309"/>
      <c r="I36818" s="309"/>
      <c r="J36818" s="309"/>
    </row>
    <row r="36819">
      <c r="B36819" s="309"/>
      <c r="C36819" s="309"/>
      <c r="I36819" s="309"/>
      <c r="J36819" s="309"/>
    </row>
    <row r="36820">
      <c r="B36820" s="309"/>
      <c r="C36820" s="309"/>
      <c r="I36820" s="309"/>
      <c r="J36820" s="309"/>
    </row>
    <row r="36821">
      <c r="B36821" s="309"/>
      <c r="C36821" s="309"/>
      <c r="I36821" s="309"/>
      <c r="J36821" s="309"/>
    </row>
    <row r="36822">
      <c r="B36822" s="309"/>
      <c r="C36822" s="309"/>
      <c r="I36822" s="309"/>
      <c r="J36822" s="309"/>
    </row>
    <row r="36823">
      <c r="B36823" s="309"/>
      <c r="C36823" s="309"/>
      <c r="I36823" s="309"/>
      <c r="J36823" s="309"/>
    </row>
    <row r="36824">
      <c r="B36824" s="309"/>
      <c r="C36824" s="309"/>
      <c r="I36824" s="309"/>
      <c r="J36824" s="309"/>
    </row>
    <row r="36825">
      <c r="B36825" s="309"/>
      <c r="C36825" s="309"/>
      <c r="I36825" s="309"/>
      <c r="J36825" s="309"/>
    </row>
    <row r="36826">
      <c r="B36826" s="309"/>
      <c r="C36826" s="309"/>
      <c r="I36826" s="309"/>
      <c r="J36826" s="309"/>
    </row>
    <row r="36827">
      <c r="B36827" s="309"/>
      <c r="C36827" s="309"/>
      <c r="I36827" s="309"/>
      <c r="J36827" s="309"/>
    </row>
    <row r="36828">
      <c r="B36828" s="309"/>
      <c r="C36828" s="309"/>
      <c r="I36828" s="309"/>
      <c r="J36828" s="309"/>
    </row>
    <row r="36829">
      <c r="B36829" s="309"/>
      <c r="C36829" s="309"/>
      <c r="I36829" s="309"/>
      <c r="J36829" s="309"/>
    </row>
    <row r="36830">
      <c r="B36830" s="309"/>
      <c r="C36830" s="309"/>
      <c r="I36830" s="309"/>
      <c r="J36830" s="309"/>
    </row>
    <row r="36831">
      <c r="B36831" s="309"/>
      <c r="C36831" s="309"/>
      <c r="I36831" s="309"/>
      <c r="J36831" s="309"/>
    </row>
    <row r="36832">
      <c r="B36832" s="309"/>
      <c r="C36832" s="309"/>
      <c r="I36832" s="309"/>
      <c r="J36832" s="309"/>
    </row>
    <row r="36833">
      <c r="B36833" s="309"/>
      <c r="C36833" s="309"/>
      <c r="I36833" s="309"/>
      <c r="J36833" s="309"/>
    </row>
    <row r="36834">
      <c r="B36834" s="309"/>
      <c r="C36834" s="309"/>
      <c r="I36834" s="309"/>
      <c r="J36834" s="309"/>
    </row>
    <row r="36835">
      <c r="B36835" s="309"/>
      <c r="C36835" s="309"/>
      <c r="I36835" s="309"/>
      <c r="J36835" s="309"/>
    </row>
    <row r="36836">
      <c r="B36836" s="309"/>
      <c r="C36836" s="309"/>
      <c r="I36836" s="309"/>
      <c r="J36836" s="309"/>
    </row>
    <row r="36837">
      <c r="B36837" s="309"/>
      <c r="C36837" s="309"/>
      <c r="I36837" s="309"/>
      <c r="J36837" s="309"/>
    </row>
    <row r="36838">
      <c r="B36838" s="309"/>
      <c r="C36838" s="309"/>
      <c r="I36838" s="309"/>
      <c r="J36838" s="309"/>
    </row>
    <row r="36839">
      <c r="B36839" s="309"/>
      <c r="C36839" s="309"/>
      <c r="I36839" s="309"/>
      <c r="J36839" s="309"/>
    </row>
    <row r="36840">
      <c r="B36840" s="309"/>
      <c r="C36840" s="309"/>
      <c r="I36840" s="309"/>
      <c r="J36840" s="309"/>
    </row>
    <row r="36841">
      <c r="B36841" s="309"/>
      <c r="C36841" s="309"/>
      <c r="I36841" s="309"/>
      <c r="J36841" s="309"/>
    </row>
    <row r="36842">
      <c r="B36842" s="309"/>
      <c r="C36842" s="309"/>
      <c r="I36842" s="309"/>
      <c r="J36842" s="309"/>
    </row>
    <row r="36843">
      <c r="B36843" s="309"/>
      <c r="C36843" s="309"/>
      <c r="I36843" s="309"/>
      <c r="J36843" s="309"/>
    </row>
    <row r="36844">
      <c r="B36844" s="309"/>
      <c r="C36844" s="309"/>
      <c r="I36844" s="309"/>
      <c r="J36844" s="309"/>
    </row>
    <row r="36845">
      <c r="B36845" s="309"/>
      <c r="C36845" s="309"/>
      <c r="I36845" s="309"/>
      <c r="J36845" s="309"/>
    </row>
    <row r="36846">
      <c r="B36846" s="309"/>
      <c r="C36846" s="309"/>
      <c r="I36846" s="309"/>
      <c r="J36846" s="309"/>
    </row>
    <row r="36847">
      <c r="B36847" s="309"/>
      <c r="C36847" s="309"/>
      <c r="I36847" s="309"/>
      <c r="J36847" s="309"/>
    </row>
    <row r="36848">
      <c r="B36848" s="309"/>
      <c r="C36848" s="309"/>
      <c r="I36848" s="309"/>
      <c r="J36848" s="309"/>
    </row>
    <row r="36849">
      <c r="B36849" s="309"/>
      <c r="C36849" s="309"/>
      <c r="I36849" s="309"/>
      <c r="J36849" s="309"/>
    </row>
    <row r="36850">
      <c r="B36850" s="309"/>
      <c r="C36850" s="309"/>
      <c r="I36850" s="309"/>
      <c r="J36850" s="309"/>
    </row>
    <row r="36851">
      <c r="B36851" s="309"/>
      <c r="C36851" s="309"/>
      <c r="I36851" s="309"/>
      <c r="J36851" s="309"/>
    </row>
    <row r="36852">
      <c r="B36852" s="309"/>
      <c r="C36852" s="309"/>
      <c r="I36852" s="309"/>
      <c r="J36852" s="309"/>
    </row>
    <row r="36853">
      <c r="B36853" s="309"/>
      <c r="C36853" s="309"/>
      <c r="I36853" s="309"/>
      <c r="J36853" s="309"/>
    </row>
    <row r="36854">
      <c r="B36854" s="309"/>
      <c r="C36854" s="309"/>
      <c r="I36854" s="309"/>
      <c r="J36854" s="309"/>
    </row>
    <row r="36855">
      <c r="B36855" s="309"/>
      <c r="C36855" s="309"/>
      <c r="I36855" s="309"/>
      <c r="J36855" s="309"/>
    </row>
    <row r="36856">
      <c r="B36856" s="309"/>
      <c r="C36856" s="309"/>
      <c r="I36856" s="309"/>
      <c r="J36856" s="309"/>
    </row>
    <row r="36857">
      <c r="B36857" s="309"/>
      <c r="C36857" s="309"/>
      <c r="I36857" s="309"/>
      <c r="J36857" s="309"/>
    </row>
    <row r="36858">
      <c r="B36858" s="309"/>
      <c r="C36858" s="309"/>
      <c r="I36858" s="309"/>
      <c r="J36858" s="309"/>
    </row>
    <row r="36859">
      <c r="B36859" s="309"/>
      <c r="C36859" s="309"/>
      <c r="I36859" s="309"/>
      <c r="J36859" s="309"/>
    </row>
    <row r="36860">
      <c r="B36860" s="309"/>
      <c r="C36860" s="309"/>
      <c r="I36860" s="309"/>
      <c r="J36860" s="309"/>
    </row>
    <row r="36861">
      <c r="B36861" s="309"/>
      <c r="C36861" s="309"/>
      <c r="I36861" s="309"/>
      <c r="J36861" s="309"/>
    </row>
    <row r="36862">
      <c r="B36862" s="309"/>
      <c r="C36862" s="309"/>
      <c r="I36862" s="309"/>
      <c r="J36862" s="309"/>
    </row>
    <row r="36863">
      <c r="B36863" s="309"/>
      <c r="C36863" s="309"/>
      <c r="I36863" s="309"/>
      <c r="J36863" s="309"/>
    </row>
    <row r="36864">
      <c r="B36864" s="309"/>
      <c r="C36864" s="309"/>
      <c r="I36864" s="309"/>
      <c r="J36864" s="309"/>
    </row>
    <row r="36865">
      <c r="B36865" s="309"/>
      <c r="C36865" s="309"/>
      <c r="I36865" s="309"/>
      <c r="J36865" s="309"/>
    </row>
    <row r="36866">
      <c r="B36866" s="309"/>
      <c r="C36866" s="309"/>
      <c r="I36866" s="309"/>
      <c r="J36866" s="309"/>
    </row>
    <row r="36867">
      <c r="B36867" s="309"/>
      <c r="C36867" s="309"/>
      <c r="I36867" s="309"/>
      <c r="J36867" s="309"/>
    </row>
    <row r="36868">
      <c r="B36868" s="309"/>
      <c r="C36868" s="309"/>
      <c r="I36868" s="309"/>
      <c r="J36868" s="309"/>
    </row>
    <row r="36869">
      <c r="B36869" s="309"/>
      <c r="C36869" s="309"/>
      <c r="I36869" s="309"/>
      <c r="J36869" s="309"/>
    </row>
    <row r="36870">
      <c r="B36870" s="309"/>
      <c r="C36870" s="309"/>
      <c r="I36870" s="309"/>
      <c r="J36870" s="309"/>
    </row>
    <row r="36871">
      <c r="B36871" s="309"/>
      <c r="C36871" s="309"/>
      <c r="I36871" s="309"/>
      <c r="J36871" s="309"/>
    </row>
    <row r="36872">
      <c r="B36872" s="309"/>
      <c r="C36872" s="309"/>
      <c r="I36872" s="309"/>
      <c r="J36872" s="309"/>
    </row>
    <row r="36873">
      <c r="B36873" s="309"/>
      <c r="C36873" s="309"/>
      <c r="I36873" s="309"/>
      <c r="J36873" s="309"/>
    </row>
    <row r="36874">
      <c r="B36874" s="309"/>
      <c r="C36874" s="309"/>
      <c r="I36874" s="309"/>
      <c r="J36874" s="309"/>
    </row>
    <row r="36875">
      <c r="B36875" s="309"/>
      <c r="C36875" s="309"/>
      <c r="I36875" s="309"/>
      <c r="J36875" s="309"/>
    </row>
    <row r="36876">
      <c r="B36876" s="309"/>
      <c r="C36876" s="309"/>
      <c r="I36876" s="309"/>
      <c r="J36876" s="309"/>
    </row>
    <row r="36877">
      <c r="B36877" s="309"/>
      <c r="C36877" s="309"/>
      <c r="I36877" s="309"/>
      <c r="J36877" s="309"/>
    </row>
    <row r="36878">
      <c r="B36878" s="309"/>
      <c r="C36878" s="309"/>
      <c r="I36878" s="309"/>
      <c r="J36878" s="309"/>
    </row>
    <row r="36879">
      <c r="B36879" s="309"/>
      <c r="C36879" s="309"/>
      <c r="I36879" s="309"/>
      <c r="J36879" s="309"/>
    </row>
    <row r="36880">
      <c r="B36880" s="309"/>
      <c r="C36880" s="309"/>
      <c r="I36880" s="309"/>
      <c r="J36880" s="309"/>
    </row>
    <row r="36881">
      <c r="B36881" s="309"/>
      <c r="C36881" s="309"/>
      <c r="I36881" s="309"/>
      <c r="J36881" s="309"/>
    </row>
    <row r="36882">
      <c r="B36882" s="309"/>
      <c r="C36882" s="309"/>
      <c r="I36882" s="309"/>
      <c r="J36882" s="309"/>
    </row>
    <row r="36883">
      <c r="B36883" s="309"/>
      <c r="C36883" s="309"/>
      <c r="I36883" s="309"/>
      <c r="J36883" s="309"/>
    </row>
    <row r="36884">
      <c r="B36884" s="309"/>
      <c r="C36884" s="309"/>
      <c r="I36884" s="309"/>
      <c r="J36884" s="309"/>
    </row>
    <row r="36885">
      <c r="B36885" s="309"/>
      <c r="C36885" s="309"/>
      <c r="I36885" s="309"/>
      <c r="J36885" s="309"/>
    </row>
    <row r="36886">
      <c r="B36886" s="309"/>
      <c r="C36886" s="309"/>
      <c r="I36886" s="309"/>
      <c r="J36886" s="309"/>
    </row>
    <row r="36887">
      <c r="B36887" s="309"/>
      <c r="C36887" s="309"/>
      <c r="I36887" s="309"/>
      <c r="J36887" s="309"/>
    </row>
    <row r="36888">
      <c r="B36888" s="309"/>
      <c r="C36888" s="309"/>
      <c r="I36888" s="309"/>
      <c r="J36888" s="309"/>
    </row>
    <row r="36889">
      <c r="B36889" s="309"/>
      <c r="C36889" s="309"/>
      <c r="I36889" s="309"/>
      <c r="J36889" s="309"/>
    </row>
    <row r="36890">
      <c r="B36890" s="309"/>
      <c r="C36890" s="309"/>
      <c r="I36890" s="309"/>
      <c r="J36890" s="309"/>
    </row>
    <row r="36891">
      <c r="B36891" s="309"/>
      <c r="C36891" s="309"/>
      <c r="I36891" s="309"/>
      <c r="J36891" s="309"/>
    </row>
    <row r="36892">
      <c r="B36892" s="309"/>
      <c r="C36892" s="309"/>
      <c r="I36892" s="309"/>
      <c r="J36892" s="309"/>
    </row>
    <row r="36893">
      <c r="B36893" s="309"/>
      <c r="C36893" s="309"/>
      <c r="I36893" s="309"/>
      <c r="J36893" s="309"/>
    </row>
    <row r="36894">
      <c r="B36894" s="309"/>
      <c r="C36894" s="309"/>
      <c r="I36894" s="309"/>
      <c r="J36894" s="309"/>
    </row>
    <row r="36895">
      <c r="B36895" s="309"/>
      <c r="C36895" s="309"/>
      <c r="I36895" s="309"/>
      <c r="J36895" s="309"/>
    </row>
    <row r="36896">
      <c r="B36896" s="309"/>
      <c r="C36896" s="309"/>
      <c r="I36896" s="309"/>
      <c r="J36896" s="309"/>
    </row>
    <row r="36897">
      <c r="B36897" s="309"/>
      <c r="C36897" s="309"/>
      <c r="I36897" s="309"/>
      <c r="J36897" s="309"/>
    </row>
    <row r="36898">
      <c r="B36898" s="309"/>
      <c r="C36898" s="309"/>
      <c r="I36898" s="309"/>
      <c r="J36898" s="309"/>
    </row>
    <row r="36899">
      <c r="B36899" s="309"/>
      <c r="C36899" s="309"/>
      <c r="I36899" s="309"/>
      <c r="J36899" s="309"/>
    </row>
    <row r="36900">
      <c r="B36900" s="309"/>
      <c r="C36900" s="309"/>
      <c r="I36900" s="309"/>
      <c r="J36900" s="309"/>
    </row>
    <row r="36901">
      <c r="B36901" s="309"/>
      <c r="C36901" s="309"/>
      <c r="I36901" s="309"/>
      <c r="J36901" s="309"/>
    </row>
    <row r="36902">
      <c r="B36902" s="309"/>
      <c r="C36902" s="309"/>
      <c r="I36902" s="309"/>
      <c r="J36902" s="309"/>
    </row>
    <row r="36903">
      <c r="B36903" s="309"/>
      <c r="C36903" s="309"/>
      <c r="I36903" s="309"/>
      <c r="J36903" s="309"/>
    </row>
    <row r="36904">
      <c r="B36904" s="309"/>
      <c r="C36904" s="309"/>
      <c r="I36904" s="309"/>
      <c r="J36904" s="309"/>
    </row>
    <row r="36905">
      <c r="B36905" s="309"/>
      <c r="C36905" s="309"/>
      <c r="I36905" s="309"/>
      <c r="J36905" s="309"/>
    </row>
    <row r="36906">
      <c r="B36906" s="309"/>
      <c r="C36906" s="309"/>
      <c r="I36906" s="309"/>
      <c r="J36906" s="309"/>
    </row>
    <row r="36907">
      <c r="B36907" s="309"/>
      <c r="C36907" s="309"/>
      <c r="I36907" s="309"/>
      <c r="J36907" s="309"/>
    </row>
    <row r="36908">
      <c r="B36908" s="309"/>
      <c r="C36908" s="309"/>
      <c r="I36908" s="309"/>
      <c r="J36908" s="309"/>
    </row>
    <row r="36909">
      <c r="B36909" s="309"/>
      <c r="C36909" s="309"/>
      <c r="I36909" s="309"/>
      <c r="J36909" s="309"/>
    </row>
    <row r="36910">
      <c r="B36910" s="309"/>
      <c r="C36910" s="309"/>
      <c r="I36910" s="309"/>
      <c r="J36910" s="309"/>
    </row>
    <row r="36911">
      <c r="B36911" s="309"/>
      <c r="C36911" s="309"/>
      <c r="I36911" s="309"/>
      <c r="J36911" s="309"/>
    </row>
    <row r="36912">
      <c r="B36912" s="309"/>
      <c r="C36912" s="309"/>
      <c r="I36912" s="309"/>
      <c r="J36912" s="309"/>
    </row>
    <row r="36913">
      <c r="B36913" s="309"/>
      <c r="C36913" s="309"/>
      <c r="I36913" s="309"/>
      <c r="J36913" s="309"/>
    </row>
    <row r="36914">
      <c r="B36914" s="309"/>
      <c r="C36914" s="309"/>
      <c r="I36914" s="309"/>
      <c r="J36914" s="309"/>
    </row>
    <row r="36915">
      <c r="B36915" s="309"/>
      <c r="C36915" s="309"/>
      <c r="I36915" s="309"/>
      <c r="J36915" s="309"/>
    </row>
    <row r="36916">
      <c r="B36916" s="309"/>
      <c r="C36916" s="309"/>
      <c r="I36916" s="309"/>
      <c r="J36916" s="309"/>
    </row>
    <row r="36917">
      <c r="B36917" s="309"/>
      <c r="C36917" s="309"/>
      <c r="I36917" s="309"/>
      <c r="J36917" s="309"/>
    </row>
    <row r="36918">
      <c r="B36918" s="309"/>
      <c r="C36918" s="309"/>
      <c r="I36918" s="309"/>
      <c r="J36918" s="309"/>
    </row>
    <row r="36919">
      <c r="B36919" s="309"/>
      <c r="C36919" s="309"/>
      <c r="I36919" s="309"/>
      <c r="J36919" s="309"/>
    </row>
    <row r="36920">
      <c r="B36920" s="309"/>
      <c r="C36920" s="309"/>
      <c r="I36920" s="309"/>
      <c r="J36920" s="309"/>
    </row>
    <row r="36921">
      <c r="B36921" s="309"/>
      <c r="C36921" s="309"/>
      <c r="I36921" s="309"/>
      <c r="J36921" s="309"/>
    </row>
    <row r="36922">
      <c r="B36922" s="309"/>
      <c r="C36922" s="309"/>
      <c r="I36922" s="309"/>
      <c r="J36922" s="309"/>
    </row>
    <row r="36923">
      <c r="B36923" s="309"/>
      <c r="C36923" s="309"/>
      <c r="I36923" s="309"/>
      <c r="J36923" s="309"/>
    </row>
    <row r="36924">
      <c r="B36924" s="309"/>
      <c r="C36924" s="309"/>
      <c r="I36924" s="309"/>
      <c r="J36924" s="309"/>
    </row>
    <row r="36925">
      <c r="B36925" s="309"/>
      <c r="C36925" s="309"/>
      <c r="I36925" s="309"/>
      <c r="J36925" s="309"/>
    </row>
    <row r="36926">
      <c r="B36926" s="309"/>
      <c r="C36926" s="309"/>
      <c r="I36926" s="309"/>
      <c r="J36926" s="309"/>
    </row>
    <row r="36927">
      <c r="B36927" s="309"/>
      <c r="C36927" s="309"/>
      <c r="I36927" s="309"/>
      <c r="J36927" s="309"/>
    </row>
    <row r="36928">
      <c r="B36928" s="309"/>
      <c r="C36928" s="309"/>
      <c r="I36928" s="309"/>
      <c r="J36928" s="309"/>
    </row>
    <row r="36929">
      <c r="B36929" s="309"/>
      <c r="C36929" s="309"/>
      <c r="I36929" s="309"/>
      <c r="J36929" s="309"/>
    </row>
    <row r="36930">
      <c r="B36930" s="309"/>
      <c r="C36930" s="309"/>
      <c r="I36930" s="309"/>
      <c r="J36930" s="309"/>
    </row>
    <row r="36931">
      <c r="B36931" s="309"/>
      <c r="C36931" s="309"/>
      <c r="I36931" s="309"/>
      <c r="J36931" s="309"/>
    </row>
    <row r="36932">
      <c r="B36932" s="309"/>
      <c r="C36932" s="309"/>
      <c r="I36932" s="309"/>
      <c r="J36932" s="309"/>
    </row>
    <row r="36933">
      <c r="B36933" s="309"/>
      <c r="C36933" s="309"/>
      <c r="I36933" s="309"/>
      <c r="J36933" s="309"/>
    </row>
    <row r="36934">
      <c r="B36934" s="309"/>
      <c r="C36934" s="309"/>
      <c r="I36934" s="309"/>
      <c r="J36934" s="309"/>
    </row>
    <row r="36935">
      <c r="B36935" s="309"/>
      <c r="C36935" s="309"/>
      <c r="I36935" s="309"/>
      <c r="J36935" s="309"/>
    </row>
    <row r="36936">
      <c r="B36936" s="309"/>
      <c r="C36936" s="309"/>
      <c r="I36936" s="309"/>
      <c r="J36936" s="309"/>
    </row>
    <row r="36937">
      <c r="B36937" s="309"/>
      <c r="C36937" s="309"/>
      <c r="I36937" s="309"/>
      <c r="J36937" s="309"/>
    </row>
    <row r="36938">
      <c r="B36938" s="309"/>
      <c r="C36938" s="309"/>
      <c r="I36938" s="309"/>
      <c r="J36938" s="309"/>
    </row>
    <row r="36939">
      <c r="B36939" s="309"/>
      <c r="C36939" s="309"/>
      <c r="I36939" s="309"/>
      <c r="J36939" s="309"/>
    </row>
    <row r="36940">
      <c r="B36940" s="309"/>
      <c r="C36940" s="309"/>
      <c r="I36940" s="309"/>
      <c r="J36940" s="309"/>
    </row>
    <row r="36941">
      <c r="B36941" s="309"/>
      <c r="C36941" s="309"/>
      <c r="I36941" s="309"/>
      <c r="J36941" s="309"/>
    </row>
    <row r="36942">
      <c r="B36942" s="309"/>
      <c r="C36942" s="309"/>
      <c r="I36942" s="309"/>
      <c r="J36942" s="309"/>
    </row>
    <row r="36943">
      <c r="B36943" s="309"/>
      <c r="C36943" s="309"/>
      <c r="I36943" s="309"/>
      <c r="J36943" s="309"/>
    </row>
    <row r="36944">
      <c r="B36944" s="309"/>
      <c r="C36944" s="309"/>
      <c r="I36944" s="309"/>
      <c r="J36944" s="309"/>
    </row>
    <row r="36945">
      <c r="B36945" s="309"/>
      <c r="C36945" s="309"/>
      <c r="I36945" s="309"/>
      <c r="J36945" s="309"/>
    </row>
    <row r="36946">
      <c r="B36946" s="309"/>
      <c r="C36946" s="309"/>
      <c r="I36946" s="309"/>
      <c r="J36946" s="309"/>
    </row>
    <row r="36947">
      <c r="B36947" s="309"/>
      <c r="C36947" s="309"/>
      <c r="I36947" s="309"/>
      <c r="J36947" s="309"/>
    </row>
    <row r="36948">
      <c r="B36948" s="309"/>
      <c r="C36948" s="309"/>
      <c r="I36948" s="309"/>
      <c r="J36948" s="309"/>
    </row>
    <row r="36949">
      <c r="B36949" s="309"/>
      <c r="C36949" s="309"/>
      <c r="I36949" s="309"/>
      <c r="J36949" s="309"/>
    </row>
    <row r="36950">
      <c r="B36950" s="309"/>
      <c r="C36950" s="309"/>
      <c r="I36950" s="309"/>
      <c r="J36950" s="309"/>
    </row>
    <row r="36951">
      <c r="B36951" s="309"/>
      <c r="C36951" s="309"/>
      <c r="I36951" s="309"/>
      <c r="J36951" s="309"/>
    </row>
    <row r="36952">
      <c r="B36952" s="309"/>
      <c r="C36952" s="309"/>
      <c r="I36952" s="309"/>
      <c r="J36952" s="309"/>
    </row>
    <row r="36953">
      <c r="B36953" s="309"/>
      <c r="C36953" s="309"/>
      <c r="I36953" s="309"/>
      <c r="J36953" s="309"/>
    </row>
    <row r="36954">
      <c r="B36954" s="309"/>
      <c r="C36954" s="309"/>
      <c r="I36954" s="309"/>
      <c r="J36954" s="309"/>
    </row>
    <row r="36955">
      <c r="B36955" s="309"/>
      <c r="C36955" s="309"/>
      <c r="I36955" s="309"/>
      <c r="J36955" s="309"/>
    </row>
    <row r="36956">
      <c r="B36956" s="309"/>
      <c r="C36956" s="309"/>
      <c r="I36956" s="309"/>
      <c r="J36956" s="309"/>
    </row>
    <row r="36957">
      <c r="B36957" s="309"/>
      <c r="C36957" s="309"/>
      <c r="I36957" s="309"/>
      <c r="J36957" s="309"/>
    </row>
    <row r="36958">
      <c r="B36958" s="309"/>
      <c r="C36958" s="309"/>
      <c r="I36958" s="309"/>
      <c r="J36958" s="309"/>
    </row>
    <row r="36959">
      <c r="B36959" s="309"/>
      <c r="C36959" s="309"/>
      <c r="I36959" s="309"/>
      <c r="J36959" s="309"/>
    </row>
    <row r="36960">
      <c r="B36960" s="309"/>
      <c r="C36960" s="309"/>
      <c r="I36960" s="309"/>
      <c r="J36960" s="309"/>
    </row>
    <row r="36961">
      <c r="B36961" s="309"/>
      <c r="C36961" s="309"/>
      <c r="I36961" s="309"/>
      <c r="J36961" s="309"/>
    </row>
    <row r="36962">
      <c r="B36962" s="309"/>
      <c r="C36962" s="309"/>
      <c r="I36962" s="309"/>
      <c r="J36962" s="309"/>
    </row>
    <row r="36963">
      <c r="B36963" s="309"/>
      <c r="C36963" s="309"/>
      <c r="I36963" s="309"/>
      <c r="J36963" s="309"/>
    </row>
    <row r="36964">
      <c r="B36964" s="309"/>
      <c r="C36964" s="309"/>
      <c r="I36964" s="309"/>
      <c r="J36964" s="309"/>
    </row>
    <row r="36965">
      <c r="B36965" s="309"/>
      <c r="C36965" s="309"/>
      <c r="I36965" s="309"/>
      <c r="J36965" s="309"/>
    </row>
    <row r="36966">
      <c r="B36966" s="309"/>
      <c r="C36966" s="309"/>
      <c r="I36966" s="309"/>
      <c r="J36966" s="309"/>
    </row>
    <row r="36967">
      <c r="B36967" s="309"/>
      <c r="C36967" s="309"/>
      <c r="I36967" s="309"/>
      <c r="J36967" s="309"/>
    </row>
    <row r="36968">
      <c r="B36968" s="309"/>
      <c r="C36968" s="309"/>
      <c r="I36968" s="309"/>
      <c r="J36968" s="309"/>
    </row>
    <row r="36969">
      <c r="B36969" s="309"/>
      <c r="C36969" s="309"/>
      <c r="I36969" s="309"/>
      <c r="J36969" s="309"/>
    </row>
    <row r="36970">
      <c r="B36970" s="309"/>
      <c r="C36970" s="309"/>
      <c r="I36970" s="309"/>
      <c r="J36970" s="309"/>
    </row>
    <row r="36971">
      <c r="B36971" s="309"/>
      <c r="C36971" s="309"/>
      <c r="I36971" s="309"/>
      <c r="J36971" s="309"/>
    </row>
    <row r="36972">
      <c r="B36972" s="309"/>
      <c r="C36972" s="309"/>
      <c r="I36972" s="309"/>
      <c r="J36972" s="309"/>
    </row>
    <row r="36973">
      <c r="B36973" s="309"/>
      <c r="C36973" s="309"/>
      <c r="I36973" s="309"/>
      <c r="J36973" s="309"/>
    </row>
    <row r="36974">
      <c r="B36974" s="309"/>
      <c r="C36974" s="309"/>
      <c r="I36974" s="309"/>
      <c r="J36974" s="309"/>
    </row>
    <row r="36975">
      <c r="B36975" s="309"/>
      <c r="C36975" s="309"/>
      <c r="I36975" s="309"/>
      <c r="J36975" s="309"/>
    </row>
    <row r="36976">
      <c r="B36976" s="309"/>
      <c r="C36976" s="309"/>
      <c r="I36976" s="309"/>
      <c r="J36976" s="309"/>
    </row>
    <row r="36977">
      <c r="B36977" s="309"/>
      <c r="C36977" s="309"/>
      <c r="I36977" s="309"/>
      <c r="J36977" s="309"/>
    </row>
    <row r="36978">
      <c r="B36978" s="309"/>
      <c r="C36978" s="309"/>
      <c r="I36978" s="309"/>
      <c r="J36978" s="309"/>
    </row>
    <row r="36979">
      <c r="B36979" s="309"/>
      <c r="C36979" s="309"/>
      <c r="I36979" s="309"/>
      <c r="J36979" s="309"/>
    </row>
    <row r="36980">
      <c r="B36980" s="309"/>
      <c r="C36980" s="309"/>
      <c r="I36980" s="309"/>
      <c r="J36980" s="309"/>
    </row>
    <row r="36981">
      <c r="B36981" s="309"/>
      <c r="C36981" s="309"/>
      <c r="I36981" s="309"/>
      <c r="J36981" s="309"/>
    </row>
    <row r="36982">
      <c r="B36982" s="309"/>
      <c r="C36982" s="309"/>
      <c r="I36982" s="309"/>
      <c r="J36982" s="309"/>
    </row>
    <row r="36983">
      <c r="B36983" s="309"/>
      <c r="C36983" s="309"/>
      <c r="I36983" s="309"/>
      <c r="J36983" s="309"/>
    </row>
    <row r="36984">
      <c r="B36984" s="309"/>
      <c r="C36984" s="309"/>
      <c r="I36984" s="309"/>
      <c r="J36984" s="309"/>
    </row>
    <row r="36985">
      <c r="B36985" s="309"/>
      <c r="C36985" s="309"/>
      <c r="I36985" s="309"/>
      <c r="J36985" s="309"/>
    </row>
    <row r="36986">
      <c r="B36986" s="309"/>
      <c r="C36986" s="309"/>
      <c r="I36986" s="309"/>
      <c r="J36986" s="309"/>
    </row>
    <row r="36987">
      <c r="B36987" s="309"/>
      <c r="C36987" s="309"/>
      <c r="I36987" s="309"/>
      <c r="J36987" s="309"/>
    </row>
    <row r="36988">
      <c r="B36988" s="309"/>
      <c r="C36988" s="309"/>
      <c r="I36988" s="309"/>
      <c r="J36988" s="309"/>
    </row>
    <row r="36989">
      <c r="B36989" s="309"/>
      <c r="C36989" s="309"/>
      <c r="I36989" s="309"/>
      <c r="J36989" s="309"/>
    </row>
    <row r="36990">
      <c r="B36990" s="309"/>
      <c r="C36990" s="309"/>
      <c r="I36990" s="309"/>
      <c r="J36990" s="309"/>
    </row>
    <row r="36991">
      <c r="B36991" s="309"/>
      <c r="C36991" s="309"/>
      <c r="I36991" s="309"/>
      <c r="J36991" s="309"/>
    </row>
    <row r="36992">
      <c r="B36992" s="309"/>
      <c r="C36992" s="309"/>
      <c r="I36992" s="309"/>
      <c r="J36992" s="309"/>
    </row>
    <row r="36993">
      <c r="B36993" s="309"/>
      <c r="C36993" s="309"/>
      <c r="I36993" s="309"/>
      <c r="J36993" s="309"/>
    </row>
    <row r="36994">
      <c r="B36994" s="309"/>
      <c r="C36994" s="309"/>
      <c r="I36994" s="309"/>
      <c r="J36994" s="309"/>
    </row>
    <row r="36995">
      <c r="B36995" s="309"/>
      <c r="C36995" s="309"/>
      <c r="I36995" s="309"/>
      <c r="J36995" s="309"/>
    </row>
    <row r="36996">
      <c r="B36996" s="309"/>
      <c r="C36996" s="309"/>
      <c r="I36996" s="309"/>
      <c r="J36996" s="309"/>
    </row>
    <row r="36997">
      <c r="B36997" s="309"/>
      <c r="C36997" s="309"/>
      <c r="I36997" s="309"/>
      <c r="J36997" s="309"/>
    </row>
    <row r="36998">
      <c r="B36998" s="309"/>
      <c r="C36998" s="309"/>
      <c r="I36998" s="309"/>
      <c r="J36998" s="309"/>
    </row>
    <row r="36999">
      <c r="B36999" s="309"/>
      <c r="C36999" s="309"/>
      <c r="I36999" s="309"/>
      <c r="J36999" s="309"/>
    </row>
    <row r="37000">
      <c r="B37000" s="309"/>
      <c r="C37000" s="309"/>
      <c r="I37000" s="309"/>
      <c r="J37000" s="309"/>
    </row>
    <row r="37001">
      <c r="B37001" s="309"/>
      <c r="C37001" s="309"/>
      <c r="I37001" s="309"/>
      <c r="J37001" s="309"/>
    </row>
    <row r="37002">
      <c r="B37002" s="309"/>
      <c r="C37002" s="309"/>
      <c r="I37002" s="309"/>
      <c r="J37002" s="309"/>
    </row>
    <row r="37003">
      <c r="B37003" s="309"/>
      <c r="C37003" s="309"/>
      <c r="I37003" s="309"/>
      <c r="J37003" s="309"/>
    </row>
    <row r="37004">
      <c r="B37004" s="309"/>
      <c r="C37004" s="309"/>
      <c r="I37004" s="309"/>
      <c r="J37004" s="309"/>
    </row>
    <row r="37005">
      <c r="B37005" s="309"/>
      <c r="C37005" s="309"/>
      <c r="I37005" s="309"/>
      <c r="J37005" s="309"/>
    </row>
    <row r="37006">
      <c r="B37006" s="309"/>
      <c r="C37006" s="309"/>
      <c r="I37006" s="309"/>
      <c r="J37006" s="309"/>
    </row>
    <row r="37007">
      <c r="B37007" s="309"/>
      <c r="C37007" s="309"/>
      <c r="I37007" s="309"/>
      <c r="J37007" s="309"/>
    </row>
    <row r="37008">
      <c r="B37008" s="309"/>
      <c r="C37008" s="309"/>
      <c r="I37008" s="309"/>
      <c r="J37008" s="309"/>
    </row>
    <row r="37009">
      <c r="B37009" s="309"/>
      <c r="C37009" s="309"/>
      <c r="I37009" s="309"/>
      <c r="J37009" s="309"/>
    </row>
    <row r="37010">
      <c r="B37010" s="309"/>
      <c r="C37010" s="309"/>
      <c r="I37010" s="309"/>
      <c r="J37010" s="309"/>
    </row>
    <row r="37011">
      <c r="B37011" s="309"/>
      <c r="C37011" s="309"/>
      <c r="I37011" s="309"/>
      <c r="J37011" s="309"/>
    </row>
    <row r="37012">
      <c r="B37012" s="309"/>
      <c r="C37012" s="309"/>
      <c r="I37012" s="309"/>
      <c r="J37012" s="309"/>
    </row>
    <row r="37013">
      <c r="B37013" s="309"/>
      <c r="C37013" s="309"/>
      <c r="I37013" s="309"/>
      <c r="J37013" s="309"/>
    </row>
    <row r="37014">
      <c r="B37014" s="309"/>
      <c r="C37014" s="309"/>
      <c r="I37014" s="309"/>
      <c r="J37014" s="309"/>
    </row>
    <row r="37015">
      <c r="B37015" s="309"/>
      <c r="C37015" s="309"/>
      <c r="I37015" s="309"/>
      <c r="J37015" s="309"/>
    </row>
    <row r="37016">
      <c r="B37016" s="309"/>
      <c r="C37016" s="309"/>
      <c r="I37016" s="309"/>
      <c r="J37016" s="309"/>
    </row>
    <row r="37017">
      <c r="B37017" s="309"/>
      <c r="C37017" s="309"/>
      <c r="I37017" s="309"/>
      <c r="J37017" s="309"/>
    </row>
    <row r="37018">
      <c r="B37018" s="309"/>
      <c r="C37018" s="309"/>
      <c r="I37018" s="309"/>
      <c r="J37018" s="309"/>
    </row>
    <row r="37019">
      <c r="B37019" s="309"/>
      <c r="C37019" s="309"/>
      <c r="I37019" s="309"/>
      <c r="J37019" s="309"/>
    </row>
    <row r="37020">
      <c r="B37020" s="309"/>
      <c r="C37020" s="309"/>
      <c r="I37020" s="309"/>
      <c r="J37020" s="309"/>
    </row>
    <row r="37021">
      <c r="B37021" s="309"/>
      <c r="C37021" s="309"/>
      <c r="I37021" s="309"/>
      <c r="J37021" s="309"/>
    </row>
    <row r="37022">
      <c r="B37022" s="309"/>
      <c r="C37022" s="309"/>
      <c r="I37022" s="309"/>
      <c r="J37022" s="309"/>
    </row>
    <row r="37023">
      <c r="B37023" s="309"/>
      <c r="C37023" s="309"/>
      <c r="I37023" s="309"/>
      <c r="J37023" s="309"/>
    </row>
    <row r="37024">
      <c r="B37024" s="309"/>
      <c r="C37024" s="309"/>
      <c r="I37024" s="309"/>
      <c r="J37024" s="309"/>
    </row>
    <row r="37025">
      <c r="B37025" s="309"/>
      <c r="C37025" s="309"/>
      <c r="I37025" s="309"/>
      <c r="J37025" s="309"/>
    </row>
    <row r="37026">
      <c r="B37026" s="309"/>
      <c r="C37026" s="309"/>
      <c r="I37026" s="309"/>
      <c r="J37026" s="309"/>
    </row>
    <row r="37027">
      <c r="B37027" s="309"/>
      <c r="C37027" s="309"/>
      <c r="I37027" s="309"/>
      <c r="J37027" s="309"/>
    </row>
    <row r="37028">
      <c r="B37028" s="309"/>
      <c r="C37028" s="309"/>
      <c r="I37028" s="309"/>
      <c r="J37028" s="309"/>
    </row>
    <row r="37029">
      <c r="B37029" s="309"/>
      <c r="C37029" s="309"/>
      <c r="I37029" s="309"/>
      <c r="J37029" s="309"/>
    </row>
    <row r="37030">
      <c r="B37030" s="309"/>
      <c r="C37030" s="309"/>
      <c r="I37030" s="309"/>
      <c r="J37030" s="309"/>
    </row>
    <row r="37031">
      <c r="B37031" s="309"/>
      <c r="C37031" s="309"/>
      <c r="I37031" s="309"/>
      <c r="J37031" s="309"/>
    </row>
    <row r="37032">
      <c r="B37032" s="309"/>
      <c r="C37032" s="309"/>
      <c r="I37032" s="309"/>
      <c r="J37032" s="309"/>
    </row>
    <row r="37033">
      <c r="B37033" s="309"/>
      <c r="C37033" s="309"/>
      <c r="I37033" s="309"/>
      <c r="J37033" s="309"/>
    </row>
    <row r="37034">
      <c r="B37034" s="309"/>
      <c r="C37034" s="309"/>
      <c r="I37034" s="309"/>
      <c r="J37034" s="309"/>
    </row>
    <row r="37035">
      <c r="B37035" s="309"/>
      <c r="C37035" s="309"/>
      <c r="I37035" s="309"/>
      <c r="J37035" s="309"/>
    </row>
    <row r="37036">
      <c r="B37036" s="309"/>
      <c r="C37036" s="309"/>
      <c r="I37036" s="309"/>
      <c r="J37036" s="309"/>
    </row>
    <row r="37037">
      <c r="B37037" s="309"/>
      <c r="C37037" s="309"/>
      <c r="I37037" s="309"/>
      <c r="J37037" s="309"/>
    </row>
    <row r="37038">
      <c r="B37038" s="309"/>
      <c r="C37038" s="309"/>
      <c r="I37038" s="309"/>
      <c r="J37038" s="309"/>
    </row>
    <row r="37039">
      <c r="B37039" s="309"/>
      <c r="C37039" s="309"/>
      <c r="I37039" s="309"/>
      <c r="J37039" s="309"/>
    </row>
    <row r="37040">
      <c r="B37040" s="309"/>
      <c r="C37040" s="309"/>
      <c r="I37040" s="309"/>
      <c r="J37040" s="309"/>
    </row>
    <row r="37041">
      <c r="B37041" s="309"/>
      <c r="C37041" s="309"/>
      <c r="I37041" s="309"/>
      <c r="J37041" s="309"/>
    </row>
    <row r="37042">
      <c r="B37042" s="309"/>
      <c r="C37042" s="309"/>
      <c r="I37042" s="309"/>
      <c r="J37042" s="309"/>
    </row>
    <row r="37043">
      <c r="B37043" s="309"/>
      <c r="C37043" s="309"/>
      <c r="I37043" s="309"/>
      <c r="J37043" s="309"/>
    </row>
    <row r="37044">
      <c r="B37044" s="309"/>
      <c r="C37044" s="309"/>
      <c r="I37044" s="309"/>
      <c r="J37044" s="309"/>
    </row>
    <row r="37045">
      <c r="B37045" s="309"/>
      <c r="C37045" s="309"/>
      <c r="I37045" s="309"/>
      <c r="J37045" s="309"/>
    </row>
    <row r="37046">
      <c r="B37046" s="309"/>
      <c r="C37046" s="309"/>
      <c r="I37046" s="309"/>
      <c r="J37046" s="309"/>
    </row>
    <row r="37047">
      <c r="B37047" s="309"/>
      <c r="C37047" s="309"/>
      <c r="I37047" s="309"/>
      <c r="J37047" s="309"/>
    </row>
    <row r="37048">
      <c r="B37048" s="309"/>
      <c r="C37048" s="309"/>
      <c r="I37048" s="309"/>
      <c r="J37048" s="309"/>
    </row>
    <row r="37049">
      <c r="B37049" s="309"/>
      <c r="C37049" s="309"/>
      <c r="I37049" s="309"/>
      <c r="J37049" s="309"/>
    </row>
    <row r="37050">
      <c r="B37050" s="309"/>
      <c r="C37050" s="309"/>
      <c r="I37050" s="309"/>
      <c r="J37050" s="309"/>
    </row>
    <row r="37051">
      <c r="B37051" s="309"/>
      <c r="C37051" s="309"/>
      <c r="I37051" s="309"/>
      <c r="J37051" s="309"/>
    </row>
    <row r="37052">
      <c r="B37052" s="309"/>
      <c r="C37052" s="309"/>
      <c r="I37052" s="309"/>
      <c r="J37052" s="309"/>
    </row>
    <row r="37053">
      <c r="B37053" s="309"/>
      <c r="C37053" s="309"/>
      <c r="I37053" s="309"/>
      <c r="J37053" s="309"/>
    </row>
    <row r="37054">
      <c r="B37054" s="309"/>
      <c r="C37054" s="309"/>
      <c r="I37054" s="309"/>
      <c r="J37054" s="309"/>
    </row>
    <row r="37055">
      <c r="B37055" s="309"/>
      <c r="C37055" s="309"/>
      <c r="I37055" s="309"/>
      <c r="J37055" s="309"/>
    </row>
    <row r="37056">
      <c r="B37056" s="309"/>
      <c r="C37056" s="309"/>
      <c r="I37056" s="309"/>
      <c r="J37056" s="309"/>
    </row>
    <row r="37057">
      <c r="B37057" s="309"/>
      <c r="C37057" s="309"/>
      <c r="I37057" s="309"/>
      <c r="J37057" s="309"/>
    </row>
    <row r="37058">
      <c r="B37058" s="309"/>
      <c r="C37058" s="309"/>
      <c r="I37058" s="309"/>
      <c r="J37058" s="309"/>
    </row>
    <row r="37059">
      <c r="B37059" s="309"/>
      <c r="C37059" s="309"/>
      <c r="I37059" s="309"/>
      <c r="J37059" s="309"/>
    </row>
    <row r="37060">
      <c r="B37060" s="309"/>
      <c r="C37060" s="309"/>
      <c r="I37060" s="309"/>
      <c r="J37060" s="309"/>
    </row>
    <row r="37061">
      <c r="B37061" s="309"/>
      <c r="C37061" s="309"/>
      <c r="I37061" s="309"/>
      <c r="J37061" s="309"/>
    </row>
    <row r="37062">
      <c r="B37062" s="309"/>
      <c r="C37062" s="309"/>
      <c r="I37062" s="309"/>
      <c r="J37062" s="309"/>
    </row>
    <row r="37063">
      <c r="B37063" s="309"/>
      <c r="C37063" s="309"/>
      <c r="I37063" s="309"/>
      <c r="J37063" s="309"/>
    </row>
    <row r="37064">
      <c r="B37064" s="309"/>
      <c r="C37064" s="309"/>
      <c r="I37064" s="309"/>
      <c r="J37064" s="309"/>
    </row>
    <row r="37065">
      <c r="B37065" s="309"/>
      <c r="C37065" s="309"/>
      <c r="I37065" s="309"/>
      <c r="J37065" s="309"/>
    </row>
    <row r="37066">
      <c r="B37066" s="309"/>
      <c r="C37066" s="309"/>
      <c r="I37066" s="309"/>
      <c r="J37066" s="309"/>
    </row>
    <row r="37067">
      <c r="B37067" s="309"/>
      <c r="C37067" s="309"/>
      <c r="I37067" s="309"/>
      <c r="J37067" s="309"/>
    </row>
    <row r="37068">
      <c r="B37068" s="309"/>
      <c r="C37068" s="309"/>
      <c r="I37068" s="309"/>
      <c r="J37068" s="309"/>
    </row>
    <row r="37069">
      <c r="B37069" s="309"/>
      <c r="C37069" s="309"/>
      <c r="I37069" s="309"/>
      <c r="J37069" s="309"/>
    </row>
    <row r="37070">
      <c r="B37070" s="309"/>
      <c r="C37070" s="309"/>
      <c r="I37070" s="309"/>
      <c r="J37070" s="309"/>
    </row>
    <row r="37071">
      <c r="B37071" s="309"/>
      <c r="C37071" s="309"/>
      <c r="I37071" s="309"/>
      <c r="J37071" s="309"/>
    </row>
    <row r="37072">
      <c r="B37072" s="309"/>
      <c r="C37072" s="309"/>
      <c r="I37072" s="309"/>
      <c r="J37072" s="309"/>
    </row>
    <row r="37073">
      <c r="B37073" s="309"/>
      <c r="C37073" s="309"/>
      <c r="I37073" s="309"/>
      <c r="J37073" s="309"/>
    </row>
    <row r="37074">
      <c r="B37074" s="309"/>
      <c r="C37074" s="309"/>
      <c r="I37074" s="309"/>
      <c r="J37074" s="309"/>
    </row>
    <row r="37075">
      <c r="B37075" s="309"/>
      <c r="C37075" s="309"/>
      <c r="I37075" s="309"/>
      <c r="J37075" s="309"/>
    </row>
    <row r="37076">
      <c r="B37076" s="309"/>
      <c r="C37076" s="309"/>
      <c r="I37076" s="309"/>
      <c r="J37076" s="309"/>
    </row>
    <row r="37077">
      <c r="B37077" s="309"/>
      <c r="C37077" s="309"/>
      <c r="I37077" s="309"/>
      <c r="J37077" s="309"/>
    </row>
    <row r="37078">
      <c r="B37078" s="309"/>
      <c r="C37078" s="309"/>
      <c r="I37078" s="309"/>
      <c r="J37078" s="309"/>
    </row>
    <row r="37079">
      <c r="B37079" s="309"/>
      <c r="C37079" s="309"/>
      <c r="I37079" s="309"/>
      <c r="J37079" s="309"/>
    </row>
    <row r="37080">
      <c r="B37080" s="309"/>
      <c r="C37080" s="309"/>
      <c r="I37080" s="309"/>
      <c r="J37080" s="309"/>
    </row>
    <row r="37081">
      <c r="B37081" s="309"/>
      <c r="C37081" s="309"/>
      <c r="I37081" s="309"/>
      <c r="J37081" s="309"/>
    </row>
    <row r="37082">
      <c r="B37082" s="309"/>
      <c r="C37082" s="309"/>
      <c r="I37082" s="309"/>
      <c r="J37082" s="309"/>
    </row>
    <row r="37083">
      <c r="B37083" s="309"/>
      <c r="C37083" s="309"/>
      <c r="I37083" s="309"/>
      <c r="J37083" s="309"/>
    </row>
    <row r="37084">
      <c r="B37084" s="309"/>
      <c r="C37084" s="309"/>
      <c r="I37084" s="309"/>
      <c r="J37084" s="309"/>
    </row>
    <row r="37085">
      <c r="B37085" s="309"/>
      <c r="C37085" s="309"/>
      <c r="I37085" s="309"/>
      <c r="J37085" s="309"/>
    </row>
    <row r="37086">
      <c r="B37086" s="309"/>
      <c r="C37086" s="309"/>
      <c r="I37086" s="309"/>
      <c r="J37086" s="309"/>
    </row>
    <row r="37087">
      <c r="B37087" s="309"/>
      <c r="C37087" s="309"/>
      <c r="I37087" s="309"/>
      <c r="J37087" s="309"/>
    </row>
    <row r="37088">
      <c r="B37088" s="309"/>
      <c r="C37088" s="309"/>
      <c r="I37088" s="309"/>
      <c r="J37088" s="309"/>
    </row>
    <row r="37089">
      <c r="B37089" s="309"/>
      <c r="C37089" s="309"/>
      <c r="I37089" s="309"/>
      <c r="J37089" s="309"/>
    </row>
    <row r="37090">
      <c r="B37090" s="309"/>
      <c r="C37090" s="309"/>
      <c r="I37090" s="309"/>
      <c r="J37090" s="309"/>
    </row>
    <row r="37091">
      <c r="B37091" s="309"/>
      <c r="C37091" s="309"/>
      <c r="I37091" s="309"/>
      <c r="J37091" s="309"/>
    </row>
    <row r="37092">
      <c r="B37092" s="309"/>
      <c r="C37092" s="309"/>
      <c r="I37092" s="309"/>
      <c r="J37092" s="309"/>
    </row>
    <row r="37093">
      <c r="B37093" s="309"/>
      <c r="C37093" s="309"/>
      <c r="I37093" s="309"/>
      <c r="J37093" s="309"/>
    </row>
    <row r="37094">
      <c r="B37094" s="309"/>
      <c r="C37094" s="309"/>
      <c r="I37094" s="309"/>
      <c r="J37094" s="309"/>
    </row>
    <row r="37095">
      <c r="B37095" s="309"/>
      <c r="C37095" s="309"/>
      <c r="I37095" s="309"/>
      <c r="J37095" s="309"/>
    </row>
    <row r="37096">
      <c r="B37096" s="309"/>
      <c r="C37096" s="309"/>
      <c r="I37096" s="309"/>
      <c r="J37096" s="309"/>
    </row>
    <row r="37097">
      <c r="B37097" s="309"/>
      <c r="C37097" s="309"/>
      <c r="I37097" s="309"/>
      <c r="J37097" s="309"/>
    </row>
    <row r="37098">
      <c r="B37098" s="309"/>
      <c r="C37098" s="309"/>
      <c r="I37098" s="309"/>
      <c r="J37098" s="309"/>
    </row>
    <row r="37099">
      <c r="B37099" s="309"/>
      <c r="C37099" s="309"/>
      <c r="I37099" s="309"/>
      <c r="J37099" s="309"/>
    </row>
    <row r="37100">
      <c r="B37100" s="309"/>
      <c r="C37100" s="309"/>
      <c r="I37100" s="309"/>
      <c r="J37100" s="309"/>
    </row>
    <row r="37101">
      <c r="B37101" s="309"/>
      <c r="C37101" s="309"/>
      <c r="I37101" s="309"/>
      <c r="J37101" s="309"/>
    </row>
    <row r="37102">
      <c r="B37102" s="309"/>
      <c r="C37102" s="309"/>
      <c r="I37102" s="309"/>
      <c r="J37102" s="309"/>
    </row>
    <row r="37103">
      <c r="B37103" s="309"/>
      <c r="C37103" s="309"/>
      <c r="I37103" s="309"/>
      <c r="J37103" s="309"/>
    </row>
    <row r="37104">
      <c r="B37104" s="309"/>
      <c r="C37104" s="309"/>
      <c r="I37104" s="309"/>
      <c r="J37104" s="309"/>
    </row>
    <row r="37105">
      <c r="B37105" s="309"/>
      <c r="C37105" s="309"/>
      <c r="I37105" s="309"/>
      <c r="J37105" s="309"/>
    </row>
    <row r="37106">
      <c r="B37106" s="309"/>
      <c r="C37106" s="309"/>
      <c r="I37106" s="309"/>
      <c r="J37106" s="309"/>
    </row>
    <row r="37107">
      <c r="B37107" s="309"/>
      <c r="C37107" s="309"/>
      <c r="I37107" s="309"/>
      <c r="J37107" s="309"/>
    </row>
    <row r="37108">
      <c r="B37108" s="309"/>
      <c r="C37108" s="309"/>
      <c r="I37108" s="309"/>
      <c r="J37108" s="309"/>
    </row>
    <row r="37109">
      <c r="B37109" s="309"/>
      <c r="C37109" s="309"/>
      <c r="I37109" s="309"/>
      <c r="J37109" s="309"/>
    </row>
    <row r="37110">
      <c r="B37110" s="309"/>
      <c r="C37110" s="309"/>
      <c r="I37110" s="309"/>
      <c r="J37110" s="309"/>
    </row>
    <row r="37111">
      <c r="B37111" s="309"/>
      <c r="C37111" s="309"/>
      <c r="I37111" s="309"/>
      <c r="J37111" s="309"/>
    </row>
    <row r="37112">
      <c r="B37112" s="309"/>
      <c r="C37112" s="309"/>
      <c r="I37112" s="309"/>
      <c r="J37112" s="309"/>
    </row>
    <row r="37113">
      <c r="B37113" s="309"/>
      <c r="C37113" s="309"/>
      <c r="I37113" s="309"/>
      <c r="J37113" s="309"/>
    </row>
    <row r="37114">
      <c r="B37114" s="309"/>
      <c r="C37114" s="309"/>
      <c r="I37114" s="309"/>
      <c r="J37114" s="309"/>
    </row>
    <row r="37115">
      <c r="B37115" s="309"/>
      <c r="C37115" s="309"/>
      <c r="I37115" s="309"/>
      <c r="J37115" s="309"/>
    </row>
    <row r="37116">
      <c r="B37116" s="309"/>
      <c r="C37116" s="309"/>
      <c r="I37116" s="309"/>
      <c r="J37116" s="309"/>
    </row>
    <row r="37117">
      <c r="B37117" s="309"/>
      <c r="C37117" s="309"/>
      <c r="I37117" s="309"/>
      <c r="J37117" s="309"/>
    </row>
    <row r="37118">
      <c r="B37118" s="309"/>
      <c r="C37118" s="309"/>
      <c r="I37118" s="309"/>
      <c r="J37118" s="309"/>
    </row>
    <row r="37119">
      <c r="B37119" s="309"/>
      <c r="C37119" s="309"/>
      <c r="I37119" s="309"/>
      <c r="J37119" s="309"/>
    </row>
    <row r="37120">
      <c r="B37120" s="309"/>
      <c r="C37120" s="309"/>
      <c r="I37120" s="309"/>
      <c r="J37120" s="309"/>
    </row>
    <row r="37121">
      <c r="B37121" s="309"/>
      <c r="C37121" s="309"/>
      <c r="I37121" s="309"/>
      <c r="J37121" s="309"/>
    </row>
    <row r="37122">
      <c r="B37122" s="309"/>
      <c r="C37122" s="309"/>
      <c r="I37122" s="309"/>
      <c r="J37122" s="309"/>
    </row>
    <row r="37123">
      <c r="B37123" s="309"/>
      <c r="C37123" s="309"/>
      <c r="I37123" s="309"/>
      <c r="J37123" s="309"/>
    </row>
    <row r="37124">
      <c r="B37124" s="309"/>
      <c r="C37124" s="309"/>
      <c r="I37124" s="309"/>
      <c r="J37124" s="309"/>
    </row>
    <row r="37125">
      <c r="B37125" s="309"/>
      <c r="C37125" s="309"/>
      <c r="I37125" s="309"/>
      <c r="J37125" s="309"/>
    </row>
    <row r="37126">
      <c r="B37126" s="309"/>
      <c r="C37126" s="309"/>
      <c r="I37126" s="309"/>
      <c r="J37126" s="309"/>
    </row>
    <row r="37127">
      <c r="B37127" s="309"/>
      <c r="C37127" s="309"/>
      <c r="I37127" s="309"/>
      <c r="J37127" s="309"/>
    </row>
    <row r="37128">
      <c r="B37128" s="309"/>
      <c r="C37128" s="309"/>
      <c r="I37128" s="309"/>
      <c r="J37128" s="309"/>
    </row>
    <row r="37129">
      <c r="B37129" s="309"/>
      <c r="C37129" s="309"/>
      <c r="I37129" s="309"/>
      <c r="J37129" s="309"/>
    </row>
    <row r="37130">
      <c r="B37130" s="309"/>
      <c r="C37130" s="309"/>
      <c r="I37130" s="309"/>
      <c r="J37130" s="309"/>
    </row>
    <row r="37131">
      <c r="B37131" s="309"/>
      <c r="C37131" s="309"/>
      <c r="I37131" s="309"/>
      <c r="J37131" s="309"/>
    </row>
    <row r="37132">
      <c r="B37132" s="309"/>
      <c r="C37132" s="309"/>
      <c r="I37132" s="309"/>
      <c r="J37132" s="309"/>
    </row>
    <row r="37133">
      <c r="B37133" s="309"/>
      <c r="C37133" s="309"/>
      <c r="I37133" s="309"/>
      <c r="J37133" s="309"/>
    </row>
    <row r="37134">
      <c r="B37134" s="309"/>
      <c r="C37134" s="309"/>
      <c r="I37134" s="309"/>
      <c r="J37134" s="309"/>
    </row>
    <row r="37135">
      <c r="B37135" s="309"/>
      <c r="C37135" s="309"/>
      <c r="I37135" s="309"/>
      <c r="J37135" s="309"/>
    </row>
    <row r="37136">
      <c r="B37136" s="309"/>
      <c r="C37136" s="309"/>
      <c r="I37136" s="309"/>
      <c r="J37136" s="309"/>
    </row>
    <row r="37137">
      <c r="B37137" s="309"/>
      <c r="C37137" s="309"/>
      <c r="I37137" s="309"/>
      <c r="J37137" s="309"/>
    </row>
    <row r="37138">
      <c r="B37138" s="309"/>
      <c r="C37138" s="309"/>
      <c r="I37138" s="309"/>
      <c r="J37138" s="309"/>
    </row>
    <row r="37139">
      <c r="B37139" s="309"/>
      <c r="C37139" s="309"/>
      <c r="I37139" s="309"/>
      <c r="J37139" s="309"/>
    </row>
    <row r="37140">
      <c r="B37140" s="309"/>
      <c r="C37140" s="309"/>
      <c r="I37140" s="309"/>
      <c r="J37140" s="309"/>
    </row>
    <row r="37141">
      <c r="B37141" s="309"/>
      <c r="C37141" s="309"/>
      <c r="I37141" s="309"/>
      <c r="J37141" s="309"/>
    </row>
    <row r="37142">
      <c r="B37142" s="309"/>
      <c r="C37142" s="309"/>
      <c r="I37142" s="309"/>
      <c r="J37142" s="309"/>
    </row>
    <row r="37143">
      <c r="B37143" s="309"/>
      <c r="C37143" s="309"/>
      <c r="I37143" s="309"/>
      <c r="J37143" s="309"/>
    </row>
    <row r="37144">
      <c r="B37144" s="309"/>
      <c r="C37144" s="309"/>
      <c r="I37144" s="309"/>
      <c r="J37144" s="309"/>
    </row>
    <row r="37145">
      <c r="B37145" s="309"/>
      <c r="C37145" s="309"/>
      <c r="I37145" s="309"/>
      <c r="J37145" s="309"/>
    </row>
    <row r="37146">
      <c r="B37146" s="309"/>
      <c r="C37146" s="309"/>
      <c r="I37146" s="309"/>
      <c r="J37146" s="309"/>
    </row>
    <row r="37147">
      <c r="B37147" s="309"/>
      <c r="C37147" s="309"/>
      <c r="I37147" s="309"/>
      <c r="J37147" s="309"/>
    </row>
    <row r="37148">
      <c r="B37148" s="309"/>
      <c r="C37148" s="309"/>
      <c r="I37148" s="309"/>
      <c r="J37148" s="309"/>
    </row>
    <row r="37149">
      <c r="B37149" s="309"/>
      <c r="C37149" s="309"/>
      <c r="I37149" s="309"/>
      <c r="J37149" s="309"/>
    </row>
    <row r="37150">
      <c r="B37150" s="309"/>
      <c r="C37150" s="309"/>
      <c r="I37150" s="309"/>
      <c r="J37150" s="309"/>
    </row>
    <row r="37151">
      <c r="B37151" s="309"/>
      <c r="C37151" s="309"/>
      <c r="I37151" s="309"/>
      <c r="J37151" s="309"/>
    </row>
    <row r="37152">
      <c r="B37152" s="309"/>
      <c r="C37152" s="309"/>
      <c r="I37152" s="309"/>
      <c r="J37152" s="309"/>
    </row>
    <row r="37153">
      <c r="B37153" s="309"/>
      <c r="C37153" s="309"/>
      <c r="I37153" s="309"/>
      <c r="J37153" s="309"/>
    </row>
    <row r="37154">
      <c r="B37154" s="309"/>
      <c r="C37154" s="309"/>
      <c r="I37154" s="309"/>
      <c r="J37154" s="309"/>
    </row>
    <row r="37155">
      <c r="B37155" s="309"/>
      <c r="C37155" s="309"/>
      <c r="I37155" s="309"/>
      <c r="J37155" s="309"/>
    </row>
    <row r="37156">
      <c r="B37156" s="309"/>
      <c r="C37156" s="309"/>
      <c r="I37156" s="309"/>
      <c r="J37156" s="309"/>
    </row>
    <row r="37157">
      <c r="B37157" s="309"/>
      <c r="C37157" s="309"/>
      <c r="I37157" s="309"/>
      <c r="J37157" s="309"/>
    </row>
    <row r="37158">
      <c r="B37158" s="309"/>
      <c r="C37158" s="309"/>
      <c r="I37158" s="309"/>
      <c r="J37158" s="309"/>
    </row>
    <row r="37159">
      <c r="B37159" s="309"/>
      <c r="C37159" s="309"/>
      <c r="I37159" s="309"/>
      <c r="J37159" s="309"/>
    </row>
    <row r="37160">
      <c r="B37160" s="309"/>
      <c r="C37160" s="309"/>
      <c r="I37160" s="309"/>
      <c r="J37160" s="309"/>
    </row>
    <row r="37161">
      <c r="B37161" s="309"/>
      <c r="C37161" s="309"/>
      <c r="I37161" s="309"/>
      <c r="J37161" s="309"/>
    </row>
    <row r="37162">
      <c r="B37162" s="309"/>
      <c r="C37162" s="309"/>
      <c r="I37162" s="309"/>
      <c r="J37162" s="309"/>
    </row>
    <row r="37163">
      <c r="B37163" s="309"/>
      <c r="C37163" s="309"/>
      <c r="I37163" s="309"/>
      <c r="J37163" s="309"/>
    </row>
    <row r="37164">
      <c r="B37164" s="309"/>
      <c r="C37164" s="309"/>
      <c r="I37164" s="309"/>
      <c r="J37164" s="309"/>
    </row>
    <row r="37165">
      <c r="B37165" s="309"/>
      <c r="C37165" s="309"/>
      <c r="I37165" s="309"/>
      <c r="J37165" s="309"/>
    </row>
    <row r="37166">
      <c r="B37166" s="309"/>
      <c r="C37166" s="309"/>
      <c r="I37166" s="309"/>
      <c r="J37166" s="309"/>
    </row>
    <row r="37167">
      <c r="B37167" s="309"/>
      <c r="C37167" s="309"/>
      <c r="I37167" s="309"/>
      <c r="J37167" s="309"/>
    </row>
    <row r="37168">
      <c r="B37168" s="309"/>
      <c r="C37168" s="309"/>
      <c r="I37168" s="309"/>
      <c r="J37168" s="309"/>
    </row>
    <row r="37169">
      <c r="B37169" s="309"/>
      <c r="C37169" s="309"/>
      <c r="I37169" s="309"/>
      <c r="J37169" s="309"/>
    </row>
    <row r="37170">
      <c r="B37170" s="309"/>
      <c r="C37170" s="309"/>
      <c r="I37170" s="309"/>
      <c r="J37170" s="309"/>
    </row>
    <row r="37171">
      <c r="B37171" s="309"/>
      <c r="C37171" s="309"/>
      <c r="I37171" s="309"/>
      <c r="J37171" s="309"/>
    </row>
    <row r="37172">
      <c r="B37172" s="309"/>
      <c r="C37172" s="309"/>
      <c r="I37172" s="309"/>
      <c r="J37172" s="309"/>
    </row>
    <row r="37173">
      <c r="B37173" s="309"/>
      <c r="C37173" s="309"/>
      <c r="I37173" s="309"/>
      <c r="J37173" s="309"/>
    </row>
    <row r="37174">
      <c r="B37174" s="309"/>
      <c r="C37174" s="309"/>
      <c r="I37174" s="309"/>
      <c r="J37174" s="309"/>
    </row>
    <row r="37175">
      <c r="B37175" s="309"/>
      <c r="C37175" s="309"/>
      <c r="I37175" s="309"/>
      <c r="J37175" s="309"/>
    </row>
    <row r="37176">
      <c r="B37176" s="309"/>
      <c r="C37176" s="309"/>
      <c r="I37176" s="309"/>
      <c r="J37176" s="309"/>
    </row>
    <row r="37177">
      <c r="B37177" s="309"/>
      <c r="C37177" s="309"/>
      <c r="I37177" s="309"/>
      <c r="J37177" s="309"/>
    </row>
    <row r="37178">
      <c r="B37178" s="309"/>
      <c r="C37178" s="309"/>
      <c r="I37178" s="309"/>
      <c r="J37178" s="309"/>
    </row>
    <row r="37179">
      <c r="B37179" s="309"/>
      <c r="C37179" s="309"/>
      <c r="I37179" s="309"/>
      <c r="J37179" s="309"/>
    </row>
    <row r="37180">
      <c r="B37180" s="309"/>
      <c r="C37180" s="309"/>
      <c r="I37180" s="309"/>
      <c r="J37180" s="309"/>
    </row>
    <row r="37181">
      <c r="B37181" s="309"/>
      <c r="C37181" s="309"/>
      <c r="I37181" s="309"/>
      <c r="J37181" s="309"/>
    </row>
    <row r="37182">
      <c r="B37182" s="309"/>
      <c r="C37182" s="309"/>
      <c r="I37182" s="309"/>
      <c r="J37182" s="309"/>
    </row>
    <row r="37183">
      <c r="B37183" s="309"/>
      <c r="C37183" s="309"/>
      <c r="I37183" s="309"/>
      <c r="J37183" s="309"/>
    </row>
    <row r="37184">
      <c r="B37184" s="309"/>
      <c r="C37184" s="309"/>
      <c r="I37184" s="309"/>
      <c r="J37184" s="309"/>
    </row>
    <row r="37185">
      <c r="B37185" s="309"/>
      <c r="C37185" s="309"/>
      <c r="I37185" s="309"/>
      <c r="J37185" s="309"/>
    </row>
    <row r="37186">
      <c r="B37186" s="309"/>
      <c r="C37186" s="309"/>
      <c r="I37186" s="309"/>
      <c r="J37186" s="309"/>
    </row>
    <row r="37187">
      <c r="B37187" s="309"/>
      <c r="C37187" s="309"/>
      <c r="I37187" s="309"/>
      <c r="J37187" s="309"/>
    </row>
    <row r="37188">
      <c r="B37188" s="309"/>
      <c r="C37188" s="309"/>
      <c r="I37188" s="309"/>
      <c r="J37188" s="309"/>
    </row>
    <row r="37189">
      <c r="B37189" s="309"/>
      <c r="C37189" s="309"/>
      <c r="I37189" s="309"/>
      <c r="J37189" s="309"/>
    </row>
    <row r="37190">
      <c r="B37190" s="309"/>
      <c r="C37190" s="309"/>
      <c r="I37190" s="309"/>
      <c r="J37190" s="309"/>
    </row>
    <row r="37191">
      <c r="B37191" s="309"/>
      <c r="C37191" s="309"/>
      <c r="I37191" s="309"/>
      <c r="J37191" s="309"/>
    </row>
    <row r="37192">
      <c r="B37192" s="309"/>
      <c r="C37192" s="309"/>
      <c r="I37192" s="309"/>
      <c r="J37192" s="309"/>
    </row>
    <row r="37193">
      <c r="B37193" s="309"/>
      <c r="C37193" s="309"/>
      <c r="I37193" s="309"/>
      <c r="J37193" s="309"/>
    </row>
    <row r="37194">
      <c r="B37194" s="309"/>
      <c r="C37194" s="309"/>
      <c r="I37194" s="309"/>
      <c r="J37194" s="309"/>
    </row>
    <row r="37195">
      <c r="B37195" s="309"/>
      <c r="C37195" s="309"/>
      <c r="I37195" s="309"/>
      <c r="J37195" s="309"/>
    </row>
    <row r="37196">
      <c r="B37196" s="309"/>
      <c r="C37196" s="309"/>
      <c r="I37196" s="309"/>
      <c r="J37196" s="309"/>
    </row>
    <row r="37197">
      <c r="B37197" s="309"/>
      <c r="C37197" s="309"/>
      <c r="I37197" s="309"/>
      <c r="J37197" s="309"/>
    </row>
    <row r="37198">
      <c r="B37198" s="309"/>
      <c r="C37198" s="309"/>
      <c r="I37198" s="309"/>
      <c r="J37198" s="309"/>
    </row>
    <row r="37199">
      <c r="B37199" s="309"/>
      <c r="C37199" s="309"/>
      <c r="I37199" s="309"/>
      <c r="J37199" s="309"/>
    </row>
    <row r="37200">
      <c r="B37200" s="309"/>
      <c r="C37200" s="309"/>
      <c r="I37200" s="309"/>
      <c r="J37200" s="309"/>
    </row>
    <row r="37201">
      <c r="B37201" s="309"/>
      <c r="C37201" s="309"/>
      <c r="I37201" s="309"/>
      <c r="J37201" s="309"/>
    </row>
    <row r="37202">
      <c r="B37202" s="309"/>
      <c r="C37202" s="309"/>
      <c r="I37202" s="309"/>
      <c r="J37202" s="309"/>
    </row>
    <row r="37203">
      <c r="B37203" s="309"/>
      <c r="C37203" s="309"/>
      <c r="I37203" s="309"/>
      <c r="J37203" s="309"/>
    </row>
    <row r="37204">
      <c r="B37204" s="309"/>
      <c r="C37204" s="309"/>
      <c r="I37204" s="309"/>
      <c r="J37204" s="309"/>
    </row>
    <row r="37205">
      <c r="B37205" s="309"/>
      <c r="C37205" s="309"/>
      <c r="I37205" s="309"/>
      <c r="J37205" s="309"/>
    </row>
    <row r="37206">
      <c r="B37206" s="309"/>
      <c r="C37206" s="309"/>
      <c r="I37206" s="309"/>
      <c r="J37206" s="309"/>
    </row>
    <row r="37207">
      <c r="B37207" s="309"/>
      <c r="C37207" s="309"/>
      <c r="I37207" s="309"/>
      <c r="J37207" s="309"/>
    </row>
    <row r="37208">
      <c r="B37208" s="309"/>
      <c r="C37208" s="309"/>
      <c r="I37208" s="309"/>
      <c r="J37208" s="309"/>
    </row>
    <row r="37209">
      <c r="B37209" s="309"/>
      <c r="C37209" s="309"/>
      <c r="I37209" s="309"/>
      <c r="J37209" s="309"/>
    </row>
    <row r="37210">
      <c r="B37210" s="309"/>
      <c r="C37210" s="309"/>
      <c r="I37210" s="309"/>
      <c r="J37210" s="309"/>
    </row>
    <row r="37211">
      <c r="B37211" s="309"/>
      <c r="C37211" s="309"/>
      <c r="I37211" s="309"/>
      <c r="J37211" s="309"/>
    </row>
    <row r="37212">
      <c r="B37212" s="309"/>
      <c r="C37212" s="309"/>
      <c r="I37212" s="309"/>
      <c r="J37212" s="309"/>
    </row>
    <row r="37213">
      <c r="B37213" s="309"/>
      <c r="C37213" s="309"/>
      <c r="I37213" s="309"/>
      <c r="J37213" s="309"/>
    </row>
    <row r="37214">
      <c r="B37214" s="309"/>
      <c r="C37214" s="309"/>
      <c r="I37214" s="309"/>
      <c r="J37214" s="309"/>
    </row>
    <row r="37215">
      <c r="B37215" s="309"/>
      <c r="C37215" s="309"/>
      <c r="I37215" s="309"/>
      <c r="J37215" s="309"/>
    </row>
    <row r="37216">
      <c r="B37216" s="309"/>
      <c r="C37216" s="309"/>
      <c r="I37216" s="309"/>
      <c r="J37216" s="309"/>
    </row>
    <row r="37217">
      <c r="B37217" s="309"/>
      <c r="C37217" s="309"/>
      <c r="I37217" s="309"/>
      <c r="J37217" s="309"/>
    </row>
    <row r="37218">
      <c r="B37218" s="309"/>
      <c r="C37218" s="309"/>
      <c r="I37218" s="309"/>
      <c r="J37218" s="309"/>
    </row>
    <row r="37219">
      <c r="B37219" s="309"/>
      <c r="C37219" s="309"/>
      <c r="I37219" s="309"/>
      <c r="J37219" s="309"/>
    </row>
    <row r="37220">
      <c r="B37220" s="309"/>
      <c r="C37220" s="309"/>
      <c r="I37220" s="309"/>
      <c r="J37220" s="309"/>
    </row>
    <row r="37221">
      <c r="B37221" s="309"/>
      <c r="C37221" s="309"/>
      <c r="I37221" s="309"/>
      <c r="J37221" s="309"/>
    </row>
    <row r="37222">
      <c r="B37222" s="309"/>
      <c r="C37222" s="309"/>
      <c r="I37222" s="309"/>
      <c r="J37222" s="309"/>
    </row>
    <row r="37223">
      <c r="B37223" s="309"/>
      <c r="C37223" s="309"/>
      <c r="I37223" s="309"/>
      <c r="J37223" s="309"/>
    </row>
    <row r="37224">
      <c r="B37224" s="309"/>
      <c r="C37224" s="309"/>
      <c r="I37224" s="309"/>
      <c r="J37224" s="309"/>
    </row>
    <row r="37225">
      <c r="B37225" s="309"/>
      <c r="C37225" s="309"/>
      <c r="I37225" s="309"/>
      <c r="J37225" s="309"/>
    </row>
    <row r="37226">
      <c r="B37226" s="309"/>
      <c r="C37226" s="309"/>
      <c r="I37226" s="309"/>
      <c r="J37226" s="309"/>
    </row>
    <row r="37227">
      <c r="B37227" s="309"/>
      <c r="C37227" s="309"/>
      <c r="I37227" s="309"/>
      <c r="J37227" s="309"/>
    </row>
    <row r="37228">
      <c r="B37228" s="309"/>
      <c r="C37228" s="309"/>
      <c r="I37228" s="309"/>
      <c r="J37228" s="309"/>
    </row>
    <row r="37229">
      <c r="B37229" s="309"/>
      <c r="C37229" s="309"/>
      <c r="I37229" s="309"/>
      <c r="J37229" s="309"/>
    </row>
    <row r="37230">
      <c r="B37230" s="309"/>
      <c r="C37230" s="309"/>
      <c r="I37230" s="309"/>
      <c r="J37230" s="309"/>
    </row>
    <row r="37231">
      <c r="B37231" s="309"/>
      <c r="C37231" s="309"/>
      <c r="I37231" s="309"/>
      <c r="J37231" s="309"/>
    </row>
    <row r="37232">
      <c r="B37232" s="309"/>
      <c r="C37232" s="309"/>
      <c r="I37232" s="309"/>
      <c r="J37232" s="309"/>
    </row>
    <row r="37233">
      <c r="B37233" s="309"/>
      <c r="C37233" s="309"/>
      <c r="I37233" s="309"/>
      <c r="J37233" s="309"/>
    </row>
    <row r="37234">
      <c r="B37234" s="309"/>
      <c r="C37234" s="309"/>
      <c r="I37234" s="309"/>
      <c r="J37234" s="309"/>
    </row>
    <row r="37235">
      <c r="B37235" s="309"/>
      <c r="C37235" s="309"/>
      <c r="I37235" s="309"/>
      <c r="J37235" s="309"/>
    </row>
    <row r="37236">
      <c r="B37236" s="309"/>
      <c r="C37236" s="309"/>
      <c r="I37236" s="309"/>
      <c r="J37236" s="309"/>
    </row>
    <row r="37237">
      <c r="B37237" s="309"/>
      <c r="C37237" s="309"/>
      <c r="I37237" s="309"/>
      <c r="J37237" s="309"/>
    </row>
    <row r="37238">
      <c r="B37238" s="309"/>
      <c r="C37238" s="309"/>
      <c r="I37238" s="309"/>
      <c r="J37238" s="309"/>
    </row>
    <row r="37239">
      <c r="B37239" s="309"/>
      <c r="C37239" s="309"/>
      <c r="I37239" s="309"/>
      <c r="J37239" s="309"/>
    </row>
    <row r="37240">
      <c r="B37240" s="309"/>
      <c r="C37240" s="309"/>
      <c r="I37240" s="309"/>
      <c r="J37240" s="309"/>
    </row>
    <row r="37241">
      <c r="B37241" s="309"/>
      <c r="C37241" s="309"/>
      <c r="I37241" s="309"/>
      <c r="J37241" s="309"/>
    </row>
    <row r="37242">
      <c r="B37242" s="309"/>
      <c r="C37242" s="309"/>
      <c r="I37242" s="309"/>
      <c r="J37242" s="309"/>
    </row>
    <row r="37243">
      <c r="B37243" s="309"/>
      <c r="C37243" s="309"/>
      <c r="I37243" s="309"/>
      <c r="J37243" s="309"/>
    </row>
    <row r="37244">
      <c r="B37244" s="309"/>
      <c r="C37244" s="309"/>
      <c r="I37244" s="309"/>
      <c r="J37244" s="309"/>
    </row>
    <row r="37245">
      <c r="B37245" s="309"/>
      <c r="C37245" s="309"/>
      <c r="I37245" s="309"/>
      <c r="J37245" s="309"/>
    </row>
    <row r="37246">
      <c r="B37246" s="309"/>
      <c r="C37246" s="309"/>
      <c r="I37246" s="309"/>
      <c r="J37246" s="309"/>
    </row>
    <row r="37247">
      <c r="B37247" s="309"/>
      <c r="C37247" s="309"/>
      <c r="I37247" s="309"/>
      <c r="J37247" s="309"/>
    </row>
    <row r="37248">
      <c r="B37248" s="309"/>
      <c r="C37248" s="309"/>
      <c r="I37248" s="309"/>
      <c r="J37248" s="309"/>
    </row>
    <row r="37249">
      <c r="B37249" s="309"/>
      <c r="C37249" s="309"/>
      <c r="I37249" s="309"/>
      <c r="J37249" s="309"/>
    </row>
    <row r="37250">
      <c r="B37250" s="309"/>
      <c r="C37250" s="309"/>
      <c r="I37250" s="309"/>
      <c r="J37250" s="309"/>
    </row>
    <row r="37251">
      <c r="B37251" s="309"/>
      <c r="C37251" s="309"/>
      <c r="I37251" s="309"/>
      <c r="J37251" s="309"/>
    </row>
    <row r="37252">
      <c r="B37252" s="309"/>
      <c r="C37252" s="309"/>
      <c r="I37252" s="309"/>
      <c r="J37252" s="309"/>
    </row>
    <row r="37253">
      <c r="B37253" s="309"/>
      <c r="C37253" s="309"/>
      <c r="I37253" s="309"/>
      <c r="J37253" s="309"/>
    </row>
    <row r="37254">
      <c r="B37254" s="309"/>
      <c r="C37254" s="309"/>
      <c r="I37254" s="309"/>
      <c r="J37254" s="309"/>
    </row>
    <row r="37255">
      <c r="B37255" s="309"/>
      <c r="C37255" s="309"/>
      <c r="I37255" s="309"/>
      <c r="J37255" s="309"/>
    </row>
    <row r="37256">
      <c r="B37256" s="309"/>
      <c r="C37256" s="309"/>
      <c r="I37256" s="309"/>
      <c r="J37256" s="309"/>
    </row>
    <row r="37257">
      <c r="B37257" s="309"/>
      <c r="C37257" s="309"/>
      <c r="I37257" s="309"/>
      <c r="J37257" s="309"/>
    </row>
    <row r="37258">
      <c r="B37258" s="309"/>
      <c r="C37258" s="309"/>
      <c r="I37258" s="309"/>
      <c r="J37258" s="309"/>
    </row>
    <row r="37259">
      <c r="B37259" s="309"/>
      <c r="C37259" s="309"/>
      <c r="I37259" s="309"/>
      <c r="J37259" s="309"/>
    </row>
    <row r="37260">
      <c r="B37260" s="309"/>
      <c r="C37260" s="309"/>
      <c r="I37260" s="309"/>
      <c r="J37260" s="309"/>
    </row>
    <row r="37261">
      <c r="B37261" s="309"/>
      <c r="C37261" s="309"/>
      <c r="I37261" s="309"/>
      <c r="J37261" s="309"/>
    </row>
    <row r="37262">
      <c r="B37262" s="309"/>
      <c r="C37262" s="309"/>
      <c r="I37262" s="309"/>
      <c r="J37262" s="309"/>
    </row>
    <row r="37263">
      <c r="B37263" s="309"/>
      <c r="C37263" s="309"/>
      <c r="I37263" s="309"/>
      <c r="J37263" s="309"/>
    </row>
    <row r="37264">
      <c r="B37264" s="309"/>
      <c r="C37264" s="309"/>
      <c r="I37264" s="309"/>
      <c r="J37264" s="309"/>
    </row>
    <row r="37265">
      <c r="B37265" s="309"/>
      <c r="C37265" s="309"/>
      <c r="I37265" s="309"/>
      <c r="J37265" s="309"/>
    </row>
    <row r="37266">
      <c r="B37266" s="309"/>
      <c r="C37266" s="309"/>
      <c r="I37266" s="309"/>
      <c r="J37266" s="309"/>
    </row>
    <row r="37267">
      <c r="B37267" s="309"/>
      <c r="C37267" s="309"/>
      <c r="I37267" s="309"/>
      <c r="J37267" s="309"/>
    </row>
    <row r="37268">
      <c r="B37268" s="309"/>
      <c r="C37268" s="309"/>
      <c r="I37268" s="309"/>
      <c r="J37268" s="309"/>
    </row>
    <row r="37269">
      <c r="B37269" s="309"/>
      <c r="C37269" s="309"/>
      <c r="I37269" s="309"/>
      <c r="J37269" s="309"/>
    </row>
    <row r="37270">
      <c r="B37270" s="309"/>
      <c r="C37270" s="309"/>
      <c r="I37270" s="309"/>
      <c r="J37270" s="309"/>
    </row>
    <row r="37271">
      <c r="B37271" s="309"/>
      <c r="C37271" s="309"/>
      <c r="I37271" s="309"/>
      <c r="J37271" s="309"/>
    </row>
    <row r="37272">
      <c r="B37272" s="309"/>
      <c r="C37272" s="309"/>
      <c r="I37272" s="309"/>
      <c r="J37272" s="309"/>
    </row>
    <row r="37273">
      <c r="B37273" s="309"/>
      <c r="C37273" s="309"/>
      <c r="I37273" s="309"/>
      <c r="J37273" s="309"/>
    </row>
    <row r="37274">
      <c r="B37274" s="309"/>
      <c r="C37274" s="309"/>
      <c r="I37274" s="309"/>
      <c r="J37274" s="309"/>
    </row>
    <row r="37275">
      <c r="B37275" s="309"/>
      <c r="C37275" s="309"/>
      <c r="I37275" s="309"/>
      <c r="J37275" s="309"/>
    </row>
    <row r="37276">
      <c r="B37276" s="309"/>
      <c r="C37276" s="309"/>
      <c r="I37276" s="309"/>
      <c r="J37276" s="309"/>
    </row>
    <row r="37277">
      <c r="B37277" s="309"/>
      <c r="C37277" s="309"/>
      <c r="I37277" s="309"/>
      <c r="J37277" s="309"/>
    </row>
    <row r="37278">
      <c r="B37278" s="309"/>
      <c r="C37278" s="309"/>
      <c r="I37278" s="309"/>
      <c r="J37278" s="309"/>
    </row>
    <row r="37279">
      <c r="B37279" s="309"/>
      <c r="C37279" s="309"/>
      <c r="I37279" s="309"/>
      <c r="J37279" s="309"/>
    </row>
    <row r="37280">
      <c r="B37280" s="309"/>
      <c r="C37280" s="309"/>
      <c r="I37280" s="309"/>
      <c r="J37280" s="309"/>
    </row>
    <row r="37281">
      <c r="B37281" s="309"/>
      <c r="C37281" s="309"/>
      <c r="I37281" s="309"/>
      <c r="J37281" s="309"/>
    </row>
    <row r="37282">
      <c r="B37282" s="309"/>
      <c r="C37282" s="309"/>
      <c r="I37282" s="309"/>
      <c r="J37282" s="309"/>
    </row>
    <row r="37283">
      <c r="B37283" s="309"/>
      <c r="C37283" s="309"/>
      <c r="I37283" s="309"/>
      <c r="J37283" s="309"/>
    </row>
    <row r="37284">
      <c r="B37284" s="309"/>
      <c r="C37284" s="309"/>
      <c r="I37284" s="309"/>
      <c r="J37284" s="309"/>
    </row>
    <row r="37285">
      <c r="B37285" s="309"/>
      <c r="C37285" s="309"/>
      <c r="I37285" s="309"/>
      <c r="J37285" s="309"/>
    </row>
    <row r="37286">
      <c r="B37286" s="309"/>
      <c r="C37286" s="309"/>
      <c r="I37286" s="309"/>
      <c r="J37286" s="309"/>
    </row>
    <row r="37287">
      <c r="B37287" s="309"/>
      <c r="C37287" s="309"/>
      <c r="I37287" s="309"/>
      <c r="J37287" s="309"/>
    </row>
    <row r="37288">
      <c r="B37288" s="309"/>
      <c r="C37288" s="309"/>
      <c r="I37288" s="309"/>
      <c r="J37288" s="309"/>
    </row>
    <row r="37289">
      <c r="B37289" s="309"/>
      <c r="C37289" s="309"/>
      <c r="I37289" s="309"/>
      <c r="J37289" s="309"/>
    </row>
    <row r="37290">
      <c r="B37290" s="309"/>
      <c r="C37290" s="309"/>
      <c r="I37290" s="309"/>
      <c r="J37290" s="309"/>
    </row>
    <row r="37291">
      <c r="B37291" s="309"/>
      <c r="C37291" s="309"/>
      <c r="I37291" s="309"/>
      <c r="J37291" s="309"/>
    </row>
    <row r="37292">
      <c r="B37292" s="309"/>
      <c r="C37292" s="309"/>
      <c r="I37292" s="309"/>
      <c r="J37292" s="309"/>
    </row>
    <row r="37293">
      <c r="B37293" s="309"/>
      <c r="C37293" s="309"/>
      <c r="I37293" s="309"/>
      <c r="J37293" s="309"/>
    </row>
    <row r="37294">
      <c r="B37294" s="309"/>
      <c r="C37294" s="309"/>
      <c r="I37294" s="309"/>
      <c r="J37294" s="309"/>
    </row>
    <row r="37295">
      <c r="B37295" s="309"/>
      <c r="C37295" s="309"/>
      <c r="I37295" s="309"/>
      <c r="J37295" s="309"/>
    </row>
    <row r="37296">
      <c r="B37296" s="309"/>
      <c r="C37296" s="309"/>
      <c r="I37296" s="309"/>
      <c r="J37296" s="309"/>
    </row>
    <row r="37297">
      <c r="B37297" s="309"/>
      <c r="C37297" s="309"/>
      <c r="I37297" s="309"/>
      <c r="J37297" s="309"/>
    </row>
    <row r="37298">
      <c r="B37298" s="309"/>
      <c r="C37298" s="309"/>
      <c r="I37298" s="309"/>
      <c r="J37298" s="309"/>
    </row>
    <row r="37299">
      <c r="B37299" s="309"/>
      <c r="C37299" s="309"/>
      <c r="I37299" s="309"/>
      <c r="J37299" s="309"/>
    </row>
    <row r="37300">
      <c r="B37300" s="309"/>
      <c r="C37300" s="309"/>
      <c r="I37300" s="309"/>
      <c r="J37300" s="309"/>
    </row>
    <row r="37301">
      <c r="B37301" s="309"/>
      <c r="C37301" s="309"/>
      <c r="I37301" s="309"/>
      <c r="J37301" s="309"/>
    </row>
    <row r="37302">
      <c r="B37302" s="309"/>
      <c r="C37302" s="309"/>
      <c r="I37302" s="309"/>
      <c r="J37302" s="309"/>
    </row>
    <row r="37303">
      <c r="B37303" s="309"/>
      <c r="C37303" s="309"/>
      <c r="I37303" s="309"/>
      <c r="J37303" s="309"/>
    </row>
    <row r="37304">
      <c r="B37304" s="309"/>
      <c r="C37304" s="309"/>
      <c r="I37304" s="309"/>
      <c r="J37304" s="309"/>
    </row>
    <row r="37305">
      <c r="B37305" s="309"/>
      <c r="C37305" s="309"/>
      <c r="I37305" s="309"/>
      <c r="J37305" s="309"/>
    </row>
    <row r="37306">
      <c r="B37306" s="309"/>
      <c r="C37306" s="309"/>
      <c r="I37306" s="309"/>
      <c r="J37306" s="309"/>
    </row>
    <row r="37307">
      <c r="B37307" s="309"/>
      <c r="C37307" s="309"/>
      <c r="I37307" s="309"/>
      <c r="J37307" s="309"/>
    </row>
    <row r="37308">
      <c r="B37308" s="309"/>
      <c r="C37308" s="309"/>
      <c r="I37308" s="309"/>
      <c r="J37308" s="309"/>
    </row>
    <row r="37309">
      <c r="B37309" s="309"/>
      <c r="C37309" s="309"/>
      <c r="I37309" s="309"/>
      <c r="J37309" s="309"/>
    </row>
    <row r="37310">
      <c r="B37310" s="309"/>
      <c r="C37310" s="309"/>
      <c r="I37310" s="309"/>
      <c r="J37310" s="309"/>
    </row>
    <row r="37311">
      <c r="B37311" s="309"/>
      <c r="C37311" s="309"/>
      <c r="I37311" s="309"/>
      <c r="J37311" s="309"/>
    </row>
    <row r="37312">
      <c r="B37312" s="309"/>
      <c r="C37312" s="309"/>
      <c r="I37312" s="309"/>
      <c r="J37312" s="309"/>
    </row>
    <row r="37313">
      <c r="B37313" s="309"/>
      <c r="C37313" s="309"/>
      <c r="I37313" s="309"/>
      <c r="J37313" s="309"/>
    </row>
    <row r="37314">
      <c r="B37314" s="309"/>
      <c r="C37314" s="309"/>
      <c r="I37314" s="309"/>
      <c r="J37314" s="309"/>
    </row>
    <row r="37315">
      <c r="B37315" s="309"/>
      <c r="C37315" s="309"/>
      <c r="I37315" s="309"/>
      <c r="J37315" s="309"/>
    </row>
    <row r="37316">
      <c r="B37316" s="309"/>
      <c r="C37316" s="309"/>
      <c r="I37316" s="309"/>
      <c r="J37316" s="309"/>
    </row>
    <row r="37317">
      <c r="B37317" s="309"/>
      <c r="C37317" s="309"/>
      <c r="I37317" s="309"/>
      <c r="J37317" s="309"/>
    </row>
    <row r="37318">
      <c r="B37318" s="309"/>
      <c r="C37318" s="309"/>
      <c r="I37318" s="309"/>
      <c r="J37318" s="309"/>
    </row>
    <row r="37319">
      <c r="B37319" s="309"/>
      <c r="C37319" s="309"/>
      <c r="I37319" s="309"/>
      <c r="J37319" s="309"/>
    </row>
    <row r="37320">
      <c r="B37320" s="309"/>
      <c r="C37320" s="309"/>
      <c r="I37320" s="309"/>
      <c r="J37320" s="309"/>
    </row>
    <row r="37321">
      <c r="B37321" s="309"/>
      <c r="C37321" s="309"/>
      <c r="I37321" s="309"/>
      <c r="J37321" s="309"/>
    </row>
    <row r="37322">
      <c r="B37322" s="309"/>
      <c r="C37322" s="309"/>
      <c r="I37322" s="309"/>
      <c r="J37322" s="309"/>
    </row>
    <row r="37323">
      <c r="B37323" s="309"/>
      <c r="C37323" s="309"/>
      <c r="I37323" s="309"/>
      <c r="J37323" s="309"/>
    </row>
    <row r="37324">
      <c r="B37324" s="309"/>
      <c r="C37324" s="309"/>
      <c r="I37324" s="309"/>
      <c r="J37324" s="309"/>
    </row>
    <row r="37325">
      <c r="B37325" s="309"/>
      <c r="C37325" s="309"/>
      <c r="I37325" s="309"/>
      <c r="J37325" s="309"/>
    </row>
    <row r="37326">
      <c r="B37326" s="309"/>
      <c r="C37326" s="309"/>
      <c r="I37326" s="309"/>
      <c r="J37326" s="309"/>
    </row>
    <row r="37327">
      <c r="B37327" s="309"/>
      <c r="C37327" s="309"/>
      <c r="I37327" s="309"/>
      <c r="J37327" s="309"/>
    </row>
    <row r="37328">
      <c r="B37328" s="309"/>
      <c r="C37328" s="309"/>
      <c r="I37328" s="309"/>
      <c r="J37328" s="309"/>
    </row>
    <row r="37329">
      <c r="B37329" s="309"/>
      <c r="C37329" s="309"/>
      <c r="I37329" s="309"/>
      <c r="J37329" s="309"/>
    </row>
    <row r="37330">
      <c r="B37330" s="309"/>
      <c r="C37330" s="309"/>
      <c r="I37330" s="309"/>
      <c r="J37330" s="309"/>
    </row>
    <row r="37331">
      <c r="B37331" s="309"/>
      <c r="C37331" s="309"/>
      <c r="I37331" s="309"/>
      <c r="J37331" s="309"/>
    </row>
    <row r="37332">
      <c r="B37332" s="309"/>
      <c r="C37332" s="309"/>
      <c r="I37332" s="309"/>
      <c r="J37332" s="309"/>
    </row>
    <row r="37333">
      <c r="B37333" s="309"/>
      <c r="C37333" s="309"/>
      <c r="I37333" s="309"/>
      <c r="J37333" s="309"/>
    </row>
    <row r="37334">
      <c r="B37334" s="309"/>
      <c r="C37334" s="309"/>
      <c r="I37334" s="309"/>
      <c r="J37334" s="309"/>
    </row>
    <row r="37335">
      <c r="B37335" s="309"/>
      <c r="C37335" s="309"/>
      <c r="I37335" s="309"/>
      <c r="J37335" s="309"/>
    </row>
    <row r="37336">
      <c r="B37336" s="309"/>
      <c r="C37336" s="309"/>
      <c r="I37336" s="309"/>
      <c r="J37336" s="309"/>
    </row>
    <row r="37337">
      <c r="B37337" s="309"/>
      <c r="C37337" s="309"/>
      <c r="I37337" s="309"/>
      <c r="J37337" s="309"/>
    </row>
    <row r="37338">
      <c r="B37338" s="309"/>
      <c r="C37338" s="309"/>
      <c r="I37338" s="309"/>
      <c r="J37338" s="309"/>
    </row>
    <row r="37339">
      <c r="B37339" s="309"/>
      <c r="C37339" s="309"/>
      <c r="I37339" s="309"/>
      <c r="J37339" s="309"/>
    </row>
    <row r="37340">
      <c r="B37340" s="309"/>
      <c r="C37340" s="309"/>
      <c r="I37340" s="309"/>
      <c r="J37340" s="309"/>
    </row>
    <row r="37341">
      <c r="B37341" s="309"/>
      <c r="C37341" s="309"/>
      <c r="I37341" s="309"/>
      <c r="J37341" s="309"/>
    </row>
    <row r="37342">
      <c r="B37342" s="309"/>
      <c r="C37342" s="309"/>
      <c r="I37342" s="309"/>
      <c r="J37342" s="309"/>
    </row>
    <row r="37343">
      <c r="B37343" s="309"/>
      <c r="C37343" s="309"/>
      <c r="I37343" s="309"/>
      <c r="J37343" s="309"/>
    </row>
    <row r="37344">
      <c r="B37344" s="309"/>
      <c r="C37344" s="309"/>
      <c r="I37344" s="309"/>
      <c r="J37344" s="309"/>
    </row>
    <row r="37345">
      <c r="B37345" s="309"/>
      <c r="C37345" s="309"/>
      <c r="I37345" s="309"/>
      <c r="J37345" s="309"/>
    </row>
    <row r="37346">
      <c r="B37346" s="309"/>
      <c r="C37346" s="309"/>
      <c r="I37346" s="309"/>
      <c r="J37346" s="309"/>
    </row>
    <row r="37347">
      <c r="B37347" s="309"/>
      <c r="C37347" s="309"/>
      <c r="I37347" s="309"/>
      <c r="J37347" s="309"/>
    </row>
    <row r="37348">
      <c r="B37348" s="309"/>
      <c r="C37348" s="309"/>
      <c r="I37348" s="309"/>
      <c r="J37348" s="309"/>
    </row>
    <row r="37349">
      <c r="B37349" s="309"/>
      <c r="C37349" s="309"/>
      <c r="I37349" s="309"/>
      <c r="J37349" s="309"/>
    </row>
    <row r="37350">
      <c r="B37350" s="309"/>
      <c r="C37350" s="309"/>
      <c r="I37350" s="309"/>
      <c r="J37350" s="309"/>
    </row>
    <row r="37351">
      <c r="B37351" s="309"/>
      <c r="C37351" s="309"/>
      <c r="I37351" s="309"/>
      <c r="J37351" s="309"/>
    </row>
    <row r="37352">
      <c r="B37352" s="309"/>
      <c r="C37352" s="309"/>
      <c r="I37352" s="309"/>
      <c r="J37352" s="309"/>
    </row>
    <row r="37353">
      <c r="B37353" s="309"/>
      <c r="C37353" s="309"/>
      <c r="I37353" s="309"/>
      <c r="J37353" s="309"/>
    </row>
    <row r="37354">
      <c r="B37354" s="309"/>
      <c r="C37354" s="309"/>
      <c r="I37354" s="309"/>
      <c r="J37354" s="309"/>
    </row>
    <row r="37355">
      <c r="B37355" s="309"/>
      <c r="C37355" s="309"/>
      <c r="I37355" s="309"/>
      <c r="J37355" s="309"/>
    </row>
    <row r="37356">
      <c r="B37356" s="309"/>
      <c r="C37356" s="309"/>
      <c r="I37356" s="309"/>
      <c r="J37356" s="309"/>
    </row>
    <row r="37357">
      <c r="B37357" s="309"/>
      <c r="C37357" s="309"/>
      <c r="I37357" s="309"/>
      <c r="J37357" s="309"/>
    </row>
    <row r="37358">
      <c r="B37358" s="309"/>
      <c r="C37358" s="309"/>
      <c r="I37358" s="309"/>
      <c r="J37358" s="309"/>
    </row>
    <row r="37359">
      <c r="B37359" s="309"/>
      <c r="C37359" s="309"/>
      <c r="I37359" s="309"/>
      <c r="J37359" s="309"/>
    </row>
    <row r="37360">
      <c r="B37360" s="309"/>
      <c r="C37360" s="309"/>
      <c r="I37360" s="309"/>
      <c r="J37360" s="309"/>
    </row>
    <row r="37361">
      <c r="B37361" s="309"/>
      <c r="C37361" s="309"/>
      <c r="I37361" s="309"/>
      <c r="J37361" s="309"/>
    </row>
    <row r="37362">
      <c r="B37362" s="309"/>
      <c r="C37362" s="309"/>
      <c r="I37362" s="309"/>
      <c r="J37362" s="309"/>
    </row>
    <row r="37363">
      <c r="B37363" s="309"/>
      <c r="C37363" s="309"/>
      <c r="I37363" s="309"/>
      <c r="J37363" s="309"/>
    </row>
    <row r="37364">
      <c r="B37364" s="309"/>
      <c r="C37364" s="309"/>
      <c r="I37364" s="309"/>
      <c r="J37364" s="309"/>
    </row>
    <row r="37365">
      <c r="B37365" s="309"/>
      <c r="C37365" s="309"/>
      <c r="I37365" s="309"/>
      <c r="J37365" s="309"/>
    </row>
    <row r="37366">
      <c r="B37366" s="309"/>
      <c r="C37366" s="309"/>
      <c r="I37366" s="309"/>
      <c r="J37366" s="309"/>
    </row>
    <row r="37367">
      <c r="B37367" s="309"/>
      <c r="C37367" s="309"/>
      <c r="I37367" s="309"/>
      <c r="J37367" s="309"/>
    </row>
    <row r="37368">
      <c r="B37368" s="309"/>
      <c r="C37368" s="309"/>
      <c r="I37368" s="309"/>
      <c r="J37368" s="309"/>
    </row>
    <row r="37369">
      <c r="B37369" s="309"/>
      <c r="C37369" s="309"/>
      <c r="I37369" s="309"/>
      <c r="J37369" s="309"/>
    </row>
    <row r="37370">
      <c r="B37370" s="309"/>
      <c r="C37370" s="309"/>
      <c r="I37370" s="309"/>
      <c r="J37370" s="309"/>
    </row>
    <row r="37371">
      <c r="B37371" s="309"/>
      <c r="C37371" s="309"/>
      <c r="I37371" s="309"/>
      <c r="J37371" s="309"/>
    </row>
    <row r="37372">
      <c r="B37372" s="309"/>
      <c r="C37372" s="309"/>
      <c r="I37372" s="309"/>
      <c r="J37372" s="309"/>
    </row>
    <row r="37373">
      <c r="B37373" s="309"/>
      <c r="C37373" s="309"/>
      <c r="I37373" s="309"/>
      <c r="J37373" s="309"/>
    </row>
    <row r="37374">
      <c r="B37374" s="309"/>
      <c r="C37374" s="309"/>
      <c r="I37374" s="309"/>
      <c r="J37374" s="309"/>
    </row>
    <row r="37375">
      <c r="B37375" s="309"/>
      <c r="C37375" s="309"/>
      <c r="I37375" s="309"/>
      <c r="J37375" s="309"/>
    </row>
    <row r="37376">
      <c r="B37376" s="309"/>
      <c r="C37376" s="309"/>
      <c r="I37376" s="309"/>
      <c r="J37376" s="309"/>
    </row>
    <row r="37377">
      <c r="B37377" s="309"/>
      <c r="C37377" s="309"/>
      <c r="I37377" s="309"/>
      <c r="J37377" s="309"/>
    </row>
    <row r="37378">
      <c r="B37378" s="309"/>
      <c r="C37378" s="309"/>
      <c r="I37378" s="309"/>
      <c r="J37378" s="309"/>
    </row>
    <row r="37379">
      <c r="B37379" s="309"/>
      <c r="C37379" s="309"/>
      <c r="I37379" s="309"/>
      <c r="J37379" s="309"/>
    </row>
    <row r="37380">
      <c r="B37380" s="309"/>
      <c r="C37380" s="309"/>
      <c r="I37380" s="309"/>
      <c r="J37380" s="309"/>
    </row>
    <row r="37381">
      <c r="B37381" s="309"/>
      <c r="C37381" s="309"/>
      <c r="I37381" s="309"/>
      <c r="J37381" s="309"/>
    </row>
    <row r="37382">
      <c r="B37382" s="309"/>
      <c r="C37382" s="309"/>
      <c r="I37382" s="309"/>
      <c r="J37382" s="309"/>
    </row>
    <row r="37383">
      <c r="B37383" s="309"/>
      <c r="C37383" s="309"/>
      <c r="I37383" s="309"/>
      <c r="J37383" s="309"/>
    </row>
    <row r="37384">
      <c r="B37384" s="309"/>
      <c r="C37384" s="309"/>
      <c r="I37384" s="309"/>
      <c r="J37384" s="309"/>
    </row>
    <row r="37385">
      <c r="B37385" s="309"/>
      <c r="C37385" s="309"/>
      <c r="I37385" s="309"/>
      <c r="J37385" s="309"/>
    </row>
    <row r="37386">
      <c r="B37386" s="309"/>
      <c r="C37386" s="309"/>
      <c r="I37386" s="309"/>
      <c r="J37386" s="309"/>
    </row>
    <row r="37387">
      <c r="B37387" s="309"/>
      <c r="C37387" s="309"/>
      <c r="I37387" s="309"/>
      <c r="J37387" s="309"/>
    </row>
    <row r="37388">
      <c r="B37388" s="309"/>
      <c r="C37388" s="309"/>
      <c r="I37388" s="309"/>
      <c r="J37388" s="309"/>
    </row>
    <row r="37389">
      <c r="B37389" s="309"/>
      <c r="C37389" s="309"/>
      <c r="I37389" s="309"/>
      <c r="J37389" s="309"/>
    </row>
    <row r="37390">
      <c r="B37390" s="309"/>
      <c r="C37390" s="309"/>
      <c r="I37390" s="309"/>
      <c r="J37390" s="309"/>
    </row>
    <row r="37391">
      <c r="B37391" s="309"/>
      <c r="C37391" s="309"/>
      <c r="I37391" s="309"/>
      <c r="J37391" s="309"/>
    </row>
    <row r="37392">
      <c r="B37392" s="309"/>
      <c r="C37392" s="309"/>
      <c r="I37392" s="309"/>
      <c r="J37392" s="309"/>
    </row>
    <row r="37393">
      <c r="B37393" s="309"/>
      <c r="C37393" s="309"/>
      <c r="I37393" s="309"/>
      <c r="J37393" s="309"/>
    </row>
    <row r="37394">
      <c r="B37394" s="309"/>
      <c r="C37394" s="309"/>
      <c r="I37394" s="309"/>
      <c r="J37394" s="309"/>
    </row>
    <row r="37395">
      <c r="B37395" s="309"/>
      <c r="C37395" s="309"/>
      <c r="I37395" s="309"/>
      <c r="J37395" s="309"/>
    </row>
    <row r="37396">
      <c r="B37396" s="309"/>
      <c r="C37396" s="309"/>
      <c r="I37396" s="309"/>
      <c r="J37396" s="309"/>
    </row>
    <row r="37397">
      <c r="B37397" s="309"/>
      <c r="C37397" s="309"/>
      <c r="I37397" s="309"/>
      <c r="J37397" s="309"/>
    </row>
    <row r="37398">
      <c r="B37398" s="309"/>
      <c r="C37398" s="309"/>
      <c r="I37398" s="309"/>
      <c r="J37398" s="309"/>
    </row>
    <row r="37399">
      <c r="B37399" s="309"/>
      <c r="C37399" s="309"/>
      <c r="I37399" s="309"/>
      <c r="J37399" s="309"/>
    </row>
    <row r="37400">
      <c r="B37400" s="309"/>
      <c r="C37400" s="309"/>
      <c r="I37400" s="309"/>
      <c r="J37400" s="309"/>
    </row>
    <row r="37401">
      <c r="B37401" s="309"/>
      <c r="C37401" s="309"/>
      <c r="I37401" s="309"/>
      <c r="J37401" s="309"/>
    </row>
    <row r="37402">
      <c r="B37402" s="309"/>
      <c r="C37402" s="309"/>
      <c r="I37402" s="309"/>
      <c r="J37402" s="309"/>
    </row>
    <row r="37403">
      <c r="B37403" s="309"/>
      <c r="C37403" s="309"/>
      <c r="I37403" s="309"/>
      <c r="J37403" s="309"/>
    </row>
    <row r="37404">
      <c r="B37404" s="309"/>
      <c r="C37404" s="309"/>
      <c r="I37404" s="309"/>
      <c r="J37404" s="309"/>
    </row>
    <row r="37405">
      <c r="B37405" s="309"/>
      <c r="C37405" s="309"/>
      <c r="I37405" s="309"/>
      <c r="J37405" s="309"/>
    </row>
    <row r="37406">
      <c r="B37406" s="309"/>
      <c r="C37406" s="309"/>
      <c r="I37406" s="309"/>
      <c r="J37406" s="309"/>
    </row>
    <row r="37407">
      <c r="B37407" s="309"/>
      <c r="C37407" s="309"/>
      <c r="I37407" s="309"/>
      <c r="J37407" s="309"/>
    </row>
    <row r="37408">
      <c r="B37408" s="309"/>
      <c r="C37408" s="309"/>
      <c r="I37408" s="309"/>
      <c r="J37408" s="309"/>
    </row>
    <row r="37409">
      <c r="B37409" s="309"/>
      <c r="C37409" s="309"/>
      <c r="I37409" s="309"/>
      <c r="J37409" s="309"/>
    </row>
    <row r="37410">
      <c r="B37410" s="309"/>
      <c r="C37410" s="309"/>
      <c r="I37410" s="309"/>
      <c r="J37410" s="309"/>
    </row>
    <row r="37411">
      <c r="B37411" s="309"/>
      <c r="C37411" s="309"/>
      <c r="I37411" s="309"/>
      <c r="J37411" s="309"/>
    </row>
    <row r="37412">
      <c r="B37412" s="309"/>
      <c r="C37412" s="309"/>
      <c r="I37412" s="309"/>
      <c r="J37412" s="309"/>
    </row>
    <row r="37413">
      <c r="B37413" s="309"/>
      <c r="C37413" s="309"/>
      <c r="I37413" s="309"/>
      <c r="J37413" s="309"/>
    </row>
    <row r="37414">
      <c r="B37414" s="309"/>
      <c r="C37414" s="309"/>
      <c r="I37414" s="309"/>
      <c r="J37414" s="309"/>
    </row>
    <row r="37415">
      <c r="B37415" s="309"/>
      <c r="C37415" s="309"/>
      <c r="I37415" s="309"/>
      <c r="J37415" s="309"/>
    </row>
    <row r="37416">
      <c r="B37416" s="309"/>
      <c r="C37416" s="309"/>
      <c r="I37416" s="309"/>
      <c r="J37416" s="309"/>
    </row>
    <row r="37417">
      <c r="B37417" s="309"/>
      <c r="C37417" s="309"/>
      <c r="I37417" s="309"/>
      <c r="J37417" s="309"/>
    </row>
    <row r="37418">
      <c r="B37418" s="309"/>
      <c r="C37418" s="309"/>
      <c r="I37418" s="309"/>
      <c r="J37418" s="309"/>
    </row>
    <row r="37419">
      <c r="B37419" s="309"/>
      <c r="C37419" s="309"/>
      <c r="I37419" s="309"/>
      <c r="J37419" s="309"/>
    </row>
    <row r="37420">
      <c r="B37420" s="309"/>
      <c r="C37420" s="309"/>
      <c r="I37420" s="309"/>
      <c r="J37420" s="309"/>
    </row>
    <row r="37421">
      <c r="B37421" s="309"/>
      <c r="C37421" s="309"/>
      <c r="I37421" s="309"/>
      <c r="J37421" s="309"/>
    </row>
    <row r="37422">
      <c r="B37422" s="309"/>
      <c r="C37422" s="309"/>
      <c r="I37422" s="309"/>
      <c r="J37422" s="309"/>
    </row>
    <row r="37423">
      <c r="B37423" s="309"/>
      <c r="C37423" s="309"/>
      <c r="I37423" s="309"/>
      <c r="J37423" s="309"/>
    </row>
    <row r="37424">
      <c r="B37424" s="309"/>
      <c r="C37424" s="309"/>
      <c r="I37424" s="309"/>
      <c r="J37424" s="309"/>
    </row>
    <row r="37425">
      <c r="B37425" s="309"/>
      <c r="C37425" s="309"/>
      <c r="I37425" s="309"/>
      <c r="J37425" s="309"/>
    </row>
    <row r="37426">
      <c r="B37426" s="309"/>
      <c r="C37426" s="309"/>
      <c r="I37426" s="309"/>
      <c r="J37426" s="309"/>
    </row>
    <row r="37427">
      <c r="B37427" s="309"/>
      <c r="C37427" s="309"/>
      <c r="I37427" s="309"/>
      <c r="J37427" s="309"/>
    </row>
    <row r="37428">
      <c r="B37428" s="309"/>
      <c r="C37428" s="309"/>
      <c r="I37428" s="309"/>
      <c r="J37428" s="309"/>
    </row>
    <row r="37429">
      <c r="B37429" s="309"/>
      <c r="C37429" s="309"/>
      <c r="I37429" s="309"/>
      <c r="J37429" s="309"/>
    </row>
    <row r="37430">
      <c r="B37430" s="309"/>
      <c r="C37430" s="309"/>
      <c r="I37430" s="309"/>
      <c r="J37430" s="309"/>
    </row>
    <row r="37431">
      <c r="B37431" s="309"/>
      <c r="C37431" s="309"/>
      <c r="I37431" s="309"/>
      <c r="J37431" s="309"/>
    </row>
    <row r="37432">
      <c r="B37432" s="309"/>
      <c r="C37432" s="309"/>
      <c r="I37432" s="309"/>
      <c r="J37432" s="309"/>
    </row>
    <row r="37433">
      <c r="B37433" s="309"/>
      <c r="C37433" s="309"/>
      <c r="I37433" s="309"/>
      <c r="J37433" s="309"/>
    </row>
    <row r="37434">
      <c r="B37434" s="309"/>
      <c r="C37434" s="309"/>
      <c r="I37434" s="309"/>
      <c r="J37434" s="309"/>
    </row>
    <row r="37435">
      <c r="B37435" s="309"/>
      <c r="C37435" s="309"/>
      <c r="I37435" s="309"/>
      <c r="J37435" s="309"/>
    </row>
    <row r="37436">
      <c r="B37436" s="309"/>
      <c r="C37436" s="309"/>
      <c r="I37436" s="309"/>
      <c r="J37436" s="309"/>
    </row>
    <row r="37437">
      <c r="B37437" s="309"/>
      <c r="C37437" s="309"/>
      <c r="I37437" s="309"/>
      <c r="J37437" s="309"/>
    </row>
    <row r="37438">
      <c r="B37438" s="309"/>
      <c r="C37438" s="309"/>
      <c r="I37438" s="309"/>
      <c r="J37438" s="309"/>
    </row>
    <row r="37439">
      <c r="B37439" s="309"/>
      <c r="C37439" s="309"/>
      <c r="I37439" s="309"/>
      <c r="J37439" s="309"/>
    </row>
    <row r="37440">
      <c r="B37440" s="309"/>
      <c r="C37440" s="309"/>
      <c r="I37440" s="309"/>
      <c r="J37440" s="309"/>
    </row>
    <row r="37441">
      <c r="B37441" s="309"/>
      <c r="C37441" s="309"/>
      <c r="I37441" s="309"/>
      <c r="J37441" s="309"/>
    </row>
    <row r="37442">
      <c r="B37442" s="309"/>
      <c r="C37442" s="309"/>
      <c r="I37442" s="309"/>
      <c r="J37442" s="309"/>
    </row>
    <row r="37443">
      <c r="B37443" s="309"/>
      <c r="C37443" s="309"/>
      <c r="I37443" s="309"/>
      <c r="J37443" s="309"/>
    </row>
    <row r="37444">
      <c r="B37444" s="309"/>
      <c r="C37444" s="309"/>
      <c r="I37444" s="309"/>
      <c r="J37444" s="309"/>
    </row>
    <row r="37445">
      <c r="B37445" s="309"/>
      <c r="C37445" s="309"/>
      <c r="I37445" s="309"/>
      <c r="J37445" s="309"/>
    </row>
    <row r="37446">
      <c r="B37446" s="309"/>
      <c r="C37446" s="309"/>
      <c r="I37446" s="309"/>
      <c r="J37446" s="309"/>
    </row>
    <row r="37447">
      <c r="B37447" s="309"/>
      <c r="C37447" s="309"/>
      <c r="I37447" s="309"/>
      <c r="J37447" s="309"/>
    </row>
    <row r="37448">
      <c r="B37448" s="309"/>
      <c r="C37448" s="309"/>
      <c r="I37448" s="309"/>
      <c r="J37448" s="309"/>
    </row>
    <row r="37449">
      <c r="B37449" s="309"/>
      <c r="C37449" s="309"/>
      <c r="I37449" s="309"/>
      <c r="J37449" s="309"/>
    </row>
    <row r="37450">
      <c r="B37450" s="309"/>
      <c r="C37450" s="309"/>
      <c r="I37450" s="309"/>
      <c r="J37450" s="309"/>
    </row>
    <row r="37451">
      <c r="B37451" s="309"/>
      <c r="C37451" s="309"/>
      <c r="I37451" s="309"/>
      <c r="J37451" s="309"/>
    </row>
    <row r="37452">
      <c r="B37452" s="309"/>
      <c r="C37452" s="309"/>
      <c r="I37452" s="309"/>
      <c r="J37452" s="309"/>
    </row>
    <row r="37453">
      <c r="B37453" s="309"/>
      <c r="C37453" s="309"/>
      <c r="I37453" s="309"/>
      <c r="J37453" s="309"/>
    </row>
    <row r="37454">
      <c r="B37454" s="309"/>
      <c r="C37454" s="309"/>
      <c r="I37454" s="309"/>
      <c r="J37454" s="309"/>
    </row>
    <row r="37455">
      <c r="B37455" s="309"/>
      <c r="C37455" s="309"/>
      <c r="I37455" s="309"/>
      <c r="J37455" s="309"/>
    </row>
    <row r="37456">
      <c r="B37456" s="309"/>
      <c r="C37456" s="309"/>
      <c r="I37456" s="309"/>
      <c r="J37456" s="309"/>
    </row>
    <row r="37457">
      <c r="B37457" s="309"/>
      <c r="C37457" s="309"/>
      <c r="I37457" s="309"/>
      <c r="J37457" s="309"/>
    </row>
    <row r="37458">
      <c r="B37458" s="309"/>
      <c r="C37458" s="309"/>
      <c r="I37458" s="309"/>
      <c r="J37458" s="309"/>
    </row>
    <row r="37459">
      <c r="B37459" s="309"/>
      <c r="C37459" s="309"/>
      <c r="I37459" s="309"/>
      <c r="J37459" s="309"/>
    </row>
    <row r="37460">
      <c r="B37460" s="309"/>
      <c r="C37460" s="309"/>
      <c r="I37460" s="309"/>
      <c r="J37460" s="309"/>
    </row>
    <row r="37461">
      <c r="B37461" s="309"/>
      <c r="C37461" s="309"/>
      <c r="I37461" s="309"/>
      <c r="J37461" s="309"/>
    </row>
    <row r="37462">
      <c r="B37462" s="309"/>
      <c r="C37462" s="309"/>
      <c r="I37462" s="309"/>
      <c r="J37462" s="309"/>
    </row>
    <row r="37463">
      <c r="B37463" s="309"/>
      <c r="C37463" s="309"/>
      <c r="I37463" s="309"/>
      <c r="J37463" s="309"/>
    </row>
    <row r="37464">
      <c r="B37464" s="309"/>
      <c r="C37464" s="309"/>
      <c r="I37464" s="309"/>
      <c r="J37464" s="309"/>
    </row>
    <row r="37465">
      <c r="B37465" s="309"/>
      <c r="C37465" s="309"/>
      <c r="I37465" s="309"/>
      <c r="J37465" s="309"/>
    </row>
    <row r="37466">
      <c r="B37466" s="309"/>
      <c r="C37466" s="309"/>
      <c r="I37466" s="309"/>
      <c r="J37466" s="309"/>
    </row>
    <row r="37467">
      <c r="B37467" s="309"/>
      <c r="C37467" s="309"/>
      <c r="I37467" s="309"/>
      <c r="J37467" s="309"/>
    </row>
    <row r="37468">
      <c r="B37468" s="309"/>
      <c r="C37468" s="309"/>
      <c r="I37468" s="309"/>
      <c r="J37468" s="309"/>
    </row>
    <row r="37469">
      <c r="B37469" s="309"/>
      <c r="C37469" s="309"/>
      <c r="I37469" s="309"/>
      <c r="J37469" s="309"/>
    </row>
    <row r="37470">
      <c r="B37470" s="309"/>
      <c r="C37470" s="309"/>
      <c r="I37470" s="309"/>
      <c r="J37470" s="309"/>
    </row>
    <row r="37471">
      <c r="B37471" s="309"/>
      <c r="C37471" s="309"/>
      <c r="I37471" s="309"/>
      <c r="J37471" s="309"/>
    </row>
    <row r="37472">
      <c r="B37472" s="309"/>
      <c r="C37472" s="309"/>
      <c r="I37472" s="309"/>
      <c r="J37472" s="309"/>
    </row>
    <row r="37473">
      <c r="B37473" s="309"/>
      <c r="C37473" s="309"/>
      <c r="I37473" s="309"/>
      <c r="J37473" s="309"/>
    </row>
    <row r="37474">
      <c r="B37474" s="309"/>
      <c r="C37474" s="309"/>
      <c r="I37474" s="309"/>
      <c r="J37474" s="309"/>
    </row>
    <row r="37475">
      <c r="B37475" s="309"/>
      <c r="C37475" s="309"/>
      <c r="I37475" s="309"/>
      <c r="J37475" s="309"/>
    </row>
    <row r="37476">
      <c r="B37476" s="309"/>
      <c r="C37476" s="309"/>
      <c r="I37476" s="309"/>
      <c r="J37476" s="309"/>
    </row>
    <row r="37477">
      <c r="B37477" s="309"/>
      <c r="C37477" s="309"/>
      <c r="I37477" s="309"/>
      <c r="J37477" s="309"/>
    </row>
    <row r="37478">
      <c r="B37478" s="309"/>
      <c r="C37478" s="309"/>
      <c r="I37478" s="309"/>
      <c r="J37478" s="309"/>
    </row>
    <row r="37479">
      <c r="B37479" s="309"/>
      <c r="C37479" s="309"/>
      <c r="I37479" s="309"/>
      <c r="J37479" s="309"/>
    </row>
    <row r="37480">
      <c r="B37480" s="309"/>
      <c r="C37480" s="309"/>
      <c r="I37480" s="309"/>
      <c r="J37480" s="309"/>
    </row>
    <row r="37481">
      <c r="B37481" s="309"/>
      <c r="C37481" s="309"/>
      <c r="I37481" s="309"/>
      <c r="J37481" s="309"/>
    </row>
    <row r="37482">
      <c r="B37482" s="309"/>
      <c r="C37482" s="309"/>
      <c r="I37482" s="309"/>
      <c r="J37482" s="309"/>
    </row>
    <row r="37483">
      <c r="B37483" s="309"/>
      <c r="C37483" s="309"/>
      <c r="I37483" s="309"/>
      <c r="J37483" s="309"/>
    </row>
    <row r="37484">
      <c r="B37484" s="309"/>
      <c r="C37484" s="309"/>
      <c r="I37484" s="309"/>
      <c r="J37484" s="309"/>
    </row>
    <row r="37485">
      <c r="B37485" s="309"/>
      <c r="C37485" s="309"/>
      <c r="I37485" s="309"/>
      <c r="J37485" s="309"/>
    </row>
    <row r="37486">
      <c r="B37486" s="309"/>
      <c r="C37486" s="309"/>
      <c r="I37486" s="309"/>
      <c r="J37486" s="309"/>
    </row>
    <row r="37487">
      <c r="B37487" s="309"/>
      <c r="C37487" s="309"/>
      <c r="I37487" s="309"/>
      <c r="J37487" s="309"/>
    </row>
    <row r="37488">
      <c r="B37488" s="309"/>
      <c r="C37488" s="309"/>
      <c r="I37488" s="309"/>
      <c r="J37488" s="309"/>
    </row>
    <row r="37489">
      <c r="B37489" s="309"/>
      <c r="C37489" s="309"/>
      <c r="I37489" s="309"/>
      <c r="J37489" s="309"/>
    </row>
    <row r="37490">
      <c r="B37490" s="309"/>
      <c r="C37490" s="309"/>
      <c r="I37490" s="309"/>
      <c r="J37490" s="309"/>
    </row>
    <row r="37491">
      <c r="B37491" s="309"/>
      <c r="C37491" s="309"/>
      <c r="I37491" s="309"/>
      <c r="J37491" s="309"/>
    </row>
    <row r="37492">
      <c r="B37492" s="309"/>
      <c r="C37492" s="309"/>
      <c r="I37492" s="309"/>
      <c r="J37492" s="309"/>
    </row>
    <row r="37493">
      <c r="B37493" s="309"/>
      <c r="C37493" s="309"/>
      <c r="I37493" s="309"/>
      <c r="J37493" s="309"/>
    </row>
    <row r="37494">
      <c r="B37494" s="309"/>
      <c r="C37494" s="309"/>
      <c r="I37494" s="309"/>
      <c r="J37494" s="309"/>
    </row>
    <row r="37495">
      <c r="B37495" s="309"/>
      <c r="C37495" s="309"/>
      <c r="I37495" s="309"/>
      <c r="J37495" s="309"/>
    </row>
    <row r="37496">
      <c r="B37496" s="309"/>
      <c r="C37496" s="309"/>
      <c r="I37496" s="309"/>
      <c r="J37496" s="309"/>
    </row>
    <row r="37497">
      <c r="B37497" s="309"/>
      <c r="C37497" s="309"/>
      <c r="I37497" s="309"/>
      <c r="J37497" s="309"/>
    </row>
    <row r="37498">
      <c r="B37498" s="309"/>
      <c r="C37498" s="309"/>
      <c r="I37498" s="309"/>
      <c r="J37498" s="309"/>
    </row>
    <row r="37499">
      <c r="B37499" s="309"/>
      <c r="C37499" s="309"/>
      <c r="I37499" s="309"/>
      <c r="J37499" s="309"/>
    </row>
    <row r="37500">
      <c r="B37500" s="309"/>
      <c r="C37500" s="309"/>
      <c r="I37500" s="309"/>
      <c r="J37500" s="309"/>
    </row>
    <row r="37501">
      <c r="B37501" s="309"/>
      <c r="C37501" s="309"/>
      <c r="I37501" s="309"/>
      <c r="J37501" s="309"/>
    </row>
    <row r="37502">
      <c r="B37502" s="309"/>
      <c r="C37502" s="309"/>
      <c r="I37502" s="309"/>
      <c r="J37502" s="309"/>
    </row>
    <row r="37503">
      <c r="B37503" s="309"/>
      <c r="C37503" s="309"/>
      <c r="I37503" s="309"/>
      <c r="J37503" s="309"/>
    </row>
    <row r="37504">
      <c r="B37504" s="309"/>
      <c r="C37504" s="309"/>
      <c r="I37504" s="309"/>
      <c r="J37504" s="309"/>
    </row>
    <row r="37505">
      <c r="B37505" s="309"/>
      <c r="C37505" s="309"/>
      <c r="I37505" s="309"/>
      <c r="J37505" s="309"/>
    </row>
    <row r="37506">
      <c r="B37506" s="309"/>
      <c r="C37506" s="309"/>
      <c r="I37506" s="309"/>
      <c r="J37506" s="309"/>
    </row>
    <row r="37507">
      <c r="B37507" s="309"/>
      <c r="C37507" s="309"/>
      <c r="I37507" s="309"/>
      <c r="J37507" s="309"/>
    </row>
    <row r="37508">
      <c r="B37508" s="309"/>
      <c r="C37508" s="309"/>
      <c r="I37508" s="309"/>
      <c r="J37508" s="309"/>
    </row>
    <row r="37509">
      <c r="B37509" s="309"/>
      <c r="C37509" s="309"/>
      <c r="I37509" s="309"/>
      <c r="J37509" s="309"/>
    </row>
    <row r="37510">
      <c r="B37510" s="309"/>
      <c r="C37510" s="309"/>
      <c r="I37510" s="309"/>
      <c r="J37510" s="309"/>
    </row>
    <row r="37511">
      <c r="B37511" s="309"/>
      <c r="C37511" s="309"/>
      <c r="I37511" s="309"/>
      <c r="J37511" s="309"/>
    </row>
    <row r="37512">
      <c r="B37512" s="309"/>
      <c r="C37512" s="309"/>
      <c r="I37512" s="309"/>
      <c r="J37512" s="309"/>
    </row>
    <row r="37513">
      <c r="B37513" s="309"/>
      <c r="C37513" s="309"/>
      <c r="I37513" s="309"/>
      <c r="J37513" s="309"/>
    </row>
    <row r="37514">
      <c r="B37514" s="309"/>
      <c r="C37514" s="309"/>
      <c r="I37514" s="309"/>
      <c r="J37514" s="309"/>
    </row>
    <row r="37515">
      <c r="B37515" s="309"/>
      <c r="C37515" s="309"/>
      <c r="I37515" s="309"/>
      <c r="J37515" s="309"/>
    </row>
    <row r="37516">
      <c r="B37516" s="309"/>
      <c r="C37516" s="309"/>
      <c r="I37516" s="309"/>
      <c r="J37516" s="309"/>
    </row>
    <row r="37517">
      <c r="B37517" s="309"/>
      <c r="C37517" s="309"/>
      <c r="I37517" s="309"/>
      <c r="J37517" s="309"/>
    </row>
    <row r="37518">
      <c r="B37518" s="309"/>
      <c r="C37518" s="309"/>
      <c r="I37518" s="309"/>
      <c r="J37518" s="309"/>
    </row>
    <row r="37519">
      <c r="B37519" s="309"/>
      <c r="C37519" s="309"/>
      <c r="I37519" s="309"/>
      <c r="J37519" s="309"/>
    </row>
    <row r="37520">
      <c r="B37520" s="309"/>
      <c r="C37520" s="309"/>
      <c r="I37520" s="309"/>
      <c r="J37520" s="309"/>
    </row>
    <row r="37521">
      <c r="B37521" s="309"/>
      <c r="C37521" s="309"/>
      <c r="I37521" s="309"/>
      <c r="J37521" s="309"/>
    </row>
    <row r="37522">
      <c r="B37522" s="309"/>
      <c r="C37522" s="309"/>
      <c r="I37522" s="309"/>
      <c r="J37522" s="309"/>
    </row>
    <row r="37523">
      <c r="B37523" s="309"/>
      <c r="C37523" s="309"/>
      <c r="I37523" s="309"/>
      <c r="J37523" s="309"/>
    </row>
    <row r="37524">
      <c r="B37524" s="309"/>
      <c r="C37524" s="309"/>
      <c r="I37524" s="309"/>
      <c r="J37524" s="309"/>
    </row>
    <row r="37525">
      <c r="B37525" s="309"/>
      <c r="C37525" s="309"/>
      <c r="I37525" s="309"/>
      <c r="J37525" s="309"/>
    </row>
    <row r="37526">
      <c r="B37526" s="309"/>
      <c r="C37526" s="309"/>
      <c r="I37526" s="309"/>
      <c r="J37526" s="309"/>
    </row>
    <row r="37527">
      <c r="B37527" s="309"/>
      <c r="C37527" s="309"/>
      <c r="I37527" s="309"/>
      <c r="J37527" s="309"/>
    </row>
    <row r="37528">
      <c r="B37528" s="309"/>
      <c r="C37528" s="309"/>
      <c r="I37528" s="309"/>
      <c r="J37528" s="309"/>
    </row>
    <row r="37529">
      <c r="B37529" s="309"/>
      <c r="C37529" s="309"/>
      <c r="I37529" s="309"/>
      <c r="J37529" s="309"/>
    </row>
    <row r="37530">
      <c r="B37530" s="309"/>
      <c r="C37530" s="309"/>
      <c r="I37530" s="309"/>
      <c r="J37530" s="309"/>
    </row>
    <row r="37531">
      <c r="B37531" s="309"/>
      <c r="C37531" s="309"/>
      <c r="I37531" s="309"/>
      <c r="J37531" s="309"/>
    </row>
    <row r="37532">
      <c r="B37532" s="309"/>
      <c r="C37532" s="309"/>
      <c r="I37532" s="309"/>
      <c r="J37532" s="309"/>
    </row>
    <row r="37533">
      <c r="B37533" s="309"/>
      <c r="C37533" s="309"/>
      <c r="I37533" s="309"/>
      <c r="J37533" s="309"/>
    </row>
    <row r="37534">
      <c r="B37534" s="309"/>
      <c r="C37534" s="309"/>
      <c r="I37534" s="309"/>
      <c r="J37534" s="309"/>
    </row>
    <row r="37535">
      <c r="B37535" s="309"/>
      <c r="C37535" s="309"/>
      <c r="I37535" s="309"/>
      <c r="J37535" s="309"/>
    </row>
    <row r="37536">
      <c r="B37536" s="309"/>
      <c r="C37536" s="309"/>
      <c r="I37536" s="309"/>
      <c r="J37536" s="309"/>
    </row>
    <row r="37537">
      <c r="B37537" s="309"/>
      <c r="C37537" s="309"/>
      <c r="I37537" s="309"/>
      <c r="J37537" s="309"/>
    </row>
    <row r="37538">
      <c r="B37538" s="309"/>
      <c r="C37538" s="309"/>
      <c r="I37538" s="309"/>
      <c r="J37538" s="309"/>
    </row>
    <row r="37539">
      <c r="B37539" s="309"/>
      <c r="C37539" s="309"/>
      <c r="I37539" s="309"/>
      <c r="J37539" s="309"/>
    </row>
    <row r="37540">
      <c r="B37540" s="309"/>
      <c r="C37540" s="309"/>
      <c r="I37540" s="309"/>
      <c r="J37540" s="309"/>
    </row>
    <row r="37541">
      <c r="B37541" s="309"/>
      <c r="C37541" s="309"/>
      <c r="I37541" s="309"/>
      <c r="J37541" s="309"/>
    </row>
    <row r="37542">
      <c r="B37542" s="309"/>
      <c r="C37542" s="309"/>
      <c r="I37542" s="309"/>
      <c r="J37542" s="309"/>
    </row>
    <row r="37543">
      <c r="B37543" s="309"/>
      <c r="C37543" s="309"/>
      <c r="I37543" s="309"/>
      <c r="J37543" s="309"/>
    </row>
    <row r="37544">
      <c r="B37544" s="309"/>
      <c r="C37544" s="309"/>
      <c r="I37544" s="309"/>
      <c r="J37544" s="309"/>
    </row>
    <row r="37545">
      <c r="B37545" s="309"/>
      <c r="C37545" s="309"/>
      <c r="I37545" s="309"/>
      <c r="J37545" s="309"/>
    </row>
    <row r="37546">
      <c r="B37546" s="309"/>
      <c r="C37546" s="309"/>
      <c r="I37546" s="309"/>
      <c r="J37546" s="309"/>
    </row>
    <row r="37547">
      <c r="B37547" s="309"/>
      <c r="C37547" s="309"/>
      <c r="I37547" s="309"/>
      <c r="J37547" s="309"/>
    </row>
    <row r="37548">
      <c r="B37548" s="309"/>
      <c r="C37548" s="309"/>
      <c r="I37548" s="309"/>
      <c r="J37548" s="309"/>
    </row>
    <row r="37549">
      <c r="B37549" s="309"/>
      <c r="C37549" s="309"/>
      <c r="I37549" s="309"/>
      <c r="J37549" s="309"/>
    </row>
    <row r="37550">
      <c r="B37550" s="309"/>
      <c r="C37550" s="309"/>
      <c r="I37550" s="309"/>
      <c r="J37550" s="309"/>
    </row>
    <row r="37551">
      <c r="B37551" s="309"/>
      <c r="C37551" s="309"/>
      <c r="I37551" s="309"/>
      <c r="J37551" s="309"/>
    </row>
    <row r="37552">
      <c r="B37552" s="309"/>
      <c r="C37552" s="309"/>
      <c r="I37552" s="309"/>
      <c r="J37552" s="309"/>
    </row>
    <row r="37553">
      <c r="B37553" s="309"/>
      <c r="C37553" s="309"/>
      <c r="I37553" s="309"/>
      <c r="J37553" s="309"/>
    </row>
    <row r="37554">
      <c r="B37554" s="309"/>
      <c r="C37554" s="309"/>
      <c r="I37554" s="309"/>
      <c r="J37554" s="309"/>
    </row>
    <row r="37555">
      <c r="B37555" s="309"/>
      <c r="C37555" s="309"/>
      <c r="I37555" s="309"/>
      <c r="J37555" s="309"/>
    </row>
    <row r="37556">
      <c r="B37556" s="309"/>
      <c r="C37556" s="309"/>
      <c r="I37556" s="309"/>
      <c r="J37556" s="309"/>
    </row>
    <row r="37557">
      <c r="B37557" s="309"/>
      <c r="C37557" s="309"/>
      <c r="I37557" s="309"/>
      <c r="J37557" s="309"/>
    </row>
    <row r="37558">
      <c r="B37558" s="309"/>
      <c r="C37558" s="309"/>
      <c r="I37558" s="309"/>
      <c r="J37558" s="309"/>
    </row>
    <row r="37559">
      <c r="B37559" s="309"/>
      <c r="C37559" s="309"/>
      <c r="I37559" s="309"/>
      <c r="J37559" s="309"/>
    </row>
    <row r="37560">
      <c r="B37560" s="309"/>
      <c r="C37560" s="309"/>
      <c r="I37560" s="309"/>
      <c r="J37560" s="309"/>
    </row>
    <row r="37561">
      <c r="B37561" s="309"/>
      <c r="C37561" s="309"/>
      <c r="I37561" s="309"/>
      <c r="J37561" s="309"/>
    </row>
    <row r="37562">
      <c r="B37562" s="309"/>
      <c r="C37562" s="309"/>
      <c r="I37562" s="309"/>
      <c r="J37562" s="309"/>
    </row>
    <row r="37563">
      <c r="B37563" s="309"/>
      <c r="C37563" s="309"/>
      <c r="I37563" s="309"/>
      <c r="J37563" s="309"/>
    </row>
    <row r="37564">
      <c r="B37564" s="309"/>
      <c r="C37564" s="309"/>
      <c r="I37564" s="309"/>
      <c r="J37564" s="309"/>
    </row>
    <row r="37565">
      <c r="B37565" s="309"/>
      <c r="C37565" s="309"/>
      <c r="I37565" s="309"/>
      <c r="J37565" s="309"/>
    </row>
    <row r="37566">
      <c r="B37566" s="309"/>
      <c r="C37566" s="309"/>
      <c r="I37566" s="309"/>
      <c r="J37566" s="309"/>
    </row>
    <row r="37567">
      <c r="B37567" s="309"/>
      <c r="C37567" s="309"/>
      <c r="I37567" s="309"/>
      <c r="J37567" s="309"/>
    </row>
    <row r="37568">
      <c r="B37568" s="309"/>
      <c r="C37568" s="309"/>
      <c r="I37568" s="309"/>
      <c r="J37568" s="309"/>
    </row>
    <row r="37569">
      <c r="B37569" s="309"/>
      <c r="C37569" s="309"/>
      <c r="I37569" s="309"/>
      <c r="J37569" s="309"/>
    </row>
    <row r="37570">
      <c r="B37570" s="309"/>
      <c r="C37570" s="309"/>
      <c r="I37570" s="309"/>
      <c r="J37570" s="309"/>
    </row>
    <row r="37571">
      <c r="B37571" s="309"/>
      <c r="C37571" s="309"/>
      <c r="I37571" s="309"/>
      <c r="J37571" s="309"/>
    </row>
    <row r="37572">
      <c r="B37572" s="309"/>
      <c r="C37572" s="309"/>
      <c r="I37572" s="309"/>
      <c r="J37572" s="309"/>
    </row>
    <row r="37573">
      <c r="B37573" s="309"/>
      <c r="C37573" s="309"/>
      <c r="I37573" s="309"/>
      <c r="J37573" s="309"/>
    </row>
    <row r="37574">
      <c r="B37574" s="309"/>
      <c r="C37574" s="309"/>
      <c r="I37574" s="309"/>
      <c r="J37574" s="309"/>
    </row>
    <row r="37575">
      <c r="B37575" s="309"/>
      <c r="C37575" s="309"/>
      <c r="I37575" s="309"/>
      <c r="J37575" s="309"/>
    </row>
    <row r="37576">
      <c r="B37576" s="309"/>
      <c r="C37576" s="309"/>
      <c r="I37576" s="309"/>
      <c r="J37576" s="309"/>
    </row>
    <row r="37577">
      <c r="B37577" s="309"/>
      <c r="C37577" s="309"/>
      <c r="I37577" s="309"/>
      <c r="J37577" s="309"/>
    </row>
    <row r="37578">
      <c r="B37578" s="309"/>
      <c r="C37578" s="309"/>
      <c r="I37578" s="309"/>
      <c r="J37578" s="309"/>
    </row>
    <row r="37579">
      <c r="B37579" s="309"/>
      <c r="C37579" s="309"/>
      <c r="I37579" s="309"/>
      <c r="J37579" s="309"/>
    </row>
    <row r="37580">
      <c r="B37580" s="309"/>
      <c r="C37580" s="309"/>
      <c r="I37580" s="309"/>
      <c r="J37580" s="309"/>
    </row>
    <row r="37581">
      <c r="B37581" s="309"/>
      <c r="C37581" s="309"/>
      <c r="I37581" s="309"/>
      <c r="J37581" s="309"/>
    </row>
    <row r="37582">
      <c r="B37582" s="309"/>
      <c r="C37582" s="309"/>
      <c r="I37582" s="309"/>
      <c r="J37582" s="309"/>
    </row>
    <row r="37583">
      <c r="B37583" s="309"/>
      <c r="C37583" s="309"/>
      <c r="I37583" s="309"/>
      <c r="J37583" s="309"/>
    </row>
    <row r="37584">
      <c r="B37584" s="309"/>
      <c r="C37584" s="309"/>
      <c r="I37584" s="309"/>
      <c r="J37584" s="309"/>
    </row>
    <row r="37585">
      <c r="B37585" s="309"/>
      <c r="C37585" s="309"/>
      <c r="I37585" s="309"/>
      <c r="J37585" s="309"/>
    </row>
    <row r="37586">
      <c r="B37586" s="309"/>
      <c r="C37586" s="309"/>
      <c r="I37586" s="309"/>
      <c r="J37586" s="309"/>
    </row>
    <row r="37587">
      <c r="B37587" s="309"/>
      <c r="C37587" s="309"/>
      <c r="I37587" s="309"/>
      <c r="J37587" s="309"/>
    </row>
    <row r="37588">
      <c r="B37588" s="309"/>
      <c r="C37588" s="309"/>
      <c r="I37588" s="309"/>
      <c r="J37588" s="309"/>
    </row>
    <row r="37589">
      <c r="B37589" s="309"/>
      <c r="C37589" s="309"/>
      <c r="I37589" s="309"/>
      <c r="J37589" s="309"/>
    </row>
    <row r="37590">
      <c r="B37590" s="309"/>
      <c r="C37590" s="309"/>
      <c r="I37590" s="309"/>
      <c r="J37590" s="309"/>
    </row>
    <row r="37591">
      <c r="B37591" s="309"/>
      <c r="C37591" s="309"/>
      <c r="I37591" s="309"/>
      <c r="J37591" s="309"/>
    </row>
    <row r="37592">
      <c r="B37592" s="309"/>
      <c r="C37592" s="309"/>
      <c r="I37592" s="309"/>
      <c r="J37592" s="309"/>
    </row>
    <row r="37593">
      <c r="B37593" s="309"/>
      <c r="C37593" s="309"/>
      <c r="I37593" s="309"/>
      <c r="J37593" s="309"/>
    </row>
    <row r="37594">
      <c r="B37594" s="309"/>
      <c r="C37594" s="309"/>
      <c r="I37594" s="309"/>
      <c r="J37594" s="309"/>
    </row>
    <row r="37595">
      <c r="B37595" s="309"/>
      <c r="C37595" s="309"/>
      <c r="I37595" s="309"/>
      <c r="J37595" s="309"/>
    </row>
    <row r="37596">
      <c r="B37596" s="309"/>
      <c r="C37596" s="309"/>
      <c r="I37596" s="309"/>
      <c r="J37596" s="309"/>
    </row>
    <row r="37597">
      <c r="B37597" s="309"/>
      <c r="C37597" s="309"/>
      <c r="I37597" s="309"/>
      <c r="J37597" s="309"/>
    </row>
    <row r="37598">
      <c r="B37598" s="309"/>
      <c r="C37598" s="309"/>
      <c r="I37598" s="309"/>
      <c r="J37598" s="309"/>
    </row>
    <row r="37599">
      <c r="B37599" s="309"/>
      <c r="C37599" s="309"/>
      <c r="I37599" s="309"/>
      <c r="J37599" s="309"/>
    </row>
    <row r="37600">
      <c r="B37600" s="309"/>
      <c r="C37600" s="309"/>
      <c r="I37600" s="309"/>
      <c r="J37600" s="309"/>
    </row>
    <row r="37601">
      <c r="B37601" s="309"/>
      <c r="C37601" s="309"/>
      <c r="I37601" s="309"/>
      <c r="J37601" s="309"/>
    </row>
    <row r="37602">
      <c r="B37602" s="309"/>
      <c r="C37602" s="309"/>
      <c r="I37602" s="309"/>
      <c r="J37602" s="309"/>
    </row>
    <row r="37603">
      <c r="B37603" s="309"/>
      <c r="C37603" s="309"/>
      <c r="I37603" s="309"/>
      <c r="J37603" s="309"/>
    </row>
    <row r="37604">
      <c r="B37604" s="309"/>
      <c r="C37604" s="309"/>
      <c r="I37604" s="309"/>
      <c r="J37604" s="309"/>
    </row>
    <row r="37605">
      <c r="B37605" s="309"/>
      <c r="C37605" s="309"/>
      <c r="I37605" s="309"/>
      <c r="J37605" s="309"/>
    </row>
    <row r="37606">
      <c r="B37606" s="309"/>
      <c r="C37606" s="309"/>
      <c r="I37606" s="309"/>
      <c r="J37606" s="309"/>
    </row>
    <row r="37607">
      <c r="B37607" s="309"/>
      <c r="C37607" s="309"/>
      <c r="I37607" s="309"/>
      <c r="J37607" s="309"/>
    </row>
    <row r="37608">
      <c r="B37608" s="309"/>
      <c r="C37608" s="309"/>
      <c r="I37608" s="309"/>
      <c r="J37608" s="309"/>
    </row>
    <row r="37609">
      <c r="B37609" s="309"/>
      <c r="C37609" s="309"/>
      <c r="I37609" s="309"/>
      <c r="J37609" s="309"/>
    </row>
    <row r="37610">
      <c r="B37610" s="309"/>
      <c r="C37610" s="309"/>
      <c r="I37610" s="309"/>
      <c r="J37610" s="309"/>
    </row>
    <row r="37611">
      <c r="B37611" s="309"/>
      <c r="C37611" s="309"/>
      <c r="I37611" s="309"/>
      <c r="J37611" s="309"/>
    </row>
    <row r="37612">
      <c r="B37612" s="309"/>
      <c r="C37612" s="309"/>
      <c r="I37612" s="309"/>
      <c r="J37612" s="309"/>
    </row>
    <row r="37613">
      <c r="B37613" s="309"/>
      <c r="C37613" s="309"/>
      <c r="I37613" s="309"/>
      <c r="J37613" s="309"/>
    </row>
    <row r="37614">
      <c r="B37614" s="309"/>
      <c r="C37614" s="309"/>
      <c r="I37614" s="309"/>
      <c r="J37614" s="309"/>
    </row>
    <row r="37615">
      <c r="B37615" s="309"/>
      <c r="C37615" s="309"/>
      <c r="I37615" s="309"/>
      <c r="J37615" s="309"/>
    </row>
    <row r="37616">
      <c r="B37616" s="309"/>
      <c r="C37616" s="309"/>
      <c r="I37616" s="309"/>
      <c r="J37616" s="309"/>
    </row>
    <row r="37617">
      <c r="B37617" s="309"/>
      <c r="C37617" s="309"/>
      <c r="I37617" s="309"/>
      <c r="J37617" s="309"/>
    </row>
    <row r="37618">
      <c r="B37618" s="309"/>
      <c r="C37618" s="309"/>
      <c r="I37618" s="309"/>
      <c r="J37618" s="309"/>
    </row>
    <row r="37619">
      <c r="B37619" s="309"/>
      <c r="C37619" s="309"/>
      <c r="I37619" s="309"/>
      <c r="J37619" s="309"/>
    </row>
    <row r="37620">
      <c r="B37620" s="309"/>
      <c r="C37620" s="309"/>
      <c r="I37620" s="309"/>
      <c r="J37620" s="309"/>
    </row>
    <row r="37621">
      <c r="B37621" s="309"/>
      <c r="C37621" s="309"/>
      <c r="I37621" s="309"/>
      <c r="J37621" s="309"/>
    </row>
    <row r="37622">
      <c r="B37622" s="309"/>
      <c r="C37622" s="309"/>
      <c r="I37622" s="309"/>
      <c r="J37622" s="309"/>
    </row>
    <row r="37623">
      <c r="B37623" s="309"/>
      <c r="C37623" s="309"/>
      <c r="I37623" s="309"/>
      <c r="J37623" s="309"/>
    </row>
    <row r="37624">
      <c r="B37624" s="309"/>
      <c r="C37624" s="309"/>
      <c r="I37624" s="309"/>
      <c r="J37624" s="309"/>
    </row>
    <row r="37625">
      <c r="B37625" s="309"/>
      <c r="C37625" s="309"/>
      <c r="I37625" s="309"/>
      <c r="J37625" s="309"/>
    </row>
    <row r="37626">
      <c r="B37626" s="309"/>
      <c r="C37626" s="309"/>
      <c r="I37626" s="309"/>
      <c r="J37626" s="309"/>
    </row>
    <row r="37627">
      <c r="B37627" s="309"/>
      <c r="C37627" s="309"/>
      <c r="I37627" s="309"/>
      <c r="J37627" s="309"/>
    </row>
    <row r="37628">
      <c r="B37628" s="309"/>
      <c r="C37628" s="309"/>
      <c r="I37628" s="309"/>
      <c r="J37628" s="309"/>
    </row>
    <row r="37629">
      <c r="B37629" s="309"/>
      <c r="C37629" s="309"/>
      <c r="I37629" s="309"/>
      <c r="J37629" s="309"/>
    </row>
    <row r="37630">
      <c r="B37630" s="309"/>
      <c r="C37630" s="309"/>
      <c r="I37630" s="309"/>
      <c r="J37630" s="309"/>
    </row>
    <row r="37631">
      <c r="B37631" s="309"/>
      <c r="C37631" s="309"/>
      <c r="I37631" s="309"/>
      <c r="J37631" s="309"/>
    </row>
    <row r="37632">
      <c r="B37632" s="309"/>
      <c r="C37632" s="309"/>
      <c r="I37632" s="309"/>
      <c r="J37632" s="309"/>
    </row>
    <row r="37633">
      <c r="B37633" s="309"/>
      <c r="C37633" s="309"/>
      <c r="I37633" s="309"/>
      <c r="J37633" s="309"/>
    </row>
    <row r="37634">
      <c r="B37634" s="309"/>
      <c r="C37634" s="309"/>
      <c r="I37634" s="309"/>
      <c r="J37634" s="309"/>
    </row>
    <row r="37635">
      <c r="B37635" s="309"/>
      <c r="C37635" s="309"/>
      <c r="I37635" s="309"/>
      <c r="J37635" s="309"/>
    </row>
    <row r="37636">
      <c r="B37636" s="309"/>
      <c r="C37636" s="309"/>
      <c r="I37636" s="309"/>
      <c r="J37636" s="309"/>
    </row>
    <row r="37637">
      <c r="B37637" s="309"/>
      <c r="C37637" s="309"/>
      <c r="I37637" s="309"/>
      <c r="J37637" s="309"/>
    </row>
    <row r="37638">
      <c r="B37638" s="309"/>
      <c r="C37638" s="309"/>
      <c r="I37638" s="309"/>
      <c r="J37638" s="309"/>
    </row>
    <row r="37639">
      <c r="B37639" s="309"/>
      <c r="C37639" s="309"/>
      <c r="I37639" s="309"/>
      <c r="J37639" s="309"/>
    </row>
    <row r="37640">
      <c r="B37640" s="309"/>
      <c r="C37640" s="309"/>
      <c r="I37640" s="309"/>
      <c r="J37640" s="309"/>
    </row>
    <row r="37641">
      <c r="B37641" s="309"/>
      <c r="C37641" s="309"/>
      <c r="I37641" s="309"/>
      <c r="J37641" s="309"/>
    </row>
    <row r="37642">
      <c r="B37642" s="309"/>
      <c r="C37642" s="309"/>
      <c r="I37642" s="309"/>
      <c r="J37642" s="309"/>
    </row>
    <row r="37643">
      <c r="B37643" s="309"/>
      <c r="C37643" s="309"/>
      <c r="I37643" s="309"/>
      <c r="J37643" s="309"/>
    </row>
    <row r="37644">
      <c r="B37644" s="309"/>
      <c r="C37644" s="309"/>
      <c r="I37644" s="309"/>
      <c r="J37644" s="309"/>
    </row>
    <row r="37645">
      <c r="B37645" s="309"/>
      <c r="C37645" s="309"/>
      <c r="I37645" s="309"/>
      <c r="J37645" s="309"/>
    </row>
    <row r="37646">
      <c r="B37646" s="309"/>
      <c r="C37646" s="309"/>
      <c r="I37646" s="309"/>
      <c r="J37646" s="309"/>
    </row>
    <row r="37647">
      <c r="B37647" s="309"/>
      <c r="C37647" s="309"/>
      <c r="I37647" s="309"/>
      <c r="J37647" s="309"/>
    </row>
    <row r="37648">
      <c r="B37648" s="309"/>
      <c r="C37648" s="309"/>
      <c r="I37648" s="309"/>
      <c r="J37648" s="309"/>
    </row>
    <row r="37649">
      <c r="B37649" s="309"/>
      <c r="C37649" s="309"/>
      <c r="I37649" s="309"/>
      <c r="J37649" s="309"/>
    </row>
    <row r="37650">
      <c r="B37650" s="309"/>
      <c r="C37650" s="309"/>
      <c r="I37650" s="309"/>
      <c r="J37650" s="309"/>
    </row>
    <row r="37651">
      <c r="B37651" s="309"/>
      <c r="C37651" s="309"/>
      <c r="I37651" s="309"/>
      <c r="J37651" s="309"/>
    </row>
    <row r="37652">
      <c r="B37652" s="309"/>
      <c r="C37652" s="309"/>
      <c r="I37652" s="309"/>
      <c r="J37652" s="309"/>
    </row>
    <row r="37653">
      <c r="B37653" s="309"/>
      <c r="C37653" s="309"/>
      <c r="I37653" s="309"/>
      <c r="J37653" s="309"/>
    </row>
    <row r="37654">
      <c r="B37654" s="309"/>
      <c r="C37654" s="309"/>
      <c r="I37654" s="309"/>
      <c r="J37654" s="309"/>
    </row>
    <row r="37655">
      <c r="B37655" s="309"/>
      <c r="C37655" s="309"/>
      <c r="I37655" s="309"/>
      <c r="J37655" s="309"/>
    </row>
    <row r="37656">
      <c r="B37656" s="309"/>
      <c r="C37656" s="309"/>
      <c r="I37656" s="309"/>
      <c r="J37656" s="309"/>
    </row>
    <row r="37657">
      <c r="B37657" s="309"/>
      <c r="C37657" s="309"/>
      <c r="I37657" s="309"/>
      <c r="J37657" s="309"/>
    </row>
    <row r="37658">
      <c r="B37658" s="309"/>
      <c r="C37658" s="309"/>
      <c r="I37658" s="309"/>
      <c r="J37658" s="309"/>
    </row>
    <row r="37659">
      <c r="B37659" s="309"/>
      <c r="C37659" s="309"/>
      <c r="I37659" s="309"/>
      <c r="J37659" s="309"/>
    </row>
    <row r="37660">
      <c r="B37660" s="309"/>
      <c r="C37660" s="309"/>
      <c r="I37660" s="309"/>
      <c r="J37660" s="309"/>
    </row>
    <row r="37661">
      <c r="B37661" s="309"/>
      <c r="C37661" s="309"/>
      <c r="I37661" s="309"/>
      <c r="J37661" s="309"/>
    </row>
    <row r="37662">
      <c r="B37662" s="309"/>
      <c r="C37662" s="309"/>
      <c r="I37662" s="309"/>
      <c r="J37662" s="309"/>
    </row>
    <row r="37663">
      <c r="B37663" s="309"/>
      <c r="C37663" s="309"/>
      <c r="I37663" s="309"/>
      <c r="J37663" s="309"/>
    </row>
    <row r="37664">
      <c r="B37664" s="309"/>
      <c r="C37664" s="309"/>
      <c r="I37664" s="309"/>
      <c r="J37664" s="309"/>
    </row>
    <row r="37665">
      <c r="B37665" s="309"/>
      <c r="C37665" s="309"/>
      <c r="I37665" s="309"/>
      <c r="J37665" s="309"/>
    </row>
    <row r="37666">
      <c r="B37666" s="309"/>
      <c r="C37666" s="309"/>
      <c r="I37666" s="309"/>
      <c r="J37666" s="309"/>
    </row>
    <row r="37667">
      <c r="B37667" s="309"/>
      <c r="C37667" s="309"/>
      <c r="I37667" s="309"/>
      <c r="J37667" s="309"/>
    </row>
    <row r="37668">
      <c r="B37668" s="309"/>
      <c r="C37668" s="309"/>
      <c r="I37668" s="309"/>
      <c r="J37668" s="309"/>
    </row>
    <row r="37669">
      <c r="B37669" s="309"/>
      <c r="C37669" s="309"/>
      <c r="I37669" s="309"/>
      <c r="J37669" s="309"/>
    </row>
    <row r="37670">
      <c r="B37670" s="309"/>
      <c r="C37670" s="309"/>
      <c r="I37670" s="309"/>
      <c r="J37670" s="309"/>
    </row>
    <row r="37671">
      <c r="B37671" s="309"/>
      <c r="C37671" s="309"/>
      <c r="I37671" s="309"/>
      <c r="J37671" s="309"/>
    </row>
    <row r="37672">
      <c r="B37672" s="309"/>
      <c r="C37672" s="309"/>
      <c r="I37672" s="309"/>
      <c r="J37672" s="309"/>
    </row>
    <row r="37673">
      <c r="B37673" s="309"/>
      <c r="C37673" s="309"/>
      <c r="I37673" s="309"/>
      <c r="J37673" s="309"/>
    </row>
    <row r="37674">
      <c r="B37674" s="309"/>
      <c r="C37674" s="309"/>
      <c r="I37674" s="309"/>
      <c r="J37674" s="309"/>
    </row>
    <row r="37675">
      <c r="B37675" s="309"/>
      <c r="C37675" s="309"/>
      <c r="I37675" s="309"/>
      <c r="J37675" s="309"/>
    </row>
    <row r="37676">
      <c r="B37676" s="309"/>
      <c r="C37676" s="309"/>
      <c r="I37676" s="309"/>
      <c r="J37676" s="309"/>
    </row>
    <row r="37677">
      <c r="B37677" s="309"/>
      <c r="C37677" s="309"/>
      <c r="I37677" s="309"/>
      <c r="J37677" s="309"/>
    </row>
    <row r="37678">
      <c r="B37678" s="309"/>
      <c r="C37678" s="309"/>
      <c r="I37678" s="309"/>
      <c r="J37678" s="309"/>
    </row>
    <row r="37679">
      <c r="B37679" s="309"/>
      <c r="C37679" s="309"/>
      <c r="I37679" s="309"/>
      <c r="J37679" s="309"/>
    </row>
    <row r="37680">
      <c r="B37680" s="309"/>
      <c r="C37680" s="309"/>
      <c r="I37680" s="309"/>
      <c r="J37680" s="309"/>
    </row>
    <row r="37681">
      <c r="B37681" s="309"/>
      <c r="C37681" s="309"/>
      <c r="I37681" s="309"/>
      <c r="J37681" s="309"/>
    </row>
    <row r="37682">
      <c r="B37682" s="309"/>
      <c r="C37682" s="309"/>
      <c r="I37682" s="309"/>
      <c r="J37682" s="309"/>
    </row>
    <row r="37683">
      <c r="B37683" s="309"/>
      <c r="C37683" s="309"/>
      <c r="I37683" s="309"/>
      <c r="J37683" s="309"/>
    </row>
    <row r="37684">
      <c r="B37684" s="309"/>
      <c r="C37684" s="309"/>
      <c r="I37684" s="309"/>
      <c r="J37684" s="309"/>
    </row>
    <row r="37685">
      <c r="B37685" s="309"/>
      <c r="C37685" s="309"/>
      <c r="I37685" s="309"/>
      <c r="J37685" s="309"/>
    </row>
    <row r="37686">
      <c r="B37686" s="309"/>
      <c r="C37686" s="309"/>
      <c r="I37686" s="309"/>
      <c r="J37686" s="309"/>
    </row>
    <row r="37687">
      <c r="B37687" s="309"/>
      <c r="C37687" s="309"/>
      <c r="I37687" s="309"/>
      <c r="J37687" s="309"/>
    </row>
    <row r="37688">
      <c r="B37688" s="309"/>
      <c r="C37688" s="309"/>
      <c r="I37688" s="309"/>
      <c r="J37688" s="309"/>
    </row>
    <row r="37689">
      <c r="B37689" s="309"/>
      <c r="C37689" s="309"/>
      <c r="I37689" s="309"/>
      <c r="J37689" s="309"/>
    </row>
    <row r="37690">
      <c r="B37690" s="309"/>
      <c r="C37690" s="309"/>
      <c r="I37690" s="309"/>
      <c r="J37690" s="309"/>
    </row>
    <row r="37691">
      <c r="B37691" s="309"/>
      <c r="C37691" s="309"/>
      <c r="I37691" s="309"/>
      <c r="J37691" s="309"/>
    </row>
    <row r="37692">
      <c r="B37692" s="309"/>
      <c r="C37692" s="309"/>
      <c r="I37692" s="309"/>
      <c r="J37692" s="309"/>
    </row>
    <row r="37693">
      <c r="B37693" s="309"/>
      <c r="C37693" s="309"/>
      <c r="I37693" s="309"/>
      <c r="J37693" s="309"/>
    </row>
    <row r="37694">
      <c r="B37694" s="309"/>
      <c r="C37694" s="309"/>
      <c r="I37694" s="309"/>
      <c r="J37694" s="309"/>
    </row>
    <row r="37695">
      <c r="B37695" s="309"/>
      <c r="C37695" s="309"/>
      <c r="I37695" s="309"/>
      <c r="J37695" s="309"/>
    </row>
    <row r="37696">
      <c r="B37696" s="309"/>
      <c r="C37696" s="309"/>
      <c r="I37696" s="309"/>
      <c r="J37696" s="309"/>
    </row>
    <row r="37697">
      <c r="B37697" s="309"/>
      <c r="C37697" s="309"/>
      <c r="I37697" s="309"/>
      <c r="J37697" s="309"/>
    </row>
    <row r="37698">
      <c r="B37698" s="309"/>
      <c r="C37698" s="309"/>
      <c r="I37698" s="309"/>
      <c r="J37698" s="309"/>
    </row>
    <row r="37699">
      <c r="B37699" s="309"/>
      <c r="C37699" s="309"/>
      <c r="I37699" s="309"/>
      <c r="J37699" s="309"/>
    </row>
    <row r="37700">
      <c r="B37700" s="309"/>
      <c r="C37700" s="309"/>
      <c r="I37700" s="309"/>
      <c r="J37700" s="309"/>
    </row>
    <row r="37701">
      <c r="B37701" s="309"/>
      <c r="C37701" s="309"/>
      <c r="I37701" s="309"/>
      <c r="J37701" s="309"/>
    </row>
    <row r="37702">
      <c r="B37702" s="309"/>
      <c r="C37702" s="309"/>
      <c r="I37702" s="309"/>
      <c r="J37702" s="309"/>
    </row>
    <row r="37703">
      <c r="B37703" s="309"/>
      <c r="C37703" s="309"/>
      <c r="I37703" s="309"/>
      <c r="J37703" s="309"/>
    </row>
    <row r="37704">
      <c r="B37704" s="309"/>
      <c r="C37704" s="309"/>
      <c r="I37704" s="309"/>
      <c r="J37704" s="309"/>
    </row>
    <row r="37705">
      <c r="B37705" s="309"/>
      <c r="C37705" s="309"/>
      <c r="I37705" s="309"/>
      <c r="J37705" s="309"/>
    </row>
    <row r="37706">
      <c r="B37706" s="309"/>
      <c r="C37706" s="309"/>
      <c r="I37706" s="309"/>
      <c r="J37706" s="309"/>
    </row>
    <row r="37707">
      <c r="B37707" s="309"/>
      <c r="C37707" s="309"/>
      <c r="I37707" s="309"/>
      <c r="J37707" s="309"/>
    </row>
    <row r="37708">
      <c r="B37708" s="309"/>
      <c r="C37708" s="309"/>
      <c r="I37708" s="309"/>
      <c r="J37708" s="309"/>
    </row>
    <row r="37709">
      <c r="B37709" s="309"/>
      <c r="C37709" s="309"/>
      <c r="I37709" s="309"/>
      <c r="J37709" s="309"/>
    </row>
    <row r="37710">
      <c r="B37710" s="309"/>
      <c r="C37710" s="309"/>
      <c r="I37710" s="309"/>
      <c r="J37710" s="309"/>
    </row>
    <row r="37711">
      <c r="B37711" s="309"/>
      <c r="C37711" s="309"/>
      <c r="I37711" s="309"/>
      <c r="J37711" s="309"/>
    </row>
    <row r="37712">
      <c r="B37712" s="309"/>
      <c r="C37712" s="309"/>
      <c r="I37712" s="309"/>
      <c r="J37712" s="309"/>
    </row>
    <row r="37713">
      <c r="B37713" s="309"/>
      <c r="C37713" s="309"/>
      <c r="I37713" s="309"/>
      <c r="J37713" s="309"/>
    </row>
    <row r="37714">
      <c r="B37714" s="309"/>
      <c r="C37714" s="309"/>
      <c r="I37714" s="309"/>
      <c r="J37714" s="309"/>
    </row>
    <row r="37715">
      <c r="B37715" s="309"/>
      <c r="C37715" s="309"/>
      <c r="I37715" s="309"/>
      <c r="J37715" s="309"/>
    </row>
    <row r="37716">
      <c r="B37716" s="309"/>
      <c r="C37716" s="309"/>
      <c r="I37716" s="309"/>
      <c r="J37716" s="309"/>
    </row>
    <row r="37717">
      <c r="B37717" s="309"/>
      <c r="C37717" s="309"/>
      <c r="I37717" s="309"/>
      <c r="J37717" s="309"/>
    </row>
    <row r="37718">
      <c r="B37718" s="309"/>
      <c r="C37718" s="309"/>
      <c r="I37718" s="309"/>
      <c r="J37718" s="309"/>
    </row>
    <row r="37719">
      <c r="B37719" s="309"/>
      <c r="C37719" s="309"/>
      <c r="I37719" s="309"/>
      <c r="J37719" s="309"/>
    </row>
    <row r="37720">
      <c r="B37720" s="309"/>
      <c r="C37720" s="309"/>
      <c r="I37720" s="309"/>
      <c r="J37720" s="309"/>
    </row>
    <row r="37721">
      <c r="B37721" s="309"/>
      <c r="C37721" s="309"/>
      <c r="I37721" s="309"/>
      <c r="J37721" s="309"/>
    </row>
    <row r="37722">
      <c r="B37722" s="309"/>
      <c r="C37722" s="309"/>
      <c r="I37722" s="309"/>
      <c r="J37722" s="309"/>
    </row>
    <row r="37723">
      <c r="B37723" s="309"/>
      <c r="C37723" s="309"/>
      <c r="I37723" s="309"/>
      <c r="J37723" s="309"/>
    </row>
    <row r="37724">
      <c r="B37724" s="309"/>
      <c r="C37724" s="309"/>
      <c r="I37724" s="309"/>
      <c r="J37724" s="309"/>
    </row>
    <row r="37725">
      <c r="B37725" s="309"/>
      <c r="C37725" s="309"/>
      <c r="I37725" s="309"/>
      <c r="J37725" s="309"/>
    </row>
    <row r="37726">
      <c r="B37726" s="309"/>
      <c r="C37726" s="309"/>
      <c r="I37726" s="309"/>
      <c r="J37726" s="309"/>
    </row>
    <row r="37727">
      <c r="B37727" s="309"/>
      <c r="C37727" s="309"/>
      <c r="I37727" s="309"/>
      <c r="J37727" s="309"/>
    </row>
    <row r="37728">
      <c r="B37728" s="309"/>
      <c r="C37728" s="309"/>
      <c r="I37728" s="309"/>
      <c r="J37728" s="309"/>
    </row>
    <row r="37729">
      <c r="B37729" s="309"/>
      <c r="C37729" s="309"/>
      <c r="I37729" s="309"/>
      <c r="J37729" s="309"/>
    </row>
    <row r="37730">
      <c r="B37730" s="309"/>
      <c r="C37730" s="309"/>
      <c r="I37730" s="309"/>
      <c r="J37730" s="309"/>
    </row>
    <row r="37731">
      <c r="B37731" s="309"/>
      <c r="C37731" s="309"/>
      <c r="I37731" s="309"/>
      <c r="J37731" s="309"/>
    </row>
    <row r="37732">
      <c r="B37732" s="309"/>
      <c r="C37732" s="309"/>
      <c r="I37732" s="309"/>
      <c r="J37732" s="309"/>
    </row>
    <row r="37733">
      <c r="B37733" s="309"/>
      <c r="C37733" s="309"/>
      <c r="I37733" s="309"/>
      <c r="J37733" s="309"/>
    </row>
    <row r="37734">
      <c r="B37734" s="309"/>
      <c r="C37734" s="309"/>
      <c r="I37734" s="309"/>
      <c r="J37734" s="309"/>
    </row>
    <row r="37735">
      <c r="B37735" s="309"/>
      <c r="C37735" s="309"/>
      <c r="I37735" s="309"/>
      <c r="J37735" s="309"/>
    </row>
    <row r="37736">
      <c r="B37736" s="309"/>
      <c r="C37736" s="309"/>
      <c r="I37736" s="309"/>
      <c r="J37736" s="309"/>
    </row>
    <row r="37737">
      <c r="B37737" s="309"/>
      <c r="C37737" s="309"/>
      <c r="I37737" s="309"/>
      <c r="J37737" s="309"/>
    </row>
    <row r="37738">
      <c r="B37738" s="309"/>
      <c r="C37738" s="309"/>
      <c r="I37738" s="309"/>
      <c r="J37738" s="309"/>
    </row>
    <row r="37739">
      <c r="B37739" s="309"/>
      <c r="C37739" s="309"/>
      <c r="I37739" s="309"/>
      <c r="J37739" s="309"/>
    </row>
    <row r="37740">
      <c r="B37740" s="309"/>
      <c r="C37740" s="309"/>
      <c r="I37740" s="309"/>
      <c r="J37740" s="309"/>
    </row>
    <row r="37741">
      <c r="B37741" s="309"/>
      <c r="C37741" s="309"/>
      <c r="I37741" s="309"/>
      <c r="J37741" s="309"/>
    </row>
    <row r="37742">
      <c r="B37742" s="309"/>
      <c r="C37742" s="309"/>
      <c r="I37742" s="309"/>
      <c r="J37742" s="309"/>
    </row>
    <row r="37743">
      <c r="B37743" s="309"/>
      <c r="C37743" s="309"/>
      <c r="I37743" s="309"/>
      <c r="J37743" s="309"/>
    </row>
    <row r="37744">
      <c r="B37744" s="309"/>
      <c r="C37744" s="309"/>
      <c r="I37744" s="309"/>
      <c r="J37744" s="309"/>
    </row>
    <row r="37745">
      <c r="B37745" s="309"/>
      <c r="C37745" s="309"/>
      <c r="I37745" s="309"/>
      <c r="J37745" s="309"/>
    </row>
    <row r="37746">
      <c r="B37746" s="309"/>
      <c r="C37746" s="309"/>
      <c r="I37746" s="309"/>
      <c r="J37746" s="309"/>
    </row>
    <row r="37747">
      <c r="B37747" s="309"/>
      <c r="C37747" s="309"/>
      <c r="I37747" s="309"/>
      <c r="J37747" s="309"/>
    </row>
    <row r="37748">
      <c r="B37748" s="309"/>
      <c r="C37748" s="309"/>
      <c r="I37748" s="309"/>
      <c r="J37748" s="309"/>
    </row>
    <row r="37749">
      <c r="B37749" s="309"/>
      <c r="C37749" s="309"/>
      <c r="I37749" s="309"/>
      <c r="J37749" s="309"/>
    </row>
    <row r="37750">
      <c r="B37750" s="309"/>
      <c r="C37750" s="309"/>
      <c r="I37750" s="309"/>
      <c r="J37750" s="309"/>
    </row>
    <row r="37751">
      <c r="B37751" s="309"/>
      <c r="C37751" s="309"/>
      <c r="I37751" s="309"/>
      <c r="J37751" s="309"/>
    </row>
    <row r="37752">
      <c r="B37752" s="309"/>
      <c r="C37752" s="309"/>
      <c r="I37752" s="309"/>
      <c r="J37752" s="309"/>
    </row>
    <row r="37753">
      <c r="B37753" s="309"/>
      <c r="C37753" s="309"/>
      <c r="I37753" s="309"/>
      <c r="J37753" s="309"/>
    </row>
    <row r="37754">
      <c r="B37754" s="309"/>
      <c r="C37754" s="309"/>
      <c r="I37754" s="309"/>
      <c r="J37754" s="309"/>
    </row>
    <row r="37755">
      <c r="B37755" s="309"/>
      <c r="C37755" s="309"/>
      <c r="I37755" s="309"/>
      <c r="J37755" s="309"/>
    </row>
    <row r="37756">
      <c r="B37756" s="309"/>
      <c r="C37756" s="309"/>
      <c r="I37756" s="309"/>
      <c r="J37756" s="309"/>
    </row>
    <row r="37757">
      <c r="B37757" s="309"/>
      <c r="C37757" s="309"/>
      <c r="I37757" s="309"/>
      <c r="J37757" s="309"/>
    </row>
    <row r="37758">
      <c r="B37758" s="309"/>
      <c r="C37758" s="309"/>
      <c r="I37758" s="309"/>
      <c r="J37758" s="309"/>
    </row>
    <row r="37759">
      <c r="B37759" s="309"/>
      <c r="C37759" s="309"/>
      <c r="I37759" s="309"/>
      <c r="J37759" s="309"/>
    </row>
    <row r="37760">
      <c r="B37760" s="309"/>
      <c r="C37760" s="309"/>
      <c r="I37760" s="309"/>
      <c r="J37760" s="309"/>
    </row>
    <row r="37761">
      <c r="B37761" s="309"/>
      <c r="C37761" s="309"/>
      <c r="I37761" s="309"/>
      <c r="J37761" s="309"/>
    </row>
    <row r="37762">
      <c r="B37762" s="309"/>
      <c r="C37762" s="309"/>
      <c r="I37762" s="309"/>
      <c r="J37762" s="309"/>
    </row>
    <row r="37763">
      <c r="B37763" s="309"/>
      <c r="C37763" s="309"/>
      <c r="I37763" s="309"/>
      <c r="J37763" s="309"/>
    </row>
    <row r="37764">
      <c r="B37764" s="309"/>
      <c r="C37764" s="309"/>
      <c r="I37764" s="309"/>
      <c r="J37764" s="309"/>
    </row>
    <row r="37765">
      <c r="B37765" s="309"/>
      <c r="C37765" s="309"/>
      <c r="I37765" s="309"/>
      <c r="J37765" s="309"/>
    </row>
    <row r="37766">
      <c r="B37766" s="309"/>
      <c r="C37766" s="309"/>
      <c r="I37766" s="309"/>
      <c r="J37766" s="309"/>
    </row>
    <row r="37767">
      <c r="B37767" s="309"/>
      <c r="C37767" s="309"/>
      <c r="I37767" s="309"/>
      <c r="J37767" s="309"/>
    </row>
    <row r="37768">
      <c r="B37768" s="309"/>
      <c r="C37768" s="309"/>
      <c r="I37768" s="309"/>
      <c r="J37768" s="309"/>
    </row>
    <row r="37769">
      <c r="B37769" s="309"/>
      <c r="C37769" s="309"/>
      <c r="I37769" s="309"/>
      <c r="J37769" s="309"/>
    </row>
    <row r="37770">
      <c r="B37770" s="309"/>
      <c r="C37770" s="309"/>
      <c r="I37770" s="309"/>
      <c r="J37770" s="309"/>
    </row>
    <row r="37771">
      <c r="B37771" s="309"/>
      <c r="C37771" s="309"/>
      <c r="I37771" s="309"/>
      <c r="J37771" s="309"/>
    </row>
    <row r="37772">
      <c r="B37772" s="309"/>
      <c r="C37772" s="309"/>
      <c r="I37772" s="309"/>
      <c r="J37772" s="309"/>
    </row>
    <row r="37773">
      <c r="B37773" s="309"/>
      <c r="C37773" s="309"/>
      <c r="I37773" s="309"/>
      <c r="J37773" s="309"/>
    </row>
    <row r="37774">
      <c r="B37774" s="309"/>
      <c r="C37774" s="309"/>
      <c r="I37774" s="309"/>
      <c r="J37774" s="309"/>
    </row>
    <row r="37775">
      <c r="B37775" s="309"/>
      <c r="C37775" s="309"/>
      <c r="I37775" s="309"/>
      <c r="J37775" s="309"/>
    </row>
    <row r="37776">
      <c r="B37776" s="309"/>
      <c r="C37776" s="309"/>
      <c r="I37776" s="309"/>
      <c r="J37776" s="309"/>
    </row>
    <row r="37777">
      <c r="B37777" s="309"/>
      <c r="C37777" s="309"/>
      <c r="I37777" s="309"/>
      <c r="J37777" s="309"/>
    </row>
    <row r="37778">
      <c r="B37778" s="309"/>
      <c r="C37778" s="309"/>
      <c r="I37778" s="309"/>
      <c r="J37778" s="309"/>
    </row>
    <row r="37779">
      <c r="B37779" s="309"/>
      <c r="C37779" s="309"/>
      <c r="I37779" s="309"/>
      <c r="J37779" s="309"/>
    </row>
    <row r="37780">
      <c r="B37780" s="309"/>
      <c r="C37780" s="309"/>
      <c r="I37780" s="309"/>
      <c r="J37780" s="309"/>
    </row>
    <row r="37781">
      <c r="B37781" s="309"/>
      <c r="C37781" s="309"/>
      <c r="I37781" s="309"/>
      <c r="J37781" s="309"/>
    </row>
    <row r="37782">
      <c r="B37782" s="309"/>
      <c r="C37782" s="309"/>
      <c r="I37782" s="309"/>
      <c r="J37782" s="309"/>
    </row>
    <row r="37783">
      <c r="B37783" s="309"/>
      <c r="C37783" s="309"/>
      <c r="I37783" s="309"/>
      <c r="J37783" s="309"/>
    </row>
    <row r="37784">
      <c r="B37784" s="309"/>
      <c r="C37784" s="309"/>
      <c r="I37784" s="309"/>
      <c r="J37784" s="309"/>
    </row>
    <row r="37785">
      <c r="B37785" s="309"/>
      <c r="C37785" s="309"/>
      <c r="I37785" s="309"/>
      <c r="J37785" s="309"/>
    </row>
    <row r="37786">
      <c r="B37786" s="309"/>
      <c r="C37786" s="309"/>
      <c r="I37786" s="309"/>
      <c r="J37786" s="309"/>
    </row>
    <row r="37787">
      <c r="B37787" s="309"/>
      <c r="C37787" s="309"/>
      <c r="I37787" s="309"/>
      <c r="J37787" s="309"/>
    </row>
    <row r="37788">
      <c r="B37788" s="309"/>
      <c r="C37788" s="309"/>
      <c r="I37788" s="309"/>
      <c r="J37788" s="309"/>
    </row>
    <row r="37789">
      <c r="B37789" s="309"/>
      <c r="C37789" s="309"/>
      <c r="I37789" s="309"/>
      <c r="J37789" s="309"/>
    </row>
    <row r="37790">
      <c r="B37790" s="309"/>
      <c r="C37790" s="309"/>
      <c r="I37790" s="309"/>
      <c r="J37790" s="309"/>
    </row>
    <row r="37791">
      <c r="B37791" s="309"/>
      <c r="C37791" s="309"/>
      <c r="I37791" s="309"/>
      <c r="J37791" s="309"/>
    </row>
    <row r="37792">
      <c r="B37792" s="309"/>
      <c r="C37792" s="309"/>
      <c r="I37792" s="309"/>
      <c r="J37792" s="309"/>
    </row>
    <row r="37793">
      <c r="B37793" s="309"/>
      <c r="C37793" s="309"/>
      <c r="I37793" s="309"/>
      <c r="J37793" s="309"/>
    </row>
    <row r="37794">
      <c r="B37794" s="309"/>
      <c r="C37794" s="309"/>
      <c r="I37794" s="309"/>
      <c r="J37794" s="309"/>
    </row>
    <row r="37795">
      <c r="B37795" s="309"/>
      <c r="C37795" s="309"/>
      <c r="I37795" s="309"/>
      <c r="J37795" s="309"/>
    </row>
    <row r="37796">
      <c r="B37796" s="309"/>
      <c r="C37796" s="309"/>
      <c r="I37796" s="309"/>
      <c r="J37796" s="309"/>
    </row>
    <row r="37797">
      <c r="B37797" s="309"/>
      <c r="C37797" s="309"/>
      <c r="I37797" s="309"/>
      <c r="J37797" s="309"/>
    </row>
    <row r="37798">
      <c r="B37798" s="309"/>
      <c r="C37798" s="309"/>
      <c r="I37798" s="309"/>
      <c r="J37798" s="309"/>
    </row>
    <row r="37799">
      <c r="B37799" s="309"/>
      <c r="C37799" s="309"/>
      <c r="I37799" s="309"/>
      <c r="J37799" s="309"/>
    </row>
    <row r="37800">
      <c r="B37800" s="309"/>
      <c r="C37800" s="309"/>
      <c r="I37800" s="309"/>
      <c r="J37800" s="309"/>
    </row>
    <row r="37801">
      <c r="B37801" s="309"/>
      <c r="C37801" s="309"/>
      <c r="I37801" s="309"/>
      <c r="J37801" s="309"/>
    </row>
    <row r="37802">
      <c r="B37802" s="309"/>
      <c r="C37802" s="309"/>
      <c r="I37802" s="309"/>
      <c r="J37802" s="309"/>
    </row>
    <row r="37803">
      <c r="B37803" s="309"/>
      <c r="C37803" s="309"/>
      <c r="I37803" s="309"/>
      <c r="J37803" s="309"/>
    </row>
    <row r="37804">
      <c r="B37804" s="309"/>
      <c r="C37804" s="309"/>
      <c r="I37804" s="309"/>
      <c r="J37804" s="309"/>
    </row>
    <row r="37805">
      <c r="B37805" s="309"/>
      <c r="C37805" s="309"/>
      <c r="I37805" s="309"/>
      <c r="J37805" s="309"/>
    </row>
    <row r="37806">
      <c r="B37806" s="309"/>
      <c r="C37806" s="309"/>
      <c r="I37806" s="309"/>
      <c r="J37806" s="309"/>
    </row>
    <row r="37807">
      <c r="B37807" s="309"/>
      <c r="C37807" s="309"/>
      <c r="I37807" s="309"/>
      <c r="J37807" s="309"/>
    </row>
    <row r="37808">
      <c r="B37808" s="309"/>
      <c r="C37808" s="309"/>
      <c r="I37808" s="309"/>
      <c r="J37808" s="309"/>
    </row>
    <row r="37809">
      <c r="B37809" s="309"/>
      <c r="C37809" s="309"/>
      <c r="I37809" s="309"/>
      <c r="J37809" s="309"/>
    </row>
    <row r="37810">
      <c r="B37810" s="309"/>
      <c r="C37810" s="309"/>
      <c r="I37810" s="309"/>
      <c r="J37810" s="309"/>
    </row>
    <row r="37811">
      <c r="B37811" s="309"/>
      <c r="C37811" s="309"/>
      <c r="I37811" s="309"/>
      <c r="J37811" s="309"/>
    </row>
    <row r="37812">
      <c r="B37812" s="309"/>
      <c r="C37812" s="309"/>
      <c r="I37812" s="309"/>
      <c r="J37812" s="309"/>
    </row>
    <row r="37813">
      <c r="B37813" s="309"/>
      <c r="C37813" s="309"/>
      <c r="I37813" s="309"/>
      <c r="J37813" s="309"/>
    </row>
    <row r="37814">
      <c r="B37814" s="309"/>
      <c r="C37814" s="309"/>
      <c r="I37814" s="309"/>
      <c r="J37814" s="309"/>
    </row>
    <row r="37815">
      <c r="B37815" s="309"/>
      <c r="C37815" s="309"/>
      <c r="I37815" s="309"/>
      <c r="J37815" s="309"/>
    </row>
    <row r="37816">
      <c r="B37816" s="309"/>
      <c r="C37816" s="309"/>
      <c r="I37816" s="309"/>
      <c r="J37816" s="309"/>
    </row>
    <row r="37817">
      <c r="B37817" s="309"/>
      <c r="C37817" s="309"/>
      <c r="I37817" s="309"/>
      <c r="J37817" s="309"/>
    </row>
    <row r="37818">
      <c r="B37818" s="309"/>
      <c r="C37818" s="309"/>
      <c r="I37818" s="309"/>
      <c r="J37818" s="309"/>
    </row>
    <row r="37819">
      <c r="B37819" s="309"/>
      <c r="C37819" s="309"/>
      <c r="I37819" s="309"/>
      <c r="J37819" s="309"/>
    </row>
    <row r="37820">
      <c r="B37820" s="309"/>
      <c r="C37820" s="309"/>
      <c r="I37820" s="309"/>
      <c r="J37820" s="309"/>
    </row>
    <row r="37821">
      <c r="B37821" s="309"/>
      <c r="C37821" s="309"/>
      <c r="I37821" s="309"/>
      <c r="J37821" s="309"/>
    </row>
    <row r="37822">
      <c r="B37822" s="309"/>
      <c r="C37822" s="309"/>
      <c r="I37822" s="309"/>
      <c r="J37822" s="309"/>
    </row>
    <row r="37823">
      <c r="B37823" s="309"/>
      <c r="C37823" s="309"/>
      <c r="I37823" s="309"/>
      <c r="J37823" s="309"/>
    </row>
    <row r="37824">
      <c r="B37824" s="309"/>
      <c r="C37824" s="309"/>
      <c r="I37824" s="309"/>
      <c r="J37824" s="309"/>
    </row>
    <row r="37825">
      <c r="B37825" s="309"/>
      <c r="C37825" s="309"/>
      <c r="I37825" s="309"/>
      <c r="J37825" s="309"/>
    </row>
    <row r="37826">
      <c r="B37826" s="309"/>
      <c r="C37826" s="309"/>
      <c r="I37826" s="309"/>
      <c r="J37826" s="309"/>
    </row>
    <row r="37827">
      <c r="B37827" s="309"/>
      <c r="C37827" s="309"/>
      <c r="I37827" s="309"/>
      <c r="J37827" s="309"/>
    </row>
    <row r="37828">
      <c r="B37828" s="309"/>
      <c r="C37828" s="309"/>
      <c r="I37828" s="309"/>
      <c r="J37828" s="309"/>
    </row>
    <row r="37829">
      <c r="B37829" s="309"/>
      <c r="C37829" s="309"/>
      <c r="I37829" s="309"/>
      <c r="J37829" s="309"/>
    </row>
    <row r="37830">
      <c r="B37830" s="309"/>
      <c r="C37830" s="309"/>
      <c r="I37830" s="309"/>
      <c r="J37830" s="309"/>
    </row>
    <row r="37831">
      <c r="B37831" s="309"/>
      <c r="C37831" s="309"/>
      <c r="I37831" s="309"/>
      <c r="J37831" s="309"/>
    </row>
    <row r="37832">
      <c r="B37832" s="309"/>
      <c r="C37832" s="309"/>
      <c r="I37832" s="309"/>
      <c r="J37832" s="309"/>
    </row>
    <row r="37833">
      <c r="B37833" s="309"/>
      <c r="C37833" s="309"/>
      <c r="I37833" s="309"/>
      <c r="J37833" s="309"/>
    </row>
    <row r="37834">
      <c r="B37834" s="309"/>
      <c r="C37834" s="309"/>
      <c r="I37834" s="309"/>
      <c r="J37834" s="309"/>
    </row>
    <row r="37835">
      <c r="B37835" s="309"/>
      <c r="C37835" s="309"/>
      <c r="I37835" s="309"/>
      <c r="J37835" s="309"/>
    </row>
    <row r="37836">
      <c r="B37836" s="309"/>
      <c r="C37836" s="309"/>
      <c r="I37836" s="309"/>
      <c r="J37836" s="309"/>
    </row>
    <row r="37837">
      <c r="B37837" s="309"/>
      <c r="C37837" s="309"/>
      <c r="I37837" s="309"/>
      <c r="J37837" s="309"/>
    </row>
    <row r="37838">
      <c r="B37838" s="309"/>
      <c r="C37838" s="309"/>
      <c r="I37838" s="309"/>
      <c r="J37838" s="309"/>
    </row>
    <row r="37839">
      <c r="B37839" s="309"/>
      <c r="C37839" s="309"/>
      <c r="I37839" s="309"/>
      <c r="J37839" s="309"/>
    </row>
    <row r="37840">
      <c r="B37840" s="309"/>
      <c r="C37840" s="309"/>
      <c r="I37840" s="309"/>
      <c r="J37840" s="309"/>
    </row>
    <row r="37841">
      <c r="B37841" s="309"/>
      <c r="C37841" s="309"/>
      <c r="I37841" s="309"/>
      <c r="J37841" s="309"/>
    </row>
    <row r="37842">
      <c r="B37842" s="309"/>
      <c r="C37842" s="309"/>
      <c r="I37842" s="309"/>
      <c r="J37842" s="309"/>
    </row>
    <row r="37843">
      <c r="B37843" s="309"/>
      <c r="C37843" s="309"/>
      <c r="I37843" s="309"/>
      <c r="J37843" s="309"/>
    </row>
    <row r="37844">
      <c r="B37844" s="309"/>
      <c r="C37844" s="309"/>
      <c r="I37844" s="309"/>
      <c r="J37844" s="309"/>
    </row>
    <row r="37845">
      <c r="B37845" s="309"/>
      <c r="C37845" s="309"/>
      <c r="I37845" s="309"/>
      <c r="J37845" s="309"/>
    </row>
    <row r="37846">
      <c r="B37846" s="309"/>
      <c r="C37846" s="309"/>
      <c r="I37846" s="309"/>
      <c r="J37846" s="309"/>
    </row>
    <row r="37847">
      <c r="B37847" s="309"/>
      <c r="C37847" s="309"/>
      <c r="I37847" s="309"/>
      <c r="J37847" s="309"/>
    </row>
    <row r="37848">
      <c r="B37848" s="309"/>
      <c r="C37848" s="309"/>
      <c r="I37848" s="309"/>
      <c r="J37848" s="309"/>
    </row>
    <row r="37849">
      <c r="B37849" s="309"/>
      <c r="C37849" s="309"/>
      <c r="I37849" s="309"/>
      <c r="J37849" s="309"/>
    </row>
    <row r="37850">
      <c r="B37850" s="309"/>
      <c r="C37850" s="309"/>
      <c r="I37850" s="309"/>
      <c r="J37850" s="309"/>
    </row>
    <row r="37851">
      <c r="B37851" s="309"/>
      <c r="C37851" s="309"/>
      <c r="I37851" s="309"/>
      <c r="J37851" s="309"/>
    </row>
    <row r="37852">
      <c r="B37852" s="309"/>
      <c r="C37852" s="309"/>
      <c r="I37852" s="309"/>
      <c r="J37852" s="309"/>
    </row>
    <row r="37853">
      <c r="B37853" s="309"/>
      <c r="C37853" s="309"/>
      <c r="I37853" s="309"/>
      <c r="J37853" s="309"/>
    </row>
    <row r="37854">
      <c r="B37854" s="309"/>
      <c r="C37854" s="309"/>
      <c r="I37854" s="309"/>
      <c r="J37854" s="309"/>
    </row>
    <row r="37855">
      <c r="B37855" s="309"/>
      <c r="C37855" s="309"/>
      <c r="I37855" s="309"/>
      <c r="J37855" s="309"/>
    </row>
    <row r="37856">
      <c r="B37856" s="309"/>
      <c r="C37856" s="309"/>
      <c r="I37856" s="309"/>
      <c r="J37856" s="309"/>
    </row>
    <row r="37857">
      <c r="B37857" s="309"/>
      <c r="C37857" s="309"/>
      <c r="I37857" s="309"/>
      <c r="J37857" s="309"/>
    </row>
    <row r="37858">
      <c r="B37858" s="309"/>
      <c r="C37858" s="309"/>
      <c r="I37858" s="309"/>
      <c r="J37858" s="309"/>
    </row>
    <row r="37859">
      <c r="B37859" s="309"/>
      <c r="C37859" s="309"/>
      <c r="I37859" s="309"/>
      <c r="J37859" s="309"/>
    </row>
    <row r="37860">
      <c r="B37860" s="309"/>
      <c r="C37860" s="309"/>
      <c r="I37860" s="309"/>
      <c r="J37860" s="309"/>
    </row>
    <row r="37861">
      <c r="B37861" s="309"/>
      <c r="C37861" s="309"/>
      <c r="I37861" s="309"/>
      <c r="J37861" s="309"/>
    </row>
    <row r="37862">
      <c r="B37862" s="309"/>
      <c r="C37862" s="309"/>
      <c r="I37862" s="309"/>
      <c r="J37862" s="309"/>
    </row>
    <row r="37863">
      <c r="B37863" s="309"/>
      <c r="C37863" s="309"/>
      <c r="I37863" s="309"/>
      <c r="J37863" s="309"/>
    </row>
    <row r="37864">
      <c r="B37864" s="309"/>
      <c r="C37864" s="309"/>
      <c r="I37864" s="309"/>
      <c r="J37864" s="309"/>
    </row>
    <row r="37865">
      <c r="B37865" s="309"/>
      <c r="C37865" s="309"/>
      <c r="I37865" s="309"/>
      <c r="J37865" s="309"/>
    </row>
    <row r="37866">
      <c r="B37866" s="309"/>
      <c r="C37866" s="309"/>
      <c r="I37866" s="309"/>
      <c r="J37866" s="309"/>
    </row>
    <row r="37867">
      <c r="B37867" s="309"/>
      <c r="C37867" s="309"/>
      <c r="I37867" s="309"/>
      <c r="J37867" s="309"/>
    </row>
    <row r="37868">
      <c r="B37868" s="309"/>
      <c r="C37868" s="309"/>
      <c r="I37868" s="309"/>
      <c r="J37868" s="309"/>
    </row>
    <row r="37869">
      <c r="B37869" s="309"/>
      <c r="C37869" s="309"/>
      <c r="I37869" s="309"/>
      <c r="J37869" s="309"/>
    </row>
    <row r="37870">
      <c r="B37870" s="309"/>
      <c r="C37870" s="309"/>
      <c r="I37870" s="309"/>
      <c r="J37870" s="309"/>
    </row>
    <row r="37871">
      <c r="B37871" s="309"/>
      <c r="C37871" s="309"/>
      <c r="I37871" s="309"/>
      <c r="J37871" s="309"/>
    </row>
    <row r="37872">
      <c r="B37872" s="309"/>
      <c r="C37872" s="309"/>
      <c r="I37872" s="309"/>
      <c r="J37872" s="309"/>
    </row>
    <row r="37873">
      <c r="B37873" s="309"/>
      <c r="C37873" s="309"/>
      <c r="I37873" s="309"/>
      <c r="J37873" s="309"/>
    </row>
    <row r="37874">
      <c r="B37874" s="309"/>
      <c r="C37874" s="309"/>
      <c r="I37874" s="309"/>
      <c r="J37874" s="309"/>
    </row>
    <row r="37875">
      <c r="B37875" s="309"/>
      <c r="C37875" s="309"/>
      <c r="I37875" s="309"/>
      <c r="J37875" s="309"/>
    </row>
    <row r="37876">
      <c r="B37876" s="309"/>
      <c r="C37876" s="309"/>
      <c r="I37876" s="309"/>
      <c r="J37876" s="309"/>
    </row>
    <row r="37877">
      <c r="B37877" s="309"/>
      <c r="C37877" s="309"/>
      <c r="I37877" s="309"/>
      <c r="J37877" s="309"/>
    </row>
    <row r="37878">
      <c r="B37878" s="309"/>
      <c r="C37878" s="309"/>
      <c r="I37878" s="309"/>
      <c r="J37878" s="309"/>
    </row>
    <row r="37879">
      <c r="B37879" s="309"/>
      <c r="C37879" s="309"/>
      <c r="I37879" s="309"/>
      <c r="J37879" s="309"/>
    </row>
    <row r="37880">
      <c r="B37880" s="309"/>
      <c r="C37880" s="309"/>
      <c r="I37880" s="309"/>
      <c r="J37880" s="309"/>
    </row>
    <row r="37881">
      <c r="B37881" s="309"/>
      <c r="C37881" s="309"/>
      <c r="I37881" s="309"/>
      <c r="J37881" s="309"/>
    </row>
    <row r="37882">
      <c r="B37882" s="309"/>
      <c r="C37882" s="309"/>
      <c r="I37882" s="309"/>
      <c r="J37882" s="309"/>
    </row>
    <row r="37883">
      <c r="B37883" s="309"/>
      <c r="C37883" s="309"/>
      <c r="I37883" s="309"/>
      <c r="J37883" s="309"/>
    </row>
    <row r="37884">
      <c r="B37884" s="309"/>
      <c r="C37884" s="309"/>
      <c r="I37884" s="309"/>
      <c r="J37884" s="309"/>
    </row>
    <row r="37885">
      <c r="B37885" s="309"/>
      <c r="C37885" s="309"/>
      <c r="I37885" s="309"/>
      <c r="J37885" s="309"/>
    </row>
    <row r="37886">
      <c r="B37886" s="309"/>
      <c r="C37886" s="309"/>
      <c r="I37886" s="309"/>
      <c r="J37886" s="309"/>
    </row>
    <row r="37887">
      <c r="B37887" s="309"/>
      <c r="C37887" s="309"/>
      <c r="I37887" s="309"/>
      <c r="J37887" s="309"/>
    </row>
    <row r="37888">
      <c r="B37888" s="309"/>
      <c r="C37888" s="309"/>
      <c r="I37888" s="309"/>
      <c r="J37888" s="309"/>
    </row>
    <row r="37889">
      <c r="B37889" s="309"/>
      <c r="C37889" s="309"/>
      <c r="I37889" s="309"/>
      <c r="J37889" s="309"/>
    </row>
    <row r="37890">
      <c r="B37890" s="309"/>
      <c r="C37890" s="309"/>
      <c r="I37890" s="309"/>
      <c r="J37890" s="309"/>
    </row>
    <row r="37891">
      <c r="B37891" s="309"/>
      <c r="C37891" s="309"/>
      <c r="I37891" s="309"/>
      <c r="J37891" s="309"/>
    </row>
    <row r="37892">
      <c r="B37892" s="309"/>
      <c r="C37892" s="309"/>
      <c r="I37892" s="309"/>
      <c r="J37892" s="309"/>
    </row>
    <row r="37893">
      <c r="B37893" s="309"/>
      <c r="C37893" s="309"/>
      <c r="I37893" s="309"/>
      <c r="J37893" s="309"/>
    </row>
    <row r="37894">
      <c r="B37894" s="309"/>
      <c r="C37894" s="309"/>
      <c r="I37894" s="309"/>
      <c r="J37894" s="309"/>
    </row>
    <row r="37895">
      <c r="B37895" s="309"/>
      <c r="C37895" s="309"/>
      <c r="I37895" s="309"/>
      <c r="J37895" s="309"/>
    </row>
    <row r="37896">
      <c r="B37896" s="309"/>
      <c r="C37896" s="309"/>
      <c r="I37896" s="309"/>
      <c r="J37896" s="309"/>
    </row>
    <row r="37897">
      <c r="B37897" s="309"/>
      <c r="C37897" s="309"/>
      <c r="I37897" s="309"/>
      <c r="J37897" s="309"/>
    </row>
    <row r="37898">
      <c r="B37898" s="309"/>
      <c r="C37898" s="309"/>
      <c r="I37898" s="309"/>
      <c r="J37898" s="309"/>
    </row>
    <row r="37899">
      <c r="B37899" s="309"/>
      <c r="C37899" s="309"/>
      <c r="I37899" s="309"/>
      <c r="J37899" s="309"/>
    </row>
    <row r="37900">
      <c r="B37900" s="309"/>
      <c r="C37900" s="309"/>
      <c r="I37900" s="309"/>
      <c r="J37900" s="309"/>
    </row>
    <row r="37901">
      <c r="B37901" s="309"/>
      <c r="C37901" s="309"/>
      <c r="I37901" s="309"/>
      <c r="J37901" s="309"/>
    </row>
    <row r="37902">
      <c r="B37902" s="309"/>
      <c r="C37902" s="309"/>
      <c r="I37902" s="309"/>
      <c r="J37902" s="309"/>
    </row>
    <row r="37903">
      <c r="B37903" s="309"/>
      <c r="C37903" s="309"/>
      <c r="I37903" s="309"/>
      <c r="J37903" s="309"/>
    </row>
    <row r="37904">
      <c r="B37904" s="309"/>
      <c r="C37904" s="309"/>
      <c r="I37904" s="309"/>
      <c r="J37904" s="309"/>
    </row>
    <row r="37905">
      <c r="B37905" s="309"/>
      <c r="C37905" s="309"/>
      <c r="I37905" s="309"/>
      <c r="J37905" s="309"/>
    </row>
    <row r="37906">
      <c r="B37906" s="309"/>
      <c r="C37906" s="309"/>
      <c r="I37906" s="309"/>
      <c r="J37906" s="309"/>
    </row>
    <row r="37907">
      <c r="B37907" s="309"/>
      <c r="C37907" s="309"/>
      <c r="I37907" s="309"/>
      <c r="J37907" s="309"/>
    </row>
    <row r="37908">
      <c r="B37908" s="309"/>
      <c r="C37908" s="309"/>
      <c r="I37908" s="309"/>
      <c r="J37908" s="309"/>
    </row>
    <row r="37909">
      <c r="B37909" s="309"/>
      <c r="C37909" s="309"/>
      <c r="I37909" s="309"/>
      <c r="J37909" s="309"/>
    </row>
    <row r="37910">
      <c r="B37910" s="309"/>
      <c r="C37910" s="309"/>
      <c r="I37910" s="309"/>
      <c r="J37910" s="309"/>
    </row>
    <row r="37911">
      <c r="B37911" s="309"/>
      <c r="C37911" s="309"/>
      <c r="I37911" s="309"/>
      <c r="J37911" s="309"/>
    </row>
    <row r="37912">
      <c r="B37912" s="309"/>
      <c r="C37912" s="309"/>
      <c r="I37912" s="309"/>
      <c r="J37912" s="309"/>
    </row>
    <row r="37913">
      <c r="B37913" s="309"/>
      <c r="C37913" s="309"/>
      <c r="I37913" s="309"/>
      <c r="J37913" s="309"/>
    </row>
    <row r="37914">
      <c r="B37914" s="309"/>
      <c r="C37914" s="309"/>
      <c r="I37914" s="309"/>
      <c r="J37914" s="309"/>
    </row>
    <row r="37915">
      <c r="B37915" s="309"/>
      <c r="C37915" s="309"/>
      <c r="I37915" s="309"/>
      <c r="J37915" s="309"/>
    </row>
    <row r="37916">
      <c r="B37916" s="309"/>
      <c r="C37916" s="309"/>
      <c r="I37916" s="309"/>
      <c r="J37916" s="309"/>
    </row>
    <row r="37917">
      <c r="B37917" s="309"/>
      <c r="C37917" s="309"/>
      <c r="I37917" s="309"/>
      <c r="J37917" s="309"/>
    </row>
    <row r="37918">
      <c r="B37918" s="309"/>
      <c r="C37918" s="309"/>
      <c r="I37918" s="309"/>
      <c r="J37918" s="309"/>
    </row>
    <row r="37919">
      <c r="B37919" s="309"/>
      <c r="C37919" s="309"/>
      <c r="I37919" s="309"/>
      <c r="J37919" s="309"/>
    </row>
    <row r="37920">
      <c r="B37920" s="309"/>
      <c r="C37920" s="309"/>
      <c r="I37920" s="309"/>
      <c r="J37920" s="309"/>
    </row>
    <row r="37921">
      <c r="B37921" s="309"/>
      <c r="C37921" s="309"/>
      <c r="I37921" s="309"/>
      <c r="J37921" s="309"/>
    </row>
    <row r="37922">
      <c r="B37922" s="309"/>
      <c r="C37922" s="309"/>
      <c r="I37922" s="309"/>
      <c r="J37922" s="309"/>
    </row>
    <row r="37923">
      <c r="B37923" s="309"/>
      <c r="C37923" s="309"/>
      <c r="I37923" s="309"/>
      <c r="J37923" s="309"/>
    </row>
    <row r="37924">
      <c r="B37924" s="309"/>
      <c r="C37924" s="309"/>
      <c r="I37924" s="309"/>
      <c r="J37924" s="309"/>
    </row>
    <row r="37925">
      <c r="B37925" s="309"/>
      <c r="C37925" s="309"/>
      <c r="I37925" s="309"/>
      <c r="J37925" s="309"/>
    </row>
    <row r="37926">
      <c r="B37926" s="309"/>
      <c r="C37926" s="309"/>
      <c r="I37926" s="309"/>
      <c r="J37926" s="309"/>
    </row>
    <row r="37927">
      <c r="B37927" s="309"/>
      <c r="C37927" s="309"/>
      <c r="I37927" s="309"/>
      <c r="J37927" s="309"/>
    </row>
    <row r="37928">
      <c r="B37928" s="309"/>
      <c r="C37928" s="309"/>
      <c r="I37928" s="309"/>
      <c r="J37928" s="309"/>
    </row>
    <row r="37929">
      <c r="B37929" s="309"/>
      <c r="C37929" s="309"/>
      <c r="I37929" s="309"/>
      <c r="J37929" s="309"/>
    </row>
    <row r="37930">
      <c r="B37930" s="309"/>
      <c r="C37930" s="309"/>
      <c r="I37930" s="309"/>
      <c r="J37930" s="309"/>
    </row>
    <row r="37931">
      <c r="B37931" s="309"/>
      <c r="C37931" s="309"/>
      <c r="I37931" s="309"/>
      <c r="J37931" s="309"/>
    </row>
    <row r="37932">
      <c r="B37932" s="309"/>
      <c r="C37932" s="309"/>
      <c r="I37932" s="309"/>
      <c r="J37932" s="309"/>
    </row>
    <row r="37933">
      <c r="B37933" s="309"/>
      <c r="C37933" s="309"/>
      <c r="I37933" s="309"/>
      <c r="J37933" s="309"/>
    </row>
    <row r="37934">
      <c r="B37934" s="309"/>
      <c r="C37934" s="309"/>
      <c r="I37934" s="309"/>
      <c r="J37934" s="309"/>
    </row>
    <row r="37935">
      <c r="B37935" s="309"/>
      <c r="C37935" s="309"/>
      <c r="I37935" s="309"/>
      <c r="J37935" s="309"/>
    </row>
    <row r="37936">
      <c r="B37936" s="309"/>
      <c r="C37936" s="309"/>
      <c r="I37936" s="309"/>
      <c r="J37936" s="309"/>
    </row>
    <row r="37937">
      <c r="B37937" s="309"/>
      <c r="C37937" s="309"/>
      <c r="I37937" s="309"/>
      <c r="J37937" s="309"/>
    </row>
    <row r="37938">
      <c r="B37938" s="309"/>
      <c r="C37938" s="309"/>
      <c r="I37938" s="309"/>
      <c r="J37938" s="309"/>
    </row>
    <row r="37939">
      <c r="B37939" s="309"/>
      <c r="C37939" s="309"/>
      <c r="I37939" s="309"/>
      <c r="J37939" s="309"/>
    </row>
    <row r="37940">
      <c r="B37940" s="309"/>
      <c r="C37940" s="309"/>
      <c r="I37940" s="309"/>
      <c r="J37940" s="309"/>
    </row>
    <row r="37941">
      <c r="B37941" s="309"/>
      <c r="C37941" s="309"/>
      <c r="I37941" s="309"/>
      <c r="J37941" s="309"/>
    </row>
    <row r="37942">
      <c r="B37942" s="309"/>
      <c r="C37942" s="309"/>
      <c r="I37942" s="309"/>
      <c r="J37942" s="309"/>
    </row>
    <row r="37943">
      <c r="B37943" s="309"/>
      <c r="C37943" s="309"/>
      <c r="I37943" s="309"/>
      <c r="J37943" s="309"/>
    </row>
    <row r="37944">
      <c r="B37944" s="309"/>
      <c r="C37944" s="309"/>
      <c r="I37944" s="309"/>
      <c r="J37944" s="309"/>
    </row>
    <row r="37945">
      <c r="B37945" s="309"/>
      <c r="C37945" s="309"/>
      <c r="I37945" s="309"/>
      <c r="J37945" s="309"/>
    </row>
    <row r="37946">
      <c r="B37946" s="309"/>
      <c r="C37946" s="309"/>
      <c r="I37946" s="309"/>
      <c r="J37946" s="309"/>
    </row>
    <row r="37947">
      <c r="B37947" s="309"/>
      <c r="C37947" s="309"/>
      <c r="I37947" s="309"/>
      <c r="J37947" s="309"/>
    </row>
    <row r="37948">
      <c r="B37948" s="309"/>
      <c r="C37948" s="309"/>
      <c r="I37948" s="309"/>
      <c r="J37948" s="309"/>
    </row>
    <row r="37949">
      <c r="B37949" s="309"/>
      <c r="C37949" s="309"/>
      <c r="I37949" s="309"/>
      <c r="J37949" s="309"/>
    </row>
    <row r="37950">
      <c r="B37950" s="309"/>
      <c r="C37950" s="309"/>
      <c r="I37950" s="309"/>
      <c r="J37950" s="309"/>
    </row>
    <row r="37951">
      <c r="B37951" s="309"/>
      <c r="C37951" s="309"/>
      <c r="I37951" s="309"/>
      <c r="J37951" s="309"/>
    </row>
    <row r="37952">
      <c r="B37952" s="309"/>
      <c r="C37952" s="309"/>
      <c r="I37952" s="309"/>
      <c r="J37952" s="309"/>
    </row>
    <row r="37953">
      <c r="B37953" s="309"/>
      <c r="C37953" s="309"/>
      <c r="I37953" s="309"/>
      <c r="J37953" s="309"/>
    </row>
    <row r="37954">
      <c r="B37954" s="309"/>
      <c r="C37954" s="309"/>
      <c r="I37954" s="309"/>
      <c r="J37954" s="309"/>
    </row>
    <row r="37955">
      <c r="B37955" s="309"/>
      <c r="C37955" s="309"/>
      <c r="I37955" s="309"/>
      <c r="J37955" s="309"/>
    </row>
    <row r="37956">
      <c r="B37956" s="309"/>
      <c r="C37956" s="309"/>
      <c r="I37956" s="309"/>
      <c r="J37956" s="309"/>
    </row>
    <row r="37957">
      <c r="B37957" s="309"/>
      <c r="C37957" s="309"/>
      <c r="I37957" s="309"/>
      <c r="J37957" s="309"/>
    </row>
    <row r="37958">
      <c r="B37958" s="309"/>
      <c r="C37958" s="309"/>
      <c r="I37958" s="309"/>
      <c r="J37958" s="309"/>
    </row>
    <row r="37959">
      <c r="B37959" s="309"/>
      <c r="C37959" s="309"/>
      <c r="I37959" s="309"/>
      <c r="J37959" s="309"/>
    </row>
    <row r="37960">
      <c r="B37960" s="309"/>
      <c r="C37960" s="309"/>
      <c r="I37960" s="309"/>
      <c r="J37960" s="309"/>
    </row>
    <row r="37961">
      <c r="B37961" s="309"/>
      <c r="C37961" s="309"/>
      <c r="I37961" s="309"/>
      <c r="J37961" s="309"/>
    </row>
    <row r="37962">
      <c r="B37962" s="309"/>
      <c r="C37962" s="309"/>
      <c r="I37962" s="309"/>
      <c r="J37962" s="309"/>
    </row>
    <row r="37963">
      <c r="B37963" s="309"/>
      <c r="C37963" s="309"/>
      <c r="I37963" s="309"/>
      <c r="J37963" s="309"/>
    </row>
    <row r="37964">
      <c r="B37964" s="309"/>
      <c r="C37964" s="309"/>
      <c r="I37964" s="309"/>
      <c r="J37964" s="309"/>
    </row>
    <row r="37965">
      <c r="B37965" s="309"/>
      <c r="C37965" s="309"/>
      <c r="I37965" s="309"/>
      <c r="J37965" s="309"/>
    </row>
    <row r="37966">
      <c r="B37966" s="309"/>
      <c r="C37966" s="309"/>
      <c r="I37966" s="309"/>
      <c r="J37966" s="309"/>
    </row>
    <row r="37967">
      <c r="B37967" s="309"/>
      <c r="C37967" s="309"/>
      <c r="I37967" s="309"/>
      <c r="J37967" s="309"/>
    </row>
    <row r="37968">
      <c r="B37968" s="309"/>
      <c r="C37968" s="309"/>
      <c r="I37968" s="309"/>
      <c r="J37968" s="309"/>
    </row>
    <row r="37969">
      <c r="B37969" s="309"/>
      <c r="C37969" s="309"/>
      <c r="I37969" s="309"/>
      <c r="J37969" s="309"/>
    </row>
    <row r="37970">
      <c r="B37970" s="309"/>
      <c r="C37970" s="309"/>
      <c r="I37970" s="309"/>
      <c r="J37970" s="309"/>
    </row>
    <row r="37971">
      <c r="B37971" s="309"/>
      <c r="C37971" s="309"/>
      <c r="I37971" s="309"/>
      <c r="J37971" s="309"/>
    </row>
    <row r="37972">
      <c r="B37972" s="309"/>
      <c r="C37972" s="309"/>
      <c r="I37972" s="309"/>
      <c r="J37972" s="309"/>
    </row>
    <row r="37973">
      <c r="B37973" s="309"/>
      <c r="C37973" s="309"/>
      <c r="I37973" s="309"/>
      <c r="J37973" s="309"/>
    </row>
    <row r="37974">
      <c r="B37974" s="309"/>
      <c r="C37974" s="309"/>
      <c r="I37974" s="309"/>
      <c r="J37974" s="309"/>
    </row>
    <row r="37975">
      <c r="B37975" s="309"/>
      <c r="C37975" s="309"/>
      <c r="I37975" s="309"/>
      <c r="J37975" s="309"/>
    </row>
    <row r="37976">
      <c r="B37976" s="309"/>
      <c r="C37976" s="309"/>
      <c r="I37976" s="309"/>
      <c r="J37976" s="309"/>
    </row>
    <row r="37977">
      <c r="B37977" s="309"/>
      <c r="C37977" s="309"/>
      <c r="I37977" s="309"/>
      <c r="J37977" s="309"/>
    </row>
    <row r="37978">
      <c r="B37978" s="309"/>
      <c r="C37978" s="309"/>
      <c r="I37978" s="309"/>
      <c r="J37978" s="309"/>
    </row>
    <row r="37979">
      <c r="B37979" s="309"/>
      <c r="C37979" s="309"/>
      <c r="I37979" s="309"/>
      <c r="J37979" s="309"/>
    </row>
    <row r="37980">
      <c r="B37980" s="309"/>
      <c r="C37980" s="309"/>
      <c r="I37980" s="309"/>
      <c r="J37980" s="309"/>
    </row>
    <row r="37981">
      <c r="B37981" s="309"/>
      <c r="C37981" s="309"/>
      <c r="I37981" s="309"/>
      <c r="J37981" s="309"/>
    </row>
    <row r="37982">
      <c r="B37982" s="309"/>
      <c r="C37982" s="309"/>
      <c r="I37982" s="309"/>
      <c r="J37982" s="309"/>
    </row>
    <row r="37983">
      <c r="B37983" s="309"/>
      <c r="C37983" s="309"/>
      <c r="I37983" s="309"/>
      <c r="J37983" s="309"/>
    </row>
    <row r="37984">
      <c r="B37984" s="309"/>
      <c r="C37984" s="309"/>
      <c r="I37984" s="309"/>
      <c r="J37984" s="309"/>
    </row>
    <row r="37985">
      <c r="B37985" s="309"/>
      <c r="C37985" s="309"/>
      <c r="I37985" s="309"/>
      <c r="J37985" s="309"/>
    </row>
    <row r="37986">
      <c r="B37986" s="309"/>
      <c r="C37986" s="309"/>
      <c r="I37986" s="309"/>
      <c r="J37986" s="309"/>
    </row>
    <row r="37987">
      <c r="B37987" s="309"/>
      <c r="C37987" s="309"/>
      <c r="I37987" s="309"/>
      <c r="J37987" s="309"/>
    </row>
    <row r="37988">
      <c r="B37988" s="309"/>
      <c r="C37988" s="309"/>
      <c r="I37988" s="309"/>
      <c r="J37988" s="309"/>
    </row>
    <row r="37989">
      <c r="B37989" s="309"/>
      <c r="C37989" s="309"/>
      <c r="I37989" s="309"/>
      <c r="J37989" s="309"/>
    </row>
    <row r="37990">
      <c r="B37990" s="309"/>
      <c r="C37990" s="309"/>
      <c r="I37990" s="309"/>
      <c r="J37990" s="309"/>
    </row>
    <row r="37991">
      <c r="B37991" s="309"/>
      <c r="C37991" s="309"/>
      <c r="I37991" s="309"/>
      <c r="J37991" s="309"/>
    </row>
    <row r="37992">
      <c r="B37992" s="309"/>
      <c r="C37992" s="309"/>
      <c r="I37992" s="309"/>
      <c r="J37992" s="309"/>
    </row>
    <row r="37993">
      <c r="B37993" s="309"/>
      <c r="C37993" s="309"/>
      <c r="I37993" s="309"/>
      <c r="J37993" s="309"/>
    </row>
    <row r="37994">
      <c r="B37994" s="309"/>
      <c r="C37994" s="309"/>
      <c r="I37994" s="309"/>
      <c r="J37994" s="309"/>
    </row>
    <row r="37995">
      <c r="B37995" s="309"/>
      <c r="C37995" s="309"/>
      <c r="I37995" s="309"/>
      <c r="J37995" s="309"/>
    </row>
    <row r="37996">
      <c r="B37996" s="309"/>
      <c r="C37996" s="309"/>
      <c r="I37996" s="309"/>
      <c r="J37996" s="309"/>
    </row>
    <row r="37997">
      <c r="B37997" s="309"/>
      <c r="C37997" s="309"/>
      <c r="I37997" s="309"/>
      <c r="J37997" s="309"/>
    </row>
    <row r="37998">
      <c r="B37998" s="309"/>
      <c r="C37998" s="309"/>
      <c r="I37998" s="309"/>
      <c r="J37998" s="309"/>
    </row>
    <row r="37999">
      <c r="B37999" s="309"/>
      <c r="C37999" s="309"/>
      <c r="I37999" s="309"/>
      <c r="J37999" s="309"/>
    </row>
    <row r="38000">
      <c r="B38000" s="309"/>
      <c r="C38000" s="309"/>
      <c r="I38000" s="309"/>
      <c r="J38000" s="309"/>
    </row>
    <row r="38001">
      <c r="B38001" s="309"/>
      <c r="C38001" s="309"/>
      <c r="I38001" s="309"/>
      <c r="J38001" s="309"/>
    </row>
    <row r="38002">
      <c r="B38002" s="309"/>
      <c r="C38002" s="309"/>
      <c r="I38002" s="309"/>
      <c r="J38002" s="309"/>
    </row>
    <row r="38003">
      <c r="B38003" s="309"/>
      <c r="C38003" s="309"/>
      <c r="I38003" s="309"/>
      <c r="J38003" s="309"/>
    </row>
    <row r="38004">
      <c r="B38004" s="309"/>
      <c r="C38004" s="309"/>
      <c r="I38004" s="309"/>
      <c r="J38004" s="309"/>
    </row>
    <row r="38005">
      <c r="B38005" s="309"/>
      <c r="C38005" s="309"/>
      <c r="I38005" s="309"/>
      <c r="J38005" s="309"/>
    </row>
    <row r="38006">
      <c r="B38006" s="309"/>
      <c r="C38006" s="309"/>
      <c r="I38006" s="309"/>
      <c r="J38006" s="309"/>
    </row>
    <row r="38007">
      <c r="B38007" s="309"/>
      <c r="C38007" s="309"/>
      <c r="I38007" s="309"/>
      <c r="J38007" s="309"/>
    </row>
    <row r="38008">
      <c r="B38008" s="309"/>
      <c r="C38008" s="309"/>
      <c r="I38008" s="309"/>
      <c r="J38008" s="309"/>
    </row>
    <row r="38009">
      <c r="B38009" s="309"/>
      <c r="C38009" s="309"/>
      <c r="I38009" s="309"/>
      <c r="J38009" s="309"/>
    </row>
    <row r="38010">
      <c r="B38010" s="309"/>
      <c r="C38010" s="309"/>
      <c r="I38010" s="309"/>
      <c r="J38010" s="309"/>
    </row>
    <row r="38011">
      <c r="B38011" s="309"/>
      <c r="C38011" s="309"/>
      <c r="I38011" s="309"/>
      <c r="J38011" s="309"/>
    </row>
    <row r="38012">
      <c r="B38012" s="309"/>
      <c r="C38012" s="309"/>
      <c r="I38012" s="309"/>
      <c r="J38012" s="309"/>
    </row>
    <row r="38013">
      <c r="B38013" s="309"/>
      <c r="C38013" s="309"/>
      <c r="I38013" s="309"/>
      <c r="J38013" s="309"/>
    </row>
    <row r="38014">
      <c r="B38014" s="309"/>
      <c r="C38014" s="309"/>
      <c r="I38014" s="309"/>
      <c r="J38014" s="309"/>
    </row>
    <row r="38015">
      <c r="B38015" s="309"/>
      <c r="C38015" s="309"/>
      <c r="I38015" s="309"/>
      <c r="J38015" s="309"/>
    </row>
    <row r="38016">
      <c r="B38016" s="309"/>
      <c r="C38016" s="309"/>
      <c r="I38016" s="309"/>
      <c r="J38016" s="309"/>
    </row>
    <row r="38017">
      <c r="B38017" s="309"/>
      <c r="C38017" s="309"/>
      <c r="I38017" s="309"/>
      <c r="J38017" s="309"/>
    </row>
    <row r="38018">
      <c r="B38018" s="309"/>
      <c r="C38018" s="309"/>
      <c r="I38018" s="309"/>
      <c r="J38018" s="309"/>
    </row>
    <row r="38019">
      <c r="B38019" s="309"/>
      <c r="C38019" s="309"/>
      <c r="I38019" s="309"/>
      <c r="J38019" s="309"/>
    </row>
    <row r="38020">
      <c r="B38020" s="309"/>
      <c r="C38020" s="309"/>
      <c r="I38020" s="309"/>
      <c r="J38020" s="309"/>
    </row>
    <row r="38021">
      <c r="B38021" s="309"/>
      <c r="C38021" s="309"/>
      <c r="I38021" s="309"/>
      <c r="J38021" s="309"/>
    </row>
    <row r="38022">
      <c r="B38022" s="309"/>
      <c r="C38022" s="309"/>
      <c r="I38022" s="309"/>
      <c r="J38022" s="309"/>
    </row>
    <row r="38023">
      <c r="B38023" s="309"/>
      <c r="C38023" s="309"/>
      <c r="I38023" s="309"/>
      <c r="J38023" s="309"/>
    </row>
    <row r="38024">
      <c r="B38024" s="309"/>
      <c r="C38024" s="309"/>
      <c r="I38024" s="309"/>
      <c r="J38024" s="309"/>
    </row>
    <row r="38025">
      <c r="B38025" s="309"/>
      <c r="C38025" s="309"/>
      <c r="I38025" s="309"/>
      <c r="J38025" s="309"/>
    </row>
    <row r="38026">
      <c r="B38026" s="309"/>
      <c r="C38026" s="309"/>
      <c r="I38026" s="309"/>
      <c r="J38026" s="309"/>
    </row>
    <row r="38027">
      <c r="B38027" s="309"/>
      <c r="C38027" s="309"/>
      <c r="I38027" s="309"/>
      <c r="J38027" s="309"/>
    </row>
    <row r="38028">
      <c r="B38028" s="309"/>
      <c r="C38028" s="309"/>
      <c r="I38028" s="309"/>
      <c r="J38028" s="309"/>
    </row>
    <row r="38029">
      <c r="B38029" s="309"/>
      <c r="C38029" s="309"/>
      <c r="I38029" s="309"/>
      <c r="J38029" s="309"/>
    </row>
    <row r="38030">
      <c r="B38030" s="309"/>
      <c r="C38030" s="309"/>
      <c r="I38030" s="309"/>
      <c r="J38030" s="309"/>
    </row>
    <row r="38031">
      <c r="B38031" s="309"/>
      <c r="C38031" s="309"/>
      <c r="I38031" s="309"/>
      <c r="J38031" s="309"/>
    </row>
    <row r="38032">
      <c r="B38032" s="309"/>
      <c r="C38032" s="309"/>
      <c r="I38032" s="309"/>
      <c r="J38032" s="309"/>
    </row>
    <row r="38033">
      <c r="B38033" s="309"/>
      <c r="C38033" s="309"/>
      <c r="I38033" s="309"/>
      <c r="J38033" s="309"/>
    </row>
    <row r="38034">
      <c r="B38034" s="309"/>
      <c r="C38034" s="309"/>
      <c r="I38034" s="309"/>
      <c r="J38034" s="309"/>
    </row>
    <row r="38035">
      <c r="B38035" s="309"/>
      <c r="C38035" s="309"/>
      <c r="I38035" s="309"/>
      <c r="J38035" s="309"/>
    </row>
    <row r="38036">
      <c r="B38036" s="309"/>
      <c r="C38036" s="309"/>
      <c r="I38036" s="309"/>
      <c r="J38036" s="309"/>
    </row>
    <row r="38037">
      <c r="B38037" s="309"/>
      <c r="C38037" s="309"/>
      <c r="I38037" s="309"/>
      <c r="J38037" s="309"/>
    </row>
    <row r="38038">
      <c r="B38038" s="309"/>
      <c r="C38038" s="309"/>
      <c r="I38038" s="309"/>
      <c r="J38038" s="309"/>
    </row>
    <row r="38039">
      <c r="B38039" s="309"/>
      <c r="C38039" s="309"/>
      <c r="I38039" s="309"/>
      <c r="J38039" s="309"/>
    </row>
    <row r="38040">
      <c r="B38040" s="309"/>
      <c r="C38040" s="309"/>
      <c r="I38040" s="309"/>
      <c r="J38040" s="309"/>
    </row>
    <row r="38041">
      <c r="B38041" s="309"/>
      <c r="C38041" s="309"/>
      <c r="I38041" s="309"/>
      <c r="J38041" s="309"/>
    </row>
    <row r="38042">
      <c r="B38042" s="309"/>
      <c r="C38042" s="309"/>
      <c r="I38042" s="309"/>
      <c r="J38042" s="309"/>
    </row>
    <row r="38043">
      <c r="B38043" s="309"/>
      <c r="C38043" s="309"/>
      <c r="I38043" s="309"/>
      <c r="J38043" s="309"/>
    </row>
    <row r="38044">
      <c r="B38044" s="309"/>
      <c r="C38044" s="309"/>
      <c r="I38044" s="309"/>
      <c r="J38044" s="309"/>
    </row>
    <row r="38045">
      <c r="B38045" s="309"/>
      <c r="C38045" s="309"/>
      <c r="I38045" s="309"/>
      <c r="J38045" s="309"/>
    </row>
    <row r="38046">
      <c r="B38046" s="309"/>
      <c r="C38046" s="309"/>
      <c r="I38046" s="309"/>
      <c r="J38046" s="309"/>
    </row>
    <row r="38047">
      <c r="B38047" s="309"/>
      <c r="C38047" s="309"/>
      <c r="I38047" s="309"/>
      <c r="J38047" s="309"/>
    </row>
    <row r="38048">
      <c r="B38048" s="309"/>
      <c r="C38048" s="309"/>
      <c r="I38048" s="309"/>
      <c r="J38048" s="309"/>
    </row>
    <row r="38049">
      <c r="B38049" s="309"/>
      <c r="C38049" s="309"/>
      <c r="I38049" s="309"/>
      <c r="J38049" s="309"/>
    </row>
    <row r="38050">
      <c r="B38050" s="309"/>
      <c r="C38050" s="309"/>
      <c r="I38050" s="309"/>
      <c r="J38050" s="309"/>
    </row>
    <row r="38051">
      <c r="B38051" s="309"/>
      <c r="C38051" s="309"/>
      <c r="I38051" s="309"/>
      <c r="J38051" s="309"/>
    </row>
    <row r="38052">
      <c r="B38052" s="309"/>
      <c r="C38052" s="309"/>
      <c r="I38052" s="309"/>
      <c r="J38052" s="309"/>
    </row>
    <row r="38053">
      <c r="B38053" s="309"/>
      <c r="C38053" s="309"/>
      <c r="I38053" s="309"/>
      <c r="J38053" s="309"/>
    </row>
    <row r="38054">
      <c r="B38054" s="309"/>
      <c r="C38054" s="309"/>
      <c r="I38054" s="309"/>
      <c r="J38054" s="309"/>
    </row>
    <row r="38055">
      <c r="B38055" s="309"/>
      <c r="C38055" s="309"/>
      <c r="I38055" s="309"/>
      <c r="J38055" s="309"/>
    </row>
    <row r="38056">
      <c r="B38056" s="309"/>
      <c r="C38056" s="309"/>
      <c r="I38056" s="309"/>
      <c r="J38056" s="309"/>
    </row>
    <row r="38057">
      <c r="B38057" s="309"/>
      <c r="C38057" s="309"/>
      <c r="I38057" s="309"/>
      <c r="J38057" s="309"/>
    </row>
    <row r="38058">
      <c r="B38058" s="309"/>
      <c r="C38058" s="309"/>
      <c r="I38058" s="309"/>
      <c r="J38058" s="309"/>
    </row>
    <row r="38059">
      <c r="B38059" s="309"/>
      <c r="C38059" s="309"/>
      <c r="I38059" s="309"/>
      <c r="J38059" s="309"/>
    </row>
    <row r="38060">
      <c r="B38060" s="309"/>
      <c r="C38060" s="309"/>
      <c r="I38060" s="309"/>
      <c r="J38060" s="309"/>
    </row>
    <row r="38061">
      <c r="B38061" s="309"/>
      <c r="C38061" s="309"/>
      <c r="I38061" s="309"/>
      <c r="J38061" s="309"/>
    </row>
    <row r="38062">
      <c r="B38062" s="309"/>
      <c r="C38062" s="309"/>
      <c r="I38062" s="309"/>
      <c r="J38062" s="309"/>
    </row>
    <row r="38063">
      <c r="B38063" s="309"/>
      <c r="C38063" s="309"/>
      <c r="I38063" s="309"/>
      <c r="J38063" s="309"/>
    </row>
    <row r="38064">
      <c r="B38064" s="309"/>
      <c r="C38064" s="309"/>
      <c r="I38064" s="309"/>
      <c r="J38064" s="309"/>
    </row>
    <row r="38065">
      <c r="B38065" s="309"/>
      <c r="C38065" s="309"/>
      <c r="I38065" s="309"/>
      <c r="J38065" s="309"/>
    </row>
    <row r="38066">
      <c r="B38066" s="309"/>
      <c r="C38066" s="309"/>
      <c r="I38066" s="309"/>
      <c r="J38066" s="309"/>
    </row>
    <row r="38067">
      <c r="B38067" s="309"/>
      <c r="C38067" s="309"/>
      <c r="I38067" s="309"/>
      <c r="J38067" s="309"/>
    </row>
    <row r="38068">
      <c r="B38068" s="309"/>
      <c r="C38068" s="309"/>
      <c r="I38068" s="309"/>
      <c r="J38068" s="309"/>
    </row>
    <row r="38069">
      <c r="B38069" s="309"/>
      <c r="C38069" s="309"/>
      <c r="I38069" s="309"/>
      <c r="J38069" s="309"/>
    </row>
    <row r="38070">
      <c r="B38070" s="309"/>
      <c r="C38070" s="309"/>
      <c r="I38070" s="309"/>
      <c r="J38070" s="309"/>
    </row>
    <row r="38071">
      <c r="B38071" s="309"/>
      <c r="C38071" s="309"/>
      <c r="I38071" s="309"/>
      <c r="J38071" s="309"/>
    </row>
    <row r="38072">
      <c r="B38072" s="309"/>
      <c r="C38072" s="309"/>
      <c r="I38072" s="309"/>
      <c r="J38072" s="309"/>
    </row>
    <row r="38073">
      <c r="B38073" s="309"/>
      <c r="C38073" s="309"/>
      <c r="I38073" s="309"/>
      <c r="J38073" s="309"/>
    </row>
    <row r="38074">
      <c r="B38074" s="309"/>
      <c r="C38074" s="309"/>
      <c r="I38074" s="309"/>
      <c r="J38074" s="309"/>
    </row>
    <row r="38075">
      <c r="B38075" s="309"/>
      <c r="C38075" s="309"/>
      <c r="I38075" s="309"/>
      <c r="J38075" s="309"/>
    </row>
    <row r="38076">
      <c r="B38076" s="309"/>
      <c r="C38076" s="309"/>
      <c r="I38076" s="309"/>
      <c r="J38076" s="309"/>
    </row>
    <row r="38077">
      <c r="B38077" s="309"/>
      <c r="C38077" s="309"/>
      <c r="I38077" s="309"/>
      <c r="J38077" s="309"/>
    </row>
    <row r="38078">
      <c r="B38078" s="309"/>
      <c r="C38078" s="309"/>
      <c r="I38078" s="309"/>
      <c r="J38078" s="309"/>
    </row>
    <row r="38079">
      <c r="B38079" s="309"/>
      <c r="C38079" s="309"/>
      <c r="I38079" s="309"/>
      <c r="J38079" s="309"/>
    </row>
    <row r="38080">
      <c r="B38080" s="309"/>
      <c r="C38080" s="309"/>
      <c r="I38080" s="309"/>
      <c r="J38080" s="309"/>
    </row>
    <row r="38081">
      <c r="B38081" s="309"/>
      <c r="C38081" s="309"/>
      <c r="I38081" s="309"/>
      <c r="J38081" s="309"/>
    </row>
    <row r="38082">
      <c r="B38082" s="309"/>
      <c r="C38082" s="309"/>
      <c r="I38082" s="309"/>
      <c r="J38082" s="309"/>
    </row>
    <row r="38083">
      <c r="B38083" s="309"/>
      <c r="C38083" s="309"/>
      <c r="I38083" s="309"/>
      <c r="J38083" s="309"/>
    </row>
    <row r="38084">
      <c r="B38084" s="309"/>
      <c r="C38084" s="309"/>
      <c r="I38084" s="309"/>
      <c r="J38084" s="309"/>
    </row>
    <row r="38085">
      <c r="B38085" s="309"/>
      <c r="C38085" s="309"/>
      <c r="I38085" s="309"/>
      <c r="J38085" s="309"/>
    </row>
    <row r="38086">
      <c r="B38086" s="309"/>
      <c r="C38086" s="309"/>
      <c r="I38086" s="309"/>
      <c r="J38086" s="309"/>
    </row>
    <row r="38087">
      <c r="B38087" s="309"/>
      <c r="C38087" s="309"/>
      <c r="I38087" s="309"/>
      <c r="J38087" s="309"/>
    </row>
    <row r="38088">
      <c r="B38088" s="309"/>
      <c r="C38088" s="309"/>
      <c r="I38088" s="309"/>
      <c r="J38088" s="309"/>
    </row>
    <row r="38089">
      <c r="B38089" s="309"/>
      <c r="C38089" s="309"/>
      <c r="I38089" s="309"/>
      <c r="J38089" s="309"/>
    </row>
    <row r="38090">
      <c r="B38090" s="309"/>
      <c r="C38090" s="309"/>
      <c r="I38090" s="309"/>
      <c r="J38090" s="309"/>
    </row>
    <row r="38091">
      <c r="B38091" s="309"/>
      <c r="C38091" s="309"/>
      <c r="I38091" s="309"/>
      <c r="J38091" s="309"/>
    </row>
    <row r="38092">
      <c r="B38092" s="309"/>
      <c r="C38092" s="309"/>
      <c r="I38092" s="309"/>
      <c r="J38092" s="309"/>
    </row>
    <row r="38093">
      <c r="B38093" s="309"/>
      <c r="C38093" s="309"/>
      <c r="I38093" s="309"/>
      <c r="J38093" s="309"/>
    </row>
    <row r="38094">
      <c r="B38094" s="309"/>
      <c r="C38094" s="309"/>
      <c r="I38094" s="309"/>
      <c r="J38094" s="309"/>
    </row>
    <row r="38095">
      <c r="B38095" s="309"/>
      <c r="C38095" s="309"/>
      <c r="I38095" s="309"/>
      <c r="J38095" s="309"/>
    </row>
    <row r="38096">
      <c r="B38096" s="309"/>
      <c r="C38096" s="309"/>
      <c r="I38096" s="309"/>
      <c r="J38096" s="309"/>
    </row>
    <row r="38097">
      <c r="B38097" s="309"/>
      <c r="C38097" s="309"/>
      <c r="I38097" s="309"/>
      <c r="J38097" s="309"/>
    </row>
    <row r="38098">
      <c r="B38098" s="309"/>
      <c r="C38098" s="309"/>
      <c r="I38098" s="309"/>
      <c r="J38098" s="309"/>
    </row>
    <row r="38099">
      <c r="B38099" s="309"/>
      <c r="C38099" s="309"/>
      <c r="I38099" s="309"/>
      <c r="J38099" s="309"/>
    </row>
    <row r="38100">
      <c r="B38100" s="309"/>
      <c r="C38100" s="309"/>
      <c r="I38100" s="309"/>
      <c r="J38100" s="309"/>
    </row>
    <row r="38101">
      <c r="B38101" s="309"/>
      <c r="C38101" s="309"/>
      <c r="I38101" s="309"/>
      <c r="J38101" s="309"/>
    </row>
    <row r="38102">
      <c r="B38102" s="309"/>
      <c r="C38102" s="309"/>
      <c r="I38102" s="309"/>
      <c r="J38102" s="309"/>
    </row>
    <row r="38103">
      <c r="B38103" s="309"/>
      <c r="C38103" s="309"/>
      <c r="I38103" s="309"/>
      <c r="J38103" s="309"/>
    </row>
    <row r="38104">
      <c r="B38104" s="309"/>
      <c r="C38104" s="309"/>
      <c r="I38104" s="309"/>
      <c r="J38104" s="309"/>
    </row>
    <row r="38105">
      <c r="B38105" s="309"/>
      <c r="C38105" s="309"/>
      <c r="I38105" s="309"/>
      <c r="J38105" s="309"/>
    </row>
    <row r="38106">
      <c r="B38106" s="309"/>
      <c r="C38106" s="309"/>
      <c r="I38106" s="309"/>
      <c r="J38106" s="309"/>
    </row>
    <row r="38107">
      <c r="B38107" s="309"/>
      <c r="C38107" s="309"/>
      <c r="I38107" s="309"/>
      <c r="J38107" s="309"/>
    </row>
    <row r="38108">
      <c r="B38108" s="309"/>
      <c r="C38108" s="309"/>
      <c r="I38108" s="309"/>
      <c r="J38108" s="309"/>
    </row>
    <row r="38109">
      <c r="B38109" s="309"/>
      <c r="C38109" s="309"/>
      <c r="I38109" s="309"/>
      <c r="J38109" s="309"/>
    </row>
    <row r="38110">
      <c r="B38110" s="309"/>
      <c r="C38110" s="309"/>
      <c r="I38110" s="309"/>
      <c r="J38110" s="309"/>
    </row>
    <row r="38111">
      <c r="B38111" s="309"/>
      <c r="C38111" s="309"/>
      <c r="I38111" s="309"/>
      <c r="J38111" s="309"/>
    </row>
    <row r="38112">
      <c r="B38112" s="309"/>
      <c r="C38112" s="309"/>
      <c r="I38112" s="309"/>
      <c r="J38112" s="309"/>
    </row>
    <row r="38113">
      <c r="B38113" s="309"/>
      <c r="C38113" s="309"/>
      <c r="I38113" s="309"/>
      <c r="J38113" s="309"/>
    </row>
    <row r="38114">
      <c r="B38114" s="309"/>
      <c r="C38114" s="309"/>
      <c r="I38114" s="309"/>
      <c r="J38114" s="309"/>
    </row>
    <row r="38115">
      <c r="B38115" s="309"/>
      <c r="C38115" s="309"/>
      <c r="I38115" s="309"/>
      <c r="J38115" s="309"/>
    </row>
    <row r="38116">
      <c r="B38116" s="309"/>
      <c r="C38116" s="309"/>
      <c r="I38116" s="309"/>
      <c r="J38116" s="309"/>
    </row>
    <row r="38117">
      <c r="B38117" s="309"/>
      <c r="C38117" s="309"/>
      <c r="I38117" s="309"/>
      <c r="J38117" s="309"/>
    </row>
    <row r="38118">
      <c r="B38118" s="309"/>
      <c r="C38118" s="309"/>
      <c r="I38118" s="309"/>
      <c r="J38118" s="309"/>
    </row>
    <row r="38119">
      <c r="B38119" s="309"/>
      <c r="C38119" s="309"/>
      <c r="I38119" s="309"/>
      <c r="J38119" s="309"/>
    </row>
    <row r="38120">
      <c r="B38120" s="309"/>
      <c r="C38120" s="309"/>
      <c r="I38120" s="309"/>
      <c r="J38120" s="309"/>
    </row>
    <row r="38121">
      <c r="B38121" s="309"/>
      <c r="C38121" s="309"/>
      <c r="I38121" s="309"/>
      <c r="J38121" s="309"/>
    </row>
    <row r="38122">
      <c r="B38122" s="309"/>
      <c r="C38122" s="309"/>
      <c r="I38122" s="309"/>
      <c r="J38122" s="309"/>
    </row>
    <row r="38123">
      <c r="B38123" s="309"/>
      <c r="C38123" s="309"/>
      <c r="I38123" s="309"/>
      <c r="J38123" s="309"/>
    </row>
    <row r="38124">
      <c r="B38124" s="309"/>
      <c r="C38124" s="309"/>
      <c r="I38124" s="309"/>
      <c r="J38124" s="309"/>
    </row>
    <row r="38125">
      <c r="B38125" s="309"/>
      <c r="C38125" s="309"/>
      <c r="I38125" s="309"/>
      <c r="J38125" s="309"/>
    </row>
    <row r="38126">
      <c r="B38126" s="309"/>
      <c r="C38126" s="309"/>
      <c r="I38126" s="309"/>
      <c r="J38126" s="309"/>
    </row>
    <row r="38127">
      <c r="B38127" s="309"/>
      <c r="C38127" s="309"/>
      <c r="I38127" s="309"/>
      <c r="J38127" s="309"/>
    </row>
    <row r="38128">
      <c r="B38128" s="309"/>
      <c r="C38128" s="309"/>
      <c r="I38128" s="309"/>
      <c r="J38128" s="309"/>
    </row>
    <row r="38129">
      <c r="B38129" s="309"/>
      <c r="C38129" s="309"/>
      <c r="I38129" s="309"/>
      <c r="J38129" s="309"/>
    </row>
    <row r="38130">
      <c r="B38130" s="309"/>
      <c r="C38130" s="309"/>
      <c r="I38130" s="309"/>
      <c r="J38130" s="309"/>
    </row>
    <row r="38131">
      <c r="B38131" s="309"/>
      <c r="C38131" s="309"/>
      <c r="I38131" s="309"/>
      <c r="J38131" s="309"/>
    </row>
    <row r="38132">
      <c r="B38132" s="309"/>
      <c r="C38132" s="309"/>
      <c r="I38132" s="309"/>
      <c r="J38132" s="309"/>
    </row>
    <row r="38133">
      <c r="B38133" s="309"/>
      <c r="C38133" s="309"/>
      <c r="I38133" s="309"/>
      <c r="J38133" s="309"/>
    </row>
    <row r="38134">
      <c r="B38134" s="309"/>
      <c r="C38134" s="309"/>
      <c r="I38134" s="309"/>
      <c r="J38134" s="309"/>
    </row>
    <row r="38135">
      <c r="B38135" s="309"/>
      <c r="C38135" s="309"/>
      <c r="I38135" s="309"/>
      <c r="J38135" s="309"/>
    </row>
    <row r="38136">
      <c r="B38136" s="309"/>
      <c r="C38136" s="309"/>
      <c r="I38136" s="309"/>
      <c r="J38136" s="309"/>
    </row>
    <row r="38137">
      <c r="B38137" s="309"/>
      <c r="C38137" s="309"/>
      <c r="I38137" s="309"/>
      <c r="J38137" s="309"/>
    </row>
    <row r="38138">
      <c r="B38138" s="309"/>
      <c r="C38138" s="309"/>
      <c r="I38138" s="309"/>
      <c r="J38138" s="309"/>
    </row>
    <row r="38139">
      <c r="B38139" s="309"/>
      <c r="C38139" s="309"/>
      <c r="I38139" s="309"/>
      <c r="J38139" s="309"/>
    </row>
    <row r="38140">
      <c r="B38140" s="309"/>
      <c r="C38140" s="309"/>
      <c r="I38140" s="309"/>
      <c r="J38140" s="309"/>
    </row>
    <row r="38141">
      <c r="B38141" s="309"/>
      <c r="C38141" s="309"/>
      <c r="I38141" s="309"/>
      <c r="J38141" s="309"/>
    </row>
    <row r="38142">
      <c r="B38142" s="309"/>
      <c r="C38142" s="309"/>
      <c r="I38142" s="309"/>
      <c r="J38142" s="309"/>
    </row>
    <row r="38143">
      <c r="B38143" s="309"/>
      <c r="C38143" s="309"/>
      <c r="I38143" s="309"/>
      <c r="J38143" s="309"/>
    </row>
    <row r="38144">
      <c r="B38144" s="309"/>
      <c r="C38144" s="309"/>
      <c r="I38144" s="309"/>
      <c r="J38144" s="309"/>
    </row>
    <row r="38145">
      <c r="B38145" s="309"/>
      <c r="C38145" s="309"/>
      <c r="I38145" s="309"/>
      <c r="J38145" s="309"/>
    </row>
    <row r="38146">
      <c r="B38146" s="309"/>
      <c r="C38146" s="309"/>
      <c r="I38146" s="309"/>
      <c r="J38146" s="309"/>
    </row>
    <row r="38147">
      <c r="B38147" s="309"/>
      <c r="C38147" s="309"/>
      <c r="I38147" s="309"/>
      <c r="J38147" s="309"/>
    </row>
    <row r="38148">
      <c r="B38148" s="309"/>
      <c r="C38148" s="309"/>
      <c r="I38148" s="309"/>
      <c r="J38148" s="309"/>
    </row>
    <row r="38149">
      <c r="B38149" s="309"/>
      <c r="C38149" s="309"/>
      <c r="I38149" s="309"/>
      <c r="J38149" s="309"/>
    </row>
    <row r="38150">
      <c r="B38150" s="309"/>
      <c r="C38150" s="309"/>
      <c r="I38150" s="309"/>
      <c r="J38150" s="309"/>
    </row>
    <row r="38151">
      <c r="B38151" s="309"/>
      <c r="C38151" s="309"/>
      <c r="I38151" s="309"/>
      <c r="J38151" s="309"/>
    </row>
    <row r="38152">
      <c r="B38152" s="309"/>
      <c r="C38152" s="309"/>
      <c r="I38152" s="309"/>
      <c r="J38152" s="309"/>
    </row>
    <row r="38153">
      <c r="B38153" s="309"/>
      <c r="C38153" s="309"/>
      <c r="I38153" s="309"/>
      <c r="J38153" s="309"/>
    </row>
    <row r="38154">
      <c r="B38154" s="309"/>
      <c r="C38154" s="309"/>
      <c r="I38154" s="309"/>
      <c r="J38154" s="309"/>
    </row>
    <row r="38155">
      <c r="B38155" s="309"/>
      <c r="C38155" s="309"/>
      <c r="I38155" s="309"/>
      <c r="J38155" s="309"/>
    </row>
    <row r="38156">
      <c r="B38156" s="309"/>
      <c r="C38156" s="309"/>
      <c r="I38156" s="309"/>
      <c r="J38156" s="309"/>
    </row>
    <row r="38157">
      <c r="B38157" s="309"/>
      <c r="C38157" s="309"/>
      <c r="I38157" s="309"/>
      <c r="J38157" s="309"/>
    </row>
    <row r="38158">
      <c r="B38158" s="309"/>
      <c r="C38158" s="309"/>
      <c r="I38158" s="309"/>
      <c r="J38158" s="309"/>
    </row>
    <row r="38159">
      <c r="B38159" s="309"/>
      <c r="C38159" s="309"/>
      <c r="I38159" s="309"/>
      <c r="J38159" s="309"/>
    </row>
    <row r="38160">
      <c r="B38160" s="309"/>
      <c r="C38160" s="309"/>
      <c r="I38160" s="309"/>
      <c r="J38160" s="309"/>
    </row>
    <row r="38161">
      <c r="B38161" s="309"/>
      <c r="C38161" s="309"/>
      <c r="I38161" s="309"/>
      <c r="J38161" s="309"/>
    </row>
    <row r="38162">
      <c r="B38162" s="309"/>
      <c r="C38162" s="309"/>
      <c r="I38162" s="309"/>
      <c r="J38162" s="309"/>
    </row>
    <row r="38163">
      <c r="B38163" s="309"/>
      <c r="C38163" s="309"/>
      <c r="I38163" s="309"/>
      <c r="J38163" s="309"/>
    </row>
    <row r="38164">
      <c r="B38164" s="309"/>
      <c r="C38164" s="309"/>
      <c r="I38164" s="309"/>
      <c r="J38164" s="309"/>
    </row>
    <row r="38165">
      <c r="B38165" s="309"/>
      <c r="C38165" s="309"/>
      <c r="I38165" s="309"/>
      <c r="J38165" s="309"/>
    </row>
    <row r="38166">
      <c r="B38166" s="309"/>
      <c r="C38166" s="309"/>
      <c r="I38166" s="309"/>
      <c r="J38166" s="309"/>
    </row>
    <row r="38167">
      <c r="B38167" s="309"/>
      <c r="C38167" s="309"/>
      <c r="I38167" s="309"/>
      <c r="J38167" s="309"/>
    </row>
    <row r="38168">
      <c r="B38168" s="309"/>
      <c r="C38168" s="309"/>
      <c r="I38168" s="309"/>
      <c r="J38168" s="309"/>
    </row>
    <row r="38169">
      <c r="B38169" s="309"/>
      <c r="C38169" s="309"/>
      <c r="I38169" s="309"/>
      <c r="J38169" s="309"/>
    </row>
    <row r="38170">
      <c r="B38170" s="309"/>
      <c r="C38170" s="309"/>
      <c r="I38170" s="309"/>
      <c r="J38170" s="309"/>
    </row>
    <row r="38171">
      <c r="B38171" s="309"/>
      <c r="C38171" s="309"/>
      <c r="I38171" s="309"/>
      <c r="J38171" s="309"/>
    </row>
    <row r="38172">
      <c r="B38172" s="309"/>
      <c r="C38172" s="309"/>
      <c r="I38172" s="309"/>
      <c r="J38172" s="309"/>
    </row>
    <row r="38173">
      <c r="B38173" s="309"/>
      <c r="C38173" s="309"/>
      <c r="I38173" s="309"/>
      <c r="J38173" s="309"/>
    </row>
    <row r="38174">
      <c r="B38174" s="309"/>
      <c r="C38174" s="309"/>
      <c r="I38174" s="309"/>
      <c r="J38174" s="309"/>
    </row>
    <row r="38175">
      <c r="B38175" s="309"/>
      <c r="C38175" s="309"/>
      <c r="I38175" s="309"/>
      <c r="J38175" s="309"/>
    </row>
    <row r="38176">
      <c r="B38176" s="309"/>
      <c r="C38176" s="309"/>
      <c r="I38176" s="309"/>
      <c r="J38176" s="309"/>
    </row>
    <row r="38177">
      <c r="B38177" s="309"/>
      <c r="C38177" s="309"/>
      <c r="I38177" s="309"/>
      <c r="J38177" s="309"/>
    </row>
    <row r="38178">
      <c r="B38178" s="309"/>
      <c r="C38178" s="309"/>
      <c r="I38178" s="309"/>
      <c r="J38178" s="309"/>
    </row>
    <row r="38179">
      <c r="B38179" s="309"/>
      <c r="C38179" s="309"/>
      <c r="I38179" s="309"/>
      <c r="J38179" s="309"/>
    </row>
    <row r="38180">
      <c r="B38180" s="309"/>
      <c r="C38180" s="309"/>
      <c r="I38180" s="309"/>
      <c r="J38180" s="309"/>
    </row>
    <row r="38181">
      <c r="B38181" s="309"/>
      <c r="C38181" s="309"/>
      <c r="I38181" s="309"/>
      <c r="J38181" s="309"/>
    </row>
    <row r="38182">
      <c r="B38182" s="309"/>
      <c r="C38182" s="309"/>
      <c r="I38182" s="309"/>
      <c r="J38182" s="309"/>
    </row>
    <row r="38183">
      <c r="B38183" s="309"/>
      <c r="C38183" s="309"/>
      <c r="I38183" s="309"/>
      <c r="J38183" s="309"/>
    </row>
    <row r="38184">
      <c r="B38184" s="309"/>
      <c r="C38184" s="309"/>
      <c r="I38184" s="309"/>
      <c r="J38184" s="309"/>
    </row>
    <row r="38185">
      <c r="B38185" s="309"/>
      <c r="C38185" s="309"/>
      <c r="I38185" s="309"/>
      <c r="J38185" s="309"/>
    </row>
    <row r="38186">
      <c r="B38186" s="309"/>
      <c r="C38186" s="309"/>
      <c r="I38186" s="309"/>
      <c r="J38186" s="309"/>
    </row>
    <row r="38187">
      <c r="B38187" s="309"/>
      <c r="C38187" s="309"/>
      <c r="I38187" s="309"/>
      <c r="J38187" s="309"/>
    </row>
    <row r="38188">
      <c r="B38188" s="309"/>
      <c r="C38188" s="309"/>
      <c r="I38188" s="309"/>
      <c r="J38188" s="309"/>
    </row>
    <row r="38189">
      <c r="B38189" s="309"/>
      <c r="C38189" s="309"/>
      <c r="I38189" s="309"/>
      <c r="J38189" s="309"/>
    </row>
    <row r="38190">
      <c r="B38190" s="309"/>
      <c r="C38190" s="309"/>
      <c r="I38190" s="309"/>
      <c r="J38190" s="309"/>
    </row>
    <row r="38191">
      <c r="B38191" s="309"/>
      <c r="C38191" s="309"/>
      <c r="I38191" s="309"/>
      <c r="J38191" s="309"/>
    </row>
    <row r="38192">
      <c r="B38192" s="309"/>
      <c r="C38192" s="309"/>
      <c r="I38192" s="309"/>
      <c r="J38192" s="309"/>
    </row>
    <row r="38193">
      <c r="B38193" s="309"/>
      <c r="C38193" s="309"/>
      <c r="I38193" s="309"/>
      <c r="J38193" s="309"/>
    </row>
    <row r="38194">
      <c r="B38194" s="309"/>
      <c r="C38194" s="309"/>
      <c r="I38194" s="309"/>
      <c r="J38194" s="309"/>
    </row>
    <row r="38195">
      <c r="B38195" s="309"/>
      <c r="C38195" s="309"/>
      <c r="I38195" s="309"/>
      <c r="J38195" s="309"/>
    </row>
    <row r="38196">
      <c r="B38196" s="309"/>
      <c r="C38196" s="309"/>
      <c r="I38196" s="309"/>
      <c r="J38196" s="309"/>
    </row>
    <row r="38197">
      <c r="B38197" s="309"/>
      <c r="C38197" s="309"/>
      <c r="I38197" s="309"/>
      <c r="J38197" s="309"/>
    </row>
    <row r="38198">
      <c r="B38198" s="309"/>
      <c r="C38198" s="309"/>
      <c r="I38198" s="309"/>
      <c r="J38198" s="309"/>
    </row>
    <row r="38199">
      <c r="B38199" s="309"/>
      <c r="C38199" s="309"/>
      <c r="I38199" s="309"/>
      <c r="J38199" s="309"/>
    </row>
    <row r="38200">
      <c r="B38200" s="309"/>
      <c r="C38200" s="309"/>
      <c r="I38200" s="309"/>
      <c r="J38200" s="309"/>
    </row>
    <row r="38201">
      <c r="B38201" s="309"/>
      <c r="C38201" s="309"/>
      <c r="I38201" s="309"/>
      <c r="J38201" s="309"/>
    </row>
    <row r="38202">
      <c r="B38202" s="309"/>
      <c r="C38202" s="309"/>
      <c r="I38202" s="309"/>
      <c r="J38202" s="309"/>
    </row>
    <row r="38203">
      <c r="B38203" s="309"/>
      <c r="C38203" s="309"/>
      <c r="I38203" s="309"/>
      <c r="J38203" s="309"/>
    </row>
    <row r="38204">
      <c r="B38204" s="309"/>
      <c r="C38204" s="309"/>
      <c r="I38204" s="309"/>
      <c r="J38204" s="309"/>
    </row>
    <row r="38205">
      <c r="B38205" s="309"/>
      <c r="C38205" s="309"/>
      <c r="I38205" s="309"/>
      <c r="J38205" s="309"/>
    </row>
    <row r="38206">
      <c r="B38206" s="309"/>
      <c r="C38206" s="309"/>
      <c r="I38206" s="309"/>
      <c r="J38206" s="309"/>
    </row>
    <row r="38207">
      <c r="B38207" s="309"/>
      <c r="C38207" s="309"/>
      <c r="I38207" s="309"/>
      <c r="J38207" s="309"/>
    </row>
    <row r="38208">
      <c r="B38208" s="309"/>
      <c r="C38208" s="309"/>
      <c r="I38208" s="309"/>
      <c r="J38208" s="309"/>
    </row>
    <row r="38209">
      <c r="B38209" s="309"/>
      <c r="C38209" s="309"/>
      <c r="I38209" s="309"/>
      <c r="J38209" s="309"/>
    </row>
    <row r="38210">
      <c r="B38210" s="309"/>
      <c r="C38210" s="309"/>
      <c r="I38210" s="309"/>
      <c r="J38210" s="309"/>
    </row>
    <row r="38211">
      <c r="B38211" s="309"/>
      <c r="C38211" s="309"/>
      <c r="I38211" s="309"/>
      <c r="J38211" s="309"/>
    </row>
    <row r="38212">
      <c r="B38212" s="309"/>
      <c r="C38212" s="309"/>
      <c r="I38212" s="309"/>
      <c r="J38212" s="309"/>
    </row>
    <row r="38213">
      <c r="B38213" s="309"/>
      <c r="C38213" s="309"/>
      <c r="I38213" s="309"/>
      <c r="J38213" s="309"/>
    </row>
    <row r="38214">
      <c r="B38214" s="309"/>
      <c r="C38214" s="309"/>
      <c r="I38214" s="309"/>
      <c r="J38214" s="309"/>
    </row>
    <row r="38215">
      <c r="B38215" s="309"/>
      <c r="C38215" s="309"/>
      <c r="I38215" s="309"/>
      <c r="J38215" s="309"/>
    </row>
    <row r="38216">
      <c r="B38216" s="309"/>
      <c r="C38216" s="309"/>
      <c r="I38216" s="309"/>
      <c r="J38216" s="309"/>
    </row>
    <row r="38217">
      <c r="B38217" s="309"/>
      <c r="C38217" s="309"/>
      <c r="I38217" s="309"/>
      <c r="J38217" s="309"/>
    </row>
    <row r="38218">
      <c r="B38218" s="309"/>
      <c r="C38218" s="309"/>
      <c r="I38218" s="309"/>
      <c r="J38218" s="309"/>
    </row>
    <row r="38219">
      <c r="B38219" s="309"/>
      <c r="C38219" s="309"/>
      <c r="I38219" s="309"/>
      <c r="J38219" s="309"/>
    </row>
    <row r="38220">
      <c r="B38220" s="309"/>
      <c r="C38220" s="309"/>
      <c r="I38220" s="309"/>
      <c r="J38220" s="309"/>
    </row>
    <row r="38221">
      <c r="B38221" s="309"/>
      <c r="C38221" s="309"/>
      <c r="I38221" s="309"/>
      <c r="J38221" s="309"/>
    </row>
    <row r="38222">
      <c r="B38222" s="309"/>
      <c r="C38222" s="309"/>
      <c r="I38222" s="309"/>
      <c r="J38222" s="309"/>
    </row>
    <row r="38223">
      <c r="B38223" s="309"/>
      <c r="C38223" s="309"/>
      <c r="I38223" s="309"/>
      <c r="J38223" s="309"/>
    </row>
    <row r="38224">
      <c r="B38224" s="309"/>
      <c r="C38224" s="309"/>
      <c r="I38224" s="309"/>
      <c r="J38224" s="309"/>
    </row>
    <row r="38225">
      <c r="B38225" s="309"/>
      <c r="C38225" s="309"/>
      <c r="I38225" s="309"/>
      <c r="J38225" s="309"/>
    </row>
    <row r="38226">
      <c r="B38226" s="309"/>
      <c r="C38226" s="309"/>
      <c r="I38226" s="309"/>
      <c r="J38226" s="309"/>
    </row>
    <row r="38227">
      <c r="B38227" s="309"/>
      <c r="C38227" s="309"/>
      <c r="I38227" s="309"/>
      <c r="J38227" s="309"/>
    </row>
    <row r="38228">
      <c r="B38228" s="309"/>
      <c r="C38228" s="309"/>
      <c r="I38228" s="309"/>
      <c r="J38228" s="309"/>
    </row>
    <row r="38229">
      <c r="B38229" s="309"/>
      <c r="C38229" s="309"/>
      <c r="I38229" s="309"/>
      <c r="J38229" s="309"/>
    </row>
    <row r="38230">
      <c r="B38230" s="309"/>
      <c r="C38230" s="309"/>
      <c r="I38230" s="309"/>
      <c r="J38230" s="309"/>
    </row>
    <row r="38231">
      <c r="B38231" s="309"/>
      <c r="C38231" s="309"/>
      <c r="I38231" s="309"/>
      <c r="J38231" s="309"/>
    </row>
    <row r="38232">
      <c r="B38232" s="309"/>
      <c r="C38232" s="309"/>
      <c r="I38232" s="309"/>
      <c r="J38232" s="309"/>
    </row>
    <row r="38233">
      <c r="B38233" s="309"/>
      <c r="C38233" s="309"/>
      <c r="I38233" s="309"/>
      <c r="J38233" s="309"/>
    </row>
    <row r="38234">
      <c r="B38234" s="309"/>
      <c r="C38234" s="309"/>
      <c r="I38234" s="309"/>
      <c r="J38234" s="309"/>
    </row>
    <row r="38235">
      <c r="B38235" s="309"/>
      <c r="C38235" s="309"/>
      <c r="I38235" s="309"/>
      <c r="J38235" s="309"/>
    </row>
    <row r="38236">
      <c r="B38236" s="309"/>
      <c r="C38236" s="309"/>
      <c r="I38236" s="309"/>
      <c r="J38236" s="309"/>
    </row>
    <row r="38237">
      <c r="B38237" s="309"/>
      <c r="C38237" s="309"/>
      <c r="I38237" s="309"/>
      <c r="J38237" s="309"/>
    </row>
    <row r="38238">
      <c r="B38238" s="309"/>
      <c r="C38238" s="309"/>
      <c r="I38238" s="309"/>
      <c r="J38238" s="309"/>
    </row>
    <row r="38239">
      <c r="B38239" s="309"/>
      <c r="C38239" s="309"/>
      <c r="I38239" s="309"/>
      <c r="J38239" s="309"/>
    </row>
    <row r="38240">
      <c r="B38240" s="309"/>
      <c r="C38240" s="309"/>
      <c r="I38240" s="309"/>
      <c r="J38240" s="309"/>
    </row>
    <row r="38241">
      <c r="B38241" s="309"/>
      <c r="C38241" s="309"/>
      <c r="I38241" s="309"/>
      <c r="J38241" s="309"/>
    </row>
    <row r="38242">
      <c r="B38242" s="309"/>
      <c r="C38242" s="309"/>
      <c r="I38242" s="309"/>
      <c r="J38242" s="309"/>
    </row>
    <row r="38243">
      <c r="B38243" s="309"/>
      <c r="C38243" s="309"/>
      <c r="I38243" s="309"/>
      <c r="J38243" s="309"/>
    </row>
    <row r="38244">
      <c r="B38244" s="309"/>
      <c r="C38244" s="309"/>
      <c r="I38244" s="309"/>
      <c r="J38244" s="309"/>
    </row>
    <row r="38245">
      <c r="B38245" s="309"/>
      <c r="C38245" s="309"/>
      <c r="I38245" s="309"/>
      <c r="J38245" s="309"/>
    </row>
    <row r="38246">
      <c r="B38246" s="309"/>
      <c r="C38246" s="309"/>
      <c r="I38246" s="309"/>
      <c r="J38246" s="309"/>
    </row>
    <row r="38247">
      <c r="B38247" s="309"/>
      <c r="C38247" s="309"/>
      <c r="I38247" s="309"/>
      <c r="J38247" s="309"/>
    </row>
    <row r="38248">
      <c r="B38248" s="309"/>
      <c r="C38248" s="309"/>
      <c r="I38248" s="309"/>
      <c r="J38248" s="309"/>
    </row>
    <row r="38249">
      <c r="B38249" s="309"/>
      <c r="C38249" s="309"/>
      <c r="I38249" s="309"/>
      <c r="J38249" s="309"/>
    </row>
    <row r="38250">
      <c r="B38250" s="309"/>
      <c r="C38250" s="309"/>
      <c r="I38250" s="309"/>
      <c r="J38250" s="309"/>
    </row>
    <row r="38251">
      <c r="B38251" s="309"/>
      <c r="C38251" s="309"/>
      <c r="I38251" s="309"/>
      <c r="J38251" s="309"/>
    </row>
    <row r="38252">
      <c r="B38252" s="309"/>
      <c r="C38252" s="309"/>
      <c r="I38252" s="309"/>
      <c r="J38252" s="309"/>
    </row>
    <row r="38253">
      <c r="B38253" s="309"/>
      <c r="C38253" s="309"/>
      <c r="I38253" s="309"/>
      <c r="J38253" s="309"/>
    </row>
    <row r="38254">
      <c r="B38254" s="309"/>
      <c r="C38254" s="309"/>
      <c r="I38254" s="309"/>
      <c r="J38254" s="309"/>
    </row>
    <row r="38255">
      <c r="B38255" s="309"/>
      <c r="C38255" s="309"/>
      <c r="I38255" s="309"/>
      <c r="J38255" s="309"/>
    </row>
    <row r="38256">
      <c r="B38256" s="309"/>
      <c r="C38256" s="309"/>
      <c r="I38256" s="309"/>
      <c r="J38256" s="309"/>
    </row>
    <row r="38257">
      <c r="B38257" s="309"/>
      <c r="C38257" s="309"/>
      <c r="I38257" s="309"/>
      <c r="J38257" s="309"/>
    </row>
    <row r="38258">
      <c r="B38258" s="309"/>
      <c r="C38258" s="309"/>
      <c r="I38258" s="309"/>
      <c r="J38258" s="309"/>
    </row>
    <row r="38259">
      <c r="B38259" s="309"/>
      <c r="C38259" s="309"/>
      <c r="I38259" s="309"/>
      <c r="J38259" s="309"/>
    </row>
    <row r="38260">
      <c r="B38260" s="309"/>
      <c r="C38260" s="309"/>
      <c r="I38260" s="309"/>
      <c r="J38260" s="309"/>
    </row>
    <row r="38261">
      <c r="B38261" s="309"/>
      <c r="C38261" s="309"/>
      <c r="I38261" s="309"/>
      <c r="J38261" s="309"/>
    </row>
    <row r="38262">
      <c r="B38262" s="309"/>
      <c r="C38262" s="309"/>
      <c r="I38262" s="309"/>
      <c r="J38262" s="309"/>
    </row>
    <row r="38263">
      <c r="B38263" s="309"/>
      <c r="C38263" s="309"/>
      <c r="I38263" s="309"/>
      <c r="J38263" s="309"/>
    </row>
    <row r="38264">
      <c r="B38264" s="309"/>
      <c r="C38264" s="309"/>
      <c r="I38264" s="309"/>
      <c r="J38264" s="309"/>
    </row>
    <row r="38265">
      <c r="B38265" s="309"/>
      <c r="C38265" s="309"/>
      <c r="I38265" s="309"/>
      <c r="J38265" s="309"/>
    </row>
    <row r="38266">
      <c r="B38266" s="309"/>
      <c r="C38266" s="309"/>
      <c r="I38266" s="309"/>
      <c r="J38266" s="309"/>
    </row>
    <row r="38267">
      <c r="B38267" s="309"/>
      <c r="C38267" s="309"/>
      <c r="I38267" s="309"/>
      <c r="J38267" s="309"/>
    </row>
    <row r="38268">
      <c r="B38268" s="309"/>
      <c r="C38268" s="309"/>
      <c r="I38268" s="309"/>
      <c r="J38268" s="309"/>
    </row>
    <row r="38269">
      <c r="B38269" s="309"/>
      <c r="C38269" s="309"/>
      <c r="I38269" s="309"/>
      <c r="J38269" s="309"/>
    </row>
    <row r="38270">
      <c r="B38270" s="309"/>
      <c r="C38270" s="309"/>
      <c r="I38270" s="309"/>
      <c r="J38270" s="309"/>
    </row>
    <row r="38271">
      <c r="B38271" s="309"/>
      <c r="C38271" s="309"/>
      <c r="I38271" s="309"/>
      <c r="J38271" s="309"/>
    </row>
    <row r="38272">
      <c r="B38272" s="309"/>
      <c r="C38272" s="309"/>
      <c r="I38272" s="309"/>
      <c r="J38272" s="309"/>
    </row>
    <row r="38273">
      <c r="B38273" s="309"/>
      <c r="C38273" s="309"/>
      <c r="I38273" s="309"/>
      <c r="J38273" s="309"/>
    </row>
    <row r="38274">
      <c r="B38274" s="309"/>
      <c r="C38274" s="309"/>
      <c r="I38274" s="309"/>
      <c r="J38274" s="309"/>
    </row>
    <row r="38275">
      <c r="B38275" s="309"/>
      <c r="C38275" s="309"/>
      <c r="I38275" s="309"/>
      <c r="J38275" s="309"/>
    </row>
    <row r="38276">
      <c r="B38276" s="309"/>
      <c r="C38276" s="309"/>
      <c r="I38276" s="309"/>
      <c r="J38276" s="309"/>
    </row>
    <row r="38277">
      <c r="B38277" s="309"/>
      <c r="C38277" s="309"/>
      <c r="I38277" s="309"/>
      <c r="J38277" s="309"/>
    </row>
    <row r="38278">
      <c r="B38278" s="309"/>
      <c r="C38278" s="309"/>
      <c r="I38278" s="309"/>
      <c r="J38278" s="309"/>
    </row>
    <row r="38279">
      <c r="B38279" s="309"/>
      <c r="C38279" s="309"/>
      <c r="I38279" s="309"/>
      <c r="J38279" s="309"/>
    </row>
    <row r="38280">
      <c r="B38280" s="309"/>
      <c r="C38280" s="309"/>
      <c r="I38280" s="309"/>
      <c r="J38280" s="309"/>
    </row>
    <row r="38281">
      <c r="B38281" s="309"/>
      <c r="C38281" s="309"/>
      <c r="I38281" s="309"/>
      <c r="J38281" s="309"/>
    </row>
    <row r="38282">
      <c r="B38282" s="309"/>
      <c r="C38282" s="309"/>
      <c r="I38282" s="309"/>
      <c r="J38282" s="309"/>
    </row>
    <row r="38283">
      <c r="B38283" s="309"/>
      <c r="C38283" s="309"/>
      <c r="I38283" s="309"/>
      <c r="J38283" s="309"/>
    </row>
    <row r="38284">
      <c r="B38284" s="309"/>
      <c r="C38284" s="309"/>
      <c r="I38284" s="309"/>
      <c r="J38284" s="309"/>
    </row>
    <row r="38285">
      <c r="B38285" s="309"/>
      <c r="C38285" s="309"/>
      <c r="I38285" s="309"/>
      <c r="J38285" s="309"/>
    </row>
    <row r="38286">
      <c r="B38286" s="309"/>
      <c r="C38286" s="309"/>
      <c r="I38286" s="309"/>
      <c r="J38286" s="309"/>
    </row>
    <row r="38287">
      <c r="B38287" s="309"/>
      <c r="C38287" s="309"/>
      <c r="I38287" s="309"/>
      <c r="J38287" s="309"/>
    </row>
    <row r="38288">
      <c r="B38288" s="309"/>
      <c r="C38288" s="309"/>
      <c r="I38288" s="309"/>
      <c r="J38288" s="309"/>
    </row>
    <row r="38289">
      <c r="B38289" s="309"/>
      <c r="C38289" s="309"/>
      <c r="I38289" s="309"/>
      <c r="J38289" s="309"/>
    </row>
    <row r="38290">
      <c r="B38290" s="309"/>
      <c r="C38290" s="309"/>
      <c r="I38290" s="309"/>
      <c r="J38290" s="309"/>
    </row>
    <row r="38291">
      <c r="B38291" s="309"/>
      <c r="C38291" s="309"/>
      <c r="I38291" s="309"/>
      <c r="J38291" s="309"/>
    </row>
    <row r="38292">
      <c r="B38292" s="309"/>
      <c r="C38292" s="309"/>
      <c r="I38292" s="309"/>
      <c r="J38292" s="309"/>
    </row>
    <row r="38293">
      <c r="B38293" s="309"/>
      <c r="C38293" s="309"/>
      <c r="I38293" s="309"/>
      <c r="J38293" s="309"/>
    </row>
    <row r="38294">
      <c r="B38294" s="309"/>
      <c r="C38294" s="309"/>
      <c r="I38294" s="309"/>
      <c r="J38294" s="309"/>
    </row>
    <row r="38295">
      <c r="B38295" s="309"/>
      <c r="C38295" s="309"/>
      <c r="I38295" s="309"/>
      <c r="J38295" s="309"/>
    </row>
    <row r="38296">
      <c r="B38296" s="309"/>
      <c r="C38296" s="309"/>
      <c r="I38296" s="309"/>
      <c r="J38296" s="309"/>
    </row>
    <row r="38297">
      <c r="B38297" s="309"/>
      <c r="C38297" s="309"/>
      <c r="I38297" s="309"/>
      <c r="J38297" s="309"/>
    </row>
    <row r="38298">
      <c r="B38298" s="309"/>
      <c r="C38298" s="309"/>
      <c r="I38298" s="309"/>
      <c r="J38298" s="309"/>
    </row>
    <row r="38299">
      <c r="B38299" s="309"/>
      <c r="C38299" s="309"/>
      <c r="I38299" s="309"/>
      <c r="J38299" s="309"/>
    </row>
    <row r="38300">
      <c r="B38300" s="309"/>
      <c r="C38300" s="309"/>
      <c r="I38300" s="309"/>
      <c r="J38300" s="309"/>
    </row>
    <row r="38301">
      <c r="B38301" s="309"/>
      <c r="C38301" s="309"/>
      <c r="I38301" s="309"/>
      <c r="J38301" s="309"/>
    </row>
    <row r="38302">
      <c r="B38302" s="309"/>
      <c r="C38302" s="309"/>
      <c r="I38302" s="309"/>
      <c r="J38302" s="309"/>
    </row>
    <row r="38303">
      <c r="B38303" s="309"/>
      <c r="C38303" s="309"/>
      <c r="I38303" s="309"/>
      <c r="J38303" s="309"/>
    </row>
    <row r="38304">
      <c r="B38304" s="309"/>
      <c r="C38304" s="309"/>
      <c r="I38304" s="309"/>
      <c r="J38304" s="309"/>
    </row>
    <row r="38305">
      <c r="B38305" s="309"/>
      <c r="C38305" s="309"/>
      <c r="I38305" s="309"/>
      <c r="J38305" s="309"/>
    </row>
    <row r="38306">
      <c r="B38306" s="309"/>
      <c r="C38306" s="309"/>
      <c r="I38306" s="309"/>
      <c r="J38306" s="309"/>
    </row>
    <row r="38307">
      <c r="B38307" s="309"/>
      <c r="C38307" s="309"/>
      <c r="I38307" s="309"/>
      <c r="J38307" s="309"/>
    </row>
    <row r="38308">
      <c r="B38308" s="309"/>
      <c r="C38308" s="309"/>
      <c r="I38308" s="309"/>
      <c r="J38308" s="309"/>
    </row>
    <row r="38309">
      <c r="B38309" s="309"/>
      <c r="C38309" s="309"/>
      <c r="I38309" s="309"/>
      <c r="J38309" s="309"/>
    </row>
    <row r="38310">
      <c r="B38310" s="309"/>
      <c r="C38310" s="309"/>
      <c r="I38310" s="309"/>
      <c r="J38310" s="309"/>
    </row>
    <row r="38311">
      <c r="B38311" s="309"/>
      <c r="C38311" s="309"/>
      <c r="I38311" s="309"/>
      <c r="J38311" s="309"/>
    </row>
    <row r="38312">
      <c r="B38312" s="309"/>
      <c r="C38312" s="309"/>
      <c r="I38312" s="309"/>
      <c r="J38312" s="309"/>
    </row>
    <row r="38313">
      <c r="B38313" s="309"/>
      <c r="C38313" s="309"/>
      <c r="I38313" s="309"/>
      <c r="J38313" s="309"/>
    </row>
    <row r="38314">
      <c r="B38314" s="309"/>
      <c r="C38314" s="309"/>
      <c r="I38314" s="309"/>
      <c r="J38314" s="309"/>
    </row>
    <row r="38315">
      <c r="B38315" s="309"/>
      <c r="C38315" s="309"/>
      <c r="I38315" s="309"/>
      <c r="J38315" s="309"/>
    </row>
    <row r="38316">
      <c r="B38316" s="309"/>
      <c r="C38316" s="309"/>
      <c r="I38316" s="309"/>
      <c r="J38316" s="309"/>
    </row>
    <row r="38317">
      <c r="B38317" s="309"/>
      <c r="C38317" s="309"/>
      <c r="I38317" s="309"/>
      <c r="J38317" s="309"/>
    </row>
    <row r="38318">
      <c r="B38318" s="309"/>
      <c r="C38318" s="309"/>
      <c r="I38318" s="309"/>
      <c r="J38318" s="309"/>
    </row>
    <row r="38319">
      <c r="B38319" s="309"/>
      <c r="C38319" s="309"/>
      <c r="I38319" s="309"/>
      <c r="J38319" s="309"/>
    </row>
    <row r="38320">
      <c r="B38320" s="309"/>
      <c r="C38320" s="309"/>
      <c r="I38320" s="309"/>
      <c r="J38320" s="309"/>
    </row>
    <row r="38321">
      <c r="B38321" s="309"/>
      <c r="C38321" s="309"/>
      <c r="I38321" s="309"/>
      <c r="J38321" s="309"/>
    </row>
    <row r="38322">
      <c r="B38322" s="309"/>
      <c r="C38322" s="309"/>
      <c r="I38322" s="309"/>
      <c r="J38322" s="309"/>
    </row>
    <row r="38323">
      <c r="B38323" s="309"/>
      <c r="C38323" s="309"/>
      <c r="I38323" s="309"/>
      <c r="J38323" s="309"/>
    </row>
    <row r="38324">
      <c r="B38324" s="309"/>
      <c r="C38324" s="309"/>
      <c r="I38324" s="309"/>
      <c r="J38324" s="309"/>
    </row>
    <row r="38325">
      <c r="B38325" s="309"/>
      <c r="C38325" s="309"/>
      <c r="I38325" s="309"/>
      <c r="J38325" s="309"/>
    </row>
    <row r="38326">
      <c r="B38326" s="309"/>
      <c r="C38326" s="309"/>
      <c r="I38326" s="309"/>
      <c r="J38326" s="309"/>
    </row>
    <row r="38327">
      <c r="B38327" s="309"/>
      <c r="C38327" s="309"/>
      <c r="I38327" s="309"/>
      <c r="J38327" s="309"/>
    </row>
    <row r="38328">
      <c r="B38328" s="309"/>
      <c r="C38328" s="309"/>
      <c r="I38328" s="309"/>
      <c r="J38328" s="309"/>
    </row>
    <row r="38329">
      <c r="B38329" s="309"/>
      <c r="C38329" s="309"/>
      <c r="I38329" s="309"/>
      <c r="J38329" s="309"/>
    </row>
    <row r="38330">
      <c r="B38330" s="309"/>
      <c r="C38330" s="309"/>
      <c r="I38330" s="309"/>
      <c r="J38330" s="309"/>
    </row>
    <row r="38331">
      <c r="B38331" s="309"/>
      <c r="C38331" s="309"/>
      <c r="I38331" s="309"/>
      <c r="J38331" s="309"/>
    </row>
    <row r="38332">
      <c r="B38332" s="309"/>
      <c r="C38332" s="309"/>
      <c r="I38332" s="309"/>
      <c r="J38332" s="309"/>
    </row>
    <row r="38333">
      <c r="B38333" s="309"/>
      <c r="C38333" s="309"/>
      <c r="I38333" s="309"/>
      <c r="J38333" s="309"/>
    </row>
    <row r="38334">
      <c r="B38334" s="309"/>
      <c r="C38334" s="309"/>
      <c r="I38334" s="309"/>
      <c r="J38334" s="309"/>
    </row>
    <row r="38335">
      <c r="B38335" s="309"/>
      <c r="C38335" s="309"/>
      <c r="I38335" s="309"/>
      <c r="J38335" s="309"/>
    </row>
    <row r="38336">
      <c r="B38336" s="309"/>
      <c r="C38336" s="309"/>
      <c r="I38336" s="309"/>
      <c r="J38336" s="309"/>
    </row>
    <row r="38337">
      <c r="B38337" s="309"/>
      <c r="C38337" s="309"/>
      <c r="I38337" s="309"/>
      <c r="J38337" s="309"/>
    </row>
    <row r="38338">
      <c r="B38338" s="309"/>
      <c r="C38338" s="309"/>
      <c r="I38338" s="309"/>
      <c r="J38338" s="309"/>
    </row>
    <row r="38339">
      <c r="B38339" s="309"/>
      <c r="C38339" s="309"/>
      <c r="I38339" s="309"/>
      <c r="J38339" s="309"/>
    </row>
    <row r="38340">
      <c r="B38340" s="309"/>
      <c r="C38340" s="309"/>
      <c r="I38340" s="309"/>
      <c r="J38340" s="309"/>
    </row>
    <row r="38341">
      <c r="B38341" s="309"/>
      <c r="C38341" s="309"/>
      <c r="I38341" s="309"/>
      <c r="J38341" s="309"/>
    </row>
    <row r="38342">
      <c r="B38342" s="309"/>
      <c r="C38342" s="309"/>
      <c r="I38342" s="309"/>
      <c r="J38342" s="309"/>
    </row>
    <row r="38343">
      <c r="B38343" s="309"/>
      <c r="C38343" s="309"/>
      <c r="I38343" s="309"/>
      <c r="J38343" s="309"/>
    </row>
    <row r="38344">
      <c r="B38344" s="309"/>
      <c r="C38344" s="309"/>
      <c r="I38344" s="309"/>
      <c r="J38344" s="309"/>
    </row>
    <row r="38345">
      <c r="B38345" s="309"/>
      <c r="C38345" s="309"/>
      <c r="I38345" s="309"/>
      <c r="J38345" s="309"/>
    </row>
    <row r="38346">
      <c r="B38346" s="309"/>
      <c r="C38346" s="309"/>
      <c r="I38346" s="309"/>
      <c r="J38346" s="309"/>
    </row>
    <row r="38347">
      <c r="B38347" s="309"/>
      <c r="C38347" s="309"/>
      <c r="I38347" s="309"/>
      <c r="J38347" s="309"/>
    </row>
    <row r="38348">
      <c r="B38348" s="309"/>
      <c r="C38348" s="309"/>
      <c r="I38348" s="309"/>
      <c r="J38348" s="309"/>
    </row>
    <row r="38349">
      <c r="B38349" s="309"/>
      <c r="C38349" s="309"/>
      <c r="I38349" s="309"/>
      <c r="J38349" s="309"/>
    </row>
    <row r="38350">
      <c r="B38350" s="309"/>
      <c r="C38350" s="309"/>
      <c r="I38350" s="309"/>
      <c r="J38350" s="309"/>
    </row>
    <row r="38351">
      <c r="B38351" s="309"/>
      <c r="C38351" s="309"/>
      <c r="I38351" s="309"/>
      <c r="J38351" s="309"/>
    </row>
    <row r="38352">
      <c r="B38352" s="309"/>
      <c r="C38352" s="309"/>
      <c r="I38352" s="309"/>
      <c r="J38352" s="309"/>
    </row>
    <row r="38353">
      <c r="B38353" s="309"/>
      <c r="C38353" s="309"/>
      <c r="I38353" s="309"/>
      <c r="J38353" s="309"/>
    </row>
    <row r="38354">
      <c r="B38354" s="309"/>
      <c r="C38354" s="309"/>
      <c r="I38354" s="309"/>
      <c r="J38354" s="309"/>
    </row>
    <row r="38355">
      <c r="B38355" s="309"/>
      <c r="C38355" s="309"/>
      <c r="I38355" s="309"/>
      <c r="J38355" s="309"/>
    </row>
    <row r="38356">
      <c r="B38356" s="309"/>
      <c r="C38356" s="309"/>
      <c r="I38356" s="309"/>
      <c r="J38356" s="309"/>
    </row>
    <row r="38357">
      <c r="B38357" s="309"/>
      <c r="C38357" s="309"/>
      <c r="I38357" s="309"/>
      <c r="J38357" s="309"/>
    </row>
    <row r="38358">
      <c r="B38358" s="309"/>
      <c r="C38358" s="309"/>
      <c r="I38358" s="309"/>
      <c r="J38358" s="309"/>
    </row>
    <row r="38359">
      <c r="B38359" s="309"/>
      <c r="C38359" s="309"/>
      <c r="I38359" s="309"/>
      <c r="J38359" s="309"/>
    </row>
    <row r="38360">
      <c r="B38360" s="309"/>
      <c r="C38360" s="309"/>
      <c r="I38360" s="309"/>
      <c r="J38360" s="309"/>
    </row>
    <row r="38361">
      <c r="B38361" s="309"/>
      <c r="C38361" s="309"/>
      <c r="I38361" s="309"/>
      <c r="J38361" s="309"/>
    </row>
    <row r="38362">
      <c r="B38362" s="309"/>
      <c r="C38362" s="309"/>
      <c r="I38362" s="309"/>
      <c r="J38362" s="309"/>
    </row>
    <row r="38363">
      <c r="B38363" s="309"/>
      <c r="C38363" s="309"/>
      <c r="I38363" s="309"/>
      <c r="J38363" s="309"/>
    </row>
    <row r="38364">
      <c r="B38364" s="309"/>
      <c r="C38364" s="309"/>
      <c r="I38364" s="309"/>
      <c r="J38364" s="309"/>
    </row>
    <row r="38365">
      <c r="B38365" s="309"/>
      <c r="C38365" s="309"/>
      <c r="I38365" s="309"/>
      <c r="J38365" s="309"/>
    </row>
    <row r="38366">
      <c r="B38366" s="309"/>
      <c r="C38366" s="309"/>
      <c r="I38366" s="309"/>
      <c r="J38366" s="309"/>
    </row>
    <row r="38367">
      <c r="B38367" s="309"/>
      <c r="C38367" s="309"/>
      <c r="I38367" s="309"/>
      <c r="J38367" s="309"/>
    </row>
    <row r="38368">
      <c r="B38368" s="309"/>
      <c r="C38368" s="309"/>
      <c r="I38368" s="309"/>
      <c r="J38368" s="309"/>
    </row>
    <row r="38369">
      <c r="B38369" s="309"/>
      <c r="C38369" s="309"/>
      <c r="I38369" s="309"/>
      <c r="J38369" s="309"/>
    </row>
    <row r="38370">
      <c r="B38370" s="309"/>
      <c r="C38370" s="309"/>
      <c r="I38370" s="309"/>
      <c r="J38370" s="309"/>
    </row>
    <row r="38371">
      <c r="B38371" s="309"/>
      <c r="C38371" s="309"/>
      <c r="I38371" s="309"/>
      <c r="J38371" s="309"/>
    </row>
    <row r="38372">
      <c r="B38372" s="309"/>
      <c r="C38372" s="309"/>
      <c r="I38372" s="309"/>
      <c r="J38372" s="309"/>
    </row>
    <row r="38373">
      <c r="B38373" s="309"/>
      <c r="C38373" s="309"/>
      <c r="I38373" s="309"/>
      <c r="J38373" s="309"/>
    </row>
    <row r="38374">
      <c r="B38374" s="309"/>
      <c r="C38374" s="309"/>
      <c r="I38374" s="309"/>
      <c r="J38374" s="309"/>
    </row>
    <row r="38375">
      <c r="B38375" s="309"/>
      <c r="C38375" s="309"/>
      <c r="I38375" s="309"/>
      <c r="J38375" s="309"/>
    </row>
    <row r="38376">
      <c r="B38376" s="309"/>
      <c r="C38376" s="309"/>
      <c r="I38376" s="309"/>
      <c r="J38376" s="309"/>
    </row>
    <row r="38377">
      <c r="B38377" s="309"/>
      <c r="C38377" s="309"/>
      <c r="I38377" s="309"/>
      <c r="J38377" s="309"/>
    </row>
    <row r="38378">
      <c r="B38378" s="309"/>
      <c r="C38378" s="309"/>
      <c r="I38378" s="309"/>
      <c r="J38378" s="309"/>
    </row>
    <row r="38379">
      <c r="B38379" s="309"/>
      <c r="C38379" s="309"/>
      <c r="I38379" s="309"/>
      <c r="J38379" s="309"/>
    </row>
    <row r="38380">
      <c r="B38380" s="309"/>
      <c r="C38380" s="309"/>
      <c r="I38380" s="309"/>
      <c r="J38380" s="309"/>
    </row>
    <row r="38381">
      <c r="B38381" s="309"/>
      <c r="C38381" s="309"/>
      <c r="I38381" s="309"/>
      <c r="J38381" s="309"/>
    </row>
    <row r="38382">
      <c r="B38382" s="309"/>
      <c r="C38382" s="309"/>
      <c r="I38382" s="309"/>
      <c r="J38382" s="309"/>
    </row>
    <row r="38383">
      <c r="B38383" s="309"/>
      <c r="C38383" s="309"/>
      <c r="I38383" s="309"/>
      <c r="J38383" s="309"/>
    </row>
    <row r="38384">
      <c r="B38384" s="309"/>
      <c r="C38384" s="309"/>
      <c r="I38384" s="309"/>
      <c r="J38384" s="309"/>
    </row>
    <row r="38385">
      <c r="B38385" s="309"/>
      <c r="C38385" s="309"/>
      <c r="I38385" s="309"/>
      <c r="J38385" s="309"/>
    </row>
    <row r="38386">
      <c r="B38386" s="309"/>
      <c r="C38386" s="309"/>
      <c r="I38386" s="309"/>
      <c r="J38386" s="309"/>
    </row>
    <row r="38387">
      <c r="B38387" s="309"/>
      <c r="C38387" s="309"/>
      <c r="I38387" s="309"/>
      <c r="J38387" s="309"/>
    </row>
    <row r="38388">
      <c r="B38388" s="309"/>
      <c r="C38388" s="309"/>
      <c r="I38388" s="309"/>
      <c r="J38388" s="309"/>
    </row>
    <row r="38389">
      <c r="B38389" s="309"/>
      <c r="C38389" s="309"/>
      <c r="I38389" s="309"/>
      <c r="J38389" s="309"/>
    </row>
    <row r="38390">
      <c r="B38390" s="309"/>
      <c r="C38390" s="309"/>
      <c r="I38390" s="309"/>
      <c r="J38390" s="309"/>
    </row>
    <row r="38391">
      <c r="B38391" s="309"/>
      <c r="C38391" s="309"/>
      <c r="I38391" s="309"/>
      <c r="J38391" s="309"/>
    </row>
    <row r="38392">
      <c r="B38392" s="309"/>
      <c r="C38392" s="309"/>
      <c r="I38392" s="309"/>
      <c r="J38392" s="309"/>
    </row>
    <row r="38393">
      <c r="B38393" s="309"/>
      <c r="C38393" s="309"/>
      <c r="I38393" s="309"/>
      <c r="J38393" s="309"/>
    </row>
    <row r="38394">
      <c r="B38394" s="309"/>
      <c r="C38394" s="309"/>
      <c r="I38394" s="309"/>
      <c r="J38394" s="309"/>
    </row>
    <row r="38395">
      <c r="B38395" s="309"/>
      <c r="C38395" s="309"/>
      <c r="I38395" s="309"/>
      <c r="J38395" s="309"/>
    </row>
    <row r="38396">
      <c r="B38396" s="309"/>
      <c r="C38396" s="309"/>
      <c r="I38396" s="309"/>
      <c r="J38396" s="309"/>
    </row>
    <row r="38397">
      <c r="B38397" s="309"/>
      <c r="C38397" s="309"/>
      <c r="I38397" s="309"/>
      <c r="J38397" s="309"/>
    </row>
    <row r="38398">
      <c r="B38398" s="309"/>
      <c r="C38398" s="309"/>
      <c r="I38398" s="309"/>
      <c r="J38398" s="309"/>
    </row>
    <row r="38399">
      <c r="B38399" s="309"/>
      <c r="C38399" s="309"/>
      <c r="I38399" s="309"/>
      <c r="J38399" s="309"/>
    </row>
    <row r="38400">
      <c r="B38400" s="309"/>
      <c r="C38400" s="309"/>
      <c r="I38400" s="309"/>
      <c r="J38400" s="309"/>
    </row>
    <row r="38401">
      <c r="B38401" s="309"/>
      <c r="C38401" s="309"/>
      <c r="I38401" s="309"/>
      <c r="J38401" s="309"/>
    </row>
    <row r="38402">
      <c r="B38402" s="309"/>
      <c r="C38402" s="309"/>
      <c r="I38402" s="309"/>
      <c r="J38402" s="309"/>
    </row>
    <row r="38403">
      <c r="B38403" s="309"/>
      <c r="C38403" s="309"/>
      <c r="I38403" s="309"/>
      <c r="J38403" s="309"/>
    </row>
    <row r="38404">
      <c r="B38404" s="309"/>
      <c r="C38404" s="309"/>
      <c r="I38404" s="309"/>
      <c r="J38404" s="309"/>
    </row>
    <row r="38405">
      <c r="B38405" s="309"/>
      <c r="C38405" s="309"/>
      <c r="I38405" s="309"/>
      <c r="J38405" s="309"/>
    </row>
    <row r="38406">
      <c r="B38406" s="309"/>
      <c r="C38406" s="309"/>
      <c r="I38406" s="309"/>
      <c r="J38406" s="309"/>
    </row>
    <row r="38407">
      <c r="B38407" s="309"/>
      <c r="C38407" s="309"/>
      <c r="I38407" s="309"/>
      <c r="J38407" s="309"/>
    </row>
    <row r="38408">
      <c r="B38408" s="309"/>
      <c r="C38408" s="309"/>
      <c r="I38408" s="309"/>
      <c r="J38408" s="309"/>
    </row>
    <row r="38409">
      <c r="B38409" s="309"/>
      <c r="C38409" s="309"/>
      <c r="I38409" s="309"/>
      <c r="J38409" s="309"/>
    </row>
    <row r="38410">
      <c r="B38410" s="309"/>
      <c r="C38410" s="309"/>
      <c r="I38410" s="309"/>
      <c r="J38410" s="309"/>
    </row>
    <row r="38411">
      <c r="B38411" s="309"/>
      <c r="C38411" s="309"/>
      <c r="I38411" s="309"/>
      <c r="J38411" s="309"/>
    </row>
    <row r="38412">
      <c r="B38412" s="309"/>
      <c r="C38412" s="309"/>
      <c r="I38412" s="309"/>
      <c r="J38412" s="309"/>
    </row>
    <row r="38413">
      <c r="B38413" s="309"/>
      <c r="C38413" s="309"/>
      <c r="I38413" s="309"/>
      <c r="J38413" s="309"/>
    </row>
    <row r="38414">
      <c r="B38414" s="309"/>
      <c r="C38414" s="309"/>
      <c r="I38414" s="309"/>
      <c r="J38414" s="309"/>
    </row>
    <row r="38415">
      <c r="B38415" s="309"/>
      <c r="C38415" s="309"/>
      <c r="I38415" s="309"/>
      <c r="J38415" s="309"/>
    </row>
    <row r="38416">
      <c r="B38416" s="309"/>
      <c r="C38416" s="309"/>
      <c r="I38416" s="309"/>
      <c r="J38416" s="309"/>
    </row>
    <row r="38417">
      <c r="B38417" s="309"/>
      <c r="C38417" s="309"/>
      <c r="I38417" s="309"/>
      <c r="J38417" s="309"/>
    </row>
    <row r="38418">
      <c r="B38418" s="309"/>
      <c r="C38418" s="309"/>
      <c r="I38418" s="309"/>
      <c r="J38418" s="309"/>
    </row>
    <row r="38419">
      <c r="B38419" s="309"/>
      <c r="C38419" s="309"/>
      <c r="I38419" s="309"/>
      <c r="J38419" s="309"/>
    </row>
    <row r="38420">
      <c r="B38420" s="309"/>
      <c r="C38420" s="309"/>
      <c r="I38420" s="309"/>
      <c r="J38420" s="309"/>
    </row>
    <row r="38421">
      <c r="B38421" s="309"/>
      <c r="C38421" s="309"/>
      <c r="I38421" s="309"/>
      <c r="J38421" s="309"/>
    </row>
    <row r="38422">
      <c r="B38422" s="309"/>
      <c r="C38422" s="309"/>
      <c r="I38422" s="309"/>
      <c r="J38422" s="309"/>
    </row>
    <row r="38423">
      <c r="B38423" s="309"/>
      <c r="C38423" s="309"/>
      <c r="I38423" s="309"/>
      <c r="J38423" s="309"/>
    </row>
    <row r="38424">
      <c r="B38424" s="309"/>
      <c r="C38424" s="309"/>
      <c r="I38424" s="309"/>
      <c r="J38424" s="309"/>
    </row>
    <row r="38425">
      <c r="B38425" s="309"/>
      <c r="C38425" s="309"/>
      <c r="I38425" s="309"/>
      <c r="J38425" s="309"/>
    </row>
    <row r="38426">
      <c r="B38426" s="309"/>
      <c r="C38426" s="309"/>
      <c r="I38426" s="309"/>
      <c r="J38426" s="309"/>
    </row>
    <row r="38427">
      <c r="B38427" s="309"/>
      <c r="C38427" s="309"/>
      <c r="I38427" s="309"/>
      <c r="J38427" s="309"/>
    </row>
    <row r="38428">
      <c r="B38428" s="309"/>
      <c r="C38428" s="309"/>
      <c r="I38428" s="309"/>
      <c r="J38428" s="309"/>
    </row>
    <row r="38429">
      <c r="B38429" s="309"/>
      <c r="C38429" s="309"/>
      <c r="I38429" s="309"/>
      <c r="J38429" s="309"/>
    </row>
    <row r="38430">
      <c r="B38430" s="309"/>
      <c r="C38430" s="309"/>
      <c r="I38430" s="309"/>
      <c r="J38430" s="309"/>
    </row>
    <row r="38431">
      <c r="B38431" s="309"/>
      <c r="C38431" s="309"/>
      <c r="I38431" s="309"/>
      <c r="J38431" s="309"/>
    </row>
    <row r="38432">
      <c r="B38432" s="309"/>
      <c r="C38432" s="309"/>
      <c r="I38432" s="309"/>
      <c r="J38432" s="309"/>
    </row>
    <row r="38433">
      <c r="B38433" s="309"/>
      <c r="C38433" s="309"/>
      <c r="I38433" s="309"/>
      <c r="J38433" s="309"/>
    </row>
    <row r="38434">
      <c r="B38434" s="309"/>
      <c r="C38434" s="309"/>
      <c r="I38434" s="309"/>
      <c r="J38434" s="309"/>
    </row>
    <row r="38435">
      <c r="B38435" s="309"/>
      <c r="C38435" s="309"/>
      <c r="I38435" s="309"/>
      <c r="J38435" s="309"/>
    </row>
    <row r="38436">
      <c r="B38436" s="309"/>
      <c r="C38436" s="309"/>
      <c r="I38436" s="309"/>
      <c r="J38436" s="309"/>
    </row>
    <row r="38437">
      <c r="B38437" s="309"/>
      <c r="C38437" s="309"/>
      <c r="I38437" s="309"/>
      <c r="J38437" s="309"/>
    </row>
    <row r="38438">
      <c r="B38438" s="309"/>
      <c r="C38438" s="309"/>
      <c r="I38438" s="309"/>
      <c r="J38438" s="309"/>
    </row>
    <row r="38439">
      <c r="B38439" s="309"/>
      <c r="C38439" s="309"/>
      <c r="I38439" s="309"/>
      <c r="J38439" s="309"/>
    </row>
    <row r="38440">
      <c r="B38440" s="309"/>
      <c r="C38440" s="309"/>
      <c r="I38440" s="309"/>
      <c r="J38440" s="309"/>
    </row>
    <row r="38441">
      <c r="B38441" s="309"/>
      <c r="C38441" s="309"/>
      <c r="I38441" s="309"/>
      <c r="J38441" s="309"/>
    </row>
    <row r="38442">
      <c r="B38442" s="309"/>
      <c r="C38442" s="309"/>
      <c r="I38442" s="309"/>
      <c r="J38442" s="309"/>
    </row>
    <row r="38443">
      <c r="B38443" s="309"/>
      <c r="C38443" s="309"/>
      <c r="I38443" s="309"/>
      <c r="J38443" s="309"/>
    </row>
    <row r="38444">
      <c r="B38444" s="309"/>
      <c r="C38444" s="309"/>
      <c r="I38444" s="309"/>
      <c r="J38444" s="309"/>
    </row>
    <row r="38445">
      <c r="B38445" s="309"/>
      <c r="C38445" s="309"/>
      <c r="I38445" s="309"/>
      <c r="J38445" s="309"/>
    </row>
    <row r="38446">
      <c r="B38446" s="309"/>
      <c r="C38446" s="309"/>
      <c r="I38446" s="309"/>
      <c r="J38446" s="309"/>
    </row>
    <row r="38447">
      <c r="B38447" s="309"/>
      <c r="C38447" s="309"/>
      <c r="I38447" s="309"/>
      <c r="J38447" s="309"/>
    </row>
    <row r="38448">
      <c r="B38448" s="309"/>
      <c r="C38448" s="309"/>
      <c r="I38448" s="309"/>
      <c r="J38448" s="309"/>
    </row>
    <row r="38449">
      <c r="B38449" s="309"/>
      <c r="C38449" s="309"/>
      <c r="I38449" s="309"/>
      <c r="J38449" s="309"/>
    </row>
    <row r="38450">
      <c r="B38450" s="309"/>
      <c r="C38450" s="309"/>
      <c r="I38450" s="309"/>
      <c r="J38450" s="309"/>
    </row>
    <row r="38451">
      <c r="B38451" s="309"/>
      <c r="C38451" s="309"/>
      <c r="I38451" s="309"/>
      <c r="J38451" s="309"/>
    </row>
    <row r="38452">
      <c r="B38452" s="309"/>
      <c r="C38452" s="309"/>
      <c r="I38452" s="309"/>
      <c r="J38452" s="309"/>
    </row>
    <row r="38453">
      <c r="B38453" s="309"/>
      <c r="C38453" s="309"/>
      <c r="I38453" s="309"/>
      <c r="J38453" s="309"/>
    </row>
    <row r="38454">
      <c r="B38454" s="309"/>
      <c r="C38454" s="309"/>
      <c r="I38454" s="309"/>
      <c r="J38454" s="309"/>
    </row>
    <row r="38455">
      <c r="B38455" s="309"/>
      <c r="C38455" s="309"/>
      <c r="I38455" s="309"/>
      <c r="J38455" s="309"/>
    </row>
    <row r="38456">
      <c r="B38456" s="309"/>
      <c r="C38456" s="309"/>
      <c r="I38456" s="309"/>
      <c r="J38456" s="309"/>
    </row>
    <row r="38457">
      <c r="B38457" s="309"/>
      <c r="C38457" s="309"/>
      <c r="I38457" s="309"/>
      <c r="J38457" s="309"/>
    </row>
    <row r="38458">
      <c r="B38458" s="309"/>
      <c r="C38458" s="309"/>
      <c r="I38458" s="309"/>
      <c r="J38458" s="309"/>
    </row>
    <row r="38459">
      <c r="B38459" s="309"/>
      <c r="C38459" s="309"/>
      <c r="I38459" s="309"/>
      <c r="J38459" s="309"/>
    </row>
    <row r="38460">
      <c r="B38460" s="309"/>
      <c r="C38460" s="309"/>
      <c r="I38460" s="309"/>
      <c r="J38460" s="309"/>
    </row>
    <row r="38461">
      <c r="B38461" s="309"/>
      <c r="C38461" s="309"/>
      <c r="I38461" s="309"/>
      <c r="J38461" s="309"/>
    </row>
    <row r="38462">
      <c r="B38462" s="309"/>
      <c r="C38462" s="309"/>
      <c r="I38462" s="309"/>
      <c r="J38462" s="309"/>
    </row>
    <row r="38463">
      <c r="B38463" s="309"/>
      <c r="C38463" s="309"/>
      <c r="I38463" s="309"/>
      <c r="J38463" s="309"/>
    </row>
    <row r="38464">
      <c r="B38464" s="309"/>
      <c r="C38464" s="309"/>
      <c r="I38464" s="309"/>
      <c r="J38464" s="309"/>
    </row>
    <row r="38465">
      <c r="B38465" s="309"/>
      <c r="C38465" s="309"/>
      <c r="I38465" s="309"/>
      <c r="J38465" s="309"/>
    </row>
    <row r="38466">
      <c r="B38466" s="309"/>
      <c r="C38466" s="309"/>
      <c r="I38466" s="309"/>
      <c r="J38466" s="309"/>
    </row>
    <row r="38467">
      <c r="B38467" s="309"/>
      <c r="C38467" s="309"/>
      <c r="I38467" s="309"/>
      <c r="J38467" s="309"/>
    </row>
    <row r="38468">
      <c r="B38468" s="309"/>
      <c r="C38468" s="309"/>
      <c r="I38468" s="309"/>
      <c r="J38468" s="309"/>
    </row>
    <row r="38469">
      <c r="B38469" s="309"/>
      <c r="C38469" s="309"/>
      <c r="I38469" s="309"/>
      <c r="J38469" s="309"/>
    </row>
    <row r="38470">
      <c r="B38470" s="309"/>
      <c r="C38470" s="309"/>
      <c r="I38470" s="309"/>
      <c r="J38470" s="309"/>
    </row>
    <row r="38471">
      <c r="B38471" s="309"/>
      <c r="C38471" s="309"/>
      <c r="I38471" s="309"/>
      <c r="J38471" s="309"/>
    </row>
    <row r="38472">
      <c r="B38472" s="309"/>
      <c r="C38472" s="309"/>
      <c r="I38472" s="309"/>
      <c r="J38472" s="309"/>
    </row>
    <row r="38473">
      <c r="B38473" s="309"/>
      <c r="C38473" s="309"/>
      <c r="I38473" s="309"/>
      <c r="J38473" s="309"/>
    </row>
    <row r="38474">
      <c r="B38474" s="309"/>
      <c r="C38474" s="309"/>
      <c r="I38474" s="309"/>
      <c r="J38474" s="309"/>
    </row>
    <row r="38475">
      <c r="B38475" s="309"/>
      <c r="C38475" s="309"/>
      <c r="I38475" s="309"/>
      <c r="J38475" s="309"/>
    </row>
    <row r="38476">
      <c r="B38476" s="309"/>
      <c r="C38476" s="309"/>
      <c r="I38476" s="309"/>
      <c r="J38476" s="309"/>
    </row>
    <row r="38477">
      <c r="B38477" s="309"/>
      <c r="C38477" s="309"/>
      <c r="I38477" s="309"/>
      <c r="J38477" s="309"/>
    </row>
    <row r="38478">
      <c r="B38478" s="309"/>
      <c r="C38478" s="309"/>
      <c r="I38478" s="309"/>
      <c r="J38478" s="309"/>
    </row>
    <row r="38479">
      <c r="B38479" s="309"/>
      <c r="C38479" s="309"/>
      <c r="I38479" s="309"/>
      <c r="J38479" s="309"/>
    </row>
    <row r="38480">
      <c r="B38480" s="309"/>
      <c r="C38480" s="309"/>
      <c r="I38480" s="309"/>
      <c r="J38480" s="309"/>
    </row>
    <row r="38481">
      <c r="B38481" s="309"/>
      <c r="C38481" s="309"/>
      <c r="I38481" s="309"/>
      <c r="J38481" s="309"/>
    </row>
    <row r="38482">
      <c r="B38482" s="309"/>
      <c r="C38482" s="309"/>
      <c r="I38482" s="309"/>
      <c r="J38482" s="309"/>
    </row>
    <row r="38483">
      <c r="B38483" s="309"/>
      <c r="C38483" s="309"/>
      <c r="I38483" s="309"/>
      <c r="J38483" s="309"/>
    </row>
    <row r="38484">
      <c r="B38484" s="309"/>
      <c r="C38484" s="309"/>
      <c r="I38484" s="309"/>
      <c r="J38484" s="309"/>
    </row>
    <row r="38485">
      <c r="B38485" s="309"/>
      <c r="C38485" s="309"/>
      <c r="I38485" s="309"/>
      <c r="J38485" s="309"/>
    </row>
    <row r="38486">
      <c r="B38486" s="309"/>
      <c r="C38486" s="309"/>
      <c r="I38486" s="309"/>
      <c r="J38486" s="309"/>
    </row>
    <row r="38487">
      <c r="B38487" s="309"/>
      <c r="C38487" s="309"/>
      <c r="I38487" s="309"/>
      <c r="J38487" s="309"/>
    </row>
    <row r="38488">
      <c r="B38488" s="309"/>
      <c r="C38488" s="309"/>
      <c r="I38488" s="309"/>
      <c r="J38488" s="309"/>
    </row>
    <row r="38489">
      <c r="B38489" s="309"/>
      <c r="C38489" s="309"/>
      <c r="I38489" s="309"/>
      <c r="J38489" s="309"/>
    </row>
    <row r="38490">
      <c r="B38490" s="309"/>
      <c r="C38490" s="309"/>
      <c r="I38490" s="309"/>
      <c r="J38490" s="309"/>
    </row>
    <row r="38491">
      <c r="B38491" s="309"/>
      <c r="C38491" s="309"/>
      <c r="I38491" s="309"/>
      <c r="J38491" s="309"/>
    </row>
    <row r="38492">
      <c r="B38492" s="309"/>
      <c r="C38492" s="309"/>
      <c r="I38492" s="309"/>
      <c r="J38492" s="309"/>
    </row>
    <row r="38493">
      <c r="B38493" s="309"/>
      <c r="C38493" s="309"/>
      <c r="I38493" s="309"/>
      <c r="J38493" s="309"/>
    </row>
    <row r="38494">
      <c r="B38494" s="309"/>
      <c r="C38494" s="309"/>
      <c r="I38494" s="309"/>
      <c r="J38494" s="309"/>
    </row>
    <row r="38495">
      <c r="B38495" s="309"/>
      <c r="C38495" s="309"/>
      <c r="I38495" s="309"/>
      <c r="J38495" s="309"/>
    </row>
    <row r="38496">
      <c r="B38496" s="309"/>
      <c r="C38496" s="309"/>
      <c r="I38496" s="309"/>
      <c r="J38496" s="309"/>
    </row>
    <row r="38497">
      <c r="B38497" s="309"/>
      <c r="C38497" s="309"/>
      <c r="I38497" s="309"/>
      <c r="J38497" s="309"/>
    </row>
    <row r="38498">
      <c r="B38498" s="309"/>
      <c r="C38498" s="309"/>
      <c r="I38498" s="309"/>
      <c r="J38498" s="309"/>
    </row>
    <row r="38499">
      <c r="B38499" s="309"/>
      <c r="C38499" s="309"/>
      <c r="I38499" s="309"/>
      <c r="J38499" s="309"/>
    </row>
    <row r="38500">
      <c r="B38500" s="309"/>
      <c r="C38500" s="309"/>
      <c r="I38500" s="309"/>
      <c r="J38500" s="309"/>
    </row>
    <row r="38501">
      <c r="B38501" s="309"/>
      <c r="C38501" s="309"/>
      <c r="I38501" s="309"/>
      <c r="J38501" s="309"/>
    </row>
    <row r="38502">
      <c r="B38502" s="309"/>
      <c r="C38502" s="309"/>
      <c r="I38502" s="309"/>
      <c r="J38502" s="309"/>
    </row>
    <row r="38503">
      <c r="B38503" s="309"/>
      <c r="C38503" s="309"/>
      <c r="I38503" s="309"/>
      <c r="J38503" s="309"/>
    </row>
    <row r="38504">
      <c r="B38504" s="309"/>
      <c r="C38504" s="309"/>
      <c r="I38504" s="309"/>
      <c r="J38504" s="309"/>
    </row>
    <row r="38505">
      <c r="B38505" s="309"/>
      <c r="C38505" s="309"/>
      <c r="I38505" s="309"/>
      <c r="J38505" s="309"/>
    </row>
    <row r="38506">
      <c r="B38506" s="309"/>
      <c r="C38506" s="309"/>
      <c r="I38506" s="309"/>
      <c r="J38506" s="309"/>
    </row>
    <row r="38507">
      <c r="B38507" s="309"/>
      <c r="C38507" s="309"/>
      <c r="I38507" s="309"/>
      <c r="J38507" s="309"/>
    </row>
    <row r="38508">
      <c r="B38508" s="309"/>
      <c r="C38508" s="309"/>
      <c r="I38508" s="309"/>
      <c r="J38508" s="309"/>
    </row>
    <row r="38509">
      <c r="B38509" s="309"/>
      <c r="C38509" s="309"/>
      <c r="I38509" s="309"/>
      <c r="J38509" s="309"/>
    </row>
    <row r="38510">
      <c r="B38510" s="309"/>
      <c r="C38510" s="309"/>
      <c r="I38510" s="309"/>
      <c r="J38510" s="309"/>
    </row>
    <row r="38511">
      <c r="B38511" s="309"/>
      <c r="C38511" s="309"/>
      <c r="I38511" s="309"/>
      <c r="J38511" s="309"/>
    </row>
    <row r="38512">
      <c r="B38512" s="309"/>
      <c r="C38512" s="309"/>
      <c r="I38512" s="309"/>
      <c r="J38512" s="309"/>
    </row>
    <row r="38513">
      <c r="B38513" s="309"/>
      <c r="C38513" s="309"/>
      <c r="I38513" s="309"/>
      <c r="J38513" s="309"/>
    </row>
    <row r="38514">
      <c r="B38514" s="309"/>
      <c r="C38514" s="309"/>
      <c r="I38514" s="309"/>
      <c r="J38514" s="309"/>
    </row>
    <row r="38515">
      <c r="B38515" s="309"/>
      <c r="C38515" s="309"/>
      <c r="I38515" s="309"/>
      <c r="J38515" s="309"/>
    </row>
    <row r="38516">
      <c r="B38516" s="309"/>
      <c r="C38516" s="309"/>
      <c r="I38516" s="309"/>
      <c r="J38516" s="309"/>
    </row>
    <row r="38517">
      <c r="B38517" s="309"/>
      <c r="C38517" s="309"/>
      <c r="I38517" s="309"/>
      <c r="J38517" s="309"/>
    </row>
    <row r="38518">
      <c r="B38518" s="309"/>
      <c r="C38518" s="309"/>
      <c r="I38518" s="309"/>
      <c r="J38518" s="309"/>
    </row>
    <row r="38519">
      <c r="B38519" s="309"/>
      <c r="C38519" s="309"/>
      <c r="I38519" s="309"/>
      <c r="J38519" s="309"/>
    </row>
    <row r="38520">
      <c r="B38520" s="309"/>
      <c r="C38520" s="309"/>
      <c r="I38520" s="309"/>
      <c r="J38520" s="309"/>
    </row>
    <row r="38521">
      <c r="B38521" s="309"/>
      <c r="C38521" s="309"/>
      <c r="I38521" s="309"/>
      <c r="J38521" s="309"/>
    </row>
    <row r="38522">
      <c r="B38522" s="309"/>
      <c r="C38522" s="309"/>
      <c r="I38522" s="309"/>
      <c r="J38522" s="309"/>
    </row>
    <row r="38523">
      <c r="B38523" s="309"/>
      <c r="C38523" s="309"/>
      <c r="I38523" s="309"/>
      <c r="J38523" s="309"/>
    </row>
    <row r="38524">
      <c r="B38524" s="309"/>
      <c r="C38524" s="309"/>
      <c r="I38524" s="309"/>
      <c r="J38524" s="309"/>
    </row>
    <row r="38525">
      <c r="B38525" s="309"/>
      <c r="C38525" s="309"/>
      <c r="I38525" s="309"/>
      <c r="J38525" s="309"/>
    </row>
    <row r="38526">
      <c r="B38526" s="309"/>
      <c r="C38526" s="309"/>
      <c r="I38526" s="309"/>
      <c r="J38526" s="309"/>
    </row>
    <row r="38527">
      <c r="B38527" s="309"/>
      <c r="C38527" s="309"/>
      <c r="I38527" s="309"/>
      <c r="J38527" s="309"/>
    </row>
    <row r="38528">
      <c r="B38528" s="309"/>
      <c r="C38528" s="309"/>
      <c r="I38528" s="309"/>
      <c r="J38528" s="309"/>
    </row>
    <row r="38529">
      <c r="B38529" s="309"/>
      <c r="C38529" s="309"/>
      <c r="I38529" s="309"/>
      <c r="J38529" s="309"/>
    </row>
    <row r="38530">
      <c r="B38530" s="309"/>
      <c r="C38530" s="309"/>
      <c r="I38530" s="309"/>
      <c r="J38530" s="309"/>
    </row>
    <row r="38531">
      <c r="B38531" s="309"/>
      <c r="C38531" s="309"/>
      <c r="I38531" s="309"/>
      <c r="J38531" s="309"/>
    </row>
    <row r="38532">
      <c r="B38532" s="309"/>
      <c r="C38532" s="309"/>
      <c r="I38532" s="309"/>
      <c r="J38532" s="309"/>
    </row>
    <row r="38533">
      <c r="B38533" s="309"/>
      <c r="C38533" s="309"/>
      <c r="I38533" s="309"/>
      <c r="J38533" s="309"/>
    </row>
    <row r="38534">
      <c r="B38534" s="309"/>
      <c r="C38534" s="309"/>
      <c r="I38534" s="309"/>
      <c r="J38534" s="309"/>
    </row>
    <row r="38535">
      <c r="B38535" s="309"/>
      <c r="C38535" s="309"/>
      <c r="I38535" s="309"/>
      <c r="J38535" s="309"/>
    </row>
    <row r="38536">
      <c r="B38536" s="309"/>
      <c r="C38536" s="309"/>
      <c r="I38536" s="309"/>
      <c r="J38536" s="309"/>
    </row>
    <row r="38537">
      <c r="B38537" s="309"/>
      <c r="C38537" s="309"/>
      <c r="I38537" s="309"/>
      <c r="J38537" s="309"/>
    </row>
    <row r="38538">
      <c r="B38538" s="309"/>
      <c r="C38538" s="309"/>
      <c r="I38538" s="309"/>
      <c r="J38538" s="309"/>
    </row>
    <row r="38539">
      <c r="B38539" s="309"/>
      <c r="C38539" s="309"/>
      <c r="I38539" s="309"/>
      <c r="J38539" s="309"/>
    </row>
    <row r="38540">
      <c r="B38540" s="309"/>
      <c r="C38540" s="309"/>
      <c r="I38540" s="309"/>
      <c r="J38540" s="309"/>
    </row>
    <row r="38541">
      <c r="B38541" s="309"/>
      <c r="C38541" s="309"/>
      <c r="I38541" s="309"/>
      <c r="J38541" s="309"/>
    </row>
    <row r="38542">
      <c r="B38542" s="309"/>
      <c r="C38542" s="309"/>
      <c r="I38542" s="309"/>
      <c r="J38542" s="309"/>
    </row>
    <row r="38543">
      <c r="B38543" s="309"/>
      <c r="C38543" s="309"/>
      <c r="I38543" s="309"/>
      <c r="J38543" s="309"/>
    </row>
    <row r="38544">
      <c r="B38544" s="309"/>
      <c r="C38544" s="309"/>
      <c r="I38544" s="309"/>
      <c r="J38544" s="309"/>
    </row>
    <row r="38545">
      <c r="B38545" s="309"/>
      <c r="C38545" s="309"/>
      <c r="I38545" s="309"/>
      <c r="J38545" s="309"/>
    </row>
    <row r="38546">
      <c r="B38546" s="309"/>
      <c r="C38546" s="309"/>
      <c r="I38546" s="309"/>
      <c r="J38546" s="309"/>
    </row>
    <row r="38547">
      <c r="B38547" s="309"/>
      <c r="C38547" s="309"/>
      <c r="I38547" s="309"/>
      <c r="J38547" s="309"/>
    </row>
    <row r="38548">
      <c r="B38548" s="309"/>
      <c r="C38548" s="309"/>
      <c r="I38548" s="309"/>
      <c r="J38548" s="309"/>
    </row>
    <row r="38549">
      <c r="B38549" s="309"/>
      <c r="C38549" s="309"/>
      <c r="I38549" s="309"/>
      <c r="J38549" s="309"/>
    </row>
    <row r="38550">
      <c r="B38550" s="309"/>
      <c r="C38550" s="309"/>
      <c r="I38550" s="309"/>
      <c r="J38550" s="309"/>
    </row>
    <row r="38551">
      <c r="B38551" s="309"/>
      <c r="C38551" s="309"/>
      <c r="I38551" s="309"/>
      <c r="J38551" s="309"/>
    </row>
    <row r="38552">
      <c r="B38552" s="309"/>
      <c r="C38552" s="309"/>
      <c r="I38552" s="309"/>
      <c r="J38552" s="309"/>
    </row>
    <row r="38553">
      <c r="B38553" s="309"/>
      <c r="C38553" s="309"/>
      <c r="I38553" s="309"/>
      <c r="J38553" s="309"/>
    </row>
    <row r="38554">
      <c r="B38554" s="309"/>
      <c r="C38554" s="309"/>
      <c r="I38554" s="309"/>
      <c r="J38554" s="309"/>
    </row>
    <row r="38555">
      <c r="B38555" s="309"/>
      <c r="C38555" s="309"/>
      <c r="I38555" s="309"/>
      <c r="J38555" s="309"/>
    </row>
    <row r="38556">
      <c r="B38556" s="309"/>
      <c r="C38556" s="309"/>
      <c r="I38556" s="309"/>
      <c r="J38556" s="309"/>
    </row>
    <row r="38557">
      <c r="B38557" s="309"/>
      <c r="C38557" s="309"/>
      <c r="I38557" s="309"/>
      <c r="J38557" s="309"/>
    </row>
    <row r="38558">
      <c r="B38558" s="309"/>
      <c r="C38558" s="309"/>
      <c r="I38558" s="309"/>
      <c r="J38558" s="309"/>
    </row>
    <row r="38559">
      <c r="B38559" s="309"/>
      <c r="C38559" s="309"/>
      <c r="I38559" s="309"/>
      <c r="J38559" s="309"/>
    </row>
    <row r="38560">
      <c r="B38560" s="309"/>
      <c r="C38560" s="309"/>
      <c r="I38560" s="309"/>
      <c r="J38560" s="309"/>
    </row>
    <row r="38561">
      <c r="B38561" s="309"/>
      <c r="C38561" s="309"/>
      <c r="I38561" s="309"/>
      <c r="J38561" s="309"/>
    </row>
    <row r="38562">
      <c r="B38562" s="309"/>
      <c r="C38562" s="309"/>
      <c r="I38562" s="309"/>
      <c r="J38562" s="309"/>
    </row>
    <row r="38563">
      <c r="B38563" s="309"/>
      <c r="C38563" s="309"/>
      <c r="I38563" s="309"/>
      <c r="J38563" s="309"/>
    </row>
    <row r="38564">
      <c r="B38564" s="309"/>
      <c r="C38564" s="309"/>
      <c r="I38564" s="309"/>
      <c r="J38564" s="309"/>
    </row>
    <row r="38565">
      <c r="B38565" s="309"/>
      <c r="C38565" s="309"/>
      <c r="I38565" s="309"/>
      <c r="J38565" s="309"/>
    </row>
    <row r="38566">
      <c r="B38566" s="309"/>
      <c r="C38566" s="309"/>
      <c r="I38566" s="309"/>
      <c r="J38566" s="309"/>
    </row>
    <row r="38567">
      <c r="B38567" s="309"/>
      <c r="C38567" s="309"/>
      <c r="I38567" s="309"/>
      <c r="J38567" s="309"/>
    </row>
    <row r="38568">
      <c r="B38568" s="309"/>
      <c r="C38568" s="309"/>
      <c r="I38568" s="309"/>
      <c r="J38568" s="309"/>
    </row>
    <row r="38569">
      <c r="B38569" s="309"/>
      <c r="C38569" s="309"/>
      <c r="I38569" s="309"/>
      <c r="J38569" s="309"/>
    </row>
    <row r="38570">
      <c r="B38570" s="309"/>
      <c r="C38570" s="309"/>
      <c r="I38570" s="309"/>
      <c r="J38570" s="309"/>
    </row>
    <row r="38571">
      <c r="B38571" s="309"/>
      <c r="C38571" s="309"/>
      <c r="I38571" s="309"/>
      <c r="J38571" s="309"/>
    </row>
    <row r="38572">
      <c r="B38572" s="309"/>
      <c r="C38572" s="309"/>
      <c r="I38572" s="309"/>
      <c r="J38572" s="309"/>
    </row>
    <row r="38573">
      <c r="B38573" s="309"/>
      <c r="C38573" s="309"/>
      <c r="I38573" s="309"/>
      <c r="J38573" s="309"/>
    </row>
    <row r="38574">
      <c r="B38574" s="309"/>
      <c r="C38574" s="309"/>
      <c r="I38574" s="309"/>
      <c r="J38574" s="309"/>
    </row>
    <row r="38575">
      <c r="B38575" s="309"/>
      <c r="C38575" s="309"/>
      <c r="I38575" s="309"/>
      <c r="J38575" s="309"/>
    </row>
    <row r="38576">
      <c r="B38576" s="309"/>
      <c r="C38576" s="309"/>
      <c r="I38576" s="309"/>
      <c r="J38576" s="309"/>
    </row>
    <row r="38577">
      <c r="B38577" s="309"/>
      <c r="C38577" s="309"/>
      <c r="I38577" s="309"/>
      <c r="J38577" s="309"/>
    </row>
    <row r="38578">
      <c r="B38578" s="309"/>
      <c r="C38578" s="309"/>
      <c r="I38578" s="309"/>
      <c r="J38578" s="309"/>
    </row>
    <row r="38579">
      <c r="B38579" s="309"/>
      <c r="C38579" s="309"/>
      <c r="I38579" s="309"/>
      <c r="J38579" s="309"/>
    </row>
    <row r="38580">
      <c r="B38580" s="309"/>
      <c r="C38580" s="309"/>
      <c r="I38580" s="309"/>
      <c r="J38580" s="309"/>
    </row>
    <row r="38581">
      <c r="B38581" s="309"/>
      <c r="C38581" s="309"/>
      <c r="I38581" s="309"/>
      <c r="J38581" s="309"/>
    </row>
    <row r="38582">
      <c r="B38582" s="309"/>
      <c r="C38582" s="309"/>
      <c r="I38582" s="309"/>
      <c r="J38582" s="309"/>
    </row>
    <row r="38583">
      <c r="B38583" s="309"/>
      <c r="C38583" s="309"/>
      <c r="I38583" s="309"/>
      <c r="J38583" s="309"/>
    </row>
    <row r="38584">
      <c r="B38584" s="309"/>
      <c r="C38584" s="309"/>
      <c r="I38584" s="309"/>
      <c r="J38584" s="309"/>
    </row>
    <row r="38585">
      <c r="B38585" s="309"/>
      <c r="C38585" s="309"/>
      <c r="I38585" s="309"/>
      <c r="J38585" s="309"/>
    </row>
    <row r="38586">
      <c r="B38586" s="309"/>
      <c r="C38586" s="309"/>
      <c r="I38586" s="309"/>
      <c r="J38586" s="309"/>
    </row>
    <row r="38587">
      <c r="B38587" s="309"/>
      <c r="C38587" s="309"/>
      <c r="I38587" s="309"/>
      <c r="J38587" s="309"/>
    </row>
    <row r="38588">
      <c r="B38588" s="309"/>
      <c r="C38588" s="309"/>
      <c r="I38588" s="309"/>
      <c r="J38588" s="309"/>
    </row>
    <row r="38589">
      <c r="B38589" s="309"/>
      <c r="C38589" s="309"/>
      <c r="I38589" s="309"/>
      <c r="J38589" s="309"/>
    </row>
    <row r="38590">
      <c r="B38590" s="309"/>
      <c r="C38590" s="309"/>
      <c r="I38590" s="309"/>
      <c r="J38590" s="309"/>
    </row>
    <row r="38591">
      <c r="B38591" s="309"/>
      <c r="C38591" s="309"/>
      <c r="I38591" s="309"/>
      <c r="J38591" s="309"/>
    </row>
    <row r="38592">
      <c r="B38592" s="309"/>
      <c r="C38592" s="309"/>
      <c r="I38592" s="309"/>
      <c r="J38592" s="309"/>
    </row>
    <row r="38593">
      <c r="B38593" s="309"/>
      <c r="C38593" s="309"/>
      <c r="I38593" s="309"/>
      <c r="J38593" s="309"/>
    </row>
    <row r="38594">
      <c r="B38594" s="309"/>
      <c r="C38594" s="309"/>
      <c r="I38594" s="309"/>
      <c r="J38594" s="309"/>
    </row>
    <row r="38595">
      <c r="B38595" s="309"/>
      <c r="C38595" s="309"/>
      <c r="I38595" s="309"/>
      <c r="J38595" s="309"/>
    </row>
    <row r="38596">
      <c r="B38596" s="309"/>
      <c r="C38596" s="309"/>
      <c r="I38596" s="309"/>
      <c r="J38596" s="309"/>
    </row>
    <row r="38597">
      <c r="B38597" s="309"/>
      <c r="C38597" s="309"/>
      <c r="I38597" s="309"/>
      <c r="J38597" s="309"/>
    </row>
    <row r="38598">
      <c r="B38598" s="309"/>
      <c r="C38598" s="309"/>
      <c r="I38598" s="309"/>
      <c r="J38598" s="309"/>
    </row>
    <row r="38599">
      <c r="B38599" s="309"/>
      <c r="C38599" s="309"/>
      <c r="I38599" s="309"/>
      <c r="J38599" s="309"/>
    </row>
    <row r="38600">
      <c r="B38600" s="309"/>
      <c r="C38600" s="309"/>
      <c r="I38600" s="309"/>
      <c r="J38600" s="309"/>
    </row>
    <row r="38601">
      <c r="B38601" s="309"/>
      <c r="C38601" s="309"/>
      <c r="I38601" s="309"/>
      <c r="J38601" s="309"/>
    </row>
    <row r="38602">
      <c r="B38602" s="309"/>
      <c r="C38602" s="309"/>
      <c r="I38602" s="309"/>
      <c r="J38602" s="309"/>
    </row>
    <row r="38603">
      <c r="B38603" s="309"/>
      <c r="C38603" s="309"/>
      <c r="I38603" s="309"/>
      <c r="J38603" s="309"/>
    </row>
    <row r="38604">
      <c r="B38604" s="309"/>
      <c r="C38604" s="309"/>
      <c r="I38604" s="309"/>
      <c r="J38604" s="309"/>
    </row>
    <row r="38605">
      <c r="B38605" s="309"/>
      <c r="C38605" s="309"/>
      <c r="I38605" s="309"/>
      <c r="J38605" s="309"/>
    </row>
    <row r="38606">
      <c r="B38606" s="309"/>
      <c r="C38606" s="309"/>
      <c r="I38606" s="309"/>
      <c r="J38606" s="309"/>
    </row>
    <row r="38607">
      <c r="B38607" s="309"/>
      <c r="C38607" s="309"/>
      <c r="I38607" s="309"/>
      <c r="J38607" s="309"/>
    </row>
    <row r="38608">
      <c r="B38608" s="309"/>
      <c r="C38608" s="309"/>
      <c r="I38608" s="309"/>
      <c r="J38608" s="309"/>
    </row>
    <row r="38609">
      <c r="B38609" s="309"/>
      <c r="C38609" s="309"/>
      <c r="I38609" s="309"/>
      <c r="J38609" s="309"/>
    </row>
    <row r="38610">
      <c r="B38610" s="309"/>
      <c r="C38610" s="309"/>
      <c r="I38610" s="309"/>
      <c r="J38610" s="309"/>
    </row>
    <row r="38611">
      <c r="B38611" s="309"/>
      <c r="C38611" s="309"/>
      <c r="I38611" s="309"/>
      <c r="J38611" s="309"/>
    </row>
    <row r="38612">
      <c r="B38612" s="309"/>
      <c r="C38612" s="309"/>
      <c r="I38612" s="309"/>
      <c r="J38612" s="309"/>
    </row>
    <row r="38613">
      <c r="B38613" s="309"/>
      <c r="C38613" s="309"/>
      <c r="I38613" s="309"/>
      <c r="J38613" s="309"/>
    </row>
    <row r="38614">
      <c r="B38614" s="309"/>
      <c r="C38614" s="309"/>
      <c r="I38614" s="309"/>
      <c r="J38614" s="309"/>
    </row>
    <row r="38615">
      <c r="B38615" s="309"/>
      <c r="C38615" s="309"/>
      <c r="I38615" s="309"/>
      <c r="J38615" s="309"/>
    </row>
    <row r="38616">
      <c r="B38616" s="309"/>
      <c r="C38616" s="309"/>
      <c r="I38616" s="309"/>
      <c r="J38616" s="309"/>
    </row>
    <row r="38617">
      <c r="B38617" s="309"/>
      <c r="C38617" s="309"/>
      <c r="I38617" s="309"/>
      <c r="J38617" s="309"/>
    </row>
    <row r="38618">
      <c r="B38618" s="309"/>
      <c r="C38618" s="309"/>
      <c r="I38618" s="309"/>
      <c r="J38618" s="309"/>
    </row>
    <row r="38619">
      <c r="B38619" s="309"/>
      <c r="C38619" s="309"/>
      <c r="I38619" s="309"/>
      <c r="J38619" s="309"/>
    </row>
    <row r="38620">
      <c r="B38620" s="309"/>
      <c r="C38620" s="309"/>
      <c r="I38620" s="309"/>
      <c r="J38620" s="309"/>
    </row>
    <row r="38621">
      <c r="B38621" s="309"/>
      <c r="C38621" s="309"/>
      <c r="I38621" s="309"/>
      <c r="J38621" s="309"/>
    </row>
    <row r="38622">
      <c r="B38622" s="309"/>
      <c r="C38622" s="309"/>
      <c r="I38622" s="309"/>
      <c r="J38622" s="309"/>
    </row>
    <row r="38623">
      <c r="B38623" s="309"/>
      <c r="C38623" s="309"/>
      <c r="I38623" s="309"/>
      <c r="J38623" s="309"/>
    </row>
    <row r="38624">
      <c r="B38624" s="309"/>
      <c r="C38624" s="309"/>
      <c r="I38624" s="309"/>
      <c r="J38624" s="309"/>
    </row>
    <row r="38625">
      <c r="B38625" s="309"/>
      <c r="C38625" s="309"/>
      <c r="I38625" s="309"/>
      <c r="J38625" s="309"/>
    </row>
    <row r="38626">
      <c r="B38626" s="309"/>
      <c r="C38626" s="309"/>
      <c r="I38626" s="309"/>
      <c r="J38626" s="309"/>
    </row>
    <row r="38627">
      <c r="B38627" s="309"/>
      <c r="C38627" s="309"/>
      <c r="I38627" s="309"/>
      <c r="J38627" s="309"/>
    </row>
    <row r="38628">
      <c r="B38628" s="309"/>
      <c r="C38628" s="309"/>
      <c r="I38628" s="309"/>
      <c r="J38628" s="309"/>
    </row>
    <row r="38629">
      <c r="B38629" s="309"/>
      <c r="C38629" s="309"/>
      <c r="I38629" s="309"/>
      <c r="J38629" s="309"/>
    </row>
    <row r="38630">
      <c r="B38630" s="309"/>
      <c r="C38630" s="309"/>
      <c r="I38630" s="309"/>
      <c r="J38630" s="309"/>
    </row>
    <row r="38631">
      <c r="B38631" s="309"/>
      <c r="C38631" s="309"/>
      <c r="I38631" s="309"/>
      <c r="J38631" s="309"/>
    </row>
    <row r="38632">
      <c r="B38632" s="309"/>
      <c r="C38632" s="309"/>
      <c r="I38632" s="309"/>
      <c r="J38632" s="309"/>
    </row>
    <row r="38633">
      <c r="B38633" s="309"/>
      <c r="C38633" s="309"/>
      <c r="I38633" s="309"/>
      <c r="J38633" s="309"/>
    </row>
    <row r="38634">
      <c r="B38634" s="309"/>
      <c r="C38634" s="309"/>
      <c r="I38634" s="309"/>
      <c r="J38634" s="309"/>
    </row>
    <row r="38635">
      <c r="B38635" s="309"/>
      <c r="C38635" s="309"/>
      <c r="I38635" s="309"/>
      <c r="J38635" s="309"/>
    </row>
    <row r="38636">
      <c r="B38636" s="309"/>
      <c r="C38636" s="309"/>
      <c r="I38636" s="309"/>
      <c r="J38636" s="309"/>
    </row>
    <row r="38637">
      <c r="B38637" s="309"/>
      <c r="C38637" s="309"/>
      <c r="I38637" s="309"/>
      <c r="J38637" s="309"/>
    </row>
    <row r="38638">
      <c r="B38638" s="309"/>
      <c r="C38638" s="309"/>
      <c r="I38638" s="309"/>
      <c r="J38638" s="309"/>
    </row>
    <row r="38639">
      <c r="B38639" s="309"/>
      <c r="C38639" s="309"/>
      <c r="I38639" s="309"/>
      <c r="J38639" s="309"/>
    </row>
    <row r="38640">
      <c r="B38640" s="309"/>
      <c r="C38640" s="309"/>
      <c r="I38640" s="309"/>
      <c r="J38640" s="309"/>
    </row>
    <row r="38641">
      <c r="B38641" s="309"/>
      <c r="C38641" s="309"/>
      <c r="I38641" s="309"/>
      <c r="J38641" s="309"/>
    </row>
    <row r="38642">
      <c r="B38642" s="309"/>
      <c r="C38642" s="309"/>
      <c r="I38642" s="309"/>
      <c r="J38642" s="309"/>
    </row>
    <row r="38643">
      <c r="B38643" s="309"/>
      <c r="C38643" s="309"/>
      <c r="I38643" s="309"/>
      <c r="J38643" s="309"/>
    </row>
    <row r="38644">
      <c r="B38644" s="309"/>
      <c r="C38644" s="309"/>
      <c r="I38644" s="309"/>
      <c r="J38644" s="309"/>
    </row>
    <row r="38645">
      <c r="B38645" s="309"/>
      <c r="C38645" s="309"/>
      <c r="I38645" s="309"/>
      <c r="J38645" s="309"/>
    </row>
    <row r="38646">
      <c r="B38646" s="309"/>
      <c r="C38646" s="309"/>
      <c r="I38646" s="309"/>
      <c r="J38646" s="309"/>
    </row>
    <row r="38647">
      <c r="B38647" s="309"/>
      <c r="C38647" s="309"/>
      <c r="I38647" s="309"/>
      <c r="J38647" s="309"/>
    </row>
    <row r="38648">
      <c r="B38648" s="309"/>
      <c r="C38648" s="309"/>
      <c r="I38648" s="309"/>
      <c r="J38648" s="309"/>
    </row>
    <row r="38649">
      <c r="B38649" s="309"/>
      <c r="C38649" s="309"/>
      <c r="I38649" s="309"/>
      <c r="J38649" s="309"/>
    </row>
    <row r="38650">
      <c r="B38650" s="309"/>
      <c r="C38650" s="309"/>
      <c r="I38650" s="309"/>
      <c r="J38650" s="309"/>
    </row>
    <row r="38651">
      <c r="B38651" s="309"/>
      <c r="C38651" s="309"/>
      <c r="I38651" s="309"/>
      <c r="J38651" s="309"/>
    </row>
    <row r="38652">
      <c r="B38652" s="309"/>
      <c r="C38652" s="309"/>
      <c r="I38652" s="309"/>
      <c r="J38652" s="309"/>
    </row>
    <row r="38653">
      <c r="B38653" s="309"/>
      <c r="C38653" s="309"/>
      <c r="I38653" s="309"/>
      <c r="J38653" s="309"/>
    </row>
    <row r="38654">
      <c r="B38654" s="309"/>
      <c r="C38654" s="309"/>
      <c r="I38654" s="309"/>
      <c r="J38654" s="309"/>
    </row>
    <row r="38655">
      <c r="B38655" s="309"/>
      <c r="C38655" s="309"/>
      <c r="I38655" s="309"/>
      <c r="J38655" s="309"/>
    </row>
    <row r="38656">
      <c r="B38656" s="309"/>
      <c r="C38656" s="309"/>
      <c r="I38656" s="309"/>
      <c r="J38656" s="309"/>
    </row>
    <row r="38657">
      <c r="B38657" s="309"/>
      <c r="C38657" s="309"/>
      <c r="I38657" s="309"/>
      <c r="J38657" s="309"/>
    </row>
    <row r="38658">
      <c r="B38658" s="309"/>
      <c r="C38658" s="309"/>
      <c r="I38658" s="309"/>
      <c r="J38658" s="309"/>
    </row>
    <row r="38659">
      <c r="B38659" s="309"/>
      <c r="C38659" s="309"/>
      <c r="I38659" s="309"/>
      <c r="J38659" s="309"/>
    </row>
    <row r="38660">
      <c r="B38660" s="309"/>
      <c r="C38660" s="309"/>
      <c r="I38660" s="309"/>
      <c r="J38660" s="309"/>
    </row>
    <row r="38661">
      <c r="B38661" s="309"/>
      <c r="C38661" s="309"/>
      <c r="I38661" s="309"/>
      <c r="J38661" s="309"/>
    </row>
    <row r="38662">
      <c r="B38662" s="309"/>
      <c r="C38662" s="309"/>
      <c r="I38662" s="309"/>
      <c r="J38662" s="309"/>
    </row>
    <row r="38663">
      <c r="B38663" s="309"/>
      <c r="C38663" s="309"/>
      <c r="I38663" s="309"/>
      <c r="J38663" s="309"/>
    </row>
    <row r="38664">
      <c r="B38664" s="309"/>
      <c r="C38664" s="309"/>
      <c r="I38664" s="309"/>
      <c r="J38664" s="309"/>
    </row>
    <row r="38665">
      <c r="B38665" s="309"/>
      <c r="C38665" s="309"/>
      <c r="I38665" s="309"/>
      <c r="J38665" s="309"/>
    </row>
    <row r="38666">
      <c r="B38666" s="309"/>
      <c r="C38666" s="309"/>
      <c r="I38666" s="309"/>
      <c r="J38666" s="309"/>
    </row>
    <row r="38667">
      <c r="B38667" s="309"/>
      <c r="C38667" s="309"/>
      <c r="I38667" s="309"/>
      <c r="J38667" s="309"/>
    </row>
    <row r="38668">
      <c r="B38668" s="309"/>
      <c r="C38668" s="309"/>
      <c r="I38668" s="309"/>
      <c r="J38668" s="309"/>
    </row>
    <row r="38669">
      <c r="B38669" s="309"/>
      <c r="C38669" s="309"/>
      <c r="I38669" s="309"/>
      <c r="J38669" s="309"/>
    </row>
    <row r="38670">
      <c r="B38670" s="309"/>
      <c r="C38670" s="309"/>
      <c r="I38670" s="309"/>
      <c r="J38670" s="309"/>
    </row>
    <row r="38671">
      <c r="B38671" s="309"/>
      <c r="C38671" s="309"/>
      <c r="I38671" s="309"/>
      <c r="J38671" s="309"/>
    </row>
    <row r="38672">
      <c r="B38672" s="309"/>
      <c r="C38672" s="309"/>
      <c r="I38672" s="309"/>
      <c r="J38672" s="309"/>
    </row>
    <row r="38673">
      <c r="B38673" s="309"/>
      <c r="C38673" s="309"/>
      <c r="I38673" s="309"/>
      <c r="J38673" s="309"/>
    </row>
    <row r="38674">
      <c r="B38674" s="309"/>
      <c r="C38674" s="309"/>
      <c r="I38674" s="309"/>
      <c r="J38674" s="309"/>
    </row>
    <row r="38675">
      <c r="B38675" s="309"/>
      <c r="C38675" s="309"/>
      <c r="I38675" s="309"/>
      <c r="J38675" s="309"/>
    </row>
    <row r="38676">
      <c r="B38676" s="309"/>
      <c r="C38676" s="309"/>
      <c r="I38676" s="309"/>
      <c r="J38676" s="309"/>
    </row>
    <row r="38677">
      <c r="B38677" s="309"/>
      <c r="C38677" s="309"/>
      <c r="I38677" s="309"/>
      <c r="J38677" s="309"/>
    </row>
    <row r="38678">
      <c r="B38678" s="309"/>
      <c r="C38678" s="309"/>
      <c r="I38678" s="309"/>
      <c r="J38678" s="309"/>
    </row>
    <row r="38679">
      <c r="B38679" s="309"/>
      <c r="C38679" s="309"/>
      <c r="I38679" s="309"/>
      <c r="J38679" s="309"/>
    </row>
    <row r="38680">
      <c r="B38680" s="309"/>
      <c r="C38680" s="309"/>
      <c r="I38680" s="309"/>
      <c r="J38680" s="309"/>
    </row>
    <row r="38681">
      <c r="B38681" s="309"/>
      <c r="C38681" s="309"/>
      <c r="I38681" s="309"/>
      <c r="J38681" s="309"/>
    </row>
    <row r="38682">
      <c r="B38682" s="309"/>
      <c r="C38682" s="309"/>
      <c r="I38682" s="309"/>
      <c r="J38682" s="309"/>
    </row>
    <row r="38683">
      <c r="B38683" s="309"/>
      <c r="C38683" s="309"/>
      <c r="I38683" s="309"/>
      <c r="J38683" s="309"/>
    </row>
    <row r="38684">
      <c r="B38684" s="309"/>
      <c r="C38684" s="309"/>
      <c r="I38684" s="309"/>
      <c r="J38684" s="309"/>
    </row>
    <row r="38685">
      <c r="B38685" s="309"/>
      <c r="C38685" s="309"/>
      <c r="I38685" s="309"/>
      <c r="J38685" s="309"/>
    </row>
    <row r="38686">
      <c r="B38686" s="309"/>
      <c r="C38686" s="309"/>
      <c r="I38686" s="309"/>
      <c r="J38686" s="309"/>
    </row>
    <row r="38687">
      <c r="B38687" s="309"/>
      <c r="C38687" s="309"/>
      <c r="I38687" s="309"/>
      <c r="J38687" s="309"/>
    </row>
    <row r="38688">
      <c r="B38688" s="309"/>
      <c r="C38688" s="309"/>
      <c r="I38688" s="309"/>
      <c r="J38688" s="309"/>
    </row>
    <row r="38689">
      <c r="B38689" s="309"/>
      <c r="C38689" s="309"/>
      <c r="I38689" s="309"/>
      <c r="J38689" s="309"/>
    </row>
    <row r="38690">
      <c r="B38690" s="309"/>
      <c r="C38690" s="309"/>
      <c r="I38690" s="309"/>
      <c r="J38690" s="309"/>
    </row>
    <row r="38691">
      <c r="B38691" s="309"/>
      <c r="C38691" s="309"/>
      <c r="I38691" s="309"/>
      <c r="J38691" s="309"/>
    </row>
    <row r="38692">
      <c r="B38692" s="309"/>
      <c r="C38692" s="309"/>
      <c r="I38692" s="309"/>
      <c r="J38692" s="309"/>
    </row>
    <row r="38693">
      <c r="B38693" s="309"/>
      <c r="C38693" s="309"/>
      <c r="I38693" s="309"/>
      <c r="J38693" s="309"/>
    </row>
    <row r="38694">
      <c r="B38694" s="309"/>
      <c r="C38694" s="309"/>
      <c r="I38694" s="309"/>
      <c r="J38694" s="309"/>
    </row>
    <row r="38695">
      <c r="B38695" s="309"/>
      <c r="C38695" s="309"/>
      <c r="I38695" s="309"/>
      <c r="J38695" s="309"/>
    </row>
    <row r="38696">
      <c r="B38696" s="309"/>
      <c r="C38696" s="309"/>
      <c r="I38696" s="309"/>
      <c r="J38696" s="309"/>
    </row>
    <row r="38697">
      <c r="B38697" s="309"/>
      <c r="C38697" s="309"/>
      <c r="I38697" s="309"/>
      <c r="J38697" s="309"/>
    </row>
    <row r="38698">
      <c r="B38698" s="309"/>
      <c r="C38698" s="309"/>
      <c r="I38698" s="309"/>
      <c r="J38698" s="309"/>
    </row>
    <row r="38699">
      <c r="B38699" s="309"/>
      <c r="C38699" s="309"/>
      <c r="I38699" s="309"/>
      <c r="J38699" s="309"/>
    </row>
    <row r="38700">
      <c r="B38700" s="309"/>
      <c r="C38700" s="309"/>
      <c r="I38700" s="309"/>
      <c r="J38700" s="309"/>
    </row>
    <row r="38701">
      <c r="B38701" s="309"/>
      <c r="C38701" s="309"/>
      <c r="I38701" s="309"/>
      <c r="J38701" s="309"/>
    </row>
    <row r="38702">
      <c r="B38702" s="309"/>
      <c r="C38702" s="309"/>
      <c r="I38702" s="309"/>
      <c r="J38702" s="309"/>
    </row>
    <row r="38703">
      <c r="B38703" s="309"/>
      <c r="C38703" s="309"/>
      <c r="I38703" s="309"/>
      <c r="J38703" s="309"/>
    </row>
    <row r="38704">
      <c r="B38704" s="309"/>
      <c r="C38704" s="309"/>
      <c r="I38704" s="309"/>
      <c r="J38704" s="309"/>
    </row>
    <row r="38705">
      <c r="B38705" s="309"/>
      <c r="C38705" s="309"/>
      <c r="I38705" s="309"/>
      <c r="J38705" s="309"/>
    </row>
    <row r="38706">
      <c r="B38706" s="309"/>
      <c r="C38706" s="309"/>
      <c r="I38706" s="309"/>
      <c r="J38706" s="309"/>
    </row>
    <row r="38707">
      <c r="B38707" s="309"/>
      <c r="C38707" s="309"/>
      <c r="I38707" s="309"/>
      <c r="J38707" s="309"/>
    </row>
    <row r="38708">
      <c r="B38708" s="309"/>
      <c r="C38708" s="309"/>
      <c r="I38708" s="309"/>
      <c r="J38708" s="309"/>
    </row>
    <row r="38709">
      <c r="B38709" s="309"/>
      <c r="C38709" s="309"/>
      <c r="I38709" s="309"/>
      <c r="J38709" s="309"/>
    </row>
    <row r="38710">
      <c r="B38710" s="309"/>
      <c r="C38710" s="309"/>
      <c r="I38710" s="309"/>
      <c r="J38710" s="309"/>
    </row>
    <row r="38711">
      <c r="B38711" s="309"/>
      <c r="C38711" s="309"/>
      <c r="I38711" s="309"/>
      <c r="J38711" s="309"/>
    </row>
    <row r="38712">
      <c r="B38712" s="309"/>
      <c r="C38712" s="309"/>
      <c r="I38712" s="309"/>
      <c r="J38712" s="309"/>
    </row>
    <row r="38713">
      <c r="B38713" s="309"/>
      <c r="C38713" s="309"/>
      <c r="I38713" s="309"/>
      <c r="J38713" s="309"/>
    </row>
    <row r="38714">
      <c r="B38714" s="309"/>
      <c r="C38714" s="309"/>
      <c r="I38714" s="309"/>
      <c r="J38714" s="309"/>
    </row>
    <row r="38715">
      <c r="B38715" s="309"/>
      <c r="C38715" s="309"/>
      <c r="I38715" s="309"/>
      <c r="J38715" s="309"/>
    </row>
    <row r="38716">
      <c r="B38716" s="309"/>
      <c r="C38716" s="309"/>
      <c r="I38716" s="309"/>
      <c r="J38716" s="309"/>
    </row>
    <row r="38717">
      <c r="B38717" s="309"/>
      <c r="C38717" s="309"/>
      <c r="I38717" s="309"/>
      <c r="J38717" s="309"/>
    </row>
    <row r="38718">
      <c r="B38718" s="309"/>
      <c r="C38718" s="309"/>
      <c r="I38718" s="309"/>
      <c r="J38718" s="309"/>
    </row>
    <row r="38719">
      <c r="B38719" s="309"/>
      <c r="C38719" s="309"/>
      <c r="I38719" s="309"/>
      <c r="J38719" s="309"/>
    </row>
    <row r="38720">
      <c r="B38720" s="309"/>
      <c r="C38720" s="309"/>
      <c r="I38720" s="309"/>
      <c r="J38720" s="309"/>
    </row>
    <row r="38721">
      <c r="B38721" s="309"/>
      <c r="C38721" s="309"/>
      <c r="I38721" s="309"/>
      <c r="J38721" s="309"/>
    </row>
    <row r="38722">
      <c r="B38722" s="309"/>
      <c r="C38722" s="309"/>
      <c r="I38722" s="309"/>
      <c r="J38722" s="309"/>
    </row>
    <row r="38723">
      <c r="B38723" s="309"/>
      <c r="C38723" s="309"/>
      <c r="I38723" s="309"/>
      <c r="J38723" s="309"/>
    </row>
    <row r="38724">
      <c r="B38724" s="309"/>
      <c r="C38724" s="309"/>
      <c r="I38724" s="309"/>
      <c r="J38724" s="309"/>
    </row>
    <row r="38725">
      <c r="B38725" s="309"/>
      <c r="C38725" s="309"/>
      <c r="I38725" s="309"/>
      <c r="J38725" s="309"/>
    </row>
    <row r="38726">
      <c r="B38726" s="309"/>
      <c r="C38726" s="309"/>
      <c r="I38726" s="309"/>
      <c r="J38726" s="309"/>
    </row>
    <row r="38727">
      <c r="B38727" s="309"/>
      <c r="C38727" s="309"/>
      <c r="I38727" s="309"/>
      <c r="J38727" s="309"/>
    </row>
    <row r="38728">
      <c r="B38728" s="309"/>
      <c r="C38728" s="309"/>
      <c r="I38728" s="309"/>
      <c r="J38728" s="309"/>
    </row>
    <row r="38729">
      <c r="B38729" s="309"/>
      <c r="C38729" s="309"/>
      <c r="I38729" s="309"/>
      <c r="J38729" s="309"/>
    </row>
    <row r="38730">
      <c r="B38730" s="309"/>
      <c r="C38730" s="309"/>
      <c r="I38730" s="309"/>
      <c r="J38730" s="309"/>
    </row>
    <row r="38731">
      <c r="B38731" s="309"/>
      <c r="C38731" s="309"/>
      <c r="I38731" s="309"/>
      <c r="J38731" s="309"/>
    </row>
    <row r="38732">
      <c r="B38732" s="309"/>
      <c r="C38732" s="309"/>
      <c r="I38732" s="309"/>
      <c r="J38732" s="309"/>
    </row>
    <row r="38733">
      <c r="B38733" s="309"/>
      <c r="C38733" s="309"/>
      <c r="I38733" s="309"/>
      <c r="J38733" s="309"/>
    </row>
    <row r="38734">
      <c r="B38734" s="309"/>
      <c r="C38734" s="309"/>
      <c r="I38734" s="309"/>
      <c r="J38734" s="309"/>
    </row>
    <row r="38735">
      <c r="B38735" s="309"/>
      <c r="C38735" s="309"/>
      <c r="I38735" s="309"/>
      <c r="J38735" s="309"/>
    </row>
    <row r="38736">
      <c r="B38736" s="309"/>
      <c r="C38736" s="309"/>
      <c r="I38736" s="309"/>
      <c r="J38736" s="309"/>
    </row>
    <row r="38737">
      <c r="B38737" s="309"/>
      <c r="C38737" s="309"/>
      <c r="I38737" s="309"/>
      <c r="J38737" s="309"/>
    </row>
    <row r="38738">
      <c r="B38738" s="309"/>
      <c r="C38738" s="309"/>
      <c r="I38738" s="309"/>
      <c r="J38738" s="309"/>
    </row>
    <row r="38739">
      <c r="B38739" s="309"/>
      <c r="C38739" s="309"/>
      <c r="I38739" s="309"/>
      <c r="J38739" s="309"/>
    </row>
    <row r="38740">
      <c r="B38740" s="309"/>
      <c r="C38740" s="309"/>
      <c r="I38740" s="309"/>
      <c r="J38740" s="309"/>
    </row>
    <row r="38741">
      <c r="B38741" s="309"/>
      <c r="C38741" s="309"/>
      <c r="I38741" s="309"/>
      <c r="J38741" s="309"/>
    </row>
    <row r="38742">
      <c r="B38742" s="309"/>
      <c r="C38742" s="309"/>
      <c r="I38742" s="309"/>
      <c r="J38742" s="309"/>
    </row>
    <row r="38743">
      <c r="B38743" s="309"/>
      <c r="C38743" s="309"/>
      <c r="I38743" s="309"/>
      <c r="J38743" s="309"/>
    </row>
    <row r="38744">
      <c r="B38744" s="309"/>
      <c r="C38744" s="309"/>
      <c r="I38744" s="309"/>
      <c r="J38744" s="309"/>
    </row>
    <row r="38745">
      <c r="B38745" s="309"/>
      <c r="C38745" s="309"/>
      <c r="I38745" s="309"/>
      <c r="J38745" s="309"/>
    </row>
    <row r="38746">
      <c r="B38746" s="309"/>
      <c r="C38746" s="309"/>
      <c r="I38746" s="309"/>
      <c r="J38746" s="309"/>
    </row>
    <row r="38747">
      <c r="B38747" s="309"/>
      <c r="C38747" s="309"/>
      <c r="I38747" s="309"/>
      <c r="J38747" s="309"/>
    </row>
    <row r="38748">
      <c r="B38748" s="309"/>
      <c r="C38748" s="309"/>
      <c r="I38748" s="309"/>
      <c r="J38748" s="309"/>
    </row>
    <row r="38749">
      <c r="B38749" s="309"/>
      <c r="C38749" s="309"/>
      <c r="I38749" s="309"/>
      <c r="J38749" s="309"/>
    </row>
    <row r="38750">
      <c r="B38750" s="309"/>
      <c r="C38750" s="309"/>
      <c r="I38750" s="309"/>
      <c r="J38750" s="309"/>
    </row>
    <row r="38751">
      <c r="B38751" s="309"/>
      <c r="C38751" s="309"/>
      <c r="I38751" s="309"/>
      <c r="J38751" s="309"/>
    </row>
    <row r="38752">
      <c r="B38752" s="309"/>
      <c r="C38752" s="309"/>
      <c r="I38752" s="309"/>
      <c r="J38752" s="309"/>
    </row>
    <row r="38753">
      <c r="B38753" s="309"/>
      <c r="C38753" s="309"/>
      <c r="I38753" s="309"/>
      <c r="J38753" s="309"/>
    </row>
    <row r="38754">
      <c r="B38754" s="309"/>
      <c r="C38754" s="309"/>
      <c r="I38754" s="309"/>
      <c r="J38754" s="309"/>
    </row>
    <row r="38755">
      <c r="B38755" s="309"/>
      <c r="C38755" s="309"/>
      <c r="I38755" s="309"/>
      <c r="J38755" s="309"/>
    </row>
    <row r="38756">
      <c r="B38756" s="309"/>
      <c r="C38756" s="309"/>
      <c r="I38756" s="309"/>
      <c r="J38756" s="309"/>
    </row>
    <row r="38757">
      <c r="B38757" s="309"/>
      <c r="C38757" s="309"/>
      <c r="I38757" s="309"/>
      <c r="J38757" s="309"/>
    </row>
    <row r="38758">
      <c r="B38758" s="309"/>
      <c r="C38758" s="309"/>
      <c r="I38758" s="309"/>
      <c r="J38758" s="309"/>
    </row>
    <row r="38759">
      <c r="B38759" s="309"/>
      <c r="C38759" s="309"/>
      <c r="I38759" s="309"/>
      <c r="J38759" s="309"/>
    </row>
    <row r="38760">
      <c r="B38760" s="309"/>
      <c r="C38760" s="309"/>
      <c r="I38760" s="309"/>
      <c r="J38760" s="309"/>
    </row>
    <row r="38761">
      <c r="B38761" s="309"/>
      <c r="C38761" s="309"/>
      <c r="I38761" s="309"/>
      <c r="J38761" s="309"/>
    </row>
    <row r="38762">
      <c r="B38762" s="309"/>
      <c r="C38762" s="309"/>
      <c r="I38762" s="309"/>
      <c r="J38762" s="309"/>
    </row>
    <row r="38763">
      <c r="B38763" s="309"/>
      <c r="C38763" s="309"/>
      <c r="I38763" s="309"/>
      <c r="J38763" s="309"/>
    </row>
    <row r="38764">
      <c r="B38764" s="309"/>
      <c r="C38764" s="309"/>
      <c r="I38764" s="309"/>
      <c r="J38764" s="309"/>
    </row>
    <row r="38765">
      <c r="B38765" s="309"/>
      <c r="C38765" s="309"/>
      <c r="I38765" s="309"/>
      <c r="J38765" s="309"/>
    </row>
    <row r="38766">
      <c r="B38766" s="309"/>
      <c r="C38766" s="309"/>
      <c r="I38766" s="309"/>
      <c r="J38766" s="309"/>
    </row>
    <row r="38767">
      <c r="B38767" s="309"/>
      <c r="C38767" s="309"/>
      <c r="I38767" s="309"/>
      <c r="J38767" s="309"/>
    </row>
    <row r="38768">
      <c r="B38768" s="309"/>
      <c r="C38768" s="309"/>
      <c r="I38768" s="309"/>
      <c r="J38768" s="309"/>
    </row>
    <row r="38769">
      <c r="B38769" s="309"/>
      <c r="C38769" s="309"/>
      <c r="I38769" s="309"/>
      <c r="J38769" s="309"/>
    </row>
    <row r="38770">
      <c r="B38770" s="309"/>
      <c r="C38770" s="309"/>
      <c r="I38770" s="309"/>
      <c r="J38770" s="309"/>
    </row>
    <row r="38771">
      <c r="B38771" s="309"/>
      <c r="C38771" s="309"/>
      <c r="I38771" s="309"/>
      <c r="J38771" s="309"/>
    </row>
    <row r="38772">
      <c r="B38772" s="309"/>
      <c r="C38772" s="309"/>
      <c r="I38772" s="309"/>
      <c r="J38772" s="309"/>
    </row>
    <row r="38773">
      <c r="B38773" s="309"/>
      <c r="C38773" s="309"/>
      <c r="I38773" s="309"/>
      <c r="J38773" s="309"/>
    </row>
    <row r="38774">
      <c r="B38774" s="309"/>
      <c r="C38774" s="309"/>
      <c r="I38774" s="309"/>
      <c r="J38774" s="309"/>
    </row>
    <row r="38775">
      <c r="B38775" s="309"/>
      <c r="C38775" s="309"/>
      <c r="I38775" s="309"/>
      <c r="J38775" s="309"/>
    </row>
    <row r="38776">
      <c r="B38776" s="309"/>
      <c r="C38776" s="309"/>
      <c r="I38776" s="309"/>
      <c r="J38776" s="309"/>
    </row>
    <row r="38777">
      <c r="B38777" s="309"/>
      <c r="C38777" s="309"/>
      <c r="I38777" s="309"/>
      <c r="J38777" s="309"/>
    </row>
    <row r="38778">
      <c r="B38778" s="309"/>
      <c r="C38778" s="309"/>
      <c r="I38778" s="309"/>
      <c r="J38778" s="309"/>
    </row>
    <row r="38779">
      <c r="B38779" s="309"/>
      <c r="C38779" s="309"/>
      <c r="I38779" s="309"/>
      <c r="J38779" s="309"/>
    </row>
    <row r="38780">
      <c r="B38780" s="309"/>
      <c r="C38780" s="309"/>
      <c r="I38780" s="309"/>
      <c r="J38780" s="309"/>
    </row>
    <row r="38781">
      <c r="B38781" s="309"/>
      <c r="C38781" s="309"/>
      <c r="I38781" s="309"/>
      <c r="J38781" s="309"/>
    </row>
    <row r="38782">
      <c r="B38782" s="309"/>
      <c r="C38782" s="309"/>
      <c r="I38782" s="309"/>
      <c r="J38782" s="309"/>
    </row>
    <row r="38783">
      <c r="B38783" s="309"/>
      <c r="C38783" s="309"/>
      <c r="I38783" s="309"/>
      <c r="J38783" s="309"/>
    </row>
    <row r="38784">
      <c r="B38784" s="309"/>
      <c r="C38784" s="309"/>
      <c r="I38784" s="309"/>
      <c r="J38784" s="309"/>
    </row>
    <row r="38785">
      <c r="B38785" s="309"/>
      <c r="C38785" s="309"/>
      <c r="I38785" s="309"/>
      <c r="J38785" s="309"/>
    </row>
    <row r="38786">
      <c r="B38786" s="309"/>
      <c r="C38786" s="309"/>
      <c r="I38786" s="309"/>
      <c r="J38786" s="309"/>
    </row>
    <row r="38787">
      <c r="B38787" s="309"/>
      <c r="C38787" s="309"/>
      <c r="I38787" s="309"/>
      <c r="J38787" s="309"/>
    </row>
    <row r="38788">
      <c r="B38788" s="309"/>
      <c r="C38788" s="309"/>
      <c r="I38788" s="309"/>
      <c r="J38788" s="309"/>
    </row>
    <row r="38789">
      <c r="B38789" s="309"/>
      <c r="C38789" s="309"/>
      <c r="I38789" s="309"/>
      <c r="J38789" s="309"/>
    </row>
    <row r="38790">
      <c r="B38790" s="309"/>
      <c r="C38790" s="309"/>
      <c r="I38790" s="309"/>
      <c r="J38790" s="309"/>
    </row>
    <row r="38791">
      <c r="B38791" s="309"/>
      <c r="C38791" s="309"/>
      <c r="I38791" s="309"/>
      <c r="J38791" s="309"/>
    </row>
    <row r="38792">
      <c r="B38792" s="309"/>
      <c r="C38792" s="309"/>
      <c r="I38792" s="309"/>
      <c r="J38792" s="309"/>
    </row>
    <row r="38793">
      <c r="B38793" s="309"/>
      <c r="C38793" s="309"/>
      <c r="I38793" s="309"/>
      <c r="J38793" s="309"/>
    </row>
    <row r="38794">
      <c r="B38794" s="309"/>
      <c r="C38794" s="309"/>
      <c r="I38794" s="309"/>
      <c r="J38794" s="309"/>
    </row>
    <row r="38795">
      <c r="B38795" s="309"/>
      <c r="C38795" s="309"/>
      <c r="I38795" s="309"/>
      <c r="J38795" s="309"/>
    </row>
    <row r="38796">
      <c r="B38796" s="309"/>
      <c r="C38796" s="309"/>
      <c r="I38796" s="309"/>
      <c r="J38796" s="309"/>
    </row>
    <row r="38797">
      <c r="B38797" s="309"/>
      <c r="C38797" s="309"/>
      <c r="I38797" s="309"/>
      <c r="J38797" s="309"/>
    </row>
    <row r="38798">
      <c r="B38798" s="309"/>
      <c r="C38798" s="309"/>
      <c r="I38798" s="309"/>
      <c r="J38798" s="309"/>
    </row>
    <row r="38799">
      <c r="B38799" s="309"/>
      <c r="C38799" s="309"/>
      <c r="I38799" s="309"/>
      <c r="J38799" s="309"/>
    </row>
    <row r="38800">
      <c r="B38800" s="309"/>
      <c r="C38800" s="309"/>
      <c r="I38800" s="309"/>
      <c r="J38800" s="309"/>
    </row>
    <row r="38801">
      <c r="B38801" s="309"/>
      <c r="C38801" s="309"/>
      <c r="I38801" s="309"/>
      <c r="J38801" s="309"/>
    </row>
    <row r="38802">
      <c r="B38802" s="309"/>
      <c r="C38802" s="309"/>
      <c r="I38802" s="309"/>
      <c r="J38802" s="309"/>
    </row>
    <row r="38803">
      <c r="B38803" s="309"/>
      <c r="C38803" s="309"/>
      <c r="I38803" s="309"/>
      <c r="J38803" s="309"/>
    </row>
    <row r="38804">
      <c r="B38804" s="309"/>
      <c r="C38804" s="309"/>
      <c r="I38804" s="309"/>
      <c r="J38804" s="309"/>
    </row>
    <row r="38805">
      <c r="B38805" s="309"/>
      <c r="C38805" s="309"/>
      <c r="I38805" s="309"/>
      <c r="J38805" s="309"/>
    </row>
    <row r="38806">
      <c r="B38806" s="309"/>
      <c r="C38806" s="309"/>
      <c r="I38806" s="309"/>
      <c r="J38806" s="309"/>
    </row>
    <row r="38807">
      <c r="B38807" s="309"/>
      <c r="C38807" s="309"/>
      <c r="I38807" s="309"/>
      <c r="J38807" s="309"/>
    </row>
    <row r="38808">
      <c r="B38808" s="309"/>
      <c r="C38808" s="309"/>
      <c r="I38808" s="309"/>
      <c r="J38808" s="309"/>
    </row>
    <row r="38809">
      <c r="B38809" s="309"/>
      <c r="C38809" s="309"/>
      <c r="I38809" s="309"/>
      <c r="J38809" s="309"/>
    </row>
    <row r="38810">
      <c r="B38810" s="309"/>
      <c r="C38810" s="309"/>
      <c r="I38810" s="309"/>
      <c r="J38810" s="309"/>
    </row>
    <row r="38811">
      <c r="B38811" s="309"/>
      <c r="C38811" s="309"/>
      <c r="I38811" s="309"/>
      <c r="J38811" s="309"/>
    </row>
    <row r="38812">
      <c r="B38812" s="309"/>
      <c r="C38812" s="309"/>
      <c r="I38812" s="309"/>
      <c r="J38812" s="309"/>
    </row>
    <row r="38813">
      <c r="B38813" s="309"/>
      <c r="C38813" s="309"/>
      <c r="I38813" s="309"/>
      <c r="J38813" s="309"/>
    </row>
    <row r="38814">
      <c r="B38814" s="309"/>
      <c r="C38814" s="309"/>
      <c r="I38814" s="309"/>
      <c r="J38814" s="309"/>
    </row>
    <row r="38815">
      <c r="B38815" s="309"/>
      <c r="C38815" s="309"/>
      <c r="I38815" s="309"/>
      <c r="J38815" s="309"/>
    </row>
    <row r="38816">
      <c r="B38816" s="309"/>
      <c r="C38816" s="309"/>
      <c r="I38816" s="309"/>
      <c r="J38816" s="309"/>
    </row>
    <row r="38817">
      <c r="B38817" s="309"/>
      <c r="C38817" s="309"/>
      <c r="I38817" s="309"/>
      <c r="J38817" s="309"/>
    </row>
    <row r="38818">
      <c r="B38818" s="309"/>
      <c r="C38818" s="309"/>
      <c r="I38818" s="309"/>
      <c r="J38818" s="309"/>
    </row>
    <row r="38819">
      <c r="B38819" s="309"/>
      <c r="C38819" s="309"/>
      <c r="I38819" s="309"/>
      <c r="J38819" s="309"/>
    </row>
    <row r="38820">
      <c r="B38820" s="309"/>
      <c r="C38820" s="309"/>
      <c r="I38820" s="309"/>
      <c r="J38820" s="309"/>
    </row>
    <row r="38821">
      <c r="B38821" s="309"/>
      <c r="C38821" s="309"/>
      <c r="I38821" s="309"/>
      <c r="J38821" s="309"/>
    </row>
    <row r="38822">
      <c r="B38822" s="309"/>
      <c r="C38822" s="309"/>
      <c r="I38822" s="309"/>
      <c r="J38822" s="309"/>
    </row>
    <row r="38823">
      <c r="B38823" s="309"/>
      <c r="C38823" s="309"/>
      <c r="I38823" s="309"/>
      <c r="J38823" s="309"/>
    </row>
    <row r="38824">
      <c r="B38824" s="309"/>
      <c r="C38824" s="309"/>
      <c r="I38824" s="309"/>
      <c r="J38824" s="309"/>
    </row>
    <row r="38825">
      <c r="B38825" s="309"/>
      <c r="C38825" s="309"/>
      <c r="I38825" s="309"/>
      <c r="J38825" s="309"/>
    </row>
    <row r="38826">
      <c r="B38826" s="309"/>
      <c r="C38826" s="309"/>
      <c r="I38826" s="309"/>
      <c r="J38826" s="309"/>
    </row>
    <row r="38827">
      <c r="B38827" s="309"/>
      <c r="C38827" s="309"/>
      <c r="I38827" s="309"/>
      <c r="J38827" s="309"/>
    </row>
    <row r="38828">
      <c r="B38828" s="309"/>
      <c r="C38828" s="309"/>
      <c r="I38828" s="309"/>
      <c r="J38828" s="309"/>
    </row>
    <row r="38829">
      <c r="B38829" s="309"/>
      <c r="C38829" s="309"/>
      <c r="I38829" s="309"/>
      <c r="J38829" s="309"/>
    </row>
    <row r="38830">
      <c r="B38830" s="309"/>
      <c r="C38830" s="309"/>
      <c r="I38830" s="309"/>
      <c r="J38830" s="309"/>
    </row>
    <row r="38831">
      <c r="B38831" s="309"/>
      <c r="C38831" s="309"/>
      <c r="I38831" s="309"/>
      <c r="J38831" s="309"/>
    </row>
    <row r="38832">
      <c r="B38832" s="309"/>
      <c r="C38832" s="309"/>
      <c r="I38832" s="309"/>
      <c r="J38832" s="309"/>
    </row>
    <row r="38833">
      <c r="B38833" s="309"/>
      <c r="C38833" s="309"/>
      <c r="I38833" s="309"/>
      <c r="J38833" s="309"/>
    </row>
    <row r="38834">
      <c r="B38834" s="309"/>
      <c r="C38834" s="309"/>
      <c r="I38834" s="309"/>
      <c r="J38834" s="309"/>
    </row>
    <row r="38835">
      <c r="B38835" s="309"/>
      <c r="C38835" s="309"/>
      <c r="I38835" s="309"/>
      <c r="J38835" s="309"/>
    </row>
    <row r="38836">
      <c r="B38836" s="309"/>
      <c r="C38836" s="309"/>
      <c r="I38836" s="309"/>
      <c r="J38836" s="309"/>
    </row>
    <row r="38837">
      <c r="B38837" s="309"/>
      <c r="C38837" s="309"/>
      <c r="I38837" s="309"/>
      <c r="J38837" s="309"/>
    </row>
    <row r="38838">
      <c r="B38838" s="309"/>
      <c r="C38838" s="309"/>
      <c r="I38838" s="309"/>
      <c r="J38838" s="309"/>
    </row>
    <row r="38839">
      <c r="B38839" s="309"/>
      <c r="C38839" s="309"/>
      <c r="I38839" s="309"/>
      <c r="J38839" s="309"/>
    </row>
    <row r="38840">
      <c r="B38840" s="309"/>
      <c r="C38840" s="309"/>
      <c r="I38840" s="309"/>
      <c r="J38840" s="309"/>
    </row>
    <row r="38841">
      <c r="B38841" s="309"/>
      <c r="C38841" s="309"/>
      <c r="I38841" s="309"/>
      <c r="J38841" s="309"/>
    </row>
    <row r="38842">
      <c r="B38842" s="309"/>
      <c r="C38842" s="309"/>
      <c r="I38842" s="309"/>
      <c r="J38842" s="309"/>
    </row>
    <row r="38843">
      <c r="B38843" s="309"/>
      <c r="C38843" s="309"/>
      <c r="I38843" s="309"/>
      <c r="J38843" s="309"/>
    </row>
    <row r="38844">
      <c r="B38844" s="309"/>
      <c r="C38844" s="309"/>
      <c r="I38844" s="309"/>
      <c r="J38844" s="309"/>
    </row>
    <row r="38845">
      <c r="B38845" s="309"/>
      <c r="C38845" s="309"/>
      <c r="I38845" s="309"/>
      <c r="J38845" s="309"/>
    </row>
    <row r="38846">
      <c r="B38846" s="309"/>
      <c r="C38846" s="309"/>
      <c r="I38846" s="309"/>
      <c r="J38846" s="309"/>
    </row>
    <row r="38847">
      <c r="B38847" s="309"/>
      <c r="C38847" s="309"/>
      <c r="I38847" s="309"/>
      <c r="J38847" s="309"/>
    </row>
    <row r="38848">
      <c r="B38848" s="309"/>
      <c r="C38848" s="309"/>
      <c r="I38848" s="309"/>
      <c r="J38848" s="309"/>
    </row>
    <row r="38849">
      <c r="B38849" s="309"/>
      <c r="C38849" s="309"/>
      <c r="I38849" s="309"/>
      <c r="J38849" s="309"/>
    </row>
    <row r="38850">
      <c r="B38850" s="309"/>
      <c r="C38850" s="309"/>
      <c r="I38850" s="309"/>
      <c r="J38850" s="309"/>
    </row>
    <row r="38851">
      <c r="B38851" s="309"/>
      <c r="C38851" s="309"/>
      <c r="I38851" s="309"/>
      <c r="J38851" s="309"/>
    </row>
    <row r="38852">
      <c r="B38852" s="309"/>
      <c r="C38852" s="309"/>
      <c r="I38852" s="309"/>
      <c r="J38852" s="309"/>
    </row>
    <row r="38853">
      <c r="B38853" s="309"/>
      <c r="C38853" s="309"/>
      <c r="I38853" s="309"/>
      <c r="J38853" s="309"/>
    </row>
    <row r="38854">
      <c r="B38854" s="309"/>
      <c r="C38854" s="309"/>
      <c r="I38854" s="309"/>
      <c r="J38854" s="309"/>
    </row>
    <row r="38855">
      <c r="B38855" s="309"/>
      <c r="C38855" s="309"/>
      <c r="I38855" s="309"/>
      <c r="J38855" s="309"/>
    </row>
    <row r="38856">
      <c r="B38856" s="309"/>
      <c r="C38856" s="309"/>
      <c r="I38856" s="309"/>
      <c r="J38856" s="309"/>
    </row>
    <row r="38857">
      <c r="B38857" s="309"/>
      <c r="C38857" s="309"/>
      <c r="I38857" s="309"/>
      <c r="J38857" s="309"/>
    </row>
    <row r="38858">
      <c r="B38858" s="309"/>
      <c r="C38858" s="309"/>
      <c r="I38858" s="309"/>
      <c r="J38858" s="309"/>
    </row>
    <row r="38859">
      <c r="B38859" s="309"/>
      <c r="C38859" s="309"/>
      <c r="I38859" s="309"/>
      <c r="J38859" s="309"/>
    </row>
    <row r="38860">
      <c r="B38860" s="309"/>
      <c r="C38860" s="309"/>
      <c r="I38860" s="309"/>
      <c r="J38860" s="309"/>
    </row>
    <row r="38861">
      <c r="B38861" s="309"/>
      <c r="C38861" s="309"/>
      <c r="I38861" s="309"/>
      <c r="J38861" s="309"/>
    </row>
    <row r="38862">
      <c r="B38862" s="309"/>
      <c r="C38862" s="309"/>
      <c r="I38862" s="309"/>
      <c r="J38862" s="309"/>
    </row>
    <row r="38863">
      <c r="B38863" s="309"/>
      <c r="C38863" s="309"/>
      <c r="I38863" s="309"/>
      <c r="J38863" s="309"/>
    </row>
    <row r="38864">
      <c r="B38864" s="309"/>
      <c r="C38864" s="309"/>
      <c r="I38864" s="309"/>
      <c r="J38864" s="309"/>
    </row>
    <row r="38865">
      <c r="B38865" s="309"/>
      <c r="C38865" s="309"/>
      <c r="I38865" s="309"/>
      <c r="J38865" s="309"/>
    </row>
    <row r="38866">
      <c r="B38866" s="309"/>
      <c r="C38866" s="309"/>
      <c r="I38866" s="309"/>
      <c r="J38866" s="309"/>
    </row>
    <row r="38867">
      <c r="B38867" s="309"/>
      <c r="C38867" s="309"/>
      <c r="I38867" s="309"/>
      <c r="J38867" s="309"/>
    </row>
    <row r="38868">
      <c r="B38868" s="309"/>
      <c r="C38868" s="309"/>
      <c r="I38868" s="309"/>
      <c r="J38868" s="309"/>
    </row>
    <row r="38869">
      <c r="B38869" s="309"/>
      <c r="C38869" s="309"/>
      <c r="I38869" s="309"/>
      <c r="J38869" s="309"/>
    </row>
    <row r="38870">
      <c r="B38870" s="309"/>
      <c r="C38870" s="309"/>
      <c r="I38870" s="309"/>
      <c r="J38870" s="309"/>
    </row>
    <row r="38871">
      <c r="B38871" s="309"/>
      <c r="C38871" s="309"/>
      <c r="I38871" s="309"/>
      <c r="J38871" s="309"/>
    </row>
    <row r="38872">
      <c r="B38872" s="309"/>
      <c r="C38872" s="309"/>
      <c r="I38872" s="309"/>
      <c r="J38872" s="309"/>
    </row>
    <row r="38873">
      <c r="B38873" s="309"/>
      <c r="C38873" s="309"/>
      <c r="I38873" s="309"/>
      <c r="J38873" s="309"/>
    </row>
    <row r="38874">
      <c r="B38874" s="309"/>
      <c r="C38874" s="309"/>
      <c r="I38874" s="309"/>
      <c r="J38874" s="309"/>
    </row>
    <row r="38875">
      <c r="B38875" s="309"/>
      <c r="C38875" s="309"/>
      <c r="I38875" s="309"/>
      <c r="J38875" s="309"/>
    </row>
    <row r="38876">
      <c r="B38876" s="309"/>
      <c r="C38876" s="309"/>
      <c r="I38876" s="309"/>
      <c r="J38876" s="309"/>
    </row>
    <row r="38877">
      <c r="B38877" s="309"/>
      <c r="C38877" s="309"/>
      <c r="I38877" s="309"/>
      <c r="J38877" s="309"/>
    </row>
    <row r="38878">
      <c r="B38878" s="309"/>
      <c r="C38878" s="309"/>
      <c r="I38878" s="309"/>
      <c r="J38878" s="309"/>
    </row>
    <row r="38879">
      <c r="B38879" s="309"/>
      <c r="C38879" s="309"/>
      <c r="I38879" s="309"/>
      <c r="J38879" s="309"/>
    </row>
    <row r="38880">
      <c r="B38880" s="309"/>
      <c r="C38880" s="309"/>
      <c r="I38880" s="309"/>
      <c r="J38880" s="309"/>
    </row>
    <row r="38881">
      <c r="B38881" s="309"/>
      <c r="C38881" s="309"/>
      <c r="I38881" s="309"/>
      <c r="J38881" s="309"/>
    </row>
    <row r="38882">
      <c r="B38882" s="309"/>
      <c r="C38882" s="309"/>
      <c r="I38882" s="309"/>
      <c r="J38882" s="309"/>
    </row>
    <row r="38883">
      <c r="B38883" s="309"/>
      <c r="C38883" s="309"/>
      <c r="I38883" s="309"/>
      <c r="J38883" s="309"/>
    </row>
    <row r="38884">
      <c r="B38884" s="309"/>
      <c r="C38884" s="309"/>
      <c r="I38884" s="309"/>
      <c r="J38884" s="309"/>
    </row>
    <row r="38885">
      <c r="B38885" s="309"/>
      <c r="C38885" s="309"/>
      <c r="I38885" s="309"/>
      <c r="J38885" s="309"/>
    </row>
    <row r="38886">
      <c r="B38886" s="309"/>
      <c r="C38886" s="309"/>
      <c r="I38886" s="309"/>
      <c r="J38886" s="309"/>
    </row>
    <row r="38887">
      <c r="B38887" s="309"/>
      <c r="C38887" s="309"/>
      <c r="I38887" s="309"/>
      <c r="J38887" s="309"/>
    </row>
    <row r="38888">
      <c r="B38888" s="309"/>
      <c r="C38888" s="309"/>
      <c r="I38888" s="309"/>
      <c r="J38888" s="309"/>
    </row>
    <row r="38889">
      <c r="B38889" s="309"/>
      <c r="C38889" s="309"/>
      <c r="I38889" s="309"/>
      <c r="J38889" s="309"/>
    </row>
    <row r="38890">
      <c r="B38890" s="309"/>
      <c r="C38890" s="309"/>
      <c r="I38890" s="309"/>
      <c r="J38890" s="309"/>
    </row>
    <row r="38891">
      <c r="B38891" s="309"/>
      <c r="C38891" s="309"/>
      <c r="I38891" s="309"/>
      <c r="J38891" s="309"/>
    </row>
    <row r="38892">
      <c r="B38892" s="309"/>
      <c r="C38892" s="309"/>
      <c r="I38892" s="309"/>
      <c r="J38892" s="309"/>
    </row>
    <row r="38893">
      <c r="B38893" s="309"/>
      <c r="C38893" s="309"/>
      <c r="I38893" s="309"/>
      <c r="J38893" s="309"/>
    </row>
    <row r="38894">
      <c r="B38894" s="309"/>
      <c r="C38894" s="309"/>
      <c r="I38894" s="309"/>
      <c r="J38894" s="309"/>
    </row>
    <row r="38895">
      <c r="B38895" s="309"/>
      <c r="C38895" s="309"/>
      <c r="I38895" s="309"/>
      <c r="J38895" s="309"/>
    </row>
    <row r="38896">
      <c r="B38896" s="309"/>
      <c r="C38896" s="309"/>
      <c r="I38896" s="309"/>
      <c r="J38896" s="309"/>
    </row>
    <row r="38897">
      <c r="B38897" s="309"/>
      <c r="C38897" s="309"/>
      <c r="I38897" s="309"/>
      <c r="J38897" s="309"/>
    </row>
    <row r="38898">
      <c r="B38898" s="309"/>
      <c r="C38898" s="309"/>
      <c r="I38898" s="309"/>
      <c r="J38898" s="309"/>
    </row>
    <row r="38899">
      <c r="B38899" s="309"/>
      <c r="C38899" s="309"/>
      <c r="I38899" s="309"/>
      <c r="J38899" s="309"/>
    </row>
    <row r="38900">
      <c r="B38900" s="309"/>
      <c r="C38900" s="309"/>
      <c r="I38900" s="309"/>
      <c r="J38900" s="309"/>
    </row>
    <row r="38901">
      <c r="B38901" s="309"/>
      <c r="C38901" s="309"/>
      <c r="I38901" s="309"/>
      <c r="J38901" s="309"/>
    </row>
    <row r="38902">
      <c r="B38902" s="309"/>
      <c r="C38902" s="309"/>
      <c r="I38902" s="309"/>
      <c r="J38902" s="309"/>
    </row>
    <row r="38903">
      <c r="B38903" s="309"/>
      <c r="C38903" s="309"/>
      <c r="I38903" s="309"/>
      <c r="J38903" s="309"/>
    </row>
    <row r="38904">
      <c r="B38904" s="309"/>
      <c r="C38904" s="309"/>
      <c r="I38904" s="309"/>
      <c r="J38904" s="309"/>
    </row>
    <row r="38905">
      <c r="B38905" s="309"/>
      <c r="C38905" s="309"/>
      <c r="I38905" s="309"/>
      <c r="J38905" s="309"/>
    </row>
    <row r="38906">
      <c r="B38906" s="309"/>
      <c r="C38906" s="309"/>
      <c r="I38906" s="309"/>
      <c r="J38906" s="309"/>
    </row>
    <row r="38907">
      <c r="B38907" s="309"/>
      <c r="C38907" s="309"/>
      <c r="I38907" s="309"/>
      <c r="J38907" s="309"/>
    </row>
    <row r="38908">
      <c r="B38908" s="309"/>
      <c r="C38908" s="309"/>
      <c r="I38908" s="309"/>
      <c r="J38908" s="309"/>
    </row>
    <row r="38909">
      <c r="B38909" s="309"/>
      <c r="C38909" s="309"/>
      <c r="I38909" s="309"/>
      <c r="J38909" s="309"/>
    </row>
    <row r="38910">
      <c r="B38910" s="309"/>
      <c r="C38910" s="309"/>
      <c r="I38910" s="309"/>
      <c r="J38910" s="309"/>
    </row>
    <row r="38911">
      <c r="B38911" s="309"/>
      <c r="C38911" s="309"/>
      <c r="I38911" s="309"/>
      <c r="J38911" s="309"/>
    </row>
    <row r="38912">
      <c r="B38912" s="309"/>
      <c r="C38912" s="309"/>
      <c r="I38912" s="309"/>
      <c r="J38912" s="309"/>
    </row>
    <row r="38913">
      <c r="B38913" s="309"/>
      <c r="C38913" s="309"/>
      <c r="I38913" s="309"/>
      <c r="J38913" s="309"/>
    </row>
    <row r="38914">
      <c r="B38914" s="309"/>
      <c r="C38914" s="309"/>
      <c r="I38914" s="309"/>
      <c r="J38914" s="309"/>
    </row>
    <row r="38915">
      <c r="B38915" s="309"/>
      <c r="C38915" s="309"/>
      <c r="I38915" s="309"/>
      <c r="J38915" s="309"/>
    </row>
    <row r="38916">
      <c r="B38916" s="309"/>
      <c r="C38916" s="309"/>
      <c r="I38916" s="309"/>
      <c r="J38916" s="309"/>
    </row>
    <row r="38917">
      <c r="B38917" s="309"/>
      <c r="C38917" s="309"/>
      <c r="I38917" s="309"/>
      <c r="J38917" s="309"/>
    </row>
    <row r="38918">
      <c r="B38918" s="309"/>
      <c r="C38918" s="309"/>
      <c r="I38918" s="309"/>
      <c r="J38918" s="309"/>
    </row>
    <row r="38919">
      <c r="B38919" s="309"/>
      <c r="C38919" s="309"/>
      <c r="I38919" s="309"/>
      <c r="J38919" s="309"/>
    </row>
    <row r="38920">
      <c r="B38920" s="309"/>
      <c r="C38920" s="309"/>
      <c r="I38920" s="309"/>
      <c r="J38920" s="309"/>
    </row>
    <row r="38921">
      <c r="B38921" s="309"/>
      <c r="C38921" s="309"/>
      <c r="I38921" s="309"/>
      <c r="J38921" s="309"/>
    </row>
    <row r="38922">
      <c r="B38922" s="309"/>
      <c r="C38922" s="309"/>
      <c r="I38922" s="309"/>
      <c r="J38922" s="309"/>
    </row>
    <row r="38923">
      <c r="B38923" s="309"/>
      <c r="C38923" s="309"/>
      <c r="I38923" s="309"/>
      <c r="J38923" s="309"/>
    </row>
    <row r="38924">
      <c r="B38924" s="309"/>
      <c r="C38924" s="309"/>
      <c r="I38924" s="309"/>
      <c r="J38924" s="309"/>
    </row>
    <row r="38925">
      <c r="B38925" s="309"/>
      <c r="C38925" s="309"/>
      <c r="I38925" s="309"/>
      <c r="J38925" s="309"/>
    </row>
    <row r="38926">
      <c r="B38926" s="309"/>
      <c r="C38926" s="309"/>
      <c r="I38926" s="309"/>
      <c r="J38926" s="309"/>
    </row>
    <row r="38927">
      <c r="B38927" s="309"/>
      <c r="C38927" s="309"/>
      <c r="I38927" s="309"/>
      <c r="J38927" s="309"/>
    </row>
    <row r="38928">
      <c r="B38928" s="309"/>
      <c r="C38928" s="309"/>
      <c r="I38928" s="309"/>
      <c r="J38928" s="309"/>
    </row>
    <row r="38929">
      <c r="B38929" s="309"/>
      <c r="C38929" s="309"/>
      <c r="I38929" s="309"/>
      <c r="J38929" s="309"/>
    </row>
    <row r="38930">
      <c r="B38930" s="309"/>
      <c r="C38930" s="309"/>
      <c r="I38930" s="309"/>
      <c r="J38930" s="309"/>
    </row>
    <row r="38931">
      <c r="B38931" s="309"/>
      <c r="C38931" s="309"/>
      <c r="I38931" s="309"/>
      <c r="J38931" s="309"/>
    </row>
    <row r="38932">
      <c r="B38932" s="309"/>
      <c r="C38932" s="309"/>
      <c r="I38932" s="309"/>
      <c r="J38932" s="309"/>
    </row>
    <row r="38933">
      <c r="B38933" s="309"/>
      <c r="C38933" s="309"/>
      <c r="I38933" s="309"/>
      <c r="J38933" s="309"/>
    </row>
    <row r="38934">
      <c r="B38934" s="309"/>
      <c r="C38934" s="309"/>
      <c r="I38934" s="309"/>
      <c r="J38934" s="309"/>
    </row>
    <row r="38935">
      <c r="B38935" s="309"/>
      <c r="C38935" s="309"/>
      <c r="I38935" s="309"/>
      <c r="J38935" s="309"/>
    </row>
    <row r="38936">
      <c r="B38936" s="309"/>
      <c r="C38936" s="309"/>
      <c r="I38936" s="309"/>
      <c r="J38936" s="309"/>
    </row>
    <row r="38937">
      <c r="B38937" s="309"/>
      <c r="C38937" s="309"/>
      <c r="I38937" s="309"/>
      <c r="J38937" s="309"/>
    </row>
    <row r="38938">
      <c r="B38938" s="309"/>
      <c r="C38938" s="309"/>
      <c r="I38938" s="309"/>
      <c r="J38938" s="309"/>
    </row>
    <row r="38939">
      <c r="B38939" s="309"/>
      <c r="C38939" s="309"/>
      <c r="I38939" s="309"/>
      <c r="J38939" s="309"/>
    </row>
    <row r="38940">
      <c r="B38940" s="309"/>
      <c r="C38940" s="309"/>
      <c r="I38940" s="309"/>
      <c r="J38940" s="309"/>
    </row>
    <row r="38941">
      <c r="B38941" s="309"/>
      <c r="C38941" s="309"/>
      <c r="I38941" s="309"/>
      <c r="J38941" s="309"/>
    </row>
    <row r="38942">
      <c r="B38942" s="309"/>
      <c r="C38942" s="309"/>
      <c r="I38942" s="309"/>
      <c r="J38942" s="309"/>
    </row>
    <row r="38943">
      <c r="B38943" s="309"/>
      <c r="C38943" s="309"/>
      <c r="I38943" s="309"/>
      <c r="J38943" s="309"/>
    </row>
    <row r="38944">
      <c r="B38944" s="309"/>
      <c r="C38944" s="309"/>
      <c r="I38944" s="309"/>
      <c r="J38944" s="309"/>
    </row>
    <row r="38945">
      <c r="B38945" s="309"/>
      <c r="C38945" s="309"/>
      <c r="I38945" s="309"/>
      <c r="J38945" s="309"/>
    </row>
    <row r="38946">
      <c r="B38946" s="309"/>
      <c r="C38946" s="309"/>
      <c r="I38946" s="309"/>
      <c r="J38946" s="309"/>
    </row>
    <row r="38947">
      <c r="B38947" s="309"/>
      <c r="C38947" s="309"/>
      <c r="I38947" s="309"/>
      <c r="J38947" s="309"/>
    </row>
    <row r="38948">
      <c r="B38948" s="309"/>
      <c r="C38948" s="309"/>
      <c r="I38948" s="309"/>
      <c r="J38948" s="309"/>
    </row>
    <row r="38949">
      <c r="B38949" s="309"/>
      <c r="C38949" s="309"/>
      <c r="I38949" s="309"/>
      <c r="J38949" s="309"/>
    </row>
    <row r="38950">
      <c r="B38950" s="309"/>
      <c r="C38950" s="309"/>
      <c r="I38950" s="309"/>
      <c r="J38950" s="309"/>
    </row>
    <row r="38951">
      <c r="B38951" s="309"/>
      <c r="C38951" s="309"/>
      <c r="I38951" s="309"/>
      <c r="J38951" s="309"/>
    </row>
    <row r="38952">
      <c r="B38952" s="309"/>
      <c r="C38952" s="309"/>
      <c r="I38952" s="309"/>
      <c r="J38952" s="309"/>
    </row>
    <row r="38953">
      <c r="B38953" s="309"/>
      <c r="C38953" s="309"/>
      <c r="I38953" s="309"/>
      <c r="J38953" s="309"/>
    </row>
    <row r="38954">
      <c r="B38954" s="309"/>
      <c r="C38954" s="309"/>
      <c r="I38954" s="309"/>
      <c r="J38954" s="309"/>
    </row>
    <row r="38955">
      <c r="B38955" s="309"/>
      <c r="C38955" s="309"/>
      <c r="I38955" s="309"/>
      <c r="J38955" s="309"/>
    </row>
    <row r="38956">
      <c r="B38956" s="309"/>
      <c r="C38956" s="309"/>
      <c r="I38956" s="309"/>
      <c r="J38956" s="309"/>
    </row>
    <row r="38957">
      <c r="B38957" s="309"/>
      <c r="C38957" s="309"/>
      <c r="I38957" s="309"/>
      <c r="J38957" s="309"/>
    </row>
    <row r="38958">
      <c r="B38958" s="309"/>
      <c r="C38958" s="309"/>
      <c r="I38958" s="309"/>
      <c r="J38958" s="309"/>
    </row>
    <row r="38959">
      <c r="B38959" s="309"/>
      <c r="C38959" s="309"/>
      <c r="I38959" s="309"/>
      <c r="J38959" s="309"/>
    </row>
    <row r="38960">
      <c r="B38960" s="309"/>
      <c r="C38960" s="309"/>
      <c r="I38960" s="309"/>
      <c r="J38960" s="309"/>
    </row>
    <row r="38961">
      <c r="B38961" s="309"/>
      <c r="C38961" s="309"/>
      <c r="I38961" s="309"/>
      <c r="J38961" s="309"/>
    </row>
    <row r="38962">
      <c r="B38962" s="309"/>
      <c r="C38962" s="309"/>
      <c r="I38962" s="309"/>
      <c r="J38962" s="309"/>
    </row>
    <row r="38963">
      <c r="B38963" s="309"/>
      <c r="C38963" s="309"/>
      <c r="I38963" s="309"/>
      <c r="J38963" s="309"/>
    </row>
    <row r="38964">
      <c r="B38964" s="309"/>
      <c r="C38964" s="309"/>
      <c r="I38964" s="309"/>
      <c r="J38964" s="309"/>
    </row>
    <row r="38965">
      <c r="B38965" s="309"/>
      <c r="C38965" s="309"/>
      <c r="I38965" s="309"/>
      <c r="J38965" s="309"/>
    </row>
    <row r="38966">
      <c r="B38966" s="309"/>
      <c r="C38966" s="309"/>
      <c r="I38966" s="309"/>
      <c r="J38966" s="309"/>
    </row>
    <row r="38967">
      <c r="B38967" s="309"/>
      <c r="C38967" s="309"/>
      <c r="I38967" s="309"/>
      <c r="J38967" s="309"/>
    </row>
    <row r="38968">
      <c r="B38968" s="309"/>
      <c r="C38968" s="309"/>
      <c r="I38968" s="309"/>
      <c r="J38968" s="309"/>
    </row>
    <row r="38969">
      <c r="B38969" s="309"/>
      <c r="C38969" s="309"/>
      <c r="I38969" s="309"/>
      <c r="J38969" s="309"/>
    </row>
    <row r="38970">
      <c r="B38970" s="309"/>
      <c r="C38970" s="309"/>
      <c r="I38970" s="309"/>
      <c r="J38970" s="309"/>
    </row>
    <row r="38971">
      <c r="B38971" s="309"/>
      <c r="C38971" s="309"/>
      <c r="I38971" s="309"/>
      <c r="J38971" s="309"/>
    </row>
    <row r="38972">
      <c r="B38972" s="309"/>
      <c r="C38972" s="309"/>
      <c r="I38972" s="309"/>
      <c r="J38972" s="309"/>
    </row>
    <row r="38973">
      <c r="B38973" s="309"/>
      <c r="C38973" s="309"/>
      <c r="I38973" s="309"/>
      <c r="J38973" s="309"/>
    </row>
    <row r="38974">
      <c r="B38974" s="309"/>
      <c r="C38974" s="309"/>
      <c r="I38974" s="309"/>
      <c r="J38974" s="309"/>
    </row>
    <row r="38975">
      <c r="B38975" s="309"/>
      <c r="C38975" s="309"/>
      <c r="I38975" s="309"/>
      <c r="J38975" s="309"/>
    </row>
    <row r="38976">
      <c r="B38976" s="309"/>
      <c r="C38976" s="309"/>
      <c r="I38976" s="309"/>
      <c r="J38976" s="309"/>
    </row>
    <row r="38977">
      <c r="B38977" s="309"/>
      <c r="C38977" s="309"/>
      <c r="I38977" s="309"/>
      <c r="J38977" s="309"/>
    </row>
    <row r="38978">
      <c r="B38978" s="309"/>
      <c r="C38978" s="309"/>
      <c r="I38978" s="309"/>
      <c r="J38978" s="309"/>
    </row>
    <row r="38979">
      <c r="B38979" s="309"/>
      <c r="C38979" s="309"/>
      <c r="I38979" s="309"/>
      <c r="J38979" s="309"/>
    </row>
    <row r="38980">
      <c r="B38980" s="309"/>
      <c r="C38980" s="309"/>
      <c r="I38980" s="309"/>
      <c r="J38980" s="309"/>
    </row>
    <row r="38981">
      <c r="B38981" s="309"/>
      <c r="C38981" s="309"/>
      <c r="I38981" s="309"/>
      <c r="J38981" s="309"/>
    </row>
    <row r="38982">
      <c r="B38982" s="309"/>
      <c r="C38982" s="309"/>
      <c r="I38982" s="309"/>
      <c r="J38982" s="309"/>
    </row>
    <row r="38983">
      <c r="B38983" s="309"/>
      <c r="C38983" s="309"/>
      <c r="I38983" s="309"/>
      <c r="J38983" s="309"/>
    </row>
    <row r="38984">
      <c r="B38984" s="309"/>
      <c r="C38984" s="309"/>
      <c r="I38984" s="309"/>
      <c r="J38984" s="309"/>
    </row>
    <row r="38985">
      <c r="B38985" s="309"/>
      <c r="C38985" s="309"/>
      <c r="I38985" s="309"/>
      <c r="J38985" s="309"/>
    </row>
    <row r="38986">
      <c r="B38986" s="309"/>
      <c r="C38986" s="309"/>
      <c r="I38986" s="309"/>
      <c r="J38986" s="309"/>
    </row>
    <row r="38987">
      <c r="B38987" s="309"/>
      <c r="C38987" s="309"/>
      <c r="I38987" s="309"/>
      <c r="J38987" s="309"/>
    </row>
    <row r="38988">
      <c r="B38988" s="309"/>
      <c r="C38988" s="309"/>
      <c r="I38988" s="309"/>
      <c r="J38988" s="309"/>
    </row>
    <row r="38989">
      <c r="B38989" s="309"/>
      <c r="C38989" s="309"/>
      <c r="I38989" s="309"/>
      <c r="J38989" s="309"/>
    </row>
    <row r="38990">
      <c r="B38990" s="309"/>
      <c r="C38990" s="309"/>
      <c r="I38990" s="309"/>
      <c r="J38990" s="309"/>
    </row>
    <row r="38991">
      <c r="B38991" s="309"/>
      <c r="C38991" s="309"/>
      <c r="I38991" s="309"/>
      <c r="J38991" s="309"/>
    </row>
    <row r="38992">
      <c r="B38992" s="309"/>
      <c r="C38992" s="309"/>
      <c r="I38992" s="309"/>
      <c r="J38992" s="309"/>
    </row>
    <row r="38993">
      <c r="B38993" s="309"/>
      <c r="C38993" s="309"/>
      <c r="I38993" s="309"/>
      <c r="J38993" s="309"/>
    </row>
    <row r="38994">
      <c r="B38994" s="309"/>
      <c r="C38994" s="309"/>
      <c r="I38994" s="309"/>
      <c r="J38994" s="309"/>
    </row>
    <row r="38995">
      <c r="B38995" s="309"/>
      <c r="C38995" s="309"/>
      <c r="I38995" s="309"/>
      <c r="J38995" s="309"/>
    </row>
    <row r="38996">
      <c r="B38996" s="309"/>
      <c r="C38996" s="309"/>
      <c r="I38996" s="309"/>
      <c r="J38996" s="309"/>
    </row>
    <row r="38997">
      <c r="B38997" s="309"/>
      <c r="C38997" s="309"/>
      <c r="I38997" s="309"/>
      <c r="J38997" s="309"/>
    </row>
    <row r="38998">
      <c r="B38998" s="309"/>
      <c r="C38998" s="309"/>
      <c r="I38998" s="309"/>
      <c r="J38998" s="309"/>
    </row>
    <row r="38999">
      <c r="B38999" s="309"/>
      <c r="C38999" s="309"/>
      <c r="I38999" s="309"/>
      <c r="J38999" s="309"/>
    </row>
    <row r="39000">
      <c r="B39000" s="309"/>
      <c r="C39000" s="309"/>
      <c r="I39000" s="309"/>
      <c r="J39000" s="309"/>
    </row>
    <row r="39001">
      <c r="B39001" s="309"/>
      <c r="C39001" s="309"/>
      <c r="I39001" s="309"/>
      <c r="J39001" s="309"/>
    </row>
    <row r="39002">
      <c r="B39002" s="309"/>
      <c r="C39002" s="309"/>
      <c r="I39002" s="309"/>
      <c r="J39002" s="309"/>
    </row>
    <row r="39003">
      <c r="B39003" s="309"/>
      <c r="C39003" s="309"/>
      <c r="I39003" s="309"/>
      <c r="J39003" s="309"/>
    </row>
    <row r="39004">
      <c r="B39004" s="309"/>
      <c r="C39004" s="309"/>
      <c r="I39004" s="309"/>
      <c r="J39004" s="309"/>
    </row>
    <row r="39005">
      <c r="B39005" s="309"/>
      <c r="C39005" s="309"/>
      <c r="I39005" s="309"/>
      <c r="J39005" s="309"/>
    </row>
    <row r="39006">
      <c r="B39006" s="309"/>
      <c r="C39006" s="309"/>
      <c r="I39006" s="309"/>
      <c r="J39006" s="309"/>
    </row>
    <row r="39007">
      <c r="B39007" s="309"/>
      <c r="C39007" s="309"/>
      <c r="I39007" s="309"/>
      <c r="J39007" s="309"/>
    </row>
    <row r="39008">
      <c r="B39008" s="309"/>
      <c r="C39008" s="309"/>
      <c r="I39008" s="309"/>
      <c r="J39008" s="309"/>
    </row>
    <row r="39009">
      <c r="B39009" s="309"/>
      <c r="C39009" s="309"/>
      <c r="I39009" s="309"/>
      <c r="J39009" s="309"/>
    </row>
    <row r="39010">
      <c r="B39010" s="309"/>
      <c r="C39010" s="309"/>
      <c r="I39010" s="309"/>
      <c r="J39010" s="309"/>
    </row>
    <row r="39011">
      <c r="B39011" s="309"/>
      <c r="C39011" s="309"/>
      <c r="I39011" s="309"/>
      <c r="J39011" s="309"/>
    </row>
    <row r="39012">
      <c r="B39012" s="309"/>
      <c r="C39012" s="309"/>
      <c r="I39012" s="309"/>
      <c r="J39012" s="309"/>
    </row>
    <row r="39013">
      <c r="B39013" s="309"/>
      <c r="C39013" s="309"/>
      <c r="I39013" s="309"/>
      <c r="J39013" s="309"/>
    </row>
    <row r="39014">
      <c r="B39014" s="309"/>
      <c r="C39014" s="309"/>
      <c r="I39014" s="309"/>
      <c r="J39014" s="309"/>
    </row>
    <row r="39015">
      <c r="B39015" s="309"/>
      <c r="C39015" s="309"/>
      <c r="I39015" s="309"/>
      <c r="J39015" s="309"/>
    </row>
    <row r="39016">
      <c r="B39016" s="309"/>
      <c r="C39016" s="309"/>
      <c r="I39016" s="309"/>
      <c r="J39016" s="309"/>
    </row>
    <row r="39017">
      <c r="B39017" s="309"/>
      <c r="C39017" s="309"/>
      <c r="I39017" s="309"/>
      <c r="J39017" s="309"/>
    </row>
    <row r="39018">
      <c r="B39018" s="309"/>
      <c r="C39018" s="309"/>
      <c r="I39018" s="309"/>
      <c r="J39018" s="309"/>
    </row>
    <row r="39019">
      <c r="B39019" s="309"/>
      <c r="C39019" s="309"/>
      <c r="I39019" s="309"/>
      <c r="J39019" s="309"/>
    </row>
    <row r="39020">
      <c r="B39020" s="309"/>
      <c r="C39020" s="309"/>
      <c r="I39020" s="309"/>
      <c r="J39020" s="309"/>
    </row>
    <row r="39021">
      <c r="B39021" s="309"/>
      <c r="C39021" s="309"/>
      <c r="I39021" s="309"/>
      <c r="J39021" s="309"/>
    </row>
    <row r="39022">
      <c r="B39022" s="309"/>
      <c r="C39022" s="309"/>
      <c r="I39022" s="309"/>
      <c r="J39022" s="309"/>
    </row>
    <row r="39023">
      <c r="B39023" s="309"/>
      <c r="C39023" s="309"/>
      <c r="I39023" s="309"/>
      <c r="J39023" s="309"/>
    </row>
    <row r="39024">
      <c r="B39024" s="309"/>
      <c r="C39024" s="309"/>
      <c r="I39024" s="309"/>
      <c r="J39024" s="309"/>
    </row>
    <row r="39025">
      <c r="B39025" s="309"/>
      <c r="C39025" s="309"/>
      <c r="I39025" s="309"/>
      <c r="J39025" s="309"/>
    </row>
    <row r="39026">
      <c r="B39026" s="309"/>
      <c r="C39026" s="309"/>
      <c r="I39026" s="309"/>
      <c r="J39026" s="309"/>
    </row>
    <row r="39027">
      <c r="B39027" s="309"/>
      <c r="C39027" s="309"/>
      <c r="I39027" s="309"/>
      <c r="J39027" s="309"/>
    </row>
    <row r="39028">
      <c r="B39028" s="309"/>
      <c r="C39028" s="309"/>
      <c r="I39028" s="309"/>
      <c r="J39028" s="309"/>
    </row>
    <row r="39029">
      <c r="B39029" s="309"/>
      <c r="C39029" s="309"/>
      <c r="I39029" s="309"/>
      <c r="J39029" s="309"/>
    </row>
    <row r="39030">
      <c r="B39030" s="309"/>
      <c r="C39030" s="309"/>
      <c r="I39030" s="309"/>
      <c r="J39030" s="309"/>
    </row>
    <row r="39031">
      <c r="B39031" s="309"/>
      <c r="C39031" s="309"/>
      <c r="I39031" s="309"/>
      <c r="J39031" s="309"/>
    </row>
    <row r="39032">
      <c r="B39032" s="309"/>
      <c r="C39032" s="309"/>
      <c r="I39032" s="309"/>
      <c r="J39032" s="309"/>
    </row>
    <row r="39033">
      <c r="B39033" s="309"/>
      <c r="C39033" s="309"/>
      <c r="I39033" s="309"/>
      <c r="J39033" s="309"/>
    </row>
    <row r="39034">
      <c r="B39034" s="309"/>
      <c r="C39034" s="309"/>
      <c r="I39034" s="309"/>
      <c r="J39034" s="309"/>
    </row>
    <row r="39035">
      <c r="B39035" s="309"/>
      <c r="C39035" s="309"/>
      <c r="I39035" s="309"/>
      <c r="J39035" s="309"/>
    </row>
    <row r="39036">
      <c r="B39036" s="309"/>
      <c r="C39036" s="309"/>
      <c r="I39036" s="309"/>
      <c r="J39036" s="309"/>
    </row>
    <row r="39037">
      <c r="B39037" s="309"/>
      <c r="C39037" s="309"/>
      <c r="I39037" s="309"/>
      <c r="J39037" s="309"/>
    </row>
    <row r="39038">
      <c r="B39038" s="309"/>
      <c r="C39038" s="309"/>
      <c r="I39038" s="309"/>
      <c r="J39038" s="309"/>
    </row>
    <row r="39039">
      <c r="B39039" s="309"/>
      <c r="C39039" s="309"/>
      <c r="I39039" s="309"/>
      <c r="J39039" s="309"/>
    </row>
    <row r="39040">
      <c r="B39040" s="309"/>
      <c r="C39040" s="309"/>
      <c r="I39040" s="309"/>
      <c r="J39040" s="309"/>
    </row>
    <row r="39041">
      <c r="B39041" s="309"/>
      <c r="C39041" s="309"/>
      <c r="I39041" s="309"/>
      <c r="J39041" s="309"/>
    </row>
    <row r="39042">
      <c r="B39042" s="309"/>
      <c r="C39042" s="309"/>
      <c r="I39042" s="309"/>
      <c r="J39042" s="309"/>
    </row>
    <row r="39043">
      <c r="B39043" s="309"/>
      <c r="C39043" s="309"/>
      <c r="I39043" s="309"/>
      <c r="J39043" s="309"/>
    </row>
    <row r="39044">
      <c r="B39044" s="309"/>
      <c r="C39044" s="309"/>
      <c r="I39044" s="309"/>
      <c r="J39044" s="309"/>
    </row>
    <row r="39045">
      <c r="B39045" s="309"/>
      <c r="C39045" s="309"/>
      <c r="I39045" s="309"/>
      <c r="J39045" s="309"/>
    </row>
    <row r="39046">
      <c r="B39046" s="309"/>
      <c r="C39046" s="309"/>
      <c r="I39046" s="309"/>
      <c r="J39046" s="309"/>
    </row>
    <row r="39047">
      <c r="B39047" s="309"/>
      <c r="C39047" s="309"/>
      <c r="I39047" s="309"/>
      <c r="J39047" s="309"/>
    </row>
    <row r="39048">
      <c r="B39048" s="309"/>
      <c r="C39048" s="309"/>
      <c r="I39048" s="309"/>
      <c r="J39048" s="309"/>
    </row>
    <row r="39049">
      <c r="B39049" s="309"/>
      <c r="C39049" s="309"/>
      <c r="I39049" s="309"/>
      <c r="J39049" s="309"/>
    </row>
    <row r="39050">
      <c r="B39050" s="309"/>
      <c r="C39050" s="309"/>
      <c r="I39050" s="309"/>
      <c r="J39050" s="309"/>
    </row>
    <row r="39051">
      <c r="B39051" s="309"/>
      <c r="C39051" s="309"/>
      <c r="I39051" s="309"/>
      <c r="J39051" s="309"/>
    </row>
    <row r="39052">
      <c r="B39052" s="309"/>
      <c r="C39052" s="309"/>
      <c r="I39052" s="309"/>
      <c r="J39052" s="309"/>
    </row>
    <row r="39053">
      <c r="B39053" s="309"/>
      <c r="C39053" s="309"/>
      <c r="I39053" s="309"/>
      <c r="J39053" s="309"/>
    </row>
    <row r="39054">
      <c r="B39054" s="309"/>
      <c r="C39054" s="309"/>
      <c r="I39054" s="309"/>
      <c r="J39054" s="309"/>
    </row>
    <row r="39055">
      <c r="B39055" s="309"/>
      <c r="C39055" s="309"/>
      <c r="I39055" s="309"/>
      <c r="J39055" s="309"/>
    </row>
    <row r="39056">
      <c r="B39056" s="309"/>
      <c r="C39056" s="309"/>
      <c r="I39056" s="309"/>
      <c r="J39056" s="309"/>
    </row>
    <row r="39057">
      <c r="B39057" s="309"/>
      <c r="C39057" s="309"/>
      <c r="I39057" s="309"/>
      <c r="J39057" s="309"/>
    </row>
    <row r="39058">
      <c r="B39058" s="309"/>
      <c r="C39058" s="309"/>
      <c r="I39058" s="309"/>
      <c r="J39058" s="309"/>
    </row>
    <row r="39059">
      <c r="B39059" s="309"/>
      <c r="C39059" s="309"/>
      <c r="I39059" s="309"/>
      <c r="J39059" s="309"/>
    </row>
    <row r="39060">
      <c r="B39060" s="309"/>
      <c r="C39060" s="309"/>
      <c r="I39060" s="309"/>
      <c r="J39060" s="309"/>
    </row>
    <row r="39061">
      <c r="B39061" s="309"/>
      <c r="C39061" s="309"/>
      <c r="I39061" s="309"/>
      <c r="J39061" s="309"/>
    </row>
    <row r="39062">
      <c r="B39062" s="309"/>
      <c r="C39062" s="309"/>
      <c r="I39062" s="309"/>
      <c r="J39062" s="309"/>
    </row>
    <row r="39063">
      <c r="B39063" s="309"/>
      <c r="C39063" s="309"/>
      <c r="I39063" s="309"/>
      <c r="J39063" s="309"/>
    </row>
    <row r="39064">
      <c r="B39064" s="309"/>
      <c r="C39064" s="309"/>
      <c r="I39064" s="309"/>
      <c r="J39064" s="309"/>
    </row>
    <row r="39065">
      <c r="B39065" s="309"/>
      <c r="C39065" s="309"/>
      <c r="I39065" s="309"/>
      <c r="J39065" s="309"/>
    </row>
    <row r="39066">
      <c r="B39066" s="309"/>
      <c r="C39066" s="309"/>
      <c r="I39066" s="309"/>
      <c r="J39066" s="309"/>
    </row>
    <row r="39067">
      <c r="B39067" s="309"/>
      <c r="C39067" s="309"/>
      <c r="I39067" s="309"/>
      <c r="J39067" s="309"/>
    </row>
    <row r="39068">
      <c r="B39068" s="309"/>
      <c r="C39068" s="309"/>
      <c r="I39068" s="309"/>
      <c r="J39068" s="309"/>
    </row>
    <row r="39069">
      <c r="B39069" s="309"/>
      <c r="C39069" s="309"/>
      <c r="I39069" s="309"/>
      <c r="J39069" s="309"/>
    </row>
    <row r="39070">
      <c r="B39070" s="309"/>
      <c r="C39070" s="309"/>
      <c r="I39070" s="309"/>
      <c r="J39070" s="309"/>
    </row>
    <row r="39071">
      <c r="B39071" s="309"/>
      <c r="C39071" s="309"/>
      <c r="I39071" s="309"/>
      <c r="J39071" s="309"/>
    </row>
    <row r="39072">
      <c r="B39072" s="309"/>
      <c r="C39072" s="309"/>
      <c r="I39072" s="309"/>
      <c r="J39072" s="309"/>
    </row>
    <row r="39073">
      <c r="B39073" s="309"/>
      <c r="C39073" s="309"/>
      <c r="I39073" s="309"/>
      <c r="J39073" s="309"/>
    </row>
    <row r="39074">
      <c r="B39074" s="309"/>
      <c r="C39074" s="309"/>
      <c r="I39074" s="309"/>
      <c r="J39074" s="309"/>
    </row>
    <row r="39075">
      <c r="B39075" s="309"/>
      <c r="C39075" s="309"/>
      <c r="I39075" s="309"/>
      <c r="J39075" s="309"/>
    </row>
    <row r="39076">
      <c r="B39076" s="309"/>
      <c r="C39076" s="309"/>
      <c r="I39076" s="309"/>
      <c r="J39076" s="309"/>
    </row>
    <row r="39077">
      <c r="B39077" s="309"/>
      <c r="C39077" s="309"/>
      <c r="I39077" s="309"/>
      <c r="J39077" s="309"/>
    </row>
    <row r="39078">
      <c r="B39078" s="309"/>
      <c r="C39078" s="309"/>
      <c r="I39078" s="309"/>
      <c r="J39078" s="309"/>
    </row>
    <row r="39079">
      <c r="B39079" s="309"/>
      <c r="C39079" s="309"/>
      <c r="I39079" s="309"/>
      <c r="J39079" s="309"/>
    </row>
    <row r="39080">
      <c r="B39080" s="309"/>
      <c r="C39080" s="309"/>
      <c r="I39080" s="309"/>
      <c r="J39080" s="309"/>
    </row>
    <row r="39081">
      <c r="B39081" s="309"/>
      <c r="C39081" s="309"/>
      <c r="I39081" s="309"/>
      <c r="J39081" s="309"/>
    </row>
    <row r="39082">
      <c r="B39082" s="309"/>
      <c r="C39082" s="309"/>
      <c r="I39082" s="309"/>
      <c r="J39082" s="309"/>
    </row>
    <row r="39083">
      <c r="B39083" s="309"/>
      <c r="C39083" s="309"/>
      <c r="I39083" s="309"/>
      <c r="J39083" s="309"/>
    </row>
    <row r="39084">
      <c r="B39084" s="309"/>
      <c r="C39084" s="309"/>
      <c r="I39084" s="309"/>
      <c r="J39084" s="309"/>
    </row>
    <row r="39085">
      <c r="B39085" s="309"/>
      <c r="C39085" s="309"/>
      <c r="I39085" s="309"/>
      <c r="J39085" s="309"/>
    </row>
    <row r="39086">
      <c r="B39086" s="309"/>
      <c r="C39086" s="309"/>
      <c r="I39086" s="309"/>
      <c r="J39086" s="309"/>
    </row>
    <row r="39087">
      <c r="B39087" s="309"/>
      <c r="C39087" s="309"/>
      <c r="I39087" s="309"/>
      <c r="J39087" s="309"/>
    </row>
    <row r="39088">
      <c r="B39088" s="309"/>
      <c r="C39088" s="309"/>
      <c r="I39088" s="309"/>
      <c r="J39088" s="309"/>
    </row>
    <row r="39089">
      <c r="B39089" s="309"/>
      <c r="C39089" s="309"/>
      <c r="I39089" s="309"/>
      <c r="J39089" s="309"/>
    </row>
    <row r="39090">
      <c r="B39090" s="309"/>
      <c r="C39090" s="309"/>
      <c r="I39090" s="309"/>
      <c r="J39090" s="309"/>
    </row>
    <row r="39091">
      <c r="B39091" s="309"/>
      <c r="C39091" s="309"/>
      <c r="I39091" s="309"/>
      <c r="J39091" s="309"/>
    </row>
    <row r="39092">
      <c r="B39092" s="309"/>
      <c r="C39092" s="309"/>
      <c r="I39092" s="309"/>
      <c r="J39092" s="309"/>
    </row>
    <row r="39093">
      <c r="B39093" s="309"/>
      <c r="C39093" s="309"/>
      <c r="I39093" s="309"/>
      <c r="J39093" s="309"/>
    </row>
    <row r="39094">
      <c r="B39094" s="309"/>
      <c r="C39094" s="309"/>
      <c r="I39094" s="309"/>
      <c r="J39094" s="309"/>
    </row>
    <row r="39095">
      <c r="B39095" s="309"/>
      <c r="C39095" s="309"/>
      <c r="I39095" s="309"/>
      <c r="J39095" s="309"/>
    </row>
    <row r="39096">
      <c r="B39096" s="309"/>
      <c r="C39096" s="309"/>
      <c r="I39096" s="309"/>
      <c r="J39096" s="309"/>
    </row>
    <row r="39097">
      <c r="B39097" s="309"/>
      <c r="C39097" s="309"/>
      <c r="I39097" s="309"/>
      <c r="J39097" s="309"/>
    </row>
    <row r="39098">
      <c r="B39098" s="309"/>
      <c r="C39098" s="309"/>
      <c r="I39098" s="309"/>
      <c r="J39098" s="309"/>
    </row>
    <row r="39099">
      <c r="B39099" s="309"/>
      <c r="C39099" s="309"/>
      <c r="I39099" s="309"/>
      <c r="J39099" s="309"/>
    </row>
    <row r="39100">
      <c r="B39100" s="309"/>
      <c r="C39100" s="309"/>
      <c r="I39100" s="309"/>
      <c r="J39100" s="309"/>
    </row>
    <row r="39101">
      <c r="B39101" s="309"/>
      <c r="C39101" s="309"/>
      <c r="I39101" s="309"/>
      <c r="J39101" s="309"/>
    </row>
    <row r="39102">
      <c r="B39102" s="309"/>
      <c r="C39102" s="309"/>
      <c r="I39102" s="309"/>
      <c r="J39102" s="309"/>
    </row>
    <row r="39103">
      <c r="B39103" s="309"/>
      <c r="C39103" s="309"/>
      <c r="I39103" s="309"/>
      <c r="J39103" s="309"/>
    </row>
    <row r="39104">
      <c r="B39104" s="309"/>
      <c r="C39104" s="309"/>
      <c r="I39104" s="309"/>
      <c r="J39104" s="309"/>
    </row>
    <row r="39105">
      <c r="B39105" s="309"/>
      <c r="C39105" s="309"/>
      <c r="I39105" s="309"/>
      <c r="J39105" s="309"/>
    </row>
    <row r="39106">
      <c r="B39106" s="309"/>
      <c r="C39106" s="309"/>
      <c r="I39106" s="309"/>
      <c r="J39106" s="309"/>
    </row>
    <row r="39107">
      <c r="B39107" s="309"/>
      <c r="C39107" s="309"/>
      <c r="I39107" s="309"/>
      <c r="J39107" s="309"/>
    </row>
    <row r="39108">
      <c r="B39108" s="309"/>
      <c r="C39108" s="309"/>
      <c r="I39108" s="309"/>
      <c r="J39108" s="309"/>
    </row>
    <row r="39109">
      <c r="B39109" s="309"/>
      <c r="C39109" s="309"/>
      <c r="I39109" s="309"/>
      <c r="J39109" s="309"/>
    </row>
    <row r="39110">
      <c r="B39110" s="309"/>
      <c r="C39110" s="309"/>
      <c r="I39110" s="309"/>
      <c r="J39110" s="309"/>
    </row>
    <row r="39111">
      <c r="B39111" s="309"/>
      <c r="C39111" s="309"/>
      <c r="I39111" s="309"/>
      <c r="J39111" s="309"/>
    </row>
    <row r="39112">
      <c r="B39112" s="309"/>
      <c r="C39112" s="309"/>
      <c r="I39112" s="309"/>
      <c r="J39112" s="309"/>
    </row>
    <row r="39113">
      <c r="B39113" s="309"/>
      <c r="C39113" s="309"/>
      <c r="I39113" s="309"/>
      <c r="J39113" s="309"/>
    </row>
    <row r="39114">
      <c r="B39114" s="309"/>
      <c r="C39114" s="309"/>
      <c r="I39114" s="309"/>
      <c r="J39114" s="309"/>
    </row>
    <row r="39115">
      <c r="B39115" s="309"/>
      <c r="C39115" s="309"/>
      <c r="I39115" s="309"/>
      <c r="J39115" s="309"/>
    </row>
    <row r="39116">
      <c r="B39116" s="309"/>
      <c r="C39116" s="309"/>
      <c r="I39116" s="309"/>
      <c r="J39116" s="309"/>
    </row>
    <row r="39117">
      <c r="B39117" s="309"/>
      <c r="C39117" s="309"/>
      <c r="I39117" s="309"/>
      <c r="J39117" s="309"/>
    </row>
    <row r="39118">
      <c r="B39118" s="309"/>
      <c r="C39118" s="309"/>
      <c r="I39118" s="309"/>
      <c r="J39118" s="309"/>
    </row>
    <row r="39119">
      <c r="B39119" s="309"/>
      <c r="C39119" s="309"/>
      <c r="I39119" s="309"/>
      <c r="J39119" s="309"/>
    </row>
    <row r="39120">
      <c r="B39120" s="309"/>
      <c r="C39120" s="309"/>
      <c r="I39120" s="309"/>
      <c r="J39120" s="309"/>
    </row>
    <row r="39121">
      <c r="B39121" s="309"/>
      <c r="C39121" s="309"/>
      <c r="I39121" s="309"/>
      <c r="J39121" s="309"/>
    </row>
    <row r="39122">
      <c r="B39122" s="309"/>
      <c r="C39122" s="309"/>
      <c r="I39122" s="309"/>
      <c r="J39122" s="309"/>
    </row>
    <row r="39123">
      <c r="B39123" s="309"/>
      <c r="C39123" s="309"/>
      <c r="I39123" s="309"/>
      <c r="J39123" s="309"/>
    </row>
    <row r="39124">
      <c r="B39124" s="309"/>
      <c r="C39124" s="309"/>
      <c r="I39124" s="309"/>
      <c r="J39124" s="309"/>
    </row>
    <row r="39125">
      <c r="B39125" s="309"/>
      <c r="C39125" s="309"/>
      <c r="I39125" s="309"/>
      <c r="J39125" s="309"/>
    </row>
    <row r="39126">
      <c r="B39126" s="309"/>
      <c r="C39126" s="309"/>
      <c r="I39126" s="309"/>
      <c r="J39126" s="309"/>
    </row>
    <row r="39127">
      <c r="B39127" s="309"/>
      <c r="C39127" s="309"/>
      <c r="I39127" s="309"/>
      <c r="J39127" s="309"/>
    </row>
    <row r="39128">
      <c r="B39128" s="309"/>
      <c r="C39128" s="309"/>
      <c r="I39128" s="309"/>
      <c r="J39128" s="309"/>
    </row>
    <row r="39129">
      <c r="B39129" s="309"/>
      <c r="C39129" s="309"/>
      <c r="I39129" s="309"/>
      <c r="J39129" s="309"/>
    </row>
    <row r="39130">
      <c r="B39130" s="309"/>
      <c r="C39130" s="309"/>
      <c r="I39130" s="309"/>
      <c r="J39130" s="309"/>
    </row>
    <row r="39131">
      <c r="B39131" s="309"/>
      <c r="C39131" s="309"/>
      <c r="I39131" s="309"/>
      <c r="J39131" s="309"/>
    </row>
    <row r="39132">
      <c r="B39132" s="309"/>
      <c r="C39132" s="309"/>
      <c r="I39132" s="309"/>
      <c r="J39132" s="309"/>
    </row>
    <row r="39133">
      <c r="B39133" s="309"/>
      <c r="C39133" s="309"/>
      <c r="I39133" s="309"/>
      <c r="J39133" s="309"/>
    </row>
    <row r="39134">
      <c r="B39134" s="309"/>
      <c r="C39134" s="309"/>
      <c r="I39134" s="309"/>
      <c r="J39134" s="309"/>
    </row>
    <row r="39135">
      <c r="B39135" s="309"/>
      <c r="C39135" s="309"/>
      <c r="I39135" s="309"/>
      <c r="J39135" s="309"/>
    </row>
    <row r="39136">
      <c r="B39136" s="309"/>
      <c r="C39136" s="309"/>
      <c r="I39136" s="309"/>
      <c r="J39136" s="309"/>
    </row>
    <row r="39137">
      <c r="B39137" s="309"/>
      <c r="C39137" s="309"/>
      <c r="I39137" s="309"/>
      <c r="J39137" s="309"/>
    </row>
    <row r="39138">
      <c r="B39138" s="309"/>
      <c r="C39138" s="309"/>
      <c r="I39138" s="309"/>
      <c r="J39138" s="309"/>
    </row>
    <row r="39139">
      <c r="B39139" s="309"/>
      <c r="C39139" s="309"/>
      <c r="I39139" s="309"/>
      <c r="J39139" s="309"/>
    </row>
    <row r="39140">
      <c r="B39140" s="309"/>
      <c r="C39140" s="309"/>
      <c r="I39140" s="309"/>
      <c r="J39140" s="309"/>
    </row>
    <row r="39141">
      <c r="B39141" s="309"/>
      <c r="C39141" s="309"/>
      <c r="I39141" s="309"/>
      <c r="J39141" s="309"/>
    </row>
    <row r="39142">
      <c r="B39142" s="309"/>
      <c r="C39142" s="309"/>
      <c r="I39142" s="309"/>
      <c r="J39142" s="309"/>
    </row>
    <row r="39143">
      <c r="B39143" s="309"/>
      <c r="C39143" s="309"/>
      <c r="I39143" s="309"/>
      <c r="J39143" s="309"/>
    </row>
    <row r="39144">
      <c r="B39144" s="309"/>
      <c r="C39144" s="309"/>
      <c r="I39144" s="309"/>
      <c r="J39144" s="309"/>
    </row>
    <row r="39145">
      <c r="B39145" s="309"/>
      <c r="C39145" s="309"/>
      <c r="I39145" s="309"/>
      <c r="J39145" s="309"/>
    </row>
    <row r="39146">
      <c r="B39146" s="309"/>
      <c r="C39146" s="309"/>
      <c r="I39146" s="309"/>
      <c r="J39146" s="309"/>
    </row>
    <row r="39147">
      <c r="B39147" s="309"/>
      <c r="C39147" s="309"/>
      <c r="I39147" s="309"/>
      <c r="J39147" s="309"/>
    </row>
    <row r="39148">
      <c r="B39148" s="309"/>
      <c r="C39148" s="309"/>
      <c r="I39148" s="309"/>
      <c r="J39148" s="309"/>
    </row>
    <row r="39149">
      <c r="B39149" s="309"/>
      <c r="C39149" s="309"/>
      <c r="I39149" s="309"/>
      <c r="J39149" s="309"/>
    </row>
    <row r="39150">
      <c r="B39150" s="309"/>
      <c r="C39150" s="309"/>
      <c r="I39150" s="309"/>
      <c r="J39150" s="309"/>
    </row>
    <row r="39151">
      <c r="B39151" s="309"/>
      <c r="C39151" s="309"/>
      <c r="I39151" s="309"/>
      <c r="J39151" s="309"/>
    </row>
    <row r="39152">
      <c r="B39152" s="309"/>
      <c r="C39152" s="309"/>
      <c r="I39152" s="309"/>
      <c r="J39152" s="309"/>
    </row>
    <row r="39153">
      <c r="B39153" s="309"/>
      <c r="C39153" s="309"/>
      <c r="I39153" s="309"/>
      <c r="J39153" s="309"/>
    </row>
    <row r="39154">
      <c r="B39154" s="309"/>
      <c r="C39154" s="309"/>
      <c r="I39154" s="309"/>
      <c r="J39154" s="309"/>
    </row>
    <row r="39155">
      <c r="B39155" s="309"/>
      <c r="C39155" s="309"/>
      <c r="I39155" s="309"/>
      <c r="J39155" s="309"/>
    </row>
    <row r="39156">
      <c r="B39156" s="309"/>
      <c r="C39156" s="309"/>
      <c r="I39156" s="309"/>
      <c r="J39156" s="309"/>
    </row>
    <row r="39157">
      <c r="B39157" s="309"/>
      <c r="C39157" s="309"/>
      <c r="I39157" s="309"/>
      <c r="J39157" s="309"/>
    </row>
    <row r="39158">
      <c r="B39158" s="309"/>
      <c r="C39158" s="309"/>
      <c r="I39158" s="309"/>
      <c r="J39158" s="309"/>
    </row>
    <row r="39159">
      <c r="B39159" s="309"/>
      <c r="C39159" s="309"/>
      <c r="I39159" s="309"/>
      <c r="J39159" s="309"/>
    </row>
    <row r="39160">
      <c r="B39160" s="309"/>
      <c r="C39160" s="309"/>
      <c r="I39160" s="309"/>
      <c r="J39160" s="309"/>
    </row>
    <row r="39161">
      <c r="B39161" s="309"/>
      <c r="C39161" s="309"/>
      <c r="I39161" s="309"/>
      <c r="J39161" s="309"/>
    </row>
    <row r="39162">
      <c r="B39162" s="309"/>
      <c r="C39162" s="309"/>
      <c r="I39162" s="309"/>
      <c r="J39162" s="309"/>
    </row>
    <row r="39163">
      <c r="B39163" s="309"/>
      <c r="C39163" s="309"/>
      <c r="I39163" s="309"/>
      <c r="J39163" s="309"/>
    </row>
    <row r="39164">
      <c r="B39164" s="309"/>
      <c r="C39164" s="309"/>
      <c r="I39164" s="309"/>
      <c r="J39164" s="309"/>
    </row>
    <row r="39165">
      <c r="B39165" s="309"/>
      <c r="C39165" s="309"/>
      <c r="I39165" s="309"/>
      <c r="J39165" s="309"/>
    </row>
    <row r="39166">
      <c r="B39166" s="309"/>
      <c r="C39166" s="309"/>
      <c r="I39166" s="309"/>
      <c r="J39166" s="309"/>
    </row>
    <row r="39167">
      <c r="B39167" s="309"/>
      <c r="C39167" s="309"/>
      <c r="I39167" s="309"/>
      <c r="J39167" s="309"/>
    </row>
    <row r="39168">
      <c r="B39168" s="309"/>
      <c r="C39168" s="309"/>
      <c r="I39168" s="309"/>
      <c r="J39168" s="309"/>
    </row>
    <row r="39169">
      <c r="B39169" s="309"/>
      <c r="C39169" s="309"/>
      <c r="I39169" s="309"/>
      <c r="J39169" s="309"/>
    </row>
    <row r="39170">
      <c r="B39170" s="309"/>
      <c r="C39170" s="309"/>
      <c r="I39170" s="309"/>
      <c r="J39170" s="309"/>
    </row>
    <row r="39171">
      <c r="B39171" s="309"/>
      <c r="C39171" s="309"/>
      <c r="I39171" s="309"/>
      <c r="J39171" s="309"/>
    </row>
    <row r="39172">
      <c r="B39172" s="309"/>
      <c r="C39172" s="309"/>
      <c r="I39172" s="309"/>
      <c r="J39172" s="309"/>
    </row>
    <row r="39173">
      <c r="B39173" s="309"/>
      <c r="C39173" s="309"/>
      <c r="I39173" s="309"/>
      <c r="J39173" s="309"/>
    </row>
    <row r="39174">
      <c r="B39174" s="309"/>
      <c r="C39174" s="309"/>
      <c r="I39174" s="309"/>
      <c r="J39174" s="309"/>
    </row>
    <row r="39175">
      <c r="B39175" s="309"/>
      <c r="C39175" s="309"/>
      <c r="I39175" s="309"/>
      <c r="J39175" s="309"/>
    </row>
    <row r="39176">
      <c r="B39176" s="309"/>
      <c r="C39176" s="309"/>
      <c r="I39176" s="309"/>
      <c r="J39176" s="309"/>
    </row>
    <row r="39177">
      <c r="B39177" s="309"/>
      <c r="C39177" s="309"/>
      <c r="I39177" s="309"/>
      <c r="J39177" s="309"/>
    </row>
    <row r="39178">
      <c r="B39178" s="309"/>
      <c r="C39178" s="309"/>
      <c r="I39178" s="309"/>
      <c r="J39178" s="309"/>
    </row>
    <row r="39179">
      <c r="B39179" s="309"/>
      <c r="C39179" s="309"/>
      <c r="I39179" s="309"/>
      <c r="J39179" s="309"/>
    </row>
    <row r="39180">
      <c r="B39180" s="309"/>
      <c r="C39180" s="309"/>
      <c r="I39180" s="309"/>
      <c r="J39180" s="309"/>
    </row>
    <row r="39181">
      <c r="B39181" s="309"/>
      <c r="C39181" s="309"/>
      <c r="I39181" s="309"/>
      <c r="J39181" s="309"/>
    </row>
    <row r="39182">
      <c r="B39182" s="309"/>
      <c r="C39182" s="309"/>
      <c r="I39182" s="309"/>
      <c r="J39182" s="309"/>
    </row>
    <row r="39183">
      <c r="B39183" s="309"/>
      <c r="C39183" s="309"/>
      <c r="I39183" s="309"/>
      <c r="J39183" s="309"/>
    </row>
    <row r="39184">
      <c r="B39184" s="309"/>
      <c r="C39184" s="309"/>
      <c r="I39184" s="309"/>
      <c r="J39184" s="309"/>
    </row>
    <row r="39185">
      <c r="B39185" s="309"/>
      <c r="C39185" s="309"/>
      <c r="I39185" s="309"/>
      <c r="J39185" s="309"/>
    </row>
    <row r="39186">
      <c r="B39186" s="309"/>
      <c r="C39186" s="309"/>
      <c r="I39186" s="309"/>
      <c r="J39186" s="309"/>
    </row>
    <row r="39187">
      <c r="B39187" s="309"/>
      <c r="C39187" s="309"/>
      <c r="I39187" s="309"/>
      <c r="J39187" s="309"/>
    </row>
    <row r="39188">
      <c r="B39188" s="309"/>
      <c r="C39188" s="309"/>
      <c r="I39188" s="309"/>
      <c r="J39188" s="309"/>
    </row>
    <row r="39189">
      <c r="B39189" s="309"/>
      <c r="C39189" s="309"/>
      <c r="I39189" s="309"/>
      <c r="J39189" s="309"/>
    </row>
    <row r="39190">
      <c r="B39190" s="309"/>
      <c r="C39190" s="309"/>
      <c r="I39190" s="309"/>
      <c r="J39190" s="309"/>
    </row>
    <row r="39191">
      <c r="B39191" s="309"/>
      <c r="C39191" s="309"/>
      <c r="I39191" s="309"/>
      <c r="J39191" s="309"/>
    </row>
    <row r="39192">
      <c r="B39192" s="309"/>
      <c r="C39192" s="309"/>
      <c r="I39192" s="309"/>
      <c r="J39192" s="309"/>
    </row>
    <row r="39193">
      <c r="B39193" s="309"/>
      <c r="C39193" s="309"/>
      <c r="I39193" s="309"/>
      <c r="J39193" s="309"/>
    </row>
    <row r="39194">
      <c r="B39194" s="309"/>
      <c r="C39194" s="309"/>
      <c r="I39194" s="309"/>
      <c r="J39194" s="309"/>
    </row>
    <row r="39195">
      <c r="B39195" s="309"/>
      <c r="C39195" s="309"/>
      <c r="I39195" s="309"/>
      <c r="J39195" s="309"/>
    </row>
    <row r="39196">
      <c r="B39196" s="309"/>
      <c r="C39196" s="309"/>
      <c r="I39196" s="309"/>
      <c r="J39196" s="309"/>
    </row>
    <row r="39197">
      <c r="B39197" s="309"/>
      <c r="C39197" s="309"/>
      <c r="I39197" s="309"/>
      <c r="J39197" s="309"/>
    </row>
    <row r="39198">
      <c r="B39198" s="309"/>
      <c r="C39198" s="309"/>
      <c r="I39198" s="309"/>
      <c r="J39198" s="309"/>
    </row>
    <row r="39199">
      <c r="B39199" s="309"/>
      <c r="C39199" s="309"/>
      <c r="I39199" s="309"/>
      <c r="J39199" s="309"/>
    </row>
    <row r="39200">
      <c r="B39200" s="309"/>
      <c r="C39200" s="309"/>
      <c r="I39200" s="309"/>
      <c r="J39200" s="309"/>
    </row>
    <row r="39201">
      <c r="B39201" s="309"/>
      <c r="C39201" s="309"/>
      <c r="I39201" s="309"/>
      <c r="J39201" s="309"/>
    </row>
    <row r="39202">
      <c r="B39202" s="309"/>
      <c r="C39202" s="309"/>
      <c r="I39202" s="309"/>
      <c r="J39202" s="309"/>
    </row>
    <row r="39203">
      <c r="B39203" s="309"/>
      <c r="C39203" s="309"/>
      <c r="I39203" s="309"/>
      <c r="J39203" s="309"/>
    </row>
    <row r="39204">
      <c r="B39204" s="309"/>
      <c r="C39204" s="309"/>
      <c r="I39204" s="309"/>
      <c r="J39204" s="309"/>
    </row>
    <row r="39205">
      <c r="B39205" s="309"/>
      <c r="C39205" s="309"/>
      <c r="I39205" s="309"/>
      <c r="J39205" s="309"/>
    </row>
    <row r="39206">
      <c r="B39206" s="309"/>
      <c r="C39206" s="309"/>
      <c r="I39206" s="309"/>
      <c r="J39206" s="309"/>
    </row>
    <row r="39207">
      <c r="B39207" s="309"/>
      <c r="C39207" s="309"/>
      <c r="I39207" s="309"/>
      <c r="J39207" s="309"/>
    </row>
    <row r="39208">
      <c r="B39208" s="309"/>
      <c r="C39208" s="309"/>
      <c r="I39208" s="309"/>
      <c r="J39208" s="309"/>
    </row>
    <row r="39209">
      <c r="B39209" s="309"/>
      <c r="C39209" s="309"/>
      <c r="I39209" s="309"/>
      <c r="J39209" s="309"/>
    </row>
    <row r="39210">
      <c r="B39210" s="309"/>
      <c r="C39210" s="309"/>
      <c r="I39210" s="309"/>
      <c r="J39210" s="309"/>
    </row>
    <row r="39211">
      <c r="B39211" s="309"/>
      <c r="C39211" s="309"/>
      <c r="I39211" s="309"/>
      <c r="J39211" s="309"/>
    </row>
    <row r="39212">
      <c r="B39212" s="309"/>
      <c r="C39212" s="309"/>
      <c r="I39212" s="309"/>
      <c r="J39212" s="309"/>
    </row>
    <row r="39213">
      <c r="B39213" s="309"/>
      <c r="C39213" s="309"/>
      <c r="I39213" s="309"/>
      <c r="J39213" s="309"/>
    </row>
    <row r="39214">
      <c r="B39214" s="309"/>
      <c r="C39214" s="309"/>
      <c r="I39214" s="309"/>
      <c r="J39214" s="309"/>
    </row>
    <row r="39215">
      <c r="B39215" s="309"/>
      <c r="C39215" s="309"/>
      <c r="I39215" s="309"/>
      <c r="J39215" s="309"/>
    </row>
    <row r="39216">
      <c r="B39216" s="309"/>
      <c r="C39216" s="309"/>
      <c r="I39216" s="309"/>
      <c r="J39216" s="309"/>
    </row>
    <row r="39217">
      <c r="B39217" s="309"/>
      <c r="C39217" s="309"/>
      <c r="I39217" s="309"/>
      <c r="J39217" s="309"/>
    </row>
    <row r="39218">
      <c r="B39218" s="309"/>
      <c r="C39218" s="309"/>
      <c r="I39218" s="309"/>
      <c r="J39218" s="309"/>
    </row>
    <row r="39219">
      <c r="B39219" s="309"/>
      <c r="C39219" s="309"/>
      <c r="I39219" s="309"/>
      <c r="J39219" s="309"/>
    </row>
    <row r="39220">
      <c r="B39220" s="309"/>
      <c r="C39220" s="309"/>
      <c r="I39220" s="309"/>
      <c r="J39220" s="309"/>
    </row>
    <row r="39221">
      <c r="B39221" s="309"/>
      <c r="C39221" s="309"/>
      <c r="I39221" s="309"/>
      <c r="J39221" s="309"/>
    </row>
    <row r="39222">
      <c r="B39222" s="309"/>
      <c r="C39222" s="309"/>
      <c r="I39222" s="309"/>
      <c r="J39222" s="309"/>
    </row>
    <row r="39223">
      <c r="B39223" s="309"/>
      <c r="C39223" s="309"/>
      <c r="I39223" s="309"/>
      <c r="J39223" s="309"/>
    </row>
    <row r="39224">
      <c r="B39224" s="309"/>
      <c r="C39224" s="309"/>
      <c r="I39224" s="309"/>
      <c r="J39224" s="309"/>
    </row>
    <row r="39225">
      <c r="B39225" s="309"/>
      <c r="C39225" s="309"/>
      <c r="I39225" s="309"/>
      <c r="J39225" s="309"/>
    </row>
    <row r="39226">
      <c r="B39226" s="309"/>
      <c r="C39226" s="309"/>
      <c r="I39226" s="309"/>
      <c r="J39226" s="309"/>
    </row>
    <row r="39227">
      <c r="B39227" s="309"/>
      <c r="C39227" s="309"/>
      <c r="I39227" s="309"/>
      <c r="J39227" s="309"/>
    </row>
    <row r="39228">
      <c r="B39228" s="309"/>
      <c r="C39228" s="309"/>
      <c r="I39228" s="309"/>
      <c r="J39228" s="309"/>
    </row>
    <row r="39229">
      <c r="B39229" s="309"/>
      <c r="C39229" s="309"/>
      <c r="I39229" s="309"/>
      <c r="J39229" s="309"/>
    </row>
    <row r="39230">
      <c r="B39230" s="309"/>
      <c r="C39230" s="309"/>
      <c r="I39230" s="309"/>
      <c r="J39230" s="309"/>
    </row>
    <row r="39231">
      <c r="B39231" s="309"/>
      <c r="C39231" s="309"/>
      <c r="I39231" s="309"/>
      <c r="J39231" s="309"/>
    </row>
    <row r="39232">
      <c r="B39232" s="309"/>
      <c r="C39232" s="309"/>
      <c r="I39232" s="309"/>
      <c r="J39232" s="309"/>
    </row>
    <row r="39233">
      <c r="B39233" s="309"/>
      <c r="C39233" s="309"/>
      <c r="I39233" s="309"/>
      <c r="J39233" s="309"/>
    </row>
    <row r="39234">
      <c r="B39234" s="309"/>
      <c r="C39234" s="309"/>
      <c r="I39234" s="309"/>
      <c r="J39234" s="309"/>
    </row>
    <row r="39235">
      <c r="B39235" s="309"/>
      <c r="C39235" s="309"/>
      <c r="I39235" s="309"/>
      <c r="J39235" s="309"/>
    </row>
    <row r="39236">
      <c r="B39236" s="309"/>
      <c r="C39236" s="309"/>
      <c r="I39236" s="309"/>
      <c r="J39236" s="309"/>
    </row>
    <row r="39237">
      <c r="B39237" s="309"/>
      <c r="C39237" s="309"/>
      <c r="I39237" s="309"/>
      <c r="J39237" s="309"/>
    </row>
    <row r="39238">
      <c r="B39238" s="309"/>
      <c r="C39238" s="309"/>
      <c r="I39238" s="309"/>
      <c r="J39238" s="309"/>
    </row>
    <row r="39239">
      <c r="B39239" s="309"/>
      <c r="C39239" s="309"/>
      <c r="I39239" s="309"/>
      <c r="J39239" s="309"/>
    </row>
    <row r="39240">
      <c r="B39240" s="309"/>
      <c r="C39240" s="309"/>
      <c r="I39240" s="309"/>
      <c r="J39240" s="309"/>
    </row>
    <row r="39241">
      <c r="B39241" s="309"/>
      <c r="C39241" s="309"/>
      <c r="I39241" s="309"/>
      <c r="J39241" s="309"/>
    </row>
    <row r="39242">
      <c r="B39242" s="309"/>
      <c r="C39242" s="309"/>
      <c r="I39242" s="309"/>
      <c r="J39242" s="309"/>
    </row>
    <row r="39243">
      <c r="B39243" s="309"/>
      <c r="C39243" s="309"/>
      <c r="I39243" s="309"/>
      <c r="J39243" s="309"/>
    </row>
    <row r="39244">
      <c r="B39244" s="309"/>
      <c r="C39244" s="309"/>
      <c r="I39244" s="309"/>
      <c r="J39244" s="309"/>
    </row>
    <row r="39245">
      <c r="B39245" s="309"/>
      <c r="C39245" s="309"/>
      <c r="I39245" s="309"/>
      <c r="J39245" s="309"/>
    </row>
    <row r="39246">
      <c r="B39246" s="309"/>
      <c r="C39246" s="309"/>
      <c r="I39246" s="309"/>
      <c r="J39246" s="309"/>
    </row>
    <row r="39247">
      <c r="B39247" s="309"/>
      <c r="C39247" s="309"/>
      <c r="I39247" s="309"/>
      <c r="J39247" s="309"/>
    </row>
    <row r="39248">
      <c r="B39248" s="309"/>
      <c r="C39248" s="309"/>
      <c r="I39248" s="309"/>
      <c r="J39248" s="309"/>
    </row>
    <row r="39249">
      <c r="B39249" s="309"/>
      <c r="C39249" s="309"/>
      <c r="I39249" s="309"/>
      <c r="J39249" s="309"/>
    </row>
    <row r="39250">
      <c r="B39250" s="309"/>
      <c r="C39250" s="309"/>
      <c r="I39250" s="309"/>
      <c r="J39250" s="309"/>
    </row>
    <row r="39251">
      <c r="B39251" s="309"/>
      <c r="C39251" s="309"/>
      <c r="I39251" s="309"/>
      <c r="J39251" s="309"/>
    </row>
    <row r="39252">
      <c r="B39252" s="309"/>
      <c r="C39252" s="309"/>
      <c r="I39252" s="309"/>
      <c r="J39252" s="309"/>
    </row>
    <row r="39253">
      <c r="B39253" s="309"/>
      <c r="C39253" s="309"/>
      <c r="I39253" s="309"/>
      <c r="J39253" s="309"/>
    </row>
    <row r="39254">
      <c r="B39254" s="309"/>
      <c r="C39254" s="309"/>
      <c r="I39254" s="309"/>
      <c r="J39254" s="309"/>
    </row>
    <row r="39255">
      <c r="B39255" s="309"/>
      <c r="C39255" s="309"/>
      <c r="I39255" s="309"/>
      <c r="J39255" s="309"/>
    </row>
    <row r="39256">
      <c r="B39256" s="309"/>
      <c r="C39256" s="309"/>
      <c r="I39256" s="309"/>
      <c r="J39256" s="309"/>
    </row>
    <row r="39257">
      <c r="B39257" s="309"/>
      <c r="C39257" s="309"/>
      <c r="I39257" s="309"/>
      <c r="J39257" s="309"/>
    </row>
    <row r="39258">
      <c r="B39258" s="309"/>
      <c r="C39258" s="309"/>
      <c r="I39258" s="309"/>
      <c r="J39258" s="309"/>
    </row>
    <row r="39259">
      <c r="B39259" s="309"/>
      <c r="C39259" s="309"/>
      <c r="I39259" s="309"/>
      <c r="J39259" s="309"/>
    </row>
    <row r="39260">
      <c r="B39260" s="309"/>
      <c r="C39260" s="309"/>
      <c r="I39260" s="309"/>
      <c r="J39260" s="309"/>
    </row>
    <row r="39261">
      <c r="B39261" s="309"/>
      <c r="C39261" s="309"/>
      <c r="I39261" s="309"/>
      <c r="J39261" s="309"/>
    </row>
    <row r="39262">
      <c r="B39262" s="309"/>
      <c r="C39262" s="309"/>
      <c r="I39262" s="309"/>
      <c r="J39262" s="309"/>
    </row>
    <row r="39263">
      <c r="B39263" s="309"/>
      <c r="C39263" s="309"/>
      <c r="I39263" s="309"/>
      <c r="J39263" s="309"/>
    </row>
    <row r="39264">
      <c r="B39264" s="309"/>
      <c r="C39264" s="309"/>
      <c r="I39264" s="309"/>
      <c r="J39264" s="309"/>
    </row>
    <row r="39265">
      <c r="B39265" s="309"/>
      <c r="C39265" s="309"/>
      <c r="I39265" s="309"/>
      <c r="J39265" s="309"/>
    </row>
    <row r="39266">
      <c r="B39266" s="309"/>
      <c r="C39266" s="309"/>
      <c r="I39266" s="309"/>
      <c r="J39266" s="309"/>
    </row>
    <row r="39267">
      <c r="B39267" s="309"/>
      <c r="C39267" s="309"/>
      <c r="I39267" s="309"/>
      <c r="J39267" s="309"/>
    </row>
    <row r="39268">
      <c r="B39268" s="309"/>
      <c r="C39268" s="309"/>
      <c r="I39268" s="309"/>
      <c r="J39268" s="309"/>
    </row>
    <row r="39269">
      <c r="B39269" s="309"/>
      <c r="C39269" s="309"/>
      <c r="I39269" s="309"/>
      <c r="J39269" s="309"/>
    </row>
    <row r="39270">
      <c r="B39270" s="309"/>
      <c r="C39270" s="309"/>
      <c r="I39270" s="309"/>
      <c r="J39270" s="309"/>
    </row>
    <row r="39271">
      <c r="B39271" s="309"/>
      <c r="C39271" s="309"/>
      <c r="I39271" s="309"/>
      <c r="J39271" s="309"/>
    </row>
    <row r="39272">
      <c r="B39272" s="309"/>
      <c r="C39272" s="309"/>
      <c r="I39272" s="309"/>
      <c r="J39272" s="309"/>
    </row>
    <row r="39273">
      <c r="B39273" s="309"/>
      <c r="C39273" s="309"/>
      <c r="I39273" s="309"/>
      <c r="J39273" s="309"/>
    </row>
    <row r="39274">
      <c r="B39274" s="309"/>
      <c r="C39274" s="309"/>
      <c r="I39274" s="309"/>
      <c r="J39274" s="309"/>
    </row>
    <row r="39275">
      <c r="B39275" s="309"/>
      <c r="C39275" s="309"/>
      <c r="I39275" s="309"/>
      <c r="J39275" s="309"/>
    </row>
    <row r="39276">
      <c r="B39276" s="309"/>
      <c r="C39276" s="309"/>
      <c r="I39276" s="309"/>
      <c r="J39276" s="309"/>
    </row>
    <row r="39277">
      <c r="B39277" s="309"/>
      <c r="C39277" s="309"/>
      <c r="I39277" s="309"/>
      <c r="J39277" s="309"/>
    </row>
    <row r="39278">
      <c r="B39278" s="309"/>
      <c r="C39278" s="309"/>
      <c r="I39278" s="309"/>
      <c r="J39278" s="309"/>
    </row>
    <row r="39279">
      <c r="B39279" s="309"/>
      <c r="C39279" s="309"/>
      <c r="I39279" s="309"/>
      <c r="J39279" s="309"/>
    </row>
    <row r="39280">
      <c r="B39280" s="309"/>
      <c r="C39280" s="309"/>
      <c r="I39280" s="309"/>
      <c r="J39280" s="309"/>
    </row>
    <row r="39281">
      <c r="B39281" s="309"/>
      <c r="C39281" s="309"/>
      <c r="I39281" s="309"/>
      <c r="J39281" s="309"/>
    </row>
    <row r="39282">
      <c r="B39282" s="309"/>
      <c r="C39282" s="309"/>
      <c r="I39282" s="309"/>
      <c r="J39282" s="309"/>
    </row>
    <row r="39283">
      <c r="B39283" s="309"/>
      <c r="C39283" s="309"/>
      <c r="I39283" s="309"/>
      <c r="J39283" s="309"/>
    </row>
    <row r="39284">
      <c r="B39284" s="309"/>
      <c r="C39284" s="309"/>
      <c r="I39284" s="309"/>
      <c r="J39284" s="309"/>
    </row>
    <row r="39285">
      <c r="B39285" s="309"/>
      <c r="C39285" s="309"/>
      <c r="I39285" s="309"/>
      <c r="J39285" s="309"/>
    </row>
    <row r="39286">
      <c r="B39286" s="309"/>
      <c r="C39286" s="309"/>
      <c r="I39286" s="309"/>
      <c r="J39286" s="309"/>
    </row>
    <row r="39287">
      <c r="B39287" s="309"/>
      <c r="C39287" s="309"/>
      <c r="I39287" s="309"/>
      <c r="J39287" s="309"/>
    </row>
    <row r="39288">
      <c r="B39288" s="309"/>
      <c r="C39288" s="309"/>
      <c r="I39288" s="309"/>
      <c r="J39288" s="309"/>
    </row>
    <row r="39289">
      <c r="B39289" s="309"/>
      <c r="C39289" s="309"/>
      <c r="I39289" s="309"/>
      <c r="J39289" s="309"/>
    </row>
    <row r="39290">
      <c r="B39290" s="309"/>
      <c r="C39290" s="309"/>
      <c r="I39290" s="309"/>
      <c r="J39290" s="309"/>
    </row>
    <row r="39291">
      <c r="B39291" s="309"/>
      <c r="C39291" s="309"/>
      <c r="I39291" s="309"/>
      <c r="J39291" s="309"/>
    </row>
    <row r="39292">
      <c r="B39292" s="309"/>
      <c r="C39292" s="309"/>
      <c r="I39292" s="309"/>
      <c r="J39292" s="309"/>
    </row>
    <row r="39293">
      <c r="B39293" s="309"/>
      <c r="C39293" s="309"/>
      <c r="I39293" s="309"/>
      <c r="J39293" s="309"/>
    </row>
    <row r="39294">
      <c r="B39294" s="309"/>
      <c r="C39294" s="309"/>
      <c r="I39294" s="309"/>
      <c r="J39294" s="309"/>
    </row>
    <row r="39295">
      <c r="B39295" s="309"/>
      <c r="C39295" s="309"/>
      <c r="I39295" s="309"/>
      <c r="J39295" s="309"/>
    </row>
    <row r="39296">
      <c r="B39296" s="309"/>
      <c r="C39296" s="309"/>
      <c r="I39296" s="309"/>
      <c r="J39296" s="309"/>
    </row>
    <row r="39297">
      <c r="B39297" s="309"/>
      <c r="C39297" s="309"/>
      <c r="I39297" s="309"/>
      <c r="J39297" s="309"/>
    </row>
    <row r="39298">
      <c r="B39298" s="309"/>
      <c r="C39298" s="309"/>
      <c r="I39298" s="309"/>
      <c r="J39298" s="309"/>
    </row>
    <row r="39299">
      <c r="B39299" s="309"/>
      <c r="C39299" s="309"/>
      <c r="I39299" s="309"/>
      <c r="J39299" s="309"/>
    </row>
    <row r="39300">
      <c r="B39300" s="309"/>
      <c r="C39300" s="309"/>
      <c r="I39300" s="309"/>
      <c r="J39300" s="309"/>
    </row>
    <row r="39301">
      <c r="B39301" s="309"/>
      <c r="C39301" s="309"/>
      <c r="I39301" s="309"/>
      <c r="J39301" s="309"/>
    </row>
    <row r="39302">
      <c r="B39302" s="309"/>
      <c r="C39302" s="309"/>
      <c r="I39302" s="309"/>
      <c r="J39302" s="309"/>
    </row>
    <row r="39303">
      <c r="B39303" s="309"/>
      <c r="C39303" s="309"/>
      <c r="I39303" s="309"/>
      <c r="J39303" s="309"/>
    </row>
    <row r="39304">
      <c r="B39304" s="309"/>
      <c r="C39304" s="309"/>
      <c r="I39304" s="309"/>
      <c r="J39304" s="309"/>
    </row>
    <row r="39305">
      <c r="B39305" s="309"/>
      <c r="C39305" s="309"/>
      <c r="I39305" s="309"/>
      <c r="J39305" s="309"/>
    </row>
    <row r="39306">
      <c r="B39306" s="309"/>
      <c r="C39306" s="309"/>
      <c r="I39306" s="309"/>
      <c r="J39306" s="309"/>
    </row>
    <row r="39307">
      <c r="B39307" s="309"/>
      <c r="C39307" s="309"/>
      <c r="I39307" s="309"/>
      <c r="J39307" s="309"/>
    </row>
    <row r="39308">
      <c r="B39308" s="309"/>
      <c r="C39308" s="309"/>
      <c r="I39308" s="309"/>
      <c r="J39308" s="309"/>
    </row>
    <row r="39309">
      <c r="B39309" s="309"/>
      <c r="C39309" s="309"/>
      <c r="I39309" s="309"/>
      <c r="J39309" s="309"/>
    </row>
    <row r="39310">
      <c r="B39310" s="309"/>
      <c r="C39310" s="309"/>
      <c r="I39310" s="309"/>
      <c r="J39310" s="309"/>
    </row>
    <row r="39311">
      <c r="B39311" s="309"/>
      <c r="C39311" s="309"/>
      <c r="I39311" s="309"/>
      <c r="J39311" s="309"/>
    </row>
    <row r="39312">
      <c r="B39312" s="309"/>
      <c r="C39312" s="309"/>
      <c r="I39312" s="309"/>
      <c r="J39312" s="309"/>
    </row>
    <row r="39313">
      <c r="B39313" s="309"/>
      <c r="C39313" s="309"/>
      <c r="I39313" s="309"/>
      <c r="J39313" s="309"/>
    </row>
    <row r="39314">
      <c r="B39314" s="309"/>
      <c r="C39314" s="309"/>
      <c r="I39314" s="309"/>
      <c r="J39314" s="309"/>
    </row>
    <row r="39315">
      <c r="B39315" s="309"/>
      <c r="C39315" s="309"/>
      <c r="I39315" s="309"/>
      <c r="J39315" s="309"/>
    </row>
    <row r="39316">
      <c r="B39316" s="309"/>
      <c r="C39316" s="309"/>
      <c r="I39316" s="309"/>
      <c r="J39316" s="309"/>
    </row>
    <row r="39317">
      <c r="B39317" s="309"/>
      <c r="C39317" s="309"/>
      <c r="I39317" s="309"/>
      <c r="J39317" s="309"/>
    </row>
    <row r="39318">
      <c r="B39318" s="309"/>
      <c r="C39318" s="309"/>
      <c r="I39318" s="309"/>
      <c r="J39318" s="309"/>
    </row>
    <row r="39319">
      <c r="B39319" s="309"/>
      <c r="C39319" s="309"/>
      <c r="I39319" s="309"/>
      <c r="J39319" s="309"/>
    </row>
    <row r="39320">
      <c r="B39320" s="309"/>
      <c r="C39320" s="309"/>
      <c r="I39320" s="309"/>
      <c r="J39320" s="309"/>
    </row>
    <row r="39321">
      <c r="B39321" s="309"/>
      <c r="C39321" s="309"/>
      <c r="I39321" s="309"/>
      <c r="J39321" s="309"/>
    </row>
    <row r="39322">
      <c r="B39322" s="309"/>
      <c r="C39322" s="309"/>
      <c r="I39322" s="309"/>
      <c r="J39322" s="309"/>
    </row>
    <row r="39323">
      <c r="B39323" s="309"/>
      <c r="C39323" s="309"/>
      <c r="I39323" s="309"/>
      <c r="J39323" s="309"/>
    </row>
    <row r="39324">
      <c r="B39324" s="309"/>
      <c r="C39324" s="309"/>
      <c r="I39324" s="309"/>
      <c r="J39324" s="309"/>
    </row>
    <row r="39325">
      <c r="B39325" s="309"/>
      <c r="C39325" s="309"/>
      <c r="I39325" s="309"/>
      <c r="J39325" s="309"/>
    </row>
    <row r="39326">
      <c r="B39326" s="309"/>
      <c r="C39326" s="309"/>
      <c r="I39326" s="309"/>
      <c r="J39326" s="309"/>
    </row>
    <row r="39327">
      <c r="B39327" s="309"/>
      <c r="C39327" s="309"/>
      <c r="I39327" s="309"/>
      <c r="J39327" s="309"/>
    </row>
    <row r="39328">
      <c r="B39328" s="309"/>
      <c r="C39328" s="309"/>
      <c r="I39328" s="309"/>
      <c r="J39328" s="309"/>
    </row>
    <row r="39329">
      <c r="B39329" s="309"/>
      <c r="C39329" s="309"/>
      <c r="I39329" s="309"/>
      <c r="J39329" s="309"/>
    </row>
    <row r="39330">
      <c r="B39330" s="309"/>
      <c r="C39330" s="309"/>
      <c r="I39330" s="309"/>
      <c r="J39330" s="309"/>
    </row>
    <row r="39331">
      <c r="B39331" s="309"/>
      <c r="C39331" s="309"/>
      <c r="I39331" s="309"/>
      <c r="J39331" s="309"/>
    </row>
    <row r="39332">
      <c r="B39332" s="309"/>
      <c r="C39332" s="309"/>
      <c r="I39332" s="309"/>
      <c r="J39332" s="309"/>
    </row>
    <row r="39333">
      <c r="B39333" s="309"/>
      <c r="C39333" s="309"/>
      <c r="I39333" s="309"/>
      <c r="J39333" s="309"/>
    </row>
    <row r="39334">
      <c r="B39334" s="309"/>
      <c r="C39334" s="309"/>
      <c r="I39334" s="309"/>
      <c r="J39334" s="309"/>
    </row>
    <row r="39335">
      <c r="B39335" s="309"/>
      <c r="C39335" s="309"/>
      <c r="I39335" s="309"/>
      <c r="J39335" s="309"/>
    </row>
    <row r="39336">
      <c r="B39336" s="309"/>
      <c r="C39336" s="309"/>
      <c r="I39336" s="309"/>
      <c r="J39336" s="309"/>
    </row>
    <row r="39337">
      <c r="B39337" s="309"/>
      <c r="C39337" s="309"/>
      <c r="I39337" s="309"/>
      <c r="J39337" s="309"/>
    </row>
    <row r="39338">
      <c r="B39338" s="309"/>
      <c r="C39338" s="309"/>
      <c r="I39338" s="309"/>
      <c r="J39338" s="309"/>
    </row>
    <row r="39339">
      <c r="B39339" s="309"/>
      <c r="C39339" s="309"/>
      <c r="I39339" s="309"/>
      <c r="J39339" s="309"/>
    </row>
    <row r="39340">
      <c r="B39340" s="309"/>
      <c r="C39340" s="309"/>
      <c r="I39340" s="309"/>
      <c r="J39340" s="309"/>
    </row>
    <row r="39341">
      <c r="B39341" s="309"/>
      <c r="C39341" s="309"/>
      <c r="I39341" s="309"/>
      <c r="J39341" s="309"/>
    </row>
    <row r="39342">
      <c r="B39342" s="309"/>
      <c r="C39342" s="309"/>
      <c r="I39342" s="309"/>
      <c r="J39342" s="309"/>
    </row>
    <row r="39343">
      <c r="B39343" s="309"/>
      <c r="C39343" s="309"/>
      <c r="I39343" s="309"/>
      <c r="J39343" s="309"/>
    </row>
    <row r="39344">
      <c r="B39344" s="309"/>
      <c r="C39344" s="309"/>
      <c r="I39344" s="309"/>
      <c r="J39344" s="309"/>
    </row>
    <row r="39345">
      <c r="B39345" s="309"/>
      <c r="C39345" s="309"/>
      <c r="I39345" s="309"/>
      <c r="J39345" s="309"/>
    </row>
    <row r="39346">
      <c r="B39346" s="309"/>
      <c r="C39346" s="309"/>
      <c r="I39346" s="309"/>
      <c r="J39346" s="309"/>
    </row>
    <row r="39347">
      <c r="B39347" s="309"/>
      <c r="C39347" s="309"/>
      <c r="I39347" s="309"/>
      <c r="J39347" s="309"/>
    </row>
    <row r="39348">
      <c r="B39348" s="309"/>
      <c r="C39348" s="309"/>
      <c r="I39348" s="309"/>
      <c r="J39348" s="309"/>
    </row>
    <row r="39349">
      <c r="B39349" s="309"/>
      <c r="C39349" s="309"/>
      <c r="I39349" s="309"/>
      <c r="J39349" s="309"/>
    </row>
    <row r="39350">
      <c r="B39350" s="309"/>
      <c r="C39350" s="309"/>
      <c r="I39350" s="309"/>
      <c r="J39350" s="309"/>
    </row>
    <row r="39351">
      <c r="B39351" s="309"/>
      <c r="C39351" s="309"/>
      <c r="I39351" s="309"/>
      <c r="J39351" s="309"/>
    </row>
    <row r="39352">
      <c r="B39352" s="309"/>
      <c r="C39352" s="309"/>
      <c r="I39352" s="309"/>
      <c r="J39352" s="309"/>
    </row>
    <row r="39353">
      <c r="B39353" s="309"/>
      <c r="C39353" s="309"/>
      <c r="I39353" s="309"/>
      <c r="J39353" s="309"/>
    </row>
    <row r="39354">
      <c r="B39354" s="309"/>
      <c r="C39354" s="309"/>
      <c r="I39354" s="309"/>
      <c r="J39354" s="309"/>
    </row>
    <row r="39355">
      <c r="B39355" s="309"/>
      <c r="C39355" s="309"/>
      <c r="I39355" s="309"/>
      <c r="J39355" s="309"/>
    </row>
    <row r="39356">
      <c r="B39356" s="309"/>
      <c r="C39356" s="309"/>
      <c r="I39356" s="309"/>
      <c r="J39356" s="309"/>
    </row>
    <row r="39357">
      <c r="B39357" s="309"/>
      <c r="C39357" s="309"/>
      <c r="I39357" s="309"/>
      <c r="J39357" s="309"/>
    </row>
    <row r="39358">
      <c r="B39358" s="309"/>
      <c r="C39358" s="309"/>
      <c r="I39358" s="309"/>
      <c r="J39358" s="309"/>
    </row>
    <row r="39359">
      <c r="B39359" s="309"/>
      <c r="C39359" s="309"/>
      <c r="I39359" s="309"/>
      <c r="J39359" s="309"/>
    </row>
    <row r="39360">
      <c r="B39360" s="309"/>
      <c r="C39360" s="309"/>
      <c r="I39360" s="309"/>
      <c r="J39360" s="309"/>
    </row>
    <row r="39361">
      <c r="B39361" s="309"/>
      <c r="C39361" s="309"/>
      <c r="I39361" s="309"/>
      <c r="J39361" s="309"/>
    </row>
    <row r="39362">
      <c r="B39362" s="309"/>
      <c r="C39362" s="309"/>
      <c r="I39362" s="309"/>
      <c r="J39362" s="309"/>
    </row>
    <row r="39363">
      <c r="B39363" s="309"/>
      <c r="C39363" s="309"/>
      <c r="I39363" s="309"/>
      <c r="J39363" s="309"/>
    </row>
    <row r="39364">
      <c r="B39364" s="309"/>
      <c r="C39364" s="309"/>
      <c r="I39364" s="309"/>
      <c r="J39364" s="309"/>
    </row>
    <row r="39365">
      <c r="B39365" s="309"/>
      <c r="C39365" s="309"/>
      <c r="I39365" s="309"/>
      <c r="J39365" s="309"/>
    </row>
    <row r="39366">
      <c r="B39366" s="309"/>
      <c r="C39366" s="309"/>
      <c r="I39366" s="309"/>
      <c r="J39366" s="309"/>
    </row>
    <row r="39367">
      <c r="B39367" s="309"/>
      <c r="C39367" s="309"/>
      <c r="I39367" s="309"/>
      <c r="J39367" s="309"/>
    </row>
    <row r="39368">
      <c r="B39368" s="309"/>
      <c r="C39368" s="309"/>
      <c r="I39368" s="309"/>
      <c r="J39368" s="309"/>
    </row>
    <row r="39369">
      <c r="B39369" s="309"/>
      <c r="C39369" s="309"/>
      <c r="I39369" s="309"/>
      <c r="J39369" s="309"/>
    </row>
    <row r="39370">
      <c r="B39370" s="309"/>
      <c r="C39370" s="309"/>
      <c r="I39370" s="309"/>
      <c r="J39370" s="309"/>
    </row>
    <row r="39371">
      <c r="B39371" s="309"/>
      <c r="C39371" s="309"/>
      <c r="I39371" s="309"/>
      <c r="J39371" s="309"/>
    </row>
    <row r="39372">
      <c r="B39372" s="309"/>
      <c r="C39372" s="309"/>
      <c r="I39372" s="309"/>
      <c r="J39372" s="309"/>
    </row>
    <row r="39373">
      <c r="B39373" s="309"/>
      <c r="C39373" s="309"/>
      <c r="I39373" s="309"/>
      <c r="J39373" s="309"/>
    </row>
    <row r="39374">
      <c r="B39374" s="309"/>
      <c r="C39374" s="309"/>
      <c r="I39374" s="309"/>
      <c r="J39374" s="309"/>
    </row>
    <row r="39375">
      <c r="B39375" s="309"/>
      <c r="C39375" s="309"/>
      <c r="I39375" s="309"/>
      <c r="J39375" s="309"/>
    </row>
    <row r="39376">
      <c r="B39376" s="309"/>
      <c r="C39376" s="309"/>
      <c r="I39376" s="309"/>
      <c r="J39376" s="309"/>
    </row>
    <row r="39377">
      <c r="B39377" s="309"/>
      <c r="C39377" s="309"/>
      <c r="I39377" s="309"/>
      <c r="J39377" s="309"/>
    </row>
    <row r="39378">
      <c r="B39378" s="309"/>
      <c r="C39378" s="309"/>
      <c r="I39378" s="309"/>
      <c r="J39378" s="309"/>
    </row>
    <row r="39379">
      <c r="B39379" s="309"/>
      <c r="C39379" s="309"/>
      <c r="I39379" s="309"/>
      <c r="J39379" s="309"/>
    </row>
    <row r="39380">
      <c r="B39380" s="309"/>
      <c r="C39380" s="309"/>
      <c r="I39380" s="309"/>
      <c r="J39380" s="309"/>
    </row>
    <row r="39381">
      <c r="B39381" s="309"/>
      <c r="C39381" s="309"/>
      <c r="I39381" s="309"/>
      <c r="J39381" s="309"/>
    </row>
    <row r="39382">
      <c r="B39382" s="309"/>
      <c r="C39382" s="309"/>
      <c r="I39382" s="309"/>
      <c r="J39382" s="309"/>
    </row>
    <row r="39383">
      <c r="B39383" s="309"/>
      <c r="C39383" s="309"/>
      <c r="I39383" s="309"/>
      <c r="J39383" s="309"/>
    </row>
    <row r="39384">
      <c r="B39384" s="309"/>
      <c r="C39384" s="309"/>
      <c r="I39384" s="309"/>
      <c r="J39384" s="309"/>
    </row>
    <row r="39385">
      <c r="B39385" s="309"/>
      <c r="C39385" s="309"/>
      <c r="I39385" s="309"/>
      <c r="J39385" s="309"/>
    </row>
    <row r="39386">
      <c r="B39386" s="309"/>
      <c r="C39386" s="309"/>
      <c r="I39386" s="309"/>
      <c r="J39386" s="309"/>
    </row>
    <row r="39387">
      <c r="B39387" s="309"/>
      <c r="C39387" s="309"/>
      <c r="I39387" s="309"/>
      <c r="J39387" s="309"/>
    </row>
    <row r="39388">
      <c r="B39388" s="309"/>
      <c r="C39388" s="309"/>
      <c r="I39388" s="309"/>
      <c r="J39388" s="309"/>
    </row>
    <row r="39389">
      <c r="B39389" s="309"/>
      <c r="C39389" s="309"/>
      <c r="I39389" s="309"/>
      <c r="J39389" s="309"/>
    </row>
    <row r="39390">
      <c r="B39390" s="309"/>
      <c r="C39390" s="309"/>
      <c r="I39390" s="309"/>
      <c r="J39390" s="309"/>
    </row>
    <row r="39391">
      <c r="B39391" s="309"/>
      <c r="C39391" s="309"/>
      <c r="I39391" s="309"/>
      <c r="J39391" s="309"/>
    </row>
    <row r="39392">
      <c r="B39392" s="309"/>
      <c r="C39392" s="309"/>
      <c r="I39392" s="309"/>
      <c r="J39392" s="309"/>
    </row>
    <row r="39393">
      <c r="B39393" s="309"/>
      <c r="C39393" s="309"/>
      <c r="I39393" s="309"/>
      <c r="J39393" s="309"/>
    </row>
    <row r="39394">
      <c r="B39394" s="309"/>
      <c r="C39394" s="309"/>
      <c r="I39394" s="309"/>
      <c r="J39394" s="309"/>
    </row>
    <row r="39395">
      <c r="B39395" s="309"/>
      <c r="C39395" s="309"/>
      <c r="I39395" s="309"/>
      <c r="J39395" s="309"/>
    </row>
    <row r="39396">
      <c r="B39396" s="309"/>
      <c r="C39396" s="309"/>
      <c r="I39396" s="309"/>
      <c r="J39396" s="309"/>
    </row>
    <row r="39397">
      <c r="B39397" s="309"/>
      <c r="C39397" s="309"/>
      <c r="I39397" s="309"/>
      <c r="J39397" s="309"/>
    </row>
    <row r="39398">
      <c r="B39398" s="309"/>
      <c r="C39398" s="309"/>
      <c r="I39398" s="309"/>
      <c r="J39398" s="309"/>
    </row>
    <row r="39399">
      <c r="B39399" s="309"/>
      <c r="C39399" s="309"/>
      <c r="I39399" s="309"/>
      <c r="J39399" s="309"/>
    </row>
    <row r="39400">
      <c r="B39400" s="309"/>
      <c r="C39400" s="309"/>
      <c r="I39400" s="309"/>
      <c r="J39400" s="309"/>
    </row>
    <row r="39401">
      <c r="B39401" s="309"/>
      <c r="C39401" s="309"/>
      <c r="I39401" s="309"/>
      <c r="J39401" s="309"/>
    </row>
    <row r="39402">
      <c r="B39402" s="309"/>
      <c r="C39402" s="309"/>
      <c r="I39402" s="309"/>
      <c r="J39402" s="309"/>
    </row>
    <row r="39403">
      <c r="B39403" s="309"/>
      <c r="C39403" s="309"/>
      <c r="I39403" s="309"/>
      <c r="J39403" s="309"/>
    </row>
    <row r="39404">
      <c r="B39404" s="309"/>
      <c r="C39404" s="309"/>
      <c r="I39404" s="309"/>
      <c r="J39404" s="309"/>
    </row>
    <row r="39405">
      <c r="B39405" s="309"/>
      <c r="C39405" s="309"/>
      <c r="I39405" s="309"/>
      <c r="J39405" s="309"/>
    </row>
    <row r="39406">
      <c r="B39406" s="309"/>
      <c r="C39406" s="309"/>
      <c r="I39406" s="309"/>
      <c r="J39406" s="309"/>
    </row>
    <row r="39407">
      <c r="B39407" s="309"/>
      <c r="C39407" s="309"/>
      <c r="I39407" s="309"/>
      <c r="J39407" s="309"/>
    </row>
    <row r="39408">
      <c r="B39408" s="309"/>
      <c r="C39408" s="309"/>
      <c r="I39408" s="309"/>
      <c r="J39408" s="309"/>
    </row>
    <row r="39409">
      <c r="B39409" s="309"/>
      <c r="C39409" s="309"/>
      <c r="I39409" s="309"/>
      <c r="J39409" s="309"/>
    </row>
    <row r="39410">
      <c r="B39410" s="309"/>
      <c r="C39410" s="309"/>
      <c r="I39410" s="309"/>
      <c r="J39410" s="309"/>
    </row>
    <row r="39411">
      <c r="B39411" s="309"/>
      <c r="C39411" s="309"/>
      <c r="I39411" s="309"/>
      <c r="J39411" s="309"/>
    </row>
    <row r="39412">
      <c r="B39412" s="309"/>
      <c r="C39412" s="309"/>
      <c r="I39412" s="309"/>
      <c r="J39412" s="309"/>
    </row>
    <row r="39413">
      <c r="B39413" s="309"/>
      <c r="C39413" s="309"/>
      <c r="I39413" s="309"/>
      <c r="J39413" s="309"/>
    </row>
    <row r="39414">
      <c r="B39414" s="309"/>
      <c r="C39414" s="309"/>
      <c r="I39414" s="309"/>
      <c r="J39414" s="309"/>
    </row>
    <row r="39415">
      <c r="B39415" s="309"/>
      <c r="C39415" s="309"/>
      <c r="I39415" s="309"/>
      <c r="J39415" s="309"/>
    </row>
    <row r="39416">
      <c r="B39416" s="309"/>
      <c r="C39416" s="309"/>
      <c r="I39416" s="309"/>
      <c r="J39416" s="309"/>
    </row>
    <row r="39417">
      <c r="B39417" s="309"/>
      <c r="C39417" s="309"/>
      <c r="I39417" s="309"/>
      <c r="J39417" s="309"/>
    </row>
    <row r="39418">
      <c r="B39418" s="309"/>
      <c r="C39418" s="309"/>
      <c r="I39418" s="309"/>
      <c r="J39418" s="309"/>
    </row>
    <row r="39419">
      <c r="B39419" s="309"/>
      <c r="C39419" s="309"/>
      <c r="I39419" s="309"/>
      <c r="J39419" s="309"/>
    </row>
    <row r="39420">
      <c r="B39420" s="309"/>
      <c r="C39420" s="309"/>
      <c r="I39420" s="309"/>
      <c r="J39420" s="309"/>
    </row>
    <row r="39421">
      <c r="B39421" s="309"/>
      <c r="C39421" s="309"/>
      <c r="I39421" s="309"/>
      <c r="J39421" s="309"/>
    </row>
    <row r="39422">
      <c r="B39422" s="309"/>
      <c r="C39422" s="309"/>
      <c r="I39422" s="309"/>
      <c r="J39422" s="309"/>
    </row>
    <row r="39423">
      <c r="B39423" s="309"/>
      <c r="C39423" s="309"/>
      <c r="I39423" s="309"/>
      <c r="J39423" s="309"/>
    </row>
    <row r="39424">
      <c r="B39424" s="309"/>
      <c r="C39424" s="309"/>
      <c r="I39424" s="309"/>
      <c r="J39424" s="309"/>
    </row>
    <row r="39425">
      <c r="B39425" s="309"/>
      <c r="C39425" s="309"/>
      <c r="I39425" s="309"/>
      <c r="J39425" s="309"/>
    </row>
    <row r="39426">
      <c r="B39426" s="309"/>
      <c r="C39426" s="309"/>
      <c r="I39426" s="309"/>
      <c r="J39426" s="309"/>
    </row>
    <row r="39427">
      <c r="B39427" s="309"/>
      <c r="C39427" s="309"/>
      <c r="I39427" s="309"/>
      <c r="J39427" s="309"/>
    </row>
    <row r="39428">
      <c r="B39428" s="309"/>
      <c r="C39428" s="309"/>
      <c r="I39428" s="309"/>
      <c r="J39428" s="309"/>
    </row>
    <row r="39429">
      <c r="B39429" s="309"/>
      <c r="C39429" s="309"/>
      <c r="I39429" s="309"/>
      <c r="J39429" s="309"/>
    </row>
    <row r="39430">
      <c r="B39430" s="309"/>
      <c r="C39430" s="309"/>
      <c r="I39430" s="309"/>
      <c r="J39430" s="309"/>
    </row>
    <row r="39431">
      <c r="B39431" s="309"/>
      <c r="C39431" s="309"/>
      <c r="I39431" s="309"/>
      <c r="J39431" s="309"/>
    </row>
    <row r="39432">
      <c r="B39432" s="309"/>
      <c r="C39432" s="309"/>
      <c r="I39432" s="309"/>
      <c r="J39432" s="309"/>
    </row>
    <row r="39433">
      <c r="B39433" s="309"/>
      <c r="C39433" s="309"/>
      <c r="I39433" s="309"/>
      <c r="J39433" s="309"/>
    </row>
    <row r="39434">
      <c r="B39434" s="309"/>
      <c r="C39434" s="309"/>
      <c r="I39434" s="309"/>
      <c r="J39434" s="309"/>
    </row>
    <row r="39435">
      <c r="B39435" s="309"/>
      <c r="C39435" s="309"/>
      <c r="I39435" s="309"/>
      <c r="J39435" s="309"/>
    </row>
    <row r="39436">
      <c r="B39436" s="309"/>
      <c r="C39436" s="309"/>
      <c r="I39436" s="309"/>
      <c r="J39436" s="309"/>
    </row>
    <row r="39437">
      <c r="B39437" s="309"/>
      <c r="C39437" s="309"/>
      <c r="I39437" s="309"/>
      <c r="J39437" s="309"/>
    </row>
    <row r="39438">
      <c r="B39438" s="309"/>
      <c r="C39438" s="309"/>
      <c r="I39438" s="309"/>
      <c r="J39438" s="309"/>
    </row>
    <row r="39439">
      <c r="B39439" s="309"/>
      <c r="C39439" s="309"/>
      <c r="I39439" s="309"/>
      <c r="J39439" s="309"/>
    </row>
    <row r="39440">
      <c r="B39440" s="309"/>
      <c r="C39440" s="309"/>
      <c r="I39440" s="309"/>
      <c r="J39440" s="309"/>
    </row>
    <row r="39441">
      <c r="B39441" s="309"/>
      <c r="C39441" s="309"/>
      <c r="I39441" s="309"/>
      <c r="J39441" s="309"/>
    </row>
    <row r="39442">
      <c r="B39442" s="309"/>
      <c r="C39442" s="309"/>
      <c r="I39442" s="309"/>
      <c r="J39442" s="309"/>
    </row>
    <row r="39443">
      <c r="B39443" s="309"/>
      <c r="C39443" s="309"/>
      <c r="I39443" s="309"/>
      <c r="J39443" s="309"/>
    </row>
    <row r="39444">
      <c r="B39444" s="309"/>
      <c r="C39444" s="309"/>
      <c r="I39444" s="309"/>
      <c r="J39444" s="309"/>
    </row>
    <row r="39445">
      <c r="B39445" s="309"/>
      <c r="C39445" s="309"/>
      <c r="I39445" s="309"/>
      <c r="J39445" s="309"/>
    </row>
    <row r="39446">
      <c r="B39446" s="309"/>
      <c r="C39446" s="309"/>
      <c r="I39446" s="309"/>
      <c r="J39446" s="309"/>
    </row>
    <row r="39447">
      <c r="B39447" s="309"/>
      <c r="C39447" s="309"/>
      <c r="I39447" s="309"/>
      <c r="J39447" s="309"/>
    </row>
    <row r="39448">
      <c r="B39448" s="309"/>
      <c r="C39448" s="309"/>
      <c r="I39448" s="309"/>
      <c r="J39448" s="309"/>
    </row>
    <row r="39449">
      <c r="B39449" s="309"/>
      <c r="C39449" s="309"/>
      <c r="I39449" s="309"/>
      <c r="J39449" s="309"/>
    </row>
    <row r="39450">
      <c r="B39450" s="309"/>
      <c r="C39450" s="309"/>
      <c r="I39450" s="309"/>
      <c r="J39450" s="309"/>
    </row>
    <row r="39451">
      <c r="B39451" s="309"/>
      <c r="C39451" s="309"/>
      <c r="I39451" s="309"/>
      <c r="J39451" s="309"/>
    </row>
    <row r="39452">
      <c r="B39452" s="309"/>
      <c r="C39452" s="309"/>
      <c r="I39452" s="309"/>
      <c r="J39452" s="309"/>
    </row>
    <row r="39453">
      <c r="B39453" s="309"/>
      <c r="C39453" s="309"/>
      <c r="I39453" s="309"/>
      <c r="J39453" s="309"/>
    </row>
    <row r="39454">
      <c r="B39454" s="309"/>
      <c r="C39454" s="309"/>
      <c r="I39454" s="309"/>
      <c r="J39454" s="309"/>
    </row>
    <row r="39455">
      <c r="B39455" s="309"/>
      <c r="C39455" s="309"/>
      <c r="I39455" s="309"/>
      <c r="J39455" s="309"/>
    </row>
    <row r="39456">
      <c r="B39456" s="309"/>
      <c r="C39456" s="309"/>
      <c r="I39456" s="309"/>
      <c r="J39456" s="309"/>
    </row>
    <row r="39457">
      <c r="B39457" s="309"/>
      <c r="C39457" s="309"/>
      <c r="I39457" s="309"/>
      <c r="J39457" s="309"/>
    </row>
    <row r="39458">
      <c r="B39458" s="309"/>
      <c r="C39458" s="309"/>
      <c r="I39458" s="309"/>
      <c r="J39458" s="309"/>
    </row>
    <row r="39459">
      <c r="B39459" s="309"/>
      <c r="C39459" s="309"/>
      <c r="I39459" s="309"/>
      <c r="J39459" s="309"/>
    </row>
    <row r="39460">
      <c r="B39460" s="309"/>
      <c r="C39460" s="309"/>
      <c r="I39460" s="309"/>
      <c r="J39460" s="309"/>
    </row>
    <row r="39461">
      <c r="B39461" s="309"/>
      <c r="C39461" s="309"/>
      <c r="I39461" s="309"/>
      <c r="J39461" s="309"/>
    </row>
    <row r="39462">
      <c r="B39462" s="309"/>
      <c r="C39462" s="309"/>
      <c r="I39462" s="309"/>
      <c r="J39462" s="309"/>
    </row>
    <row r="39463">
      <c r="B39463" s="309"/>
      <c r="C39463" s="309"/>
      <c r="I39463" s="309"/>
      <c r="J39463" s="309"/>
    </row>
    <row r="39464">
      <c r="B39464" s="309"/>
      <c r="C39464" s="309"/>
      <c r="I39464" s="309"/>
      <c r="J39464" s="309"/>
    </row>
    <row r="39465">
      <c r="B39465" s="309"/>
      <c r="C39465" s="309"/>
      <c r="I39465" s="309"/>
      <c r="J39465" s="309"/>
    </row>
    <row r="39466">
      <c r="B39466" s="309"/>
      <c r="C39466" s="309"/>
      <c r="I39466" s="309"/>
      <c r="J39466" s="309"/>
    </row>
    <row r="39467">
      <c r="B39467" s="309"/>
      <c r="C39467" s="309"/>
      <c r="I39467" s="309"/>
      <c r="J39467" s="309"/>
    </row>
    <row r="39468">
      <c r="B39468" s="309"/>
      <c r="C39468" s="309"/>
      <c r="I39468" s="309"/>
      <c r="J39468" s="309"/>
    </row>
    <row r="39469">
      <c r="B39469" s="309"/>
      <c r="C39469" s="309"/>
      <c r="I39469" s="309"/>
      <c r="J39469" s="309"/>
    </row>
    <row r="39470">
      <c r="B39470" s="309"/>
      <c r="C39470" s="309"/>
      <c r="I39470" s="309"/>
      <c r="J39470" s="309"/>
    </row>
    <row r="39471">
      <c r="B39471" s="309"/>
      <c r="C39471" s="309"/>
      <c r="I39471" s="309"/>
      <c r="J39471" s="309"/>
    </row>
    <row r="39472">
      <c r="B39472" s="309"/>
      <c r="C39472" s="309"/>
      <c r="I39472" s="309"/>
      <c r="J39472" s="309"/>
    </row>
    <row r="39473">
      <c r="B39473" s="309"/>
      <c r="C39473" s="309"/>
      <c r="I39473" s="309"/>
      <c r="J39473" s="309"/>
    </row>
    <row r="39474">
      <c r="B39474" s="309"/>
      <c r="C39474" s="309"/>
      <c r="I39474" s="309"/>
      <c r="J39474" s="309"/>
    </row>
    <row r="39475">
      <c r="B39475" s="309"/>
      <c r="C39475" s="309"/>
      <c r="I39475" s="309"/>
      <c r="J39475" s="309"/>
    </row>
    <row r="39476">
      <c r="B39476" s="309"/>
      <c r="C39476" s="309"/>
      <c r="I39476" s="309"/>
      <c r="J39476" s="309"/>
    </row>
    <row r="39477">
      <c r="B39477" s="309"/>
      <c r="C39477" s="309"/>
      <c r="I39477" s="309"/>
      <c r="J39477" s="309"/>
    </row>
    <row r="39478">
      <c r="B39478" s="309"/>
      <c r="C39478" s="309"/>
      <c r="I39478" s="309"/>
      <c r="J39478" s="309"/>
    </row>
    <row r="39479">
      <c r="B39479" s="309"/>
      <c r="C39479" s="309"/>
      <c r="I39479" s="309"/>
      <c r="J39479" s="309"/>
    </row>
    <row r="39480">
      <c r="B39480" s="309"/>
      <c r="C39480" s="309"/>
      <c r="I39480" s="309"/>
      <c r="J39480" s="309"/>
    </row>
    <row r="39481">
      <c r="B39481" s="309"/>
      <c r="C39481" s="309"/>
      <c r="I39481" s="309"/>
      <c r="J39481" s="309"/>
    </row>
    <row r="39482">
      <c r="B39482" s="309"/>
      <c r="C39482" s="309"/>
      <c r="I39482" s="309"/>
      <c r="J39482" s="309"/>
    </row>
    <row r="39483">
      <c r="B39483" s="309"/>
      <c r="C39483" s="309"/>
      <c r="I39483" s="309"/>
      <c r="J39483" s="309"/>
    </row>
    <row r="39484">
      <c r="B39484" s="309"/>
      <c r="C39484" s="309"/>
      <c r="I39484" s="309"/>
      <c r="J39484" s="309"/>
    </row>
    <row r="39485">
      <c r="B39485" s="309"/>
      <c r="C39485" s="309"/>
      <c r="I39485" s="309"/>
      <c r="J39485" s="309"/>
    </row>
    <row r="39486">
      <c r="B39486" s="309"/>
      <c r="C39486" s="309"/>
      <c r="I39486" s="309"/>
      <c r="J39486" s="309"/>
    </row>
    <row r="39487">
      <c r="B39487" s="309"/>
      <c r="C39487" s="309"/>
      <c r="I39487" s="309"/>
      <c r="J39487" s="309"/>
    </row>
    <row r="39488">
      <c r="B39488" s="309"/>
      <c r="C39488" s="309"/>
      <c r="I39488" s="309"/>
      <c r="J39488" s="309"/>
    </row>
    <row r="39489">
      <c r="B39489" s="309"/>
      <c r="C39489" s="309"/>
      <c r="I39489" s="309"/>
      <c r="J39489" s="309"/>
    </row>
    <row r="39490">
      <c r="B39490" s="309"/>
      <c r="C39490" s="309"/>
      <c r="I39490" s="309"/>
      <c r="J39490" s="309"/>
    </row>
    <row r="39491">
      <c r="B39491" s="309"/>
      <c r="C39491" s="309"/>
      <c r="I39491" s="309"/>
      <c r="J39491" s="309"/>
    </row>
    <row r="39492">
      <c r="B39492" s="309"/>
      <c r="C39492" s="309"/>
      <c r="I39492" s="309"/>
      <c r="J39492" s="309"/>
    </row>
    <row r="39493">
      <c r="B39493" s="309"/>
      <c r="C39493" s="309"/>
      <c r="I39493" s="309"/>
      <c r="J39493" s="309"/>
    </row>
    <row r="39494">
      <c r="B39494" s="309"/>
      <c r="C39494" s="309"/>
      <c r="I39494" s="309"/>
      <c r="J39494" s="309"/>
    </row>
    <row r="39495">
      <c r="B39495" s="309"/>
      <c r="C39495" s="309"/>
      <c r="I39495" s="309"/>
      <c r="J39495" s="309"/>
    </row>
    <row r="39496">
      <c r="B39496" s="309"/>
      <c r="C39496" s="309"/>
      <c r="I39496" s="309"/>
      <c r="J39496" s="309"/>
    </row>
    <row r="39497">
      <c r="B39497" s="309"/>
      <c r="C39497" s="309"/>
      <c r="I39497" s="309"/>
      <c r="J39497" s="309"/>
    </row>
    <row r="39498">
      <c r="B39498" s="309"/>
      <c r="C39498" s="309"/>
      <c r="I39498" s="309"/>
      <c r="J39498" s="309"/>
    </row>
    <row r="39499">
      <c r="B39499" s="309"/>
      <c r="C39499" s="309"/>
      <c r="I39499" s="309"/>
      <c r="J39499" s="309"/>
    </row>
    <row r="39500">
      <c r="B39500" s="309"/>
      <c r="C39500" s="309"/>
      <c r="I39500" s="309"/>
      <c r="J39500" s="309"/>
    </row>
    <row r="39501">
      <c r="B39501" s="309"/>
      <c r="C39501" s="309"/>
      <c r="I39501" s="309"/>
      <c r="J39501" s="309"/>
    </row>
    <row r="39502">
      <c r="B39502" s="309"/>
      <c r="C39502" s="309"/>
      <c r="I39502" s="309"/>
      <c r="J39502" s="309"/>
    </row>
    <row r="39503">
      <c r="B39503" s="309"/>
      <c r="C39503" s="309"/>
      <c r="I39503" s="309"/>
      <c r="J39503" s="309"/>
    </row>
    <row r="39504">
      <c r="B39504" s="309"/>
      <c r="C39504" s="309"/>
      <c r="I39504" s="309"/>
      <c r="J39504" s="309"/>
    </row>
    <row r="39505">
      <c r="B39505" s="309"/>
      <c r="C39505" s="309"/>
      <c r="I39505" s="309"/>
      <c r="J39505" s="309"/>
    </row>
    <row r="39506">
      <c r="B39506" s="309"/>
      <c r="C39506" s="309"/>
      <c r="I39506" s="309"/>
      <c r="J39506" s="309"/>
    </row>
    <row r="39507">
      <c r="B39507" s="309"/>
      <c r="C39507" s="309"/>
      <c r="I39507" s="309"/>
      <c r="J39507" s="309"/>
    </row>
    <row r="39508">
      <c r="B39508" s="309"/>
      <c r="C39508" s="309"/>
      <c r="I39508" s="309"/>
      <c r="J39508" s="309"/>
    </row>
    <row r="39509">
      <c r="B39509" s="309"/>
      <c r="C39509" s="309"/>
      <c r="I39509" s="309"/>
      <c r="J39509" s="309"/>
    </row>
    <row r="39510">
      <c r="B39510" s="309"/>
      <c r="C39510" s="309"/>
      <c r="I39510" s="309"/>
      <c r="J39510" s="309"/>
    </row>
    <row r="39511">
      <c r="B39511" s="309"/>
      <c r="C39511" s="309"/>
      <c r="I39511" s="309"/>
      <c r="J39511" s="309"/>
    </row>
    <row r="39512">
      <c r="B39512" s="309"/>
      <c r="C39512" s="309"/>
      <c r="I39512" s="309"/>
      <c r="J39512" s="309"/>
    </row>
    <row r="39513">
      <c r="B39513" s="309"/>
      <c r="C39513" s="309"/>
      <c r="I39513" s="309"/>
      <c r="J39513" s="309"/>
    </row>
    <row r="39514">
      <c r="B39514" s="309"/>
      <c r="C39514" s="309"/>
      <c r="I39514" s="309"/>
      <c r="J39514" s="309"/>
    </row>
    <row r="39515">
      <c r="B39515" s="309"/>
      <c r="C39515" s="309"/>
      <c r="I39515" s="309"/>
      <c r="J39515" s="309"/>
    </row>
    <row r="39516">
      <c r="B39516" s="309"/>
      <c r="C39516" s="309"/>
      <c r="I39516" s="309"/>
      <c r="J39516" s="309"/>
    </row>
    <row r="39517">
      <c r="B39517" s="309"/>
      <c r="C39517" s="309"/>
      <c r="I39517" s="309"/>
      <c r="J39517" s="309"/>
    </row>
    <row r="39518">
      <c r="B39518" s="309"/>
      <c r="C39518" s="309"/>
      <c r="I39518" s="309"/>
      <c r="J39518" s="309"/>
    </row>
    <row r="39519">
      <c r="B39519" s="309"/>
      <c r="C39519" s="309"/>
      <c r="I39519" s="309"/>
      <c r="J39519" s="309"/>
    </row>
    <row r="39520">
      <c r="B39520" s="309"/>
      <c r="C39520" s="309"/>
      <c r="I39520" s="309"/>
      <c r="J39520" s="309"/>
    </row>
    <row r="39521">
      <c r="B39521" s="309"/>
      <c r="C39521" s="309"/>
      <c r="I39521" s="309"/>
      <c r="J39521" s="309"/>
    </row>
    <row r="39522">
      <c r="B39522" s="309"/>
      <c r="C39522" s="309"/>
      <c r="I39522" s="309"/>
      <c r="J39522" s="309"/>
    </row>
    <row r="39523">
      <c r="B39523" s="309"/>
      <c r="C39523" s="309"/>
      <c r="I39523" s="309"/>
      <c r="J39523" s="309"/>
    </row>
    <row r="39524">
      <c r="B39524" s="309"/>
      <c r="C39524" s="309"/>
      <c r="I39524" s="309"/>
      <c r="J39524" s="309"/>
    </row>
    <row r="39525">
      <c r="B39525" s="309"/>
      <c r="C39525" s="309"/>
      <c r="I39525" s="309"/>
      <c r="J39525" s="309"/>
    </row>
    <row r="39526">
      <c r="B39526" s="309"/>
      <c r="C39526" s="309"/>
      <c r="I39526" s="309"/>
      <c r="J39526" s="309"/>
    </row>
    <row r="39527">
      <c r="B39527" s="309"/>
      <c r="C39527" s="309"/>
      <c r="I39527" s="309"/>
      <c r="J39527" s="309"/>
    </row>
    <row r="39528">
      <c r="B39528" s="309"/>
      <c r="C39528" s="309"/>
      <c r="I39528" s="309"/>
      <c r="J39528" s="309"/>
    </row>
    <row r="39529">
      <c r="B39529" s="309"/>
      <c r="C39529" s="309"/>
      <c r="I39529" s="309"/>
      <c r="J39529" s="309"/>
    </row>
    <row r="39530">
      <c r="B39530" s="309"/>
      <c r="C39530" s="309"/>
      <c r="I39530" s="309"/>
      <c r="J39530" s="309"/>
    </row>
    <row r="39531">
      <c r="B39531" s="309"/>
      <c r="C39531" s="309"/>
      <c r="I39531" s="309"/>
      <c r="J39531" s="309"/>
    </row>
    <row r="39532">
      <c r="B39532" s="309"/>
      <c r="C39532" s="309"/>
      <c r="I39532" s="309"/>
      <c r="J39532" s="309"/>
    </row>
    <row r="39533">
      <c r="B39533" s="309"/>
      <c r="C39533" s="309"/>
      <c r="I39533" s="309"/>
      <c r="J39533" s="309"/>
    </row>
    <row r="39534">
      <c r="B39534" s="309"/>
      <c r="C39534" s="309"/>
      <c r="I39534" s="309"/>
      <c r="J39534" s="309"/>
    </row>
    <row r="39535">
      <c r="B39535" s="309"/>
      <c r="C39535" s="309"/>
      <c r="I39535" s="309"/>
      <c r="J39535" s="309"/>
    </row>
    <row r="39536">
      <c r="B39536" s="309"/>
      <c r="C39536" s="309"/>
      <c r="I39536" s="309"/>
      <c r="J39536" s="309"/>
    </row>
    <row r="39537">
      <c r="B39537" s="309"/>
      <c r="C39537" s="309"/>
      <c r="I39537" s="309"/>
      <c r="J39537" s="309"/>
    </row>
    <row r="39538">
      <c r="B39538" s="309"/>
      <c r="C39538" s="309"/>
      <c r="I39538" s="309"/>
      <c r="J39538" s="309"/>
    </row>
    <row r="39539">
      <c r="B39539" s="309"/>
      <c r="C39539" s="309"/>
      <c r="I39539" s="309"/>
      <c r="J39539" s="309"/>
    </row>
    <row r="39540">
      <c r="B39540" s="309"/>
      <c r="C39540" s="309"/>
      <c r="I39540" s="309"/>
      <c r="J39540" s="309"/>
    </row>
    <row r="39541">
      <c r="B39541" s="309"/>
      <c r="C39541" s="309"/>
      <c r="I39541" s="309"/>
      <c r="J39541" s="309"/>
    </row>
    <row r="39542">
      <c r="B39542" s="309"/>
      <c r="C39542" s="309"/>
      <c r="I39542" s="309"/>
      <c r="J39542" s="309"/>
    </row>
    <row r="39543">
      <c r="B39543" s="309"/>
      <c r="C39543" s="309"/>
      <c r="I39543" s="309"/>
      <c r="J39543" s="309"/>
    </row>
    <row r="39544">
      <c r="B39544" s="309"/>
      <c r="C39544" s="309"/>
      <c r="I39544" s="309"/>
      <c r="J39544" s="309"/>
    </row>
    <row r="39545">
      <c r="B39545" s="309"/>
      <c r="C39545" s="309"/>
      <c r="I39545" s="309"/>
      <c r="J39545" s="309"/>
    </row>
    <row r="39546">
      <c r="B39546" s="309"/>
      <c r="C39546" s="309"/>
      <c r="I39546" s="309"/>
      <c r="J39546" s="309"/>
    </row>
    <row r="39547">
      <c r="B39547" s="309"/>
      <c r="C39547" s="309"/>
      <c r="I39547" s="309"/>
      <c r="J39547" s="309"/>
    </row>
    <row r="39548">
      <c r="B39548" s="309"/>
      <c r="C39548" s="309"/>
      <c r="I39548" s="309"/>
      <c r="J39548" s="309"/>
    </row>
    <row r="39549">
      <c r="B39549" s="309"/>
      <c r="C39549" s="309"/>
      <c r="I39549" s="309"/>
      <c r="J39549" s="309"/>
    </row>
    <row r="39550">
      <c r="B39550" s="309"/>
      <c r="C39550" s="309"/>
      <c r="I39550" s="309"/>
      <c r="J39550" s="309"/>
    </row>
    <row r="39551">
      <c r="B39551" s="309"/>
      <c r="C39551" s="309"/>
      <c r="I39551" s="309"/>
      <c r="J39551" s="309"/>
    </row>
    <row r="39552">
      <c r="B39552" s="309"/>
      <c r="C39552" s="309"/>
      <c r="I39552" s="309"/>
      <c r="J39552" s="309"/>
    </row>
    <row r="39553">
      <c r="B39553" s="309"/>
      <c r="C39553" s="309"/>
      <c r="I39553" s="309"/>
      <c r="J39553" s="309"/>
    </row>
    <row r="39554">
      <c r="B39554" s="309"/>
      <c r="C39554" s="309"/>
      <c r="I39554" s="309"/>
      <c r="J39554" s="309"/>
    </row>
    <row r="39555">
      <c r="B39555" s="309"/>
      <c r="C39555" s="309"/>
      <c r="I39555" s="309"/>
      <c r="J39555" s="309"/>
    </row>
    <row r="39556">
      <c r="B39556" s="309"/>
      <c r="C39556" s="309"/>
      <c r="I39556" s="309"/>
      <c r="J39556" s="309"/>
    </row>
    <row r="39557">
      <c r="B39557" s="309"/>
      <c r="C39557" s="309"/>
      <c r="I39557" s="309"/>
      <c r="J39557" s="309"/>
    </row>
    <row r="39558">
      <c r="B39558" s="309"/>
      <c r="C39558" s="309"/>
      <c r="I39558" s="309"/>
      <c r="J39558" s="309"/>
    </row>
    <row r="39559">
      <c r="B39559" s="309"/>
      <c r="C39559" s="309"/>
      <c r="I39559" s="309"/>
      <c r="J39559" s="309"/>
    </row>
    <row r="39560">
      <c r="B39560" s="309"/>
      <c r="C39560" s="309"/>
      <c r="I39560" s="309"/>
      <c r="J39560" s="309"/>
    </row>
    <row r="39561">
      <c r="B39561" s="309"/>
      <c r="C39561" s="309"/>
      <c r="I39561" s="309"/>
      <c r="J39561" s="309"/>
    </row>
    <row r="39562">
      <c r="B39562" s="309"/>
      <c r="C39562" s="309"/>
      <c r="I39562" s="309"/>
      <c r="J39562" s="309"/>
    </row>
    <row r="39563">
      <c r="B39563" s="309"/>
      <c r="C39563" s="309"/>
      <c r="I39563" s="309"/>
      <c r="J39563" s="309"/>
    </row>
    <row r="39564">
      <c r="B39564" s="309"/>
      <c r="C39564" s="309"/>
      <c r="I39564" s="309"/>
      <c r="J39564" s="309"/>
    </row>
    <row r="39565">
      <c r="B39565" s="309"/>
      <c r="C39565" s="309"/>
      <c r="I39565" s="309"/>
      <c r="J39565" s="309"/>
    </row>
    <row r="39566">
      <c r="B39566" s="309"/>
      <c r="C39566" s="309"/>
      <c r="I39566" s="309"/>
      <c r="J39566" s="309"/>
    </row>
    <row r="39567">
      <c r="B39567" s="309"/>
      <c r="C39567" s="309"/>
      <c r="I39567" s="309"/>
      <c r="J39567" s="309"/>
    </row>
    <row r="39568">
      <c r="B39568" s="309"/>
      <c r="C39568" s="309"/>
      <c r="I39568" s="309"/>
      <c r="J39568" s="309"/>
    </row>
    <row r="39569">
      <c r="B39569" s="309"/>
      <c r="C39569" s="309"/>
      <c r="I39569" s="309"/>
      <c r="J39569" s="309"/>
    </row>
    <row r="39570">
      <c r="B39570" s="309"/>
      <c r="C39570" s="309"/>
      <c r="I39570" s="309"/>
      <c r="J39570" s="309"/>
    </row>
    <row r="39571">
      <c r="B39571" s="309"/>
      <c r="C39571" s="309"/>
      <c r="I39571" s="309"/>
      <c r="J39571" s="309"/>
    </row>
    <row r="39572">
      <c r="B39572" s="309"/>
      <c r="C39572" s="309"/>
      <c r="I39572" s="309"/>
      <c r="J39572" s="309"/>
    </row>
    <row r="39573">
      <c r="B39573" s="309"/>
      <c r="C39573" s="309"/>
      <c r="I39573" s="309"/>
      <c r="J39573" s="309"/>
    </row>
    <row r="39574">
      <c r="B39574" s="309"/>
      <c r="C39574" s="309"/>
      <c r="I39574" s="309"/>
      <c r="J39574" s="309"/>
    </row>
    <row r="39575">
      <c r="B39575" s="309"/>
      <c r="C39575" s="309"/>
      <c r="I39575" s="309"/>
      <c r="J39575" s="309"/>
    </row>
    <row r="39576">
      <c r="B39576" s="309"/>
      <c r="C39576" s="309"/>
      <c r="I39576" s="309"/>
      <c r="J39576" s="309"/>
    </row>
    <row r="39577">
      <c r="B39577" s="309"/>
      <c r="C39577" s="309"/>
      <c r="I39577" s="309"/>
      <c r="J39577" s="309"/>
    </row>
    <row r="39578">
      <c r="B39578" s="309"/>
      <c r="C39578" s="309"/>
      <c r="I39578" s="309"/>
      <c r="J39578" s="309"/>
    </row>
    <row r="39579">
      <c r="B39579" s="309"/>
      <c r="C39579" s="309"/>
      <c r="I39579" s="309"/>
      <c r="J39579" s="309"/>
    </row>
    <row r="39580">
      <c r="B39580" s="309"/>
      <c r="C39580" s="309"/>
      <c r="I39580" s="309"/>
      <c r="J39580" s="309"/>
    </row>
    <row r="39581">
      <c r="B39581" s="309"/>
      <c r="C39581" s="309"/>
      <c r="I39581" s="309"/>
      <c r="J39581" s="309"/>
    </row>
    <row r="39582">
      <c r="B39582" s="309"/>
      <c r="C39582" s="309"/>
      <c r="I39582" s="309"/>
      <c r="J39582" s="309"/>
    </row>
    <row r="39583">
      <c r="B39583" s="309"/>
      <c r="C39583" s="309"/>
      <c r="I39583" s="309"/>
      <c r="J39583" s="309"/>
    </row>
    <row r="39584">
      <c r="B39584" s="309"/>
      <c r="C39584" s="309"/>
      <c r="I39584" s="309"/>
      <c r="J39584" s="309"/>
    </row>
    <row r="39585">
      <c r="B39585" s="309"/>
      <c r="C39585" s="309"/>
      <c r="I39585" s="309"/>
      <c r="J39585" s="309"/>
    </row>
    <row r="39586">
      <c r="B39586" s="309"/>
      <c r="C39586" s="309"/>
      <c r="I39586" s="309"/>
      <c r="J39586" s="309"/>
    </row>
    <row r="39587">
      <c r="B39587" s="309"/>
      <c r="C39587" s="309"/>
      <c r="I39587" s="309"/>
      <c r="J39587" s="309"/>
    </row>
    <row r="39588">
      <c r="B39588" s="309"/>
      <c r="C39588" s="309"/>
      <c r="I39588" s="309"/>
      <c r="J39588" s="309"/>
    </row>
    <row r="39589">
      <c r="B39589" s="309"/>
      <c r="C39589" s="309"/>
      <c r="I39589" s="309"/>
      <c r="J39589" s="309"/>
    </row>
    <row r="39590">
      <c r="B39590" s="309"/>
      <c r="C39590" s="309"/>
      <c r="I39590" s="309"/>
      <c r="J39590" s="309"/>
    </row>
    <row r="39591">
      <c r="B39591" s="309"/>
      <c r="C39591" s="309"/>
      <c r="I39591" s="309"/>
      <c r="J39591" s="309"/>
    </row>
    <row r="39592">
      <c r="B39592" s="309"/>
      <c r="C39592" s="309"/>
      <c r="I39592" s="309"/>
      <c r="J39592" s="309"/>
    </row>
    <row r="39593">
      <c r="B39593" s="309"/>
      <c r="C39593" s="309"/>
      <c r="I39593" s="309"/>
      <c r="J39593" s="309"/>
    </row>
    <row r="39594">
      <c r="B39594" s="309"/>
      <c r="C39594" s="309"/>
      <c r="I39594" s="309"/>
      <c r="J39594" s="309"/>
    </row>
    <row r="39595">
      <c r="B39595" s="309"/>
      <c r="C39595" s="309"/>
      <c r="I39595" s="309"/>
      <c r="J39595" s="309"/>
    </row>
    <row r="39596">
      <c r="B39596" s="309"/>
      <c r="C39596" s="309"/>
      <c r="I39596" s="309"/>
      <c r="J39596" s="309"/>
    </row>
    <row r="39597">
      <c r="B39597" s="309"/>
      <c r="C39597" s="309"/>
      <c r="I39597" s="309"/>
      <c r="J39597" s="309"/>
    </row>
    <row r="39598">
      <c r="B39598" s="309"/>
      <c r="C39598" s="309"/>
      <c r="I39598" s="309"/>
      <c r="J39598" s="309"/>
    </row>
    <row r="39599">
      <c r="B39599" s="309"/>
      <c r="C39599" s="309"/>
      <c r="I39599" s="309"/>
      <c r="J39599" s="309"/>
    </row>
    <row r="39600">
      <c r="B39600" s="309"/>
      <c r="C39600" s="309"/>
      <c r="I39600" s="309"/>
      <c r="J39600" s="309"/>
    </row>
    <row r="39601">
      <c r="B39601" s="309"/>
      <c r="C39601" s="309"/>
      <c r="I39601" s="309"/>
      <c r="J39601" s="309"/>
    </row>
    <row r="39602">
      <c r="B39602" s="309"/>
      <c r="C39602" s="309"/>
      <c r="I39602" s="309"/>
      <c r="J39602" s="309"/>
    </row>
    <row r="39603">
      <c r="B39603" s="309"/>
      <c r="C39603" s="309"/>
      <c r="I39603" s="309"/>
      <c r="J39603" s="309"/>
    </row>
    <row r="39604">
      <c r="B39604" s="309"/>
      <c r="C39604" s="309"/>
      <c r="I39604" s="309"/>
      <c r="J39604" s="309"/>
    </row>
    <row r="39605">
      <c r="B39605" s="309"/>
      <c r="C39605" s="309"/>
      <c r="I39605" s="309"/>
      <c r="J39605" s="309"/>
    </row>
    <row r="39606">
      <c r="B39606" s="309"/>
      <c r="C39606" s="309"/>
      <c r="I39606" s="309"/>
      <c r="J39606" s="309"/>
    </row>
    <row r="39607">
      <c r="B39607" s="309"/>
      <c r="C39607" s="309"/>
      <c r="I39607" s="309"/>
      <c r="J39607" s="309"/>
    </row>
    <row r="39608">
      <c r="B39608" s="309"/>
      <c r="C39608" s="309"/>
      <c r="I39608" s="309"/>
      <c r="J39608" s="309"/>
    </row>
    <row r="39609">
      <c r="B39609" s="309"/>
      <c r="C39609" s="309"/>
      <c r="I39609" s="309"/>
      <c r="J39609" s="309"/>
    </row>
    <row r="39610">
      <c r="B39610" s="309"/>
      <c r="C39610" s="309"/>
      <c r="I39610" s="309"/>
      <c r="J39610" s="309"/>
    </row>
    <row r="39611">
      <c r="B39611" s="309"/>
      <c r="C39611" s="309"/>
      <c r="I39611" s="309"/>
      <c r="J39611" s="309"/>
    </row>
    <row r="39612">
      <c r="B39612" s="309"/>
      <c r="C39612" s="309"/>
      <c r="I39612" s="309"/>
      <c r="J39612" s="309"/>
    </row>
    <row r="39613">
      <c r="B39613" s="309"/>
      <c r="C39613" s="309"/>
      <c r="I39613" s="309"/>
      <c r="J39613" s="309"/>
    </row>
    <row r="39614">
      <c r="B39614" s="309"/>
      <c r="C39614" s="309"/>
      <c r="I39614" s="309"/>
      <c r="J39614" s="309"/>
    </row>
    <row r="39615">
      <c r="B39615" s="309"/>
      <c r="C39615" s="309"/>
      <c r="I39615" s="309"/>
      <c r="J39615" s="309"/>
    </row>
    <row r="39616">
      <c r="B39616" s="309"/>
      <c r="C39616" s="309"/>
      <c r="I39616" s="309"/>
      <c r="J39616" s="309"/>
    </row>
    <row r="39617">
      <c r="B39617" s="309"/>
      <c r="C39617" s="309"/>
      <c r="I39617" s="309"/>
      <c r="J39617" s="309"/>
    </row>
    <row r="39618">
      <c r="B39618" s="309"/>
      <c r="C39618" s="309"/>
      <c r="I39618" s="309"/>
      <c r="J39618" s="309"/>
    </row>
    <row r="39619">
      <c r="B39619" s="309"/>
      <c r="C39619" s="309"/>
      <c r="I39619" s="309"/>
      <c r="J39619" s="309"/>
    </row>
    <row r="39620">
      <c r="B39620" s="309"/>
      <c r="C39620" s="309"/>
      <c r="I39620" s="309"/>
      <c r="J39620" s="309"/>
    </row>
    <row r="39621">
      <c r="B39621" s="309"/>
      <c r="C39621" s="309"/>
      <c r="I39621" s="309"/>
      <c r="J39621" s="309"/>
    </row>
    <row r="39622">
      <c r="B39622" s="309"/>
      <c r="C39622" s="309"/>
      <c r="I39622" s="309"/>
      <c r="J39622" s="309"/>
    </row>
    <row r="39623">
      <c r="B39623" s="309"/>
      <c r="C39623" s="309"/>
      <c r="I39623" s="309"/>
      <c r="J39623" s="309"/>
    </row>
    <row r="39624">
      <c r="B39624" s="309"/>
      <c r="C39624" s="309"/>
      <c r="I39624" s="309"/>
      <c r="J39624" s="309"/>
    </row>
    <row r="39625">
      <c r="B39625" s="309"/>
      <c r="C39625" s="309"/>
      <c r="I39625" s="309"/>
      <c r="J39625" s="309"/>
    </row>
    <row r="39626">
      <c r="B39626" s="309"/>
      <c r="C39626" s="309"/>
      <c r="I39626" s="309"/>
      <c r="J39626" s="309"/>
    </row>
    <row r="39627">
      <c r="B39627" s="309"/>
      <c r="C39627" s="309"/>
      <c r="I39627" s="309"/>
      <c r="J39627" s="309"/>
    </row>
    <row r="39628">
      <c r="B39628" s="309"/>
      <c r="C39628" s="309"/>
      <c r="I39628" s="309"/>
      <c r="J39628" s="309"/>
    </row>
    <row r="39629">
      <c r="B39629" s="309"/>
      <c r="C39629" s="309"/>
      <c r="I39629" s="309"/>
      <c r="J39629" s="309"/>
    </row>
    <row r="39630">
      <c r="B39630" s="309"/>
      <c r="C39630" s="309"/>
      <c r="I39630" s="309"/>
      <c r="J39630" s="309"/>
    </row>
    <row r="39631">
      <c r="B39631" s="309"/>
      <c r="C39631" s="309"/>
      <c r="I39631" s="309"/>
      <c r="J39631" s="309"/>
    </row>
    <row r="39632">
      <c r="B39632" s="309"/>
      <c r="C39632" s="309"/>
      <c r="I39632" s="309"/>
      <c r="J39632" s="309"/>
    </row>
    <row r="39633">
      <c r="B39633" s="309"/>
      <c r="C39633" s="309"/>
      <c r="I39633" s="309"/>
      <c r="J39633" s="309"/>
    </row>
    <row r="39634">
      <c r="B39634" s="309"/>
      <c r="C39634" s="309"/>
      <c r="I39634" s="309"/>
      <c r="J39634" s="309"/>
    </row>
    <row r="39635">
      <c r="B39635" s="309"/>
      <c r="C39635" s="309"/>
      <c r="I39635" s="309"/>
      <c r="J39635" s="309"/>
    </row>
    <row r="39636">
      <c r="B39636" s="309"/>
      <c r="C39636" s="309"/>
      <c r="I39636" s="309"/>
      <c r="J39636" s="309"/>
    </row>
    <row r="39637">
      <c r="B39637" s="309"/>
      <c r="C39637" s="309"/>
      <c r="I39637" s="309"/>
      <c r="J39637" s="309"/>
    </row>
    <row r="39638">
      <c r="B39638" s="309"/>
      <c r="C39638" s="309"/>
      <c r="I39638" s="309"/>
      <c r="J39638" s="309"/>
    </row>
    <row r="39639">
      <c r="B39639" s="309"/>
      <c r="C39639" s="309"/>
      <c r="I39639" s="309"/>
      <c r="J39639" s="309"/>
    </row>
    <row r="39640">
      <c r="B39640" s="309"/>
      <c r="C39640" s="309"/>
      <c r="I39640" s="309"/>
      <c r="J39640" s="309"/>
    </row>
    <row r="39641">
      <c r="B39641" s="309"/>
      <c r="C39641" s="309"/>
      <c r="I39641" s="309"/>
      <c r="J39641" s="309"/>
    </row>
    <row r="39642">
      <c r="B39642" s="309"/>
      <c r="C39642" s="309"/>
      <c r="I39642" s="309"/>
      <c r="J39642" s="309"/>
    </row>
    <row r="39643">
      <c r="B39643" s="309"/>
      <c r="C39643" s="309"/>
      <c r="I39643" s="309"/>
      <c r="J39643" s="309"/>
    </row>
    <row r="39644">
      <c r="B39644" s="309"/>
      <c r="C39644" s="309"/>
      <c r="I39644" s="309"/>
      <c r="J39644" s="309"/>
    </row>
    <row r="39645">
      <c r="B39645" s="309"/>
      <c r="C39645" s="309"/>
      <c r="I39645" s="309"/>
      <c r="J39645" s="309"/>
    </row>
    <row r="39646">
      <c r="B39646" s="309"/>
      <c r="C39646" s="309"/>
      <c r="I39646" s="309"/>
      <c r="J39646" s="309"/>
    </row>
    <row r="39647">
      <c r="B39647" s="309"/>
      <c r="C39647" s="309"/>
      <c r="I39647" s="309"/>
      <c r="J39647" s="309"/>
    </row>
    <row r="39648">
      <c r="B39648" s="309"/>
      <c r="C39648" s="309"/>
      <c r="I39648" s="309"/>
      <c r="J39648" s="309"/>
    </row>
    <row r="39649">
      <c r="B39649" s="309"/>
      <c r="C39649" s="309"/>
      <c r="I39649" s="309"/>
      <c r="J39649" s="309"/>
    </row>
    <row r="39650">
      <c r="B39650" s="309"/>
      <c r="C39650" s="309"/>
      <c r="I39650" s="309"/>
      <c r="J39650" s="309"/>
    </row>
    <row r="39651">
      <c r="B39651" s="309"/>
      <c r="C39651" s="309"/>
      <c r="I39651" s="309"/>
      <c r="J39651" s="309"/>
    </row>
    <row r="39652">
      <c r="B39652" s="309"/>
      <c r="C39652" s="309"/>
      <c r="I39652" s="309"/>
      <c r="J39652" s="309"/>
    </row>
    <row r="39653">
      <c r="B39653" s="309"/>
      <c r="C39653" s="309"/>
      <c r="I39653" s="309"/>
      <c r="J39653" s="309"/>
    </row>
    <row r="39654">
      <c r="B39654" s="309"/>
      <c r="C39654" s="309"/>
      <c r="I39654" s="309"/>
      <c r="J39654" s="309"/>
    </row>
    <row r="39655">
      <c r="B39655" s="309"/>
      <c r="C39655" s="309"/>
      <c r="I39655" s="309"/>
      <c r="J39655" s="309"/>
    </row>
    <row r="39656">
      <c r="B39656" s="309"/>
      <c r="C39656" s="309"/>
      <c r="I39656" s="309"/>
      <c r="J39656" s="309"/>
    </row>
    <row r="39657">
      <c r="B39657" s="309"/>
      <c r="C39657" s="309"/>
      <c r="I39657" s="309"/>
      <c r="J39657" s="309"/>
    </row>
    <row r="39658">
      <c r="B39658" s="309"/>
      <c r="C39658" s="309"/>
      <c r="I39658" s="309"/>
      <c r="J39658" s="309"/>
    </row>
    <row r="39659">
      <c r="B39659" s="309"/>
      <c r="C39659" s="309"/>
      <c r="I39659" s="309"/>
      <c r="J39659" s="309"/>
    </row>
    <row r="39660">
      <c r="B39660" s="309"/>
      <c r="C39660" s="309"/>
      <c r="I39660" s="309"/>
      <c r="J39660" s="309"/>
    </row>
    <row r="39661">
      <c r="B39661" s="309"/>
      <c r="C39661" s="309"/>
      <c r="I39661" s="309"/>
      <c r="J39661" s="309"/>
    </row>
    <row r="39662">
      <c r="B39662" s="309"/>
      <c r="C39662" s="309"/>
      <c r="I39662" s="309"/>
      <c r="J39662" s="309"/>
    </row>
    <row r="39663">
      <c r="B39663" s="309"/>
      <c r="C39663" s="309"/>
      <c r="I39663" s="309"/>
      <c r="J39663" s="309"/>
    </row>
    <row r="39664">
      <c r="B39664" s="309"/>
      <c r="C39664" s="309"/>
      <c r="I39664" s="309"/>
      <c r="J39664" s="309"/>
    </row>
    <row r="39665">
      <c r="B39665" s="309"/>
      <c r="C39665" s="309"/>
      <c r="I39665" s="309"/>
      <c r="J39665" s="309"/>
    </row>
    <row r="39666">
      <c r="B39666" s="309"/>
      <c r="C39666" s="309"/>
      <c r="I39666" s="309"/>
      <c r="J39666" s="309"/>
    </row>
    <row r="39667">
      <c r="B39667" s="309"/>
      <c r="C39667" s="309"/>
      <c r="I39667" s="309"/>
      <c r="J39667" s="309"/>
    </row>
    <row r="39668">
      <c r="B39668" s="309"/>
      <c r="C39668" s="309"/>
      <c r="I39668" s="309"/>
      <c r="J39668" s="309"/>
    </row>
    <row r="39669">
      <c r="B39669" s="309"/>
      <c r="C39669" s="309"/>
      <c r="I39669" s="309"/>
      <c r="J39669" s="309"/>
    </row>
    <row r="39670">
      <c r="B39670" s="309"/>
      <c r="C39670" s="309"/>
      <c r="I39670" s="309"/>
      <c r="J39670" s="309"/>
    </row>
    <row r="39671">
      <c r="B39671" s="309"/>
      <c r="C39671" s="309"/>
      <c r="I39671" s="309"/>
      <c r="J39671" s="309"/>
    </row>
    <row r="39672">
      <c r="B39672" s="309"/>
      <c r="C39672" s="309"/>
      <c r="I39672" s="309"/>
      <c r="J39672" s="309"/>
    </row>
    <row r="39673">
      <c r="B39673" s="309"/>
      <c r="C39673" s="309"/>
      <c r="I39673" s="309"/>
      <c r="J39673" s="309"/>
    </row>
    <row r="39674">
      <c r="B39674" s="309"/>
      <c r="C39674" s="309"/>
      <c r="I39674" s="309"/>
      <c r="J39674" s="309"/>
    </row>
    <row r="39675">
      <c r="B39675" s="309"/>
      <c r="C39675" s="309"/>
      <c r="I39675" s="309"/>
      <c r="J39675" s="309"/>
    </row>
    <row r="39676">
      <c r="B39676" s="309"/>
      <c r="C39676" s="309"/>
      <c r="I39676" s="309"/>
      <c r="J39676" s="309"/>
    </row>
    <row r="39677">
      <c r="B39677" s="309"/>
      <c r="C39677" s="309"/>
      <c r="I39677" s="309"/>
      <c r="J39677" s="309"/>
    </row>
    <row r="39678">
      <c r="B39678" s="309"/>
      <c r="C39678" s="309"/>
      <c r="I39678" s="309"/>
      <c r="J39678" s="309"/>
    </row>
    <row r="39679">
      <c r="B39679" s="309"/>
      <c r="C39679" s="309"/>
      <c r="I39679" s="309"/>
      <c r="J39679" s="309"/>
    </row>
    <row r="39680">
      <c r="B39680" s="309"/>
      <c r="C39680" s="309"/>
      <c r="I39680" s="309"/>
      <c r="J39680" s="309"/>
    </row>
    <row r="39681">
      <c r="B39681" s="309"/>
      <c r="C39681" s="309"/>
      <c r="I39681" s="309"/>
      <c r="J39681" s="309"/>
    </row>
    <row r="39682">
      <c r="B39682" s="309"/>
      <c r="C39682" s="309"/>
      <c r="I39682" s="309"/>
      <c r="J39682" s="309"/>
    </row>
    <row r="39683">
      <c r="B39683" s="309"/>
      <c r="C39683" s="309"/>
      <c r="I39683" s="309"/>
      <c r="J39683" s="309"/>
    </row>
    <row r="39684">
      <c r="B39684" s="309"/>
      <c r="C39684" s="309"/>
      <c r="I39684" s="309"/>
      <c r="J39684" s="309"/>
    </row>
    <row r="39685">
      <c r="B39685" s="309"/>
      <c r="C39685" s="309"/>
      <c r="I39685" s="309"/>
      <c r="J39685" s="309"/>
    </row>
    <row r="39686">
      <c r="B39686" s="309"/>
      <c r="C39686" s="309"/>
      <c r="I39686" s="309"/>
      <c r="J39686" s="309"/>
    </row>
    <row r="39687">
      <c r="B39687" s="309"/>
      <c r="C39687" s="309"/>
      <c r="I39687" s="309"/>
      <c r="J39687" s="309"/>
    </row>
    <row r="39688">
      <c r="B39688" s="309"/>
      <c r="C39688" s="309"/>
      <c r="I39688" s="309"/>
      <c r="J39688" s="309"/>
    </row>
    <row r="39689">
      <c r="B39689" s="309"/>
      <c r="C39689" s="309"/>
      <c r="I39689" s="309"/>
      <c r="J39689" s="309"/>
    </row>
    <row r="39690">
      <c r="B39690" s="309"/>
      <c r="C39690" s="309"/>
      <c r="I39690" s="309"/>
      <c r="J39690" s="309"/>
    </row>
    <row r="39691">
      <c r="B39691" s="309"/>
      <c r="C39691" s="309"/>
      <c r="I39691" s="309"/>
      <c r="J39691" s="309"/>
    </row>
    <row r="39692">
      <c r="B39692" s="309"/>
      <c r="C39692" s="309"/>
      <c r="I39692" s="309"/>
      <c r="J39692" s="309"/>
    </row>
    <row r="39693">
      <c r="B39693" s="309"/>
      <c r="C39693" s="309"/>
      <c r="I39693" s="309"/>
      <c r="J39693" s="309"/>
    </row>
    <row r="39694">
      <c r="B39694" s="309"/>
      <c r="C39694" s="309"/>
      <c r="I39694" s="309"/>
      <c r="J39694" s="309"/>
    </row>
    <row r="39695">
      <c r="B39695" s="309"/>
      <c r="C39695" s="309"/>
      <c r="I39695" s="309"/>
      <c r="J39695" s="309"/>
    </row>
    <row r="39696">
      <c r="B39696" s="309"/>
      <c r="C39696" s="309"/>
      <c r="I39696" s="309"/>
      <c r="J39696" s="309"/>
    </row>
    <row r="39697">
      <c r="B39697" s="309"/>
      <c r="C39697" s="309"/>
      <c r="I39697" s="309"/>
      <c r="J39697" s="309"/>
    </row>
    <row r="39698">
      <c r="B39698" s="309"/>
      <c r="C39698" s="309"/>
      <c r="I39698" s="309"/>
      <c r="J39698" s="309"/>
    </row>
    <row r="39699">
      <c r="B39699" s="309"/>
      <c r="C39699" s="309"/>
      <c r="I39699" s="309"/>
      <c r="J39699" s="309"/>
    </row>
    <row r="39700">
      <c r="B39700" s="309"/>
      <c r="C39700" s="309"/>
      <c r="I39700" s="309"/>
      <c r="J39700" s="309"/>
    </row>
    <row r="39701">
      <c r="B39701" s="309"/>
      <c r="C39701" s="309"/>
      <c r="I39701" s="309"/>
      <c r="J39701" s="309"/>
    </row>
    <row r="39702">
      <c r="B39702" s="309"/>
      <c r="C39702" s="309"/>
      <c r="I39702" s="309"/>
      <c r="J39702" s="309"/>
    </row>
    <row r="39703">
      <c r="B39703" s="309"/>
      <c r="C39703" s="309"/>
      <c r="I39703" s="309"/>
      <c r="J39703" s="309"/>
    </row>
    <row r="39704">
      <c r="B39704" s="309"/>
      <c r="C39704" s="309"/>
      <c r="I39704" s="309"/>
      <c r="J39704" s="309"/>
    </row>
    <row r="39705">
      <c r="B39705" s="309"/>
      <c r="C39705" s="309"/>
      <c r="I39705" s="309"/>
      <c r="J39705" s="309"/>
    </row>
    <row r="39706">
      <c r="B39706" s="309"/>
      <c r="C39706" s="309"/>
      <c r="I39706" s="309"/>
      <c r="J39706" s="309"/>
    </row>
    <row r="39707">
      <c r="B39707" s="309"/>
      <c r="C39707" s="309"/>
      <c r="I39707" s="309"/>
      <c r="J39707" s="309"/>
    </row>
    <row r="39708">
      <c r="B39708" s="309"/>
      <c r="C39708" s="309"/>
      <c r="I39708" s="309"/>
      <c r="J39708" s="309"/>
    </row>
    <row r="39709">
      <c r="B39709" s="309"/>
      <c r="C39709" s="309"/>
      <c r="I39709" s="309"/>
      <c r="J39709" s="309"/>
    </row>
    <row r="39710">
      <c r="B39710" s="309"/>
      <c r="C39710" s="309"/>
      <c r="I39710" s="309"/>
      <c r="J39710" s="309"/>
    </row>
    <row r="39711">
      <c r="B39711" s="309"/>
      <c r="C39711" s="309"/>
      <c r="I39711" s="309"/>
      <c r="J39711" s="309"/>
    </row>
    <row r="39712">
      <c r="B39712" s="309"/>
      <c r="C39712" s="309"/>
      <c r="I39712" s="309"/>
      <c r="J39712" s="309"/>
    </row>
    <row r="39713">
      <c r="B39713" s="309"/>
      <c r="C39713" s="309"/>
      <c r="I39713" s="309"/>
      <c r="J39713" s="309"/>
    </row>
    <row r="39714">
      <c r="B39714" s="309"/>
      <c r="C39714" s="309"/>
      <c r="I39714" s="309"/>
      <c r="J39714" s="309"/>
    </row>
    <row r="39715">
      <c r="B39715" s="309"/>
      <c r="C39715" s="309"/>
      <c r="I39715" s="309"/>
      <c r="J39715" s="309"/>
    </row>
    <row r="39716">
      <c r="B39716" s="309"/>
      <c r="C39716" s="309"/>
      <c r="I39716" s="309"/>
      <c r="J39716" s="309"/>
    </row>
    <row r="39717">
      <c r="B39717" s="309"/>
      <c r="C39717" s="309"/>
      <c r="I39717" s="309"/>
      <c r="J39717" s="309"/>
    </row>
    <row r="39718">
      <c r="B39718" s="309"/>
      <c r="C39718" s="309"/>
      <c r="I39718" s="309"/>
      <c r="J39718" s="309"/>
    </row>
    <row r="39719">
      <c r="B39719" s="309"/>
      <c r="C39719" s="309"/>
      <c r="I39719" s="309"/>
      <c r="J39719" s="309"/>
    </row>
    <row r="39720">
      <c r="B39720" s="309"/>
      <c r="C39720" s="309"/>
      <c r="I39720" s="309"/>
      <c r="J39720" s="309"/>
    </row>
    <row r="39721">
      <c r="B39721" s="309"/>
      <c r="C39721" s="309"/>
      <c r="I39721" s="309"/>
      <c r="J39721" s="309"/>
    </row>
    <row r="39722">
      <c r="B39722" s="309"/>
      <c r="C39722" s="309"/>
      <c r="I39722" s="309"/>
      <c r="J39722" s="309"/>
    </row>
    <row r="39723">
      <c r="B39723" s="309"/>
      <c r="C39723" s="309"/>
      <c r="I39723" s="309"/>
      <c r="J39723" s="309"/>
    </row>
    <row r="39724">
      <c r="B39724" s="309"/>
      <c r="C39724" s="309"/>
      <c r="I39724" s="309"/>
      <c r="J39724" s="309"/>
    </row>
    <row r="39725">
      <c r="B39725" s="309"/>
      <c r="C39725" s="309"/>
      <c r="I39725" s="309"/>
      <c r="J39725" s="309"/>
    </row>
    <row r="39726">
      <c r="B39726" s="309"/>
      <c r="C39726" s="309"/>
      <c r="I39726" s="309"/>
      <c r="J39726" s="309"/>
    </row>
    <row r="39727">
      <c r="B39727" s="309"/>
      <c r="C39727" s="309"/>
      <c r="I39727" s="309"/>
      <c r="J39727" s="309"/>
    </row>
    <row r="39728">
      <c r="B39728" s="309"/>
      <c r="C39728" s="309"/>
      <c r="I39728" s="309"/>
      <c r="J39728" s="309"/>
    </row>
    <row r="39729">
      <c r="B39729" s="309"/>
      <c r="C39729" s="309"/>
      <c r="I39729" s="309"/>
      <c r="J39729" s="309"/>
    </row>
    <row r="39730">
      <c r="B39730" s="309"/>
      <c r="C39730" s="309"/>
      <c r="I39730" s="309"/>
      <c r="J39730" s="309"/>
    </row>
    <row r="39731">
      <c r="B39731" s="309"/>
      <c r="C39731" s="309"/>
      <c r="I39731" s="309"/>
      <c r="J39731" s="309"/>
    </row>
    <row r="39732">
      <c r="B39732" s="309"/>
      <c r="C39732" s="309"/>
      <c r="I39732" s="309"/>
      <c r="J39732" s="309"/>
    </row>
    <row r="39733">
      <c r="B39733" s="309"/>
      <c r="C39733" s="309"/>
      <c r="I39733" s="309"/>
      <c r="J39733" s="309"/>
    </row>
    <row r="39734">
      <c r="B39734" s="309"/>
      <c r="C39734" s="309"/>
      <c r="I39734" s="309"/>
      <c r="J39734" s="309"/>
    </row>
    <row r="39735">
      <c r="B39735" s="309"/>
      <c r="C39735" s="309"/>
      <c r="I39735" s="309"/>
      <c r="J39735" s="309"/>
    </row>
    <row r="39736">
      <c r="B39736" s="309"/>
      <c r="C39736" s="309"/>
      <c r="I39736" s="309"/>
      <c r="J39736" s="309"/>
    </row>
    <row r="39737">
      <c r="B39737" s="309"/>
      <c r="C39737" s="309"/>
      <c r="I39737" s="309"/>
      <c r="J39737" s="309"/>
    </row>
    <row r="39738">
      <c r="B39738" s="309"/>
      <c r="C39738" s="309"/>
      <c r="I39738" s="309"/>
      <c r="J39738" s="309"/>
    </row>
    <row r="39739">
      <c r="B39739" s="309"/>
      <c r="C39739" s="309"/>
      <c r="I39739" s="309"/>
      <c r="J39739" s="309"/>
    </row>
    <row r="39740">
      <c r="B39740" s="309"/>
      <c r="C39740" s="309"/>
      <c r="I39740" s="309"/>
      <c r="J39740" s="309"/>
    </row>
    <row r="39741">
      <c r="B39741" s="309"/>
      <c r="C39741" s="309"/>
      <c r="I39741" s="309"/>
      <c r="J39741" s="309"/>
    </row>
    <row r="39742">
      <c r="B39742" s="309"/>
      <c r="C39742" s="309"/>
      <c r="I39742" s="309"/>
      <c r="J39742" s="309"/>
    </row>
    <row r="39743">
      <c r="B39743" s="309"/>
      <c r="C39743" s="309"/>
      <c r="I39743" s="309"/>
      <c r="J39743" s="309"/>
    </row>
    <row r="39744">
      <c r="B39744" s="309"/>
      <c r="C39744" s="309"/>
      <c r="I39744" s="309"/>
      <c r="J39744" s="309"/>
    </row>
    <row r="39745">
      <c r="B39745" s="309"/>
      <c r="C39745" s="309"/>
      <c r="I39745" s="309"/>
      <c r="J39745" s="309"/>
    </row>
    <row r="39746">
      <c r="B39746" s="309"/>
      <c r="C39746" s="309"/>
      <c r="I39746" s="309"/>
      <c r="J39746" s="309"/>
    </row>
    <row r="39747">
      <c r="B39747" s="309"/>
      <c r="C39747" s="309"/>
      <c r="I39747" s="309"/>
      <c r="J39747" s="309"/>
    </row>
    <row r="39748">
      <c r="B39748" s="309"/>
      <c r="C39748" s="309"/>
      <c r="I39748" s="309"/>
      <c r="J39748" s="309"/>
    </row>
    <row r="39749">
      <c r="B39749" s="309"/>
      <c r="C39749" s="309"/>
      <c r="I39749" s="309"/>
      <c r="J39749" s="309"/>
    </row>
    <row r="39750">
      <c r="B39750" s="309"/>
      <c r="C39750" s="309"/>
      <c r="I39750" s="309"/>
      <c r="J39750" s="309"/>
    </row>
    <row r="39751">
      <c r="B39751" s="309"/>
      <c r="C39751" s="309"/>
      <c r="I39751" s="309"/>
      <c r="J39751" s="309"/>
    </row>
    <row r="39752">
      <c r="B39752" s="309"/>
      <c r="C39752" s="309"/>
      <c r="I39752" s="309"/>
      <c r="J39752" s="309"/>
    </row>
    <row r="39753">
      <c r="B39753" s="309"/>
      <c r="C39753" s="309"/>
      <c r="I39753" s="309"/>
      <c r="J39753" s="309"/>
    </row>
    <row r="39754">
      <c r="B39754" s="309"/>
      <c r="C39754" s="309"/>
      <c r="I39754" s="309"/>
      <c r="J39754" s="309"/>
    </row>
    <row r="39755">
      <c r="B39755" s="309"/>
      <c r="C39755" s="309"/>
      <c r="I39755" s="309"/>
      <c r="J39755" s="309"/>
    </row>
    <row r="39756">
      <c r="B39756" s="309"/>
      <c r="C39756" s="309"/>
      <c r="I39756" s="309"/>
      <c r="J39756" s="309"/>
    </row>
    <row r="39757">
      <c r="B39757" s="309"/>
      <c r="C39757" s="309"/>
      <c r="I39757" s="309"/>
      <c r="J39757" s="309"/>
    </row>
    <row r="39758">
      <c r="B39758" s="309"/>
      <c r="C39758" s="309"/>
      <c r="I39758" s="309"/>
      <c r="J39758" s="309"/>
    </row>
    <row r="39759">
      <c r="B39759" s="309"/>
      <c r="C39759" s="309"/>
      <c r="I39759" s="309"/>
      <c r="J39759" s="309"/>
    </row>
    <row r="39760">
      <c r="B39760" s="309"/>
      <c r="C39760" s="309"/>
      <c r="I39760" s="309"/>
      <c r="J39760" s="309"/>
    </row>
    <row r="39761">
      <c r="B39761" s="309"/>
      <c r="C39761" s="309"/>
      <c r="I39761" s="309"/>
      <c r="J39761" s="309"/>
    </row>
    <row r="39762">
      <c r="B39762" s="309"/>
      <c r="C39762" s="309"/>
      <c r="I39762" s="309"/>
      <c r="J39762" s="309"/>
    </row>
    <row r="39763">
      <c r="B39763" s="309"/>
      <c r="C39763" s="309"/>
      <c r="I39763" s="309"/>
      <c r="J39763" s="309"/>
    </row>
    <row r="39764">
      <c r="B39764" s="309"/>
      <c r="C39764" s="309"/>
      <c r="I39764" s="309"/>
      <c r="J39764" s="309"/>
    </row>
    <row r="39765">
      <c r="B39765" s="309"/>
      <c r="C39765" s="309"/>
      <c r="I39765" s="309"/>
      <c r="J39765" s="309"/>
    </row>
    <row r="39766">
      <c r="B39766" s="309"/>
      <c r="C39766" s="309"/>
      <c r="I39766" s="309"/>
      <c r="J39766" s="309"/>
    </row>
    <row r="39767">
      <c r="B39767" s="309"/>
      <c r="C39767" s="309"/>
      <c r="I39767" s="309"/>
      <c r="J39767" s="309"/>
    </row>
    <row r="39768">
      <c r="B39768" s="309"/>
      <c r="C39768" s="309"/>
      <c r="I39768" s="309"/>
      <c r="J39768" s="309"/>
    </row>
    <row r="39769">
      <c r="B39769" s="309"/>
      <c r="C39769" s="309"/>
      <c r="I39769" s="309"/>
      <c r="J39769" s="309"/>
    </row>
    <row r="39770">
      <c r="B39770" s="309"/>
      <c r="C39770" s="309"/>
      <c r="I39770" s="309"/>
      <c r="J39770" s="309"/>
    </row>
    <row r="39771">
      <c r="B39771" s="309"/>
      <c r="C39771" s="309"/>
      <c r="I39771" s="309"/>
      <c r="J39771" s="309"/>
    </row>
    <row r="39772">
      <c r="B39772" s="309"/>
      <c r="C39772" s="309"/>
      <c r="I39772" s="309"/>
      <c r="J39772" s="309"/>
    </row>
    <row r="39773">
      <c r="B39773" s="309"/>
      <c r="C39773" s="309"/>
      <c r="I39773" s="309"/>
      <c r="J39773" s="309"/>
    </row>
    <row r="39774">
      <c r="B39774" s="309"/>
      <c r="C39774" s="309"/>
      <c r="I39774" s="309"/>
      <c r="J39774" s="309"/>
    </row>
    <row r="39775">
      <c r="B39775" s="309"/>
      <c r="C39775" s="309"/>
      <c r="I39775" s="309"/>
      <c r="J39775" s="309"/>
    </row>
    <row r="39776">
      <c r="B39776" s="309"/>
      <c r="C39776" s="309"/>
      <c r="I39776" s="309"/>
      <c r="J39776" s="309"/>
    </row>
    <row r="39777">
      <c r="B39777" s="309"/>
      <c r="C39777" s="309"/>
      <c r="I39777" s="309"/>
      <c r="J39777" s="309"/>
    </row>
    <row r="39778">
      <c r="B39778" s="309"/>
      <c r="C39778" s="309"/>
      <c r="I39778" s="309"/>
      <c r="J39778" s="309"/>
    </row>
    <row r="39779">
      <c r="B39779" s="309"/>
      <c r="C39779" s="309"/>
      <c r="I39779" s="309"/>
      <c r="J39779" s="309"/>
    </row>
    <row r="39780">
      <c r="B39780" s="309"/>
      <c r="C39780" s="309"/>
      <c r="I39780" s="309"/>
      <c r="J39780" s="309"/>
    </row>
    <row r="39781">
      <c r="B39781" s="309"/>
      <c r="C39781" s="309"/>
      <c r="I39781" s="309"/>
      <c r="J39781" s="309"/>
    </row>
    <row r="39782">
      <c r="B39782" s="309"/>
      <c r="C39782" s="309"/>
      <c r="I39782" s="309"/>
      <c r="J39782" s="309"/>
    </row>
    <row r="39783">
      <c r="B39783" s="309"/>
      <c r="C39783" s="309"/>
      <c r="I39783" s="309"/>
      <c r="J39783" s="309"/>
    </row>
    <row r="39784">
      <c r="B39784" s="309"/>
      <c r="C39784" s="309"/>
      <c r="I39784" s="309"/>
      <c r="J39784" s="309"/>
    </row>
    <row r="39785">
      <c r="B39785" s="309"/>
      <c r="C39785" s="309"/>
      <c r="I39785" s="309"/>
      <c r="J39785" s="309"/>
    </row>
    <row r="39786">
      <c r="B39786" s="309"/>
      <c r="C39786" s="309"/>
      <c r="I39786" s="309"/>
      <c r="J39786" s="309"/>
    </row>
    <row r="39787">
      <c r="B39787" s="309"/>
      <c r="C39787" s="309"/>
      <c r="I39787" s="309"/>
      <c r="J39787" s="309"/>
    </row>
    <row r="39788">
      <c r="B39788" s="309"/>
      <c r="C39788" s="309"/>
      <c r="I39788" s="309"/>
      <c r="J39788" s="309"/>
    </row>
    <row r="39789">
      <c r="B39789" s="309"/>
      <c r="C39789" s="309"/>
      <c r="I39789" s="309"/>
      <c r="J39789" s="309"/>
    </row>
    <row r="39790">
      <c r="B39790" s="309"/>
      <c r="C39790" s="309"/>
      <c r="I39790" s="309"/>
      <c r="J39790" s="309"/>
    </row>
    <row r="39791">
      <c r="B39791" s="309"/>
      <c r="C39791" s="309"/>
      <c r="I39791" s="309"/>
      <c r="J39791" s="309"/>
    </row>
    <row r="39792">
      <c r="B39792" s="309"/>
      <c r="C39792" s="309"/>
      <c r="I39792" s="309"/>
      <c r="J39792" s="309"/>
    </row>
    <row r="39793">
      <c r="B39793" s="309"/>
      <c r="C39793" s="309"/>
      <c r="I39793" s="309"/>
      <c r="J39793" s="309"/>
    </row>
    <row r="39794">
      <c r="B39794" s="309"/>
      <c r="C39794" s="309"/>
      <c r="I39794" s="309"/>
      <c r="J39794" s="309"/>
    </row>
    <row r="39795">
      <c r="B39795" s="309"/>
      <c r="C39795" s="309"/>
      <c r="I39795" s="309"/>
      <c r="J39795" s="309"/>
    </row>
    <row r="39796">
      <c r="B39796" s="309"/>
      <c r="C39796" s="309"/>
      <c r="I39796" s="309"/>
      <c r="J39796" s="309"/>
    </row>
    <row r="39797">
      <c r="B39797" s="309"/>
      <c r="C39797" s="309"/>
      <c r="I39797" s="309"/>
      <c r="J39797" s="309"/>
    </row>
    <row r="39798">
      <c r="B39798" s="309"/>
      <c r="C39798" s="309"/>
      <c r="I39798" s="309"/>
      <c r="J39798" s="309"/>
    </row>
    <row r="39799">
      <c r="B39799" s="309"/>
      <c r="C39799" s="309"/>
      <c r="I39799" s="309"/>
      <c r="J39799" s="309"/>
    </row>
    <row r="39800">
      <c r="B39800" s="309"/>
      <c r="C39800" s="309"/>
      <c r="I39800" s="309"/>
      <c r="J39800" s="309"/>
    </row>
    <row r="39801">
      <c r="B39801" s="309"/>
      <c r="C39801" s="309"/>
      <c r="I39801" s="309"/>
      <c r="J39801" s="309"/>
    </row>
    <row r="39802">
      <c r="B39802" s="309"/>
      <c r="C39802" s="309"/>
      <c r="I39802" s="309"/>
      <c r="J39802" s="309"/>
    </row>
    <row r="39803">
      <c r="B39803" s="309"/>
      <c r="C39803" s="309"/>
      <c r="I39803" s="309"/>
      <c r="J39803" s="309"/>
    </row>
    <row r="39804">
      <c r="B39804" s="309"/>
      <c r="C39804" s="309"/>
      <c r="I39804" s="309"/>
      <c r="J39804" s="309"/>
    </row>
    <row r="39805">
      <c r="B39805" s="309"/>
      <c r="C39805" s="309"/>
      <c r="I39805" s="309"/>
      <c r="J39805" s="309"/>
    </row>
    <row r="39806">
      <c r="B39806" s="309"/>
      <c r="C39806" s="309"/>
      <c r="I39806" s="309"/>
      <c r="J39806" s="309"/>
    </row>
    <row r="39807">
      <c r="B39807" s="309"/>
      <c r="C39807" s="309"/>
      <c r="I39807" s="309"/>
      <c r="J39807" s="309"/>
    </row>
    <row r="39808">
      <c r="B39808" s="309"/>
      <c r="C39808" s="309"/>
      <c r="I39808" s="309"/>
      <c r="J39808" s="309"/>
    </row>
    <row r="39809">
      <c r="B39809" s="309"/>
      <c r="C39809" s="309"/>
      <c r="I39809" s="309"/>
      <c r="J39809" s="309"/>
    </row>
    <row r="39810">
      <c r="B39810" s="309"/>
      <c r="C39810" s="309"/>
      <c r="I39810" s="309"/>
      <c r="J39810" s="309"/>
    </row>
    <row r="39811">
      <c r="B39811" s="309"/>
      <c r="C39811" s="309"/>
      <c r="I39811" s="309"/>
      <c r="J39811" s="309"/>
    </row>
    <row r="39812">
      <c r="B39812" s="309"/>
      <c r="C39812" s="309"/>
      <c r="I39812" s="309"/>
      <c r="J39812" s="309"/>
    </row>
    <row r="39813">
      <c r="B39813" s="309"/>
      <c r="C39813" s="309"/>
      <c r="I39813" s="309"/>
      <c r="J39813" s="309"/>
    </row>
    <row r="39814">
      <c r="B39814" s="309"/>
      <c r="C39814" s="309"/>
      <c r="I39814" s="309"/>
      <c r="J39814" s="309"/>
    </row>
    <row r="39815">
      <c r="B39815" s="309"/>
      <c r="C39815" s="309"/>
      <c r="I39815" s="309"/>
      <c r="J39815" s="309"/>
    </row>
    <row r="39816">
      <c r="B39816" s="309"/>
      <c r="C39816" s="309"/>
      <c r="I39816" s="309"/>
      <c r="J39816" s="309"/>
    </row>
    <row r="39817">
      <c r="B39817" s="309"/>
      <c r="C39817" s="309"/>
      <c r="I39817" s="309"/>
      <c r="J39817" s="309"/>
    </row>
    <row r="39818">
      <c r="B39818" s="309"/>
      <c r="C39818" s="309"/>
      <c r="I39818" s="309"/>
      <c r="J39818" s="309"/>
    </row>
    <row r="39819">
      <c r="B39819" s="309"/>
      <c r="C39819" s="309"/>
      <c r="I39819" s="309"/>
      <c r="J39819" s="309"/>
    </row>
    <row r="39820">
      <c r="B39820" s="309"/>
      <c r="C39820" s="309"/>
      <c r="I39820" s="309"/>
      <c r="J39820" s="309"/>
    </row>
    <row r="39821">
      <c r="B39821" s="309"/>
      <c r="C39821" s="309"/>
      <c r="I39821" s="309"/>
      <c r="J39821" s="309"/>
    </row>
    <row r="39822">
      <c r="B39822" s="309"/>
      <c r="C39822" s="309"/>
      <c r="I39822" s="309"/>
      <c r="J39822" s="309"/>
    </row>
    <row r="39823">
      <c r="B39823" s="309"/>
      <c r="C39823" s="309"/>
      <c r="I39823" s="309"/>
      <c r="J39823" s="309"/>
    </row>
    <row r="39824">
      <c r="B39824" s="309"/>
      <c r="C39824" s="309"/>
      <c r="I39824" s="309"/>
      <c r="J39824" s="309"/>
    </row>
    <row r="39825">
      <c r="B39825" s="309"/>
      <c r="C39825" s="309"/>
      <c r="I39825" s="309"/>
      <c r="J39825" s="309"/>
    </row>
    <row r="39826">
      <c r="B39826" s="309"/>
      <c r="C39826" s="309"/>
      <c r="I39826" s="309"/>
      <c r="J39826" s="309"/>
    </row>
    <row r="39827">
      <c r="B39827" s="309"/>
      <c r="C39827" s="309"/>
      <c r="I39827" s="309"/>
      <c r="J39827" s="309"/>
    </row>
    <row r="39828">
      <c r="B39828" s="309"/>
      <c r="C39828" s="309"/>
      <c r="I39828" s="309"/>
      <c r="J39828" s="309"/>
    </row>
    <row r="39829">
      <c r="B39829" s="309"/>
      <c r="C39829" s="309"/>
      <c r="I39829" s="309"/>
      <c r="J39829" s="309"/>
    </row>
    <row r="39830">
      <c r="B39830" s="309"/>
      <c r="C39830" s="309"/>
      <c r="I39830" s="309"/>
      <c r="J39830" s="309"/>
    </row>
    <row r="39831">
      <c r="B39831" s="309"/>
      <c r="C39831" s="309"/>
      <c r="I39831" s="309"/>
      <c r="J39831" s="309"/>
    </row>
    <row r="39832">
      <c r="B39832" s="309"/>
      <c r="C39832" s="309"/>
      <c r="I39832" s="309"/>
      <c r="J39832" s="309"/>
    </row>
    <row r="39833">
      <c r="B39833" s="309"/>
      <c r="C39833" s="309"/>
      <c r="I39833" s="309"/>
      <c r="J39833" s="309"/>
    </row>
    <row r="39834">
      <c r="B39834" s="309"/>
      <c r="C39834" s="309"/>
      <c r="I39834" s="309"/>
      <c r="J39834" s="309"/>
    </row>
    <row r="39835">
      <c r="B39835" s="309"/>
      <c r="C39835" s="309"/>
      <c r="I39835" s="309"/>
      <c r="J39835" s="309"/>
    </row>
    <row r="39836">
      <c r="B39836" s="309"/>
      <c r="C39836" s="309"/>
      <c r="I39836" s="309"/>
      <c r="J39836" s="309"/>
    </row>
    <row r="39837">
      <c r="B39837" s="309"/>
      <c r="C39837" s="309"/>
      <c r="I39837" s="309"/>
      <c r="J39837" s="309"/>
    </row>
    <row r="39838">
      <c r="B39838" s="309"/>
      <c r="C39838" s="309"/>
      <c r="I39838" s="309"/>
      <c r="J39838" s="309"/>
    </row>
    <row r="39839">
      <c r="B39839" s="309"/>
      <c r="C39839" s="309"/>
      <c r="I39839" s="309"/>
      <c r="J39839" s="309"/>
    </row>
    <row r="39840">
      <c r="B39840" s="309"/>
      <c r="C39840" s="309"/>
      <c r="I39840" s="309"/>
      <c r="J39840" s="309"/>
    </row>
    <row r="39841">
      <c r="B39841" s="309"/>
      <c r="C39841" s="309"/>
      <c r="I39841" s="309"/>
      <c r="J39841" s="309"/>
    </row>
    <row r="39842">
      <c r="B39842" s="309"/>
      <c r="C39842" s="309"/>
      <c r="I39842" s="309"/>
      <c r="J39842" s="309"/>
    </row>
    <row r="39843">
      <c r="B39843" s="309"/>
      <c r="C39843" s="309"/>
      <c r="I39843" s="309"/>
      <c r="J39843" s="309"/>
    </row>
    <row r="39844">
      <c r="B39844" s="309"/>
      <c r="C39844" s="309"/>
      <c r="I39844" s="309"/>
      <c r="J39844" s="309"/>
    </row>
    <row r="39845">
      <c r="B39845" s="309"/>
      <c r="C39845" s="309"/>
      <c r="I39845" s="309"/>
      <c r="J39845" s="309"/>
    </row>
    <row r="39846">
      <c r="B39846" s="309"/>
      <c r="C39846" s="309"/>
      <c r="I39846" s="309"/>
      <c r="J39846" s="309"/>
    </row>
    <row r="39847">
      <c r="B39847" s="309"/>
      <c r="C39847" s="309"/>
      <c r="I39847" s="309"/>
      <c r="J39847" s="309"/>
    </row>
    <row r="39848">
      <c r="B39848" s="309"/>
      <c r="C39848" s="309"/>
      <c r="I39848" s="309"/>
      <c r="J39848" s="309"/>
    </row>
    <row r="39849">
      <c r="B39849" s="309"/>
      <c r="C39849" s="309"/>
      <c r="I39849" s="309"/>
      <c r="J39849" s="309"/>
    </row>
    <row r="39850">
      <c r="B39850" s="309"/>
      <c r="C39850" s="309"/>
      <c r="I39850" s="309"/>
      <c r="J39850" s="309"/>
    </row>
    <row r="39851">
      <c r="B39851" s="309"/>
      <c r="C39851" s="309"/>
      <c r="I39851" s="309"/>
      <c r="J39851" s="309"/>
    </row>
    <row r="39852">
      <c r="B39852" s="309"/>
      <c r="C39852" s="309"/>
      <c r="I39852" s="309"/>
      <c r="J39852" s="309"/>
    </row>
    <row r="39853">
      <c r="B39853" s="309"/>
      <c r="C39853" s="309"/>
      <c r="I39853" s="309"/>
      <c r="J39853" s="309"/>
    </row>
    <row r="39854">
      <c r="B39854" s="309"/>
      <c r="C39854" s="309"/>
      <c r="I39854" s="309"/>
      <c r="J39854" s="309"/>
    </row>
    <row r="39855">
      <c r="B39855" s="309"/>
      <c r="C39855" s="309"/>
      <c r="I39855" s="309"/>
      <c r="J39855" s="309"/>
    </row>
    <row r="39856">
      <c r="B39856" s="309"/>
      <c r="C39856" s="309"/>
      <c r="I39856" s="309"/>
      <c r="J39856" s="309"/>
    </row>
    <row r="39857">
      <c r="B39857" s="309"/>
      <c r="C39857" s="309"/>
      <c r="I39857" s="309"/>
      <c r="J39857" s="309"/>
    </row>
    <row r="39858">
      <c r="B39858" s="309"/>
      <c r="C39858" s="309"/>
      <c r="I39858" s="309"/>
      <c r="J39858" s="309"/>
    </row>
    <row r="39859">
      <c r="B39859" s="309"/>
      <c r="C39859" s="309"/>
      <c r="I39859" s="309"/>
      <c r="J39859" s="309"/>
    </row>
    <row r="39860">
      <c r="B39860" s="309"/>
      <c r="C39860" s="309"/>
      <c r="I39860" s="309"/>
      <c r="J39860" s="309"/>
    </row>
    <row r="39861">
      <c r="B39861" s="309"/>
      <c r="C39861" s="309"/>
      <c r="I39861" s="309"/>
      <c r="J39861" s="309"/>
    </row>
    <row r="39862">
      <c r="B39862" s="309"/>
      <c r="C39862" s="309"/>
      <c r="I39862" s="309"/>
      <c r="J39862" s="309"/>
    </row>
    <row r="39863">
      <c r="B39863" s="309"/>
      <c r="C39863" s="309"/>
      <c r="I39863" s="309"/>
      <c r="J39863" s="309"/>
    </row>
    <row r="39864">
      <c r="B39864" s="309"/>
      <c r="C39864" s="309"/>
      <c r="I39864" s="309"/>
      <c r="J39864" s="309"/>
    </row>
    <row r="39865">
      <c r="B39865" s="309"/>
      <c r="C39865" s="309"/>
      <c r="I39865" s="309"/>
      <c r="J39865" s="309"/>
    </row>
    <row r="39866">
      <c r="B39866" s="309"/>
      <c r="C39866" s="309"/>
      <c r="I39866" s="309"/>
      <c r="J39866" s="309"/>
    </row>
    <row r="39867">
      <c r="B39867" s="309"/>
      <c r="C39867" s="309"/>
      <c r="I39867" s="309"/>
      <c r="J39867" s="309"/>
    </row>
    <row r="39868">
      <c r="B39868" s="309"/>
      <c r="C39868" s="309"/>
      <c r="I39868" s="309"/>
      <c r="J39868" s="309"/>
    </row>
    <row r="39869">
      <c r="B39869" s="309"/>
      <c r="C39869" s="309"/>
      <c r="I39869" s="309"/>
      <c r="J39869" s="309"/>
    </row>
    <row r="39870">
      <c r="B39870" s="309"/>
      <c r="C39870" s="309"/>
      <c r="I39870" s="309"/>
      <c r="J39870" s="309"/>
    </row>
    <row r="39871">
      <c r="B39871" s="309"/>
      <c r="C39871" s="309"/>
      <c r="I39871" s="309"/>
      <c r="J39871" s="309"/>
    </row>
    <row r="39872">
      <c r="B39872" s="309"/>
      <c r="C39872" s="309"/>
      <c r="I39872" s="309"/>
      <c r="J39872" s="309"/>
    </row>
    <row r="39873">
      <c r="B39873" s="309"/>
      <c r="C39873" s="309"/>
      <c r="I39873" s="309"/>
      <c r="J39873" s="309"/>
    </row>
    <row r="39874">
      <c r="B39874" s="309"/>
      <c r="C39874" s="309"/>
      <c r="I39874" s="309"/>
      <c r="J39874" s="309"/>
    </row>
    <row r="39875">
      <c r="B39875" s="309"/>
      <c r="C39875" s="309"/>
      <c r="I39875" s="309"/>
      <c r="J39875" s="309"/>
    </row>
    <row r="39876">
      <c r="B39876" s="309"/>
      <c r="C39876" s="309"/>
      <c r="I39876" s="309"/>
      <c r="J39876" s="309"/>
    </row>
    <row r="39877">
      <c r="B39877" s="309"/>
      <c r="C39877" s="309"/>
      <c r="I39877" s="309"/>
      <c r="J39877" s="309"/>
    </row>
    <row r="39878">
      <c r="B39878" s="309"/>
      <c r="C39878" s="309"/>
      <c r="I39878" s="309"/>
      <c r="J39878" s="309"/>
    </row>
    <row r="39879">
      <c r="B39879" s="309"/>
      <c r="C39879" s="309"/>
      <c r="I39879" s="309"/>
      <c r="J39879" s="309"/>
    </row>
    <row r="39880">
      <c r="B39880" s="309"/>
      <c r="C39880" s="309"/>
      <c r="I39880" s="309"/>
      <c r="J39880" s="309"/>
    </row>
    <row r="39881">
      <c r="B39881" s="309"/>
      <c r="C39881" s="309"/>
      <c r="I39881" s="309"/>
      <c r="J39881" s="309"/>
    </row>
    <row r="39882">
      <c r="B39882" s="309"/>
      <c r="C39882" s="309"/>
      <c r="I39882" s="309"/>
      <c r="J39882" s="309"/>
    </row>
    <row r="39883">
      <c r="B39883" s="309"/>
      <c r="C39883" s="309"/>
      <c r="I39883" s="309"/>
      <c r="J39883" s="309"/>
    </row>
    <row r="39884">
      <c r="B39884" s="309"/>
      <c r="C39884" s="309"/>
      <c r="I39884" s="309"/>
      <c r="J39884" s="309"/>
    </row>
    <row r="39885">
      <c r="B39885" s="309"/>
      <c r="C39885" s="309"/>
      <c r="I39885" s="309"/>
      <c r="J39885" s="309"/>
    </row>
    <row r="39886">
      <c r="B39886" s="309"/>
      <c r="C39886" s="309"/>
      <c r="I39886" s="309"/>
      <c r="J39886" s="309"/>
    </row>
    <row r="39887">
      <c r="B39887" s="309"/>
      <c r="C39887" s="309"/>
      <c r="I39887" s="309"/>
      <c r="J39887" s="309"/>
    </row>
    <row r="39888">
      <c r="B39888" s="309"/>
      <c r="C39888" s="309"/>
      <c r="I39888" s="309"/>
      <c r="J39888" s="309"/>
    </row>
    <row r="39889">
      <c r="B39889" s="309"/>
      <c r="C39889" s="309"/>
      <c r="I39889" s="309"/>
      <c r="J39889" s="309"/>
    </row>
    <row r="39890">
      <c r="B39890" s="309"/>
      <c r="C39890" s="309"/>
      <c r="I39890" s="309"/>
      <c r="J39890" s="309"/>
    </row>
    <row r="39891">
      <c r="B39891" s="309"/>
      <c r="C39891" s="309"/>
      <c r="I39891" s="309"/>
      <c r="J39891" s="309"/>
    </row>
    <row r="39892">
      <c r="B39892" s="309"/>
      <c r="C39892" s="309"/>
      <c r="I39892" s="309"/>
      <c r="J39892" s="309"/>
    </row>
    <row r="39893">
      <c r="B39893" s="309"/>
      <c r="C39893" s="309"/>
      <c r="I39893" s="309"/>
      <c r="J39893" s="309"/>
    </row>
    <row r="39894">
      <c r="B39894" s="309"/>
      <c r="C39894" s="309"/>
      <c r="I39894" s="309"/>
      <c r="J39894" s="309"/>
    </row>
    <row r="39895">
      <c r="B39895" s="309"/>
      <c r="C39895" s="309"/>
      <c r="I39895" s="309"/>
      <c r="J39895" s="309"/>
    </row>
    <row r="39896">
      <c r="B39896" s="309"/>
      <c r="C39896" s="309"/>
      <c r="I39896" s="309"/>
      <c r="J39896" s="309"/>
    </row>
    <row r="39897">
      <c r="B39897" s="309"/>
      <c r="C39897" s="309"/>
      <c r="I39897" s="309"/>
      <c r="J39897" s="309"/>
    </row>
    <row r="39898">
      <c r="B39898" s="309"/>
      <c r="C39898" s="309"/>
      <c r="I39898" s="309"/>
      <c r="J39898" s="309"/>
    </row>
    <row r="39899">
      <c r="B39899" s="309"/>
      <c r="C39899" s="309"/>
      <c r="I39899" s="309"/>
      <c r="J39899" s="309"/>
    </row>
    <row r="39900">
      <c r="B39900" s="309"/>
      <c r="C39900" s="309"/>
      <c r="I39900" s="309"/>
      <c r="J39900" s="309"/>
    </row>
    <row r="39901">
      <c r="B39901" s="309"/>
      <c r="C39901" s="309"/>
      <c r="I39901" s="309"/>
      <c r="J39901" s="309"/>
    </row>
    <row r="39902">
      <c r="B39902" s="309"/>
      <c r="C39902" s="309"/>
      <c r="I39902" s="309"/>
      <c r="J39902" s="309"/>
    </row>
    <row r="39903">
      <c r="B39903" s="309"/>
      <c r="C39903" s="309"/>
      <c r="I39903" s="309"/>
      <c r="J39903" s="309"/>
    </row>
    <row r="39904">
      <c r="B39904" s="309"/>
      <c r="C39904" s="309"/>
      <c r="I39904" s="309"/>
      <c r="J39904" s="309"/>
    </row>
    <row r="39905">
      <c r="B39905" s="309"/>
      <c r="C39905" s="309"/>
      <c r="I39905" s="309"/>
      <c r="J39905" s="309"/>
    </row>
    <row r="39906">
      <c r="B39906" s="309"/>
      <c r="C39906" s="309"/>
      <c r="I39906" s="309"/>
      <c r="J39906" s="309"/>
    </row>
    <row r="39907">
      <c r="B39907" s="309"/>
      <c r="C39907" s="309"/>
      <c r="I39907" s="309"/>
      <c r="J39907" s="309"/>
    </row>
    <row r="39908">
      <c r="B39908" s="309"/>
      <c r="C39908" s="309"/>
      <c r="I39908" s="309"/>
      <c r="J39908" s="309"/>
    </row>
    <row r="39909">
      <c r="B39909" s="309"/>
      <c r="C39909" s="309"/>
      <c r="I39909" s="309"/>
      <c r="J39909" s="309"/>
    </row>
    <row r="39910">
      <c r="B39910" s="309"/>
      <c r="C39910" s="309"/>
      <c r="I39910" s="309"/>
      <c r="J39910" s="309"/>
    </row>
    <row r="39911">
      <c r="B39911" s="309"/>
      <c r="C39911" s="309"/>
      <c r="I39911" s="309"/>
      <c r="J39911" s="309"/>
    </row>
    <row r="39912">
      <c r="B39912" s="309"/>
      <c r="C39912" s="309"/>
      <c r="I39912" s="309"/>
      <c r="J39912" s="309"/>
    </row>
    <row r="39913">
      <c r="B39913" s="309"/>
      <c r="C39913" s="309"/>
      <c r="I39913" s="309"/>
      <c r="J39913" s="309"/>
    </row>
    <row r="39914">
      <c r="B39914" s="309"/>
      <c r="C39914" s="309"/>
      <c r="I39914" s="309"/>
      <c r="J39914" s="309"/>
    </row>
    <row r="39915">
      <c r="B39915" s="309"/>
      <c r="C39915" s="309"/>
      <c r="I39915" s="309"/>
      <c r="J39915" s="309"/>
    </row>
    <row r="39916">
      <c r="B39916" s="309"/>
      <c r="C39916" s="309"/>
      <c r="I39916" s="309"/>
      <c r="J39916" s="309"/>
    </row>
    <row r="39917">
      <c r="B39917" s="309"/>
      <c r="C39917" s="309"/>
      <c r="I39917" s="309"/>
      <c r="J39917" s="309"/>
    </row>
    <row r="39918">
      <c r="B39918" s="309"/>
      <c r="C39918" s="309"/>
      <c r="I39918" s="309"/>
      <c r="J39918" s="309"/>
    </row>
    <row r="39919">
      <c r="B39919" s="309"/>
      <c r="C39919" s="309"/>
      <c r="I39919" s="309"/>
      <c r="J39919" s="309"/>
    </row>
    <row r="39920">
      <c r="B39920" s="309"/>
      <c r="C39920" s="309"/>
      <c r="I39920" s="309"/>
      <c r="J39920" s="309"/>
    </row>
    <row r="39921">
      <c r="B39921" s="309"/>
      <c r="C39921" s="309"/>
      <c r="I39921" s="309"/>
      <c r="J39921" s="309"/>
    </row>
    <row r="39922">
      <c r="B39922" s="309"/>
      <c r="C39922" s="309"/>
      <c r="I39922" s="309"/>
      <c r="J39922" s="309"/>
    </row>
    <row r="39923">
      <c r="B39923" s="309"/>
      <c r="C39923" s="309"/>
      <c r="I39923" s="309"/>
      <c r="J39923" s="309"/>
    </row>
    <row r="39924">
      <c r="B39924" s="309"/>
      <c r="C39924" s="309"/>
      <c r="I39924" s="309"/>
      <c r="J39924" s="309"/>
    </row>
    <row r="39925">
      <c r="B39925" s="309"/>
      <c r="C39925" s="309"/>
      <c r="I39925" s="309"/>
      <c r="J39925" s="309"/>
    </row>
    <row r="39926">
      <c r="B39926" s="309"/>
      <c r="C39926" s="309"/>
      <c r="I39926" s="309"/>
      <c r="J39926" s="309"/>
    </row>
    <row r="39927">
      <c r="B39927" s="309"/>
      <c r="C39927" s="309"/>
      <c r="I39927" s="309"/>
      <c r="J39927" s="309"/>
    </row>
    <row r="39928">
      <c r="B39928" s="309"/>
      <c r="C39928" s="309"/>
      <c r="I39928" s="309"/>
      <c r="J39928" s="309"/>
    </row>
    <row r="39929">
      <c r="B39929" s="309"/>
      <c r="C39929" s="309"/>
      <c r="I39929" s="309"/>
      <c r="J39929" s="309"/>
    </row>
    <row r="39930">
      <c r="B39930" s="309"/>
      <c r="C39930" s="309"/>
      <c r="I39930" s="309"/>
      <c r="J39930" s="309"/>
    </row>
    <row r="39931">
      <c r="B39931" s="309"/>
      <c r="C39931" s="309"/>
      <c r="I39931" s="309"/>
      <c r="J39931" s="309"/>
    </row>
    <row r="39932">
      <c r="B39932" s="309"/>
      <c r="C39932" s="309"/>
      <c r="I39932" s="309"/>
      <c r="J39932" s="309"/>
    </row>
    <row r="39933">
      <c r="B39933" s="309"/>
      <c r="C39933" s="309"/>
      <c r="I39933" s="309"/>
      <c r="J39933" s="309"/>
    </row>
    <row r="39934">
      <c r="B39934" s="309"/>
      <c r="C39934" s="309"/>
      <c r="I39934" s="309"/>
      <c r="J39934" s="309"/>
    </row>
    <row r="39935">
      <c r="B39935" s="309"/>
      <c r="C39935" s="309"/>
      <c r="I39935" s="309"/>
      <c r="J39935" s="309"/>
    </row>
    <row r="39936">
      <c r="B39936" s="309"/>
      <c r="C39936" s="309"/>
      <c r="I39936" s="309"/>
      <c r="J39936" s="309"/>
    </row>
    <row r="39937">
      <c r="B39937" s="309"/>
      <c r="C39937" s="309"/>
      <c r="I39937" s="309"/>
      <c r="J39937" s="309"/>
    </row>
    <row r="39938">
      <c r="B39938" s="309"/>
      <c r="C39938" s="309"/>
      <c r="I39938" s="309"/>
      <c r="J39938" s="309"/>
    </row>
    <row r="39939">
      <c r="B39939" s="309"/>
      <c r="C39939" s="309"/>
      <c r="I39939" s="309"/>
      <c r="J39939" s="309"/>
    </row>
    <row r="39940">
      <c r="B39940" s="309"/>
      <c r="C39940" s="309"/>
      <c r="I39940" s="309"/>
      <c r="J39940" s="309"/>
    </row>
    <row r="39941">
      <c r="B39941" s="309"/>
      <c r="C39941" s="309"/>
      <c r="I39941" s="309"/>
      <c r="J39941" s="309"/>
    </row>
    <row r="39942">
      <c r="B39942" s="309"/>
      <c r="C39942" s="309"/>
      <c r="I39942" s="309"/>
      <c r="J39942" s="309"/>
    </row>
    <row r="39943">
      <c r="B39943" s="309"/>
      <c r="C39943" s="309"/>
      <c r="I39943" s="309"/>
      <c r="J39943" s="309"/>
    </row>
    <row r="39944">
      <c r="B39944" s="309"/>
      <c r="C39944" s="309"/>
      <c r="I39944" s="309"/>
      <c r="J39944" s="309"/>
    </row>
    <row r="39945">
      <c r="B39945" s="309"/>
      <c r="C39945" s="309"/>
      <c r="I39945" s="309"/>
      <c r="J39945" s="309"/>
    </row>
    <row r="39946">
      <c r="B39946" s="309"/>
      <c r="C39946" s="309"/>
      <c r="I39946" s="309"/>
      <c r="J39946" s="309"/>
    </row>
    <row r="39947">
      <c r="B39947" s="309"/>
      <c r="C39947" s="309"/>
      <c r="I39947" s="309"/>
      <c r="J39947" s="309"/>
    </row>
    <row r="39948">
      <c r="B39948" s="309"/>
      <c r="C39948" s="309"/>
      <c r="I39948" s="309"/>
      <c r="J39948" s="309"/>
    </row>
    <row r="39949">
      <c r="B39949" s="309"/>
      <c r="C39949" s="309"/>
      <c r="I39949" s="309"/>
      <c r="J39949" s="309"/>
    </row>
    <row r="39950">
      <c r="B39950" s="309"/>
      <c r="C39950" s="309"/>
      <c r="I39950" s="309"/>
      <c r="J39950" s="309"/>
    </row>
    <row r="39951">
      <c r="B39951" s="309"/>
      <c r="C39951" s="309"/>
      <c r="I39951" s="309"/>
      <c r="J39951" s="309"/>
    </row>
    <row r="39952">
      <c r="B39952" s="309"/>
      <c r="C39952" s="309"/>
      <c r="I39952" s="309"/>
      <c r="J39952" s="309"/>
    </row>
    <row r="39953">
      <c r="B39953" s="309"/>
      <c r="C39953" s="309"/>
      <c r="I39953" s="309"/>
      <c r="J39953" s="309"/>
    </row>
    <row r="39954">
      <c r="B39954" s="309"/>
      <c r="C39954" s="309"/>
      <c r="I39954" s="309"/>
      <c r="J39954" s="309"/>
    </row>
    <row r="39955">
      <c r="B39955" s="309"/>
      <c r="C39955" s="309"/>
      <c r="I39955" s="309"/>
      <c r="J39955" s="309"/>
    </row>
    <row r="39956">
      <c r="B39956" s="309"/>
      <c r="C39956" s="309"/>
      <c r="I39956" s="309"/>
      <c r="J39956" s="309"/>
    </row>
    <row r="39957">
      <c r="B39957" s="309"/>
      <c r="C39957" s="309"/>
      <c r="I39957" s="309"/>
      <c r="J39957" s="309"/>
    </row>
    <row r="39958">
      <c r="B39958" s="309"/>
      <c r="C39958" s="309"/>
      <c r="I39958" s="309"/>
      <c r="J39958" s="309"/>
    </row>
    <row r="39959">
      <c r="B39959" s="309"/>
      <c r="C39959" s="309"/>
      <c r="I39959" s="309"/>
      <c r="J39959" s="309"/>
    </row>
    <row r="39960">
      <c r="B39960" s="309"/>
      <c r="C39960" s="309"/>
      <c r="I39960" s="309"/>
      <c r="J39960" s="309"/>
    </row>
    <row r="39961">
      <c r="B39961" s="309"/>
      <c r="C39961" s="309"/>
      <c r="I39961" s="309"/>
      <c r="J39961" s="309"/>
    </row>
    <row r="39962">
      <c r="B39962" s="309"/>
      <c r="C39962" s="309"/>
      <c r="I39962" s="309"/>
      <c r="J39962" s="309"/>
    </row>
    <row r="39963">
      <c r="B39963" s="309"/>
      <c r="C39963" s="309"/>
      <c r="I39963" s="309"/>
      <c r="J39963" s="309"/>
    </row>
    <row r="39964">
      <c r="B39964" s="309"/>
      <c r="C39964" s="309"/>
      <c r="I39964" s="309"/>
      <c r="J39964" s="309"/>
    </row>
    <row r="39965">
      <c r="B39965" s="309"/>
      <c r="C39965" s="309"/>
      <c r="I39965" s="309"/>
      <c r="J39965" s="309"/>
    </row>
    <row r="39966">
      <c r="B39966" s="309"/>
      <c r="C39966" s="309"/>
      <c r="I39966" s="309"/>
      <c r="J39966" s="309"/>
    </row>
    <row r="39967">
      <c r="B39967" s="309"/>
      <c r="C39967" s="309"/>
      <c r="I39967" s="309"/>
      <c r="J39967" s="309"/>
    </row>
    <row r="39968">
      <c r="B39968" s="309"/>
      <c r="C39968" s="309"/>
      <c r="I39968" s="309"/>
      <c r="J39968" s="309"/>
    </row>
    <row r="39969">
      <c r="B39969" s="309"/>
      <c r="C39969" s="309"/>
      <c r="I39969" s="309"/>
      <c r="J39969" s="309"/>
    </row>
    <row r="39970">
      <c r="B39970" s="309"/>
      <c r="C39970" s="309"/>
      <c r="I39970" s="309"/>
      <c r="J39970" s="309"/>
    </row>
    <row r="39971">
      <c r="B39971" s="309"/>
      <c r="C39971" s="309"/>
      <c r="I39971" s="309"/>
      <c r="J39971" s="309"/>
    </row>
    <row r="39972">
      <c r="B39972" s="309"/>
      <c r="C39972" s="309"/>
      <c r="I39972" s="309"/>
      <c r="J39972" s="309"/>
    </row>
    <row r="39973">
      <c r="B39973" s="309"/>
      <c r="C39973" s="309"/>
      <c r="I39973" s="309"/>
      <c r="J39973" s="309"/>
    </row>
    <row r="39974">
      <c r="B39974" s="309"/>
      <c r="C39974" s="309"/>
      <c r="I39974" s="309"/>
      <c r="J39974" s="309"/>
    </row>
    <row r="39975">
      <c r="B39975" s="309"/>
      <c r="C39975" s="309"/>
      <c r="I39975" s="309"/>
      <c r="J39975" s="309"/>
    </row>
    <row r="39976">
      <c r="B39976" s="309"/>
      <c r="C39976" s="309"/>
      <c r="I39976" s="309"/>
      <c r="J39976" s="309"/>
    </row>
    <row r="39977">
      <c r="B39977" s="309"/>
      <c r="C39977" s="309"/>
      <c r="I39977" s="309"/>
      <c r="J39977" s="309"/>
    </row>
    <row r="39978">
      <c r="B39978" s="309"/>
      <c r="C39978" s="309"/>
      <c r="I39978" s="309"/>
      <c r="J39978" s="309"/>
    </row>
    <row r="39979">
      <c r="B39979" s="309"/>
      <c r="C39979" s="309"/>
      <c r="I39979" s="309"/>
      <c r="J39979" s="309"/>
    </row>
    <row r="39980">
      <c r="B39980" s="309"/>
      <c r="C39980" s="309"/>
      <c r="I39980" s="309"/>
      <c r="J39980" s="309"/>
    </row>
    <row r="39981">
      <c r="B39981" s="309"/>
      <c r="C39981" s="309"/>
      <c r="I39981" s="309"/>
      <c r="J39981" s="309"/>
    </row>
    <row r="39982">
      <c r="B39982" s="309"/>
      <c r="C39982" s="309"/>
      <c r="I39982" s="309"/>
      <c r="J39982" s="309"/>
    </row>
    <row r="39983">
      <c r="B39983" s="309"/>
      <c r="C39983" s="309"/>
      <c r="I39983" s="309"/>
      <c r="J39983" s="309"/>
    </row>
    <row r="39984">
      <c r="B39984" s="309"/>
      <c r="C39984" s="309"/>
      <c r="I39984" s="309"/>
      <c r="J39984" s="309"/>
    </row>
    <row r="39985">
      <c r="B39985" s="309"/>
      <c r="C39985" s="309"/>
      <c r="I39985" s="309"/>
      <c r="J39985" s="309"/>
    </row>
    <row r="39986">
      <c r="B39986" s="309"/>
      <c r="C39986" s="309"/>
      <c r="I39986" s="309"/>
      <c r="J39986" s="309"/>
    </row>
    <row r="39987">
      <c r="B39987" s="309"/>
      <c r="C39987" s="309"/>
      <c r="I39987" s="309"/>
      <c r="J39987" s="309"/>
    </row>
    <row r="39988">
      <c r="B39988" s="309"/>
      <c r="C39988" s="309"/>
      <c r="I39988" s="309"/>
      <c r="J39988" s="309"/>
    </row>
    <row r="39989">
      <c r="B39989" s="309"/>
      <c r="C39989" s="309"/>
      <c r="I39989" s="309"/>
      <c r="J39989" s="309"/>
    </row>
    <row r="39990">
      <c r="B39990" s="309"/>
      <c r="C39990" s="309"/>
      <c r="I39990" s="309"/>
      <c r="J39990" s="309"/>
    </row>
    <row r="39991">
      <c r="B39991" s="309"/>
      <c r="C39991" s="309"/>
      <c r="I39991" s="309"/>
      <c r="J39991" s="309"/>
    </row>
    <row r="39992">
      <c r="B39992" s="309"/>
      <c r="C39992" s="309"/>
      <c r="I39992" s="309"/>
      <c r="J39992" s="309"/>
    </row>
    <row r="39993">
      <c r="B39993" s="309"/>
      <c r="C39993" s="309"/>
      <c r="I39993" s="309"/>
      <c r="J39993" s="309"/>
    </row>
    <row r="39994">
      <c r="B39994" s="309"/>
      <c r="C39994" s="309"/>
      <c r="I39994" s="309"/>
      <c r="J39994" s="309"/>
    </row>
    <row r="39995">
      <c r="B39995" s="309"/>
      <c r="C39995" s="309"/>
      <c r="I39995" s="309"/>
      <c r="J39995" s="309"/>
    </row>
    <row r="39996">
      <c r="B39996" s="309"/>
      <c r="C39996" s="309"/>
      <c r="I39996" s="309"/>
      <c r="J39996" s="309"/>
    </row>
    <row r="39997">
      <c r="B39997" s="309"/>
      <c r="C39997" s="309"/>
      <c r="I39997" s="309"/>
      <c r="J39997" s="309"/>
    </row>
    <row r="39998">
      <c r="B39998" s="309"/>
      <c r="C39998" s="309"/>
      <c r="I39998" s="309"/>
      <c r="J39998" s="309"/>
    </row>
    <row r="39999">
      <c r="B39999" s="309"/>
      <c r="C39999" s="309"/>
      <c r="I39999" s="309"/>
      <c r="J39999" s="309"/>
    </row>
    <row r="40000">
      <c r="B40000" s="309"/>
      <c r="C40000" s="309"/>
      <c r="I40000" s="309"/>
      <c r="J40000" s="309"/>
    </row>
    <row r="40001">
      <c r="B40001" s="309"/>
      <c r="C40001" s="309"/>
      <c r="I40001" s="309"/>
      <c r="J40001" s="309"/>
    </row>
    <row r="40002">
      <c r="B40002" s="309"/>
      <c r="C40002" s="309"/>
      <c r="I40002" s="309"/>
      <c r="J40002" s="309"/>
    </row>
    <row r="40003">
      <c r="B40003" s="309"/>
      <c r="C40003" s="309"/>
      <c r="I40003" s="309"/>
      <c r="J40003" s="309"/>
    </row>
    <row r="40004">
      <c r="B40004" s="309"/>
      <c r="C40004" s="309"/>
      <c r="I40004" s="309"/>
      <c r="J40004" s="309"/>
    </row>
    <row r="40005">
      <c r="B40005" s="309"/>
      <c r="C40005" s="309"/>
      <c r="I40005" s="309"/>
      <c r="J40005" s="309"/>
    </row>
    <row r="40006">
      <c r="B40006" s="309"/>
      <c r="C40006" s="309"/>
      <c r="I40006" s="309"/>
      <c r="J40006" s="309"/>
    </row>
    <row r="40007">
      <c r="B40007" s="309"/>
      <c r="C40007" s="309"/>
      <c r="I40007" s="309"/>
      <c r="J40007" s="309"/>
    </row>
    <row r="40008">
      <c r="B40008" s="309"/>
      <c r="C40008" s="309"/>
      <c r="I40008" s="309"/>
      <c r="J40008" s="309"/>
    </row>
    <row r="40009">
      <c r="B40009" s="309"/>
      <c r="C40009" s="309"/>
      <c r="I40009" s="309"/>
      <c r="J40009" s="309"/>
    </row>
    <row r="40010">
      <c r="B40010" s="309"/>
      <c r="C40010" s="309"/>
      <c r="I40010" s="309"/>
      <c r="J40010" s="309"/>
    </row>
    <row r="40011">
      <c r="B40011" s="309"/>
      <c r="C40011" s="309"/>
      <c r="I40011" s="309"/>
      <c r="J40011" s="309"/>
    </row>
    <row r="40012">
      <c r="B40012" s="309"/>
      <c r="C40012" s="309"/>
      <c r="I40012" s="309"/>
      <c r="J40012" s="309"/>
    </row>
    <row r="40013">
      <c r="B40013" s="309"/>
      <c r="C40013" s="309"/>
      <c r="I40013" s="309"/>
      <c r="J40013" s="309"/>
    </row>
    <row r="40014">
      <c r="B40014" s="309"/>
      <c r="C40014" s="309"/>
      <c r="I40014" s="309"/>
      <c r="J40014" s="309"/>
    </row>
    <row r="40015">
      <c r="B40015" s="309"/>
      <c r="C40015" s="309"/>
      <c r="I40015" s="309"/>
      <c r="J40015" s="309"/>
    </row>
    <row r="40016">
      <c r="B40016" s="309"/>
      <c r="C40016" s="309"/>
      <c r="I40016" s="309"/>
      <c r="J40016" s="309"/>
    </row>
    <row r="40017">
      <c r="B40017" s="309"/>
      <c r="C40017" s="309"/>
      <c r="I40017" s="309"/>
      <c r="J40017" s="309"/>
    </row>
    <row r="40018">
      <c r="B40018" s="309"/>
      <c r="C40018" s="309"/>
      <c r="I40018" s="309"/>
      <c r="J40018" s="309"/>
    </row>
    <row r="40019">
      <c r="B40019" s="309"/>
      <c r="C40019" s="309"/>
      <c r="I40019" s="309"/>
      <c r="J40019" s="309"/>
    </row>
    <row r="40020">
      <c r="B40020" s="309"/>
      <c r="C40020" s="309"/>
      <c r="I40020" s="309"/>
      <c r="J40020" s="309"/>
    </row>
    <row r="40021">
      <c r="B40021" s="309"/>
      <c r="C40021" s="309"/>
      <c r="I40021" s="309"/>
      <c r="J40021" s="309"/>
    </row>
    <row r="40022">
      <c r="B40022" s="309"/>
      <c r="C40022" s="309"/>
      <c r="I40022" s="309"/>
      <c r="J40022" s="309"/>
    </row>
    <row r="40023">
      <c r="B40023" s="309"/>
      <c r="C40023" s="309"/>
      <c r="I40023" s="309"/>
      <c r="J40023" s="309"/>
    </row>
    <row r="40024">
      <c r="B40024" s="309"/>
      <c r="C40024" s="309"/>
      <c r="I40024" s="309"/>
      <c r="J40024" s="309"/>
    </row>
    <row r="40025">
      <c r="B40025" s="309"/>
      <c r="C40025" s="309"/>
      <c r="I40025" s="309"/>
      <c r="J40025" s="309"/>
    </row>
    <row r="40026">
      <c r="B40026" s="309"/>
      <c r="C40026" s="309"/>
      <c r="I40026" s="309"/>
      <c r="J40026" s="309"/>
    </row>
    <row r="40027">
      <c r="B40027" s="309"/>
      <c r="C40027" s="309"/>
      <c r="I40027" s="309"/>
      <c r="J40027" s="309"/>
    </row>
    <row r="40028">
      <c r="B40028" s="309"/>
      <c r="C40028" s="309"/>
      <c r="I40028" s="309"/>
      <c r="J40028" s="309"/>
    </row>
    <row r="40029">
      <c r="B40029" s="309"/>
      <c r="C40029" s="309"/>
      <c r="I40029" s="309"/>
      <c r="J40029" s="309"/>
    </row>
    <row r="40030">
      <c r="B40030" s="309"/>
      <c r="C40030" s="309"/>
      <c r="I40030" s="309"/>
      <c r="J40030" s="309"/>
    </row>
    <row r="40031">
      <c r="B40031" s="309"/>
      <c r="C40031" s="309"/>
      <c r="I40031" s="309"/>
      <c r="J40031" s="309"/>
    </row>
    <row r="40032">
      <c r="B40032" s="309"/>
      <c r="C40032" s="309"/>
      <c r="I40032" s="309"/>
      <c r="J40032" s="309"/>
    </row>
    <row r="40033">
      <c r="B40033" s="309"/>
      <c r="C40033" s="309"/>
      <c r="I40033" s="309"/>
      <c r="J40033" s="309"/>
    </row>
    <row r="40034">
      <c r="B40034" s="309"/>
      <c r="C40034" s="309"/>
      <c r="I40034" s="309"/>
      <c r="J40034" s="309"/>
    </row>
    <row r="40035">
      <c r="B40035" s="309"/>
      <c r="C40035" s="309"/>
      <c r="I40035" s="309"/>
      <c r="J40035" s="309"/>
    </row>
    <row r="40036">
      <c r="B40036" s="309"/>
      <c r="C40036" s="309"/>
      <c r="I40036" s="309"/>
      <c r="J40036" s="309"/>
    </row>
    <row r="40037">
      <c r="B40037" s="309"/>
      <c r="C40037" s="309"/>
      <c r="I40037" s="309"/>
      <c r="J40037" s="309"/>
    </row>
    <row r="40038">
      <c r="B40038" s="309"/>
      <c r="C40038" s="309"/>
      <c r="I40038" s="309"/>
      <c r="J40038" s="309"/>
    </row>
    <row r="40039">
      <c r="B40039" s="309"/>
      <c r="C40039" s="309"/>
      <c r="I40039" s="309"/>
      <c r="J40039" s="309"/>
    </row>
    <row r="40040">
      <c r="B40040" s="309"/>
      <c r="C40040" s="309"/>
      <c r="I40040" s="309"/>
      <c r="J40040" s="309"/>
    </row>
    <row r="40041">
      <c r="B40041" s="309"/>
      <c r="C40041" s="309"/>
      <c r="I40041" s="309"/>
      <c r="J40041" s="309"/>
    </row>
    <row r="40042">
      <c r="B40042" s="309"/>
      <c r="C40042" s="309"/>
      <c r="I40042" s="309"/>
      <c r="J40042" s="309"/>
    </row>
    <row r="40043">
      <c r="B40043" s="309"/>
      <c r="C40043" s="309"/>
      <c r="I40043" s="309"/>
      <c r="J40043" s="309"/>
    </row>
    <row r="40044">
      <c r="B40044" s="309"/>
      <c r="C40044" s="309"/>
      <c r="I40044" s="309"/>
      <c r="J40044" s="309"/>
    </row>
    <row r="40045">
      <c r="B40045" s="309"/>
      <c r="C40045" s="309"/>
      <c r="I40045" s="309"/>
      <c r="J40045" s="309"/>
    </row>
    <row r="40046">
      <c r="B40046" s="309"/>
      <c r="C40046" s="309"/>
      <c r="I40046" s="309"/>
      <c r="J40046" s="309"/>
    </row>
    <row r="40047">
      <c r="B40047" s="309"/>
      <c r="C40047" s="309"/>
      <c r="I40047" s="309"/>
      <c r="J40047" s="309"/>
    </row>
    <row r="40048">
      <c r="B40048" s="309"/>
      <c r="C40048" s="309"/>
      <c r="I40048" s="309"/>
      <c r="J40048" s="309"/>
    </row>
    <row r="40049">
      <c r="B40049" s="309"/>
      <c r="C40049" s="309"/>
      <c r="I40049" s="309"/>
      <c r="J40049" s="309"/>
    </row>
    <row r="40050">
      <c r="B40050" s="309"/>
      <c r="C40050" s="309"/>
      <c r="I40050" s="309"/>
      <c r="J40050" s="309"/>
    </row>
    <row r="40051">
      <c r="B40051" s="309"/>
      <c r="C40051" s="309"/>
      <c r="I40051" s="309"/>
      <c r="J40051" s="309"/>
    </row>
    <row r="40052">
      <c r="B40052" s="309"/>
      <c r="C40052" s="309"/>
      <c r="I40052" s="309"/>
      <c r="J40052" s="309"/>
    </row>
    <row r="40053">
      <c r="B40053" s="309"/>
      <c r="C40053" s="309"/>
      <c r="I40053" s="309"/>
      <c r="J40053" s="309"/>
    </row>
    <row r="40054">
      <c r="B40054" s="309"/>
      <c r="C40054" s="309"/>
      <c r="I40054" s="309"/>
      <c r="J40054" s="309"/>
    </row>
    <row r="40055">
      <c r="B40055" s="309"/>
      <c r="C40055" s="309"/>
      <c r="I40055" s="309"/>
      <c r="J40055" s="309"/>
    </row>
    <row r="40056">
      <c r="B40056" s="309"/>
      <c r="C40056" s="309"/>
      <c r="I40056" s="309"/>
      <c r="J40056" s="309"/>
    </row>
    <row r="40057">
      <c r="B40057" s="309"/>
      <c r="C40057" s="309"/>
      <c r="I40057" s="309"/>
      <c r="J40057" s="309"/>
    </row>
    <row r="40058">
      <c r="B40058" s="309"/>
      <c r="C40058" s="309"/>
      <c r="I40058" s="309"/>
      <c r="J40058" s="309"/>
    </row>
    <row r="40059">
      <c r="B40059" s="309"/>
      <c r="C40059" s="309"/>
      <c r="I40059" s="309"/>
      <c r="J40059" s="309"/>
    </row>
    <row r="40060">
      <c r="B40060" s="309"/>
      <c r="C40060" s="309"/>
      <c r="I40060" s="309"/>
      <c r="J40060" s="309"/>
    </row>
    <row r="40061">
      <c r="B40061" s="309"/>
      <c r="C40061" s="309"/>
      <c r="I40061" s="309"/>
      <c r="J40061" s="309"/>
    </row>
    <row r="40062">
      <c r="B40062" s="309"/>
      <c r="C40062" s="309"/>
      <c r="I40062" s="309"/>
      <c r="J40062" s="309"/>
    </row>
    <row r="40063">
      <c r="B40063" s="309"/>
      <c r="C40063" s="309"/>
      <c r="I40063" s="309"/>
      <c r="J40063" s="309"/>
    </row>
    <row r="40064">
      <c r="B40064" s="309"/>
      <c r="C40064" s="309"/>
      <c r="I40064" s="309"/>
      <c r="J40064" s="309"/>
    </row>
    <row r="40065">
      <c r="B40065" s="309"/>
      <c r="C40065" s="309"/>
      <c r="I40065" s="309"/>
      <c r="J40065" s="309"/>
    </row>
    <row r="40066">
      <c r="B40066" s="309"/>
      <c r="C40066" s="309"/>
      <c r="I40066" s="309"/>
      <c r="J40066" s="309"/>
    </row>
    <row r="40067">
      <c r="B40067" s="309"/>
      <c r="C40067" s="309"/>
      <c r="I40067" s="309"/>
      <c r="J40067" s="309"/>
    </row>
    <row r="40068">
      <c r="B40068" s="309"/>
      <c r="C40068" s="309"/>
      <c r="I40068" s="309"/>
      <c r="J40068" s="309"/>
    </row>
    <row r="40069">
      <c r="B40069" s="309"/>
      <c r="C40069" s="309"/>
      <c r="I40069" s="309"/>
      <c r="J40069" s="309"/>
    </row>
    <row r="40070">
      <c r="B40070" s="309"/>
      <c r="C40070" s="309"/>
      <c r="I40070" s="309"/>
      <c r="J40070" s="309"/>
    </row>
    <row r="40071">
      <c r="B40071" s="309"/>
      <c r="C40071" s="309"/>
      <c r="I40071" s="309"/>
      <c r="J40071" s="309"/>
    </row>
    <row r="40072">
      <c r="B40072" s="309"/>
      <c r="C40072" s="309"/>
      <c r="I40072" s="309"/>
      <c r="J40072" s="309"/>
    </row>
    <row r="40073">
      <c r="B40073" s="309"/>
      <c r="C40073" s="309"/>
      <c r="I40073" s="309"/>
      <c r="J40073" s="309"/>
    </row>
    <row r="40074">
      <c r="B40074" s="309"/>
      <c r="C40074" s="309"/>
      <c r="I40074" s="309"/>
      <c r="J40074" s="309"/>
    </row>
    <row r="40075">
      <c r="B40075" s="309"/>
      <c r="C40075" s="309"/>
      <c r="I40075" s="309"/>
      <c r="J40075" s="309"/>
    </row>
    <row r="40076">
      <c r="B40076" s="309"/>
      <c r="C40076" s="309"/>
      <c r="I40076" s="309"/>
      <c r="J40076" s="309"/>
    </row>
    <row r="40077">
      <c r="B40077" s="309"/>
      <c r="C40077" s="309"/>
      <c r="I40077" s="309"/>
      <c r="J40077" s="309"/>
    </row>
    <row r="40078">
      <c r="B40078" s="309"/>
      <c r="C40078" s="309"/>
      <c r="I40078" s="309"/>
      <c r="J40078" s="309"/>
    </row>
    <row r="40079">
      <c r="B40079" s="309"/>
      <c r="C40079" s="309"/>
      <c r="I40079" s="309"/>
      <c r="J40079" s="309"/>
    </row>
    <row r="40080">
      <c r="B40080" s="309"/>
      <c r="C40080" s="309"/>
      <c r="I40080" s="309"/>
      <c r="J40080" s="309"/>
    </row>
    <row r="40081">
      <c r="B40081" s="309"/>
      <c r="C40081" s="309"/>
      <c r="I40081" s="309"/>
      <c r="J40081" s="309"/>
    </row>
    <row r="40082">
      <c r="B40082" s="309"/>
      <c r="C40082" s="309"/>
      <c r="I40082" s="309"/>
      <c r="J40082" s="309"/>
    </row>
    <row r="40083">
      <c r="B40083" s="309"/>
      <c r="C40083" s="309"/>
      <c r="I40083" s="309"/>
      <c r="J40083" s="309"/>
    </row>
    <row r="40084">
      <c r="B40084" s="309"/>
      <c r="C40084" s="309"/>
      <c r="I40084" s="309"/>
      <c r="J40084" s="309"/>
    </row>
    <row r="40085">
      <c r="B40085" s="309"/>
      <c r="C40085" s="309"/>
      <c r="I40085" s="309"/>
      <c r="J40085" s="309"/>
    </row>
    <row r="40086">
      <c r="B40086" s="309"/>
      <c r="C40086" s="309"/>
      <c r="I40086" s="309"/>
      <c r="J40086" s="309"/>
    </row>
    <row r="40087">
      <c r="B40087" s="309"/>
      <c r="C40087" s="309"/>
      <c r="I40087" s="309"/>
      <c r="J40087" s="309"/>
    </row>
    <row r="40088">
      <c r="B40088" s="309"/>
      <c r="C40088" s="309"/>
      <c r="I40088" s="309"/>
      <c r="J40088" s="309"/>
    </row>
    <row r="40089">
      <c r="B40089" s="309"/>
      <c r="C40089" s="309"/>
      <c r="I40089" s="309"/>
      <c r="J40089" s="309"/>
    </row>
    <row r="40090">
      <c r="B40090" s="309"/>
      <c r="C40090" s="309"/>
      <c r="I40090" s="309"/>
      <c r="J40090" s="309"/>
    </row>
    <row r="40091">
      <c r="B40091" s="309"/>
      <c r="C40091" s="309"/>
      <c r="I40091" s="309"/>
      <c r="J40091" s="309"/>
    </row>
    <row r="40092">
      <c r="B40092" s="309"/>
      <c r="C40092" s="309"/>
      <c r="I40092" s="309"/>
      <c r="J40092" s="309"/>
    </row>
    <row r="40093">
      <c r="B40093" s="309"/>
      <c r="C40093" s="309"/>
      <c r="I40093" s="309"/>
      <c r="J40093" s="309"/>
    </row>
    <row r="40094">
      <c r="B40094" s="309"/>
      <c r="C40094" s="309"/>
      <c r="I40094" s="309"/>
      <c r="J40094" s="309"/>
    </row>
    <row r="40095">
      <c r="B40095" s="309"/>
      <c r="C40095" s="309"/>
      <c r="I40095" s="309"/>
      <c r="J40095" s="309"/>
    </row>
    <row r="40096">
      <c r="B40096" s="309"/>
      <c r="C40096" s="309"/>
      <c r="I40096" s="309"/>
      <c r="J40096" s="309"/>
    </row>
    <row r="40097">
      <c r="B40097" s="309"/>
      <c r="C40097" s="309"/>
      <c r="I40097" s="309"/>
      <c r="J40097" s="309"/>
    </row>
    <row r="40098">
      <c r="B40098" s="309"/>
      <c r="C40098" s="309"/>
      <c r="I40098" s="309"/>
      <c r="J40098" s="309"/>
    </row>
    <row r="40099">
      <c r="B40099" s="309"/>
      <c r="C40099" s="309"/>
      <c r="I40099" s="309"/>
      <c r="J40099" s="309"/>
    </row>
    <row r="40100">
      <c r="B40100" s="309"/>
      <c r="C40100" s="309"/>
      <c r="I40100" s="309"/>
      <c r="J40100" s="309"/>
    </row>
    <row r="40101">
      <c r="B40101" s="309"/>
      <c r="C40101" s="309"/>
      <c r="I40101" s="309"/>
      <c r="J40101" s="309"/>
    </row>
    <row r="40102">
      <c r="B40102" s="309"/>
      <c r="C40102" s="309"/>
      <c r="I40102" s="309"/>
      <c r="J40102" s="309"/>
    </row>
    <row r="40103">
      <c r="B40103" s="309"/>
      <c r="C40103" s="309"/>
      <c r="I40103" s="309"/>
      <c r="J40103" s="309"/>
    </row>
    <row r="40104">
      <c r="B40104" s="309"/>
      <c r="C40104" s="309"/>
      <c r="I40104" s="309"/>
      <c r="J40104" s="309"/>
    </row>
    <row r="40105">
      <c r="B40105" s="309"/>
      <c r="C40105" s="309"/>
      <c r="I40105" s="309"/>
      <c r="J40105" s="309"/>
    </row>
    <row r="40106">
      <c r="B40106" s="309"/>
      <c r="C40106" s="309"/>
      <c r="I40106" s="309"/>
      <c r="J40106" s="309"/>
    </row>
    <row r="40107">
      <c r="B40107" s="309"/>
      <c r="C40107" s="309"/>
      <c r="I40107" s="309"/>
      <c r="J40107" s="309"/>
    </row>
    <row r="40108">
      <c r="B40108" s="309"/>
      <c r="C40108" s="309"/>
      <c r="I40108" s="309"/>
      <c r="J40108" s="309"/>
    </row>
    <row r="40109">
      <c r="B40109" s="309"/>
      <c r="C40109" s="309"/>
      <c r="I40109" s="309"/>
      <c r="J40109" s="309"/>
    </row>
    <row r="40110">
      <c r="B40110" s="309"/>
      <c r="C40110" s="309"/>
      <c r="I40110" s="309"/>
      <c r="J40110" s="309"/>
    </row>
    <row r="40111">
      <c r="B40111" s="309"/>
      <c r="C40111" s="309"/>
      <c r="I40111" s="309"/>
      <c r="J40111" s="309"/>
    </row>
    <row r="40112">
      <c r="B40112" s="309"/>
      <c r="C40112" s="309"/>
      <c r="I40112" s="309"/>
      <c r="J40112" s="309"/>
    </row>
    <row r="40113">
      <c r="B40113" s="309"/>
      <c r="C40113" s="309"/>
      <c r="I40113" s="309"/>
      <c r="J40113" s="309"/>
    </row>
    <row r="40114">
      <c r="B40114" s="309"/>
      <c r="C40114" s="309"/>
      <c r="I40114" s="309"/>
      <c r="J40114" s="309"/>
    </row>
    <row r="40115">
      <c r="B40115" s="309"/>
      <c r="C40115" s="309"/>
      <c r="I40115" s="309"/>
      <c r="J40115" s="309"/>
    </row>
    <row r="40116">
      <c r="B40116" s="309"/>
      <c r="C40116" s="309"/>
      <c r="I40116" s="309"/>
      <c r="J40116" s="309"/>
    </row>
    <row r="40117">
      <c r="B40117" s="309"/>
      <c r="C40117" s="309"/>
      <c r="I40117" s="309"/>
      <c r="J40117" s="309"/>
    </row>
    <row r="40118">
      <c r="B40118" s="309"/>
      <c r="C40118" s="309"/>
      <c r="I40118" s="309"/>
      <c r="J40118" s="309"/>
    </row>
    <row r="40119">
      <c r="B40119" s="309"/>
      <c r="C40119" s="309"/>
      <c r="I40119" s="309"/>
      <c r="J40119" s="309"/>
    </row>
    <row r="40120">
      <c r="B40120" s="309"/>
      <c r="C40120" s="309"/>
      <c r="I40120" s="309"/>
      <c r="J40120" s="309"/>
    </row>
    <row r="40121">
      <c r="B40121" s="309"/>
      <c r="C40121" s="309"/>
      <c r="I40121" s="309"/>
      <c r="J40121" s="309"/>
    </row>
    <row r="40122">
      <c r="B40122" s="309"/>
      <c r="C40122" s="309"/>
      <c r="I40122" s="309"/>
      <c r="J40122" s="309"/>
    </row>
    <row r="40123">
      <c r="B40123" s="309"/>
      <c r="C40123" s="309"/>
      <c r="I40123" s="309"/>
      <c r="J40123" s="309"/>
    </row>
    <row r="40124">
      <c r="B40124" s="309"/>
      <c r="C40124" s="309"/>
      <c r="I40124" s="309"/>
      <c r="J40124" s="309"/>
    </row>
    <row r="40125">
      <c r="B40125" s="309"/>
      <c r="C40125" s="309"/>
      <c r="I40125" s="309"/>
      <c r="J40125" s="309"/>
    </row>
    <row r="40126">
      <c r="B40126" s="309"/>
      <c r="C40126" s="309"/>
      <c r="I40126" s="309"/>
      <c r="J40126" s="309"/>
    </row>
    <row r="40127">
      <c r="B40127" s="309"/>
      <c r="C40127" s="309"/>
      <c r="I40127" s="309"/>
      <c r="J40127" s="309"/>
    </row>
    <row r="40128">
      <c r="B40128" s="309"/>
      <c r="C40128" s="309"/>
      <c r="I40128" s="309"/>
      <c r="J40128" s="309"/>
    </row>
    <row r="40129">
      <c r="B40129" s="309"/>
      <c r="C40129" s="309"/>
      <c r="I40129" s="309"/>
      <c r="J40129" s="309"/>
    </row>
    <row r="40130">
      <c r="B40130" s="309"/>
      <c r="C40130" s="309"/>
      <c r="I40130" s="309"/>
      <c r="J40130" s="309"/>
    </row>
    <row r="40131">
      <c r="B40131" s="309"/>
      <c r="C40131" s="309"/>
      <c r="I40131" s="309"/>
      <c r="J40131" s="309"/>
    </row>
    <row r="40132">
      <c r="B40132" s="309"/>
      <c r="C40132" s="309"/>
      <c r="I40132" s="309"/>
      <c r="J40132" s="309"/>
    </row>
    <row r="40133">
      <c r="B40133" s="309"/>
      <c r="C40133" s="309"/>
      <c r="I40133" s="309"/>
      <c r="J40133" s="309"/>
    </row>
    <row r="40134">
      <c r="B40134" s="309"/>
      <c r="C40134" s="309"/>
      <c r="I40134" s="309"/>
      <c r="J40134" s="309"/>
    </row>
    <row r="40135">
      <c r="B40135" s="309"/>
      <c r="C40135" s="309"/>
      <c r="I40135" s="309"/>
      <c r="J40135" s="309"/>
    </row>
    <row r="40136">
      <c r="B40136" s="309"/>
      <c r="C40136" s="309"/>
      <c r="I40136" s="309"/>
      <c r="J40136" s="309"/>
    </row>
    <row r="40137">
      <c r="B40137" s="309"/>
      <c r="C40137" s="309"/>
      <c r="I40137" s="309"/>
      <c r="J40137" s="309"/>
    </row>
    <row r="40138">
      <c r="B40138" s="309"/>
      <c r="C40138" s="309"/>
      <c r="I40138" s="309"/>
      <c r="J40138" s="309"/>
    </row>
    <row r="40139">
      <c r="B40139" s="309"/>
      <c r="C40139" s="309"/>
      <c r="I40139" s="309"/>
      <c r="J40139" s="309"/>
    </row>
    <row r="40140">
      <c r="B40140" s="309"/>
      <c r="C40140" s="309"/>
      <c r="I40140" s="309"/>
      <c r="J40140" s="309"/>
    </row>
    <row r="40141">
      <c r="B40141" s="309"/>
      <c r="C40141" s="309"/>
      <c r="I40141" s="309"/>
      <c r="J40141" s="309"/>
    </row>
    <row r="40142">
      <c r="B40142" s="309"/>
      <c r="C40142" s="309"/>
      <c r="I40142" s="309"/>
      <c r="J40142" s="309"/>
    </row>
    <row r="40143">
      <c r="B40143" s="309"/>
      <c r="C40143" s="309"/>
      <c r="I40143" s="309"/>
      <c r="J40143" s="309"/>
    </row>
    <row r="40144">
      <c r="B40144" s="309"/>
      <c r="C40144" s="309"/>
      <c r="I40144" s="309"/>
      <c r="J40144" s="309"/>
    </row>
    <row r="40145">
      <c r="B40145" s="309"/>
      <c r="C40145" s="309"/>
      <c r="I40145" s="309"/>
      <c r="J40145" s="309"/>
    </row>
    <row r="40146">
      <c r="B40146" s="309"/>
      <c r="C40146" s="309"/>
      <c r="I40146" s="309"/>
      <c r="J40146" s="309"/>
    </row>
    <row r="40147">
      <c r="B40147" s="309"/>
      <c r="C40147" s="309"/>
      <c r="I40147" s="309"/>
      <c r="J40147" s="309"/>
    </row>
    <row r="40148">
      <c r="B40148" s="309"/>
      <c r="C40148" s="309"/>
      <c r="I40148" s="309"/>
      <c r="J40148" s="309"/>
    </row>
    <row r="40149">
      <c r="B40149" s="309"/>
      <c r="C40149" s="309"/>
      <c r="I40149" s="309"/>
      <c r="J40149" s="309"/>
    </row>
    <row r="40150">
      <c r="B40150" s="309"/>
      <c r="C40150" s="309"/>
      <c r="I40150" s="309"/>
      <c r="J40150" s="309"/>
    </row>
    <row r="40151">
      <c r="B40151" s="309"/>
      <c r="C40151" s="309"/>
      <c r="I40151" s="309"/>
      <c r="J40151" s="309"/>
    </row>
    <row r="40152">
      <c r="B40152" s="309"/>
      <c r="C40152" s="309"/>
      <c r="I40152" s="309"/>
      <c r="J40152" s="309"/>
    </row>
    <row r="40153">
      <c r="B40153" s="309"/>
      <c r="C40153" s="309"/>
      <c r="I40153" s="309"/>
      <c r="J40153" s="309"/>
    </row>
    <row r="40154">
      <c r="B40154" s="309"/>
      <c r="C40154" s="309"/>
      <c r="I40154" s="309"/>
      <c r="J40154" s="309"/>
    </row>
    <row r="40155">
      <c r="B40155" s="309"/>
      <c r="C40155" s="309"/>
      <c r="I40155" s="309"/>
      <c r="J40155" s="309"/>
    </row>
    <row r="40156">
      <c r="B40156" s="309"/>
      <c r="C40156" s="309"/>
      <c r="I40156" s="309"/>
      <c r="J40156" s="309"/>
    </row>
    <row r="40157">
      <c r="B40157" s="309"/>
      <c r="C40157" s="309"/>
      <c r="I40157" s="309"/>
      <c r="J40157" s="309"/>
    </row>
    <row r="40158">
      <c r="B40158" s="309"/>
      <c r="C40158" s="309"/>
      <c r="I40158" s="309"/>
      <c r="J40158" s="309"/>
    </row>
    <row r="40159">
      <c r="B40159" s="309"/>
      <c r="C40159" s="309"/>
      <c r="I40159" s="309"/>
      <c r="J40159" s="309"/>
    </row>
    <row r="40160">
      <c r="B40160" s="309"/>
      <c r="C40160" s="309"/>
      <c r="I40160" s="309"/>
      <c r="J40160" s="309"/>
    </row>
    <row r="40161">
      <c r="B40161" s="309"/>
      <c r="C40161" s="309"/>
      <c r="I40161" s="309"/>
      <c r="J40161" s="309"/>
    </row>
    <row r="40162">
      <c r="B40162" s="309"/>
      <c r="C40162" s="309"/>
      <c r="I40162" s="309"/>
      <c r="J40162" s="309"/>
    </row>
    <row r="40163">
      <c r="B40163" s="309"/>
      <c r="C40163" s="309"/>
      <c r="I40163" s="309"/>
      <c r="J40163" s="309"/>
    </row>
    <row r="40164">
      <c r="B40164" s="309"/>
      <c r="C40164" s="309"/>
      <c r="I40164" s="309"/>
      <c r="J40164" s="309"/>
    </row>
    <row r="40165">
      <c r="B40165" s="309"/>
      <c r="C40165" s="309"/>
      <c r="I40165" s="309"/>
      <c r="J40165" s="309"/>
    </row>
    <row r="40166">
      <c r="B40166" s="309"/>
      <c r="C40166" s="309"/>
      <c r="I40166" s="309"/>
      <c r="J40166" s="309"/>
    </row>
    <row r="40167">
      <c r="B40167" s="309"/>
      <c r="C40167" s="309"/>
      <c r="I40167" s="309"/>
      <c r="J40167" s="309"/>
    </row>
    <row r="40168">
      <c r="B40168" s="309"/>
      <c r="C40168" s="309"/>
      <c r="I40168" s="309"/>
      <c r="J40168" s="309"/>
    </row>
    <row r="40169">
      <c r="B40169" s="309"/>
      <c r="C40169" s="309"/>
      <c r="I40169" s="309"/>
      <c r="J40169" s="309"/>
    </row>
    <row r="40170">
      <c r="B40170" s="309"/>
      <c r="C40170" s="309"/>
      <c r="I40170" s="309"/>
      <c r="J40170" s="309"/>
    </row>
    <row r="40171">
      <c r="B40171" s="309"/>
      <c r="C40171" s="309"/>
      <c r="I40171" s="309"/>
      <c r="J40171" s="309"/>
    </row>
    <row r="40172">
      <c r="B40172" s="309"/>
      <c r="C40172" s="309"/>
      <c r="I40172" s="309"/>
      <c r="J40172" s="309"/>
    </row>
    <row r="40173">
      <c r="B40173" s="309"/>
      <c r="C40173" s="309"/>
      <c r="I40173" s="309"/>
      <c r="J40173" s="309"/>
    </row>
    <row r="40174">
      <c r="B40174" s="309"/>
      <c r="C40174" s="309"/>
      <c r="I40174" s="309"/>
      <c r="J40174" s="309"/>
    </row>
    <row r="40175">
      <c r="B40175" s="309"/>
      <c r="C40175" s="309"/>
      <c r="I40175" s="309"/>
      <c r="J40175" s="309"/>
    </row>
    <row r="40176">
      <c r="B40176" s="309"/>
      <c r="C40176" s="309"/>
      <c r="I40176" s="309"/>
      <c r="J40176" s="309"/>
    </row>
    <row r="40177">
      <c r="B40177" s="309"/>
      <c r="C40177" s="309"/>
      <c r="I40177" s="309"/>
      <c r="J40177" s="309"/>
    </row>
    <row r="40178">
      <c r="B40178" s="309"/>
      <c r="C40178" s="309"/>
      <c r="I40178" s="309"/>
      <c r="J40178" s="309"/>
    </row>
    <row r="40179">
      <c r="B40179" s="309"/>
      <c r="C40179" s="309"/>
      <c r="I40179" s="309"/>
      <c r="J40179" s="309"/>
    </row>
    <row r="40180">
      <c r="B40180" s="309"/>
      <c r="C40180" s="309"/>
      <c r="I40180" s="309"/>
      <c r="J40180" s="309"/>
    </row>
    <row r="40181">
      <c r="B40181" s="309"/>
      <c r="C40181" s="309"/>
      <c r="I40181" s="309"/>
      <c r="J40181" s="309"/>
    </row>
    <row r="40182">
      <c r="B40182" s="309"/>
      <c r="C40182" s="309"/>
      <c r="I40182" s="309"/>
      <c r="J40182" s="309"/>
    </row>
    <row r="40183">
      <c r="B40183" s="309"/>
      <c r="C40183" s="309"/>
      <c r="I40183" s="309"/>
      <c r="J40183" s="309"/>
    </row>
    <row r="40184">
      <c r="B40184" s="309"/>
      <c r="C40184" s="309"/>
      <c r="I40184" s="309"/>
      <c r="J40184" s="309"/>
    </row>
    <row r="40185">
      <c r="B40185" s="309"/>
      <c r="C40185" s="309"/>
      <c r="I40185" s="309"/>
      <c r="J40185" s="309"/>
    </row>
    <row r="40186">
      <c r="B40186" s="309"/>
      <c r="C40186" s="309"/>
      <c r="I40186" s="309"/>
      <c r="J40186" s="309"/>
    </row>
    <row r="40187">
      <c r="B40187" s="309"/>
      <c r="C40187" s="309"/>
      <c r="I40187" s="309"/>
      <c r="J40187" s="309"/>
    </row>
    <row r="40188">
      <c r="B40188" s="309"/>
      <c r="C40188" s="309"/>
      <c r="I40188" s="309"/>
      <c r="J40188" s="309"/>
    </row>
    <row r="40189">
      <c r="B40189" s="309"/>
      <c r="C40189" s="309"/>
      <c r="I40189" s="309"/>
      <c r="J40189" s="309"/>
    </row>
    <row r="40190">
      <c r="B40190" s="309"/>
      <c r="C40190" s="309"/>
      <c r="I40190" s="309"/>
      <c r="J40190" s="309"/>
    </row>
    <row r="40191">
      <c r="B40191" s="309"/>
      <c r="C40191" s="309"/>
      <c r="I40191" s="309"/>
      <c r="J40191" s="309"/>
    </row>
    <row r="40192">
      <c r="B40192" s="309"/>
      <c r="C40192" s="309"/>
      <c r="I40192" s="309"/>
      <c r="J40192" s="309"/>
    </row>
    <row r="40193">
      <c r="B40193" s="309"/>
      <c r="C40193" s="309"/>
      <c r="I40193" s="309"/>
      <c r="J40193" s="309"/>
    </row>
    <row r="40194">
      <c r="B40194" s="309"/>
      <c r="C40194" s="309"/>
      <c r="I40194" s="309"/>
      <c r="J40194" s="309"/>
    </row>
    <row r="40195">
      <c r="B40195" s="309"/>
      <c r="C40195" s="309"/>
      <c r="I40195" s="309"/>
      <c r="J40195" s="309"/>
    </row>
    <row r="40196">
      <c r="B40196" s="309"/>
      <c r="C40196" s="309"/>
      <c r="I40196" s="309"/>
      <c r="J40196" s="309"/>
    </row>
    <row r="40197">
      <c r="B40197" s="309"/>
      <c r="C40197" s="309"/>
      <c r="I40197" s="309"/>
      <c r="J40197" s="309"/>
    </row>
    <row r="40198">
      <c r="B40198" s="309"/>
      <c r="C40198" s="309"/>
      <c r="I40198" s="309"/>
      <c r="J40198" s="309"/>
    </row>
    <row r="40199">
      <c r="B40199" s="309"/>
      <c r="C40199" s="309"/>
      <c r="I40199" s="309"/>
      <c r="J40199" s="309"/>
    </row>
    <row r="40200">
      <c r="B40200" s="309"/>
      <c r="C40200" s="309"/>
      <c r="I40200" s="309"/>
      <c r="J40200" s="309"/>
    </row>
    <row r="40201">
      <c r="B40201" s="309"/>
      <c r="C40201" s="309"/>
      <c r="I40201" s="309"/>
      <c r="J40201" s="309"/>
    </row>
    <row r="40202">
      <c r="B40202" s="309"/>
      <c r="C40202" s="309"/>
      <c r="I40202" s="309"/>
      <c r="J40202" s="309"/>
    </row>
    <row r="40203">
      <c r="B40203" s="309"/>
      <c r="C40203" s="309"/>
      <c r="I40203" s="309"/>
      <c r="J40203" s="309"/>
    </row>
    <row r="40204">
      <c r="B40204" s="309"/>
      <c r="C40204" s="309"/>
      <c r="I40204" s="309"/>
      <c r="J40204" s="309"/>
    </row>
    <row r="40205">
      <c r="B40205" s="309"/>
      <c r="C40205" s="309"/>
      <c r="I40205" s="309"/>
      <c r="J40205" s="309"/>
    </row>
    <row r="40206">
      <c r="B40206" s="309"/>
      <c r="C40206" s="309"/>
      <c r="I40206" s="309"/>
      <c r="J40206" s="309"/>
    </row>
    <row r="40207">
      <c r="B40207" s="309"/>
      <c r="C40207" s="309"/>
      <c r="I40207" s="309"/>
      <c r="J40207" s="309"/>
    </row>
    <row r="40208">
      <c r="B40208" s="309"/>
      <c r="C40208" s="309"/>
      <c r="I40208" s="309"/>
      <c r="J40208" s="309"/>
    </row>
    <row r="40209">
      <c r="B40209" s="309"/>
      <c r="C40209" s="309"/>
      <c r="I40209" s="309"/>
      <c r="J40209" s="309"/>
    </row>
    <row r="40210">
      <c r="B40210" s="309"/>
      <c r="C40210" s="309"/>
      <c r="I40210" s="309"/>
      <c r="J40210" s="309"/>
    </row>
    <row r="40211">
      <c r="B40211" s="309"/>
      <c r="C40211" s="309"/>
      <c r="I40211" s="309"/>
      <c r="J40211" s="309"/>
    </row>
    <row r="40212">
      <c r="B40212" s="309"/>
      <c r="C40212" s="309"/>
      <c r="I40212" s="309"/>
      <c r="J40212" s="309"/>
    </row>
    <row r="40213">
      <c r="B40213" s="309"/>
      <c r="C40213" s="309"/>
      <c r="I40213" s="309"/>
      <c r="J40213" s="309"/>
    </row>
    <row r="40214">
      <c r="B40214" s="309"/>
      <c r="C40214" s="309"/>
      <c r="I40214" s="309"/>
      <c r="J40214" s="309"/>
    </row>
    <row r="40215">
      <c r="B40215" s="309"/>
      <c r="C40215" s="309"/>
      <c r="I40215" s="309"/>
      <c r="J40215" s="309"/>
    </row>
    <row r="40216">
      <c r="B40216" s="309"/>
      <c r="C40216" s="309"/>
      <c r="I40216" s="309"/>
      <c r="J40216" s="309"/>
    </row>
    <row r="40217">
      <c r="B40217" s="309"/>
      <c r="C40217" s="309"/>
      <c r="I40217" s="309"/>
      <c r="J40217" s="309"/>
    </row>
    <row r="40218">
      <c r="B40218" s="309"/>
      <c r="C40218" s="309"/>
      <c r="I40218" s="309"/>
      <c r="J40218" s="309"/>
    </row>
    <row r="40219">
      <c r="B40219" s="309"/>
      <c r="C40219" s="309"/>
      <c r="I40219" s="309"/>
      <c r="J40219" s="309"/>
    </row>
    <row r="40220">
      <c r="B40220" s="309"/>
      <c r="C40220" s="309"/>
      <c r="I40220" s="309"/>
      <c r="J40220" s="309"/>
    </row>
    <row r="40221">
      <c r="B40221" s="309"/>
      <c r="C40221" s="309"/>
      <c r="I40221" s="309"/>
      <c r="J40221" s="309"/>
    </row>
    <row r="40222">
      <c r="B40222" s="309"/>
      <c r="C40222" s="309"/>
      <c r="I40222" s="309"/>
      <c r="J40222" s="309"/>
    </row>
    <row r="40223">
      <c r="B40223" s="309"/>
      <c r="C40223" s="309"/>
      <c r="I40223" s="309"/>
      <c r="J40223" s="309"/>
    </row>
    <row r="40224">
      <c r="B40224" s="309"/>
      <c r="C40224" s="309"/>
      <c r="I40224" s="309"/>
      <c r="J40224" s="309"/>
    </row>
    <row r="40225">
      <c r="B40225" s="309"/>
      <c r="C40225" s="309"/>
      <c r="I40225" s="309"/>
      <c r="J40225" s="309"/>
    </row>
    <row r="40226">
      <c r="B40226" s="309"/>
      <c r="C40226" s="309"/>
      <c r="I40226" s="309"/>
      <c r="J40226" s="309"/>
    </row>
    <row r="40227">
      <c r="B40227" s="309"/>
      <c r="C40227" s="309"/>
      <c r="I40227" s="309"/>
      <c r="J40227" s="309"/>
    </row>
    <row r="40228">
      <c r="B40228" s="309"/>
      <c r="C40228" s="309"/>
      <c r="I40228" s="309"/>
      <c r="J40228" s="309"/>
    </row>
    <row r="40229">
      <c r="B40229" s="309"/>
      <c r="C40229" s="309"/>
      <c r="I40229" s="309"/>
      <c r="J40229" s="309"/>
    </row>
    <row r="40230">
      <c r="B40230" s="309"/>
      <c r="C40230" s="309"/>
      <c r="I40230" s="309"/>
      <c r="J40230" s="309"/>
    </row>
    <row r="40231">
      <c r="B40231" s="309"/>
      <c r="C40231" s="309"/>
      <c r="I40231" s="309"/>
      <c r="J40231" s="309"/>
    </row>
    <row r="40232">
      <c r="B40232" s="309"/>
      <c r="C40232" s="309"/>
      <c r="I40232" s="309"/>
      <c r="J40232" s="309"/>
    </row>
    <row r="40233">
      <c r="B40233" s="309"/>
      <c r="C40233" s="309"/>
      <c r="I40233" s="309"/>
      <c r="J40233" s="309"/>
    </row>
    <row r="40234">
      <c r="B40234" s="309"/>
      <c r="C40234" s="309"/>
      <c r="I40234" s="309"/>
      <c r="J40234" s="309"/>
    </row>
    <row r="40235">
      <c r="B40235" s="309"/>
      <c r="C40235" s="309"/>
      <c r="I40235" s="309"/>
      <c r="J40235" s="309"/>
    </row>
    <row r="40236">
      <c r="B40236" s="309"/>
      <c r="C40236" s="309"/>
      <c r="I40236" s="309"/>
      <c r="J40236" s="309"/>
    </row>
    <row r="40237">
      <c r="B40237" s="309"/>
      <c r="C40237" s="309"/>
      <c r="I40237" s="309"/>
      <c r="J40237" s="309"/>
    </row>
    <row r="40238">
      <c r="B40238" s="309"/>
      <c r="C40238" s="309"/>
      <c r="I40238" s="309"/>
      <c r="J40238" s="309"/>
    </row>
    <row r="40239">
      <c r="B40239" s="309"/>
      <c r="C40239" s="309"/>
      <c r="I40239" s="309"/>
      <c r="J40239" s="309"/>
    </row>
    <row r="40240">
      <c r="B40240" s="309"/>
      <c r="C40240" s="309"/>
      <c r="I40240" s="309"/>
      <c r="J40240" s="309"/>
    </row>
    <row r="40241">
      <c r="B40241" s="309"/>
      <c r="C40241" s="309"/>
      <c r="I40241" s="309"/>
      <c r="J40241" s="309"/>
    </row>
    <row r="40242">
      <c r="B40242" s="309"/>
      <c r="C40242" s="309"/>
      <c r="I40242" s="309"/>
      <c r="J40242" s="309"/>
    </row>
    <row r="40243">
      <c r="B40243" s="309"/>
      <c r="C40243" s="309"/>
      <c r="I40243" s="309"/>
      <c r="J40243" s="309"/>
    </row>
    <row r="40244">
      <c r="B40244" s="309"/>
      <c r="C40244" s="309"/>
      <c r="I40244" s="309"/>
      <c r="J40244" s="309"/>
    </row>
    <row r="40245">
      <c r="B40245" s="309"/>
      <c r="C40245" s="309"/>
      <c r="I40245" s="309"/>
      <c r="J40245" s="309"/>
    </row>
    <row r="40246">
      <c r="B40246" s="309"/>
      <c r="C40246" s="309"/>
      <c r="I40246" s="309"/>
      <c r="J40246" s="309"/>
    </row>
    <row r="40247">
      <c r="B40247" s="309"/>
      <c r="C40247" s="309"/>
      <c r="I40247" s="309"/>
      <c r="J40247" s="309"/>
    </row>
    <row r="40248">
      <c r="B40248" s="309"/>
      <c r="C40248" s="309"/>
      <c r="I40248" s="309"/>
      <c r="J40248" s="309"/>
    </row>
    <row r="40249">
      <c r="B40249" s="309"/>
      <c r="C40249" s="309"/>
      <c r="I40249" s="309"/>
      <c r="J40249" s="309"/>
    </row>
    <row r="40250">
      <c r="B40250" s="309"/>
      <c r="C40250" s="309"/>
      <c r="I40250" s="309"/>
      <c r="J40250" s="309"/>
    </row>
    <row r="40251">
      <c r="B40251" s="309"/>
      <c r="C40251" s="309"/>
      <c r="I40251" s="309"/>
      <c r="J40251" s="309"/>
    </row>
    <row r="40252">
      <c r="B40252" s="309"/>
      <c r="C40252" s="309"/>
      <c r="I40252" s="309"/>
      <c r="J40252" s="309"/>
    </row>
    <row r="40253">
      <c r="B40253" s="309"/>
      <c r="C40253" s="309"/>
      <c r="I40253" s="309"/>
      <c r="J40253" s="309"/>
    </row>
    <row r="40254">
      <c r="B40254" s="309"/>
      <c r="C40254" s="309"/>
      <c r="I40254" s="309"/>
      <c r="J40254" s="309"/>
    </row>
    <row r="40255">
      <c r="B40255" s="309"/>
      <c r="C40255" s="309"/>
      <c r="I40255" s="309"/>
      <c r="J40255" s="309"/>
    </row>
    <row r="40256">
      <c r="B40256" s="309"/>
      <c r="C40256" s="309"/>
      <c r="I40256" s="309"/>
      <c r="J40256" s="309"/>
    </row>
    <row r="40257">
      <c r="B40257" s="309"/>
      <c r="C40257" s="309"/>
      <c r="I40257" s="309"/>
      <c r="J40257" s="309"/>
    </row>
    <row r="40258">
      <c r="B40258" s="309"/>
      <c r="C40258" s="309"/>
      <c r="I40258" s="309"/>
      <c r="J40258" s="309"/>
    </row>
    <row r="40259">
      <c r="B40259" s="309"/>
      <c r="C40259" s="309"/>
      <c r="I40259" s="309"/>
      <c r="J40259" s="309"/>
    </row>
    <row r="40260">
      <c r="B40260" s="309"/>
      <c r="C40260" s="309"/>
      <c r="I40260" s="309"/>
      <c r="J40260" s="309"/>
    </row>
    <row r="40261">
      <c r="B40261" s="309"/>
      <c r="C40261" s="309"/>
      <c r="I40261" s="309"/>
      <c r="J40261" s="309"/>
    </row>
    <row r="40262">
      <c r="B40262" s="309"/>
      <c r="C40262" s="309"/>
      <c r="I40262" s="309"/>
      <c r="J40262" s="309"/>
    </row>
    <row r="40263">
      <c r="B40263" s="309"/>
      <c r="C40263" s="309"/>
      <c r="I40263" s="309"/>
      <c r="J40263" s="309"/>
    </row>
    <row r="40264">
      <c r="B40264" s="309"/>
      <c r="C40264" s="309"/>
      <c r="I40264" s="309"/>
      <c r="J40264" s="309"/>
    </row>
    <row r="40265">
      <c r="B40265" s="309"/>
      <c r="C40265" s="309"/>
      <c r="I40265" s="309"/>
      <c r="J40265" s="309"/>
    </row>
    <row r="40266">
      <c r="B40266" s="309"/>
      <c r="C40266" s="309"/>
      <c r="I40266" s="309"/>
      <c r="J40266" s="309"/>
    </row>
    <row r="40267">
      <c r="B40267" s="309"/>
      <c r="C40267" s="309"/>
      <c r="I40267" s="309"/>
      <c r="J40267" s="309"/>
    </row>
    <row r="40268">
      <c r="B40268" s="309"/>
      <c r="C40268" s="309"/>
      <c r="I40268" s="309"/>
      <c r="J40268" s="309"/>
    </row>
    <row r="40269">
      <c r="B40269" s="309"/>
      <c r="C40269" s="309"/>
      <c r="I40269" s="309"/>
      <c r="J40269" s="309"/>
    </row>
    <row r="40270">
      <c r="B40270" s="309"/>
      <c r="C40270" s="309"/>
      <c r="I40270" s="309"/>
      <c r="J40270" s="309"/>
    </row>
    <row r="40271">
      <c r="B40271" s="309"/>
      <c r="C40271" s="309"/>
      <c r="I40271" s="309"/>
      <c r="J40271" s="309"/>
    </row>
    <row r="40272">
      <c r="B40272" s="309"/>
      <c r="C40272" s="309"/>
      <c r="I40272" s="309"/>
      <c r="J40272" s="309"/>
    </row>
    <row r="40273">
      <c r="B40273" s="309"/>
      <c r="C40273" s="309"/>
      <c r="I40273" s="309"/>
      <c r="J40273" s="309"/>
    </row>
    <row r="40274">
      <c r="B40274" s="309"/>
      <c r="C40274" s="309"/>
      <c r="I40274" s="309"/>
      <c r="J40274" s="309"/>
    </row>
    <row r="40275">
      <c r="B40275" s="309"/>
      <c r="C40275" s="309"/>
      <c r="I40275" s="309"/>
      <c r="J40275" s="309"/>
    </row>
    <row r="40276">
      <c r="B40276" s="309"/>
      <c r="C40276" s="309"/>
      <c r="I40276" s="309"/>
      <c r="J40276" s="309"/>
    </row>
    <row r="40277">
      <c r="B40277" s="309"/>
      <c r="C40277" s="309"/>
      <c r="I40277" s="309"/>
      <c r="J40277" s="309"/>
    </row>
    <row r="40278">
      <c r="B40278" s="309"/>
      <c r="C40278" s="309"/>
      <c r="I40278" s="309"/>
      <c r="J40278" s="309"/>
    </row>
    <row r="40279">
      <c r="B40279" s="309"/>
      <c r="C40279" s="309"/>
      <c r="I40279" s="309"/>
      <c r="J40279" s="309"/>
    </row>
    <row r="40280">
      <c r="B40280" s="309"/>
      <c r="C40280" s="309"/>
      <c r="I40280" s="309"/>
      <c r="J40280" s="309"/>
    </row>
    <row r="40281">
      <c r="B40281" s="309"/>
      <c r="C40281" s="309"/>
      <c r="I40281" s="309"/>
      <c r="J40281" s="309"/>
    </row>
    <row r="40282">
      <c r="B40282" s="309"/>
      <c r="C40282" s="309"/>
      <c r="I40282" s="309"/>
      <c r="J40282" s="309"/>
    </row>
    <row r="40283">
      <c r="B40283" s="309"/>
      <c r="C40283" s="309"/>
      <c r="I40283" s="309"/>
      <c r="J40283" s="309"/>
    </row>
    <row r="40284">
      <c r="B40284" s="309"/>
      <c r="C40284" s="309"/>
      <c r="I40284" s="309"/>
      <c r="J40284" s="309"/>
    </row>
    <row r="40285">
      <c r="B40285" s="309"/>
      <c r="C40285" s="309"/>
      <c r="I40285" s="309"/>
      <c r="J40285" s="309"/>
    </row>
    <row r="40286">
      <c r="B40286" s="309"/>
      <c r="C40286" s="309"/>
      <c r="I40286" s="309"/>
      <c r="J40286" s="309"/>
    </row>
    <row r="40287">
      <c r="B40287" s="309"/>
      <c r="C40287" s="309"/>
      <c r="I40287" s="309"/>
      <c r="J40287" s="309"/>
    </row>
    <row r="40288">
      <c r="B40288" s="309"/>
      <c r="C40288" s="309"/>
      <c r="I40288" s="309"/>
      <c r="J40288" s="309"/>
    </row>
    <row r="40289">
      <c r="B40289" s="309"/>
      <c r="C40289" s="309"/>
      <c r="I40289" s="309"/>
      <c r="J40289" s="309"/>
    </row>
    <row r="40290">
      <c r="B40290" s="309"/>
      <c r="C40290" s="309"/>
      <c r="I40290" s="309"/>
      <c r="J40290" s="309"/>
    </row>
    <row r="40291">
      <c r="B40291" s="309"/>
      <c r="C40291" s="309"/>
      <c r="I40291" s="309"/>
      <c r="J40291" s="309"/>
    </row>
    <row r="40292">
      <c r="B40292" s="309"/>
      <c r="C40292" s="309"/>
      <c r="I40292" s="309"/>
      <c r="J40292" s="309"/>
    </row>
    <row r="40293">
      <c r="B40293" s="309"/>
      <c r="C40293" s="309"/>
      <c r="I40293" s="309"/>
      <c r="J40293" s="309"/>
    </row>
    <row r="40294">
      <c r="B40294" s="309"/>
      <c r="C40294" s="309"/>
      <c r="I40294" s="309"/>
      <c r="J40294" s="309"/>
    </row>
    <row r="40295">
      <c r="B40295" s="309"/>
      <c r="C40295" s="309"/>
      <c r="I40295" s="309"/>
      <c r="J40295" s="309"/>
    </row>
    <row r="40296">
      <c r="B40296" s="309"/>
      <c r="C40296" s="309"/>
      <c r="I40296" s="309"/>
      <c r="J40296" s="309"/>
    </row>
    <row r="40297">
      <c r="B40297" s="309"/>
      <c r="C40297" s="309"/>
      <c r="I40297" s="309"/>
      <c r="J40297" s="309"/>
    </row>
    <row r="40298">
      <c r="B40298" s="309"/>
      <c r="C40298" s="309"/>
      <c r="I40298" s="309"/>
      <c r="J40298" s="309"/>
    </row>
    <row r="40299">
      <c r="B40299" s="309"/>
      <c r="C40299" s="309"/>
      <c r="I40299" s="309"/>
      <c r="J40299" s="309"/>
    </row>
    <row r="40300">
      <c r="B40300" s="309"/>
      <c r="C40300" s="309"/>
      <c r="I40300" s="309"/>
      <c r="J40300" s="309"/>
    </row>
    <row r="40301">
      <c r="B40301" s="309"/>
      <c r="C40301" s="309"/>
      <c r="I40301" s="309"/>
      <c r="J40301" s="309"/>
    </row>
    <row r="40302">
      <c r="B40302" s="309"/>
      <c r="C40302" s="309"/>
      <c r="I40302" s="309"/>
      <c r="J40302" s="309"/>
    </row>
    <row r="40303">
      <c r="B40303" s="309"/>
      <c r="C40303" s="309"/>
      <c r="I40303" s="309"/>
      <c r="J40303" s="309"/>
    </row>
    <row r="40304">
      <c r="B40304" s="309"/>
      <c r="C40304" s="309"/>
      <c r="I40304" s="309"/>
      <c r="J40304" s="309"/>
    </row>
    <row r="40305">
      <c r="B40305" s="309"/>
      <c r="C40305" s="309"/>
      <c r="I40305" s="309"/>
      <c r="J40305" s="309"/>
    </row>
    <row r="40306">
      <c r="B40306" s="309"/>
      <c r="C40306" s="309"/>
      <c r="I40306" s="309"/>
      <c r="J40306" s="309"/>
    </row>
    <row r="40307">
      <c r="B40307" s="309"/>
      <c r="C40307" s="309"/>
      <c r="I40307" s="309"/>
      <c r="J40307" s="309"/>
    </row>
    <row r="40308">
      <c r="B40308" s="309"/>
      <c r="C40308" s="309"/>
      <c r="I40308" s="309"/>
      <c r="J40308" s="309"/>
    </row>
    <row r="40309">
      <c r="B40309" s="309"/>
      <c r="C40309" s="309"/>
      <c r="I40309" s="309"/>
      <c r="J40309" s="309"/>
    </row>
    <row r="40310">
      <c r="B40310" s="309"/>
      <c r="C40310" s="309"/>
      <c r="I40310" s="309"/>
      <c r="J40310" s="309"/>
    </row>
    <row r="40311">
      <c r="B40311" s="309"/>
      <c r="C40311" s="309"/>
      <c r="I40311" s="309"/>
      <c r="J40311" s="309"/>
    </row>
    <row r="40312">
      <c r="B40312" s="309"/>
      <c r="C40312" s="309"/>
      <c r="I40312" s="309"/>
      <c r="J40312" s="309"/>
    </row>
    <row r="40313">
      <c r="B40313" s="309"/>
      <c r="C40313" s="309"/>
      <c r="I40313" s="309"/>
      <c r="J40313" s="309"/>
    </row>
    <row r="40314">
      <c r="B40314" s="309"/>
      <c r="C40314" s="309"/>
      <c r="I40314" s="309"/>
      <c r="J40314" s="309"/>
    </row>
    <row r="40315">
      <c r="B40315" s="309"/>
      <c r="C40315" s="309"/>
      <c r="I40315" s="309"/>
      <c r="J40315" s="309"/>
    </row>
    <row r="40316">
      <c r="B40316" s="309"/>
      <c r="C40316" s="309"/>
      <c r="I40316" s="309"/>
      <c r="J40316" s="309"/>
    </row>
    <row r="40317">
      <c r="B40317" s="309"/>
      <c r="C40317" s="309"/>
      <c r="I40317" s="309"/>
      <c r="J40317" s="309"/>
    </row>
    <row r="40318">
      <c r="B40318" s="309"/>
      <c r="C40318" s="309"/>
      <c r="I40318" s="309"/>
      <c r="J40318" s="309"/>
    </row>
    <row r="40319">
      <c r="B40319" s="309"/>
      <c r="C40319" s="309"/>
      <c r="I40319" s="309"/>
      <c r="J40319" s="309"/>
    </row>
    <row r="40320">
      <c r="B40320" s="309"/>
      <c r="C40320" s="309"/>
      <c r="I40320" s="309"/>
      <c r="J40320" s="309"/>
    </row>
    <row r="40321">
      <c r="B40321" s="309"/>
      <c r="C40321" s="309"/>
      <c r="I40321" s="309"/>
      <c r="J40321" s="309"/>
    </row>
    <row r="40322">
      <c r="B40322" s="309"/>
      <c r="C40322" s="309"/>
      <c r="I40322" s="309"/>
      <c r="J40322" s="309"/>
    </row>
    <row r="40323">
      <c r="B40323" s="309"/>
      <c r="C40323" s="309"/>
      <c r="I40323" s="309"/>
      <c r="J40323" s="309"/>
    </row>
    <row r="40324">
      <c r="B40324" s="309"/>
      <c r="C40324" s="309"/>
      <c r="I40324" s="309"/>
      <c r="J40324" s="309"/>
    </row>
    <row r="40325">
      <c r="B40325" s="309"/>
      <c r="C40325" s="309"/>
      <c r="I40325" s="309"/>
      <c r="J40325" s="309"/>
    </row>
    <row r="40326">
      <c r="B40326" s="309"/>
      <c r="C40326" s="309"/>
      <c r="I40326" s="309"/>
      <c r="J40326" s="309"/>
    </row>
    <row r="40327">
      <c r="B40327" s="309"/>
      <c r="C40327" s="309"/>
      <c r="I40327" s="309"/>
      <c r="J40327" s="309"/>
    </row>
    <row r="40328">
      <c r="B40328" s="309"/>
      <c r="C40328" s="309"/>
      <c r="I40328" s="309"/>
      <c r="J40328" s="309"/>
    </row>
    <row r="40329">
      <c r="B40329" s="309"/>
      <c r="C40329" s="309"/>
      <c r="I40329" s="309"/>
      <c r="J40329" s="309"/>
    </row>
    <row r="40330">
      <c r="B40330" s="309"/>
      <c r="C40330" s="309"/>
      <c r="I40330" s="309"/>
      <c r="J40330" s="309"/>
    </row>
    <row r="40331">
      <c r="B40331" s="309"/>
      <c r="C40331" s="309"/>
      <c r="I40331" s="309"/>
      <c r="J40331" s="309"/>
    </row>
    <row r="40332">
      <c r="B40332" s="309"/>
      <c r="C40332" s="309"/>
      <c r="I40332" s="309"/>
      <c r="J40332" s="309"/>
    </row>
    <row r="40333">
      <c r="B40333" s="309"/>
      <c r="C40333" s="309"/>
      <c r="I40333" s="309"/>
      <c r="J40333" s="309"/>
    </row>
    <row r="40334">
      <c r="B40334" s="309"/>
      <c r="C40334" s="309"/>
      <c r="I40334" s="309"/>
      <c r="J40334" s="309"/>
    </row>
    <row r="40335">
      <c r="B40335" s="309"/>
      <c r="C40335" s="309"/>
      <c r="I40335" s="309"/>
      <c r="J40335" s="309"/>
    </row>
    <row r="40336">
      <c r="B40336" s="309"/>
      <c r="C40336" s="309"/>
      <c r="I40336" s="309"/>
      <c r="J40336" s="309"/>
    </row>
    <row r="40337">
      <c r="B40337" s="309"/>
      <c r="C40337" s="309"/>
      <c r="I40337" s="309"/>
      <c r="J40337" s="309"/>
    </row>
    <row r="40338">
      <c r="B40338" s="309"/>
      <c r="C40338" s="309"/>
      <c r="I40338" s="309"/>
      <c r="J40338" s="309"/>
    </row>
    <row r="40339">
      <c r="B40339" s="309"/>
      <c r="C40339" s="309"/>
      <c r="I40339" s="309"/>
      <c r="J40339" s="309"/>
    </row>
    <row r="40340">
      <c r="B40340" s="309"/>
      <c r="C40340" s="309"/>
      <c r="I40340" s="309"/>
      <c r="J40340" s="309"/>
    </row>
    <row r="40341">
      <c r="B40341" s="309"/>
      <c r="C40341" s="309"/>
      <c r="I40341" s="309"/>
      <c r="J40341" s="309"/>
    </row>
    <row r="40342">
      <c r="B40342" s="309"/>
      <c r="C40342" s="309"/>
      <c r="I40342" s="309"/>
      <c r="J40342" s="309"/>
    </row>
    <row r="40343">
      <c r="B40343" s="309"/>
      <c r="C40343" s="309"/>
      <c r="I40343" s="309"/>
      <c r="J40343" s="309"/>
    </row>
    <row r="40344">
      <c r="B40344" s="309"/>
      <c r="C40344" s="309"/>
      <c r="I40344" s="309"/>
      <c r="J40344" s="309"/>
    </row>
    <row r="40345">
      <c r="B40345" s="309"/>
      <c r="C40345" s="309"/>
      <c r="I40345" s="309"/>
      <c r="J40345" s="309"/>
    </row>
    <row r="40346">
      <c r="B40346" s="309"/>
      <c r="C40346" s="309"/>
      <c r="I40346" s="309"/>
      <c r="J40346" s="309"/>
    </row>
    <row r="40347">
      <c r="B40347" s="309"/>
      <c r="C40347" s="309"/>
      <c r="I40347" s="309"/>
      <c r="J40347" s="309"/>
    </row>
    <row r="40348">
      <c r="B40348" s="309"/>
      <c r="C40348" s="309"/>
      <c r="I40348" s="309"/>
      <c r="J40348" s="309"/>
    </row>
    <row r="40349">
      <c r="B40349" s="309"/>
      <c r="C40349" s="309"/>
      <c r="I40349" s="309"/>
      <c r="J40349" s="309"/>
    </row>
    <row r="40350">
      <c r="B40350" s="309"/>
      <c r="C40350" s="309"/>
      <c r="I40350" s="309"/>
      <c r="J40350" s="309"/>
    </row>
    <row r="40351">
      <c r="B40351" s="309"/>
      <c r="C40351" s="309"/>
      <c r="I40351" s="309"/>
      <c r="J40351" s="309"/>
    </row>
    <row r="40352">
      <c r="B40352" s="309"/>
      <c r="C40352" s="309"/>
      <c r="I40352" s="309"/>
      <c r="J40352" s="309"/>
    </row>
    <row r="40353">
      <c r="B40353" s="309"/>
      <c r="C40353" s="309"/>
      <c r="I40353" s="309"/>
      <c r="J40353" s="309"/>
    </row>
    <row r="40354">
      <c r="B40354" s="309"/>
      <c r="C40354" s="309"/>
      <c r="I40354" s="309"/>
      <c r="J40354" s="309"/>
    </row>
    <row r="40355">
      <c r="B40355" s="309"/>
      <c r="C40355" s="309"/>
      <c r="I40355" s="309"/>
      <c r="J40355" s="309"/>
    </row>
    <row r="40356">
      <c r="B40356" s="309"/>
      <c r="C40356" s="309"/>
      <c r="I40356" s="309"/>
      <c r="J40356" s="309"/>
    </row>
    <row r="40357">
      <c r="B40357" s="309"/>
      <c r="C40357" s="309"/>
      <c r="I40357" s="309"/>
      <c r="J40357" s="309"/>
    </row>
    <row r="40358">
      <c r="B40358" s="309"/>
      <c r="C40358" s="309"/>
      <c r="I40358" s="309"/>
      <c r="J40358" s="309"/>
    </row>
    <row r="40359">
      <c r="B40359" s="309"/>
      <c r="C40359" s="309"/>
      <c r="I40359" s="309"/>
      <c r="J40359" s="309"/>
    </row>
    <row r="40360">
      <c r="B40360" s="309"/>
      <c r="C40360" s="309"/>
      <c r="I40360" s="309"/>
      <c r="J40360" s="309"/>
    </row>
    <row r="40361">
      <c r="B40361" s="309"/>
      <c r="C40361" s="309"/>
      <c r="I40361" s="309"/>
      <c r="J40361" s="309"/>
    </row>
    <row r="40362">
      <c r="B40362" s="309"/>
      <c r="C40362" s="309"/>
      <c r="I40362" s="309"/>
      <c r="J40362" s="309"/>
    </row>
    <row r="40363">
      <c r="B40363" s="309"/>
      <c r="C40363" s="309"/>
      <c r="I40363" s="309"/>
      <c r="J40363" s="309"/>
    </row>
    <row r="40364">
      <c r="B40364" s="309"/>
      <c r="C40364" s="309"/>
      <c r="I40364" s="309"/>
      <c r="J40364" s="309"/>
    </row>
    <row r="40365">
      <c r="B40365" s="309"/>
      <c r="C40365" s="309"/>
      <c r="I40365" s="309"/>
      <c r="J40365" s="309"/>
    </row>
    <row r="40366">
      <c r="B40366" s="309"/>
      <c r="C40366" s="309"/>
      <c r="I40366" s="309"/>
      <c r="J40366" s="309"/>
    </row>
    <row r="40367">
      <c r="B40367" s="309"/>
      <c r="C40367" s="309"/>
      <c r="I40367" s="309"/>
      <c r="J40367" s="309"/>
    </row>
    <row r="40368">
      <c r="B40368" s="309"/>
      <c r="C40368" s="309"/>
      <c r="I40368" s="309"/>
      <c r="J40368" s="309"/>
    </row>
    <row r="40369">
      <c r="B40369" s="309"/>
      <c r="C40369" s="309"/>
      <c r="I40369" s="309"/>
      <c r="J40369" s="309"/>
    </row>
    <row r="40370">
      <c r="B40370" s="309"/>
      <c r="C40370" s="309"/>
      <c r="I40370" s="309"/>
      <c r="J40370" s="309"/>
    </row>
    <row r="40371">
      <c r="B40371" s="309"/>
      <c r="C40371" s="309"/>
      <c r="I40371" s="309"/>
      <c r="J40371" s="309"/>
    </row>
    <row r="40372">
      <c r="B40372" s="309"/>
      <c r="C40372" s="309"/>
      <c r="I40372" s="309"/>
      <c r="J40372" s="309"/>
    </row>
    <row r="40373">
      <c r="B40373" s="309"/>
      <c r="C40373" s="309"/>
      <c r="I40373" s="309"/>
      <c r="J40373" s="309"/>
    </row>
    <row r="40374">
      <c r="B40374" s="309"/>
      <c r="C40374" s="309"/>
      <c r="I40374" s="309"/>
      <c r="J40374" s="309"/>
    </row>
    <row r="40375">
      <c r="B40375" s="309"/>
      <c r="C40375" s="309"/>
      <c r="I40375" s="309"/>
      <c r="J40375" s="309"/>
    </row>
    <row r="40376">
      <c r="B40376" s="309"/>
      <c r="C40376" s="309"/>
      <c r="I40376" s="309"/>
      <c r="J40376" s="309"/>
    </row>
    <row r="40377">
      <c r="B40377" s="309"/>
      <c r="C40377" s="309"/>
      <c r="I40377" s="309"/>
      <c r="J40377" s="309"/>
    </row>
    <row r="40378">
      <c r="B40378" s="309"/>
      <c r="C40378" s="309"/>
      <c r="I40378" s="309"/>
      <c r="J40378" s="309"/>
    </row>
    <row r="40379">
      <c r="B40379" s="309"/>
      <c r="C40379" s="309"/>
      <c r="I40379" s="309"/>
      <c r="J40379" s="309"/>
    </row>
    <row r="40380">
      <c r="B40380" s="309"/>
      <c r="C40380" s="309"/>
      <c r="I40380" s="309"/>
      <c r="J40380" s="309"/>
    </row>
    <row r="40381">
      <c r="B40381" s="309"/>
      <c r="C40381" s="309"/>
      <c r="I40381" s="309"/>
      <c r="J40381" s="309"/>
    </row>
    <row r="40382">
      <c r="B40382" s="309"/>
      <c r="C40382" s="309"/>
      <c r="I40382" s="309"/>
      <c r="J40382" s="309"/>
    </row>
    <row r="40383">
      <c r="B40383" s="309"/>
      <c r="C40383" s="309"/>
      <c r="I40383" s="309"/>
      <c r="J40383" s="309"/>
    </row>
    <row r="40384">
      <c r="B40384" s="309"/>
      <c r="C40384" s="309"/>
      <c r="I40384" s="309"/>
      <c r="J40384" s="309"/>
    </row>
    <row r="40385">
      <c r="B40385" s="309"/>
      <c r="C40385" s="309"/>
      <c r="I40385" s="309"/>
      <c r="J40385" s="309"/>
    </row>
    <row r="40386">
      <c r="B40386" s="309"/>
      <c r="C40386" s="309"/>
      <c r="I40386" s="309"/>
      <c r="J40386" s="309"/>
    </row>
    <row r="40387">
      <c r="B40387" s="309"/>
      <c r="C40387" s="309"/>
      <c r="I40387" s="309"/>
      <c r="J40387" s="309"/>
    </row>
    <row r="40388">
      <c r="B40388" s="309"/>
      <c r="C40388" s="309"/>
      <c r="I40388" s="309"/>
      <c r="J40388" s="309"/>
    </row>
    <row r="40389">
      <c r="B40389" s="309"/>
      <c r="C40389" s="309"/>
      <c r="I40389" s="309"/>
      <c r="J40389" s="309"/>
    </row>
    <row r="40390">
      <c r="B40390" s="309"/>
      <c r="C40390" s="309"/>
      <c r="I40390" s="309"/>
      <c r="J40390" s="309"/>
    </row>
    <row r="40391">
      <c r="B40391" s="309"/>
      <c r="C40391" s="309"/>
      <c r="I40391" s="309"/>
      <c r="J40391" s="309"/>
    </row>
    <row r="40392">
      <c r="B40392" s="309"/>
      <c r="C40392" s="309"/>
      <c r="I40392" s="309"/>
      <c r="J40392" s="309"/>
    </row>
    <row r="40393">
      <c r="B40393" s="309"/>
      <c r="C40393" s="309"/>
      <c r="I40393" s="309"/>
      <c r="J40393" s="309"/>
    </row>
    <row r="40394">
      <c r="B40394" s="309"/>
      <c r="C40394" s="309"/>
      <c r="I40394" s="309"/>
      <c r="J40394" s="309"/>
    </row>
    <row r="40395">
      <c r="B40395" s="309"/>
      <c r="C40395" s="309"/>
      <c r="I40395" s="309"/>
      <c r="J40395" s="309"/>
    </row>
    <row r="40396">
      <c r="B40396" s="309"/>
      <c r="C40396" s="309"/>
      <c r="I40396" s="309"/>
      <c r="J40396" s="309"/>
    </row>
    <row r="40397">
      <c r="B40397" s="309"/>
      <c r="C40397" s="309"/>
      <c r="I40397" s="309"/>
      <c r="J40397" s="309"/>
    </row>
    <row r="40398">
      <c r="B40398" s="309"/>
      <c r="C40398" s="309"/>
      <c r="I40398" s="309"/>
      <c r="J40398" s="309"/>
    </row>
    <row r="40399">
      <c r="B40399" s="309"/>
      <c r="C40399" s="309"/>
      <c r="I40399" s="309"/>
      <c r="J40399" s="309"/>
    </row>
    <row r="40400">
      <c r="B40400" s="309"/>
      <c r="C40400" s="309"/>
      <c r="I40400" s="309"/>
      <c r="J40400" s="309"/>
    </row>
    <row r="40401">
      <c r="B40401" s="309"/>
      <c r="C40401" s="309"/>
      <c r="I40401" s="309"/>
      <c r="J40401" s="309"/>
    </row>
    <row r="40402">
      <c r="B40402" s="309"/>
      <c r="C40402" s="309"/>
      <c r="I40402" s="309"/>
      <c r="J40402" s="309"/>
    </row>
    <row r="40403">
      <c r="B40403" s="309"/>
      <c r="C40403" s="309"/>
      <c r="I40403" s="309"/>
      <c r="J40403" s="309"/>
    </row>
    <row r="40404">
      <c r="B40404" s="309"/>
      <c r="C40404" s="309"/>
      <c r="I40404" s="309"/>
      <c r="J40404" s="309"/>
    </row>
    <row r="40405">
      <c r="B40405" s="309"/>
      <c r="C40405" s="309"/>
      <c r="I40405" s="309"/>
      <c r="J40405" s="309"/>
    </row>
    <row r="40406">
      <c r="B40406" s="309"/>
      <c r="C40406" s="309"/>
      <c r="I40406" s="309"/>
      <c r="J40406" s="309"/>
    </row>
    <row r="40407">
      <c r="B40407" s="309"/>
      <c r="C40407" s="309"/>
      <c r="I40407" s="309"/>
      <c r="J40407" s="309"/>
    </row>
    <row r="40408">
      <c r="B40408" s="309"/>
      <c r="C40408" s="309"/>
      <c r="I40408" s="309"/>
      <c r="J40408" s="309"/>
    </row>
    <row r="40409">
      <c r="B40409" s="309"/>
      <c r="C40409" s="309"/>
      <c r="I40409" s="309"/>
      <c r="J40409" s="309"/>
    </row>
    <row r="40410">
      <c r="B40410" s="309"/>
      <c r="C40410" s="309"/>
      <c r="I40410" s="309"/>
      <c r="J40410" s="309"/>
    </row>
    <row r="40411">
      <c r="B40411" s="309"/>
      <c r="C40411" s="309"/>
      <c r="I40411" s="309"/>
      <c r="J40411" s="309"/>
    </row>
    <row r="40412">
      <c r="B40412" s="309"/>
      <c r="C40412" s="309"/>
      <c r="I40412" s="309"/>
      <c r="J40412" s="309"/>
    </row>
    <row r="40413">
      <c r="B40413" s="309"/>
      <c r="C40413" s="309"/>
      <c r="I40413" s="309"/>
      <c r="J40413" s="309"/>
    </row>
    <row r="40414">
      <c r="B40414" s="309"/>
      <c r="C40414" s="309"/>
      <c r="I40414" s="309"/>
      <c r="J40414" s="309"/>
    </row>
    <row r="40415">
      <c r="B40415" s="309"/>
      <c r="C40415" s="309"/>
      <c r="I40415" s="309"/>
      <c r="J40415" s="309"/>
    </row>
    <row r="40416">
      <c r="B40416" s="309"/>
      <c r="C40416" s="309"/>
      <c r="I40416" s="309"/>
      <c r="J40416" s="309"/>
    </row>
    <row r="40417">
      <c r="B40417" s="309"/>
      <c r="C40417" s="309"/>
      <c r="I40417" s="309"/>
      <c r="J40417" s="309"/>
    </row>
    <row r="40418">
      <c r="B40418" s="309"/>
      <c r="C40418" s="309"/>
      <c r="I40418" s="309"/>
      <c r="J40418" s="309"/>
    </row>
    <row r="40419">
      <c r="B40419" s="309"/>
      <c r="C40419" s="309"/>
      <c r="I40419" s="309"/>
      <c r="J40419" s="309"/>
    </row>
    <row r="40420">
      <c r="B40420" s="309"/>
      <c r="C40420" s="309"/>
      <c r="I40420" s="309"/>
      <c r="J40420" s="309"/>
    </row>
    <row r="40421">
      <c r="B40421" s="309"/>
      <c r="C40421" s="309"/>
      <c r="I40421" s="309"/>
      <c r="J40421" s="309"/>
    </row>
    <row r="40422">
      <c r="B40422" s="309"/>
      <c r="C40422" s="309"/>
      <c r="I40422" s="309"/>
      <c r="J40422" s="309"/>
    </row>
    <row r="40423">
      <c r="B40423" s="309"/>
      <c r="C40423" s="309"/>
      <c r="I40423" s="309"/>
      <c r="J40423" s="309"/>
    </row>
    <row r="40424">
      <c r="B40424" s="309"/>
      <c r="C40424" s="309"/>
      <c r="I40424" s="309"/>
      <c r="J40424" s="309"/>
    </row>
    <row r="40425">
      <c r="B40425" s="309"/>
      <c r="C40425" s="309"/>
      <c r="I40425" s="309"/>
      <c r="J40425" s="309"/>
    </row>
    <row r="40426">
      <c r="B40426" s="309"/>
      <c r="C40426" s="309"/>
      <c r="I40426" s="309"/>
      <c r="J40426" s="309"/>
    </row>
    <row r="40427">
      <c r="B40427" s="309"/>
      <c r="C40427" s="309"/>
      <c r="I40427" s="309"/>
      <c r="J40427" s="309"/>
    </row>
    <row r="40428">
      <c r="B40428" s="309"/>
      <c r="C40428" s="309"/>
      <c r="I40428" s="309"/>
      <c r="J40428" s="309"/>
    </row>
    <row r="40429">
      <c r="B40429" s="309"/>
      <c r="C40429" s="309"/>
      <c r="I40429" s="309"/>
      <c r="J40429" s="309"/>
    </row>
    <row r="40430">
      <c r="B40430" s="309"/>
      <c r="C40430" s="309"/>
      <c r="I40430" s="309"/>
      <c r="J40430" s="309"/>
    </row>
    <row r="40431">
      <c r="B40431" s="309"/>
      <c r="C40431" s="309"/>
      <c r="I40431" s="309"/>
      <c r="J40431" s="309"/>
    </row>
    <row r="40432">
      <c r="B40432" s="309"/>
      <c r="C40432" s="309"/>
      <c r="I40432" s="309"/>
      <c r="J40432" s="309"/>
    </row>
    <row r="40433">
      <c r="B40433" s="309"/>
      <c r="C40433" s="309"/>
      <c r="I40433" s="309"/>
      <c r="J40433" s="309"/>
    </row>
    <row r="40434">
      <c r="B40434" s="309"/>
      <c r="C40434" s="309"/>
      <c r="I40434" s="309"/>
      <c r="J40434" s="309"/>
    </row>
    <row r="40435">
      <c r="B40435" s="309"/>
      <c r="C40435" s="309"/>
      <c r="I40435" s="309"/>
      <c r="J40435" s="309"/>
    </row>
    <row r="40436">
      <c r="B40436" s="309"/>
      <c r="C40436" s="309"/>
      <c r="I40436" s="309"/>
      <c r="J40436" s="309"/>
    </row>
    <row r="40437">
      <c r="B40437" s="309"/>
      <c r="C40437" s="309"/>
      <c r="I40437" s="309"/>
      <c r="J40437" s="309"/>
    </row>
    <row r="40438">
      <c r="B40438" s="309"/>
      <c r="C40438" s="309"/>
      <c r="I40438" s="309"/>
      <c r="J40438" s="309"/>
    </row>
    <row r="40439">
      <c r="B40439" s="309"/>
      <c r="C40439" s="309"/>
      <c r="I40439" s="309"/>
      <c r="J40439" s="309"/>
    </row>
    <row r="40440">
      <c r="B40440" s="309"/>
      <c r="C40440" s="309"/>
      <c r="I40440" s="309"/>
      <c r="J40440" s="309"/>
    </row>
    <row r="40441">
      <c r="B40441" s="309"/>
      <c r="C40441" s="309"/>
      <c r="I40441" s="309"/>
      <c r="J40441" s="309"/>
    </row>
    <row r="40442">
      <c r="B40442" s="309"/>
      <c r="C40442" s="309"/>
      <c r="I40442" s="309"/>
      <c r="J40442" s="309"/>
    </row>
    <row r="40443">
      <c r="B40443" s="309"/>
      <c r="C40443" s="309"/>
      <c r="I40443" s="309"/>
      <c r="J40443" s="309"/>
    </row>
    <row r="40444">
      <c r="B40444" s="309"/>
      <c r="C40444" s="309"/>
      <c r="I40444" s="309"/>
      <c r="J40444" s="309"/>
    </row>
    <row r="40445">
      <c r="B40445" s="309"/>
      <c r="C40445" s="309"/>
      <c r="I40445" s="309"/>
      <c r="J40445" s="309"/>
    </row>
    <row r="40446">
      <c r="B40446" s="309"/>
      <c r="C40446" s="309"/>
      <c r="I40446" s="309"/>
      <c r="J40446" s="309"/>
    </row>
    <row r="40447">
      <c r="B40447" s="309"/>
      <c r="C40447" s="309"/>
      <c r="I40447" s="309"/>
      <c r="J40447" s="309"/>
    </row>
    <row r="40448">
      <c r="B40448" s="309"/>
      <c r="C40448" s="309"/>
      <c r="I40448" s="309"/>
      <c r="J40448" s="309"/>
    </row>
    <row r="40449">
      <c r="B40449" s="309"/>
      <c r="C40449" s="309"/>
      <c r="I40449" s="309"/>
      <c r="J40449" s="309"/>
    </row>
    <row r="40450">
      <c r="B40450" s="309"/>
      <c r="C40450" s="309"/>
      <c r="I40450" s="309"/>
      <c r="J40450" s="309"/>
    </row>
    <row r="40451">
      <c r="B40451" s="309"/>
      <c r="C40451" s="309"/>
      <c r="I40451" s="309"/>
      <c r="J40451" s="309"/>
    </row>
    <row r="40452">
      <c r="B40452" s="309"/>
      <c r="C40452" s="309"/>
      <c r="I40452" s="309"/>
      <c r="J40452" s="309"/>
    </row>
    <row r="40453">
      <c r="B40453" s="309"/>
      <c r="C40453" s="309"/>
      <c r="I40453" s="309"/>
      <c r="J40453" s="309"/>
    </row>
    <row r="40454">
      <c r="B40454" s="309"/>
      <c r="C40454" s="309"/>
      <c r="I40454" s="309"/>
      <c r="J40454" s="309"/>
    </row>
    <row r="40455">
      <c r="B40455" s="309"/>
      <c r="C40455" s="309"/>
      <c r="I40455" s="309"/>
      <c r="J40455" s="309"/>
    </row>
    <row r="40456">
      <c r="B40456" s="309"/>
      <c r="C40456" s="309"/>
      <c r="I40456" s="309"/>
      <c r="J40456" s="309"/>
    </row>
    <row r="40457">
      <c r="B40457" s="309"/>
      <c r="C40457" s="309"/>
      <c r="I40457" s="309"/>
      <c r="J40457" s="309"/>
    </row>
    <row r="40458">
      <c r="B40458" s="309"/>
      <c r="C40458" s="309"/>
      <c r="I40458" s="309"/>
      <c r="J40458" s="309"/>
    </row>
    <row r="40459">
      <c r="B40459" s="309"/>
      <c r="C40459" s="309"/>
      <c r="I40459" s="309"/>
      <c r="J40459" s="309"/>
    </row>
    <row r="40460">
      <c r="B40460" s="309"/>
      <c r="C40460" s="309"/>
      <c r="I40460" s="309"/>
      <c r="J40460" s="309"/>
    </row>
    <row r="40461">
      <c r="B40461" s="309"/>
      <c r="C40461" s="309"/>
      <c r="I40461" s="309"/>
      <c r="J40461" s="309"/>
    </row>
    <row r="40462">
      <c r="B40462" s="309"/>
      <c r="C40462" s="309"/>
      <c r="I40462" s="309"/>
      <c r="J40462" s="309"/>
    </row>
    <row r="40463">
      <c r="B40463" s="309"/>
      <c r="C40463" s="309"/>
      <c r="I40463" s="309"/>
      <c r="J40463" s="309"/>
    </row>
    <row r="40464">
      <c r="B40464" s="309"/>
      <c r="C40464" s="309"/>
      <c r="I40464" s="309"/>
      <c r="J40464" s="309"/>
    </row>
    <row r="40465">
      <c r="B40465" s="309"/>
      <c r="C40465" s="309"/>
      <c r="I40465" s="309"/>
      <c r="J40465" s="309"/>
    </row>
    <row r="40466">
      <c r="B40466" s="309"/>
      <c r="C40466" s="309"/>
      <c r="I40466" s="309"/>
      <c r="J40466" s="309"/>
    </row>
    <row r="40467">
      <c r="B40467" s="309"/>
      <c r="C40467" s="309"/>
      <c r="I40467" s="309"/>
      <c r="J40467" s="309"/>
    </row>
    <row r="40468">
      <c r="B40468" s="309"/>
      <c r="C40468" s="309"/>
      <c r="I40468" s="309"/>
      <c r="J40468" s="309"/>
    </row>
    <row r="40469">
      <c r="B40469" s="309"/>
      <c r="C40469" s="309"/>
      <c r="I40469" s="309"/>
      <c r="J40469" s="309"/>
    </row>
    <row r="40470">
      <c r="B40470" s="309"/>
      <c r="C40470" s="309"/>
      <c r="I40470" s="309"/>
      <c r="J40470" s="309"/>
    </row>
    <row r="40471">
      <c r="B40471" s="309"/>
      <c r="C40471" s="309"/>
      <c r="I40471" s="309"/>
      <c r="J40471" s="309"/>
    </row>
    <row r="40472">
      <c r="B40472" s="309"/>
      <c r="C40472" s="309"/>
      <c r="I40472" s="309"/>
      <c r="J40472" s="309"/>
    </row>
    <row r="40473">
      <c r="B40473" s="309"/>
      <c r="C40473" s="309"/>
      <c r="I40473" s="309"/>
      <c r="J40473" s="309"/>
    </row>
    <row r="40474">
      <c r="B40474" s="309"/>
      <c r="C40474" s="309"/>
      <c r="I40474" s="309"/>
      <c r="J40474" s="309"/>
    </row>
    <row r="40475">
      <c r="B40475" s="309"/>
      <c r="C40475" s="309"/>
      <c r="I40475" s="309"/>
      <c r="J40475" s="309"/>
    </row>
    <row r="40476">
      <c r="B40476" s="309"/>
      <c r="C40476" s="309"/>
      <c r="I40476" s="309"/>
      <c r="J40476" s="309"/>
    </row>
    <row r="40477">
      <c r="B40477" s="309"/>
      <c r="C40477" s="309"/>
      <c r="I40477" s="309"/>
      <c r="J40477" s="309"/>
    </row>
    <row r="40478">
      <c r="B40478" s="309"/>
      <c r="C40478" s="309"/>
      <c r="I40478" s="309"/>
      <c r="J40478" s="309"/>
    </row>
    <row r="40479">
      <c r="B40479" s="309"/>
      <c r="C40479" s="309"/>
      <c r="I40479" s="309"/>
      <c r="J40479" s="309"/>
    </row>
    <row r="40480">
      <c r="B40480" s="309"/>
      <c r="C40480" s="309"/>
      <c r="I40480" s="309"/>
      <c r="J40480" s="309"/>
    </row>
    <row r="40481">
      <c r="B40481" s="309"/>
      <c r="C40481" s="309"/>
      <c r="I40481" s="309"/>
      <c r="J40481" s="309"/>
    </row>
    <row r="40482">
      <c r="B40482" s="309"/>
      <c r="C40482" s="309"/>
      <c r="I40482" s="309"/>
      <c r="J40482" s="309"/>
    </row>
    <row r="40483">
      <c r="B40483" s="309"/>
      <c r="C40483" s="309"/>
      <c r="I40483" s="309"/>
      <c r="J40483" s="309"/>
    </row>
    <row r="40484">
      <c r="B40484" s="309"/>
      <c r="C40484" s="309"/>
      <c r="I40484" s="309"/>
      <c r="J40484" s="309"/>
    </row>
    <row r="40485">
      <c r="B40485" s="309"/>
      <c r="C40485" s="309"/>
      <c r="I40485" s="309"/>
      <c r="J40485" s="309"/>
    </row>
    <row r="40486">
      <c r="B40486" s="309"/>
      <c r="C40486" s="309"/>
      <c r="I40486" s="309"/>
      <c r="J40486" s="309"/>
    </row>
    <row r="40487">
      <c r="B40487" s="309"/>
      <c r="C40487" s="309"/>
      <c r="I40487" s="309"/>
      <c r="J40487" s="309"/>
    </row>
    <row r="40488">
      <c r="B40488" s="309"/>
      <c r="C40488" s="309"/>
      <c r="I40488" s="309"/>
      <c r="J40488" s="309"/>
    </row>
    <row r="40489">
      <c r="B40489" s="309"/>
      <c r="C40489" s="309"/>
      <c r="I40489" s="309"/>
      <c r="J40489" s="309"/>
    </row>
    <row r="40490">
      <c r="B40490" s="309"/>
      <c r="C40490" s="309"/>
      <c r="I40490" s="309"/>
      <c r="J40490" s="309"/>
    </row>
    <row r="40491">
      <c r="B40491" s="309"/>
      <c r="C40491" s="309"/>
      <c r="I40491" s="309"/>
      <c r="J40491" s="309"/>
    </row>
    <row r="40492">
      <c r="B40492" s="309"/>
      <c r="C40492" s="309"/>
      <c r="I40492" s="309"/>
      <c r="J40492" s="309"/>
    </row>
    <row r="40493">
      <c r="B40493" s="309"/>
      <c r="C40493" s="309"/>
      <c r="I40493" s="309"/>
      <c r="J40493" s="309"/>
    </row>
    <row r="40494">
      <c r="B40494" s="309"/>
      <c r="C40494" s="309"/>
      <c r="I40494" s="309"/>
      <c r="J40494" s="309"/>
    </row>
    <row r="40495">
      <c r="B40495" s="309"/>
      <c r="C40495" s="309"/>
      <c r="I40495" s="309"/>
      <c r="J40495" s="309"/>
    </row>
    <row r="40496">
      <c r="B40496" s="309"/>
      <c r="C40496" s="309"/>
      <c r="I40496" s="309"/>
      <c r="J40496" s="309"/>
    </row>
    <row r="40497">
      <c r="B40497" s="309"/>
      <c r="C40497" s="309"/>
      <c r="I40497" s="309"/>
      <c r="J40497" s="309"/>
    </row>
    <row r="40498">
      <c r="B40498" s="309"/>
      <c r="C40498" s="309"/>
      <c r="I40498" s="309"/>
      <c r="J40498" s="309"/>
    </row>
    <row r="40499">
      <c r="B40499" s="309"/>
      <c r="C40499" s="309"/>
      <c r="I40499" s="309"/>
      <c r="J40499" s="309"/>
    </row>
    <row r="40500">
      <c r="B40500" s="309"/>
      <c r="C40500" s="309"/>
      <c r="I40500" s="309"/>
      <c r="J40500" s="309"/>
    </row>
    <row r="40501">
      <c r="B40501" s="309"/>
      <c r="C40501" s="309"/>
      <c r="I40501" s="309"/>
      <c r="J40501" s="309"/>
    </row>
    <row r="40502">
      <c r="B40502" s="309"/>
      <c r="C40502" s="309"/>
      <c r="I40502" s="309"/>
      <c r="J40502" s="309"/>
    </row>
    <row r="40503">
      <c r="B40503" s="309"/>
      <c r="C40503" s="309"/>
      <c r="I40503" s="309"/>
      <c r="J40503" s="309"/>
    </row>
    <row r="40504">
      <c r="B40504" s="309"/>
      <c r="C40504" s="309"/>
      <c r="I40504" s="309"/>
      <c r="J40504" s="309"/>
    </row>
    <row r="40505">
      <c r="B40505" s="309"/>
      <c r="C40505" s="309"/>
      <c r="I40505" s="309"/>
      <c r="J40505" s="309"/>
    </row>
    <row r="40506">
      <c r="B40506" s="309"/>
      <c r="C40506" s="309"/>
      <c r="I40506" s="309"/>
      <c r="J40506" s="309"/>
    </row>
    <row r="40507">
      <c r="B40507" s="309"/>
      <c r="C40507" s="309"/>
      <c r="I40507" s="309"/>
      <c r="J40507" s="309"/>
    </row>
    <row r="40508">
      <c r="B40508" s="309"/>
      <c r="C40508" s="309"/>
      <c r="I40508" s="309"/>
      <c r="J40508" s="309"/>
    </row>
    <row r="40509">
      <c r="B40509" s="309"/>
      <c r="C40509" s="309"/>
      <c r="I40509" s="309"/>
      <c r="J40509" s="309"/>
    </row>
    <row r="40510">
      <c r="B40510" s="309"/>
      <c r="C40510" s="309"/>
      <c r="I40510" s="309"/>
      <c r="J40510" s="309"/>
    </row>
    <row r="40511">
      <c r="B40511" s="309"/>
      <c r="C40511" s="309"/>
      <c r="I40511" s="309"/>
      <c r="J40511" s="309"/>
    </row>
    <row r="40512">
      <c r="B40512" s="309"/>
      <c r="C40512" s="309"/>
      <c r="I40512" s="309"/>
      <c r="J40512" s="309"/>
    </row>
    <row r="40513">
      <c r="B40513" s="309"/>
      <c r="C40513" s="309"/>
      <c r="I40513" s="309"/>
      <c r="J40513" s="309"/>
    </row>
    <row r="40514">
      <c r="B40514" s="309"/>
      <c r="C40514" s="309"/>
      <c r="I40514" s="309"/>
      <c r="J40514" s="309"/>
    </row>
    <row r="40515">
      <c r="B40515" s="309"/>
      <c r="C40515" s="309"/>
      <c r="I40515" s="309"/>
      <c r="J40515" s="309"/>
    </row>
    <row r="40516">
      <c r="B40516" s="309"/>
      <c r="C40516" s="309"/>
      <c r="I40516" s="309"/>
      <c r="J40516" s="309"/>
    </row>
    <row r="40517">
      <c r="B40517" s="309"/>
      <c r="C40517" s="309"/>
      <c r="I40517" s="309"/>
      <c r="J40517" s="309"/>
    </row>
    <row r="40518">
      <c r="B40518" s="309"/>
      <c r="C40518" s="309"/>
      <c r="I40518" s="309"/>
      <c r="J40518" s="309"/>
    </row>
    <row r="40519">
      <c r="B40519" s="309"/>
      <c r="C40519" s="309"/>
      <c r="I40519" s="309"/>
      <c r="J40519" s="309"/>
    </row>
    <row r="40520">
      <c r="B40520" s="309"/>
      <c r="C40520" s="309"/>
      <c r="I40520" s="309"/>
      <c r="J40520" s="309"/>
    </row>
    <row r="40521">
      <c r="B40521" s="309"/>
      <c r="C40521" s="309"/>
      <c r="I40521" s="309"/>
      <c r="J40521" s="309"/>
    </row>
    <row r="40522">
      <c r="B40522" s="309"/>
      <c r="C40522" s="309"/>
      <c r="I40522" s="309"/>
      <c r="J40522" s="309"/>
    </row>
    <row r="40523">
      <c r="B40523" s="309"/>
      <c r="C40523" s="309"/>
      <c r="I40523" s="309"/>
      <c r="J40523" s="309"/>
    </row>
    <row r="40524">
      <c r="B40524" s="309"/>
      <c r="C40524" s="309"/>
      <c r="I40524" s="309"/>
      <c r="J40524" s="309"/>
    </row>
    <row r="40525">
      <c r="B40525" s="309"/>
      <c r="C40525" s="309"/>
      <c r="I40525" s="309"/>
      <c r="J40525" s="309"/>
    </row>
    <row r="40526">
      <c r="B40526" s="309"/>
      <c r="C40526" s="309"/>
      <c r="I40526" s="309"/>
      <c r="J40526" s="309"/>
    </row>
    <row r="40527">
      <c r="B40527" s="309"/>
      <c r="C40527" s="309"/>
      <c r="I40527" s="309"/>
      <c r="J40527" s="309"/>
    </row>
    <row r="40528">
      <c r="B40528" s="309"/>
      <c r="C40528" s="309"/>
      <c r="I40528" s="309"/>
      <c r="J40528" s="309"/>
    </row>
    <row r="40529">
      <c r="B40529" s="309"/>
      <c r="C40529" s="309"/>
      <c r="I40529" s="309"/>
      <c r="J40529" s="309"/>
    </row>
    <row r="40530">
      <c r="B40530" s="309"/>
      <c r="C40530" s="309"/>
      <c r="I40530" s="309"/>
      <c r="J40530" s="309"/>
    </row>
    <row r="40531">
      <c r="B40531" s="309"/>
      <c r="C40531" s="309"/>
      <c r="I40531" s="309"/>
      <c r="J40531" s="309"/>
    </row>
    <row r="40532">
      <c r="B40532" s="309"/>
      <c r="C40532" s="309"/>
      <c r="I40532" s="309"/>
      <c r="J40532" s="309"/>
    </row>
    <row r="40533">
      <c r="B40533" s="309"/>
      <c r="C40533" s="309"/>
      <c r="I40533" s="309"/>
      <c r="J40533" s="309"/>
    </row>
    <row r="40534">
      <c r="B40534" s="309"/>
      <c r="C40534" s="309"/>
      <c r="I40534" s="309"/>
      <c r="J40534" s="309"/>
    </row>
    <row r="40535">
      <c r="B40535" s="309"/>
      <c r="C40535" s="309"/>
      <c r="I40535" s="309"/>
      <c r="J40535" s="309"/>
    </row>
    <row r="40536">
      <c r="B40536" s="309"/>
      <c r="C40536" s="309"/>
      <c r="I40536" s="309"/>
      <c r="J40536" s="309"/>
    </row>
    <row r="40537">
      <c r="B40537" s="309"/>
      <c r="C40537" s="309"/>
      <c r="I40537" s="309"/>
      <c r="J40537" s="309"/>
    </row>
    <row r="40538">
      <c r="B40538" s="309"/>
      <c r="C40538" s="309"/>
      <c r="I40538" s="309"/>
      <c r="J40538" s="309"/>
    </row>
    <row r="40539">
      <c r="B40539" s="309"/>
      <c r="C40539" s="309"/>
      <c r="I40539" s="309"/>
      <c r="J40539" s="309"/>
    </row>
    <row r="40540">
      <c r="B40540" s="309"/>
      <c r="C40540" s="309"/>
      <c r="I40540" s="309"/>
      <c r="J40540" s="309"/>
    </row>
    <row r="40541">
      <c r="B40541" s="309"/>
      <c r="C40541" s="309"/>
      <c r="I40541" s="309"/>
      <c r="J40541" s="309"/>
    </row>
    <row r="40542">
      <c r="B40542" s="309"/>
      <c r="C40542" s="309"/>
      <c r="I40542" s="309"/>
      <c r="J40542" s="309"/>
    </row>
    <row r="40543">
      <c r="B40543" s="309"/>
      <c r="C40543" s="309"/>
      <c r="I40543" s="309"/>
      <c r="J40543" s="309"/>
    </row>
    <row r="40544">
      <c r="B40544" s="309"/>
      <c r="C40544" s="309"/>
      <c r="I40544" s="309"/>
      <c r="J40544" s="309"/>
    </row>
    <row r="40545">
      <c r="B40545" s="309"/>
      <c r="C40545" s="309"/>
      <c r="I40545" s="309"/>
      <c r="J40545" s="309"/>
    </row>
    <row r="40546">
      <c r="B40546" s="309"/>
      <c r="C40546" s="309"/>
      <c r="I40546" s="309"/>
      <c r="J40546" s="309"/>
    </row>
    <row r="40547">
      <c r="B40547" s="309"/>
      <c r="C40547" s="309"/>
      <c r="I40547" s="309"/>
      <c r="J40547" s="309"/>
    </row>
    <row r="40548">
      <c r="B40548" s="309"/>
      <c r="C40548" s="309"/>
      <c r="I40548" s="309"/>
      <c r="J40548" s="309"/>
    </row>
    <row r="40549">
      <c r="B40549" s="309"/>
      <c r="C40549" s="309"/>
      <c r="I40549" s="309"/>
      <c r="J40549" s="309"/>
    </row>
    <row r="40550">
      <c r="B40550" s="309"/>
      <c r="C40550" s="309"/>
      <c r="I40550" s="309"/>
      <c r="J40550" s="309"/>
    </row>
    <row r="40551">
      <c r="B40551" s="309"/>
      <c r="C40551" s="309"/>
      <c r="I40551" s="309"/>
      <c r="J40551" s="309"/>
    </row>
    <row r="40552">
      <c r="B40552" s="309"/>
      <c r="C40552" s="309"/>
      <c r="I40552" s="309"/>
      <c r="J40552" s="309"/>
    </row>
    <row r="40553">
      <c r="B40553" s="309"/>
      <c r="C40553" s="309"/>
      <c r="I40553" s="309"/>
      <c r="J40553" s="309"/>
    </row>
    <row r="40554">
      <c r="B40554" s="309"/>
      <c r="C40554" s="309"/>
      <c r="I40554" s="309"/>
      <c r="J40554" s="309"/>
    </row>
    <row r="40555">
      <c r="B40555" s="309"/>
      <c r="C40555" s="309"/>
      <c r="I40555" s="309"/>
      <c r="J40555" s="309"/>
    </row>
    <row r="40556">
      <c r="B40556" s="309"/>
      <c r="C40556" s="309"/>
      <c r="I40556" s="309"/>
      <c r="J40556" s="309"/>
    </row>
    <row r="40557">
      <c r="B40557" s="309"/>
      <c r="C40557" s="309"/>
      <c r="I40557" s="309"/>
      <c r="J40557" s="309"/>
    </row>
    <row r="40558">
      <c r="B40558" s="309"/>
      <c r="C40558" s="309"/>
      <c r="I40558" s="309"/>
      <c r="J40558" s="309"/>
    </row>
    <row r="40559">
      <c r="B40559" s="309"/>
      <c r="C40559" s="309"/>
      <c r="I40559" s="309"/>
      <c r="J40559" s="309"/>
    </row>
    <row r="40560">
      <c r="B40560" s="309"/>
      <c r="C40560" s="309"/>
      <c r="I40560" s="309"/>
      <c r="J40560" s="309"/>
    </row>
    <row r="40561">
      <c r="B40561" s="309"/>
      <c r="C40561" s="309"/>
      <c r="I40561" s="309"/>
      <c r="J40561" s="309"/>
    </row>
    <row r="40562">
      <c r="B40562" s="309"/>
      <c r="C40562" s="309"/>
      <c r="I40562" s="309"/>
      <c r="J40562" s="309"/>
    </row>
    <row r="40563">
      <c r="B40563" s="309"/>
      <c r="C40563" s="309"/>
      <c r="I40563" s="309"/>
      <c r="J40563" s="309"/>
    </row>
    <row r="40564">
      <c r="B40564" s="309"/>
      <c r="C40564" s="309"/>
      <c r="I40564" s="309"/>
      <c r="J40564" s="309"/>
    </row>
    <row r="40565">
      <c r="B40565" s="309"/>
      <c r="C40565" s="309"/>
      <c r="I40565" s="309"/>
      <c r="J40565" s="309"/>
    </row>
    <row r="40566">
      <c r="B40566" s="309"/>
      <c r="C40566" s="309"/>
      <c r="I40566" s="309"/>
      <c r="J40566" s="309"/>
    </row>
    <row r="40567">
      <c r="B40567" s="309"/>
      <c r="C40567" s="309"/>
      <c r="I40567" s="309"/>
      <c r="J40567" s="309"/>
    </row>
    <row r="40568">
      <c r="B40568" s="309"/>
      <c r="C40568" s="309"/>
      <c r="I40568" s="309"/>
      <c r="J40568" s="309"/>
    </row>
    <row r="40569">
      <c r="B40569" s="309"/>
      <c r="C40569" s="309"/>
      <c r="I40569" s="309"/>
      <c r="J40569" s="309"/>
    </row>
    <row r="40570">
      <c r="B40570" s="309"/>
      <c r="C40570" s="309"/>
      <c r="I40570" s="309"/>
      <c r="J40570" s="309"/>
    </row>
    <row r="40571">
      <c r="B40571" s="309"/>
      <c r="C40571" s="309"/>
      <c r="I40571" s="309"/>
      <c r="J40571" s="309"/>
    </row>
    <row r="40572">
      <c r="B40572" s="309"/>
      <c r="C40572" s="309"/>
      <c r="I40572" s="309"/>
      <c r="J40572" s="309"/>
    </row>
    <row r="40573">
      <c r="B40573" s="309"/>
      <c r="C40573" s="309"/>
      <c r="I40573" s="309"/>
      <c r="J40573" s="309"/>
    </row>
    <row r="40574">
      <c r="B40574" s="309"/>
      <c r="C40574" s="309"/>
      <c r="I40574" s="309"/>
      <c r="J40574" s="309"/>
    </row>
    <row r="40575">
      <c r="B40575" s="309"/>
      <c r="C40575" s="309"/>
      <c r="I40575" s="309"/>
      <c r="J40575" s="309"/>
    </row>
    <row r="40576">
      <c r="B40576" s="309"/>
      <c r="C40576" s="309"/>
      <c r="I40576" s="309"/>
      <c r="J40576" s="309"/>
    </row>
    <row r="40577">
      <c r="B40577" s="309"/>
      <c r="C40577" s="309"/>
      <c r="I40577" s="309"/>
      <c r="J40577" s="309"/>
    </row>
    <row r="40578">
      <c r="B40578" s="309"/>
      <c r="C40578" s="309"/>
      <c r="I40578" s="309"/>
      <c r="J40578" s="309"/>
    </row>
    <row r="40579">
      <c r="B40579" s="309"/>
      <c r="C40579" s="309"/>
      <c r="I40579" s="309"/>
      <c r="J40579" s="309"/>
    </row>
    <row r="40580">
      <c r="B40580" s="309"/>
      <c r="C40580" s="309"/>
      <c r="I40580" s="309"/>
      <c r="J40580" s="309"/>
    </row>
    <row r="40581">
      <c r="B40581" s="309"/>
      <c r="C40581" s="309"/>
      <c r="I40581" s="309"/>
      <c r="J40581" s="309"/>
    </row>
    <row r="40582">
      <c r="B40582" s="309"/>
      <c r="C40582" s="309"/>
      <c r="I40582" s="309"/>
      <c r="J40582" s="309"/>
    </row>
    <row r="40583">
      <c r="B40583" s="309"/>
      <c r="C40583" s="309"/>
      <c r="I40583" s="309"/>
      <c r="J40583" s="309"/>
    </row>
    <row r="40584">
      <c r="B40584" s="309"/>
      <c r="C40584" s="309"/>
      <c r="I40584" s="309"/>
      <c r="J40584" s="309"/>
    </row>
    <row r="40585">
      <c r="B40585" s="309"/>
      <c r="C40585" s="309"/>
      <c r="I40585" s="309"/>
      <c r="J40585" s="309"/>
    </row>
    <row r="40586">
      <c r="B40586" s="309"/>
      <c r="C40586" s="309"/>
      <c r="I40586" s="309"/>
      <c r="J40586" s="309"/>
    </row>
    <row r="40587">
      <c r="B40587" s="309"/>
      <c r="C40587" s="309"/>
      <c r="I40587" s="309"/>
      <c r="J40587" s="309"/>
    </row>
    <row r="40588">
      <c r="B40588" s="309"/>
      <c r="C40588" s="309"/>
      <c r="I40588" s="309"/>
      <c r="J40588" s="309"/>
    </row>
    <row r="40589">
      <c r="B40589" s="309"/>
      <c r="C40589" s="309"/>
      <c r="I40589" s="309"/>
      <c r="J40589" s="309"/>
    </row>
    <row r="40590">
      <c r="B40590" s="309"/>
      <c r="C40590" s="309"/>
      <c r="I40590" s="309"/>
      <c r="J40590" s="309"/>
    </row>
    <row r="40591">
      <c r="B40591" s="309"/>
      <c r="C40591" s="309"/>
      <c r="I40591" s="309"/>
      <c r="J40591" s="309"/>
    </row>
    <row r="40592">
      <c r="B40592" s="309"/>
      <c r="C40592" s="309"/>
      <c r="I40592" s="309"/>
      <c r="J40592" s="309"/>
    </row>
    <row r="40593">
      <c r="B40593" s="309"/>
      <c r="C40593" s="309"/>
      <c r="I40593" s="309"/>
      <c r="J40593" s="309"/>
    </row>
    <row r="40594">
      <c r="B40594" s="309"/>
      <c r="C40594" s="309"/>
      <c r="I40594" s="309"/>
      <c r="J40594" s="309"/>
    </row>
    <row r="40595">
      <c r="B40595" s="309"/>
      <c r="C40595" s="309"/>
      <c r="I40595" s="309"/>
      <c r="J40595" s="309"/>
    </row>
    <row r="40596">
      <c r="B40596" s="309"/>
      <c r="C40596" s="309"/>
      <c r="I40596" s="309"/>
      <c r="J40596" s="309"/>
    </row>
    <row r="40597">
      <c r="B40597" s="309"/>
      <c r="C40597" s="309"/>
      <c r="I40597" s="309"/>
      <c r="J40597" s="309"/>
    </row>
    <row r="40598">
      <c r="B40598" s="309"/>
      <c r="C40598" s="309"/>
      <c r="I40598" s="309"/>
      <c r="J40598" s="309"/>
    </row>
    <row r="40599">
      <c r="B40599" s="309"/>
      <c r="C40599" s="309"/>
      <c r="I40599" s="309"/>
      <c r="J40599" s="309"/>
    </row>
    <row r="40600">
      <c r="B40600" s="309"/>
      <c r="C40600" s="309"/>
      <c r="I40600" s="309"/>
      <c r="J40600" s="309"/>
    </row>
    <row r="40601">
      <c r="B40601" s="309"/>
      <c r="C40601" s="309"/>
      <c r="I40601" s="309"/>
      <c r="J40601" s="309"/>
    </row>
    <row r="40602">
      <c r="B40602" s="309"/>
      <c r="C40602" s="309"/>
      <c r="I40602" s="309"/>
      <c r="J40602" s="309"/>
    </row>
    <row r="40603">
      <c r="B40603" s="309"/>
      <c r="C40603" s="309"/>
      <c r="I40603" s="309"/>
      <c r="J40603" s="309"/>
    </row>
    <row r="40604">
      <c r="B40604" s="309"/>
      <c r="C40604" s="309"/>
      <c r="I40604" s="309"/>
      <c r="J40604" s="309"/>
    </row>
    <row r="40605">
      <c r="B40605" s="309"/>
      <c r="C40605" s="309"/>
      <c r="I40605" s="309"/>
      <c r="J40605" s="309"/>
    </row>
    <row r="40606">
      <c r="B40606" s="309"/>
      <c r="C40606" s="309"/>
      <c r="I40606" s="309"/>
      <c r="J40606" s="309"/>
    </row>
    <row r="40607">
      <c r="B40607" s="309"/>
      <c r="C40607" s="309"/>
      <c r="I40607" s="309"/>
      <c r="J40607" s="309"/>
    </row>
    <row r="40608">
      <c r="B40608" s="309"/>
      <c r="C40608" s="309"/>
      <c r="I40608" s="309"/>
      <c r="J40608" s="309"/>
    </row>
    <row r="40609">
      <c r="B40609" s="309"/>
      <c r="C40609" s="309"/>
      <c r="I40609" s="309"/>
      <c r="J40609" s="309"/>
    </row>
    <row r="40610">
      <c r="B40610" s="309"/>
      <c r="C40610" s="309"/>
      <c r="I40610" s="309"/>
      <c r="J40610" s="309"/>
    </row>
    <row r="40611">
      <c r="B40611" s="309"/>
      <c r="C40611" s="309"/>
      <c r="I40611" s="309"/>
      <c r="J40611" s="309"/>
    </row>
    <row r="40612">
      <c r="B40612" s="309"/>
      <c r="C40612" s="309"/>
      <c r="I40612" s="309"/>
      <c r="J40612" s="309"/>
    </row>
    <row r="40613">
      <c r="B40613" s="309"/>
      <c r="C40613" s="309"/>
      <c r="I40613" s="309"/>
      <c r="J40613" s="309"/>
    </row>
    <row r="40614">
      <c r="B40614" s="309"/>
      <c r="C40614" s="309"/>
      <c r="I40614" s="309"/>
      <c r="J40614" s="309"/>
    </row>
    <row r="40615">
      <c r="B40615" s="309"/>
      <c r="C40615" s="309"/>
      <c r="I40615" s="309"/>
      <c r="J40615" s="309"/>
    </row>
    <row r="40616">
      <c r="B40616" s="309"/>
      <c r="C40616" s="309"/>
      <c r="I40616" s="309"/>
      <c r="J40616" s="309"/>
    </row>
    <row r="40617">
      <c r="B40617" s="309"/>
      <c r="C40617" s="309"/>
      <c r="I40617" s="309"/>
      <c r="J40617" s="309"/>
    </row>
    <row r="40618">
      <c r="B40618" s="309"/>
      <c r="C40618" s="309"/>
      <c r="I40618" s="309"/>
      <c r="J40618" s="309"/>
    </row>
    <row r="40619">
      <c r="B40619" s="309"/>
      <c r="C40619" s="309"/>
      <c r="I40619" s="309"/>
      <c r="J40619" s="309"/>
    </row>
    <row r="40620">
      <c r="B40620" s="309"/>
      <c r="C40620" s="309"/>
      <c r="I40620" s="309"/>
      <c r="J40620" s="309"/>
    </row>
    <row r="40621">
      <c r="B40621" s="309"/>
      <c r="C40621" s="309"/>
      <c r="I40621" s="309"/>
      <c r="J40621" s="309"/>
    </row>
    <row r="40622">
      <c r="B40622" s="309"/>
      <c r="C40622" s="309"/>
      <c r="I40622" s="309"/>
      <c r="J40622" s="309"/>
    </row>
    <row r="40623">
      <c r="B40623" s="309"/>
      <c r="C40623" s="309"/>
      <c r="I40623" s="309"/>
      <c r="J40623" s="309"/>
    </row>
    <row r="40624">
      <c r="B40624" s="309"/>
      <c r="C40624" s="309"/>
      <c r="I40624" s="309"/>
      <c r="J40624" s="309"/>
    </row>
    <row r="40625">
      <c r="B40625" s="309"/>
      <c r="C40625" s="309"/>
      <c r="I40625" s="309"/>
      <c r="J40625" s="309"/>
    </row>
    <row r="40626">
      <c r="B40626" s="309"/>
      <c r="C40626" s="309"/>
      <c r="I40626" s="309"/>
      <c r="J40626" s="309"/>
    </row>
    <row r="40627">
      <c r="B40627" s="309"/>
      <c r="C40627" s="309"/>
      <c r="I40627" s="309"/>
      <c r="J40627" s="309"/>
    </row>
    <row r="40628">
      <c r="B40628" s="309"/>
      <c r="C40628" s="309"/>
      <c r="I40628" s="309"/>
      <c r="J40628" s="309"/>
    </row>
    <row r="40629">
      <c r="B40629" s="309"/>
      <c r="C40629" s="309"/>
      <c r="I40629" s="309"/>
      <c r="J40629" s="309"/>
    </row>
    <row r="40630">
      <c r="B40630" s="309"/>
      <c r="C40630" s="309"/>
      <c r="I40630" s="309"/>
      <c r="J40630" s="309"/>
    </row>
    <row r="40631">
      <c r="B40631" s="309"/>
      <c r="C40631" s="309"/>
      <c r="I40631" s="309"/>
      <c r="J40631" s="309"/>
    </row>
    <row r="40632">
      <c r="B40632" s="309"/>
      <c r="C40632" s="309"/>
      <c r="I40632" s="309"/>
      <c r="J40632" s="309"/>
    </row>
    <row r="40633">
      <c r="B40633" s="309"/>
      <c r="C40633" s="309"/>
      <c r="I40633" s="309"/>
      <c r="J40633" s="309"/>
    </row>
    <row r="40634">
      <c r="B40634" s="309"/>
      <c r="C40634" s="309"/>
      <c r="I40634" s="309"/>
      <c r="J40634" s="309"/>
    </row>
    <row r="40635">
      <c r="B40635" s="309"/>
      <c r="C40635" s="309"/>
      <c r="I40635" s="309"/>
      <c r="J40635" s="309"/>
    </row>
    <row r="40636">
      <c r="B40636" s="309"/>
      <c r="C40636" s="309"/>
      <c r="I40636" s="309"/>
      <c r="J40636" s="309"/>
    </row>
    <row r="40637">
      <c r="B40637" s="309"/>
      <c r="C40637" s="309"/>
      <c r="I40637" s="309"/>
      <c r="J40637" s="309"/>
    </row>
    <row r="40638">
      <c r="B40638" s="309"/>
      <c r="C40638" s="309"/>
      <c r="I40638" s="309"/>
      <c r="J40638" s="309"/>
    </row>
    <row r="40639">
      <c r="B40639" s="309"/>
      <c r="C40639" s="309"/>
      <c r="I40639" s="309"/>
      <c r="J40639" s="309"/>
    </row>
    <row r="40640">
      <c r="B40640" s="309"/>
      <c r="C40640" s="309"/>
      <c r="I40640" s="309"/>
      <c r="J40640" s="309"/>
    </row>
    <row r="40641">
      <c r="B40641" s="309"/>
      <c r="C40641" s="309"/>
      <c r="I40641" s="309"/>
      <c r="J40641" s="309"/>
    </row>
    <row r="40642">
      <c r="B40642" s="309"/>
      <c r="C40642" s="309"/>
      <c r="I40642" s="309"/>
      <c r="J40642" s="309"/>
    </row>
    <row r="40643">
      <c r="B40643" s="309"/>
      <c r="C40643" s="309"/>
      <c r="I40643" s="309"/>
      <c r="J40643" s="309"/>
    </row>
    <row r="40644">
      <c r="B40644" s="309"/>
      <c r="C40644" s="309"/>
      <c r="I40644" s="309"/>
      <c r="J40644" s="309"/>
    </row>
    <row r="40645">
      <c r="B40645" s="309"/>
      <c r="C40645" s="309"/>
      <c r="I40645" s="309"/>
      <c r="J40645" s="309"/>
    </row>
    <row r="40646">
      <c r="B40646" s="309"/>
      <c r="C40646" s="309"/>
      <c r="I40646" s="309"/>
      <c r="J40646" s="309"/>
    </row>
    <row r="40647">
      <c r="B40647" s="309"/>
      <c r="C40647" s="309"/>
      <c r="I40647" s="309"/>
      <c r="J40647" s="309"/>
    </row>
    <row r="40648">
      <c r="B40648" s="309"/>
      <c r="C40648" s="309"/>
      <c r="I40648" s="309"/>
      <c r="J40648" s="309"/>
    </row>
    <row r="40649">
      <c r="B40649" s="309"/>
      <c r="C40649" s="309"/>
      <c r="I40649" s="309"/>
      <c r="J40649" s="309"/>
    </row>
    <row r="40650">
      <c r="B40650" s="309"/>
      <c r="C40650" s="309"/>
      <c r="I40650" s="309"/>
      <c r="J40650" s="309"/>
    </row>
    <row r="40651">
      <c r="B40651" s="309"/>
      <c r="C40651" s="309"/>
      <c r="I40651" s="309"/>
      <c r="J40651" s="309"/>
    </row>
    <row r="40652">
      <c r="B40652" s="309"/>
      <c r="C40652" s="309"/>
      <c r="I40652" s="309"/>
      <c r="J40652" s="309"/>
    </row>
    <row r="40653">
      <c r="B40653" s="309"/>
      <c r="C40653" s="309"/>
      <c r="I40653" s="309"/>
      <c r="J40653" s="309"/>
    </row>
    <row r="40654">
      <c r="B40654" s="309"/>
      <c r="C40654" s="309"/>
      <c r="I40654" s="309"/>
      <c r="J40654" s="309"/>
    </row>
    <row r="40655">
      <c r="B40655" s="309"/>
      <c r="C40655" s="309"/>
      <c r="I40655" s="309"/>
      <c r="J40655" s="309"/>
    </row>
    <row r="40656">
      <c r="B40656" s="309"/>
      <c r="C40656" s="309"/>
      <c r="I40656" s="309"/>
      <c r="J40656" s="309"/>
    </row>
    <row r="40657">
      <c r="B40657" s="309"/>
      <c r="C40657" s="309"/>
      <c r="I40657" s="309"/>
      <c r="J40657" s="309"/>
    </row>
    <row r="40658">
      <c r="B40658" s="309"/>
      <c r="C40658" s="309"/>
      <c r="I40658" s="309"/>
      <c r="J40658" s="309"/>
    </row>
    <row r="40659">
      <c r="B40659" s="309"/>
      <c r="C40659" s="309"/>
      <c r="I40659" s="309"/>
      <c r="J40659" s="309"/>
    </row>
    <row r="40660">
      <c r="B40660" s="309"/>
      <c r="C40660" s="309"/>
      <c r="I40660" s="309"/>
      <c r="J40660" s="309"/>
    </row>
    <row r="40661">
      <c r="B40661" s="309"/>
      <c r="C40661" s="309"/>
      <c r="I40661" s="309"/>
      <c r="J40661" s="309"/>
    </row>
    <row r="40662">
      <c r="B40662" s="309"/>
      <c r="C40662" s="309"/>
      <c r="I40662" s="309"/>
      <c r="J40662" s="309"/>
    </row>
    <row r="40663">
      <c r="B40663" s="309"/>
      <c r="C40663" s="309"/>
      <c r="I40663" s="309"/>
      <c r="J40663" s="309"/>
    </row>
    <row r="40664">
      <c r="B40664" s="309"/>
      <c r="C40664" s="309"/>
      <c r="I40664" s="309"/>
      <c r="J40664" s="309"/>
    </row>
    <row r="40665">
      <c r="B40665" s="309"/>
      <c r="C40665" s="309"/>
      <c r="I40665" s="309"/>
      <c r="J40665" s="309"/>
    </row>
    <row r="40666">
      <c r="B40666" s="309"/>
      <c r="C40666" s="309"/>
      <c r="I40666" s="309"/>
      <c r="J40666" s="309"/>
    </row>
    <row r="40667">
      <c r="B40667" s="309"/>
      <c r="C40667" s="309"/>
      <c r="I40667" s="309"/>
      <c r="J40667" s="309"/>
    </row>
    <row r="40668">
      <c r="B40668" s="309"/>
      <c r="C40668" s="309"/>
      <c r="I40668" s="309"/>
      <c r="J40668" s="309"/>
    </row>
    <row r="40669">
      <c r="B40669" s="309"/>
      <c r="C40669" s="309"/>
      <c r="I40669" s="309"/>
      <c r="J40669" s="309"/>
    </row>
    <row r="40670">
      <c r="B40670" s="309"/>
      <c r="C40670" s="309"/>
      <c r="I40670" s="309"/>
      <c r="J40670" s="309"/>
    </row>
    <row r="40671">
      <c r="B40671" s="309"/>
      <c r="C40671" s="309"/>
      <c r="I40671" s="309"/>
      <c r="J40671" s="309"/>
    </row>
    <row r="40672">
      <c r="B40672" s="309"/>
      <c r="C40672" s="309"/>
      <c r="I40672" s="309"/>
      <c r="J40672" s="309"/>
    </row>
    <row r="40673">
      <c r="B40673" s="309"/>
      <c r="C40673" s="309"/>
      <c r="I40673" s="309"/>
      <c r="J40673" s="309"/>
    </row>
    <row r="40674">
      <c r="B40674" s="309"/>
      <c r="C40674" s="309"/>
      <c r="I40674" s="309"/>
      <c r="J40674" s="309"/>
    </row>
    <row r="40675">
      <c r="B40675" s="309"/>
      <c r="C40675" s="309"/>
      <c r="I40675" s="309"/>
      <c r="J40675" s="309"/>
    </row>
    <row r="40676">
      <c r="B40676" s="309"/>
      <c r="C40676" s="309"/>
      <c r="I40676" s="309"/>
      <c r="J40676" s="309"/>
    </row>
    <row r="40677">
      <c r="B40677" s="309"/>
      <c r="C40677" s="309"/>
      <c r="I40677" s="309"/>
      <c r="J40677" s="309"/>
    </row>
    <row r="40678">
      <c r="B40678" s="309"/>
      <c r="C40678" s="309"/>
      <c r="I40678" s="309"/>
      <c r="J40678" s="309"/>
    </row>
    <row r="40679">
      <c r="B40679" s="309"/>
      <c r="C40679" s="309"/>
      <c r="I40679" s="309"/>
      <c r="J40679" s="309"/>
    </row>
    <row r="40680">
      <c r="B40680" s="309"/>
      <c r="C40680" s="309"/>
      <c r="I40680" s="309"/>
      <c r="J40680" s="309"/>
    </row>
    <row r="40681">
      <c r="B40681" s="309"/>
      <c r="C40681" s="309"/>
      <c r="I40681" s="309"/>
      <c r="J40681" s="309"/>
    </row>
    <row r="40682">
      <c r="B40682" s="309"/>
      <c r="C40682" s="309"/>
      <c r="I40682" s="309"/>
      <c r="J40682" s="309"/>
    </row>
    <row r="40683">
      <c r="B40683" s="309"/>
      <c r="C40683" s="309"/>
      <c r="I40683" s="309"/>
      <c r="J40683" s="309"/>
    </row>
    <row r="40684">
      <c r="B40684" s="309"/>
      <c r="C40684" s="309"/>
      <c r="I40684" s="309"/>
      <c r="J40684" s="309"/>
    </row>
    <row r="40685">
      <c r="B40685" s="309"/>
      <c r="C40685" s="309"/>
      <c r="I40685" s="309"/>
      <c r="J40685" s="309"/>
    </row>
    <row r="40686">
      <c r="B40686" s="309"/>
      <c r="C40686" s="309"/>
      <c r="I40686" s="309"/>
      <c r="J40686" s="309"/>
    </row>
    <row r="40687">
      <c r="B40687" s="309"/>
      <c r="C40687" s="309"/>
      <c r="I40687" s="309"/>
      <c r="J40687" s="309"/>
    </row>
    <row r="40688">
      <c r="B40688" s="309"/>
      <c r="C40688" s="309"/>
      <c r="I40688" s="309"/>
      <c r="J40688" s="309"/>
    </row>
    <row r="40689">
      <c r="B40689" s="309"/>
      <c r="C40689" s="309"/>
      <c r="I40689" s="309"/>
      <c r="J40689" s="309"/>
    </row>
    <row r="40690">
      <c r="B40690" s="309"/>
      <c r="C40690" s="309"/>
      <c r="I40690" s="309"/>
      <c r="J40690" s="309"/>
    </row>
    <row r="40691">
      <c r="B40691" s="309"/>
      <c r="C40691" s="309"/>
      <c r="I40691" s="309"/>
      <c r="J40691" s="309"/>
    </row>
    <row r="40692">
      <c r="B40692" s="309"/>
      <c r="C40692" s="309"/>
      <c r="I40692" s="309"/>
      <c r="J40692" s="309"/>
    </row>
    <row r="40693">
      <c r="B40693" s="309"/>
      <c r="C40693" s="309"/>
      <c r="I40693" s="309"/>
      <c r="J40693" s="309"/>
    </row>
    <row r="40694">
      <c r="B40694" s="309"/>
      <c r="C40694" s="309"/>
      <c r="I40694" s="309"/>
      <c r="J40694" s="309"/>
    </row>
    <row r="40695">
      <c r="B40695" s="309"/>
      <c r="C40695" s="309"/>
      <c r="I40695" s="309"/>
      <c r="J40695" s="309"/>
    </row>
    <row r="40696">
      <c r="B40696" s="309"/>
      <c r="C40696" s="309"/>
      <c r="I40696" s="309"/>
      <c r="J40696" s="309"/>
    </row>
    <row r="40697">
      <c r="B40697" s="309"/>
      <c r="C40697" s="309"/>
      <c r="I40697" s="309"/>
      <c r="J40697" s="309"/>
    </row>
    <row r="40698">
      <c r="B40698" s="309"/>
      <c r="C40698" s="309"/>
      <c r="I40698" s="309"/>
      <c r="J40698" s="309"/>
    </row>
    <row r="40699">
      <c r="B40699" s="309"/>
      <c r="C40699" s="309"/>
      <c r="I40699" s="309"/>
      <c r="J40699" s="309"/>
    </row>
    <row r="40700">
      <c r="B40700" s="309"/>
      <c r="C40700" s="309"/>
      <c r="I40700" s="309"/>
      <c r="J40700" s="309"/>
    </row>
    <row r="40701">
      <c r="B40701" s="309"/>
      <c r="C40701" s="309"/>
      <c r="I40701" s="309"/>
      <c r="J40701" s="309"/>
    </row>
    <row r="40702">
      <c r="B40702" s="309"/>
      <c r="C40702" s="309"/>
      <c r="I40702" s="309"/>
      <c r="J40702" s="309"/>
    </row>
    <row r="40703">
      <c r="B40703" s="309"/>
      <c r="C40703" s="309"/>
      <c r="I40703" s="309"/>
      <c r="J40703" s="309"/>
    </row>
    <row r="40704">
      <c r="B40704" s="309"/>
      <c r="C40704" s="309"/>
      <c r="I40704" s="309"/>
      <c r="J40704" s="309"/>
    </row>
    <row r="40705">
      <c r="B40705" s="309"/>
      <c r="C40705" s="309"/>
      <c r="I40705" s="309"/>
      <c r="J40705" s="309"/>
    </row>
    <row r="40706">
      <c r="B40706" s="309"/>
      <c r="C40706" s="309"/>
      <c r="I40706" s="309"/>
      <c r="J40706" s="309"/>
    </row>
    <row r="40707">
      <c r="B40707" s="309"/>
      <c r="C40707" s="309"/>
      <c r="I40707" s="309"/>
      <c r="J40707" s="309"/>
    </row>
    <row r="40708">
      <c r="B40708" s="309"/>
      <c r="C40708" s="309"/>
      <c r="I40708" s="309"/>
      <c r="J40708" s="309"/>
    </row>
    <row r="40709">
      <c r="B40709" s="309"/>
      <c r="C40709" s="309"/>
      <c r="I40709" s="309"/>
      <c r="J40709" s="309"/>
    </row>
    <row r="40710">
      <c r="B40710" s="309"/>
      <c r="C40710" s="309"/>
      <c r="I40710" s="309"/>
      <c r="J40710" s="309"/>
    </row>
    <row r="40711">
      <c r="B40711" s="309"/>
      <c r="C40711" s="309"/>
      <c r="I40711" s="309"/>
      <c r="J40711" s="309"/>
    </row>
    <row r="40712">
      <c r="B40712" s="309"/>
      <c r="C40712" s="309"/>
      <c r="I40712" s="309"/>
      <c r="J40712" s="309"/>
    </row>
    <row r="40713">
      <c r="B40713" s="309"/>
      <c r="C40713" s="309"/>
      <c r="I40713" s="309"/>
      <c r="J40713" s="309"/>
    </row>
    <row r="40714">
      <c r="B40714" s="309"/>
      <c r="C40714" s="309"/>
      <c r="I40714" s="309"/>
      <c r="J40714" s="309"/>
    </row>
    <row r="40715">
      <c r="B40715" s="309"/>
      <c r="C40715" s="309"/>
      <c r="I40715" s="309"/>
      <c r="J40715" s="309"/>
    </row>
    <row r="40716">
      <c r="B40716" s="309"/>
      <c r="C40716" s="309"/>
      <c r="I40716" s="309"/>
      <c r="J40716" s="309"/>
    </row>
    <row r="40717">
      <c r="B40717" s="309"/>
      <c r="C40717" s="309"/>
      <c r="I40717" s="309"/>
      <c r="J40717" s="309"/>
    </row>
    <row r="40718">
      <c r="B40718" s="309"/>
      <c r="C40718" s="309"/>
      <c r="I40718" s="309"/>
      <c r="J40718" s="309"/>
    </row>
    <row r="40719">
      <c r="B40719" s="309"/>
      <c r="C40719" s="309"/>
      <c r="I40719" s="309"/>
      <c r="J40719" s="309"/>
    </row>
    <row r="40720">
      <c r="B40720" s="309"/>
      <c r="C40720" s="309"/>
      <c r="I40720" s="309"/>
      <c r="J40720" s="309"/>
    </row>
    <row r="40721">
      <c r="B40721" s="309"/>
      <c r="C40721" s="309"/>
      <c r="I40721" s="309"/>
      <c r="J40721" s="309"/>
    </row>
    <row r="40722">
      <c r="B40722" s="309"/>
      <c r="C40722" s="309"/>
      <c r="I40722" s="309"/>
      <c r="J40722" s="309"/>
    </row>
    <row r="40723">
      <c r="B40723" s="309"/>
      <c r="C40723" s="309"/>
      <c r="I40723" s="309"/>
      <c r="J40723" s="309"/>
    </row>
    <row r="40724">
      <c r="B40724" s="309"/>
      <c r="C40724" s="309"/>
      <c r="I40724" s="309"/>
      <c r="J40724" s="309"/>
    </row>
    <row r="40725">
      <c r="B40725" s="309"/>
      <c r="C40725" s="309"/>
      <c r="I40725" s="309"/>
      <c r="J40725" s="309"/>
    </row>
    <row r="40726">
      <c r="B40726" s="309"/>
      <c r="C40726" s="309"/>
      <c r="I40726" s="309"/>
      <c r="J40726" s="309"/>
    </row>
    <row r="40727">
      <c r="B40727" s="309"/>
      <c r="C40727" s="309"/>
      <c r="I40727" s="309"/>
      <c r="J40727" s="309"/>
    </row>
    <row r="40728">
      <c r="B40728" s="309"/>
      <c r="C40728" s="309"/>
      <c r="I40728" s="309"/>
      <c r="J40728" s="309"/>
    </row>
    <row r="40729">
      <c r="B40729" s="309"/>
      <c r="C40729" s="309"/>
      <c r="I40729" s="309"/>
      <c r="J40729" s="309"/>
    </row>
    <row r="40730">
      <c r="B40730" s="309"/>
      <c r="C40730" s="309"/>
      <c r="I40730" s="309"/>
      <c r="J40730" s="309"/>
    </row>
    <row r="40731">
      <c r="B40731" s="309"/>
      <c r="C40731" s="309"/>
      <c r="I40731" s="309"/>
      <c r="J40731" s="309"/>
    </row>
    <row r="40732">
      <c r="B40732" s="309"/>
      <c r="C40732" s="309"/>
      <c r="I40732" s="309"/>
      <c r="J40732" s="309"/>
    </row>
    <row r="40733">
      <c r="B40733" s="309"/>
      <c r="C40733" s="309"/>
      <c r="I40733" s="309"/>
      <c r="J40733" s="309"/>
    </row>
    <row r="40734">
      <c r="B40734" s="309"/>
      <c r="C40734" s="309"/>
      <c r="I40734" s="309"/>
      <c r="J40734" s="309"/>
    </row>
    <row r="40735">
      <c r="B40735" s="309"/>
      <c r="C40735" s="309"/>
      <c r="I40735" s="309"/>
      <c r="J40735" s="309"/>
    </row>
    <row r="40736">
      <c r="B40736" s="309"/>
      <c r="C40736" s="309"/>
      <c r="I40736" s="309"/>
      <c r="J40736" s="309"/>
    </row>
    <row r="40737">
      <c r="B40737" s="309"/>
      <c r="C40737" s="309"/>
      <c r="I40737" s="309"/>
      <c r="J40737" s="309"/>
    </row>
    <row r="40738">
      <c r="B40738" s="309"/>
      <c r="C40738" s="309"/>
      <c r="I40738" s="309"/>
      <c r="J40738" s="309"/>
    </row>
    <row r="40739">
      <c r="B40739" s="309"/>
      <c r="C40739" s="309"/>
      <c r="I40739" s="309"/>
      <c r="J40739" s="309"/>
    </row>
    <row r="40740">
      <c r="B40740" s="309"/>
      <c r="C40740" s="309"/>
      <c r="I40740" s="309"/>
      <c r="J40740" s="309"/>
    </row>
    <row r="40741">
      <c r="B40741" s="309"/>
      <c r="C40741" s="309"/>
      <c r="I40741" s="309"/>
      <c r="J40741" s="309"/>
    </row>
    <row r="40742">
      <c r="B40742" s="309"/>
      <c r="C40742" s="309"/>
      <c r="I40742" s="309"/>
      <c r="J40742" s="309"/>
    </row>
    <row r="40743">
      <c r="B40743" s="309"/>
      <c r="C40743" s="309"/>
      <c r="I40743" s="309"/>
      <c r="J40743" s="309"/>
    </row>
    <row r="40744">
      <c r="B40744" s="309"/>
      <c r="C40744" s="309"/>
      <c r="I40744" s="309"/>
      <c r="J40744" s="309"/>
    </row>
    <row r="40745">
      <c r="B40745" s="309"/>
      <c r="C40745" s="309"/>
      <c r="I40745" s="309"/>
      <c r="J40745" s="309"/>
    </row>
    <row r="40746">
      <c r="B40746" s="309"/>
      <c r="C40746" s="309"/>
      <c r="I40746" s="309"/>
      <c r="J40746" s="309"/>
    </row>
    <row r="40747">
      <c r="B40747" s="309"/>
      <c r="C40747" s="309"/>
      <c r="I40747" s="309"/>
      <c r="J40747" s="309"/>
    </row>
    <row r="40748">
      <c r="B40748" s="309"/>
      <c r="C40748" s="309"/>
      <c r="I40748" s="309"/>
      <c r="J40748" s="309"/>
    </row>
    <row r="40749">
      <c r="B40749" s="309"/>
      <c r="C40749" s="309"/>
      <c r="I40749" s="309"/>
      <c r="J40749" s="309"/>
    </row>
    <row r="40750">
      <c r="B40750" s="309"/>
      <c r="C40750" s="309"/>
      <c r="I40750" s="309"/>
      <c r="J40750" s="309"/>
    </row>
    <row r="40751">
      <c r="B40751" s="309"/>
      <c r="C40751" s="309"/>
      <c r="I40751" s="309"/>
      <c r="J40751" s="309"/>
    </row>
    <row r="40752">
      <c r="B40752" s="309"/>
      <c r="C40752" s="309"/>
      <c r="I40752" s="309"/>
      <c r="J40752" s="309"/>
    </row>
    <row r="40753">
      <c r="B40753" s="309"/>
      <c r="C40753" s="309"/>
      <c r="I40753" s="309"/>
      <c r="J40753" s="309"/>
    </row>
    <row r="40754">
      <c r="B40754" s="309"/>
      <c r="C40754" s="309"/>
      <c r="I40754" s="309"/>
      <c r="J40754" s="309"/>
    </row>
    <row r="40755">
      <c r="B40755" s="309"/>
      <c r="C40755" s="309"/>
      <c r="I40755" s="309"/>
      <c r="J40755" s="309"/>
    </row>
    <row r="40756">
      <c r="B40756" s="309"/>
      <c r="C40756" s="309"/>
      <c r="I40756" s="309"/>
      <c r="J40756" s="309"/>
    </row>
    <row r="40757">
      <c r="B40757" s="309"/>
      <c r="C40757" s="309"/>
      <c r="I40757" s="309"/>
      <c r="J40757" s="309"/>
    </row>
    <row r="40758">
      <c r="B40758" s="309"/>
      <c r="C40758" s="309"/>
      <c r="I40758" s="309"/>
      <c r="J40758" s="309"/>
    </row>
    <row r="40759">
      <c r="B40759" s="309"/>
      <c r="C40759" s="309"/>
      <c r="I40759" s="309"/>
      <c r="J40759" s="309"/>
    </row>
    <row r="40760">
      <c r="B40760" s="309"/>
      <c r="C40760" s="309"/>
      <c r="I40760" s="309"/>
      <c r="J40760" s="309"/>
    </row>
    <row r="40761">
      <c r="B40761" s="309"/>
      <c r="C40761" s="309"/>
      <c r="I40761" s="309"/>
      <c r="J40761" s="309"/>
    </row>
    <row r="40762">
      <c r="B40762" s="309"/>
      <c r="C40762" s="309"/>
      <c r="I40762" s="309"/>
      <c r="J40762" s="309"/>
    </row>
    <row r="40763">
      <c r="B40763" s="309"/>
      <c r="C40763" s="309"/>
      <c r="I40763" s="309"/>
      <c r="J40763" s="309"/>
    </row>
    <row r="40764">
      <c r="B40764" s="309"/>
      <c r="C40764" s="309"/>
      <c r="I40764" s="309"/>
      <c r="J40764" s="309"/>
    </row>
    <row r="40765">
      <c r="B40765" s="309"/>
      <c r="C40765" s="309"/>
      <c r="I40765" s="309"/>
      <c r="J40765" s="309"/>
    </row>
    <row r="40766">
      <c r="B40766" s="309"/>
      <c r="C40766" s="309"/>
      <c r="I40766" s="309"/>
      <c r="J40766" s="309"/>
    </row>
    <row r="40767">
      <c r="B40767" s="309"/>
      <c r="C40767" s="309"/>
      <c r="I40767" s="309"/>
      <c r="J40767" s="309"/>
    </row>
    <row r="40768">
      <c r="B40768" s="309"/>
      <c r="C40768" s="309"/>
      <c r="I40768" s="309"/>
      <c r="J40768" s="309"/>
    </row>
    <row r="40769">
      <c r="B40769" s="309"/>
      <c r="C40769" s="309"/>
      <c r="I40769" s="309"/>
      <c r="J40769" s="309"/>
    </row>
    <row r="40770">
      <c r="B40770" s="309"/>
      <c r="C40770" s="309"/>
      <c r="I40770" s="309"/>
      <c r="J40770" s="309"/>
    </row>
    <row r="40771">
      <c r="B40771" s="309"/>
      <c r="C40771" s="309"/>
      <c r="I40771" s="309"/>
      <c r="J40771" s="309"/>
    </row>
    <row r="40772">
      <c r="B40772" s="309"/>
      <c r="C40772" s="309"/>
      <c r="I40772" s="309"/>
      <c r="J40772" s="309"/>
    </row>
    <row r="40773">
      <c r="B40773" s="309"/>
      <c r="C40773" s="309"/>
      <c r="I40773" s="309"/>
      <c r="J40773" s="309"/>
    </row>
    <row r="40774">
      <c r="B40774" s="309"/>
      <c r="C40774" s="309"/>
      <c r="I40774" s="309"/>
      <c r="J40774" s="309"/>
    </row>
    <row r="40775">
      <c r="B40775" s="309"/>
      <c r="C40775" s="309"/>
      <c r="I40775" s="309"/>
      <c r="J40775" s="309"/>
    </row>
    <row r="40776">
      <c r="B40776" s="309"/>
      <c r="C40776" s="309"/>
      <c r="I40776" s="309"/>
      <c r="J40776" s="309"/>
    </row>
    <row r="40777">
      <c r="B40777" s="309"/>
      <c r="C40777" s="309"/>
      <c r="I40777" s="309"/>
      <c r="J40777" s="309"/>
    </row>
    <row r="40778">
      <c r="B40778" s="309"/>
      <c r="C40778" s="309"/>
      <c r="I40778" s="309"/>
      <c r="J40778" s="309"/>
    </row>
    <row r="40779">
      <c r="B40779" s="309"/>
      <c r="C40779" s="309"/>
      <c r="I40779" s="309"/>
      <c r="J40779" s="309"/>
    </row>
    <row r="40780">
      <c r="B40780" s="309"/>
      <c r="C40780" s="309"/>
      <c r="I40780" s="309"/>
      <c r="J40780" s="309"/>
    </row>
    <row r="40781">
      <c r="B40781" s="309"/>
      <c r="C40781" s="309"/>
      <c r="I40781" s="309"/>
      <c r="J40781" s="309"/>
    </row>
    <row r="40782">
      <c r="B40782" s="309"/>
      <c r="C40782" s="309"/>
      <c r="I40782" s="309"/>
      <c r="J40782" s="309"/>
    </row>
    <row r="40783">
      <c r="B40783" s="309"/>
      <c r="C40783" s="309"/>
      <c r="I40783" s="309"/>
      <c r="J40783" s="309"/>
    </row>
    <row r="40784">
      <c r="B40784" s="309"/>
      <c r="C40784" s="309"/>
      <c r="I40784" s="309"/>
      <c r="J40784" s="309"/>
    </row>
    <row r="40785">
      <c r="B40785" s="309"/>
      <c r="C40785" s="309"/>
      <c r="I40785" s="309"/>
      <c r="J40785" s="309"/>
    </row>
    <row r="40786">
      <c r="B40786" s="309"/>
      <c r="C40786" s="309"/>
      <c r="I40786" s="309"/>
      <c r="J40786" s="309"/>
    </row>
    <row r="40787">
      <c r="B40787" s="309"/>
      <c r="C40787" s="309"/>
      <c r="I40787" s="309"/>
      <c r="J40787" s="309"/>
    </row>
    <row r="40788">
      <c r="B40788" s="309"/>
      <c r="C40788" s="309"/>
      <c r="I40788" s="309"/>
      <c r="J40788" s="309"/>
    </row>
    <row r="40789">
      <c r="B40789" s="309"/>
      <c r="C40789" s="309"/>
      <c r="I40789" s="309"/>
      <c r="J40789" s="309"/>
    </row>
    <row r="40790">
      <c r="B40790" s="309"/>
      <c r="C40790" s="309"/>
      <c r="I40790" s="309"/>
      <c r="J40790" s="309"/>
    </row>
    <row r="40791">
      <c r="B40791" s="309"/>
      <c r="C40791" s="309"/>
      <c r="I40791" s="309"/>
      <c r="J40791" s="309"/>
    </row>
    <row r="40792">
      <c r="B40792" s="309"/>
      <c r="C40792" s="309"/>
      <c r="I40792" s="309"/>
      <c r="J40792" s="309"/>
    </row>
    <row r="40793">
      <c r="B40793" s="309"/>
      <c r="C40793" s="309"/>
      <c r="I40793" s="309"/>
      <c r="J40793" s="309"/>
    </row>
    <row r="40794">
      <c r="B40794" s="309"/>
      <c r="C40794" s="309"/>
      <c r="I40794" s="309"/>
      <c r="J40794" s="309"/>
    </row>
    <row r="40795">
      <c r="B40795" s="309"/>
      <c r="C40795" s="309"/>
      <c r="I40795" s="309"/>
      <c r="J40795" s="309"/>
    </row>
    <row r="40796">
      <c r="B40796" s="309"/>
      <c r="C40796" s="309"/>
      <c r="I40796" s="309"/>
      <c r="J40796" s="309"/>
    </row>
    <row r="40797">
      <c r="B40797" s="309"/>
      <c r="C40797" s="309"/>
      <c r="I40797" s="309"/>
      <c r="J40797" s="309"/>
    </row>
    <row r="40798">
      <c r="B40798" s="309"/>
      <c r="C40798" s="309"/>
      <c r="I40798" s="309"/>
      <c r="J40798" s="309"/>
    </row>
    <row r="40799">
      <c r="B40799" s="309"/>
      <c r="C40799" s="309"/>
      <c r="I40799" s="309"/>
      <c r="J40799" s="309"/>
    </row>
    <row r="40800">
      <c r="B40800" s="309"/>
      <c r="C40800" s="309"/>
      <c r="I40800" s="309"/>
      <c r="J40800" s="309"/>
    </row>
    <row r="40801">
      <c r="B40801" s="309"/>
      <c r="C40801" s="309"/>
      <c r="I40801" s="309"/>
      <c r="J40801" s="309"/>
    </row>
    <row r="40802">
      <c r="B40802" s="309"/>
      <c r="C40802" s="309"/>
      <c r="I40802" s="309"/>
      <c r="J40802" s="309"/>
    </row>
    <row r="40803">
      <c r="B40803" s="309"/>
      <c r="C40803" s="309"/>
      <c r="I40803" s="309"/>
      <c r="J40803" s="309"/>
    </row>
    <row r="40804">
      <c r="B40804" s="309"/>
      <c r="C40804" s="309"/>
      <c r="I40804" s="309"/>
      <c r="J40804" s="309"/>
    </row>
    <row r="40805">
      <c r="B40805" s="309"/>
      <c r="C40805" s="309"/>
      <c r="I40805" s="309"/>
      <c r="J40805" s="309"/>
    </row>
    <row r="40806">
      <c r="B40806" s="309"/>
      <c r="C40806" s="309"/>
      <c r="I40806" s="309"/>
      <c r="J40806" s="309"/>
    </row>
    <row r="40807">
      <c r="B40807" s="309"/>
      <c r="C40807" s="309"/>
      <c r="I40807" s="309"/>
      <c r="J40807" s="309"/>
    </row>
    <row r="40808">
      <c r="B40808" s="309"/>
      <c r="C40808" s="309"/>
      <c r="I40808" s="309"/>
      <c r="J40808" s="309"/>
    </row>
    <row r="40809">
      <c r="B40809" s="309"/>
      <c r="C40809" s="309"/>
      <c r="I40809" s="309"/>
      <c r="J40809" s="309"/>
    </row>
    <row r="40810">
      <c r="B40810" s="309"/>
      <c r="C40810" s="309"/>
      <c r="I40810" s="309"/>
      <c r="J40810" s="309"/>
    </row>
    <row r="40811">
      <c r="B40811" s="309"/>
      <c r="C40811" s="309"/>
      <c r="I40811" s="309"/>
      <c r="J40811" s="309"/>
    </row>
    <row r="40812">
      <c r="B40812" s="309"/>
      <c r="C40812" s="309"/>
      <c r="I40812" s="309"/>
      <c r="J40812" s="309"/>
    </row>
    <row r="40813">
      <c r="B40813" s="309"/>
      <c r="C40813" s="309"/>
      <c r="I40813" s="309"/>
      <c r="J40813" s="309"/>
    </row>
    <row r="40814">
      <c r="B40814" s="309"/>
      <c r="C40814" s="309"/>
      <c r="I40814" s="309"/>
      <c r="J40814" s="309"/>
    </row>
    <row r="40815">
      <c r="B40815" s="309"/>
      <c r="C40815" s="309"/>
      <c r="I40815" s="309"/>
      <c r="J40815" s="309"/>
    </row>
    <row r="40816">
      <c r="B40816" s="309"/>
      <c r="C40816" s="309"/>
      <c r="I40816" s="309"/>
      <c r="J40816" s="309"/>
    </row>
    <row r="40817">
      <c r="B40817" s="309"/>
      <c r="C40817" s="309"/>
      <c r="I40817" s="309"/>
      <c r="J40817" s="309"/>
    </row>
    <row r="40818">
      <c r="B40818" s="309"/>
      <c r="C40818" s="309"/>
      <c r="I40818" s="309"/>
      <c r="J40818" s="309"/>
    </row>
    <row r="40819">
      <c r="B40819" s="309"/>
      <c r="C40819" s="309"/>
      <c r="I40819" s="309"/>
      <c r="J40819" s="309"/>
    </row>
    <row r="40820">
      <c r="B40820" s="309"/>
      <c r="C40820" s="309"/>
      <c r="I40820" s="309"/>
      <c r="J40820" s="309"/>
    </row>
    <row r="40821">
      <c r="B40821" s="309"/>
      <c r="C40821" s="309"/>
      <c r="I40821" s="309"/>
      <c r="J40821" s="309"/>
    </row>
    <row r="40822">
      <c r="B40822" s="309"/>
      <c r="C40822" s="309"/>
      <c r="I40822" s="309"/>
      <c r="J40822" s="309"/>
    </row>
    <row r="40823">
      <c r="B40823" s="309"/>
      <c r="C40823" s="309"/>
      <c r="I40823" s="309"/>
      <c r="J40823" s="309"/>
    </row>
    <row r="40824">
      <c r="B40824" s="309"/>
      <c r="C40824" s="309"/>
      <c r="I40824" s="309"/>
      <c r="J40824" s="309"/>
    </row>
    <row r="40825">
      <c r="B40825" s="309"/>
      <c r="C40825" s="309"/>
      <c r="I40825" s="309"/>
      <c r="J40825" s="309"/>
    </row>
    <row r="40826">
      <c r="B40826" s="309"/>
      <c r="C40826" s="309"/>
      <c r="I40826" s="309"/>
      <c r="J40826" s="309"/>
    </row>
    <row r="40827">
      <c r="B40827" s="309"/>
      <c r="C40827" s="309"/>
      <c r="I40827" s="309"/>
      <c r="J40827" s="309"/>
    </row>
    <row r="40828">
      <c r="B40828" s="309"/>
      <c r="C40828" s="309"/>
      <c r="I40828" s="309"/>
      <c r="J40828" s="309"/>
    </row>
    <row r="40829">
      <c r="B40829" s="309"/>
      <c r="C40829" s="309"/>
      <c r="I40829" s="309"/>
      <c r="J40829" s="309"/>
    </row>
    <row r="40830">
      <c r="B40830" s="309"/>
      <c r="C40830" s="309"/>
      <c r="I40830" s="309"/>
      <c r="J40830" s="309"/>
    </row>
    <row r="40831">
      <c r="B40831" s="309"/>
      <c r="C40831" s="309"/>
      <c r="I40831" s="309"/>
      <c r="J40831" s="309"/>
    </row>
    <row r="40832">
      <c r="B40832" s="309"/>
      <c r="C40832" s="309"/>
      <c r="I40832" s="309"/>
      <c r="J40832" s="309"/>
    </row>
    <row r="40833">
      <c r="B40833" s="309"/>
      <c r="C40833" s="309"/>
      <c r="I40833" s="309"/>
      <c r="J40833" s="309"/>
    </row>
    <row r="40834">
      <c r="B40834" s="309"/>
      <c r="C40834" s="309"/>
      <c r="I40834" s="309"/>
      <c r="J40834" s="309"/>
    </row>
    <row r="40835">
      <c r="B40835" s="309"/>
      <c r="C40835" s="309"/>
      <c r="I40835" s="309"/>
      <c r="J40835" s="309"/>
    </row>
    <row r="40836">
      <c r="B40836" s="309"/>
      <c r="C40836" s="309"/>
      <c r="I40836" s="309"/>
      <c r="J40836" s="309"/>
    </row>
    <row r="40837">
      <c r="B40837" s="309"/>
      <c r="C40837" s="309"/>
      <c r="I40837" s="309"/>
      <c r="J40837" s="309"/>
    </row>
    <row r="40838">
      <c r="B40838" s="309"/>
      <c r="C40838" s="309"/>
      <c r="I40838" s="309"/>
      <c r="J40838" s="309"/>
    </row>
    <row r="40839">
      <c r="B40839" s="309"/>
      <c r="C40839" s="309"/>
      <c r="I40839" s="309"/>
      <c r="J40839" s="309"/>
    </row>
    <row r="40840">
      <c r="B40840" s="309"/>
      <c r="C40840" s="309"/>
      <c r="I40840" s="309"/>
      <c r="J40840" s="309"/>
    </row>
    <row r="40841">
      <c r="B40841" s="309"/>
      <c r="C40841" s="309"/>
      <c r="I40841" s="309"/>
      <c r="J40841" s="309"/>
    </row>
    <row r="40842">
      <c r="B40842" s="309"/>
      <c r="C40842" s="309"/>
      <c r="I40842" s="309"/>
      <c r="J40842" s="309"/>
    </row>
    <row r="40843">
      <c r="B40843" s="309"/>
      <c r="C40843" s="309"/>
      <c r="I40843" s="309"/>
      <c r="J40843" s="309"/>
    </row>
    <row r="40844">
      <c r="B40844" s="309"/>
      <c r="C40844" s="309"/>
      <c r="I40844" s="309"/>
      <c r="J40844" s="309"/>
    </row>
    <row r="40845">
      <c r="B40845" s="309"/>
      <c r="C40845" s="309"/>
      <c r="I40845" s="309"/>
      <c r="J40845" s="309"/>
    </row>
    <row r="40846">
      <c r="B40846" s="309"/>
      <c r="C40846" s="309"/>
      <c r="I40846" s="309"/>
      <c r="J40846" s="309"/>
    </row>
    <row r="40847">
      <c r="B40847" s="309"/>
      <c r="C40847" s="309"/>
      <c r="I40847" s="309"/>
      <c r="J40847" s="309"/>
    </row>
    <row r="40848">
      <c r="B40848" s="309"/>
      <c r="C40848" s="309"/>
      <c r="I40848" s="309"/>
      <c r="J40848" s="309"/>
    </row>
    <row r="40849">
      <c r="B40849" s="309"/>
      <c r="C40849" s="309"/>
      <c r="I40849" s="309"/>
      <c r="J40849" s="309"/>
    </row>
    <row r="40850">
      <c r="B40850" s="309"/>
      <c r="C40850" s="309"/>
      <c r="I40850" s="309"/>
      <c r="J40850" s="309"/>
    </row>
    <row r="40851">
      <c r="B40851" s="309"/>
      <c r="C40851" s="309"/>
      <c r="I40851" s="309"/>
      <c r="J40851" s="309"/>
    </row>
    <row r="40852">
      <c r="B40852" s="309"/>
      <c r="C40852" s="309"/>
      <c r="I40852" s="309"/>
      <c r="J40852" s="309"/>
    </row>
    <row r="40853">
      <c r="B40853" s="309"/>
      <c r="C40853" s="309"/>
      <c r="I40853" s="309"/>
      <c r="J40853" s="309"/>
    </row>
    <row r="40854">
      <c r="B40854" s="309"/>
      <c r="C40854" s="309"/>
      <c r="I40854" s="309"/>
      <c r="J40854" s="309"/>
    </row>
    <row r="40855">
      <c r="B40855" s="309"/>
      <c r="C40855" s="309"/>
      <c r="I40855" s="309"/>
      <c r="J40855" s="309"/>
    </row>
    <row r="40856">
      <c r="B40856" s="309"/>
      <c r="C40856" s="309"/>
      <c r="I40856" s="309"/>
      <c r="J40856" s="309"/>
    </row>
    <row r="40857">
      <c r="B40857" s="309"/>
      <c r="C40857" s="309"/>
      <c r="I40857" s="309"/>
      <c r="J40857" s="309"/>
    </row>
    <row r="40858">
      <c r="B40858" s="309"/>
      <c r="C40858" s="309"/>
      <c r="I40858" s="309"/>
      <c r="J40858" s="309"/>
    </row>
    <row r="40859">
      <c r="B40859" s="309"/>
      <c r="C40859" s="309"/>
      <c r="I40859" s="309"/>
      <c r="J40859" s="309"/>
    </row>
    <row r="40860">
      <c r="B40860" s="309"/>
      <c r="C40860" s="309"/>
      <c r="I40860" s="309"/>
      <c r="J40860" s="309"/>
    </row>
    <row r="40861">
      <c r="B40861" s="309"/>
      <c r="C40861" s="309"/>
      <c r="I40861" s="309"/>
      <c r="J40861" s="309"/>
    </row>
    <row r="40862">
      <c r="B40862" s="309"/>
      <c r="C40862" s="309"/>
      <c r="I40862" s="309"/>
      <c r="J40862" s="309"/>
    </row>
    <row r="40863">
      <c r="B40863" s="309"/>
      <c r="C40863" s="309"/>
      <c r="I40863" s="309"/>
      <c r="J40863" s="309"/>
    </row>
    <row r="40864">
      <c r="B40864" s="309"/>
      <c r="C40864" s="309"/>
      <c r="I40864" s="309"/>
      <c r="J40864" s="309"/>
    </row>
    <row r="40865">
      <c r="B40865" s="309"/>
      <c r="C40865" s="309"/>
      <c r="I40865" s="309"/>
      <c r="J40865" s="309"/>
    </row>
    <row r="40866">
      <c r="B40866" s="309"/>
      <c r="C40866" s="309"/>
      <c r="I40866" s="309"/>
      <c r="J40866" s="309"/>
    </row>
    <row r="40867">
      <c r="B40867" s="309"/>
      <c r="C40867" s="309"/>
      <c r="I40867" s="309"/>
      <c r="J40867" s="309"/>
    </row>
    <row r="40868">
      <c r="B40868" s="309"/>
      <c r="C40868" s="309"/>
      <c r="I40868" s="309"/>
      <c r="J40868" s="309"/>
    </row>
    <row r="40869">
      <c r="B40869" s="309"/>
      <c r="C40869" s="309"/>
      <c r="I40869" s="309"/>
      <c r="J40869" s="309"/>
    </row>
    <row r="40870">
      <c r="B40870" s="309"/>
      <c r="C40870" s="309"/>
      <c r="I40870" s="309"/>
      <c r="J40870" s="309"/>
    </row>
    <row r="40871">
      <c r="B40871" s="309"/>
      <c r="C40871" s="309"/>
      <c r="I40871" s="309"/>
      <c r="J40871" s="309"/>
    </row>
    <row r="40872">
      <c r="B40872" s="309"/>
      <c r="C40872" s="309"/>
      <c r="I40872" s="309"/>
      <c r="J40872" s="309"/>
    </row>
    <row r="40873">
      <c r="B40873" s="309"/>
      <c r="C40873" s="309"/>
      <c r="I40873" s="309"/>
      <c r="J40873" s="309"/>
    </row>
    <row r="40874">
      <c r="B40874" s="309"/>
      <c r="C40874" s="309"/>
      <c r="I40874" s="309"/>
      <c r="J40874" s="309"/>
    </row>
    <row r="40875">
      <c r="B40875" s="309"/>
      <c r="C40875" s="309"/>
      <c r="I40875" s="309"/>
      <c r="J40875" s="309"/>
    </row>
    <row r="40876">
      <c r="B40876" s="309"/>
      <c r="C40876" s="309"/>
      <c r="I40876" s="309"/>
      <c r="J40876" s="309"/>
    </row>
    <row r="40877">
      <c r="B40877" s="309"/>
      <c r="C40877" s="309"/>
      <c r="I40877" s="309"/>
      <c r="J40877" s="309"/>
    </row>
    <row r="40878">
      <c r="B40878" s="309"/>
      <c r="C40878" s="309"/>
      <c r="I40878" s="309"/>
      <c r="J40878" s="309"/>
    </row>
    <row r="40879">
      <c r="B40879" s="309"/>
      <c r="C40879" s="309"/>
      <c r="I40879" s="309"/>
      <c r="J40879" s="309"/>
    </row>
    <row r="40880">
      <c r="B40880" s="309"/>
      <c r="C40880" s="309"/>
      <c r="I40880" s="309"/>
      <c r="J40880" s="309"/>
    </row>
    <row r="40881">
      <c r="B40881" s="309"/>
      <c r="C40881" s="309"/>
      <c r="I40881" s="309"/>
      <c r="J40881" s="309"/>
    </row>
    <row r="40882">
      <c r="B40882" s="309"/>
      <c r="C40882" s="309"/>
      <c r="I40882" s="309"/>
      <c r="J40882" s="309"/>
    </row>
    <row r="40883">
      <c r="B40883" s="309"/>
      <c r="C40883" s="309"/>
      <c r="I40883" s="309"/>
      <c r="J40883" s="309"/>
    </row>
    <row r="40884">
      <c r="B40884" s="309"/>
      <c r="C40884" s="309"/>
      <c r="I40884" s="309"/>
      <c r="J40884" s="309"/>
    </row>
    <row r="40885">
      <c r="B40885" s="309"/>
      <c r="C40885" s="309"/>
      <c r="I40885" s="309"/>
      <c r="J40885" s="309"/>
    </row>
    <row r="40886">
      <c r="B40886" s="309"/>
      <c r="C40886" s="309"/>
      <c r="I40886" s="309"/>
      <c r="J40886" s="309"/>
    </row>
    <row r="40887">
      <c r="B40887" s="309"/>
      <c r="C40887" s="309"/>
      <c r="I40887" s="309"/>
      <c r="J40887" s="309"/>
    </row>
    <row r="40888">
      <c r="B40888" s="309"/>
      <c r="C40888" s="309"/>
      <c r="I40888" s="309"/>
      <c r="J40888" s="309"/>
    </row>
    <row r="40889">
      <c r="B40889" s="309"/>
      <c r="C40889" s="309"/>
      <c r="I40889" s="309"/>
      <c r="J40889" s="309"/>
    </row>
    <row r="40890">
      <c r="B40890" s="309"/>
      <c r="C40890" s="309"/>
      <c r="I40890" s="309"/>
      <c r="J40890" s="309"/>
    </row>
    <row r="40891">
      <c r="B40891" s="309"/>
      <c r="C40891" s="309"/>
      <c r="I40891" s="309"/>
      <c r="J40891" s="309"/>
    </row>
    <row r="40892">
      <c r="B40892" s="309"/>
      <c r="C40892" s="309"/>
      <c r="I40892" s="309"/>
      <c r="J40892" s="309"/>
    </row>
    <row r="40893">
      <c r="B40893" s="309"/>
      <c r="C40893" s="309"/>
      <c r="I40893" s="309"/>
      <c r="J40893" s="309"/>
    </row>
    <row r="40894">
      <c r="B40894" s="309"/>
      <c r="C40894" s="309"/>
      <c r="I40894" s="309"/>
      <c r="J40894" s="309"/>
    </row>
    <row r="40895">
      <c r="B40895" s="309"/>
      <c r="C40895" s="309"/>
      <c r="I40895" s="309"/>
      <c r="J40895" s="309"/>
    </row>
    <row r="40896">
      <c r="B40896" s="309"/>
      <c r="C40896" s="309"/>
      <c r="I40896" s="309"/>
      <c r="J40896" s="309"/>
    </row>
    <row r="40897">
      <c r="B40897" s="309"/>
      <c r="C40897" s="309"/>
      <c r="I40897" s="309"/>
      <c r="J40897" s="309"/>
    </row>
    <row r="40898">
      <c r="B40898" s="309"/>
      <c r="C40898" s="309"/>
      <c r="I40898" s="309"/>
      <c r="J40898" s="309"/>
    </row>
    <row r="40899">
      <c r="B40899" s="309"/>
      <c r="C40899" s="309"/>
      <c r="I40899" s="309"/>
      <c r="J40899" s="309"/>
    </row>
    <row r="40900">
      <c r="B40900" s="309"/>
      <c r="C40900" s="309"/>
      <c r="I40900" s="309"/>
      <c r="J40900" s="309"/>
    </row>
    <row r="40901">
      <c r="B40901" s="309"/>
      <c r="C40901" s="309"/>
      <c r="I40901" s="309"/>
      <c r="J40901" s="309"/>
    </row>
    <row r="40902">
      <c r="B40902" s="309"/>
      <c r="C40902" s="309"/>
      <c r="I40902" s="309"/>
      <c r="J40902" s="309"/>
    </row>
    <row r="40903">
      <c r="B40903" s="309"/>
      <c r="C40903" s="309"/>
      <c r="I40903" s="309"/>
      <c r="J40903" s="309"/>
    </row>
    <row r="40904">
      <c r="B40904" s="309"/>
      <c r="C40904" s="309"/>
      <c r="I40904" s="309"/>
      <c r="J40904" s="309"/>
    </row>
    <row r="40905">
      <c r="B40905" s="309"/>
      <c r="C40905" s="309"/>
      <c r="I40905" s="309"/>
      <c r="J40905" s="309"/>
    </row>
    <row r="40906">
      <c r="B40906" s="309"/>
      <c r="C40906" s="309"/>
      <c r="I40906" s="309"/>
      <c r="J40906" s="309"/>
    </row>
    <row r="40907">
      <c r="B40907" s="309"/>
      <c r="C40907" s="309"/>
      <c r="I40907" s="309"/>
      <c r="J40907" s="309"/>
    </row>
    <row r="40908">
      <c r="B40908" s="309"/>
      <c r="C40908" s="309"/>
      <c r="I40908" s="309"/>
      <c r="J40908" s="309"/>
    </row>
    <row r="40909">
      <c r="B40909" s="309"/>
      <c r="C40909" s="309"/>
      <c r="I40909" s="309"/>
      <c r="J40909" s="309"/>
    </row>
    <row r="40910">
      <c r="B40910" s="309"/>
      <c r="C40910" s="309"/>
      <c r="I40910" s="309"/>
      <c r="J40910" s="309"/>
    </row>
    <row r="40911">
      <c r="B40911" s="309"/>
      <c r="C40911" s="309"/>
      <c r="I40911" s="309"/>
      <c r="J40911" s="309"/>
    </row>
    <row r="40912">
      <c r="B40912" s="309"/>
      <c r="C40912" s="309"/>
      <c r="I40912" s="309"/>
      <c r="J40912" s="309"/>
    </row>
    <row r="40913">
      <c r="B40913" s="309"/>
      <c r="C40913" s="309"/>
      <c r="I40913" s="309"/>
      <c r="J40913" s="309"/>
    </row>
    <row r="40914">
      <c r="B40914" s="309"/>
      <c r="C40914" s="309"/>
      <c r="I40914" s="309"/>
      <c r="J40914" s="309"/>
    </row>
    <row r="40915">
      <c r="B40915" s="309"/>
      <c r="C40915" s="309"/>
      <c r="I40915" s="309"/>
      <c r="J40915" s="309"/>
    </row>
    <row r="40916">
      <c r="B40916" s="309"/>
      <c r="C40916" s="309"/>
      <c r="I40916" s="309"/>
      <c r="J40916" s="309"/>
    </row>
    <row r="40917">
      <c r="B40917" s="309"/>
      <c r="C40917" s="309"/>
      <c r="I40917" s="309"/>
      <c r="J40917" s="309"/>
    </row>
    <row r="40918">
      <c r="B40918" s="309"/>
      <c r="C40918" s="309"/>
      <c r="I40918" s="309"/>
      <c r="J40918" s="309"/>
    </row>
    <row r="40919">
      <c r="B40919" s="309"/>
      <c r="C40919" s="309"/>
      <c r="I40919" s="309"/>
      <c r="J40919" s="309"/>
    </row>
    <row r="40920">
      <c r="B40920" s="309"/>
      <c r="C40920" s="309"/>
      <c r="I40920" s="309"/>
      <c r="J40920" s="309"/>
    </row>
    <row r="40921">
      <c r="B40921" s="309"/>
      <c r="C40921" s="309"/>
      <c r="I40921" s="309"/>
      <c r="J40921" s="309"/>
    </row>
    <row r="40922">
      <c r="B40922" s="309"/>
      <c r="C40922" s="309"/>
      <c r="I40922" s="309"/>
      <c r="J40922" s="309"/>
    </row>
    <row r="40923">
      <c r="B40923" s="309"/>
      <c r="C40923" s="309"/>
      <c r="I40923" s="309"/>
      <c r="J40923" s="309"/>
    </row>
    <row r="40924">
      <c r="B40924" s="309"/>
      <c r="C40924" s="309"/>
      <c r="I40924" s="309"/>
      <c r="J40924" s="309"/>
    </row>
    <row r="40925">
      <c r="B40925" s="309"/>
      <c r="C40925" s="309"/>
      <c r="I40925" s="309"/>
      <c r="J40925" s="309"/>
    </row>
    <row r="40926">
      <c r="B40926" s="309"/>
      <c r="C40926" s="309"/>
      <c r="I40926" s="309"/>
      <c r="J40926" s="309"/>
    </row>
    <row r="40927">
      <c r="B40927" s="309"/>
      <c r="C40927" s="309"/>
      <c r="I40927" s="309"/>
      <c r="J40927" s="309"/>
    </row>
    <row r="40928">
      <c r="B40928" s="309"/>
      <c r="C40928" s="309"/>
      <c r="I40928" s="309"/>
      <c r="J40928" s="309"/>
    </row>
    <row r="40929">
      <c r="B40929" s="309"/>
      <c r="C40929" s="309"/>
      <c r="I40929" s="309"/>
      <c r="J40929" s="309"/>
    </row>
    <row r="40930">
      <c r="B40930" s="309"/>
      <c r="C40930" s="309"/>
      <c r="I40930" s="309"/>
      <c r="J40930" s="309"/>
    </row>
    <row r="40931">
      <c r="B40931" s="309"/>
      <c r="C40931" s="309"/>
      <c r="I40931" s="309"/>
      <c r="J40931" s="309"/>
    </row>
    <row r="40932">
      <c r="B40932" s="309"/>
      <c r="C40932" s="309"/>
      <c r="I40932" s="309"/>
      <c r="J40932" s="309"/>
    </row>
    <row r="40933">
      <c r="B40933" s="309"/>
      <c r="C40933" s="309"/>
      <c r="I40933" s="309"/>
      <c r="J40933" s="309"/>
    </row>
    <row r="40934">
      <c r="B40934" s="309"/>
      <c r="C40934" s="309"/>
      <c r="I40934" s="309"/>
      <c r="J40934" s="309"/>
    </row>
    <row r="40935">
      <c r="B40935" s="309"/>
      <c r="C40935" s="309"/>
      <c r="I40935" s="309"/>
      <c r="J40935" s="309"/>
    </row>
    <row r="40936">
      <c r="B40936" s="309"/>
      <c r="C40936" s="309"/>
      <c r="I40936" s="309"/>
      <c r="J40936" s="309"/>
    </row>
    <row r="40937">
      <c r="B40937" s="309"/>
      <c r="C40937" s="309"/>
      <c r="I40937" s="309"/>
      <c r="J40937" s="309"/>
    </row>
    <row r="40938">
      <c r="B40938" s="309"/>
      <c r="C40938" s="309"/>
      <c r="I40938" s="309"/>
      <c r="J40938" s="309"/>
    </row>
    <row r="40939">
      <c r="B40939" s="309"/>
      <c r="C40939" s="309"/>
      <c r="I40939" s="309"/>
      <c r="J40939" s="309"/>
    </row>
    <row r="40940">
      <c r="B40940" s="309"/>
      <c r="C40940" s="309"/>
      <c r="I40940" s="309"/>
      <c r="J40940" s="309"/>
    </row>
    <row r="40941">
      <c r="B40941" s="309"/>
      <c r="C40941" s="309"/>
      <c r="I40941" s="309"/>
      <c r="J40941" s="309"/>
    </row>
    <row r="40942">
      <c r="B40942" s="309"/>
      <c r="C40942" s="309"/>
      <c r="I40942" s="309"/>
      <c r="J40942" s="309"/>
    </row>
    <row r="40943">
      <c r="B40943" s="309"/>
      <c r="C40943" s="309"/>
      <c r="I40943" s="309"/>
      <c r="J40943" s="309"/>
    </row>
    <row r="40944">
      <c r="B40944" s="309"/>
      <c r="C40944" s="309"/>
      <c r="I40944" s="309"/>
      <c r="J40944" s="309"/>
    </row>
    <row r="40945">
      <c r="B40945" s="309"/>
      <c r="C40945" s="309"/>
      <c r="I40945" s="309"/>
      <c r="J40945" s="309"/>
    </row>
    <row r="40946">
      <c r="B40946" s="309"/>
      <c r="C40946" s="309"/>
      <c r="I40946" s="309"/>
      <c r="J40946" s="309"/>
    </row>
    <row r="40947">
      <c r="B40947" s="309"/>
      <c r="C40947" s="309"/>
      <c r="I40947" s="309"/>
      <c r="J40947" s="309"/>
    </row>
    <row r="40948">
      <c r="B40948" s="309"/>
      <c r="C40948" s="309"/>
      <c r="I40948" s="309"/>
      <c r="J40948" s="309"/>
    </row>
    <row r="40949">
      <c r="B40949" s="309"/>
      <c r="C40949" s="309"/>
      <c r="I40949" s="309"/>
      <c r="J40949" s="309"/>
    </row>
    <row r="40950">
      <c r="B40950" s="309"/>
      <c r="C40950" s="309"/>
      <c r="I40950" s="309"/>
      <c r="J40950" s="309"/>
    </row>
    <row r="40951">
      <c r="B40951" s="309"/>
      <c r="C40951" s="309"/>
      <c r="I40951" s="309"/>
      <c r="J40951" s="309"/>
    </row>
    <row r="40952">
      <c r="B40952" s="309"/>
      <c r="C40952" s="309"/>
      <c r="I40952" s="309"/>
      <c r="J40952" s="309"/>
    </row>
    <row r="40953">
      <c r="B40953" s="309"/>
      <c r="C40953" s="309"/>
      <c r="I40953" s="309"/>
      <c r="J40953" s="309"/>
    </row>
    <row r="40954">
      <c r="B40954" s="309"/>
      <c r="C40954" s="309"/>
      <c r="I40954" s="309"/>
      <c r="J40954" s="309"/>
    </row>
    <row r="40955">
      <c r="B40955" s="309"/>
      <c r="C40955" s="309"/>
      <c r="I40955" s="309"/>
      <c r="J40955" s="309"/>
    </row>
    <row r="40956">
      <c r="B40956" s="309"/>
      <c r="C40956" s="309"/>
      <c r="I40956" s="309"/>
      <c r="J40956" s="309"/>
    </row>
    <row r="40957">
      <c r="B40957" s="309"/>
      <c r="C40957" s="309"/>
      <c r="I40957" s="309"/>
      <c r="J40957" s="309"/>
    </row>
    <row r="40958">
      <c r="B40958" s="309"/>
      <c r="C40958" s="309"/>
      <c r="I40958" s="309"/>
      <c r="J40958" s="309"/>
    </row>
    <row r="40959">
      <c r="B40959" s="309"/>
      <c r="C40959" s="309"/>
      <c r="I40959" s="309"/>
      <c r="J40959" s="309"/>
    </row>
    <row r="40960">
      <c r="B40960" s="309"/>
      <c r="C40960" s="309"/>
      <c r="I40960" s="309"/>
      <c r="J40960" s="309"/>
    </row>
    <row r="40961">
      <c r="B40961" s="309"/>
      <c r="C40961" s="309"/>
      <c r="I40961" s="309"/>
      <c r="J40961" s="309"/>
    </row>
    <row r="40962">
      <c r="B40962" s="309"/>
      <c r="C40962" s="309"/>
      <c r="I40962" s="309"/>
      <c r="J40962" s="309"/>
    </row>
    <row r="40963">
      <c r="B40963" s="309"/>
      <c r="C40963" s="309"/>
      <c r="I40963" s="309"/>
      <c r="J40963" s="309"/>
    </row>
    <row r="40964">
      <c r="B40964" s="309"/>
      <c r="C40964" s="309"/>
      <c r="I40964" s="309"/>
      <c r="J40964" s="309"/>
    </row>
    <row r="40965">
      <c r="B40965" s="309"/>
      <c r="C40965" s="309"/>
      <c r="I40965" s="309"/>
      <c r="J40965" s="309"/>
    </row>
    <row r="40966">
      <c r="B40966" s="309"/>
      <c r="C40966" s="309"/>
      <c r="I40966" s="309"/>
      <c r="J40966" s="309"/>
    </row>
    <row r="40967">
      <c r="B40967" s="309"/>
      <c r="C40967" s="309"/>
      <c r="I40967" s="309"/>
      <c r="J40967" s="309"/>
    </row>
    <row r="40968">
      <c r="B40968" s="309"/>
      <c r="C40968" s="309"/>
      <c r="I40968" s="309"/>
      <c r="J40968" s="309"/>
    </row>
    <row r="40969">
      <c r="B40969" s="309"/>
      <c r="C40969" s="309"/>
      <c r="I40969" s="309"/>
      <c r="J40969" s="309"/>
    </row>
    <row r="40970">
      <c r="B40970" s="309"/>
      <c r="C40970" s="309"/>
      <c r="I40970" s="309"/>
      <c r="J40970" s="309"/>
    </row>
    <row r="40971">
      <c r="B40971" s="309"/>
      <c r="C40971" s="309"/>
      <c r="I40971" s="309"/>
      <c r="J40971" s="309"/>
    </row>
    <row r="40972">
      <c r="B40972" s="309"/>
      <c r="C40972" s="309"/>
      <c r="I40972" s="309"/>
      <c r="J40972" s="309"/>
    </row>
    <row r="40973">
      <c r="B40973" s="309"/>
      <c r="C40973" s="309"/>
      <c r="I40973" s="309"/>
      <c r="J40973" s="309"/>
    </row>
    <row r="40974">
      <c r="B40974" s="309"/>
      <c r="C40974" s="309"/>
      <c r="I40974" s="309"/>
      <c r="J40974" s="309"/>
    </row>
    <row r="40975">
      <c r="B40975" s="309"/>
      <c r="C40975" s="309"/>
      <c r="I40975" s="309"/>
      <c r="J40975" s="309"/>
    </row>
    <row r="40976">
      <c r="B40976" s="309"/>
      <c r="C40976" s="309"/>
      <c r="I40976" s="309"/>
      <c r="J40976" s="309"/>
    </row>
    <row r="40977">
      <c r="B40977" s="309"/>
      <c r="C40977" s="309"/>
      <c r="I40977" s="309"/>
      <c r="J40977" s="309"/>
    </row>
    <row r="40978">
      <c r="B40978" s="309"/>
      <c r="C40978" s="309"/>
      <c r="I40978" s="309"/>
      <c r="J40978" s="309"/>
    </row>
    <row r="40979">
      <c r="B40979" s="309"/>
      <c r="C40979" s="309"/>
      <c r="I40979" s="309"/>
      <c r="J40979" s="309"/>
    </row>
    <row r="40980">
      <c r="B40980" s="309"/>
      <c r="C40980" s="309"/>
      <c r="I40980" s="309"/>
      <c r="J40980" s="309"/>
    </row>
    <row r="40981">
      <c r="B40981" s="309"/>
      <c r="C40981" s="309"/>
      <c r="I40981" s="309"/>
      <c r="J40981" s="309"/>
    </row>
    <row r="40982">
      <c r="B40982" s="309"/>
      <c r="C40982" s="309"/>
      <c r="I40982" s="309"/>
      <c r="J40982" s="309"/>
    </row>
    <row r="40983">
      <c r="B40983" s="309"/>
      <c r="C40983" s="309"/>
      <c r="I40983" s="309"/>
      <c r="J40983" s="309"/>
    </row>
    <row r="40984">
      <c r="B40984" s="309"/>
      <c r="C40984" s="309"/>
      <c r="I40984" s="309"/>
      <c r="J40984" s="309"/>
    </row>
    <row r="40985">
      <c r="B40985" s="309"/>
      <c r="C40985" s="309"/>
      <c r="I40985" s="309"/>
      <c r="J40985" s="309"/>
    </row>
    <row r="40986">
      <c r="B40986" s="309"/>
      <c r="C40986" s="309"/>
      <c r="I40986" s="309"/>
      <c r="J40986" s="309"/>
    </row>
    <row r="40987">
      <c r="B40987" s="309"/>
      <c r="C40987" s="309"/>
      <c r="I40987" s="309"/>
      <c r="J40987" s="309"/>
    </row>
    <row r="40988">
      <c r="B40988" s="309"/>
      <c r="C40988" s="309"/>
      <c r="I40988" s="309"/>
      <c r="J40988" s="309"/>
    </row>
    <row r="40989">
      <c r="B40989" s="309"/>
      <c r="C40989" s="309"/>
      <c r="I40989" s="309"/>
      <c r="J40989" s="309"/>
    </row>
    <row r="40990">
      <c r="B40990" s="309"/>
      <c r="C40990" s="309"/>
      <c r="I40990" s="309"/>
      <c r="J40990" s="309"/>
    </row>
    <row r="40991">
      <c r="B40991" s="309"/>
      <c r="C40991" s="309"/>
      <c r="I40991" s="309"/>
      <c r="J40991" s="309"/>
    </row>
    <row r="40992">
      <c r="B40992" s="309"/>
      <c r="C40992" s="309"/>
      <c r="I40992" s="309"/>
      <c r="J40992" s="309"/>
    </row>
    <row r="40993">
      <c r="B40993" s="309"/>
      <c r="C40993" s="309"/>
      <c r="I40993" s="309"/>
      <c r="J40993" s="309"/>
    </row>
    <row r="40994">
      <c r="B40994" s="309"/>
      <c r="C40994" s="309"/>
      <c r="I40994" s="309"/>
      <c r="J40994" s="309"/>
    </row>
    <row r="40995">
      <c r="B40995" s="309"/>
      <c r="C40995" s="309"/>
      <c r="I40995" s="309"/>
      <c r="J40995" s="309"/>
    </row>
    <row r="40996">
      <c r="B40996" s="309"/>
      <c r="C40996" s="309"/>
      <c r="I40996" s="309"/>
      <c r="J40996" s="309"/>
    </row>
    <row r="40997">
      <c r="B40997" s="309"/>
      <c r="C40997" s="309"/>
      <c r="I40997" s="309"/>
      <c r="J40997" s="309"/>
    </row>
    <row r="40998">
      <c r="B40998" s="309"/>
      <c r="C40998" s="309"/>
      <c r="I40998" s="309"/>
      <c r="J40998" s="309"/>
    </row>
    <row r="40999">
      <c r="B40999" s="309"/>
      <c r="C40999" s="309"/>
      <c r="I40999" s="309"/>
      <c r="J40999" s="309"/>
    </row>
    <row r="41000">
      <c r="B41000" s="309"/>
      <c r="C41000" s="309"/>
      <c r="I41000" s="309"/>
      <c r="J41000" s="309"/>
    </row>
    <row r="41001">
      <c r="B41001" s="309"/>
      <c r="C41001" s="309"/>
      <c r="I41001" s="309"/>
      <c r="J41001" s="309"/>
    </row>
    <row r="41002">
      <c r="B41002" s="309"/>
      <c r="C41002" s="309"/>
      <c r="I41002" s="309"/>
      <c r="J41002" s="309"/>
    </row>
    <row r="41003">
      <c r="B41003" s="309"/>
      <c r="C41003" s="309"/>
      <c r="I41003" s="309"/>
      <c r="J41003" s="309"/>
    </row>
    <row r="41004">
      <c r="B41004" s="309"/>
      <c r="C41004" s="309"/>
      <c r="I41004" s="309"/>
      <c r="J41004" s="309"/>
    </row>
    <row r="41005">
      <c r="B41005" s="309"/>
      <c r="C41005" s="309"/>
      <c r="I41005" s="309"/>
      <c r="J41005" s="309"/>
    </row>
    <row r="41006">
      <c r="B41006" s="309"/>
      <c r="C41006" s="309"/>
      <c r="I41006" s="309"/>
      <c r="J41006" s="309"/>
    </row>
    <row r="41007">
      <c r="B41007" s="309"/>
      <c r="C41007" s="309"/>
      <c r="I41007" s="309"/>
      <c r="J41007" s="309"/>
    </row>
    <row r="41008">
      <c r="B41008" s="309"/>
      <c r="C41008" s="309"/>
      <c r="I41008" s="309"/>
      <c r="J41008" s="309"/>
    </row>
    <row r="41009">
      <c r="B41009" s="309"/>
      <c r="C41009" s="309"/>
      <c r="I41009" s="309"/>
      <c r="J41009" s="309"/>
    </row>
    <row r="41010">
      <c r="B41010" s="309"/>
      <c r="C41010" s="309"/>
      <c r="I41010" s="309"/>
      <c r="J41010" s="309"/>
    </row>
    <row r="41011">
      <c r="B41011" s="309"/>
      <c r="C41011" s="309"/>
      <c r="I41011" s="309"/>
      <c r="J41011" s="309"/>
    </row>
    <row r="41012">
      <c r="B41012" s="309"/>
      <c r="C41012" s="309"/>
      <c r="I41012" s="309"/>
      <c r="J41012" s="309"/>
    </row>
    <row r="41013">
      <c r="B41013" s="309"/>
      <c r="C41013" s="309"/>
      <c r="I41013" s="309"/>
      <c r="J41013" s="309"/>
    </row>
    <row r="41014">
      <c r="B41014" s="309"/>
      <c r="C41014" s="309"/>
      <c r="I41014" s="309"/>
      <c r="J41014" s="309"/>
    </row>
    <row r="41015">
      <c r="B41015" s="309"/>
      <c r="C41015" s="309"/>
      <c r="I41015" s="309"/>
      <c r="J41015" s="309"/>
    </row>
    <row r="41016">
      <c r="B41016" s="309"/>
      <c r="C41016" s="309"/>
      <c r="I41016" s="309"/>
      <c r="J41016" s="309"/>
    </row>
    <row r="41017">
      <c r="B41017" s="309"/>
      <c r="C41017" s="309"/>
      <c r="I41017" s="309"/>
      <c r="J41017" s="309"/>
    </row>
    <row r="41018">
      <c r="B41018" s="309"/>
      <c r="C41018" s="309"/>
      <c r="I41018" s="309"/>
      <c r="J41018" s="309"/>
    </row>
    <row r="41019">
      <c r="B41019" s="309"/>
      <c r="C41019" s="309"/>
      <c r="I41019" s="309"/>
      <c r="J41019" s="309"/>
    </row>
    <row r="41020">
      <c r="B41020" s="309"/>
      <c r="C41020" s="309"/>
      <c r="I41020" s="309"/>
      <c r="J41020" s="309"/>
    </row>
    <row r="41021">
      <c r="B41021" s="309"/>
      <c r="C41021" s="309"/>
      <c r="I41021" s="309"/>
      <c r="J41021" s="309"/>
    </row>
    <row r="41022">
      <c r="B41022" s="309"/>
      <c r="C41022" s="309"/>
      <c r="I41022" s="309"/>
      <c r="J41022" s="309"/>
    </row>
    <row r="41023">
      <c r="B41023" s="309"/>
      <c r="C41023" s="309"/>
      <c r="I41023" s="309"/>
      <c r="J41023" s="309"/>
    </row>
    <row r="41024">
      <c r="B41024" s="309"/>
      <c r="C41024" s="309"/>
      <c r="I41024" s="309"/>
      <c r="J41024" s="309"/>
    </row>
    <row r="41025">
      <c r="B41025" s="309"/>
      <c r="C41025" s="309"/>
      <c r="I41025" s="309"/>
      <c r="J41025" s="309"/>
    </row>
    <row r="41026">
      <c r="B41026" s="309"/>
      <c r="C41026" s="309"/>
      <c r="I41026" s="309"/>
      <c r="J41026" s="309"/>
    </row>
    <row r="41027">
      <c r="B41027" s="309"/>
      <c r="C41027" s="309"/>
      <c r="I41027" s="309"/>
      <c r="J41027" s="309"/>
    </row>
    <row r="41028">
      <c r="B41028" s="309"/>
      <c r="C41028" s="309"/>
      <c r="I41028" s="309"/>
      <c r="J41028" s="309"/>
    </row>
    <row r="41029">
      <c r="B41029" s="309"/>
      <c r="C41029" s="309"/>
      <c r="I41029" s="309"/>
      <c r="J41029" s="309"/>
    </row>
    <row r="41030">
      <c r="B41030" s="309"/>
      <c r="C41030" s="309"/>
      <c r="I41030" s="309"/>
      <c r="J41030" s="309"/>
    </row>
    <row r="41031">
      <c r="B41031" s="309"/>
      <c r="C41031" s="309"/>
      <c r="I41031" s="309"/>
      <c r="J41031" s="309"/>
    </row>
    <row r="41032">
      <c r="B41032" s="309"/>
      <c r="C41032" s="309"/>
      <c r="I41032" s="309"/>
      <c r="J41032" s="309"/>
    </row>
    <row r="41033">
      <c r="B41033" s="309"/>
      <c r="C41033" s="309"/>
      <c r="I41033" s="309"/>
      <c r="J41033" s="309"/>
    </row>
    <row r="41034">
      <c r="B41034" s="309"/>
      <c r="C41034" s="309"/>
      <c r="I41034" s="309"/>
      <c r="J41034" s="309"/>
    </row>
    <row r="41035">
      <c r="B41035" s="309"/>
      <c r="C41035" s="309"/>
      <c r="I41035" s="309"/>
      <c r="J41035" s="309"/>
    </row>
    <row r="41036">
      <c r="B41036" s="309"/>
      <c r="C41036" s="309"/>
      <c r="I41036" s="309"/>
      <c r="J41036" s="309"/>
    </row>
    <row r="41037">
      <c r="B41037" s="309"/>
      <c r="C41037" s="309"/>
      <c r="I41037" s="309"/>
      <c r="J41037" s="309"/>
    </row>
    <row r="41038">
      <c r="B41038" s="309"/>
      <c r="C41038" s="309"/>
      <c r="I41038" s="309"/>
      <c r="J41038" s="309"/>
    </row>
    <row r="41039">
      <c r="B41039" s="309"/>
      <c r="C41039" s="309"/>
      <c r="I41039" s="309"/>
      <c r="J41039" s="309"/>
    </row>
    <row r="41040">
      <c r="B41040" s="309"/>
      <c r="C41040" s="309"/>
      <c r="I41040" s="309"/>
      <c r="J41040" s="309"/>
    </row>
    <row r="41041">
      <c r="B41041" s="309"/>
      <c r="C41041" s="309"/>
      <c r="I41041" s="309"/>
      <c r="J41041" s="309"/>
    </row>
    <row r="41042">
      <c r="B41042" s="309"/>
      <c r="C41042" s="309"/>
      <c r="I41042" s="309"/>
      <c r="J41042" s="309"/>
    </row>
    <row r="41043">
      <c r="B41043" s="309"/>
      <c r="C41043" s="309"/>
      <c r="I41043" s="309"/>
      <c r="J41043" s="309"/>
    </row>
    <row r="41044">
      <c r="B41044" s="309"/>
      <c r="C41044" s="309"/>
      <c r="I41044" s="309"/>
      <c r="J41044" s="309"/>
    </row>
    <row r="41045">
      <c r="B41045" s="309"/>
      <c r="C41045" s="309"/>
      <c r="I41045" s="309"/>
      <c r="J41045" s="309"/>
    </row>
    <row r="41046">
      <c r="B41046" s="309"/>
      <c r="C41046" s="309"/>
      <c r="I41046" s="309"/>
      <c r="J41046" s="309"/>
    </row>
    <row r="41047">
      <c r="B41047" s="309"/>
      <c r="C41047" s="309"/>
      <c r="I41047" s="309"/>
      <c r="J41047" s="309"/>
    </row>
    <row r="41048">
      <c r="B41048" s="309"/>
      <c r="C41048" s="309"/>
      <c r="I41048" s="309"/>
      <c r="J41048" s="309"/>
    </row>
    <row r="41049">
      <c r="B41049" s="309"/>
      <c r="C41049" s="309"/>
      <c r="I41049" s="309"/>
      <c r="J41049" s="309"/>
    </row>
    <row r="41050">
      <c r="B41050" s="309"/>
      <c r="C41050" s="309"/>
      <c r="I41050" s="309"/>
      <c r="J41050" s="309"/>
    </row>
    <row r="41051">
      <c r="B41051" s="309"/>
      <c r="C41051" s="309"/>
      <c r="I41051" s="309"/>
      <c r="J41051" s="309"/>
    </row>
    <row r="41052">
      <c r="B41052" s="309"/>
      <c r="C41052" s="309"/>
      <c r="I41052" s="309"/>
      <c r="J41052" s="309"/>
    </row>
    <row r="41053">
      <c r="B41053" s="309"/>
      <c r="C41053" s="309"/>
      <c r="I41053" s="309"/>
      <c r="J41053" s="309"/>
    </row>
    <row r="41054">
      <c r="B41054" s="309"/>
      <c r="C41054" s="309"/>
      <c r="I41054" s="309"/>
      <c r="J41054" s="309"/>
    </row>
    <row r="41055">
      <c r="B41055" s="309"/>
      <c r="C41055" s="309"/>
      <c r="I41055" s="309"/>
      <c r="J41055" s="309"/>
    </row>
    <row r="41056">
      <c r="B41056" s="309"/>
      <c r="C41056" s="309"/>
      <c r="I41056" s="309"/>
      <c r="J41056" s="309"/>
    </row>
    <row r="41057">
      <c r="B41057" s="309"/>
      <c r="C41057" s="309"/>
      <c r="I41057" s="309"/>
      <c r="J41057" s="309"/>
    </row>
    <row r="41058">
      <c r="B41058" s="309"/>
      <c r="C41058" s="309"/>
      <c r="I41058" s="309"/>
      <c r="J41058" s="309"/>
    </row>
    <row r="41059">
      <c r="B41059" s="309"/>
      <c r="C41059" s="309"/>
      <c r="I41059" s="309"/>
      <c r="J41059" s="309"/>
    </row>
    <row r="41060">
      <c r="B41060" s="309"/>
      <c r="C41060" s="309"/>
      <c r="I41060" s="309"/>
      <c r="J41060" s="309"/>
    </row>
    <row r="41061">
      <c r="B41061" s="309"/>
      <c r="C41061" s="309"/>
      <c r="I41061" s="309"/>
      <c r="J41061" s="309"/>
    </row>
    <row r="41062">
      <c r="B41062" s="309"/>
      <c r="C41062" s="309"/>
      <c r="I41062" s="309"/>
      <c r="J41062" s="309"/>
    </row>
    <row r="41063">
      <c r="B41063" s="309"/>
      <c r="C41063" s="309"/>
      <c r="I41063" s="309"/>
      <c r="J41063" s="309"/>
    </row>
    <row r="41064">
      <c r="B41064" s="309"/>
      <c r="C41064" s="309"/>
      <c r="I41064" s="309"/>
      <c r="J41064" s="309"/>
    </row>
    <row r="41065">
      <c r="B41065" s="309"/>
      <c r="C41065" s="309"/>
      <c r="I41065" s="309"/>
      <c r="J41065" s="309"/>
    </row>
    <row r="41066">
      <c r="B41066" s="309"/>
      <c r="C41066" s="309"/>
      <c r="I41066" s="309"/>
      <c r="J41066" s="309"/>
    </row>
    <row r="41067">
      <c r="B41067" s="309"/>
      <c r="C41067" s="309"/>
      <c r="I41067" s="309"/>
      <c r="J41067" s="309"/>
    </row>
    <row r="41068">
      <c r="B41068" s="309"/>
      <c r="C41068" s="309"/>
      <c r="I41068" s="309"/>
      <c r="J41068" s="309"/>
    </row>
    <row r="41069">
      <c r="B41069" s="309"/>
      <c r="C41069" s="309"/>
      <c r="I41069" s="309"/>
      <c r="J41069" s="309"/>
    </row>
    <row r="41070">
      <c r="B41070" s="309"/>
      <c r="C41070" s="309"/>
      <c r="I41070" s="309"/>
      <c r="J41070" s="309"/>
    </row>
    <row r="41071">
      <c r="B41071" s="309"/>
      <c r="C41071" s="309"/>
      <c r="I41071" s="309"/>
      <c r="J41071" s="309"/>
    </row>
    <row r="41072">
      <c r="B41072" s="309"/>
      <c r="C41072" s="309"/>
      <c r="I41072" s="309"/>
      <c r="J41072" s="309"/>
    </row>
    <row r="41073">
      <c r="B41073" s="309"/>
      <c r="C41073" s="309"/>
      <c r="I41073" s="309"/>
      <c r="J41073" s="309"/>
    </row>
    <row r="41074">
      <c r="B41074" s="309"/>
      <c r="C41074" s="309"/>
      <c r="I41074" s="309"/>
      <c r="J41074" s="309"/>
    </row>
    <row r="41075">
      <c r="B41075" s="309"/>
      <c r="C41075" s="309"/>
      <c r="I41075" s="309"/>
      <c r="J41075" s="309"/>
    </row>
    <row r="41076">
      <c r="B41076" s="309"/>
      <c r="C41076" s="309"/>
      <c r="I41076" s="309"/>
      <c r="J41076" s="309"/>
    </row>
    <row r="41077">
      <c r="B41077" s="309"/>
      <c r="C41077" s="309"/>
      <c r="I41077" s="309"/>
      <c r="J41077" s="309"/>
    </row>
    <row r="41078">
      <c r="B41078" s="309"/>
      <c r="C41078" s="309"/>
      <c r="I41078" s="309"/>
      <c r="J41078" s="309"/>
    </row>
    <row r="41079">
      <c r="B41079" s="309"/>
      <c r="C41079" s="309"/>
      <c r="I41079" s="309"/>
      <c r="J41079" s="309"/>
    </row>
    <row r="41080">
      <c r="B41080" s="309"/>
      <c r="C41080" s="309"/>
      <c r="I41080" s="309"/>
      <c r="J41080" s="309"/>
    </row>
    <row r="41081">
      <c r="B41081" s="309"/>
      <c r="C41081" s="309"/>
      <c r="I41081" s="309"/>
      <c r="J41081" s="309"/>
    </row>
    <row r="41082">
      <c r="B41082" s="309"/>
      <c r="C41082" s="309"/>
      <c r="I41082" s="309"/>
      <c r="J41082" s="309"/>
    </row>
    <row r="41083">
      <c r="B41083" s="309"/>
      <c r="C41083" s="309"/>
      <c r="I41083" s="309"/>
      <c r="J41083" s="309"/>
    </row>
    <row r="41084">
      <c r="B41084" s="309"/>
      <c r="C41084" s="309"/>
      <c r="I41084" s="309"/>
      <c r="J41084" s="309"/>
    </row>
    <row r="41085">
      <c r="B41085" s="309"/>
      <c r="C41085" s="309"/>
      <c r="I41085" s="309"/>
      <c r="J41085" s="309"/>
    </row>
    <row r="41086">
      <c r="B41086" s="309"/>
      <c r="C41086" s="309"/>
      <c r="I41086" s="309"/>
      <c r="J41086" s="309"/>
    </row>
    <row r="41087">
      <c r="B41087" s="309"/>
      <c r="C41087" s="309"/>
      <c r="I41087" s="309"/>
      <c r="J41087" s="309"/>
    </row>
    <row r="41088">
      <c r="B41088" s="309"/>
      <c r="C41088" s="309"/>
      <c r="I41088" s="309"/>
      <c r="J41088" s="309"/>
    </row>
    <row r="41089">
      <c r="B41089" s="309"/>
      <c r="C41089" s="309"/>
      <c r="I41089" s="309"/>
      <c r="J41089" s="309"/>
    </row>
    <row r="41090">
      <c r="B41090" s="309"/>
      <c r="C41090" s="309"/>
      <c r="I41090" s="309"/>
      <c r="J41090" s="309"/>
    </row>
    <row r="41091">
      <c r="B41091" s="309"/>
      <c r="C41091" s="309"/>
      <c r="I41091" s="309"/>
      <c r="J41091" s="309"/>
    </row>
    <row r="41092">
      <c r="B41092" s="309"/>
      <c r="C41092" s="309"/>
      <c r="I41092" s="309"/>
      <c r="J41092" s="309"/>
    </row>
    <row r="41093">
      <c r="B41093" s="309"/>
      <c r="C41093" s="309"/>
      <c r="I41093" s="309"/>
      <c r="J41093" s="309"/>
    </row>
    <row r="41094">
      <c r="B41094" s="309"/>
      <c r="C41094" s="309"/>
      <c r="I41094" s="309"/>
      <c r="J41094" s="309"/>
    </row>
    <row r="41095">
      <c r="B41095" s="309"/>
      <c r="C41095" s="309"/>
      <c r="I41095" s="309"/>
      <c r="J41095" s="309"/>
    </row>
    <row r="41096">
      <c r="B41096" s="309"/>
      <c r="C41096" s="309"/>
      <c r="I41096" s="309"/>
      <c r="J41096" s="309"/>
    </row>
    <row r="41097">
      <c r="B41097" s="309"/>
      <c r="C41097" s="309"/>
      <c r="I41097" s="309"/>
      <c r="J41097" s="309"/>
    </row>
    <row r="41098">
      <c r="B41098" s="309"/>
      <c r="C41098" s="309"/>
      <c r="I41098" s="309"/>
      <c r="J41098" s="309"/>
    </row>
    <row r="41099">
      <c r="B41099" s="309"/>
      <c r="C41099" s="309"/>
      <c r="I41099" s="309"/>
      <c r="J41099" s="309"/>
    </row>
    <row r="41100">
      <c r="B41100" s="309"/>
      <c r="C41100" s="309"/>
      <c r="I41100" s="309"/>
      <c r="J41100" s="309"/>
    </row>
    <row r="41101">
      <c r="B41101" s="309"/>
      <c r="C41101" s="309"/>
      <c r="I41101" s="309"/>
      <c r="J41101" s="309"/>
    </row>
    <row r="41102">
      <c r="B41102" s="309"/>
      <c r="C41102" s="309"/>
      <c r="I41102" s="309"/>
      <c r="J41102" s="309"/>
    </row>
    <row r="41103">
      <c r="B41103" s="309"/>
      <c r="C41103" s="309"/>
      <c r="I41103" s="309"/>
      <c r="J41103" s="309"/>
    </row>
    <row r="41104">
      <c r="B41104" s="309"/>
      <c r="C41104" s="309"/>
      <c r="I41104" s="309"/>
      <c r="J41104" s="309"/>
    </row>
    <row r="41105">
      <c r="B41105" s="309"/>
      <c r="C41105" s="309"/>
      <c r="I41105" s="309"/>
      <c r="J41105" s="309"/>
    </row>
    <row r="41106">
      <c r="B41106" s="309"/>
      <c r="C41106" s="309"/>
      <c r="I41106" s="309"/>
      <c r="J41106" s="309"/>
    </row>
    <row r="41107">
      <c r="B41107" s="309"/>
      <c r="C41107" s="309"/>
      <c r="I41107" s="309"/>
      <c r="J41107" s="309"/>
    </row>
    <row r="41108">
      <c r="B41108" s="309"/>
      <c r="C41108" s="309"/>
      <c r="I41108" s="309"/>
      <c r="J41108" s="309"/>
    </row>
    <row r="41109">
      <c r="B41109" s="309"/>
      <c r="C41109" s="309"/>
      <c r="I41109" s="309"/>
      <c r="J41109" s="309"/>
    </row>
    <row r="41110">
      <c r="B41110" s="309"/>
      <c r="C41110" s="309"/>
      <c r="I41110" s="309"/>
      <c r="J41110" s="309"/>
    </row>
    <row r="41111">
      <c r="B41111" s="309"/>
      <c r="C41111" s="309"/>
      <c r="I41111" s="309"/>
      <c r="J41111" s="309"/>
    </row>
    <row r="41112">
      <c r="B41112" s="309"/>
      <c r="C41112" s="309"/>
      <c r="I41112" s="309"/>
      <c r="J41112" s="309"/>
    </row>
    <row r="41113">
      <c r="B41113" s="309"/>
      <c r="C41113" s="309"/>
      <c r="I41113" s="309"/>
      <c r="J41113" s="309"/>
    </row>
    <row r="41114">
      <c r="B41114" s="309"/>
      <c r="C41114" s="309"/>
      <c r="I41114" s="309"/>
      <c r="J41114" s="309"/>
    </row>
    <row r="41115">
      <c r="B41115" s="309"/>
      <c r="C41115" s="309"/>
      <c r="I41115" s="309"/>
      <c r="J41115" s="309"/>
    </row>
    <row r="41116">
      <c r="B41116" s="309"/>
      <c r="C41116" s="309"/>
      <c r="I41116" s="309"/>
      <c r="J41116" s="309"/>
    </row>
    <row r="41117">
      <c r="B41117" s="309"/>
      <c r="C41117" s="309"/>
      <c r="I41117" s="309"/>
      <c r="J41117" s="309"/>
    </row>
    <row r="41118">
      <c r="B41118" s="309"/>
      <c r="C41118" s="309"/>
      <c r="I41118" s="309"/>
      <c r="J41118" s="309"/>
    </row>
    <row r="41119">
      <c r="B41119" s="309"/>
      <c r="C41119" s="309"/>
      <c r="I41119" s="309"/>
      <c r="J41119" s="309"/>
    </row>
    <row r="41120">
      <c r="B41120" s="309"/>
      <c r="C41120" s="309"/>
      <c r="I41120" s="309"/>
      <c r="J41120" s="309"/>
    </row>
    <row r="41121">
      <c r="B41121" s="309"/>
      <c r="C41121" s="309"/>
      <c r="I41121" s="309"/>
      <c r="J41121" s="309"/>
    </row>
    <row r="41122">
      <c r="B41122" s="309"/>
      <c r="C41122" s="309"/>
      <c r="I41122" s="309"/>
      <c r="J41122" s="309"/>
    </row>
    <row r="41123">
      <c r="B41123" s="309"/>
      <c r="C41123" s="309"/>
      <c r="I41123" s="309"/>
      <c r="J41123" s="309"/>
    </row>
    <row r="41124">
      <c r="B41124" s="309"/>
      <c r="C41124" s="309"/>
      <c r="I41124" s="309"/>
      <c r="J41124" s="309"/>
    </row>
    <row r="41125">
      <c r="B41125" s="309"/>
      <c r="C41125" s="309"/>
      <c r="I41125" s="309"/>
      <c r="J41125" s="309"/>
    </row>
    <row r="41126">
      <c r="B41126" s="309"/>
      <c r="C41126" s="309"/>
      <c r="I41126" s="309"/>
      <c r="J41126" s="309"/>
    </row>
    <row r="41127">
      <c r="B41127" s="309"/>
      <c r="C41127" s="309"/>
      <c r="I41127" s="309"/>
      <c r="J41127" s="309"/>
    </row>
    <row r="41128">
      <c r="B41128" s="309"/>
      <c r="C41128" s="309"/>
      <c r="I41128" s="309"/>
      <c r="J41128" s="309"/>
    </row>
    <row r="41129">
      <c r="B41129" s="309"/>
      <c r="C41129" s="309"/>
      <c r="I41129" s="309"/>
      <c r="J41129" s="309"/>
    </row>
    <row r="41130">
      <c r="B41130" s="309"/>
      <c r="C41130" s="309"/>
      <c r="I41130" s="309"/>
      <c r="J41130" s="309"/>
    </row>
    <row r="41131">
      <c r="B41131" s="309"/>
      <c r="C41131" s="309"/>
      <c r="I41131" s="309"/>
      <c r="J41131" s="309"/>
    </row>
    <row r="41132">
      <c r="B41132" s="309"/>
      <c r="C41132" s="309"/>
      <c r="I41132" s="309"/>
      <c r="J41132" s="309"/>
    </row>
    <row r="41133">
      <c r="B41133" s="309"/>
      <c r="C41133" s="309"/>
      <c r="I41133" s="309"/>
      <c r="J41133" s="309"/>
    </row>
    <row r="41134">
      <c r="B41134" s="309"/>
      <c r="C41134" s="309"/>
      <c r="I41134" s="309"/>
      <c r="J41134" s="309"/>
    </row>
    <row r="41135">
      <c r="B41135" s="309"/>
      <c r="C41135" s="309"/>
      <c r="I41135" s="309"/>
      <c r="J41135" s="309"/>
    </row>
    <row r="41136">
      <c r="B41136" s="309"/>
      <c r="C41136" s="309"/>
      <c r="I41136" s="309"/>
      <c r="J41136" s="309"/>
    </row>
    <row r="41137">
      <c r="B41137" s="309"/>
      <c r="C41137" s="309"/>
      <c r="I41137" s="309"/>
      <c r="J41137" s="309"/>
    </row>
    <row r="41138">
      <c r="B41138" s="309"/>
      <c r="C41138" s="309"/>
      <c r="I41138" s="309"/>
      <c r="J41138" s="309"/>
    </row>
    <row r="41139">
      <c r="B41139" s="309"/>
      <c r="C41139" s="309"/>
      <c r="I41139" s="309"/>
      <c r="J41139" s="309"/>
    </row>
    <row r="41140">
      <c r="B41140" s="309"/>
      <c r="C41140" s="309"/>
      <c r="I41140" s="309"/>
      <c r="J41140" s="309"/>
    </row>
    <row r="41141">
      <c r="B41141" s="309"/>
      <c r="C41141" s="309"/>
      <c r="I41141" s="309"/>
      <c r="J41141" s="309"/>
    </row>
    <row r="41142">
      <c r="B41142" s="309"/>
      <c r="C41142" s="309"/>
      <c r="I41142" s="309"/>
      <c r="J41142" s="309"/>
    </row>
    <row r="41143">
      <c r="B41143" s="309"/>
      <c r="C41143" s="309"/>
      <c r="I41143" s="309"/>
      <c r="J41143" s="309"/>
    </row>
    <row r="41144">
      <c r="B41144" s="309"/>
      <c r="C41144" s="309"/>
      <c r="I41144" s="309"/>
      <c r="J41144" s="309"/>
    </row>
    <row r="41145">
      <c r="B41145" s="309"/>
      <c r="C41145" s="309"/>
      <c r="I41145" s="309"/>
      <c r="J41145" s="309"/>
    </row>
    <row r="41146">
      <c r="B41146" s="309"/>
      <c r="C41146" s="309"/>
      <c r="I41146" s="309"/>
      <c r="J41146" s="309"/>
    </row>
    <row r="41147">
      <c r="B41147" s="309"/>
      <c r="C41147" s="309"/>
      <c r="I41147" s="309"/>
      <c r="J41147" s="309"/>
    </row>
    <row r="41148">
      <c r="B41148" s="309"/>
      <c r="C41148" s="309"/>
      <c r="I41148" s="309"/>
      <c r="J41148" s="309"/>
    </row>
    <row r="41149">
      <c r="B41149" s="309"/>
      <c r="C41149" s="309"/>
      <c r="I41149" s="309"/>
      <c r="J41149" s="309"/>
    </row>
    <row r="41150">
      <c r="B41150" s="309"/>
      <c r="C41150" s="309"/>
      <c r="I41150" s="309"/>
      <c r="J41150" s="309"/>
    </row>
    <row r="41151">
      <c r="B41151" s="309"/>
      <c r="C41151" s="309"/>
      <c r="I41151" s="309"/>
      <c r="J41151" s="309"/>
    </row>
    <row r="41152">
      <c r="B41152" s="309"/>
      <c r="C41152" s="309"/>
      <c r="I41152" s="309"/>
      <c r="J41152" s="309"/>
    </row>
    <row r="41153">
      <c r="B41153" s="309"/>
      <c r="C41153" s="309"/>
      <c r="I41153" s="309"/>
      <c r="J41153" s="309"/>
    </row>
    <row r="41154">
      <c r="B41154" s="309"/>
      <c r="C41154" s="309"/>
      <c r="I41154" s="309"/>
      <c r="J41154" s="309"/>
    </row>
    <row r="41155">
      <c r="B41155" s="309"/>
      <c r="C41155" s="309"/>
      <c r="I41155" s="309"/>
      <c r="J41155" s="309"/>
    </row>
    <row r="41156">
      <c r="B41156" s="309"/>
      <c r="C41156" s="309"/>
      <c r="I41156" s="309"/>
      <c r="J41156" s="309"/>
    </row>
    <row r="41157">
      <c r="B41157" s="309"/>
      <c r="C41157" s="309"/>
      <c r="I41157" s="309"/>
      <c r="J41157" s="309"/>
    </row>
    <row r="41158">
      <c r="B41158" s="309"/>
      <c r="C41158" s="309"/>
      <c r="I41158" s="309"/>
      <c r="J41158" s="309"/>
    </row>
    <row r="41159">
      <c r="B41159" s="309"/>
      <c r="C41159" s="309"/>
      <c r="I41159" s="309"/>
      <c r="J41159" s="309"/>
    </row>
    <row r="41160">
      <c r="B41160" s="309"/>
      <c r="C41160" s="309"/>
      <c r="I41160" s="309"/>
      <c r="J41160" s="309"/>
    </row>
    <row r="41161">
      <c r="B41161" s="309"/>
      <c r="C41161" s="309"/>
      <c r="I41161" s="309"/>
      <c r="J41161" s="309"/>
    </row>
    <row r="41162">
      <c r="B41162" s="309"/>
      <c r="C41162" s="309"/>
      <c r="I41162" s="309"/>
      <c r="J41162" s="309"/>
    </row>
    <row r="41163">
      <c r="B41163" s="309"/>
      <c r="C41163" s="309"/>
      <c r="I41163" s="309"/>
      <c r="J41163" s="309"/>
    </row>
    <row r="41164">
      <c r="B41164" s="309"/>
      <c r="C41164" s="309"/>
      <c r="I41164" s="309"/>
      <c r="J41164" s="309"/>
    </row>
    <row r="41165">
      <c r="B41165" s="309"/>
      <c r="C41165" s="309"/>
      <c r="I41165" s="309"/>
      <c r="J41165" s="309"/>
    </row>
    <row r="41166">
      <c r="B41166" s="309"/>
      <c r="C41166" s="309"/>
      <c r="I41166" s="309"/>
      <c r="J41166" s="309"/>
    </row>
    <row r="41167">
      <c r="B41167" s="309"/>
      <c r="C41167" s="309"/>
      <c r="I41167" s="309"/>
      <c r="J41167" s="309"/>
    </row>
    <row r="41168">
      <c r="B41168" s="309"/>
      <c r="C41168" s="309"/>
      <c r="I41168" s="309"/>
      <c r="J41168" s="309"/>
    </row>
    <row r="41169">
      <c r="B41169" s="309"/>
      <c r="C41169" s="309"/>
      <c r="I41169" s="309"/>
      <c r="J41169" s="309"/>
    </row>
    <row r="41170">
      <c r="B41170" s="309"/>
      <c r="C41170" s="309"/>
      <c r="I41170" s="309"/>
      <c r="J41170" s="309"/>
    </row>
    <row r="41171">
      <c r="B41171" s="309"/>
      <c r="C41171" s="309"/>
      <c r="I41171" s="309"/>
      <c r="J41171" s="309"/>
    </row>
    <row r="41172">
      <c r="B41172" s="309"/>
      <c r="C41172" s="309"/>
      <c r="I41172" s="309"/>
      <c r="J41172" s="309"/>
    </row>
    <row r="41173">
      <c r="B41173" s="309"/>
      <c r="C41173" s="309"/>
      <c r="I41173" s="309"/>
      <c r="J41173" s="309"/>
    </row>
    <row r="41174">
      <c r="B41174" s="309"/>
      <c r="C41174" s="309"/>
      <c r="I41174" s="309"/>
      <c r="J41174" s="309"/>
    </row>
    <row r="41175">
      <c r="B41175" s="309"/>
      <c r="C41175" s="309"/>
      <c r="I41175" s="309"/>
      <c r="J41175" s="309"/>
    </row>
    <row r="41176">
      <c r="B41176" s="309"/>
      <c r="C41176" s="309"/>
      <c r="I41176" s="309"/>
      <c r="J41176" s="309"/>
    </row>
    <row r="41177">
      <c r="B41177" s="309"/>
      <c r="C41177" s="309"/>
      <c r="I41177" s="309"/>
      <c r="J41177" s="309"/>
    </row>
    <row r="41178">
      <c r="B41178" s="309"/>
      <c r="C41178" s="309"/>
      <c r="I41178" s="309"/>
      <c r="J41178" s="309"/>
    </row>
    <row r="41179">
      <c r="B41179" s="309"/>
      <c r="C41179" s="309"/>
      <c r="I41179" s="309"/>
      <c r="J41179" s="309"/>
    </row>
    <row r="41180">
      <c r="B41180" s="309"/>
      <c r="C41180" s="309"/>
      <c r="I41180" s="309"/>
      <c r="J41180" s="309"/>
    </row>
    <row r="41181">
      <c r="B41181" s="309"/>
      <c r="C41181" s="309"/>
      <c r="I41181" s="309"/>
      <c r="J41181" s="309"/>
    </row>
    <row r="41182">
      <c r="B41182" s="309"/>
      <c r="C41182" s="309"/>
      <c r="I41182" s="309"/>
      <c r="J41182" s="309"/>
    </row>
    <row r="41183">
      <c r="B41183" s="309"/>
      <c r="C41183" s="309"/>
      <c r="I41183" s="309"/>
      <c r="J41183" s="309"/>
    </row>
    <row r="41184">
      <c r="B41184" s="309"/>
      <c r="C41184" s="309"/>
      <c r="I41184" s="309"/>
      <c r="J41184" s="309"/>
    </row>
    <row r="41185">
      <c r="B41185" s="309"/>
      <c r="C41185" s="309"/>
      <c r="I41185" s="309"/>
      <c r="J41185" s="309"/>
    </row>
    <row r="41186">
      <c r="B41186" s="309"/>
      <c r="C41186" s="309"/>
      <c r="I41186" s="309"/>
      <c r="J41186" s="309"/>
    </row>
    <row r="41187">
      <c r="B41187" s="309"/>
      <c r="C41187" s="309"/>
      <c r="I41187" s="309"/>
      <c r="J41187" s="309"/>
    </row>
    <row r="41188">
      <c r="B41188" s="309"/>
      <c r="C41188" s="309"/>
      <c r="I41188" s="309"/>
      <c r="J41188" s="309"/>
    </row>
    <row r="41189">
      <c r="B41189" s="309"/>
      <c r="C41189" s="309"/>
      <c r="I41189" s="309"/>
      <c r="J41189" s="309"/>
    </row>
    <row r="41190">
      <c r="B41190" s="309"/>
      <c r="C41190" s="309"/>
      <c r="I41190" s="309"/>
      <c r="J41190" s="309"/>
    </row>
    <row r="41191">
      <c r="B41191" s="309"/>
      <c r="C41191" s="309"/>
      <c r="I41191" s="309"/>
      <c r="J41191" s="309"/>
    </row>
    <row r="41192">
      <c r="B41192" s="309"/>
      <c r="C41192" s="309"/>
      <c r="I41192" s="309"/>
      <c r="J41192" s="309"/>
    </row>
    <row r="41193">
      <c r="B41193" s="309"/>
      <c r="C41193" s="309"/>
      <c r="I41193" s="309"/>
      <c r="J41193" s="309"/>
    </row>
    <row r="41194">
      <c r="B41194" s="309"/>
      <c r="C41194" s="309"/>
      <c r="I41194" s="309"/>
      <c r="J41194" s="309"/>
    </row>
    <row r="41195">
      <c r="B41195" s="309"/>
      <c r="C41195" s="309"/>
      <c r="I41195" s="309"/>
      <c r="J41195" s="309"/>
    </row>
    <row r="41196">
      <c r="B41196" s="309"/>
      <c r="C41196" s="309"/>
      <c r="I41196" s="309"/>
      <c r="J41196" s="309"/>
    </row>
    <row r="41197">
      <c r="B41197" s="309"/>
      <c r="C41197" s="309"/>
      <c r="I41197" s="309"/>
      <c r="J41197" s="309"/>
    </row>
    <row r="41198">
      <c r="B41198" s="309"/>
      <c r="C41198" s="309"/>
      <c r="I41198" s="309"/>
      <c r="J41198" s="309"/>
    </row>
    <row r="41199">
      <c r="B41199" s="309"/>
      <c r="C41199" s="309"/>
      <c r="I41199" s="309"/>
      <c r="J41199" s="309"/>
    </row>
    <row r="41200">
      <c r="B41200" s="309"/>
      <c r="C41200" s="309"/>
      <c r="I41200" s="309"/>
      <c r="J41200" s="309"/>
    </row>
    <row r="41201">
      <c r="B41201" s="309"/>
      <c r="C41201" s="309"/>
      <c r="I41201" s="309"/>
      <c r="J41201" s="309"/>
    </row>
    <row r="41202">
      <c r="B41202" s="309"/>
      <c r="C41202" s="309"/>
      <c r="I41202" s="309"/>
      <c r="J41202" s="309"/>
    </row>
    <row r="41203">
      <c r="B41203" s="309"/>
      <c r="C41203" s="309"/>
      <c r="I41203" s="309"/>
      <c r="J41203" s="309"/>
    </row>
    <row r="41204">
      <c r="B41204" s="309"/>
      <c r="C41204" s="309"/>
      <c r="I41204" s="309"/>
      <c r="J41204" s="309"/>
    </row>
    <row r="41205">
      <c r="B41205" s="309"/>
      <c r="C41205" s="309"/>
      <c r="I41205" s="309"/>
      <c r="J41205" s="309"/>
    </row>
    <row r="41206">
      <c r="B41206" s="309"/>
      <c r="C41206" s="309"/>
      <c r="I41206" s="309"/>
      <c r="J41206" s="309"/>
    </row>
    <row r="41207">
      <c r="B41207" s="309"/>
      <c r="C41207" s="309"/>
      <c r="I41207" s="309"/>
      <c r="J41207" s="309"/>
    </row>
    <row r="41208">
      <c r="B41208" s="309"/>
      <c r="C41208" s="309"/>
      <c r="I41208" s="309"/>
      <c r="J41208" s="309"/>
    </row>
    <row r="41209">
      <c r="B41209" s="309"/>
      <c r="C41209" s="309"/>
      <c r="I41209" s="309"/>
      <c r="J41209" s="309"/>
    </row>
    <row r="41210">
      <c r="B41210" s="309"/>
      <c r="C41210" s="309"/>
      <c r="I41210" s="309"/>
      <c r="J41210" s="309"/>
    </row>
    <row r="41211">
      <c r="B41211" s="309"/>
      <c r="C41211" s="309"/>
      <c r="I41211" s="309"/>
      <c r="J41211" s="309"/>
    </row>
    <row r="41212">
      <c r="B41212" s="309"/>
      <c r="C41212" s="309"/>
      <c r="I41212" s="309"/>
      <c r="J41212" s="309"/>
    </row>
    <row r="41213">
      <c r="B41213" s="309"/>
      <c r="C41213" s="309"/>
      <c r="I41213" s="309"/>
      <c r="J41213" s="309"/>
    </row>
    <row r="41214">
      <c r="B41214" s="309"/>
      <c r="C41214" s="309"/>
      <c r="I41214" s="309"/>
      <c r="J41214" s="309"/>
    </row>
    <row r="41215">
      <c r="B41215" s="309"/>
      <c r="C41215" s="309"/>
      <c r="I41215" s="309"/>
      <c r="J41215" s="309"/>
    </row>
    <row r="41216">
      <c r="B41216" s="309"/>
      <c r="C41216" s="309"/>
      <c r="I41216" s="309"/>
      <c r="J41216" s="309"/>
    </row>
    <row r="41217">
      <c r="B41217" s="309"/>
      <c r="C41217" s="309"/>
      <c r="I41217" s="309"/>
      <c r="J41217" s="309"/>
    </row>
    <row r="41218">
      <c r="B41218" s="309"/>
      <c r="C41218" s="309"/>
      <c r="I41218" s="309"/>
      <c r="J41218" s="309"/>
    </row>
    <row r="41219">
      <c r="B41219" s="309"/>
      <c r="C41219" s="309"/>
      <c r="I41219" s="309"/>
      <c r="J41219" s="309"/>
    </row>
    <row r="41220">
      <c r="B41220" s="309"/>
      <c r="C41220" s="309"/>
      <c r="I41220" s="309"/>
      <c r="J41220" s="309"/>
    </row>
    <row r="41221">
      <c r="B41221" s="309"/>
      <c r="C41221" s="309"/>
      <c r="I41221" s="309"/>
      <c r="J41221" s="309"/>
    </row>
    <row r="41222">
      <c r="B41222" s="309"/>
      <c r="C41222" s="309"/>
      <c r="I41222" s="309"/>
      <c r="J41222" s="309"/>
    </row>
    <row r="41223">
      <c r="B41223" s="309"/>
      <c r="C41223" s="309"/>
      <c r="I41223" s="309"/>
      <c r="J41223" s="309"/>
    </row>
    <row r="41224">
      <c r="B41224" s="309"/>
      <c r="C41224" s="309"/>
      <c r="I41224" s="309"/>
      <c r="J41224" s="309"/>
    </row>
    <row r="41225">
      <c r="B41225" s="309"/>
      <c r="C41225" s="309"/>
      <c r="I41225" s="309"/>
      <c r="J41225" s="309"/>
    </row>
    <row r="41226">
      <c r="B41226" s="309"/>
      <c r="C41226" s="309"/>
      <c r="I41226" s="309"/>
      <c r="J41226" s="309"/>
    </row>
    <row r="41227">
      <c r="B41227" s="309"/>
      <c r="C41227" s="309"/>
      <c r="I41227" s="309"/>
      <c r="J41227" s="309"/>
    </row>
    <row r="41228">
      <c r="B41228" s="309"/>
      <c r="C41228" s="309"/>
      <c r="I41228" s="309"/>
      <c r="J41228" s="309"/>
    </row>
    <row r="41229">
      <c r="B41229" s="309"/>
      <c r="C41229" s="309"/>
      <c r="I41229" s="309"/>
      <c r="J41229" s="309"/>
    </row>
    <row r="41230">
      <c r="B41230" s="309"/>
      <c r="C41230" s="309"/>
      <c r="I41230" s="309"/>
      <c r="J41230" s="309"/>
    </row>
    <row r="41231">
      <c r="B41231" s="309"/>
      <c r="C41231" s="309"/>
      <c r="I41231" s="309"/>
      <c r="J41231" s="309"/>
    </row>
    <row r="41232">
      <c r="B41232" s="309"/>
      <c r="C41232" s="309"/>
      <c r="I41232" s="309"/>
      <c r="J41232" s="309"/>
    </row>
    <row r="41233">
      <c r="B41233" s="309"/>
      <c r="C41233" s="309"/>
      <c r="I41233" s="309"/>
      <c r="J41233" s="309"/>
    </row>
    <row r="41234">
      <c r="B41234" s="309"/>
      <c r="C41234" s="309"/>
      <c r="I41234" s="309"/>
      <c r="J41234" s="309"/>
    </row>
    <row r="41235">
      <c r="B41235" s="309"/>
      <c r="C41235" s="309"/>
      <c r="I41235" s="309"/>
      <c r="J41235" s="309"/>
    </row>
    <row r="41236">
      <c r="B41236" s="309"/>
      <c r="C41236" s="309"/>
      <c r="I41236" s="309"/>
      <c r="J41236" s="309"/>
    </row>
    <row r="41237">
      <c r="B41237" s="309"/>
      <c r="C41237" s="309"/>
      <c r="I41237" s="309"/>
      <c r="J41237" s="309"/>
    </row>
    <row r="41238">
      <c r="B41238" s="309"/>
      <c r="C41238" s="309"/>
      <c r="I41238" s="309"/>
      <c r="J41238" s="309"/>
    </row>
    <row r="41239">
      <c r="B41239" s="309"/>
      <c r="C41239" s="309"/>
      <c r="I41239" s="309"/>
      <c r="J41239" s="309"/>
    </row>
    <row r="41240">
      <c r="B41240" s="309"/>
      <c r="C41240" s="309"/>
      <c r="I41240" s="309"/>
      <c r="J41240" s="309"/>
    </row>
    <row r="41241">
      <c r="B41241" s="309"/>
      <c r="C41241" s="309"/>
      <c r="I41241" s="309"/>
      <c r="J41241" s="309"/>
    </row>
    <row r="41242">
      <c r="B41242" s="309"/>
      <c r="C41242" s="309"/>
      <c r="I41242" s="309"/>
      <c r="J41242" s="309"/>
    </row>
    <row r="41243">
      <c r="B41243" s="309"/>
      <c r="C41243" s="309"/>
      <c r="I41243" s="309"/>
      <c r="J41243" s="309"/>
    </row>
    <row r="41244">
      <c r="B41244" s="309"/>
      <c r="C41244" s="309"/>
      <c r="I41244" s="309"/>
      <c r="J41244" s="309"/>
    </row>
    <row r="41245">
      <c r="B41245" s="309"/>
      <c r="C41245" s="309"/>
      <c r="I41245" s="309"/>
      <c r="J41245" s="309"/>
    </row>
    <row r="41246">
      <c r="B41246" s="309"/>
      <c r="C41246" s="309"/>
      <c r="I41246" s="309"/>
      <c r="J41246" s="309"/>
    </row>
    <row r="41247">
      <c r="B41247" s="309"/>
      <c r="C41247" s="309"/>
      <c r="I41247" s="309"/>
      <c r="J41247" s="309"/>
    </row>
    <row r="41248">
      <c r="B41248" s="309"/>
      <c r="C41248" s="309"/>
      <c r="I41248" s="309"/>
      <c r="J41248" s="309"/>
    </row>
    <row r="41249">
      <c r="B41249" s="309"/>
      <c r="C41249" s="309"/>
      <c r="I41249" s="309"/>
      <c r="J41249" s="309"/>
    </row>
    <row r="41250">
      <c r="B41250" s="309"/>
      <c r="C41250" s="309"/>
      <c r="I41250" s="309"/>
      <c r="J41250" s="309"/>
    </row>
    <row r="41251">
      <c r="B41251" s="309"/>
      <c r="C41251" s="309"/>
      <c r="I41251" s="309"/>
      <c r="J41251" s="309"/>
    </row>
    <row r="41252">
      <c r="B41252" s="309"/>
      <c r="C41252" s="309"/>
      <c r="I41252" s="309"/>
      <c r="J41252" s="309"/>
    </row>
    <row r="41253">
      <c r="B41253" s="309"/>
      <c r="C41253" s="309"/>
      <c r="I41253" s="309"/>
      <c r="J41253" s="309"/>
    </row>
    <row r="41254">
      <c r="B41254" s="309"/>
      <c r="C41254" s="309"/>
      <c r="I41254" s="309"/>
      <c r="J41254" s="309"/>
    </row>
    <row r="41255">
      <c r="B41255" s="309"/>
      <c r="C41255" s="309"/>
      <c r="I41255" s="309"/>
      <c r="J41255" s="309"/>
    </row>
    <row r="41256">
      <c r="B41256" s="309"/>
      <c r="C41256" s="309"/>
      <c r="I41256" s="309"/>
      <c r="J41256" s="309"/>
    </row>
    <row r="41257">
      <c r="B41257" s="309"/>
      <c r="C41257" s="309"/>
      <c r="I41257" s="309"/>
      <c r="J41257" s="309"/>
    </row>
    <row r="41258">
      <c r="B41258" s="309"/>
      <c r="C41258" s="309"/>
      <c r="I41258" s="309"/>
      <c r="J41258" s="309"/>
    </row>
    <row r="41259">
      <c r="B41259" s="309"/>
      <c r="C41259" s="309"/>
      <c r="I41259" s="309"/>
      <c r="J41259" s="309"/>
    </row>
    <row r="41260">
      <c r="B41260" s="309"/>
      <c r="C41260" s="309"/>
      <c r="I41260" s="309"/>
      <c r="J41260" s="309"/>
    </row>
    <row r="41261">
      <c r="B41261" s="309"/>
      <c r="C41261" s="309"/>
      <c r="I41261" s="309"/>
      <c r="J41261" s="309"/>
    </row>
    <row r="41262">
      <c r="B41262" s="309"/>
      <c r="C41262" s="309"/>
      <c r="I41262" s="309"/>
      <c r="J41262" s="309"/>
    </row>
    <row r="41263">
      <c r="B41263" s="309"/>
      <c r="C41263" s="309"/>
      <c r="I41263" s="309"/>
      <c r="J41263" s="309"/>
    </row>
    <row r="41264">
      <c r="B41264" s="309"/>
      <c r="C41264" s="309"/>
      <c r="I41264" s="309"/>
      <c r="J41264" s="309"/>
    </row>
    <row r="41265">
      <c r="B41265" s="309"/>
      <c r="C41265" s="309"/>
      <c r="I41265" s="309"/>
      <c r="J41265" s="309"/>
    </row>
    <row r="41266">
      <c r="B41266" s="309"/>
      <c r="C41266" s="309"/>
      <c r="I41266" s="309"/>
      <c r="J41266" s="309"/>
    </row>
    <row r="41267">
      <c r="B41267" s="309"/>
      <c r="C41267" s="309"/>
      <c r="I41267" s="309"/>
      <c r="J41267" s="309"/>
    </row>
    <row r="41268">
      <c r="B41268" s="309"/>
      <c r="C41268" s="309"/>
      <c r="I41268" s="309"/>
      <c r="J41268" s="309"/>
    </row>
    <row r="41269">
      <c r="B41269" s="309"/>
      <c r="C41269" s="309"/>
      <c r="I41269" s="309"/>
      <c r="J41269" s="309"/>
    </row>
    <row r="41270">
      <c r="B41270" s="309"/>
      <c r="C41270" s="309"/>
      <c r="I41270" s="309"/>
      <c r="J41270" s="309"/>
    </row>
    <row r="41271">
      <c r="B41271" s="309"/>
      <c r="C41271" s="309"/>
      <c r="I41271" s="309"/>
      <c r="J41271" s="309"/>
    </row>
    <row r="41272">
      <c r="B41272" s="309"/>
      <c r="C41272" s="309"/>
      <c r="I41272" s="309"/>
      <c r="J41272" s="309"/>
    </row>
    <row r="41273">
      <c r="B41273" s="309"/>
      <c r="C41273" s="309"/>
      <c r="I41273" s="309"/>
      <c r="J41273" s="309"/>
    </row>
    <row r="41274">
      <c r="B41274" s="309"/>
      <c r="C41274" s="309"/>
      <c r="I41274" s="309"/>
      <c r="J41274" s="309"/>
    </row>
    <row r="41275">
      <c r="B41275" s="309"/>
      <c r="C41275" s="309"/>
      <c r="I41275" s="309"/>
      <c r="J41275" s="309"/>
    </row>
    <row r="41276">
      <c r="B41276" s="309"/>
      <c r="C41276" s="309"/>
      <c r="I41276" s="309"/>
      <c r="J41276" s="309"/>
    </row>
    <row r="41277">
      <c r="B41277" s="309"/>
      <c r="C41277" s="309"/>
      <c r="I41277" s="309"/>
      <c r="J41277" s="309"/>
    </row>
    <row r="41278">
      <c r="B41278" s="309"/>
      <c r="C41278" s="309"/>
      <c r="I41278" s="309"/>
      <c r="J41278" s="309"/>
    </row>
    <row r="41279">
      <c r="B41279" s="309"/>
      <c r="C41279" s="309"/>
      <c r="I41279" s="309"/>
      <c r="J41279" s="309"/>
    </row>
    <row r="41280">
      <c r="B41280" s="309"/>
      <c r="C41280" s="309"/>
      <c r="I41280" s="309"/>
      <c r="J41280" s="309"/>
    </row>
    <row r="41281">
      <c r="B41281" s="309"/>
      <c r="C41281" s="309"/>
      <c r="I41281" s="309"/>
      <c r="J41281" s="309"/>
    </row>
    <row r="41282">
      <c r="B41282" s="309"/>
      <c r="C41282" s="309"/>
      <c r="I41282" s="309"/>
      <c r="J41282" s="309"/>
    </row>
    <row r="41283">
      <c r="B41283" s="309"/>
      <c r="C41283" s="309"/>
      <c r="I41283" s="309"/>
      <c r="J41283" s="309"/>
    </row>
    <row r="41284">
      <c r="B41284" s="309"/>
      <c r="C41284" s="309"/>
      <c r="I41284" s="309"/>
      <c r="J41284" s="309"/>
    </row>
    <row r="41285">
      <c r="B41285" s="309"/>
      <c r="C41285" s="309"/>
      <c r="I41285" s="309"/>
      <c r="J41285" s="309"/>
    </row>
    <row r="41286">
      <c r="B41286" s="309"/>
      <c r="C41286" s="309"/>
      <c r="I41286" s="309"/>
      <c r="J41286" s="309"/>
    </row>
    <row r="41287">
      <c r="B41287" s="309"/>
      <c r="C41287" s="309"/>
      <c r="I41287" s="309"/>
      <c r="J41287" s="309"/>
    </row>
    <row r="41288">
      <c r="B41288" s="309"/>
      <c r="C41288" s="309"/>
      <c r="I41288" s="309"/>
      <c r="J41288" s="309"/>
    </row>
    <row r="41289">
      <c r="B41289" s="309"/>
      <c r="C41289" s="309"/>
      <c r="I41289" s="309"/>
      <c r="J41289" s="309"/>
    </row>
    <row r="41290">
      <c r="B41290" s="309"/>
      <c r="C41290" s="309"/>
      <c r="I41290" s="309"/>
      <c r="J41290" s="309"/>
    </row>
    <row r="41291">
      <c r="B41291" s="309"/>
      <c r="C41291" s="309"/>
      <c r="I41291" s="309"/>
      <c r="J41291" s="309"/>
    </row>
    <row r="41292">
      <c r="B41292" s="309"/>
      <c r="C41292" s="309"/>
      <c r="I41292" s="309"/>
      <c r="J41292" s="309"/>
    </row>
    <row r="41293">
      <c r="B41293" s="309"/>
      <c r="C41293" s="309"/>
      <c r="I41293" s="309"/>
      <c r="J41293" s="309"/>
    </row>
    <row r="41294">
      <c r="B41294" s="309"/>
      <c r="C41294" s="309"/>
      <c r="I41294" s="309"/>
      <c r="J41294" s="309"/>
    </row>
    <row r="41295">
      <c r="B41295" s="309"/>
      <c r="C41295" s="309"/>
      <c r="I41295" s="309"/>
      <c r="J41295" s="309"/>
    </row>
    <row r="41296">
      <c r="B41296" s="309"/>
      <c r="C41296" s="309"/>
      <c r="I41296" s="309"/>
      <c r="J41296" s="309"/>
    </row>
    <row r="41297">
      <c r="B41297" s="309"/>
      <c r="C41297" s="309"/>
      <c r="I41297" s="309"/>
      <c r="J41297" s="309"/>
    </row>
    <row r="41298">
      <c r="B41298" s="309"/>
      <c r="C41298" s="309"/>
      <c r="I41298" s="309"/>
      <c r="J41298" s="309"/>
    </row>
    <row r="41299">
      <c r="B41299" s="309"/>
      <c r="C41299" s="309"/>
      <c r="I41299" s="309"/>
      <c r="J41299" s="309"/>
    </row>
    <row r="41300">
      <c r="B41300" s="309"/>
      <c r="C41300" s="309"/>
      <c r="I41300" s="309"/>
      <c r="J41300" s="309"/>
    </row>
    <row r="41301">
      <c r="B41301" s="309"/>
      <c r="C41301" s="309"/>
      <c r="I41301" s="309"/>
      <c r="J41301" s="309"/>
    </row>
    <row r="41302">
      <c r="B41302" s="309"/>
      <c r="C41302" s="309"/>
      <c r="I41302" s="309"/>
      <c r="J41302" s="309"/>
    </row>
    <row r="41303">
      <c r="B41303" s="309"/>
      <c r="C41303" s="309"/>
      <c r="I41303" s="309"/>
      <c r="J41303" s="309"/>
    </row>
    <row r="41304">
      <c r="B41304" s="309"/>
      <c r="C41304" s="309"/>
      <c r="I41304" s="309"/>
      <c r="J41304" s="309"/>
    </row>
    <row r="41305">
      <c r="B41305" s="309"/>
      <c r="C41305" s="309"/>
      <c r="I41305" s="309"/>
      <c r="J41305" s="309"/>
    </row>
    <row r="41306">
      <c r="B41306" s="309"/>
      <c r="C41306" s="309"/>
      <c r="I41306" s="309"/>
      <c r="J41306" s="309"/>
    </row>
    <row r="41307">
      <c r="B41307" s="309"/>
      <c r="C41307" s="309"/>
      <c r="I41307" s="309"/>
      <c r="J41307" s="309"/>
    </row>
    <row r="41308">
      <c r="B41308" s="309"/>
      <c r="C41308" s="309"/>
      <c r="I41308" s="309"/>
      <c r="J41308" s="309"/>
    </row>
    <row r="41309">
      <c r="B41309" s="309"/>
      <c r="C41309" s="309"/>
      <c r="I41309" s="309"/>
      <c r="J41309" s="309"/>
    </row>
    <row r="41310">
      <c r="B41310" s="309"/>
      <c r="C41310" s="309"/>
      <c r="I41310" s="309"/>
      <c r="J41310" s="309"/>
    </row>
    <row r="41311">
      <c r="B41311" s="309"/>
      <c r="C41311" s="309"/>
      <c r="I41311" s="309"/>
      <c r="J41311" s="309"/>
    </row>
    <row r="41312">
      <c r="B41312" s="309"/>
      <c r="C41312" s="309"/>
      <c r="I41312" s="309"/>
      <c r="J41312" s="309"/>
    </row>
    <row r="41313">
      <c r="B41313" s="309"/>
      <c r="C41313" s="309"/>
      <c r="I41313" s="309"/>
      <c r="J41313" s="309"/>
    </row>
    <row r="41314">
      <c r="B41314" s="309"/>
      <c r="C41314" s="309"/>
      <c r="I41314" s="309"/>
      <c r="J41314" s="309"/>
    </row>
    <row r="41315">
      <c r="B41315" s="309"/>
      <c r="C41315" s="309"/>
      <c r="I41315" s="309"/>
      <c r="J41315" s="309"/>
    </row>
    <row r="41316">
      <c r="B41316" s="309"/>
      <c r="C41316" s="309"/>
      <c r="I41316" s="309"/>
      <c r="J41316" s="309"/>
    </row>
    <row r="41317">
      <c r="B41317" s="309"/>
      <c r="C41317" s="309"/>
      <c r="I41317" s="309"/>
      <c r="J41317" s="309"/>
    </row>
    <row r="41318">
      <c r="B41318" s="309"/>
      <c r="C41318" s="309"/>
      <c r="I41318" s="309"/>
      <c r="J41318" s="309"/>
    </row>
    <row r="41319">
      <c r="B41319" s="309"/>
      <c r="C41319" s="309"/>
      <c r="I41319" s="309"/>
      <c r="J41319" s="309"/>
    </row>
    <row r="41320">
      <c r="B41320" s="309"/>
      <c r="C41320" s="309"/>
      <c r="I41320" s="309"/>
      <c r="J41320" s="309"/>
    </row>
    <row r="41321">
      <c r="B41321" s="309"/>
      <c r="C41321" s="309"/>
      <c r="I41321" s="309"/>
      <c r="J41321" s="309"/>
    </row>
    <row r="41322">
      <c r="B41322" s="309"/>
      <c r="C41322" s="309"/>
      <c r="I41322" s="309"/>
      <c r="J41322" s="309"/>
    </row>
    <row r="41323">
      <c r="B41323" s="309"/>
      <c r="C41323" s="309"/>
      <c r="I41323" s="309"/>
      <c r="J41323" s="309"/>
    </row>
    <row r="41324">
      <c r="B41324" s="309"/>
      <c r="C41324" s="309"/>
      <c r="I41324" s="309"/>
      <c r="J41324" s="309"/>
    </row>
    <row r="41325">
      <c r="B41325" s="309"/>
      <c r="C41325" s="309"/>
      <c r="I41325" s="309"/>
      <c r="J41325" s="309"/>
    </row>
    <row r="41326">
      <c r="B41326" s="309"/>
      <c r="C41326" s="309"/>
      <c r="I41326" s="309"/>
      <c r="J41326" s="309"/>
    </row>
    <row r="41327">
      <c r="B41327" s="309"/>
      <c r="C41327" s="309"/>
      <c r="I41327" s="309"/>
      <c r="J41327" s="309"/>
    </row>
    <row r="41328">
      <c r="B41328" s="309"/>
      <c r="C41328" s="309"/>
      <c r="I41328" s="309"/>
      <c r="J41328" s="309"/>
    </row>
    <row r="41329">
      <c r="B41329" s="309"/>
      <c r="C41329" s="309"/>
      <c r="I41329" s="309"/>
      <c r="J41329" s="309"/>
    </row>
    <row r="41330">
      <c r="B41330" s="309"/>
      <c r="C41330" s="309"/>
      <c r="I41330" s="309"/>
      <c r="J41330" s="309"/>
    </row>
    <row r="41331">
      <c r="B41331" s="309"/>
      <c r="C41331" s="309"/>
      <c r="I41331" s="309"/>
      <c r="J41331" s="309"/>
    </row>
    <row r="41332">
      <c r="B41332" s="309"/>
      <c r="C41332" s="309"/>
      <c r="I41332" s="309"/>
      <c r="J41332" s="309"/>
    </row>
    <row r="41333">
      <c r="B41333" s="309"/>
      <c r="C41333" s="309"/>
      <c r="I41333" s="309"/>
      <c r="J41333" s="309"/>
    </row>
    <row r="41334">
      <c r="B41334" s="309"/>
      <c r="C41334" s="309"/>
      <c r="I41334" s="309"/>
      <c r="J41334" s="309"/>
    </row>
    <row r="41335">
      <c r="B41335" s="309"/>
      <c r="C41335" s="309"/>
      <c r="I41335" s="309"/>
      <c r="J41335" s="309"/>
    </row>
    <row r="41336">
      <c r="B41336" s="309"/>
      <c r="C41336" s="309"/>
      <c r="I41336" s="309"/>
      <c r="J41336" s="309"/>
    </row>
    <row r="41337">
      <c r="B41337" s="309"/>
      <c r="C41337" s="309"/>
      <c r="I41337" s="309"/>
      <c r="J41337" s="309"/>
    </row>
    <row r="41338">
      <c r="B41338" s="309"/>
      <c r="C41338" s="309"/>
      <c r="I41338" s="309"/>
      <c r="J41338" s="309"/>
    </row>
    <row r="41339">
      <c r="B41339" s="309"/>
      <c r="C41339" s="309"/>
      <c r="I41339" s="309"/>
      <c r="J41339" s="309"/>
    </row>
    <row r="41340">
      <c r="B41340" s="309"/>
      <c r="C41340" s="309"/>
      <c r="I41340" s="309"/>
      <c r="J41340" s="309"/>
    </row>
    <row r="41341">
      <c r="B41341" s="309"/>
      <c r="C41341" s="309"/>
      <c r="I41341" s="309"/>
      <c r="J41341" s="309"/>
    </row>
    <row r="41342">
      <c r="B41342" s="309"/>
      <c r="C41342" s="309"/>
      <c r="I41342" s="309"/>
      <c r="J41342" s="309"/>
    </row>
    <row r="41343">
      <c r="B41343" s="309"/>
      <c r="C41343" s="309"/>
      <c r="I41343" s="309"/>
      <c r="J41343" s="309"/>
    </row>
    <row r="41344">
      <c r="B41344" s="309"/>
      <c r="C41344" s="309"/>
      <c r="I41344" s="309"/>
      <c r="J41344" s="309"/>
    </row>
    <row r="41345">
      <c r="B41345" s="309"/>
      <c r="C41345" s="309"/>
      <c r="I41345" s="309"/>
      <c r="J41345" s="309"/>
    </row>
    <row r="41346">
      <c r="B41346" s="309"/>
      <c r="C41346" s="309"/>
      <c r="I41346" s="309"/>
      <c r="J41346" s="309"/>
    </row>
    <row r="41347">
      <c r="B41347" s="309"/>
      <c r="C41347" s="309"/>
      <c r="I41347" s="309"/>
      <c r="J41347" s="309"/>
    </row>
    <row r="41348">
      <c r="B41348" s="309"/>
      <c r="C41348" s="309"/>
      <c r="I41348" s="309"/>
      <c r="J41348" s="309"/>
    </row>
    <row r="41349">
      <c r="B41349" s="309"/>
      <c r="C41349" s="309"/>
      <c r="I41349" s="309"/>
      <c r="J41349" s="309"/>
    </row>
    <row r="41350">
      <c r="B41350" s="309"/>
      <c r="C41350" s="309"/>
      <c r="I41350" s="309"/>
      <c r="J41350" s="309"/>
    </row>
    <row r="41351">
      <c r="B41351" s="309"/>
      <c r="C41351" s="309"/>
      <c r="I41351" s="309"/>
      <c r="J41351" s="309"/>
    </row>
    <row r="41352">
      <c r="B41352" s="309"/>
      <c r="C41352" s="309"/>
      <c r="I41352" s="309"/>
      <c r="J41352" s="309"/>
    </row>
    <row r="41353">
      <c r="B41353" s="309"/>
      <c r="C41353" s="309"/>
      <c r="I41353" s="309"/>
      <c r="J41353" s="309"/>
    </row>
    <row r="41354">
      <c r="B41354" s="309"/>
      <c r="C41354" s="309"/>
      <c r="I41354" s="309"/>
      <c r="J41354" s="309"/>
    </row>
    <row r="41355">
      <c r="B41355" s="309"/>
      <c r="C41355" s="309"/>
      <c r="I41355" s="309"/>
      <c r="J41355" s="309"/>
    </row>
    <row r="41356">
      <c r="B41356" s="309"/>
      <c r="C41356" s="309"/>
      <c r="I41356" s="309"/>
      <c r="J41356" s="309"/>
    </row>
    <row r="41357">
      <c r="B41357" s="309"/>
      <c r="C41357" s="309"/>
      <c r="I41357" s="309"/>
      <c r="J41357" s="309"/>
    </row>
    <row r="41358">
      <c r="B41358" s="309"/>
      <c r="C41358" s="309"/>
      <c r="I41358" s="309"/>
      <c r="J41358" s="309"/>
    </row>
    <row r="41359">
      <c r="B41359" s="309"/>
      <c r="C41359" s="309"/>
      <c r="I41359" s="309"/>
      <c r="J41359" s="309"/>
    </row>
    <row r="41360">
      <c r="B41360" s="309"/>
      <c r="C41360" s="309"/>
      <c r="I41360" s="309"/>
      <c r="J41360" s="309"/>
    </row>
    <row r="41361">
      <c r="B41361" s="309"/>
      <c r="C41361" s="309"/>
      <c r="I41361" s="309"/>
      <c r="J41361" s="309"/>
    </row>
    <row r="41362">
      <c r="B41362" s="309"/>
      <c r="C41362" s="309"/>
      <c r="I41362" s="309"/>
      <c r="J41362" s="309"/>
    </row>
    <row r="41363">
      <c r="B41363" s="309"/>
      <c r="C41363" s="309"/>
      <c r="I41363" s="309"/>
      <c r="J41363" s="309"/>
    </row>
    <row r="41364">
      <c r="B41364" s="309"/>
      <c r="C41364" s="309"/>
      <c r="I41364" s="309"/>
      <c r="J41364" s="309"/>
    </row>
    <row r="41365">
      <c r="B41365" s="309"/>
      <c r="C41365" s="309"/>
      <c r="I41365" s="309"/>
      <c r="J41365" s="309"/>
    </row>
    <row r="41366">
      <c r="B41366" s="309"/>
      <c r="C41366" s="309"/>
      <c r="I41366" s="309"/>
      <c r="J41366" s="309"/>
    </row>
    <row r="41367">
      <c r="B41367" s="309"/>
      <c r="C41367" s="309"/>
      <c r="I41367" s="309"/>
      <c r="J41367" s="309"/>
    </row>
    <row r="41368">
      <c r="B41368" s="309"/>
      <c r="C41368" s="309"/>
      <c r="I41368" s="309"/>
      <c r="J41368" s="309"/>
    </row>
    <row r="41369">
      <c r="B41369" s="309"/>
      <c r="C41369" s="309"/>
      <c r="I41369" s="309"/>
      <c r="J41369" s="309"/>
    </row>
    <row r="41370">
      <c r="B41370" s="309"/>
      <c r="C41370" s="309"/>
      <c r="I41370" s="309"/>
      <c r="J41370" s="309"/>
    </row>
    <row r="41371">
      <c r="B41371" s="309"/>
      <c r="C41371" s="309"/>
      <c r="I41371" s="309"/>
      <c r="J41371" s="309"/>
    </row>
    <row r="41372">
      <c r="B41372" s="309"/>
      <c r="C41372" s="309"/>
      <c r="I41372" s="309"/>
      <c r="J41372" s="309"/>
    </row>
    <row r="41373">
      <c r="B41373" s="309"/>
      <c r="C41373" s="309"/>
      <c r="I41373" s="309"/>
      <c r="J41373" s="309"/>
    </row>
    <row r="41374">
      <c r="B41374" s="309"/>
      <c r="C41374" s="309"/>
      <c r="I41374" s="309"/>
      <c r="J41374" s="309"/>
    </row>
    <row r="41375">
      <c r="B41375" s="309"/>
      <c r="C41375" s="309"/>
      <c r="I41375" s="309"/>
      <c r="J41375" s="309"/>
    </row>
    <row r="41376">
      <c r="B41376" s="309"/>
      <c r="C41376" s="309"/>
      <c r="I41376" s="309"/>
      <c r="J41376" s="309"/>
    </row>
    <row r="41377">
      <c r="B41377" s="309"/>
      <c r="C41377" s="309"/>
      <c r="I41377" s="309"/>
      <c r="J41377" s="309"/>
    </row>
    <row r="41378">
      <c r="B41378" s="309"/>
      <c r="C41378" s="309"/>
      <c r="I41378" s="309"/>
      <c r="J41378" s="309"/>
    </row>
    <row r="41379">
      <c r="B41379" s="309"/>
      <c r="C41379" s="309"/>
      <c r="I41379" s="309"/>
      <c r="J41379" s="309"/>
    </row>
    <row r="41380">
      <c r="B41380" s="309"/>
      <c r="C41380" s="309"/>
      <c r="I41380" s="309"/>
      <c r="J41380" s="309"/>
    </row>
    <row r="41381">
      <c r="B41381" s="309"/>
      <c r="C41381" s="309"/>
      <c r="I41381" s="309"/>
      <c r="J41381" s="309"/>
    </row>
    <row r="41382">
      <c r="B41382" s="309"/>
      <c r="C41382" s="309"/>
      <c r="I41382" s="309"/>
      <c r="J41382" s="309"/>
    </row>
    <row r="41383">
      <c r="B41383" s="309"/>
      <c r="C41383" s="309"/>
      <c r="I41383" s="309"/>
      <c r="J41383" s="309"/>
    </row>
    <row r="41384">
      <c r="B41384" s="309"/>
      <c r="C41384" s="309"/>
      <c r="I41384" s="309"/>
      <c r="J41384" s="309"/>
    </row>
    <row r="41385">
      <c r="B41385" s="309"/>
      <c r="C41385" s="309"/>
      <c r="I41385" s="309"/>
      <c r="J41385" s="309"/>
    </row>
    <row r="41386">
      <c r="B41386" s="309"/>
      <c r="C41386" s="309"/>
      <c r="I41386" s="309"/>
      <c r="J41386" s="309"/>
    </row>
    <row r="41387">
      <c r="B41387" s="309"/>
      <c r="C41387" s="309"/>
      <c r="I41387" s="309"/>
      <c r="J41387" s="309"/>
    </row>
    <row r="41388">
      <c r="B41388" s="309"/>
      <c r="C41388" s="309"/>
      <c r="I41388" s="309"/>
      <c r="J41388" s="309"/>
    </row>
    <row r="41389">
      <c r="B41389" s="309"/>
      <c r="C41389" s="309"/>
      <c r="I41389" s="309"/>
      <c r="J41389" s="309"/>
    </row>
    <row r="41390">
      <c r="B41390" s="309"/>
      <c r="C41390" s="309"/>
      <c r="I41390" s="309"/>
      <c r="J41390" s="309"/>
    </row>
    <row r="41391">
      <c r="B41391" s="309"/>
      <c r="C41391" s="309"/>
      <c r="I41391" s="309"/>
      <c r="J41391" s="309"/>
    </row>
    <row r="41392">
      <c r="B41392" s="309"/>
      <c r="C41392" s="309"/>
      <c r="I41392" s="309"/>
      <c r="J41392" s="309"/>
    </row>
    <row r="41393">
      <c r="B41393" s="309"/>
      <c r="C41393" s="309"/>
      <c r="I41393" s="309"/>
      <c r="J41393" s="309"/>
    </row>
    <row r="41394">
      <c r="B41394" s="309"/>
      <c r="C41394" s="309"/>
      <c r="I41394" s="309"/>
      <c r="J41394" s="309"/>
    </row>
    <row r="41395">
      <c r="B41395" s="309"/>
      <c r="C41395" s="309"/>
      <c r="I41395" s="309"/>
      <c r="J41395" s="309"/>
    </row>
    <row r="41396">
      <c r="B41396" s="309"/>
      <c r="C41396" s="309"/>
      <c r="I41396" s="309"/>
      <c r="J41396" s="309"/>
    </row>
    <row r="41397">
      <c r="B41397" s="309"/>
      <c r="C41397" s="309"/>
      <c r="I41397" s="309"/>
      <c r="J41397" s="309"/>
    </row>
    <row r="41398">
      <c r="B41398" s="309"/>
      <c r="C41398" s="309"/>
      <c r="I41398" s="309"/>
      <c r="J41398" s="309"/>
    </row>
    <row r="41399">
      <c r="B41399" s="309"/>
      <c r="C41399" s="309"/>
      <c r="I41399" s="309"/>
      <c r="J41399" s="309"/>
    </row>
    <row r="41400">
      <c r="B41400" s="309"/>
      <c r="C41400" s="309"/>
      <c r="I41400" s="309"/>
      <c r="J41400" s="309"/>
    </row>
    <row r="41401">
      <c r="B41401" s="309"/>
      <c r="C41401" s="309"/>
      <c r="I41401" s="309"/>
      <c r="J41401" s="309"/>
    </row>
    <row r="41402">
      <c r="B41402" s="309"/>
      <c r="C41402" s="309"/>
      <c r="I41402" s="309"/>
      <c r="J41402" s="309"/>
    </row>
    <row r="41403">
      <c r="B41403" s="309"/>
      <c r="C41403" s="309"/>
      <c r="I41403" s="309"/>
      <c r="J41403" s="309"/>
    </row>
    <row r="41404">
      <c r="B41404" s="309"/>
      <c r="C41404" s="309"/>
      <c r="I41404" s="309"/>
      <c r="J41404" s="309"/>
    </row>
    <row r="41405">
      <c r="B41405" s="309"/>
      <c r="C41405" s="309"/>
      <c r="I41405" s="309"/>
      <c r="J41405" s="309"/>
    </row>
    <row r="41406">
      <c r="B41406" s="309"/>
      <c r="C41406" s="309"/>
      <c r="I41406" s="309"/>
      <c r="J41406" s="309"/>
    </row>
    <row r="41407">
      <c r="B41407" s="309"/>
      <c r="C41407" s="309"/>
      <c r="I41407" s="309"/>
      <c r="J41407" s="309"/>
    </row>
    <row r="41408">
      <c r="B41408" s="309"/>
      <c r="C41408" s="309"/>
      <c r="I41408" s="309"/>
      <c r="J41408" s="309"/>
    </row>
    <row r="41409">
      <c r="B41409" s="309"/>
      <c r="C41409" s="309"/>
      <c r="I41409" s="309"/>
      <c r="J41409" s="309"/>
    </row>
    <row r="41410">
      <c r="B41410" s="309"/>
      <c r="C41410" s="309"/>
      <c r="I41410" s="309"/>
      <c r="J41410" s="309"/>
    </row>
    <row r="41411">
      <c r="B41411" s="309"/>
      <c r="C41411" s="309"/>
      <c r="I41411" s="309"/>
      <c r="J41411" s="309"/>
    </row>
    <row r="41412">
      <c r="B41412" s="309"/>
      <c r="C41412" s="309"/>
      <c r="I41412" s="309"/>
      <c r="J41412" s="309"/>
    </row>
    <row r="41413">
      <c r="B41413" s="309"/>
      <c r="C41413" s="309"/>
      <c r="I41413" s="309"/>
      <c r="J41413" s="309"/>
    </row>
    <row r="41414">
      <c r="B41414" s="309"/>
      <c r="C41414" s="309"/>
      <c r="I41414" s="309"/>
      <c r="J41414" s="309"/>
    </row>
    <row r="41415">
      <c r="B41415" s="309"/>
      <c r="C41415" s="309"/>
      <c r="I41415" s="309"/>
      <c r="J41415" s="309"/>
    </row>
    <row r="41416">
      <c r="B41416" s="309"/>
      <c r="C41416" s="309"/>
      <c r="I41416" s="309"/>
      <c r="J41416" s="309"/>
    </row>
    <row r="41417">
      <c r="B41417" s="309"/>
      <c r="C41417" s="309"/>
      <c r="I41417" s="309"/>
      <c r="J41417" s="309"/>
    </row>
    <row r="41418">
      <c r="B41418" s="309"/>
      <c r="C41418" s="309"/>
      <c r="I41418" s="309"/>
      <c r="J41418" s="309"/>
    </row>
    <row r="41419">
      <c r="B41419" s="309"/>
      <c r="C41419" s="309"/>
      <c r="I41419" s="309"/>
      <c r="J41419" s="309"/>
    </row>
    <row r="41420">
      <c r="B41420" s="309"/>
      <c r="C41420" s="309"/>
      <c r="I41420" s="309"/>
      <c r="J41420" s="309"/>
    </row>
    <row r="41421">
      <c r="B41421" s="309"/>
      <c r="C41421" s="309"/>
      <c r="I41421" s="309"/>
      <c r="J41421" s="309"/>
    </row>
    <row r="41422">
      <c r="B41422" s="309"/>
      <c r="C41422" s="309"/>
      <c r="I41422" s="309"/>
      <c r="J41422" s="309"/>
    </row>
    <row r="41423">
      <c r="B41423" s="309"/>
      <c r="C41423" s="309"/>
      <c r="I41423" s="309"/>
      <c r="J41423" s="309"/>
    </row>
    <row r="41424">
      <c r="B41424" s="309"/>
      <c r="C41424" s="309"/>
      <c r="I41424" s="309"/>
      <c r="J41424" s="309"/>
    </row>
    <row r="41425">
      <c r="B41425" s="309"/>
      <c r="C41425" s="309"/>
      <c r="I41425" s="309"/>
      <c r="J41425" s="309"/>
    </row>
    <row r="41426">
      <c r="B41426" s="309"/>
      <c r="C41426" s="309"/>
      <c r="I41426" s="309"/>
      <c r="J41426" s="309"/>
    </row>
    <row r="41427">
      <c r="B41427" s="309"/>
      <c r="C41427" s="309"/>
      <c r="I41427" s="309"/>
      <c r="J41427" s="309"/>
    </row>
    <row r="41428">
      <c r="B41428" s="309"/>
      <c r="C41428" s="309"/>
      <c r="I41428" s="309"/>
      <c r="J41428" s="309"/>
    </row>
    <row r="41429">
      <c r="B41429" s="309"/>
      <c r="C41429" s="309"/>
      <c r="I41429" s="309"/>
      <c r="J41429" s="309"/>
    </row>
    <row r="41430">
      <c r="B41430" s="309"/>
      <c r="C41430" s="309"/>
      <c r="I41430" s="309"/>
      <c r="J41430" s="309"/>
    </row>
    <row r="41431">
      <c r="B41431" s="309"/>
      <c r="C41431" s="309"/>
      <c r="I41431" s="309"/>
      <c r="J41431" s="309"/>
    </row>
    <row r="41432">
      <c r="B41432" s="309"/>
      <c r="C41432" s="309"/>
      <c r="I41432" s="309"/>
      <c r="J41432" s="309"/>
    </row>
    <row r="41433">
      <c r="B41433" s="309"/>
      <c r="C41433" s="309"/>
      <c r="I41433" s="309"/>
      <c r="J41433" s="309"/>
    </row>
    <row r="41434">
      <c r="B41434" s="309"/>
      <c r="C41434" s="309"/>
      <c r="I41434" s="309"/>
      <c r="J41434" s="309"/>
    </row>
    <row r="41435">
      <c r="B41435" s="309"/>
      <c r="C41435" s="309"/>
      <c r="I41435" s="309"/>
      <c r="J41435" s="309"/>
    </row>
    <row r="41436">
      <c r="B41436" s="309"/>
      <c r="C41436" s="309"/>
      <c r="I41436" s="309"/>
      <c r="J41436" s="309"/>
    </row>
    <row r="41437">
      <c r="B41437" s="309"/>
      <c r="C41437" s="309"/>
      <c r="I41437" s="309"/>
      <c r="J41437" s="309"/>
    </row>
    <row r="41438">
      <c r="B41438" s="309"/>
      <c r="C41438" s="309"/>
      <c r="I41438" s="309"/>
      <c r="J41438" s="309"/>
    </row>
    <row r="41439">
      <c r="B41439" s="309"/>
      <c r="C41439" s="309"/>
      <c r="I41439" s="309"/>
      <c r="J41439" s="309"/>
    </row>
    <row r="41440">
      <c r="B41440" s="309"/>
      <c r="C41440" s="309"/>
      <c r="I41440" s="309"/>
      <c r="J41440" s="309"/>
    </row>
    <row r="41441">
      <c r="B41441" s="309"/>
      <c r="C41441" s="309"/>
      <c r="I41441" s="309"/>
      <c r="J41441" s="309"/>
    </row>
    <row r="41442">
      <c r="B41442" s="309"/>
      <c r="C41442" s="309"/>
      <c r="I41442" s="309"/>
      <c r="J41442" s="309"/>
    </row>
    <row r="41443">
      <c r="B41443" s="309"/>
      <c r="C41443" s="309"/>
      <c r="I41443" s="309"/>
      <c r="J41443" s="309"/>
    </row>
    <row r="41444">
      <c r="B41444" s="309"/>
      <c r="C41444" s="309"/>
      <c r="I41444" s="309"/>
      <c r="J41444" s="309"/>
    </row>
    <row r="41445">
      <c r="B41445" s="309"/>
      <c r="C41445" s="309"/>
      <c r="I41445" s="309"/>
      <c r="J41445" s="309"/>
    </row>
    <row r="41446">
      <c r="B41446" s="309"/>
      <c r="C41446" s="309"/>
      <c r="I41446" s="309"/>
      <c r="J41446" s="309"/>
    </row>
    <row r="41447">
      <c r="B41447" s="309"/>
      <c r="C41447" s="309"/>
      <c r="I41447" s="309"/>
      <c r="J41447" s="309"/>
    </row>
    <row r="41448">
      <c r="B41448" s="309"/>
      <c r="C41448" s="309"/>
      <c r="I41448" s="309"/>
      <c r="J41448" s="309"/>
    </row>
    <row r="41449">
      <c r="B41449" s="309"/>
      <c r="C41449" s="309"/>
      <c r="I41449" s="309"/>
      <c r="J41449" s="309"/>
    </row>
    <row r="41450">
      <c r="B41450" s="309"/>
      <c r="C41450" s="309"/>
      <c r="I41450" s="309"/>
      <c r="J41450" s="309"/>
    </row>
    <row r="41451">
      <c r="B41451" s="309"/>
      <c r="C41451" s="309"/>
      <c r="I41451" s="309"/>
      <c r="J41451" s="309"/>
    </row>
    <row r="41452">
      <c r="B41452" s="309"/>
      <c r="C41452" s="309"/>
      <c r="I41452" s="309"/>
      <c r="J41452" s="309"/>
    </row>
    <row r="41453">
      <c r="B41453" s="309"/>
      <c r="C41453" s="309"/>
      <c r="I41453" s="309"/>
      <c r="J41453" s="309"/>
    </row>
    <row r="41454">
      <c r="B41454" s="309"/>
      <c r="C41454" s="309"/>
      <c r="I41454" s="309"/>
      <c r="J41454" s="309"/>
    </row>
    <row r="41455">
      <c r="B41455" s="309"/>
      <c r="C41455" s="309"/>
      <c r="I41455" s="309"/>
      <c r="J41455" s="309"/>
    </row>
    <row r="41456">
      <c r="B41456" s="309"/>
      <c r="C41456" s="309"/>
      <c r="I41456" s="309"/>
      <c r="J41456" s="309"/>
    </row>
    <row r="41457">
      <c r="B41457" s="309"/>
      <c r="C41457" s="309"/>
      <c r="I41457" s="309"/>
      <c r="J41457" s="309"/>
    </row>
    <row r="41458">
      <c r="B41458" s="309"/>
      <c r="C41458" s="309"/>
      <c r="I41458" s="309"/>
      <c r="J41458" s="309"/>
    </row>
    <row r="41459">
      <c r="B41459" s="309"/>
      <c r="C41459" s="309"/>
      <c r="I41459" s="309"/>
      <c r="J41459" s="309"/>
    </row>
    <row r="41460">
      <c r="B41460" s="309"/>
      <c r="C41460" s="309"/>
      <c r="I41460" s="309"/>
      <c r="J41460" s="309"/>
    </row>
    <row r="41461">
      <c r="B41461" s="309"/>
      <c r="C41461" s="309"/>
      <c r="I41461" s="309"/>
      <c r="J41461" s="309"/>
    </row>
    <row r="41462">
      <c r="B41462" s="309"/>
      <c r="C41462" s="309"/>
      <c r="I41462" s="309"/>
      <c r="J41462" s="309"/>
    </row>
    <row r="41463">
      <c r="B41463" s="309"/>
      <c r="C41463" s="309"/>
      <c r="I41463" s="309"/>
      <c r="J41463" s="309"/>
    </row>
    <row r="41464">
      <c r="B41464" s="309"/>
      <c r="C41464" s="309"/>
      <c r="I41464" s="309"/>
      <c r="J41464" s="309"/>
    </row>
    <row r="41465">
      <c r="B41465" s="309"/>
      <c r="C41465" s="309"/>
      <c r="I41465" s="309"/>
      <c r="J41465" s="309"/>
    </row>
    <row r="41466">
      <c r="B41466" s="309"/>
      <c r="C41466" s="309"/>
      <c r="I41466" s="309"/>
      <c r="J41466" s="309"/>
    </row>
    <row r="41467">
      <c r="B41467" s="309"/>
      <c r="C41467" s="309"/>
      <c r="I41467" s="309"/>
      <c r="J41467" s="309"/>
    </row>
    <row r="41468">
      <c r="B41468" s="309"/>
      <c r="C41468" s="309"/>
      <c r="I41468" s="309"/>
      <c r="J41468" s="309"/>
    </row>
    <row r="41469">
      <c r="B41469" s="309"/>
      <c r="C41469" s="309"/>
      <c r="I41469" s="309"/>
      <c r="J41469" s="309"/>
    </row>
    <row r="41470">
      <c r="B41470" s="309"/>
      <c r="C41470" s="309"/>
      <c r="I41470" s="309"/>
      <c r="J41470" s="309"/>
    </row>
    <row r="41471">
      <c r="B41471" s="309"/>
      <c r="C41471" s="309"/>
      <c r="I41471" s="309"/>
      <c r="J41471" s="309"/>
    </row>
    <row r="41472">
      <c r="B41472" s="309"/>
      <c r="C41472" s="309"/>
      <c r="I41472" s="309"/>
      <c r="J41472" s="309"/>
    </row>
    <row r="41473">
      <c r="B41473" s="309"/>
      <c r="C41473" s="309"/>
      <c r="I41473" s="309"/>
      <c r="J41473" s="309"/>
    </row>
    <row r="41474">
      <c r="B41474" s="309"/>
      <c r="C41474" s="309"/>
      <c r="I41474" s="309"/>
      <c r="J41474" s="309"/>
    </row>
    <row r="41475">
      <c r="B41475" s="309"/>
      <c r="C41475" s="309"/>
      <c r="I41475" s="309"/>
      <c r="J41475" s="309"/>
    </row>
    <row r="41476">
      <c r="B41476" s="309"/>
      <c r="C41476" s="309"/>
      <c r="I41476" s="309"/>
      <c r="J41476" s="309"/>
    </row>
    <row r="41477">
      <c r="B41477" s="309"/>
      <c r="C41477" s="309"/>
      <c r="I41477" s="309"/>
      <c r="J41477" s="309"/>
    </row>
    <row r="41478">
      <c r="B41478" s="309"/>
      <c r="C41478" s="309"/>
      <c r="I41478" s="309"/>
      <c r="J41478" s="309"/>
    </row>
    <row r="41479">
      <c r="B41479" s="309"/>
      <c r="C41479" s="309"/>
      <c r="I41479" s="309"/>
      <c r="J41479" s="309"/>
    </row>
    <row r="41480">
      <c r="B41480" s="309"/>
      <c r="C41480" s="309"/>
      <c r="I41480" s="309"/>
      <c r="J41480" s="309"/>
    </row>
    <row r="41481">
      <c r="B41481" s="309"/>
      <c r="C41481" s="309"/>
      <c r="I41481" s="309"/>
      <c r="J41481" s="309"/>
    </row>
    <row r="41482">
      <c r="B41482" s="309"/>
      <c r="C41482" s="309"/>
      <c r="I41482" s="309"/>
      <c r="J41482" s="309"/>
    </row>
    <row r="41483">
      <c r="B41483" s="309"/>
      <c r="C41483" s="309"/>
      <c r="I41483" s="309"/>
      <c r="J41483" s="309"/>
    </row>
    <row r="41484">
      <c r="B41484" s="309"/>
      <c r="C41484" s="309"/>
      <c r="I41484" s="309"/>
      <c r="J41484" s="309"/>
    </row>
    <row r="41485">
      <c r="B41485" s="309"/>
      <c r="C41485" s="309"/>
      <c r="I41485" s="309"/>
      <c r="J41485" s="309"/>
    </row>
    <row r="41486">
      <c r="B41486" s="309"/>
      <c r="C41486" s="309"/>
      <c r="I41486" s="309"/>
      <c r="J41486" s="309"/>
    </row>
    <row r="41487">
      <c r="B41487" s="309"/>
      <c r="C41487" s="309"/>
      <c r="I41487" s="309"/>
      <c r="J41487" s="309"/>
    </row>
    <row r="41488">
      <c r="B41488" s="309"/>
      <c r="C41488" s="309"/>
      <c r="I41488" s="309"/>
      <c r="J41488" s="309"/>
    </row>
    <row r="41489">
      <c r="B41489" s="309"/>
      <c r="C41489" s="309"/>
      <c r="I41489" s="309"/>
      <c r="J41489" s="309"/>
    </row>
    <row r="41490">
      <c r="B41490" s="309"/>
      <c r="C41490" s="309"/>
      <c r="I41490" s="309"/>
      <c r="J41490" s="309"/>
    </row>
    <row r="41491">
      <c r="B41491" s="309"/>
      <c r="C41491" s="309"/>
      <c r="I41491" s="309"/>
      <c r="J41491" s="309"/>
    </row>
    <row r="41492">
      <c r="B41492" s="309"/>
      <c r="C41492" s="309"/>
      <c r="I41492" s="309"/>
      <c r="J41492" s="309"/>
    </row>
    <row r="41493">
      <c r="B41493" s="309"/>
      <c r="C41493" s="309"/>
      <c r="I41493" s="309"/>
      <c r="J41493" s="309"/>
    </row>
    <row r="41494">
      <c r="B41494" s="309"/>
      <c r="C41494" s="309"/>
      <c r="I41494" s="309"/>
      <c r="J41494" s="309"/>
    </row>
    <row r="41495">
      <c r="B41495" s="309"/>
      <c r="C41495" s="309"/>
      <c r="I41495" s="309"/>
      <c r="J41495" s="309"/>
    </row>
    <row r="41496">
      <c r="B41496" s="309"/>
      <c r="C41496" s="309"/>
      <c r="I41496" s="309"/>
      <c r="J41496" s="309"/>
    </row>
    <row r="41497">
      <c r="B41497" s="309"/>
      <c r="C41497" s="309"/>
      <c r="I41497" s="309"/>
      <c r="J41497" s="309"/>
    </row>
    <row r="41498">
      <c r="B41498" s="309"/>
      <c r="C41498" s="309"/>
      <c r="I41498" s="309"/>
      <c r="J41498" s="309"/>
    </row>
    <row r="41499">
      <c r="B41499" s="309"/>
      <c r="C41499" s="309"/>
      <c r="I41499" s="309"/>
      <c r="J41499" s="309"/>
    </row>
    <row r="41500">
      <c r="B41500" s="309"/>
      <c r="C41500" s="309"/>
      <c r="I41500" s="309"/>
      <c r="J41500" s="309"/>
    </row>
    <row r="41501">
      <c r="B41501" s="309"/>
      <c r="C41501" s="309"/>
      <c r="I41501" s="309"/>
      <c r="J41501" s="309"/>
    </row>
    <row r="41502">
      <c r="B41502" s="309"/>
      <c r="C41502" s="309"/>
      <c r="I41502" s="309"/>
      <c r="J41502" s="309"/>
    </row>
    <row r="41503">
      <c r="B41503" s="309"/>
      <c r="C41503" s="309"/>
      <c r="I41503" s="309"/>
      <c r="J41503" s="309"/>
    </row>
    <row r="41504">
      <c r="B41504" s="309"/>
      <c r="C41504" s="309"/>
      <c r="I41504" s="309"/>
      <c r="J41504" s="309"/>
    </row>
    <row r="41505">
      <c r="B41505" s="309"/>
      <c r="C41505" s="309"/>
      <c r="I41505" s="309"/>
      <c r="J41505" s="309"/>
    </row>
    <row r="41506">
      <c r="B41506" s="309"/>
      <c r="C41506" s="309"/>
      <c r="I41506" s="309"/>
      <c r="J41506" s="309"/>
    </row>
    <row r="41507">
      <c r="B41507" s="309"/>
      <c r="C41507" s="309"/>
      <c r="I41507" s="309"/>
      <c r="J41507" s="309"/>
    </row>
    <row r="41508">
      <c r="B41508" s="309"/>
      <c r="C41508" s="309"/>
      <c r="I41508" s="309"/>
      <c r="J41508" s="309"/>
    </row>
    <row r="41509">
      <c r="B41509" s="309"/>
      <c r="C41509" s="309"/>
      <c r="I41509" s="309"/>
      <c r="J41509" s="309"/>
    </row>
    <row r="41510">
      <c r="B41510" s="309"/>
      <c r="C41510" s="309"/>
      <c r="I41510" s="309"/>
      <c r="J41510" s="309"/>
    </row>
    <row r="41511">
      <c r="B41511" s="309"/>
      <c r="C41511" s="309"/>
      <c r="I41511" s="309"/>
      <c r="J41511" s="309"/>
    </row>
    <row r="41512">
      <c r="B41512" s="309"/>
      <c r="C41512" s="309"/>
      <c r="I41512" s="309"/>
      <c r="J41512" s="309"/>
    </row>
    <row r="41513">
      <c r="B41513" s="309"/>
      <c r="C41513" s="309"/>
      <c r="I41513" s="309"/>
      <c r="J41513" s="309"/>
    </row>
    <row r="41514">
      <c r="B41514" s="309"/>
      <c r="C41514" s="309"/>
      <c r="I41514" s="309"/>
      <c r="J41514" s="309"/>
    </row>
    <row r="41515">
      <c r="B41515" s="309"/>
      <c r="C41515" s="309"/>
      <c r="I41515" s="309"/>
      <c r="J41515" s="309"/>
    </row>
    <row r="41516">
      <c r="B41516" s="309"/>
      <c r="C41516" s="309"/>
      <c r="I41516" s="309"/>
      <c r="J41516" s="309"/>
    </row>
    <row r="41517">
      <c r="B41517" s="309"/>
      <c r="C41517" s="309"/>
      <c r="I41517" s="309"/>
      <c r="J41517" s="309"/>
    </row>
    <row r="41518">
      <c r="B41518" s="309"/>
      <c r="C41518" s="309"/>
      <c r="I41518" s="309"/>
      <c r="J41518" s="309"/>
    </row>
    <row r="41519">
      <c r="B41519" s="309"/>
      <c r="C41519" s="309"/>
      <c r="I41519" s="309"/>
      <c r="J41519" s="309"/>
    </row>
    <row r="41520">
      <c r="B41520" s="309"/>
      <c r="C41520" s="309"/>
      <c r="I41520" s="309"/>
      <c r="J41520" s="309"/>
    </row>
    <row r="41521">
      <c r="B41521" s="309"/>
      <c r="C41521" s="309"/>
      <c r="I41521" s="309"/>
      <c r="J41521" s="309"/>
    </row>
    <row r="41522">
      <c r="B41522" s="309"/>
      <c r="C41522" s="309"/>
      <c r="I41522" s="309"/>
      <c r="J41522" s="309"/>
    </row>
    <row r="41523">
      <c r="B41523" s="309"/>
      <c r="C41523" s="309"/>
      <c r="I41523" s="309"/>
      <c r="J41523" s="309"/>
    </row>
    <row r="41524">
      <c r="B41524" s="309"/>
      <c r="C41524" s="309"/>
      <c r="I41524" s="309"/>
      <c r="J41524" s="309"/>
    </row>
    <row r="41525">
      <c r="B41525" s="309"/>
      <c r="C41525" s="309"/>
      <c r="I41525" s="309"/>
      <c r="J41525" s="309"/>
    </row>
    <row r="41526">
      <c r="B41526" s="309"/>
      <c r="C41526" s="309"/>
      <c r="I41526" s="309"/>
      <c r="J41526" s="309"/>
    </row>
    <row r="41527">
      <c r="B41527" s="309"/>
      <c r="C41527" s="309"/>
      <c r="I41527" s="309"/>
      <c r="J41527" s="309"/>
    </row>
    <row r="41528">
      <c r="B41528" s="309"/>
      <c r="C41528" s="309"/>
      <c r="I41528" s="309"/>
      <c r="J41528" s="309"/>
    </row>
    <row r="41529">
      <c r="B41529" s="309"/>
      <c r="C41529" s="309"/>
      <c r="I41529" s="309"/>
      <c r="J41529" s="309"/>
    </row>
    <row r="41530">
      <c r="B41530" s="309"/>
      <c r="C41530" s="309"/>
      <c r="I41530" s="309"/>
      <c r="J41530" s="309"/>
    </row>
    <row r="41531">
      <c r="B41531" s="309"/>
      <c r="C41531" s="309"/>
      <c r="I41531" s="309"/>
      <c r="J41531" s="309"/>
    </row>
    <row r="41532">
      <c r="B41532" s="309"/>
      <c r="C41532" s="309"/>
      <c r="I41532" s="309"/>
      <c r="J41532" s="309"/>
    </row>
    <row r="41533">
      <c r="B41533" s="309"/>
      <c r="C41533" s="309"/>
      <c r="I41533" s="309"/>
      <c r="J41533" s="309"/>
    </row>
    <row r="41534">
      <c r="B41534" s="309"/>
      <c r="C41534" s="309"/>
      <c r="I41534" s="309"/>
      <c r="J41534" s="309"/>
    </row>
    <row r="41535">
      <c r="B41535" s="309"/>
      <c r="C41535" s="309"/>
      <c r="I41535" s="309"/>
      <c r="J41535" s="309"/>
    </row>
    <row r="41536">
      <c r="B41536" s="309"/>
      <c r="C41536" s="309"/>
      <c r="I41536" s="309"/>
      <c r="J41536" s="309"/>
    </row>
    <row r="41537">
      <c r="B41537" s="309"/>
      <c r="C41537" s="309"/>
      <c r="I41537" s="309"/>
      <c r="J41537" s="309"/>
    </row>
    <row r="41538">
      <c r="B41538" s="309"/>
      <c r="C41538" s="309"/>
      <c r="I41538" s="309"/>
      <c r="J41538" s="309"/>
    </row>
    <row r="41539">
      <c r="B41539" s="309"/>
      <c r="C41539" s="309"/>
      <c r="I41539" s="309"/>
      <c r="J41539" s="309"/>
    </row>
    <row r="41540">
      <c r="B41540" s="309"/>
      <c r="C41540" s="309"/>
      <c r="I41540" s="309"/>
      <c r="J41540" s="309"/>
    </row>
    <row r="41541">
      <c r="B41541" s="309"/>
      <c r="C41541" s="309"/>
      <c r="I41541" s="309"/>
      <c r="J41541" s="309"/>
    </row>
    <row r="41542">
      <c r="B41542" s="309"/>
      <c r="C41542" s="309"/>
      <c r="I41542" s="309"/>
      <c r="J41542" s="309"/>
    </row>
    <row r="41543">
      <c r="B41543" s="309"/>
      <c r="C41543" s="309"/>
      <c r="I41543" s="309"/>
      <c r="J41543" s="309"/>
    </row>
    <row r="41544">
      <c r="B41544" s="309"/>
      <c r="C41544" s="309"/>
      <c r="I41544" s="309"/>
      <c r="J41544" s="309"/>
    </row>
    <row r="41545">
      <c r="B41545" s="309"/>
      <c r="C41545" s="309"/>
      <c r="I41545" s="309"/>
      <c r="J41545" s="309"/>
    </row>
    <row r="41546">
      <c r="B41546" s="309"/>
      <c r="C41546" s="309"/>
      <c r="I41546" s="309"/>
      <c r="J41546" s="309"/>
    </row>
    <row r="41547">
      <c r="B41547" s="309"/>
      <c r="C41547" s="309"/>
      <c r="I41547" s="309"/>
      <c r="J41547" s="309"/>
    </row>
    <row r="41548">
      <c r="B41548" s="309"/>
      <c r="C41548" s="309"/>
      <c r="I41548" s="309"/>
      <c r="J41548" s="309"/>
    </row>
    <row r="41549">
      <c r="B41549" s="309"/>
      <c r="C41549" s="309"/>
      <c r="I41549" s="309"/>
      <c r="J41549" s="309"/>
    </row>
    <row r="41550">
      <c r="B41550" s="309"/>
      <c r="C41550" s="309"/>
      <c r="I41550" s="309"/>
      <c r="J41550" s="309"/>
    </row>
    <row r="41551">
      <c r="B41551" s="309"/>
      <c r="C41551" s="309"/>
      <c r="I41551" s="309"/>
      <c r="J41551" s="309"/>
    </row>
    <row r="41552">
      <c r="B41552" s="309"/>
      <c r="C41552" s="309"/>
      <c r="I41552" s="309"/>
      <c r="J41552" s="309"/>
    </row>
    <row r="41553">
      <c r="B41553" s="309"/>
      <c r="C41553" s="309"/>
      <c r="I41553" s="309"/>
      <c r="J41553" s="309"/>
    </row>
    <row r="41554">
      <c r="B41554" s="309"/>
      <c r="C41554" s="309"/>
      <c r="I41554" s="309"/>
      <c r="J41554" s="309"/>
    </row>
    <row r="41555">
      <c r="B41555" s="309"/>
      <c r="C41555" s="309"/>
      <c r="I41555" s="309"/>
      <c r="J41555" s="309"/>
    </row>
    <row r="41556">
      <c r="B41556" s="309"/>
      <c r="C41556" s="309"/>
      <c r="I41556" s="309"/>
      <c r="J41556" s="309"/>
    </row>
    <row r="41557">
      <c r="B41557" s="309"/>
      <c r="C41557" s="309"/>
      <c r="I41557" s="309"/>
      <c r="J41557" s="309"/>
    </row>
    <row r="41558">
      <c r="B41558" s="309"/>
      <c r="C41558" s="309"/>
      <c r="I41558" s="309"/>
      <c r="J41558" s="309"/>
    </row>
    <row r="41559">
      <c r="B41559" s="309"/>
      <c r="C41559" s="309"/>
      <c r="I41559" s="309"/>
      <c r="J41559" s="309"/>
    </row>
    <row r="41560">
      <c r="B41560" s="309"/>
      <c r="C41560" s="309"/>
      <c r="I41560" s="309"/>
      <c r="J41560" s="309"/>
    </row>
    <row r="41561">
      <c r="B41561" s="309"/>
      <c r="C41561" s="309"/>
      <c r="I41561" s="309"/>
      <c r="J41561" s="309"/>
    </row>
    <row r="41562">
      <c r="B41562" s="309"/>
      <c r="C41562" s="309"/>
      <c r="I41562" s="309"/>
      <c r="J41562" s="309"/>
    </row>
    <row r="41563">
      <c r="B41563" s="309"/>
      <c r="C41563" s="309"/>
      <c r="I41563" s="309"/>
      <c r="J41563" s="309"/>
    </row>
    <row r="41564">
      <c r="B41564" s="309"/>
      <c r="C41564" s="309"/>
      <c r="I41564" s="309"/>
      <c r="J41564" s="309"/>
    </row>
    <row r="41565">
      <c r="B41565" s="309"/>
      <c r="C41565" s="309"/>
      <c r="I41565" s="309"/>
      <c r="J41565" s="309"/>
    </row>
    <row r="41566">
      <c r="B41566" s="309"/>
      <c r="C41566" s="309"/>
      <c r="I41566" s="309"/>
      <c r="J41566" s="309"/>
    </row>
    <row r="41567">
      <c r="B41567" s="309"/>
      <c r="C41567" s="309"/>
      <c r="I41567" s="309"/>
      <c r="J41567" s="309"/>
    </row>
    <row r="41568">
      <c r="B41568" s="309"/>
      <c r="C41568" s="309"/>
      <c r="I41568" s="309"/>
      <c r="J41568" s="309"/>
    </row>
    <row r="41569">
      <c r="B41569" s="309"/>
      <c r="C41569" s="309"/>
      <c r="I41569" s="309"/>
      <c r="J41569" s="309"/>
    </row>
    <row r="41570">
      <c r="B41570" s="309"/>
      <c r="C41570" s="309"/>
      <c r="I41570" s="309"/>
      <c r="J41570" s="309"/>
    </row>
    <row r="41571">
      <c r="B41571" s="309"/>
      <c r="C41571" s="309"/>
      <c r="I41571" s="309"/>
      <c r="J41571" s="309"/>
    </row>
    <row r="41572">
      <c r="B41572" s="309"/>
      <c r="C41572" s="309"/>
      <c r="I41572" s="309"/>
      <c r="J41572" s="309"/>
    </row>
    <row r="41573">
      <c r="B41573" s="309"/>
      <c r="C41573" s="309"/>
      <c r="I41573" s="309"/>
      <c r="J41573" s="309"/>
    </row>
    <row r="41574">
      <c r="B41574" s="309"/>
      <c r="C41574" s="309"/>
      <c r="I41574" s="309"/>
      <c r="J41574" s="309"/>
    </row>
    <row r="41575">
      <c r="B41575" s="309"/>
      <c r="C41575" s="309"/>
      <c r="I41575" s="309"/>
      <c r="J41575" s="309"/>
    </row>
    <row r="41576">
      <c r="B41576" s="309"/>
      <c r="C41576" s="309"/>
      <c r="I41576" s="309"/>
      <c r="J41576" s="309"/>
    </row>
    <row r="41577">
      <c r="B41577" s="309"/>
      <c r="C41577" s="309"/>
      <c r="I41577" s="309"/>
      <c r="J41577" s="309"/>
    </row>
    <row r="41578">
      <c r="B41578" s="309"/>
      <c r="C41578" s="309"/>
      <c r="I41578" s="309"/>
      <c r="J41578" s="309"/>
    </row>
    <row r="41579">
      <c r="B41579" s="309"/>
      <c r="C41579" s="309"/>
      <c r="I41579" s="309"/>
      <c r="J41579" s="309"/>
    </row>
    <row r="41580">
      <c r="B41580" s="309"/>
      <c r="C41580" s="309"/>
      <c r="I41580" s="309"/>
      <c r="J41580" s="309"/>
    </row>
    <row r="41581">
      <c r="B41581" s="309"/>
      <c r="C41581" s="309"/>
      <c r="I41581" s="309"/>
      <c r="J41581" s="309"/>
    </row>
    <row r="41582">
      <c r="B41582" s="309"/>
      <c r="C41582" s="309"/>
      <c r="I41582" s="309"/>
      <c r="J41582" s="309"/>
    </row>
    <row r="41583">
      <c r="B41583" s="309"/>
      <c r="C41583" s="309"/>
      <c r="I41583" s="309"/>
      <c r="J41583" s="309"/>
    </row>
    <row r="41584">
      <c r="B41584" s="309"/>
      <c r="C41584" s="309"/>
      <c r="I41584" s="309"/>
      <c r="J41584" s="309"/>
    </row>
    <row r="41585">
      <c r="B41585" s="309"/>
      <c r="C41585" s="309"/>
      <c r="I41585" s="309"/>
      <c r="J41585" s="309"/>
    </row>
    <row r="41586">
      <c r="B41586" s="309"/>
      <c r="C41586" s="309"/>
      <c r="I41586" s="309"/>
      <c r="J41586" s="309"/>
    </row>
    <row r="41587">
      <c r="B41587" s="309"/>
      <c r="C41587" s="309"/>
      <c r="I41587" s="309"/>
      <c r="J41587" s="309"/>
    </row>
    <row r="41588">
      <c r="B41588" s="309"/>
      <c r="C41588" s="309"/>
      <c r="I41588" s="309"/>
      <c r="J41588" s="309"/>
    </row>
    <row r="41589">
      <c r="B41589" s="309"/>
      <c r="C41589" s="309"/>
      <c r="I41589" s="309"/>
      <c r="J41589" s="309"/>
    </row>
    <row r="41590">
      <c r="B41590" s="309"/>
      <c r="C41590" s="309"/>
      <c r="I41590" s="309"/>
      <c r="J41590" s="309"/>
    </row>
    <row r="41591">
      <c r="B41591" s="309"/>
      <c r="C41591" s="309"/>
      <c r="I41591" s="309"/>
      <c r="J41591" s="309"/>
    </row>
    <row r="41592">
      <c r="B41592" s="309"/>
      <c r="C41592" s="309"/>
      <c r="I41592" s="309"/>
      <c r="J41592" s="309"/>
    </row>
    <row r="41593">
      <c r="B41593" s="309"/>
      <c r="C41593" s="309"/>
      <c r="I41593" s="309"/>
      <c r="J41593" s="309"/>
    </row>
    <row r="41594">
      <c r="B41594" s="309"/>
      <c r="C41594" s="309"/>
      <c r="I41594" s="309"/>
      <c r="J41594" s="309"/>
    </row>
    <row r="41595">
      <c r="B41595" s="309"/>
      <c r="C41595" s="309"/>
      <c r="I41595" s="309"/>
      <c r="J41595" s="309"/>
    </row>
    <row r="41596">
      <c r="B41596" s="309"/>
      <c r="C41596" s="309"/>
      <c r="I41596" s="309"/>
      <c r="J41596" s="309"/>
    </row>
    <row r="41597">
      <c r="B41597" s="309"/>
      <c r="C41597" s="309"/>
      <c r="I41597" s="309"/>
      <c r="J41597" s="309"/>
    </row>
    <row r="41598">
      <c r="B41598" s="309"/>
      <c r="C41598" s="309"/>
      <c r="I41598" s="309"/>
      <c r="J41598" s="309"/>
    </row>
    <row r="41599">
      <c r="B41599" s="309"/>
      <c r="C41599" s="309"/>
      <c r="I41599" s="309"/>
      <c r="J41599" s="309"/>
    </row>
    <row r="41600">
      <c r="B41600" s="309"/>
      <c r="C41600" s="309"/>
      <c r="I41600" s="309"/>
      <c r="J41600" s="309"/>
    </row>
    <row r="41601">
      <c r="B41601" s="309"/>
      <c r="C41601" s="309"/>
      <c r="I41601" s="309"/>
      <c r="J41601" s="309"/>
    </row>
    <row r="41602">
      <c r="B41602" s="309"/>
      <c r="C41602" s="309"/>
      <c r="I41602" s="309"/>
      <c r="J41602" s="309"/>
    </row>
    <row r="41603">
      <c r="B41603" s="309"/>
      <c r="C41603" s="309"/>
      <c r="I41603" s="309"/>
      <c r="J41603" s="309"/>
    </row>
    <row r="41604">
      <c r="B41604" s="309"/>
      <c r="C41604" s="309"/>
      <c r="I41604" s="309"/>
      <c r="J41604" s="309"/>
    </row>
    <row r="41605">
      <c r="B41605" s="309"/>
      <c r="C41605" s="309"/>
      <c r="I41605" s="309"/>
      <c r="J41605" s="309"/>
    </row>
    <row r="41606">
      <c r="B41606" s="309"/>
      <c r="C41606" s="309"/>
      <c r="I41606" s="309"/>
      <c r="J41606" s="309"/>
    </row>
    <row r="41607">
      <c r="B41607" s="309"/>
      <c r="C41607" s="309"/>
      <c r="I41607" s="309"/>
      <c r="J41607" s="309"/>
    </row>
    <row r="41608">
      <c r="B41608" s="309"/>
      <c r="C41608" s="309"/>
      <c r="I41608" s="309"/>
      <c r="J41608" s="309"/>
    </row>
    <row r="41609">
      <c r="B41609" s="309"/>
      <c r="C41609" s="309"/>
      <c r="I41609" s="309"/>
      <c r="J41609" s="309"/>
    </row>
    <row r="41610">
      <c r="B41610" s="309"/>
      <c r="C41610" s="309"/>
      <c r="I41610" s="309"/>
      <c r="J41610" s="309"/>
    </row>
    <row r="41611">
      <c r="B41611" s="309"/>
      <c r="C41611" s="309"/>
      <c r="I41611" s="309"/>
      <c r="J41611" s="309"/>
    </row>
    <row r="41612">
      <c r="B41612" s="309"/>
      <c r="C41612" s="309"/>
      <c r="I41612" s="309"/>
      <c r="J41612" s="309"/>
    </row>
    <row r="41613">
      <c r="B41613" s="309"/>
      <c r="C41613" s="309"/>
      <c r="I41613" s="309"/>
      <c r="J41613" s="309"/>
    </row>
    <row r="41614">
      <c r="B41614" s="309"/>
      <c r="C41614" s="309"/>
      <c r="I41614" s="309"/>
      <c r="J41614" s="309"/>
    </row>
    <row r="41615">
      <c r="B41615" s="309"/>
      <c r="C41615" s="309"/>
      <c r="I41615" s="309"/>
      <c r="J41615" s="309"/>
    </row>
    <row r="41616">
      <c r="B41616" s="309"/>
      <c r="C41616" s="309"/>
      <c r="I41616" s="309"/>
      <c r="J41616" s="309"/>
    </row>
    <row r="41617">
      <c r="B41617" s="309"/>
      <c r="C41617" s="309"/>
      <c r="I41617" s="309"/>
      <c r="J41617" s="309"/>
    </row>
    <row r="41618">
      <c r="B41618" s="309"/>
      <c r="C41618" s="309"/>
      <c r="I41618" s="309"/>
      <c r="J41618" s="309"/>
    </row>
    <row r="41619">
      <c r="B41619" s="309"/>
      <c r="C41619" s="309"/>
      <c r="I41619" s="309"/>
      <c r="J41619" s="309"/>
    </row>
    <row r="41620">
      <c r="B41620" s="309"/>
      <c r="C41620" s="309"/>
      <c r="I41620" s="309"/>
      <c r="J41620" s="309"/>
    </row>
    <row r="41621">
      <c r="B41621" s="309"/>
      <c r="C41621" s="309"/>
      <c r="I41621" s="309"/>
      <c r="J41621" s="309"/>
    </row>
    <row r="41622">
      <c r="B41622" s="309"/>
      <c r="C41622" s="309"/>
      <c r="I41622" s="309"/>
      <c r="J41622" s="309"/>
    </row>
    <row r="41623">
      <c r="B41623" s="309"/>
      <c r="C41623" s="309"/>
      <c r="I41623" s="309"/>
      <c r="J41623" s="309"/>
    </row>
    <row r="41624">
      <c r="B41624" s="309"/>
      <c r="C41624" s="309"/>
      <c r="I41624" s="309"/>
      <c r="J41624" s="309"/>
    </row>
    <row r="41625">
      <c r="B41625" s="309"/>
      <c r="C41625" s="309"/>
      <c r="I41625" s="309"/>
      <c r="J41625" s="309"/>
    </row>
    <row r="41626">
      <c r="B41626" s="309"/>
      <c r="C41626" s="309"/>
      <c r="I41626" s="309"/>
      <c r="J41626" s="309"/>
    </row>
    <row r="41627">
      <c r="B41627" s="309"/>
      <c r="C41627" s="309"/>
      <c r="I41627" s="309"/>
      <c r="J41627" s="309"/>
    </row>
    <row r="41628">
      <c r="B41628" s="309"/>
      <c r="C41628" s="309"/>
      <c r="I41628" s="309"/>
      <c r="J41628" s="309"/>
    </row>
    <row r="41629">
      <c r="B41629" s="309"/>
      <c r="C41629" s="309"/>
      <c r="I41629" s="309"/>
      <c r="J41629" s="309"/>
    </row>
    <row r="41630">
      <c r="B41630" s="309"/>
      <c r="C41630" s="309"/>
      <c r="I41630" s="309"/>
      <c r="J41630" s="309"/>
    </row>
    <row r="41631">
      <c r="B41631" s="309"/>
      <c r="C41631" s="309"/>
      <c r="I41631" s="309"/>
      <c r="J41631" s="309"/>
    </row>
    <row r="41632">
      <c r="B41632" s="309"/>
      <c r="C41632" s="309"/>
      <c r="I41632" s="309"/>
      <c r="J41632" s="309"/>
    </row>
    <row r="41633">
      <c r="B41633" s="309"/>
      <c r="C41633" s="309"/>
      <c r="I41633" s="309"/>
      <c r="J41633" s="309"/>
    </row>
    <row r="41634">
      <c r="B41634" s="309"/>
      <c r="C41634" s="309"/>
      <c r="I41634" s="309"/>
      <c r="J41634" s="309"/>
    </row>
    <row r="41635">
      <c r="B41635" s="309"/>
      <c r="C41635" s="309"/>
      <c r="I41635" s="309"/>
      <c r="J41635" s="309"/>
    </row>
    <row r="41636">
      <c r="B41636" s="309"/>
      <c r="C41636" s="309"/>
      <c r="I41636" s="309"/>
      <c r="J41636" s="309"/>
    </row>
    <row r="41637">
      <c r="B41637" s="309"/>
      <c r="C41637" s="309"/>
      <c r="I41637" s="309"/>
      <c r="J41637" s="309"/>
    </row>
    <row r="41638">
      <c r="B41638" s="309"/>
      <c r="C41638" s="309"/>
      <c r="I41638" s="309"/>
      <c r="J41638" s="309"/>
    </row>
    <row r="41639">
      <c r="B41639" s="309"/>
      <c r="C41639" s="309"/>
      <c r="I41639" s="309"/>
      <c r="J41639" s="309"/>
    </row>
    <row r="41640">
      <c r="B41640" s="309"/>
      <c r="C41640" s="309"/>
      <c r="I41640" s="309"/>
      <c r="J41640" s="309"/>
    </row>
    <row r="41641">
      <c r="B41641" s="309"/>
      <c r="C41641" s="309"/>
      <c r="I41641" s="309"/>
      <c r="J41641" s="309"/>
    </row>
    <row r="41642">
      <c r="B41642" s="309"/>
      <c r="C41642" s="309"/>
      <c r="I41642" s="309"/>
      <c r="J41642" s="309"/>
    </row>
    <row r="41643">
      <c r="B41643" s="309"/>
      <c r="C41643" s="309"/>
      <c r="I41643" s="309"/>
      <c r="J41643" s="309"/>
    </row>
    <row r="41644">
      <c r="B41644" s="309"/>
      <c r="C41644" s="309"/>
      <c r="I41644" s="309"/>
      <c r="J41644" s="309"/>
    </row>
    <row r="41645">
      <c r="B41645" s="309"/>
      <c r="C41645" s="309"/>
      <c r="I41645" s="309"/>
      <c r="J41645" s="309"/>
    </row>
    <row r="41646">
      <c r="B41646" s="309"/>
      <c r="C41646" s="309"/>
      <c r="I41646" s="309"/>
      <c r="J41646" s="309"/>
    </row>
    <row r="41647">
      <c r="B41647" s="309"/>
      <c r="C41647" s="309"/>
      <c r="I41647" s="309"/>
      <c r="J41647" s="309"/>
    </row>
    <row r="41648">
      <c r="B41648" s="309"/>
      <c r="C41648" s="309"/>
      <c r="I41648" s="309"/>
      <c r="J41648" s="309"/>
    </row>
    <row r="41649">
      <c r="B41649" s="309"/>
      <c r="C41649" s="309"/>
      <c r="I41649" s="309"/>
      <c r="J41649" s="309"/>
    </row>
    <row r="41650">
      <c r="B41650" s="309"/>
      <c r="C41650" s="309"/>
      <c r="I41650" s="309"/>
      <c r="J41650" s="309"/>
    </row>
    <row r="41651">
      <c r="B41651" s="309"/>
      <c r="C41651" s="309"/>
      <c r="I41651" s="309"/>
      <c r="J41651" s="309"/>
    </row>
    <row r="41652">
      <c r="B41652" s="309"/>
      <c r="C41652" s="309"/>
      <c r="I41652" s="309"/>
      <c r="J41652" s="309"/>
    </row>
    <row r="41653">
      <c r="B41653" s="309"/>
      <c r="C41653" s="309"/>
      <c r="I41653" s="309"/>
      <c r="J41653" s="309"/>
    </row>
    <row r="41654">
      <c r="B41654" s="309"/>
      <c r="C41654" s="309"/>
      <c r="I41654" s="309"/>
      <c r="J41654" s="309"/>
    </row>
    <row r="41655">
      <c r="B41655" s="309"/>
      <c r="C41655" s="309"/>
      <c r="I41655" s="309"/>
      <c r="J41655" s="309"/>
    </row>
    <row r="41656">
      <c r="B41656" s="309"/>
      <c r="C41656" s="309"/>
      <c r="I41656" s="309"/>
      <c r="J41656" s="309"/>
    </row>
    <row r="41657">
      <c r="B41657" s="309"/>
      <c r="C41657" s="309"/>
      <c r="I41657" s="309"/>
      <c r="J41657" s="309"/>
    </row>
    <row r="41658">
      <c r="B41658" s="309"/>
      <c r="C41658" s="309"/>
      <c r="I41658" s="309"/>
      <c r="J41658" s="309"/>
    </row>
    <row r="41659">
      <c r="B41659" s="309"/>
      <c r="C41659" s="309"/>
      <c r="I41659" s="309"/>
      <c r="J41659" s="309"/>
    </row>
    <row r="41660">
      <c r="B41660" s="309"/>
      <c r="C41660" s="309"/>
      <c r="I41660" s="309"/>
      <c r="J41660" s="309"/>
    </row>
    <row r="41661">
      <c r="B41661" s="309"/>
      <c r="C41661" s="309"/>
      <c r="I41661" s="309"/>
      <c r="J41661" s="309"/>
    </row>
    <row r="41662">
      <c r="B41662" s="309"/>
      <c r="C41662" s="309"/>
      <c r="I41662" s="309"/>
      <c r="J41662" s="309"/>
    </row>
    <row r="41663">
      <c r="B41663" s="309"/>
      <c r="C41663" s="309"/>
      <c r="I41663" s="309"/>
      <c r="J41663" s="309"/>
    </row>
    <row r="41664">
      <c r="B41664" s="309"/>
      <c r="C41664" s="309"/>
      <c r="I41664" s="309"/>
      <c r="J41664" s="309"/>
    </row>
    <row r="41665">
      <c r="B41665" s="309"/>
      <c r="C41665" s="309"/>
      <c r="I41665" s="309"/>
      <c r="J41665" s="309"/>
    </row>
    <row r="41666">
      <c r="B41666" s="309"/>
      <c r="C41666" s="309"/>
      <c r="I41666" s="309"/>
      <c r="J41666" s="309"/>
    </row>
    <row r="41667">
      <c r="B41667" s="309"/>
      <c r="C41667" s="309"/>
      <c r="I41667" s="309"/>
      <c r="J41667" s="309"/>
    </row>
    <row r="41668">
      <c r="B41668" s="309"/>
      <c r="C41668" s="309"/>
      <c r="I41668" s="309"/>
      <c r="J41668" s="309"/>
    </row>
    <row r="41669">
      <c r="B41669" s="309"/>
      <c r="C41669" s="309"/>
      <c r="I41669" s="309"/>
      <c r="J41669" s="309"/>
    </row>
    <row r="41670">
      <c r="B41670" s="309"/>
      <c r="C41670" s="309"/>
      <c r="I41670" s="309"/>
      <c r="J41670" s="309"/>
    </row>
    <row r="41671">
      <c r="B41671" s="309"/>
      <c r="C41671" s="309"/>
      <c r="I41671" s="309"/>
      <c r="J41671" s="309"/>
    </row>
    <row r="41672">
      <c r="B41672" s="309"/>
      <c r="C41672" s="309"/>
      <c r="I41672" s="309"/>
      <c r="J41672" s="309"/>
    </row>
    <row r="41673">
      <c r="B41673" s="309"/>
      <c r="C41673" s="309"/>
      <c r="I41673" s="309"/>
      <c r="J41673" s="309"/>
    </row>
    <row r="41674">
      <c r="B41674" s="309"/>
      <c r="C41674" s="309"/>
      <c r="I41674" s="309"/>
      <c r="J41674" s="309"/>
    </row>
    <row r="41675">
      <c r="B41675" s="309"/>
      <c r="C41675" s="309"/>
      <c r="I41675" s="309"/>
      <c r="J41675" s="309"/>
    </row>
    <row r="41676">
      <c r="B41676" s="309"/>
      <c r="C41676" s="309"/>
      <c r="I41676" s="309"/>
      <c r="J41676" s="309"/>
    </row>
    <row r="41677">
      <c r="B41677" s="309"/>
      <c r="C41677" s="309"/>
      <c r="I41677" s="309"/>
      <c r="J41677" s="309"/>
    </row>
    <row r="41678">
      <c r="B41678" s="309"/>
      <c r="C41678" s="309"/>
      <c r="I41678" s="309"/>
      <c r="J41678" s="309"/>
    </row>
    <row r="41679">
      <c r="B41679" s="309"/>
      <c r="C41679" s="309"/>
      <c r="I41679" s="309"/>
      <c r="J41679" s="309"/>
    </row>
    <row r="41680">
      <c r="B41680" s="309"/>
      <c r="C41680" s="309"/>
      <c r="I41680" s="309"/>
      <c r="J41680" s="309"/>
    </row>
    <row r="41681">
      <c r="B41681" s="309"/>
      <c r="C41681" s="309"/>
      <c r="I41681" s="309"/>
      <c r="J41681" s="309"/>
    </row>
    <row r="41682">
      <c r="B41682" s="309"/>
      <c r="C41682" s="309"/>
      <c r="I41682" s="309"/>
      <c r="J41682" s="309"/>
    </row>
    <row r="41683">
      <c r="B41683" s="309"/>
      <c r="C41683" s="309"/>
      <c r="I41683" s="309"/>
      <c r="J41683" s="309"/>
    </row>
    <row r="41684">
      <c r="B41684" s="309"/>
      <c r="C41684" s="309"/>
      <c r="I41684" s="309"/>
      <c r="J41684" s="309"/>
    </row>
    <row r="41685">
      <c r="B41685" s="309"/>
      <c r="C41685" s="309"/>
      <c r="I41685" s="309"/>
      <c r="J41685" s="309"/>
    </row>
    <row r="41686">
      <c r="B41686" s="309"/>
      <c r="C41686" s="309"/>
      <c r="I41686" s="309"/>
      <c r="J41686" s="309"/>
    </row>
    <row r="41687">
      <c r="B41687" s="309"/>
      <c r="C41687" s="309"/>
      <c r="I41687" s="309"/>
      <c r="J41687" s="309"/>
    </row>
    <row r="41688">
      <c r="B41688" s="309"/>
      <c r="C41688" s="309"/>
      <c r="I41688" s="309"/>
      <c r="J41688" s="309"/>
    </row>
    <row r="41689">
      <c r="B41689" s="309"/>
      <c r="C41689" s="309"/>
      <c r="I41689" s="309"/>
      <c r="J41689" s="309"/>
    </row>
    <row r="41690">
      <c r="B41690" s="309"/>
      <c r="C41690" s="309"/>
      <c r="I41690" s="309"/>
      <c r="J41690" s="309"/>
    </row>
    <row r="41691">
      <c r="B41691" s="309"/>
      <c r="C41691" s="309"/>
      <c r="I41691" s="309"/>
      <c r="J41691" s="309"/>
    </row>
    <row r="41692">
      <c r="B41692" s="309"/>
      <c r="C41692" s="309"/>
      <c r="I41692" s="309"/>
      <c r="J41692" s="309"/>
    </row>
    <row r="41693">
      <c r="B41693" s="309"/>
      <c r="C41693" s="309"/>
      <c r="I41693" s="309"/>
      <c r="J41693" s="309"/>
    </row>
    <row r="41694">
      <c r="B41694" s="309"/>
      <c r="C41694" s="309"/>
      <c r="I41694" s="309"/>
      <c r="J41694" s="309"/>
    </row>
    <row r="41695">
      <c r="B41695" s="309"/>
      <c r="C41695" s="309"/>
      <c r="I41695" s="309"/>
      <c r="J41695" s="309"/>
    </row>
    <row r="41696">
      <c r="B41696" s="309"/>
      <c r="C41696" s="309"/>
      <c r="I41696" s="309"/>
      <c r="J41696" s="309"/>
    </row>
    <row r="41697">
      <c r="B41697" s="309"/>
      <c r="C41697" s="309"/>
      <c r="I41697" s="309"/>
      <c r="J41697" s="309"/>
    </row>
    <row r="41698">
      <c r="B41698" s="309"/>
      <c r="C41698" s="309"/>
      <c r="I41698" s="309"/>
      <c r="J41698" s="309"/>
    </row>
    <row r="41699">
      <c r="B41699" s="309"/>
      <c r="C41699" s="309"/>
      <c r="I41699" s="309"/>
      <c r="J41699" s="309"/>
    </row>
    <row r="41700">
      <c r="B41700" s="309"/>
      <c r="C41700" s="309"/>
      <c r="I41700" s="309"/>
      <c r="J41700" s="309"/>
    </row>
    <row r="41701">
      <c r="B41701" s="309"/>
      <c r="C41701" s="309"/>
      <c r="I41701" s="309"/>
      <c r="J41701" s="309"/>
    </row>
    <row r="41702">
      <c r="B41702" s="309"/>
      <c r="C41702" s="309"/>
      <c r="I41702" s="309"/>
      <c r="J41702" s="309"/>
    </row>
    <row r="41703">
      <c r="B41703" s="309"/>
      <c r="C41703" s="309"/>
      <c r="I41703" s="309"/>
      <c r="J41703" s="309"/>
    </row>
    <row r="41704">
      <c r="B41704" s="309"/>
      <c r="C41704" s="309"/>
      <c r="I41704" s="309"/>
      <c r="J41704" s="309"/>
    </row>
    <row r="41705">
      <c r="B41705" s="309"/>
      <c r="C41705" s="309"/>
      <c r="I41705" s="309"/>
      <c r="J41705" s="309"/>
    </row>
    <row r="41706">
      <c r="B41706" s="309"/>
      <c r="C41706" s="309"/>
      <c r="I41706" s="309"/>
      <c r="J41706" s="309"/>
    </row>
    <row r="41707">
      <c r="B41707" s="309"/>
      <c r="C41707" s="309"/>
      <c r="I41707" s="309"/>
      <c r="J41707" s="309"/>
    </row>
    <row r="41708">
      <c r="B41708" s="309"/>
      <c r="C41708" s="309"/>
      <c r="I41708" s="309"/>
      <c r="J41708" s="309"/>
    </row>
    <row r="41709">
      <c r="B41709" s="309"/>
      <c r="C41709" s="309"/>
      <c r="I41709" s="309"/>
      <c r="J41709" s="309"/>
    </row>
    <row r="41710">
      <c r="B41710" s="309"/>
      <c r="C41710" s="309"/>
      <c r="I41710" s="309"/>
      <c r="J41710" s="309"/>
    </row>
    <row r="41711">
      <c r="B41711" s="309"/>
      <c r="C41711" s="309"/>
      <c r="I41711" s="309"/>
      <c r="J41711" s="309"/>
    </row>
    <row r="41712">
      <c r="B41712" s="309"/>
      <c r="C41712" s="309"/>
      <c r="I41712" s="309"/>
      <c r="J41712" s="309"/>
    </row>
    <row r="41713">
      <c r="B41713" s="309"/>
      <c r="C41713" s="309"/>
      <c r="I41713" s="309"/>
      <c r="J41713" s="309"/>
    </row>
    <row r="41714">
      <c r="B41714" s="309"/>
      <c r="C41714" s="309"/>
      <c r="I41714" s="309"/>
      <c r="J41714" s="309"/>
    </row>
    <row r="41715">
      <c r="B41715" s="309"/>
      <c r="C41715" s="309"/>
      <c r="I41715" s="309"/>
      <c r="J41715" s="309"/>
    </row>
    <row r="41716">
      <c r="B41716" s="309"/>
      <c r="C41716" s="309"/>
      <c r="I41716" s="309"/>
      <c r="J41716" s="309"/>
    </row>
    <row r="41717">
      <c r="B41717" s="309"/>
      <c r="C41717" s="309"/>
      <c r="I41717" s="309"/>
      <c r="J41717" s="309"/>
    </row>
    <row r="41718">
      <c r="B41718" s="309"/>
      <c r="C41718" s="309"/>
      <c r="I41718" s="309"/>
      <c r="J41718" s="309"/>
    </row>
    <row r="41719">
      <c r="B41719" s="309"/>
      <c r="C41719" s="309"/>
      <c r="I41719" s="309"/>
      <c r="J41719" s="309"/>
    </row>
    <row r="41720">
      <c r="B41720" s="309"/>
      <c r="C41720" s="309"/>
      <c r="I41720" s="309"/>
      <c r="J41720" s="309"/>
    </row>
    <row r="41721">
      <c r="B41721" s="309"/>
      <c r="C41721" s="309"/>
      <c r="I41721" s="309"/>
      <c r="J41721" s="309"/>
    </row>
    <row r="41722">
      <c r="B41722" s="309"/>
      <c r="C41722" s="309"/>
      <c r="I41722" s="309"/>
      <c r="J41722" s="309"/>
    </row>
    <row r="41723">
      <c r="B41723" s="309"/>
      <c r="C41723" s="309"/>
      <c r="I41723" s="309"/>
      <c r="J41723" s="309"/>
    </row>
    <row r="41724">
      <c r="B41724" s="309"/>
      <c r="C41724" s="309"/>
      <c r="I41724" s="309"/>
      <c r="J41724" s="309"/>
    </row>
    <row r="41725">
      <c r="B41725" s="309"/>
      <c r="C41725" s="309"/>
      <c r="I41725" s="309"/>
      <c r="J41725" s="309"/>
    </row>
    <row r="41726">
      <c r="B41726" s="309"/>
      <c r="C41726" s="309"/>
      <c r="I41726" s="309"/>
      <c r="J41726" s="309"/>
    </row>
    <row r="41727">
      <c r="B41727" s="309"/>
      <c r="C41727" s="309"/>
      <c r="I41727" s="309"/>
      <c r="J41727" s="309"/>
    </row>
    <row r="41728">
      <c r="B41728" s="309"/>
      <c r="C41728" s="309"/>
      <c r="I41728" s="309"/>
      <c r="J41728" s="309"/>
    </row>
    <row r="41729">
      <c r="B41729" s="309"/>
      <c r="C41729" s="309"/>
      <c r="I41729" s="309"/>
      <c r="J41729" s="309"/>
    </row>
    <row r="41730">
      <c r="B41730" s="309"/>
      <c r="C41730" s="309"/>
      <c r="I41730" s="309"/>
      <c r="J41730" s="309"/>
    </row>
    <row r="41731">
      <c r="B41731" s="309"/>
      <c r="C41731" s="309"/>
      <c r="I41731" s="309"/>
      <c r="J41731" s="309"/>
    </row>
    <row r="41732">
      <c r="B41732" s="309"/>
      <c r="C41732" s="309"/>
      <c r="I41732" s="309"/>
      <c r="J41732" s="309"/>
    </row>
    <row r="41733">
      <c r="B41733" s="309"/>
      <c r="C41733" s="309"/>
      <c r="I41733" s="309"/>
      <c r="J41733" s="309"/>
    </row>
    <row r="41734">
      <c r="B41734" s="309"/>
      <c r="C41734" s="309"/>
      <c r="I41734" s="309"/>
      <c r="J41734" s="309"/>
    </row>
    <row r="41735">
      <c r="B41735" s="309"/>
      <c r="C41735" s="309"/>
      <c r="I41735" s="309"/>
      <c r="J41735" s="309"/>
    </row>
    <row r="41736">
      <c r="B41736" s="309"/>
      <c r="C41736" s="309"/>
      <c r="I41736" s="309"/>
      <c r="J41736" s="309"/>
    </row>
    <row r="41737">
      <c r="B41737" s="309"/>
      <c r="C41737" s="309"/>
      <c r="I41737" s="309"/>
      <c r="J41737" s="309"/>
    </row>
    <row r="41738">
      <c r="B41738" s="309"/>
      <c r="C41738" s="309"/>
      <c r="I41738" s="309"/>
      <c r="J41738" s="309"/>
    </row>
    <row r="41739">
      <c r="B41739" s="309"/>
      <c r="C41739" s="309"/>
      <c r="I41739" s="309"/>
      <c r="J41739" s="309"/>
    </row>
    <row r="41740">
      <c r="B41740" s="309"/>
      <c r="C41740" s="309"/>
      <c r="I41740" s="309"/>
      <c r="J41740" s="309"/>
    </row>
    <row r="41741">
      <c r="B41741" s="309"/>
      <c r="C41741" s="309"/>
      <c r="I41741" s="309"/>
      <c r="J41741" s="309"/>
    </row>
    <row r="41742">
      <c r="B41742" s="309"/>
      <c r="C41742" s="309"/>
      <c r="I41742" s="309"/>
      <c r="J41742" s="309"/>
    </row>
    <row r="41743">
      <c r="B41743" s="309"/>
      <c r="C41743" s="309"/>
      <c r="I41743" s="309"/>
      <c r="J41743" s="309"/>
    </row>
    <row r="41744">
      <c r="B41744" s="309"/>
      <c r="C41744" s="309"/>
      <c r="I41744" s="309"/>
      <c r="J41744" s="309"/>
    </row>
    <row r="41745">
      <c r="B41745" s="309"/>
      <c r="C41745" s="309"/>
      <c r="I41745" s="309"/>
      <c r="J41745" s="309"/>
    </row>
    <row r="41746">
      <c r="B41746" s="309"/>
      <c r="C41746" s="309"/>
      <c r="I41746" s="309"/>
      <c r="J41746" s="309"/>
    </row>
    <row r="41747">
      <c r="B41747" s="309"/>
      <c r="C41747" s="309"/>
      <c r="I41747" s="309"/>
      <c r="J41747" s="309"/>
    </row>
    <row r="41748">
      <c r="B41748" s="309"/>
      <c r="C41748" s="309"/>
      <c r="I41748" s="309"/>
      <c r="J41748" s="309"/>
    </row>
    <row r="41749">
      <c r="B41749" s="309"/>
      <c r="C41749" s="309"/>
      <c r="I41749" s="309"/>
      <c r="J41749" s="309"/>
    </row>
    <row r="41750">
      <c r="B41750" s="309"/>
      <c r="C41750" s="309"/>
      <c r="I41750" s="309"/>
      <c r="J41750" s="309"/>
    </row>
    <row r="41751">
      <c r="B41751" s="309"/>
      <c r="C41751" s="309"/>
      <c r="I41751" s="309"/>
      <c r="J41751" s="309"/>
    </row>
    <row r="41752">
      <c r="B41752" s="309"/>
      <c r="C41752" s="309"/>
      <c r="I41752" s="309"/>
      <c r="J41752" s="309"/>
    </row>
    <row r="41753">
      <c r="B41753" s="309"/>
      <c r="C41753" s="309"/>
      <c r="I41753" s="309"/>
      <c r="J41753" s="309"/>
    </row>
    <row r="41754">
      <c r="B41754" s="309"/>
      <c r="C41754" s="309"/>
      <c r="I41754" s="309"/>
      <c r="J41754" s="309"/>
    </row>
    <row r="41755">
      <c r="B41755" s="309"/>
      <c r="C41755" s="309"/>
      <c r="I41755" s="309"/>
      <c r="J41755" s="309"/>
    </row>
    <row r="41756">
      <c r="B41756" s="309"/>
      <c r="C41756" s="309"/>
      <c r="I41756" s="309"/>
      <c r="J41756" s="309"/>
    </row>
    <row r="41757">
      <c r="B41757" s="309"/>
      <c r="C41757" s="309"/>
      <c r="I41757" s="309"/>
      <c r="J41757" s="309"/>
    </row>
    <row r="41758">
      <c r="B41758" s="309"/>
      <c r="C41758" s="309"/>
      <c r="I41758" s="309"/>
      <c r="J41758" s="309"/>
    </row>
    <row r="41759">
      <c r="B41759" s="309"/>
      <c r="C41759" s="309"/>
      <c r="I41759" s="309"/>
      <c r="J41759" s="309"/>
    </row>
    <row r="41760">
      <c r="B41760" s="309"/>
      <c r="C41760" s="309"/>
      <c r="I41760" s="309"/>
      <c r="J41760" s="309"/>
    </row>
    <row r="41761">
      <c r="B41761" s="309"/>
      <c r="C41761" s="309"/>
      <c r="I41761" s="309"/>
      <c r="J41761" s="309"/>
    </row>
    <row r="41762">
      <c r="B41762" s="309"/>
      <c r="C41762" s="309"/>
      <c r="I41762" s="309"/>
      <c r="J41762" s="309"/>
    </row>
    <row r="41763">
      <c r="B41763" s="309"/>
      <c r="C41763" s="309"/>
      <c r="I41763" s="309"/>
      <c r="J41763" s="309"/>
    </row>
    <row r="41764">
      <c r="B41764" s="309"/>
      <c r="C41764" s="309"/>
      <c r="I41764" s="309"/>
      <c r="J41764" s="309"/>
    </row>
    <row r="41765">
      <c r="B41765" s="309"/>
      <c r="C41765" s="309"/>
      <c r="I41765" s="309"/>
      <c r="J41765" s="309"/>
    </row>
    <row r="41766">
      <c r="B41766" s="309"/>
      <c r="C41766" s="309"/>
      <c r="I41766" s="309"/>
      <c r="J41766" s="309"/>
    </row>
    <row r="41767">
      <c r="B41767" s="309"/>
      <c r="C41767" s="309"/>
      <c r="I41767" s="309"/>
      <c r="J41767" s="309"/>
    </row>
    <row r="41768">
      <c r="B41768" s="309"/>
      <c r="C41768" s="309"/>
      <c r="I41768" s="309"/>
      <c r="J41768" s="309"/>
    </row>
    <row r="41769">
      <c r="B41769" s="309"/>
      <c r="C41769" s="309"/>
      <c r="I41769" s="309"/>
      <c r="J41769" s="309"/>
    </row>
    <row r="41770">
      <c r="B41770" s="309"/>
      <c r="C41770" s="309"/>
      <c r="I41770" s="309"/>
      <c r="J41770" s="309"/>
    </row>
    <row r="41771">
      <c r="B41771" s="309"/>
      <c r="C41771" s="309"/>
      <c r="I41771" s="309"/>
      <c r="J41771" s="309"/>
    </row>
    <row r="41772">
      <c r="B41772" s="309"/>
      <c r="C41772" s="309"/>
      <c r="I41772" s="309"/>
      <c r="J41772" s="309"/>
    </row>
    <row r="41773">
      <c r="B41773" s="309"/>
      <c r="C41773" s="309"/>
      <c r="I41773" s="309"/>
      <c r="J41773" s="309"/>
    </row>
    <row r="41774">
      <c r="B41774" s="309"/>
      <c r="C41774" s="309"/>
      <c r="I41774" s="309"/>
      <c r="J41774" s="309"/>
    </row>
    <row r="41775">
      <c r="B41775" s="309"/>
      <c r="C41775" s="309"/>
      <c r="I41775" s="309"/>
      <c r="J41775" s="309"/>
    </row>
    <row r="41776">
      <c r="B41776" s="309"/>
      <c r="C41776" s="309"/>
      <c r="I41776" s="309"/>
      <c r="J41776" s="309"/>
    </row>
    <row r="41777">
      <c r="B41777" s="309"/>
      <c r="C41777" s="309"/>
      <c r="I41777" s="309"/>
      <c r="J41777" s="309"/>
    </row>
    <row r="41778">
      <c r="B41778" s="309"/>
      <c r="C41778" s="309"/>
      <c r="I41778" s="309"/>
      <c r="J41778" s="309"/>
    </row>
    <row r="41779">
      <c r="B41779" s="309"/>
      <c r="C41779" s="309"/>
      <c r="I41779" s="309"/>
      <c r="J41779" s="309"/>
    </row>
    <row r="41780">
      <c r="B41780" s="309"/>
      <c r="C41780" s="309"/>
      <c r="I41780" s="309"/>
      <c r="J41780" s="309"/>
    </row>
    <row r="41781">
      <c r="B41781" s="309"/>
      <c r="C41781" s="309"/>
      <c r="I41781" s="309"/>
      <c r="J41781" s="309"/>
    </row>
    <row r="41782">
      <c r="B41782" s="309"/>
      <c r="C41782" s="309"/>
      <c r="I41782" s="309"/>
      <c r="J41782" s="309"/>
    </row>
    <row r="41783">
      <c r="B41783" s="309"/>
      <c r="C41783" s="309"/>
      <c r="I41783" s="309"/>
      <c r="J41783" s="309"/>
    </row>
    <row r="41784">
      <c r="B41784" s="309"/>
      <c r="C41784" s="309"/>
      <c r="I41784" s="309"/>
      <c r="J41784" s="309"/>
    </row>
    <row r="41785">
      <c r="B41785" s="309"/>
      <c r="C41785" s="309"/>
      <c r="I41785" s="309"/>
      <c r="J41785" s="309"/>
    </row>
    <row r="41786">
      <c r="B41786" s="309"/>
      <c r="C41786" s="309"/>
      <c r="I41786" s="309"/>
      <c r="J41786" s="309"/>
    </row>
    <row r="41787">
      <c r="B41787" s="309"/>
      <c r="C41787" s="309"/>
      <c r="I41787" s="309"/>
      <c r="J41787" s="309"/>
    </row>
    <row r="41788">
      <c r="B41788" s="309"/>
      <c r="C41788" s="309"/>
      <c r="I41788" s="309"/>
      <c r="J41788" s="309"/>
    </row>
    <row r="41789">
      <c r="B41789" s="309"/>
      <c r="C41789" s="309"/>
      <c r="I41789" s="309"/>
      <c r="J41789" s="309"/>
    </row>
    <row r="41790">
      <c r="B41790" s="309"/>
      <c r="C41790" s="309"/>
      <c r="I41790" s="309"/>
      <c r="J41790" s="309"/>
    </row>
    <row r="41791">
      <c r="B41791" s="309"/>
      <c r="C41791" s="309"/>
      <c r="I41791" s="309"/>
      <c r="J41791" s="309"/>
    </row>
    <row r="41792">
      <c r="B41792" s="309"/>
      <c r="C41792" s="309"/>
      <c r="I41792" s="309"/>
      <c r="J41792" s="309"/>
    </row>
    <row r="41793">
      <c r="B41793" s="309"/>
      <c r="C41793" s="309"/>
      <c r="I41793" s="309"/>
      <c r="J41793" s="309"/>
    </row>
    <row r="41794">
      <c r="B41794" s="309"/>
      <c r="C41794" s="309"/>
      <c r="I41794" s="309"/>
      <c r="J41794" s="309"/>
    </row>
    <row r="41795">
      <c r="B41795" s="309"/>
      <c r="C41795" s="309"/>
      <c r="I41795" s="309"/>
      <c r="J41795" s="309"/>
    </row>
    <row r="41796">
      <c r="B41796" s="309"/>
      <c r="C41796" s="309"/>
      <c r="I41796" s="309"/>
      <c r="J41796" s="309"/>
    </row>
    <row r="41797">
      <c r="B41797" s="309"/>
      <c r="C41797" s="309"/>
      <c r="I41797" s="309"/>
      <c r="J41797" s="309"/>
    </row>
    <row r="41798">
      <c r="B41798" s="309"/>
      <c r="C41798" s="309"/>
      <c r="I41798" s="309"/>
      <c r="J41798" s="309"/>
    </row>
    <row r="41799">
      <c r="B41799" s="309"/>
      <c r="C41799" s="309"/>
      <c r="I41799" s="309"/>
      <c r="J41799" s="309"/>
    </row>
    <row r="41800">
      <c r="B41800" s="309"/>
      <c r="C41800" s="309"/>
      <c r="I41800" s="309"/>
      <c r="J41800" s="309"/>
    </row>
    <row r="41801">
      <c r="B41801" s="309"/>
      <c r="C41801" s="309"/>
      <c r="I41801" s="309"/>
      <c r="J41801" s="309"/>
    </row>
    <row r="41802">
      <c r="B41802" s="309"/>
      <c r="C41802" s="309"/>
      <c r="I41802" s="309"/>
      <c r="J41802" s="309"/>
    </row>
    <row r="41803">
      <c r="B41803" s="309"/>
      <c r="C41803" s="309"/>
      <c r="I41803" s="309"/>
      <c r="J41803" s="309"/>
    </row>
    <row r="41804">
      <c r="B41804" s="309"/>
      <c r="C41804" s="309"/>
      <c r="I41804" s="309"/>
      <c r="J41804" s="309"/>
    </row>
    <row r="41805">
      <c r="B41805" s="309"/>
      <c r="C41805" s="309"/>
      <c r="I41805" s="309"/>
      <c r="J41805" s="309"/>
    </row>
    <row r="41806">
      <c r="B41806" s="309"/>
      <c r="C41806" s="309"/>
      <c r="I41806" s="309"/>
      <c r="J41806" s="309"/>
    </row>
    <row r="41807">
      <c r="B41807" s="309"/>
      <c r="C41807" s="309"/>
      <c r="I41807" s="309"/>
      <c r="J41807" s="309"/>
    </row>
    <row r="41808">
      <c r="B41808" s="309"/>
      <c r="C41808" s="309"/>
      <c r="I41808" s="309"/>
      <c r="J41808" s="309"/>
    </row>
    <row r="41809">
      <c r="B41809" s="309"/>
      <c r="C41809" s="309"/>
      <c r="I41809" s="309"/>
      <c r="J41809" s="309"/>
    </row>
    <row r="41810">
      <c r="B41810" s="309"/>
      <c r="C41810" s="309"/>
      <c r="I41810" s="309"/>
      <c r="J41810" s="309"/>
    </row>
    <row r="41811">
      <c r="B41811" s="309"/>
      <c r="C41811" s="309"/>
      <c r="I41811" s="309"/>
      <c r="J41811" s="309"/>
    </row>
    <row r="41812">
      <c r="B41812" s="309"/>
      <c r="C41812" s="309"/>
      <c r="I41812" s="309"/>
      <c r="J41812" s="309"/>
    </row>
    <row r="41813">
      <c r="B41813" s="309"/>
      <c r="C41813" s="309"/>
      <c r="I41813" s="309"/>
      <c r="J41813" s="309"/>
    </row>
    <row r="41814">
      <c r="B41814" s="309"/>
      <c r="C41814" s="309"/>
      <c r="I41814" s="309"/>
      <c r="J41814" s="309"/>
    </row>
    <row r="41815">
      <c r="B41815" s="309"/>
      <c r="C41815" s="309"/>
      <c r="I41815" s="309"/>
      <c r="J41815" s="309"/>
    </row>
    <row r="41816">
      <c r="B41816" s="309"/>
      <c r="C41816" s="309"/>
      <c r="I41816" s="309"/>
      <c r="J41816" s="309"/>
    </row>
    <row r="41817">
      <c r="B41817" s="309"/>
      <c r="C41817" s="309"/>
      <c r="I41817" s="309"/>
      <c r="J41817" s="309"/>
    </row>
    <row r="41818">
      <c r="B41818" s="309"/>
      <c r="C41818" s="309"/>
      <c r="I41818" s="309"/>
      <c r="J41818" s="309"/>
    </row>
    <row r="41819">
      <c r="B41819" s="309"/>
      <c r="C41819" s="309"/>
      <c r="I41819" s="309"/>
      <c r="J41819" s="309"/>
    </row>
    <row r="41820">
      <c r="B41820" s="309"/>
      <c r="C41820" s="309"/>
      <c r="I41820" s="309"/>
      <c r="J41820" s="309"/>
    </row>
    <row r="41821">
      <c r="B41821" s="309"/>
      <c r="C41821" s="309"/>
      <c r="I41821" s="309"/>
      <c r="J41821" s="309"/>
    </row>
    <row r="41822">
      <c r="B41822" s="309"/>
      <c r="C41822" s="309"/>
      <c r="I41822" s="309"/>
      <c r="J41822" s="309"/>
    </row>
    <row r="41823">
      <c r="B41823" s="309"/>
      <c r="C41823" s="309"/>
      <c r="I41823" s="309"/>
      <c r="J41823" s="309"/>
    </row>
    <row r="41824">
      <c r="B41824" s="309"/>
      <c r="C41824" s="309"/>
      <c r="I41824" s="309"/>
      <c r="J41824" s="309"/>
    </row>
    <row r="41825">
      <c r="B41825" s="309"/>
      <c r="C41825" s="309"/>
      <c r="I41825" s="309"/>
      <c r="J41825" s="309"/>
    </row>
    <row r="41826">
      <c r="B41826" s="309"/>
      <c r="C41826" s="309"/>
      <c r="I41826" s="309"/>
      <c r="J41826" s="309"/>
    </row>
    <row r="41827">
      <c r="B41827" s="309"/>
      <c r="C41827" s="309"/>
      <c r="I41827" s="309"/>
      <c r="J41827" s="309"/>
    </row>
    <row r="41828">
      <c r="B41828" s="309"/>
      <c r="C41828" s="309"/>
      <c r="I41828" s="309"/>
      <c r="J41828" s="309"/>
    </row>
    <row r="41829">
      <c r="B41829" s="309"/>
      <c r="C41829" s="309"/>
      <c r="I41829" s="309"/>
      <c r="J41829" s="309"/>
    </row>
    <row r="41830">
      <c r="B41830" s="309"/>
      <c r="C41830" s="309"/>
      <c r="I41830" s="309"/>
      <c r="J41830" s="309"/>
    </row>
    <row r="41831">
      <c r="B41831" s="309"/>
      <c r="C41831" s="309"/>
      <c r="I41831" s="309"/>
      <c r="J41831" s="309"/>
    </row>
    <row r="41832">
      <c r="B41832" s="309"/>
      <c r="C41832" s="309"/>
      <c r="I41832" s="309"/>
      <c r="J41832" s="309"/>
    </row>
    <row r="41833">
      <c r="B41833" s="309"/>
      <c r="C41833" s="309"/>
      <c r="I41833" s="309"/>
      <c r="J41833" s="309"/>
    </row>
    <row r="41834">
      <c r="B41834" s="309"/>
      <c r="C41834" s="309"/>
      <c r="I41834" s="309"/>
      <c r="J41834" s="309"/>
    </row>
    <row r="41835">
      <c r="B41835" s="309"/>
      <c r="C41835" s="309"/>
      <c r="I41835" s="309"/>
      <c r="J41835" s="309"/>
    </row>
    <row r="41836">
      <c r="B41836" s="309"/>
      <c r="C41836" s="309"/>
      <c r="I41836" s="309"/>
      <c r="J41836" s="309"/>
    </row>
    <row r="41837">
      <c r="B41837" s="309"/>
      <c r="C41837" s="309"/>
      <c r="I41837" s="309"/>
      <c r="J41837" s="309"/>
    </row>
    <row r="41838">
      <c r="B41838" s="309"/>
      <c r="C41838" s="309"/>
      <c r="I41838" s="309"/>
      <c r="J41838" s="309"/>
    </row>
    <row r="41839">
      <c r="B41839" s="309"/>
      <c r="C41839" s="309"/>
      <c r="I41839" s="309"/>
      <c r="J41839" s="309"/>
    </row>
    <row r="41840">
      <c r="B41840" s="309"/>
      <c r="C41840" s="309"/>
      <c r="I41840" s="309"/>
      <c r="J41840" s="309"/>
    </row>
    <row r="41841">
      <c r="B41841" s="309"/>
      <c r="C41841" s="309"/>
      <c r="I41841" s="309"/>
      <c r="J41841" s="309"/>
    </row>
    <row r="41842">
      <c r="B41842" s="309"/>
      <c r="C41842" s="309"/>
      <c r="I41842" s="309"/>
      <c r="J41842" s="309"/>
    </row>
    <row r="41843">
      <c r="B41843" s="309"/>
      <c r="C41843" s="309"/>
      <c r="I41843" s="309"/>
      <c r="J41843" s="309"/>
    </row>
    <row r="41844">
      <c r="B41844" s="309"/>
      <c r="C41844" s="309"/>
      <c r="I41844" s="309"/>
      <c r="J41844" s="309"/>
    </row>
    <row r="41845">
      <c r="B41845" s="309"/>
      <c r="C41845" s="309"/>
      <c r="I41845" s="309"/>
      <c r="J41845" s="309"/>
    </row>
    <row r="41846">
      <c r="B41846" s="309"/>
      <c r="C41846" s="309"/>
      <c r="I41846" s="309"/>
      <c r="J41846" s="309"/>
    </row>
    <row r="41847">
      <c r="B41847" s="309"/>
      <c r="C41847" s="309"/>
      <c r="I41847" s="309"/>
      <c r="J41847" s="309"/>
    </row>
    <row r="41848">
      <c r="B41848" s="309"/>
      <c r="C41848" s="309"/>
      <c r="I41848" s="309"/>
      <c r="J41848" s="309"/>
    </row>
    <row r="41849">
      <c r="B41849" s="309"/>
      <c r="C41849" s="309"/>
      <c r="I41849" s="309"/>
      <c r="J41849" s="309"/>
    </row>
    <row r="41850">
      <c r="B41850" s="309"/>
      <c r="C41850" s="309"/>
      <c r="I41850" s="309"/>
      <c r="J41850" s="309"/>
    </row>
    <row r="41851">
      <c r="B41851" s="309"/>
      <c r="C41851" s="309"/>
      <c r="I41851" s="309"/>
      <c r="J41851" s="309"/>
    </row>
    <row r="41852">
      <c r="B41852" s="309"/>
      <c r="C41852" s="309"/>
      <c r="I41852" s="309"/>
      <c r="J41852" s="309"/>
    </row>
    <row r="41853">
      <c r="B41853" s="309"/>
      <c r="C41853" s="309"/>
      <c r="I41853" s="309"/>
      <c r="J41853" s="309"/>
    </row>
    <row r="41854">
      <c r="B41854" s="309"/>
      <c r="C41854" s="309"/>
      <c r="I41854" s="309"/>
      <c r="J41854" s="309"/>
    </row>
    <row r="41855">
      <c r="B41855" s="309"/>
      <c r="C41855" s="309"/>
      <c r="I41855" s="309"/>
      <c r="J41855" s="309"/>
    </row>
    <row r="41856">
      <c r="B41856" s="309"/>
      <c r="C41856" s="309"/>
      <c r="I41856" s="309"/>
      <c r="J41856" s="309"/>
    </row>
    <row r="41857">
      <c r="B41857" s="309"/>
      <c r="C41857" s="309"/>
      <c r="I41857" s="309"/>
      <c r="J41857" s="309"/>
    </row>
    <row r="41858">
      <c r="B41858" s="309"/>
      <c r="C41858" s="309"/>
      <c r="I41858" s="309"/>
      <c r="J41858" s="309"/>
    </row>
    <row r="41859">
      <c r="B41859" s="309"/>
      <c r="C41859" s="309"/>
      <c r="I41859" s="309"/>
      <c r="J41859" s="309"/>
    </row>
    <row r="41860">
      <c r="B41860" s="309"/>
      <c r="C41860" s="309"/>
      <c r="I41860" s="309"/>
      <c r="J41860" s="309"/>
    </row>
    <row r="41861">
      <c r="B41861" s="309"/>
      <c r="C41861" s="309"/>
      <c r="I41861" s="309"/>
      <c r="J41861" s="309"/>
    </row>
    <row r="41862">
      <c r="B41862" s="309"/>
      <c r="C41862" s="309"/>
      <c r="I41862" s="309"/>
      <c r="J41862" s="309"/>
    </row>
    <row r="41863">
      <c r="B41863" s="309"/>
      <c r="C41863" s="309"/>
      <c r="I41863" s="309"/>
      <c r="J41863" s="309"/>
    </row>
    <row r="41864">
      <c r="B41864" s="309"/>
      <c r="C41864" s="309"/>
      <c r="I41864" s="309"/>
      <c r="J41864" s="309"/>
    </row>
    <row r="41865">
      <c r="B41865" s="309"/>
      <c r="C41865" s="309"/>
      <c r="I41865" s="309"/>
      <c r="J41865" s="309"/>
    </row>
    <row r="41866">
      <c r="B41866" s="309"/>
      <c r="C41866" s="309"/>
      <c r="I41866" s="309"/>
      <c r="J41866" s="309"/>
    </row>
    <row r="41867">
      <c r="B41867" s="309"/>
      <c r="C41867" s="309"/>
      <c r="I41867" s="309"/>
      <c r="J41867" s="309"/>
    </row>
    <row r="41868">
      <c r="B41868" s="309"/>
      <c r="C41868" s="309"/>
      <c r="I41868" s="309"/>
      <c r="J41868" s="309"/>
    </row>
    <row r="41869">
      <c r="B41869" s="309"/>
      <c r="C41869" s="309"/>
      <c r="I41869" s="309"/>
      <c r="J41869" s="309"/>
    </row>
    <row r="41870">
      <c r="B41870" s="309"/>
      <c r="C41870" s="309"/>
      <c r="I41870" s="309"/>
      <c r="J41870" s="309"/>
    </row>
    <row r="41871">
      <c r="B41871" s="309"/>
      <c r="C41871" s="309"/>
      <c r="I41871" s="309"/>
      <c r="J41871" s="309"/>
    </row>
    <row r="41872">
      <c r="B41872" s="309"/>
      <c r="C41872" s="309"/>
      <c r="I41872" s="309"/>
      <c r="J41872" s="309"/>
    </row>
    <row r="41873">
      <c r="B41873" s="309"/>
      <c r="C41873" s="309"/>
      <c r="I41873" s="309"/>
      <c r="J41873" s="309"/>
    </row>
    <row r="41874">
      <c r="B41874" s="309"/>
      <c r="C41874" s="309"/>
      <c r="I41874" s="309"/>
      <c r="J41874" s="309"/>
    </row>
    <row r="41875">
      <c r="B41875" s="309"/>
      <c r="C41875" s="309"/>
      <c r="I41875" s="309"/>
      <c r="J41875" s="309"/>
    </row>
    <row r="41876">
      <c r="B41876" s="309"/>
      <c r="C41876" s="309"/>
      <c r="I41876" s="309"/>
      <c r="J41876" s="309"/>
    </row>
    <row r="41877">
      <c r="B41877" s="309"/>
      <c r="C41877" s="309"/>
      <c r="I41877" s="309"/>
      <c r="J41877" s="309"/>
    </row>
    <row r="41878">
      <c r="B41878" s="309"/>
      <c r="C41878" s="309"/>
      <c r="I41878" s="309"/>
      <c r="J41878" s="309"/>
    </row>
    <row r="41879">
      <c r="B41879" s="309"/>
      <c r="C41879" s="309"/>
      <c r="I41879" s="309"/>
      <c r="J41879" s="309"/>
    </row>
    <row r="41880">
      <c r="B41880" s="309"/>
      <c r="C41880" s="309"/>
      <c r="I41880" s="309"/>
      <c r="J41880" s="309"/>
    </row>
    <row r="41881">
      <c r="B41881" s="309"/>
      <c r="C41881" s="309"/>
      <c r="I41881" s="309"/>
      <c r="J41881" s="309"/>
    </row>
    <row r="41882">
      <c r="B41882" s="309"/>
      <c r="C41882" s="309"/>
      <c r="I41882" s="309"/>
      <c r="J41882" s="309"/>
    </row>
    <row r="41883">
      <c r="B41883" s="309"/>
      <c r="C41883" s="309"/>
      <c r="I41883" s="309"/>
      <c r="J41883" s="309"/>
    </row>
    <row r="41884">
      <c r="B41884" s="309"/>
      <c r="C41884" s="309"/>
      <c r="I41884" s="309"/>
      <c r="J41884" s="309"/>
    </row>
    <row r="41885">
      <c r="B41885" s="309"/>
      <c r="C41885" s="309"/>
      <c r="I41885" s="309"/>
      <c r="J41885" s="309"/>
    </row>
    <row r="41886">
      <c r="B41886" s="309"/>
      <c r="C41886" s="309"/>
      <c r="I41886" s="309"/>
      <c r="J41886" s="309"/>
    </row>
    <row r="41887">
      <c r="B41887" s="309"/>
      <c r="C41887" s="309"/>
      <c r="I41887" s="309"/>
      <c r="J41887" s="309"/>
    </row>
    <row r="41888">
      <c r="B41888" s="309"/>
      <c r="C41888" s="309"/>
      <c r="I41888" s="309"/>
      <c r="J41888" s="309"/>
    </row>
    <row r="41889">
      <c r="B41889" s="309"/>
      <c r="C41889" s="309"/>
      <c r="I41889" s="309"/>
      <c r="J41889" s="309"/>
    </row>
    <row r="41890">
      <c r="B41890" s="309"/>
      <c r="C41890" s="309"/>
      <c r="I41890" s="309"/>
      <c r="J41890" s="309"/>
    </row>
    <row r="41891">
      <c r="B41891" s="309"/>
      <c r="C41891" s="309"/>
      <c r="I41891" s="309"/>
      <c r="J41891" s="309"/>
    </row>
    <row r="41892">
      <c r="B41892" s="309"/>
      <c r="C41892" s="309"/>
      <c r="I41892" s="309"/>
      <c r="J41892" s="309"/>
    </row>
    <row r="41893">
      <c r="B41893" s="309"/>
      <c r="C41893" s="309"/>
      <c r="I41893" s="309"/>
      <c r="J41893" s="309"/>
    </row>
    <row r="41894">
      <c r="B41894" s="309"/>
      <c r="C41894" s="309"/>
      <c r="I41894" s="309"/>
      <c r="J41894" s="309"/>
    </row>
    <row r="41895">
      <c r="B41895" s="309"/>
      <c r="C41895" s="309"/>
      <c r="I41895" s="309"/>
      <c r="J41895" s="309"/>
    </row>
    <row r="41896">
      <c r="B41896" s="309"/>
      <c r="C41896" s="309"/>
      <c r="I41896" s="309"/>
      <c r="J41896" s="309"/>
    </row>
    <row r="41897">
      <c r="B41897" s="309"/>
      <c r="C41897" s="309"/>
      <c r="I41897" s="309"/>
      <c r="J41897" s="309"/>
    </row>
    <row r="41898">
      <c r="B41898" s="309"/>
      <c r="C41898" s="309"/>
      <c r="I41898" s="309"/>
      <c r="J41898" s="309"/>
    </row>
    <row r="41899">
      <c r="B41899" s="309"/>
      <c r="C41899" s="309"/>
      <c r="I41899" s="309"/>
      <c r="J41899" s="309"/>
    </row>
    <row r="41900">
      <c r="B41900" s="309"/>
      <c r="C41900" s="309"/>
      <c r="I41900" s="309"/>
      <c r="J41900" s="309"/>
    </row>
    <row r="41901">
      <c r="B41901" s="309"/>
      <c r="C41901" s="309"/>
      <c r="I41901" s="309"/>
      <c r="J41901" s="309"/>
    </row>
    <row r="41902">
      <c r="B41902" s="309"/>
      <c r="C41902" s="309"/>
      <c r="I41902" s="309"/>
      <c r="J41902" s="309"/>
    </row>
    <row r="41903">
      <c r="B41903" s="309"/>
      <c r="C41903" s="309"/>
      <c r="I41903" s="309"/>
      <c r="J41903" s="309"/>
    </row>
    <row r="41904">
      <c r="B41904" s="309"/>
      <c r="C41904" s="309"/>
      <c r="I41904" s="309"/>
      <c r="J41904" s="309"/>
    </row>
    <row r="41905">
      <c r="B41905" s="309"/>
      <c r="C41905" s="309"/>
      <c r="I41905" s="309"/>
      <c r="J41905" s="309"/>
    </row>
    <row r="41906">
      <c r="B41906" s="309"/>
      <c r="C41906" s="309"/>
      <c r="I41906" s="309"/>
      <c r="J41906" s="309"/>
    </row>
    <row r="41907">
      <c r="B41907" s="309"/>
      <c r="C41907" s="309"/>
      <c r="I41907" s="309"/>
      <c r="J41907" s="309"/>
    </row>
    <row r="41908">
      <c r="B41908" s="309"/>
      <c r="C41908" s="309"/>
      <c r="I41908" s="309"/>
      <c r="J41908" s="309"/>
    </row>
    <row r="41909">
      <c r="B41909" s="309"/>
      <c r="C41909" s="309"/>
      <c r="I41909" s="309"/>
      <c r="J41909" s="309"/>
    </row>
    <row r="41910">
      <c r="B41910" s="309"/>
      <c r="C41910" s="309"/>
      <c r="I41910" s="309"/>
      <c r="J41910" s="309"/>
    </row>
    <row r="41911">
      <c r="B41911" s="309"/>
      <c r="C41911" s="309"/>
      <c r="I41911" s="309"/>
      <c r="J41911" s="309"/>
    </row>
    <row r="41912">
      <c r="B41912" s="309"/>
      <c r="C41912" s="309"/>
      <c r="I41912" s="309"/>
      <c r="J41912" s="309"/>
    </row>
    <row r="41913">
      <c r="B41913" s="309"/>
      <c r="C41913" s="309"/>
      <c r="I41913" s="309"/>
      <c r="J41913" s="309"/>
    </row>
    <row r="41914">
      <c r="B41914" s="309"/>
      <c r="C41914" s="309"/>
      <c r="I41914" s="309"/>
      <c r="J41914" s="309"/>
    </row>
    <row r="41915">
      <c r="B41915" s="309"/>
      <c r="C41915" s="309"/>
      <c r="I41915" s="309"/>
      <c r="J41915" s="309"/>
    </row>
    <row r="41916">
      <c r="B41916" s="309"/>
      <c r="C41916" s="309"/>
      <c r="I41916" s="309"/>
      <c r="J41916" s="309"/>
    </row>
    <row r="41917">
      <c r="B41917" s="309"/>
      <c r="C41917" s="309"/>
      <c r="I41917" s="309"/>
      <c r="J41917" s="309"/>
    </row>
    <row r="41918">
      <c r="B41918" s="309"/>
      <c r="C41918" s="309"/>
      <c r="I41918" s="309"/>
      <c r="J41918" s="309"/>
    </row>
    <row r="41919">
      <c r="B41919" s="309"/>
      <c r="C41919" s="309"/>
      <c r="I41919" s="309"/>
      <c r="J41919" s="309"/>
    </row>
    <row r="41920">
      <c r="B41920" s="309"/>
      <c r="C41920" s="309"/>
      <c r="I41920" s="309"/>
      <c r="J41920" s="309"/>
    </row>
    <row r="41921">
      <c r="B41921" s="309"/>
      <c r="C41921" s="309"/>
      <c r="I41921" s="309"/>
      <c r="J41921" s="309"/>
    </row>
    <row r="41922">
      <c r="B41922" s="309"/>
      <c r="C41922" s="309"/>
      <c r="I41922" s="309"/>
      <c r="J41922" s="309"/>
    </row>
    <row r="41923">
      <c r="B41923" s="309"/>
      <c r="C41923" s="309"/>
      <c r="I41923" s="309"/>
      <c r="J41923" s="309"/>
    </row>
    <row r="41924">
      <c r="B41924" s="309"/>
      <c r="C41924" s="309"/>
      <c r="I41924" s="309"/>
      <c r="J41924" s="309"/>
    </row>
    <row r="41925">
      <c r="B41925" s="309"/>
      <c r="C41925" s="309"/>
      <c r="I41925" s="309"/>
      <c r="J41925" s="309"/>
    </row>
    <row r="41926">
      <c r="B41926" s="309"/>
      <c r="C41926" s="309"/>
      <c r="I41926" s="309"/>
      <c r="J41926" s="309"/>
    </row>
    <row r="41927">
      <c r="B41927" s="309"/>
      <c r="C41927" s="309"/>
      <c r="I41927" s="309"/>
      <c r="J41927" s="309"/>
    </row>
    <row r="41928">
      <c r="B41928" s="309"/>
      <c r="C41928" s="309"/>
      <c r="I41928" s="309"/>
      <c r="J41928" s="309"/>
    </row>
    <row r="41929">
      <c r="B41929" s="309"/>
      <c r="C41929" s="309"/>
      <c r="I41929" s="309"/>
      <c r="J41929" s="309"/>
    </row>
    <row r="41930">
      <c r="B41930" s="309"/>
      <c r="C41930" s="309"/>
      <c r="I41930" s="309"/>
      <c r="J41930" s="309"/>
    </row>
    <row r="41931">
      <c r="B41931" s="309"/>
      <c r="C41931" s="309"/>
      <c r="I41931" s="309"/>
      <c r="J41931" s="309"/>
    </row>
    <row r="41932">
      <c r="B41932" s="309"/>
      <c r="C41932" s="309"/>
      <c r="I41932" s="309"/>
      <c r="J41932" s="309"/>
    </row>
    <row r="41933">
      <c r="B41933" s="309"/>
      <c r="C41933" s="309"/>
      <c r="I41933" s="309"/>
      <c r="J41933" s="309"/>
    </row>
    <row r="41934">
      <c r="B41934" s="309"/>
      <c r="C41934" s="309"/>
      <c r="I41934" s="309"/>
      <c r="J41934" s="309"/>
    </row>
    <row r="41935">
      <c r="B41935" s="309"/>
      <c r="C41935" s="309"/>
      <c r="I41935" s="309"/>
      <c r="J41935" s="309"/>
    </row>
    <row r="41936">
      <c r="B41936" s="309"/>
      <c r="C41936" s="309"/>
      <c r="I41936" s="309"/>
      <c r="J41936" s="309"/>
    </row>
    <row r="41937">
      <c r="B41937" s="309"/>
      <c r="C41937" s="309"/>
      <c r="I41937" s="309"/>
      <c r="J41937" s="309"/>
    </row>
    <row r="41938">
      <c r="B41938" s="309"/>
      <c r="C41938" s="309"/>
      <c r="I41938" s="309"/>
      <c r="J41938" s="309"/>
    </row>
    <row r="41939">
      <c r="B41939" s="309"/>
      <c r="C41939" s="309"/>
      <c r="I41939" s="309"/>
      <c r="J41939" s="309"/>
    </row>
    <row r="41940">
      <c r="B41940" s="309"/>
      <c r="C41940" s="309"/>
      <c r="I41940" s="309"/>
      <c r="J41940" s="309"/>
    </row>
    <row r="41941">
      <c r="B41941" s="309"/>
      <c r="C41941" s="309"/>
      <c r="I41941" s="309"/>
      <c r="J41941" s="309"/>
    </row>
    <row r="41942">
      <c r="B41942" s="309"/>
      <c r="C41942" s="309"/>
      <c r="I41942" s="309"/>
      <c r="J41942" s="309"/>
    </row>
    <row r="41943">
      <c r="B41943" s="309"/>
      <c r="C41943" s="309"/>
      <c r="I41943" s="309"/>
      <c r="J41943" s="309"/>
    </row>
    <row r="41944">
      <c r="B41944" s="309"/>
      <c r="C41944" s="309"/>
      <c r="I41944" s="309"/>
      <c r="J41944" s="309"/>
    </row>
    <row r="41945">
      <c r="B41945" s="309"/>
      <c r="C41945" s="309"/>
      <c r="I41945" s="309"/>
      <c r="J41945" s="309"/>
    </row>
    <row r="41946">
      <c r="B41946" s="309"/>
      <c r="C41946" s="309"/>
      <c r="I41946" s="309"/>
      <c r="J41946" s="309"/>
    </row>
    <row r="41947">
      <c r="B41947" s="309"/>
      <c r="C41947" s="309"/>
      <c r="I41947" s="309"/>
      <c r="J41947" s="309"/>
    </row>
    <row r="41948">
      <c r="B41948" s="309"/>
      <c r="C41948" s="309"/>
      <c r="I41948" s="309"/>
      <c r="J41948" s="309"/>
    </row>
    <row r="41949">
      <c r="B41949" s="309"/>
      <c r="C41949" s="309"/>
      <c r="I41949" s="309"/>
      <c r="J41949" s="309"/>
    </row>
    <row r="41950">
      <c r="B41950" s="309"/>
      <c r="C41950" s="309"/>
      <c r="I41950" s="309"/>
      <c r="J41950" s="309"/>
    </row>
    <row r="41951">
      <c r="B41951" s="309"/>
      <c r="C41951" s="309"/>
      <c r="I41951" s="309"/>
      <c r="J41951" s="309"/>
    </row>
    <row r="41952">
      <c r="B41952" s="309"/>
      <c r="C41952" s="309"/>
      <c r="I41952" s="309"/>
      <c r="J41952" s="309"/>
    </row>
    <row r="41953">
      <c r="B41953" s="309"/>
      <c r="C41953" s="309"/>
      <c r="I41953" s="309"/>
      <c r="J41953" s="309"/>
    </row>
    <row r="41954">
      <c r="B41954" s="309"/>
      <c r="C41954" s="309"/>
      <c r="I41954" s="309"/>
      <c r="J41954" s="309"/>
    </row>
    <row r="41955">
      <c r="B41955" s="309"/>
      <c r="C41955" s="309"/>
      <c r="I41955" s="309"/>
      <c r="J41955" s="309"/>
    </row>
    <row r="41956">
      <c r="B41956" s="309"/>
      <c r="C41956" s="309"/>
      <c r="I41956" s="309"/>
      <c r="J41956" s="309"/>
    </row>
    <row r="41957">
      <c r="B41957" s="309"/>
      <c r="C41957" s="309"/>
      <c r="I41957" s="309"/>
      <c r="J41957" s="309"/>
    </row>
    <row r="41958">
      <c r="B41958" s="309"/>
      <c r="C41958" s="309"/>
      <c r="I41958" s="309"/>
      <c r="J41958" s="309"/>
    </row>
    <row r="41959">
      <c r="B41959" s="309"/>
      <c r="C41959" s="309"/>
      <c r="I41959" s="309"/>
      <c r="J41959" s="309"/>
    </row>
    <row r="41960">
      <c r="B41960" s="309"/>
      <c r="C41960" s="309"/>
      <c r="I41960" s="309"/>
      <c r="J41960" s="309"/>
    </row>
    <row r="41961">
      <c r="B41961" s="309"/>
      <c r="C41961" s="309"/>
      <c r="I41961" s="309"/>
      <c r="J41961" s="309"/>
    </row>
    <row r="41962">
      <c r="B41962" s="309"/>
      <c r="C41962" s="309"/>
      <c r="I41962" s="309"/>
      <c r="J41962" s="309"/>
    </row>
    <row r="41963">
      <c r="B41963" s="309"/>
      <c r="C41963" s="309"/>
      <c r="I41963" s="309"/>
      <c r="J41963" s="309"/>
    </row>
    <row r="41964">
      <c r="B41964" s="309"/>
      <c r="C41964" s="309"/>
      <c r="I41964" s="309"/>
      <c r="J41964" s="309"/>
    </row>
    <row r="41965">
      <c r="B41965" s="309"/>
      <c r="C41965" s="309"/>
      <c r="I41965" s="309"/>
      <c r="J41965" s="309"/>
    </row>
    <row r="41966">
      <c r="B41966" s="309"/>
      <c r="C41966" s="309"/>
      <c r="I41966" s="309"/>
      <c r="J41966" s="309"/>
    </row>
    <row r="41967">
      <c r="B41967" s="309"/>
      <c r="C41967" s="309"/>
      <c r="I41967" s="309"/>
      <c r="J41967" s="309"/>
    </row>
    <row r="41968">
      <c r="B41968" s="309"/>
      <c r="C41968" s="309"/>
      <c r="I41968" s="309"/>
      <c r="J41968" s="309"/>
    </row>
    <row r="41969">
      <c r="B41969" s="309"/>
      <c r="C41969" s="309"/>
      <c r="I41969" s="309"/>
      <c r="J41969" s="309"/>
    </row>
    <row r="41970">
      <c r="B41970" s="309"/>
      <c r="C41970" s="309"/>
      <c r="I41970" s="309"/>
      <c r="J41970" s="309"/>
    </row>
    <row r="41971">
      <c r="B41971" s="309"/>
      <c r="C41971" s="309"/>
      <c r="I41971" s="309"/>
      <c r="J41971" s="309"/>
    </row>
    <row r="41972">
      <c r="B41972" s="309"/>
      <c r="C41972" s="309"/>
      <c r="I41972" s="309"/>
      <c r="J41972" s="309"/>
    </row>
    <row r="41973">
      <c r="B41973" s="309"/>
      <c r="C41973" s="309"/>
      <c r="I41973" s="309"/>
      <c r="J41973" s="309"/>
    </row>
    <row r="41974">
      <c r="B41974" s="309"/>
      <c r="C41974" s="309"/>
      <c r="I41974" s="309"/>
      <c r="J41974" s="309"/>
    </row>
    <row r="41975">
      <c r="B41975" s="309"/>
      <c r="C41975" s="309"/>
      <c r="I41975" s="309"/>
      <c r="J41975" s="309"/>
    </row>
    <row r="41976">
      <c r="B41976" s="309"/>
      <c r="C41976" s="309"/>
      <c r="I41976" s="309"/>
      <c r="J41976" s="309"/>
    </row>
    <row r="41977">
      <c r="B41977" s="309"/>
      <c r="C41977" s="309"/>
      <c r="I41977" s="309"/>
      <c r="J41977" s="309"/>
    </row>
    <row r="41978">
      <c r="B41978" s="309"/>
      <c r="C41978" s="309"/>
      <c r="I41978" s="309"/>
      <c r="J41978" s="309"/>
    </row>
    <row r="41979">
      <c r="B41979" s="309"/>
      <c r="C41979" s="309"/>
      <c r="I41979" s="309"/>
      <c r="J41979" s="309"/>
    </row>
    <row r="41980">
      <c r="B41980" s="309"/>
      <c r="C41980" s="309"/>
      <c r="I41980" s="309"/>
      <c r="J41980" s="309"/>
    </row>
    <row r="41981">
      <c r="B41981" s="309"/>
      <c r="C41981" s="309"/>
      <c r="I41981" s="309"/>
      <c r="J41981" s="309"/>
    </row>
    <row r="41982">
      <c r="B41982" s="309"/>
      <c r="C41982" s="309"/>
      <c r="I41982" s="309"/>
      <c r="J41982" s="309"/>
    </row>
    <row r="41983">
      <c r="B41983" s="309"/>
      <c r="C41983" s="309"/>
      <c r="I41983" s="309"/>
      <c r="J41983" s="309"/>
    </row>
    <row r="41984">
      <c r="B41984" s="309"/>
      <c r="C41984" s="309"/>
      <c r="I41984" s="309"/>
      <c r="J41984" s="309"/>
    </row>
    <row r="41985">
      <c r="B41985" s="309"/>
      <c r="C41985" s="309"/>
      <c r="I41985" s="309"/>
      <c r="J41985" s="309"/>
    </row>
    <row r="41986">
      <c r="B41986" s="309"/>
      <c r="C41986" s="309"/>
      <c r="I41986" s="309"/>
      <c r="J41986" s="309"/>
    </row>
    <row r="41987">
      <c r="B41987" s="309"/>
      <c r="C41987" s="309"/>
      <c r="I41987" s="309"/>
      <c r="J41987" s="309"/>
    </row>
    <row r="41988">
      <c r="B41988" s="309"/>
      <c r="C41988" s="309"/>
      <c r="I41988" s="309"/>
      <c r="J41988" s="309"/>
    </row>
    <row r="41989">
      <c r="B41989" s="309"/>
      <c r="C41989" s="309"/>
      <c r="I41989" s="309"/>
      <c r="J41989" s="309"/>
    </row>
    <row r="41990">
      <c r="B41990" s="309"/>
      <c r="C41990" s="309"/>
      <c r="I41990" s="309"/>
      <c r="J41990" s="309"/>
    </row>
    <row r="41991">
      <c r="B41991" s="309"/>
      <c r="C41991" s="309"/>
      <c r="I41991" s="309"/>
      <c r="J41991" s="309"/>
    </row>
    <row r="41992">
      <c r="B41992" s="309"/>
      <c r="C41992" s="309"/>
      <c r="I41992" s="309"/>
      <c r="J41992" s="309"/>
    </row>
    <row r="41993">
      <c r="B41993" s="309"/>
      <c r="C41993" s="309"/>
      <c r="I41993" s="309"/>
      <c r="J41993" s="309"/>
    </row>
    <row r="41994">
      <c r="B41994" s="309"/>
      <c r="C41994" s="309"/>
      <c r="I41994" s="309"/>
      <c r="J41994" s="309"/>
    </row>
    <row r="41995">
      <c r="B41995" s="309"/>
      <c r="C41995" s="309"/>
      <c r="I41995" s="309"/>
      <c r="J41995" s="309"/>
    </row>
    <row r="41996">
      <c r="B41996" s="309"/>
      <c r="C41996" s="309"/>
      <c r="I41996" s="309"/>
      <c r="J41996" s="309"/>
    </row>
    <row r="41997">
      <c r="B41997" s="309"/>
      <c r="C41997" s="309"/>
      <c r="I41997" s="309"/>
      <c r="J41997" s="309"/>
    </row>
    <row r="41998">
      <c r="B41998" s="309"/>
      <c r="C41998" s="309"/>
      <c r="I41998" s="309"/>
      <c r="J41998" s="309"/>
    </row>
    <row r="41999">
      <c r="B41999" s="309"/>
      <c r="C41999" s="309"/>
      <c r="I41999" s="309"/>
      <c r="J41999" s="309"/>
    </row>
    <row r="42000">
      <c r="B42000" s="309"/>
      <c r="C42000" s="309"/>
      <c r="I42000" s="309"/>
      <c r="J42000" s="309"/>
    </row>
    <row r="42001">
      <c r="B42001" s="309"/>
      <c r="C42001" s="309"/>
      <c r="I42001" s="309"/>
      <c r="J42001" s="309"/>
    </row>
    <row r="42002">
      <c r="B42002" s="309"/>
      <c r="C42002" s="309"/>
      <c r="I42002" s="309"/>
      <c r="J42002" s="309"/>
    </row>
    <row r="42003">
      <c r="B42003" s="309"/>
      <c r="C42003" s="309"/>
      <c r="I42003" s="309"/>
      <c r="J42003" s="309"/>
    </row>
    <row r="42004">
      <c r="B42004" s="309"/>
      <c r="C42004" s="309"/>
      <c r="I42004" s="309"/>
      <c r="J42004" s="309"/>
    </row>
    <row r="42005">
      <c r="B42005" s="309"/>
      <c r="C42005" s="309"/>
      <c r="I42005" s="309"/>
      <c r="J42005" s="309"/>
    </row>
    <row r="42006">
      <c r="B42006" s="309"/>
      <c r="C42006" s="309"/>
      <c r="I42006" s="309"/>
      <c r="J42006" s="309"/>
    </row>
    <row r="42007">
      <c r="B42007" s="309"/>
      <c r="C42007" s="309"/>
      <c r="I42007" s="309"/>
      <c r="J42007" s="309"/>
    </row>
    <row r="42008">
      <c r="B42008" s="309"/>
      <c r="C42008" s="309"/>
      <c r="I42008" s="309"/>
      <c r="J42008" s="309"/>
    </row>
    <row r="42009">
      <c r="B42009" s="309"/>
      <c r="C42009" s="309"/>
      <c r="I42009" s="309"/>
      <c r="J42009" s="309"/>
    </row>
    <row r="42010">
      <c r="B42010" s="309"/>
      <c r="C42010" s="309"/>
      <c r="I42010" s="309"/>
      <c r="J42010" s="309"/>
    </row>
    <row r="42011">
      <c r="B42011" s="309"/>
      <c r="C42011" s="309"/>
      <c r="I42011" s="309"/>
      <c r="J42011" s="309"/>
    </row>
    <row r="42012">
      <c r="B42012" s="309"/>
      <c r="C42012" s="309"/>
      <c r="I42012" s="309"/>
      <c r="J42012" s="309"/>
    </row>
    <row r="42013">
      <c r="B42013" s="309"/>
      <c r="C42013" s="309"/>
      <c r="I42013" s="309"/>
      <c r="J42013" s="309"/>
    </row>
    <row r="42014">
      <c r="B42014" s="309"/>
      <c r="C42014" s="309"/>
      <c r="I42014" s="309"/>
      <c r="J42014" s="309"/>
    </row>
    <row r="42015">
      <c r="B42015" s="309"/>
      <c r="C42015" s="309"/>
      <c r="I42015" s="309"/>
      <c r="J42015" s="309"/>
    </row>
    <row r="42016">
      <c r="B42016" s="309"/>
      <c r="C42016" s="309"/>
      <c r="I42016" s="309"/>
      <c r="J42016" s="309"/>
    </row>
    <row r="42017">
      <c r="B42017" s="309"/>
      <c r="C42017" s="309"/>
      <c r="I42017" s="309"/>
      <c r="J42017" s="309"/>
    </row>
    <row r="42018">
      <c r="B42018" s="309"/>
      <c r="C42018" s="309"/>
      <c r="I42018" s="309"/>
      <c r="J42018" s="309"/>
    </row>
    <row r="42019">
      <c r="B42019" s="309"/>
      <c r="C42019" s="309"/>
      <c r="I42019" s="309"/>
      <c r="J42019" s="309"/>
    </row>
    <row r="42020">
      <c r="B42020" s="309"/>
      <c r="C42020" s="309"/>
      <c r="I42020" s="309"/>
      <c r="J42020" s="309"/>
    </row>
    <row r="42021">
      <c r="B42021" s="309"/>
      <c r="C42021" s="309"/>
      <c r="I42021" s="309"/>
      <c r="J42021" s="309"/>
    </row>
    <row r="42022">
      <c r="B42022" s="309"/>
      <c r="C42022" s="309"/>
      <c r="I42022" s="309"/>
      <c r="J42022" s="309"/>
    </row>
    <row r="42023">
      <c r="B42023" s="309"/>
      <c r="C42023" s="309"/>
      <c r="I42023" s="309"/>
      <c r="J42023" s="309"/>
    </row>
    <row r="42024">
      <c r="B42024" s="309"/>
      <c r="C42024" s="309"/>
      <c r="I42024" s="309"/>
      <c r="J42024" s="309"/>
    </row>
    <row r="42025">
      <c r="B42025" s="309"/>
      <c r="C42025" s="309"/>
      <c r="I42025" s="309"/>
      <c r="J42025" s="309"/>
    </row>
    <row r="42026">
      <c r="B42026" s="309"/>
      <c r="C42026" s="309"/>
      <c r="I42026" s="309"/>
      <c r="J42026" s="309"/>
    </row>
    <row r="42027">
      <c r="B42027" s="309"/>
      <c r="C42027" s="309"/>
      <c r="I42027" s="309"/>
      <c r="J42027" s="309"/>
    </row>
    <row r="42028">
      <c r="B42028" s="309"/>
      <c r="C42028" s="309"/>
      <c r="I42028" s="309"/>
      <c r="J42028" s="309"/>
    </row>
    <row r="42029">
      <c r="B42029" s="309"/>
      <c r="C42029" s="309"/>
      <c r="I42029" s="309"/>
      <c r="J42029" s="309"/>
    </row>
    <row r="42030">
      <c r="B42030" s="309"/>
      <c r="C42030" s="309"/>
      <c r="I42030" s="309"/>
      <c r="J42030" s="309"/>
    </row>
    <row r="42031">
      <c r="B42031" s="309"/>
      <c r="C42031" s="309"/>
      <c r="I42031" s="309"/>
      <c r="J42031" s="309"/>
    </row>
    <row r="42032">
      <c r="B42032" s="309"/>
      <c r="C42032" s="309"/>
      <c r="I42032" s="309"/>
      <c r="J42032" s="309"/>
    </row>
    <row r="42033">
      <c r="B42033" s="309"/>
      <c r="C42033" s="309"/>
      <c r="I42033" s="309"/>
      <c r="J42033" s="309"/>
    </row>
    <row r="42034">
      <c r="B42034" s="309"/>
      <c r="C42034" s="309"/>
      <c r="I42034" s="309"/>
      <c r="J42034" s="309"/>
    </row>
    <row r="42035">
      <c r="B42035" s="309"/>
      <c r="C42035" s="309"/>
      <c r="I42035" s="309"/>
      <c r="J42035" s="309"/>
    </row>
    <row r="42036">
      <c r="B42036" s="309"/>
      <c r="C42036" s="309"/>
      <c r="I42036" s="309"/>
      <c r="J42036" s="309"/>
    </row>
    <row r="42037">
      <c r="B42037" s="309"/>
      <c r="C42037" s="309"/>
      <c r="I42037" s="309"/>
      <c r="J42037" s="309"/>
    </row>
    <row r="42038">
      <c r="B42038" s="309"/>
      <c r="C42038" s="309"/>
      <c r="I42038" s="309"/>
      <c r="J42038" s="309"/>
    </row>
    <row r="42039">
      <c r="B42039" s="309"/>
      <c r="C42039" s="309"/>
      <c r="I42039" s="309"/>
      <c r="J42039" s="309"/>
    </row>
    <row r="42040">
      <c r="B42040" s="309"/>
      <c r="C42040" s="309"/>
      <c r="I42040" s="309"/>
      <c r="J42040" s="309"/>
    </row>
    <row r="42041">
      <c r="B42041" s="309"/>
      <c r="C42041" s="309"/>
      <c r="I42041" s="309"/>
      <c r="J42041" s="309"/>
    </row>
    <row r="42042">
      <c r="B42042" s="309"/>
      <c r="C42042" s="309"/>
      <c r="I42042" s="309"/>
      <c r="J42042" s="309"/>
    </row>
    <row r="42043">
      <c r="B42043" s="309"/>
      <c r="C42043" s="309"/>
      <c r="I42043" s="309"/>
      <c r="J42043" s="309"/>
    </row>
    <row r="42044">
      <c r="B42044" s="309"/>
      <c r="C42044" s="309"/>
      <c r="I42044" s="309"/>
      <c r="J42044" s="309"/>
    </row>
    <row r="42045">
      <c r="B42045" s="309"/>
      <c r="C42045" s="309"/>
      <c r="I42045" s="309"/>
      <c r="J42045" s="309"/>
    </row>
    <row r="42046">
      <c r="B42046" s="309"/>
      <c r="C42046" s="309"/>
      <c r="I42046" s="309"/>
      <c r="J42046" s="309"/>
    </row>
    <row r="42047">
      <c r="B42047" s="309"/>
      <c r="C42047" s="309"/>
      <c r="I42047" s="309"/>
      <c r="J42047" s="309"/>
    </row>
    <row r="42048">
      <c r="B42048" s="309"/>
      <c r="C42048" s="309"/>
      <c r="I42048" s="309"/>
      <c r="J42048" s="309"/>
    </row>
    <row r="42049">
      <c r="B42049" s="309"/>
      <c r="C42049" s="309"/>
      <c r="I42049" s="309"/>
      <c r="J42049" s="309"/>
    </row>
    <row r="42050">
      <c r="B42050" s="309"/>
      <c r="C42050" s="309"/>
      <c r="I42050" s="309"/>
      <c r="J42050" s="309"/>
    </row>
    <row r="42051">
      <c r="B42051" s="309"/>
      <c r="C42051" s="309"/>
      <c r="I42051" s="309"/>
      <c r="J42051" s="309"/>
    </row>
    <row r="42052">
      <c r="B42052" s="309"/>
      <c r="C42052" s="309"/>
      <c r="I42052" s="309"/>
      <c r="J42052" s="309"/>
    </row>
    <row r="42053">
      <c r="B42053" s="309"/>
      <c r="C42053" s="309"/>
      <c r="I42053" s="309"/>
      <c r="J42053" s="309"/>
    </row>
    <row r="42054">
      <c r="B42054" s="309"/>
      <c r="C42054" s="309"/>
      <c r="I42054" s="309"/>
      <c r="J42054" s="309"/>
    </row>
    <row r="42055">
      <c r="B42055" s="309"/>
      <c r="C42055" s="309"/>
      <c r="I42055" s="309"/>
      <c r="J42055" s="309"/>
    </row>
    <row r="42056">
      <c r="B42056" s="309"/>
      <c r="C42056" s="309"/>
      <c r="I42056" s="309"/>
      <c r="J42056" s="309"/>
    </row>
    <row r="42057">
      <c r="B42057" s="309"/>
      <c r="C42057" s="309"/>
      <c r="I42057" s="309"/>
      <c r="J42057" s="309"/>
    </row>
    <row r="42058">
      <c r="B42058" s="309"/>
      <c r="C42058" s="309"/>
      <c r="I42058" s="309"/>
      <c r="J42058" s="309"/>
    </row>
    <row r="42059">
      <c r="B42059" s="309"/>
      <c r="C42059" s="309"/>
      <c r="I42059" s="309"/>
      <c r="J42059" s="309"/>
    </row>
    <row r="42060">
      <c r="B42060" s="309"/>
      <c r="C42060" s="309"/>
      <c r="I42060" s="309"/>
      <c r="J42060" s="309"/>
    </row>
    <row r="42061">
      <c r="B42061" s="309"/>
      <c r="C42061" s="309"/>
      <c r="I42061" s="309"/>
      <c r="J42061" s="309"/>
    </row>
    <row r="42062">
      <c r="B42062" s="309"/>
      <c r="C42062" s="309"/>
      <c r="I42062" s="309"/>
      <c r="J42062" s="309"/>
    </row>
    <row r="42063">
      <c r="B42063" s="309"/>
      <c r="C42063" s="309"/>
      <c r="I42063" s="309"/>
      <c r="J42063" s="309"/>
    </row>
    <row r="42064">
      <c r="B42064" s="309"/>
      <c r="C42064" s="309"/>
      <c r="I42064" s="309"/>
      <c r="J42064" s="309"/>
    </row>
    <row r="42065">
      <c r="B42065" s="309"/>
      <c r="C42065" s="309"/>
      <c r="I42065" s="309"/>
      <c r="J42065" s="309"/>
    </row>
    <row r="42066">
      <c r="B42066" s="309"/>
      <c r="C42066" s="309"/>
      <c r="I42066" s="309"/>
      <c r="J42066" s="309"/>
    </row>
    <row r="42067">
      <c r="B42067" s="309"/>
      <c r="C42067" s="309"/>
      <c r="I42067" s="309"/>
      <c r="J42067" s="309"/>
    </row>
    <row r="42068">
      <c r="B42068" s="309"/>
      <c r="C42068" s="309"/>
      <c r="I42068" s="309"/>
      <c r="J42068" s="309"/>
    </row>
    <row r="42069">
      <c r="B42069" s="309"/>
      <c r="C42069" s="309"/>
      <c r="I42069" s="309"/>
      <c r="J42069" s="309"/>
    </row>
    <row r="42070">
      <c r="B42070" s="309"/>
      <c r="C42070" s="309"/>
      <c r="I42070" s="309"/>
      <c r="J42070" s="309"/>
    </row>
    <row r="42071">
      <c r="B42071" s="309"/>
      <c r="C42071" s="309"/>
      <c r="I42071" s="309"/>
      <c r="J42071" s="309"/>
    </row>
    <row r="42072">
      <c r="B42072" s="309"/>
      <c r="C42072" s="309"/>
      <c r="I42072" s="309"/>
      <c r="J42072" s="309"/>
    </row>
    <row r="42073">
      <c r="B42073" s="309"/>
      <c r="C42073" s="309"/>
      <c r="I42073" s="309"/>
      <c r="J42073" s="309"/>
    </row>
    <row r="42074">
      <c r="B42074" s="309"/>
      <c r="C42074" s="309"/>
      <c r="I42074" s="309"/>
      <c r="J42074" s="309"/>
    </row>
    <row r="42075">
      <c r="B42075" s="309"/>
      <c r="C42075" s="309"/>
      <c r="I42075" s="309"/>
      <c r="J42075" s="309"/>
    </row>
    <row r="42076">
      <c r="B42076" s="309"/>
      <c r="C42076" s="309"/>
      <c r="I42076" s="309"/>
      <c r="J42076" s="309"/>
    </row>
    <row r="42077">
      <c r="B42077" s="309"/>
      <c r="C42077" s="309"/>
      <c r="I42077" s="309"/>
      <c r="J42077" s="309"/>
    </row>
    <row r="42078">
      <c r="B42078" s="309"/>
      <c r="C42078" s="309"/>
      <c r="I42078" s="309"/>
      <c r="J42078" s="309"/>
    </row>
    <row r="42079">
      <c r="B42079" s="309"/>
      <c r="C42079" s="309"/>
      <c r="I42079" s="309"/>
      <c r="J42079" s="309"/>
    </row>
    <row r="42080">
      <c r="B42080" s="309"/>
      <c r="C42080" s="309"/>
      <c r="I42080" s="309"/>
      <c r="J42080" s="309"/>
    </row>
    <row r="42081">
      <c r="B42081" s="309"/>
      <c r="C42081" s="309"/>
      <c r="I42081" s="309"/>
      <c r="J42081" s="309"/>
    </row>
    <row r="42082">
      <c r="B42082" s="309"/>
      <c r="C42082" s="309"/>
      <c r="I42082" s="309"/>
      <c r="J42082" s="309"/>
    </row>
    <row r="42083">
      <c r="B42083" s="309"/>
      <c r="C42083" s="309"/>
      <c r="I42083" s="309"/>
      <c r="J42083" s="309"/>
    </row>
    <row r="42084">
      <c r="B42084" s="309"/>
      <c r="C42084" s="309"/>
      <c r="I42084" s="309"/>
      <c r="J42084" s="309"/>
    </row>
    <row r="42085">
      <c r="B42085" s="309"/>
      <c r="C42085" s="309"/>
      <c r="I42085" s="309"/>
      <c r="J42085" s="309"/>
    </row>
    <row r="42086">
      <c r="B42086" s="309"/>
      <c r="C42086" s="309"/>
      <c r="I42086" s="309"/>
      <c r="J42086" s="309"/>
    </row>
    <row r="42087">
      <c r="B42087" s="309"/>
      <c r="C42087" s="309"/>
      <c r="I42087" s="309"/>
      <c r="J42087" s="309"/>
    </row>
    <row r="42088">
      <c r="B42088" s="309"/>
      <c r="C42088" s="309"/>
      <c r="I42088" s="309"/>
      <c r="J42088" s="309"/>
    </row>
    <row r="42089">
      <c r="B42089" s="309"/>
      <c r="C42089" s="309"/>
      <c r="I42089" s="309"/>
      <c r="J42089" s="309"/>
    </row>
    <row r="42090">
      <c r="B42090" s="309"/>
      <c r="C42090" s="309"/>
      <c r="I42090" s="309"/>
      <c r="J42090" s="309"/>
    </row>
    <row r="42091">
      <c r="B42091" s="309"/>
      <c r="C42091" s="309"/>
      <c r="I42091" s="309"/>
      <c r="J42091" s="309"/>
    </row>
    <row r="42092">
      <c r="B42092" s="309"/>
      <c r="C42092" s="309"/>
      <c r="I42092" s="309"/>
      <c r="J42092" s="309"/>
    </row>
    <row r="42093">
      <c r="B42093" s="309"/>
      <c r="C42093" s="309"/>
      <c r="I42093" s="309"/>
      <c r="J42093" s="309"/>
    </row>
    <row r="42094">
      <c r="B42094" s="309"/>
      <c r="C42094" s="309"/>
      <c r="I42094" s="309"/>
      <c r="J42094" s="309"/>
    </row>
    <row r="42095">
      <c r="B42095" s="309"/>
      <c r="C42095" s="309"/>
      <c r="I42095" s="309"/>
      <c r="J42095" s="309"/>
    </row>
    <row r="42096">
      <c r="B42096" s="309"/>
      <c r="C42096" s="309"/>
      <c r="I42096" s="309"/>
      <c r="J42096" s="309"/>
    </row>
    <row r="42097">
      <c r="B42097" s="309"/>
      <c r="C42097" s="309"/>
      <c r="I42097" s="309"/>
      <c r="J42097" s="309"/>
    </row>
    <row r="42098">
      <c r="B42098" s="309"/>
      <c r="C42098" s="309"/>
      <c r="I42098" s="309"/>
      <c r="J42098" s="309"/>
    </row>
    <row r="42099">
      <c r="B42099" s="309"/>
      <c r="C42099" s="309"/>
      <c r="I42099" s="309"/>
      <c r="J42099" s="309"/>
    </row>
    <row r="42100">
      <c r="B42100" s="309"/>
      <c r="C42100" s="309"/>
      <c r="I42100" s="309"/>
      <c r="J42100" s="309"/>
    </row>
    <row r="42101">
      <c r="B42101" s="309"/>
      <c r="C42101" s="309"/>
      <c r="I42101" s="309"/>
      <c r="J42101" s="309"/>
    </row>
    <row r="42102">
      <c r="B42102" s="309"/>
      <c r="C42102" s="309"/>
      <c r="I42102" s="309"/>
      <c r="J42102" s="309"/>
    </row>
    <row r="42103">
      <c r="B42103" s="309"/>
      <c r="C42103" s="309"/>
      <c r="I42103" s="309"/>
      <c r="J42103" s="309"/>
    </row>
    <row r="42104">
      <c r="B42104" s="309"/>
      <c r="C42104" s="309"/>
      <c r="I42104" s="309"/>
      <c r="J42104" s="309"/>
    </row>
    <row r="42105">
      <c r="B42105" s="309"/>
      <c r="C42105" s="309"/>
      <c r="I42105" s="309"/>
      <c r="J42105" s="309"/>
    </row>
    <row r="42106">
      <c r="B42106" s="309"/>
      <c r="C42106" s="309"/>
      <c r="I42106" s="309"/>
      <c r="J42106" s="309"/>
    </row>
    <row r="42107">
      <c r="B42107" s="309"/>
      <c r="C42107" s="309"/>
      <c r="I42107" s="309"/>
      <c r="J42107" s="309"/>
    </row>
    <row r="42108">
      <c r="B42108" s="309"/>
      <c r="C42108" s="309"/>
      <c r="I42108" s="309"/>
      <c r="J42108" s="309"/>
    </row>
    <row r="42109">
      <c r="B42109" s="309"/>
      <c r="C42109" s="309"/>
      <c r="I42109" s="309"/>
      <c r="J42109" s="309"/>
    </row>
    <row r="42110">
      <c r="B42110" s="309"/>
      <c r="C42110" s="309"/>
      <c r="I42110" s="309"/>
      <c r="J42110" s="309"/>
    </row>
    <row r="42111">
      <c r="B42111" s="309"/>
      <c r="C42111" s="309"/>
      <c r="I42111" s="309"/>
      <c r="J42111" s="309"/>
    </row>
    <row r="42112">
      <c r="B42112" s="309"/>
      <c r="C42112" s="309"/>
      <c r="I42112" s="309"/>
      <c r="J42112" s="309"/>
    </row>
    <row r="42113">
      <c r="B42113" s="309"/>
      <c r="C42113" s="309"/>
      <c r="I42113" s="309"/>
      <c r="J42113" s="309"/>
    </row>
    <row r="42114">
      <c r="B42114" s="309"/>
      <c r="C42114" s="309"/>
      <c r="I42114" s="309"/>
      <c r="J42114" s="309"/>
    </row>
    <row r="42115">
      <c r="B42115" s="309"/>
      <c r="C42115" s="309"/>
      <c r="I42115" s="309"/>
      <c r="J42115" s="309"/>
    </row>
    <row r="42116">
      <c r="B42116" s="309"/>
      <c r="C42116" s="309"/>
      <c r="I42116" s="309"/>
      <c r="J42116" s="309"/>
    </row>
    <row r="42117">
      <c r="B42117" s="309"/>
      <c r="C42117" s="309"/>
      <c r="I42117" s="309"/>
      <c r="J42117" s="309"/>
    </row>
    <row r="42118">
      <c r="B42118" s="309"/>
      <c r="C42118" s="309"/>
      <c r="I42118" s="309"/>
      <c r="J42118" s="309"/>
    </row>
    <row r="42119">
      <c r="B42119" s="309"/>
      <c r="C42119" s="309"/>
      <c r="I42119" s="309"/>
      <c r="J42119" s="309"/>
    </row>
    <row r="42120">
      <c r="B42120" s="309"/>
      <c r="C42120" s="309"/>
      <c r="I42120" s="309"/>
      <c r="J42120" s="309"/>
    </row>
    <row r="42121">
      <c r="B42121" s="309"/>
      <c r="C42121" s="309"/>
      <c r="I42121" s="309"/>
      <c r="J42121" s="309"/>
    </row>
    <row r="42122">
      <c r="B42122" s="309"/>
      <c r="C42122" s="309"/>
      <c r="I42122" s="309"/>
      <c r="J42122" s="309"/>
    </row>
    <row r="42123">
      <c r="B42123" s="309"/>
      <c r="C42123" s="309"/>
      <c r="I42123" s="309"/>
      <c r="J42123" s="309"/>
    </row>
    <row r="42124">
      <c r="B42124" s="309"/>
      <c r="C42124" s="309"/>
      <c r="I42124" s="309"/>
      <c r="J42124" s="309"/>
    </row>
    <row r="42125">
      <c r="B42125" s="309"/>
      <c r="C42125" s="309"/>
      <c r="I42125" s="309"/>
      <c r="J42125" s="309"/>
    </row>
    <row r="42126">
      <c r="B42126" s="309"/>
      <c r="C42126" s="309"/>
      <c r="I42126" s="309"/>
      <c r="J42126" s="309"/>
    </row>
    <row r="42127">
      <c r="B42127" s="309"/>
      <c r="C42127" s="309"/>
      <c r="I42127" s="309"/>
      <c r="J42127" s="309"/>
    </row>
    <row r="42128">
      <c r="B42128" s="309"/>
      <c r="C42128" s="309"/>
      <c r="I42128" s="309"/>
      <c r="J42128" s="309"/>
    </row>
    <row r="42129">
      <c r="B42129" s="309"/>
      <c r="C42129" s="309"/>
      <c r="I42129" s="309"/>
      <c r="J42129" s="309"/>
    </row>
    <row r="42130">
      <c r="B42130" s="309"/>
      <c r="C42130" s="309"/>
      <c r="I42130" s="309"/>
      <c r="J42130" s="309"/>
    </row>
    <row r="42131">
      <c r="B42131" s="309"/>
      <c r="C42131" s="309"/>
      <c r="I42131" s="309"/>
      <c r="J42131" s="309"/>
    </row>
    <row r="42132">
      <c r="B42132" s="309"/>
      <c r="C42132" s="309"/>
      <c r="I42132" s="309"/>
      <c r="J42132" s="309"/>
    </row>
    <row r="42133">
      <c r="B42133" s="309"/>
      <c r="C42133" s="309"/>
      <c r="I42133" s="309"/>
      <c r="J42133" s="309"/>
    </row>
    <row r="42134">
      <c r="B42134" s="309"/>
      <c r="C42134" s="309"/>
      <c r="I42134" s="309"/>
      <c r="J42134" s="309"/>
    </row>
    <row r="42135">
      <c r="B42135" s="309"/>
      <c r="C42135" s="309"/>
      <c r="I42135" s="309"/>
      <c r="J42135" s="309"/>
    </row>
    <row r="42136">
      <c r="B42136" s="309"/>
      <c r="C42136" s="309"/>
      <c r="I42136" s="309"/>
      <c r="J42136" s="309"/>
    </row>
    <row r="42137">
      <c r="B42137" s="309"/>
      <c r="C42137" s="309"/>
      <c r="I42137" s="309"/>
      <c r="J42137" s="309"/>
    </row>
    <row r="42138">
      <c r="B42138" s="309"/>
      <c r="C42138" s="309"/>
      <c r="I42138" s="309"/>
      <c r="J42138" s="309"/>
    </row>
    <row r="42139">
      <c r="B42139" s="309"/>
      <c r="C42139" s="309"/>
      <c r="I42139" s="309"/>
      <c r="J42139" s="309"/>
    </row>
    <row r="42140">
      <c r="B42140" s="309"/>
      <c r="C42140" s="309"/>
      <c r="I42140" s="309"/>
      <c r="J42140" s="309"/>
    </row>
    <row r="42141">
      <c r="B42141" s="309"/>
      <c r="C42141" s="309"/>
      <c r="I42141" s="309"/>
      <c r="J42141" s="309"/>
    </row>
    <row r="42142">
      <c r="B42142" s="309"/>
      <c r="C42142" s="309"/>
      <c r="I42142" s="309"/>
      <c r="J42142" s="309"/>
    </row>
    <row r="42143">
      <c r="B42143" s="309"/>
      <c r="C42143" s="309"/>
      <c r="I42143" s="309"/>
      <c r="J42143" s="309"/>
    </row>
    <row r="42144">
      <c r="B42144" s="309"/>
      <c r="C42144" s="309"/>
      <c r="I42144" s="309"/>
      <c r="J42144" s="309"/>
    </row>
    <row r="42145">
      <c r="B42145" s="309"/>
      <c r="C42145" s="309"/>
      <c r="I42145" s="309"/>
      <c r="J42145" s="309"/>
    </row>
    <row r="42146">
      <c r="B42146" s="309"/>
      <c r="C42146" s="309"/>
      <c r="I42146" s="309"/>
      <c r="J42146" s="309"/>
    </row>
    <row r="42147">
      <c r="B42147" s="309"/>
      <c r="C42147" s="309"/>
      <c r="I42147" s="309"/>
      <c r="J42147" s="309"/>
    </row>
    <row r="42148">
      <c r="B42148" s="309"/>
      <c r="C42148" s="309"/>
      <c r="I42148" s="309"/>
      <c r="J42148" s="309"/>
    </row>
    <row r="42149">
      <c r="B42149" s="309"/>
      <c r="C42149" s="309"/>
      <c r="I42149" s="309"/>
      <c r="J42149" s="309"/>
    </row>
    <row r="42150">
      <c r="B42150" s="309"/>
      <c r="C42150" s="309"/>
      <c r="I42150" s="309"/>
      <c r="J42150" s="309"/>
    </row>
    <row r="42151">
      <c r="B42151" s="309"/>
      <c r="C42151" s="309"/>
      <c r="I42151" s="309"/>
      <c r="J42151" s="309"/>
    </row>
    <row r="42152">
      <c r="B42152" s="309"/>
      <c r="C42152" s="309"/>
      <c r="I42152" s="309"/>
      <c r="J42152" s="309"/>
    </row>
    <row r="42153">
      <c r="B42153" s="309"/>
      <c r="C42153" s="309"/>
      <c r="I42153" s="309"/>
      <c r="J42153" s="309"/>
    </row>
    <row r="42154">
      <c r="B42154" s="309"/>
      <c r="C42154" s="309"/>
      <c r="I42154" s="309"/>
      <c r="J42154" s="309"/>
    </row>
    <row r="42155">
      <c r="B42155" s="309"/>
      <c r="C42155" s="309"/>
      <c r="I42155" s="309"/>
      <c r="J42155" s="309"/>
    </row>
    <row r="42156">
      <c r="B42156" s="309"/>
      <c r="C42156" s="309"/>
      <c r="I42156" s="309"/>
      <c r="J42156" s="309"/>
    </row>
    <row r="42157">
      <c r="B42157" s="309"/>
      <c r="C42157" s="309"/>
      <c r="I42157" s="309"/>
      <c r="J42157" s="309"/>
    </row>
    <row r="42158">
      <c r="B42158" s="309"/>
      <c r="C42158" s="309"/>
      <c r="I42158" s="309"/>
      <c r="J42158" s="309"/>
    </row>
    <row r="42159">
      <c r="B42159" s="309"/>
      <c r="C42159" s="309"/>
      <c r="I42159" s="309"/>
      <c r="J42159" s="309"/>
    </row>
    <row r="42160">
      <c r="B42160" s="309"/>
      <c r="C42160" s="309"/>
      <c r="I42160" s="309"/>
      <c r="J42160" s="309"/>
    </row>
    <row r="42161">
      <c r="B42161" s="309"/>
      <c r="C42161" s="309"/>
      <c r="I42161" s="309"/>
      <c r="J42161" s="309"/>
    </row>
    <row r="42162">
      <c r="B42162" s="309"/>
      <c r="C42162" s="309"/>
      <c r="I42162" s="309"/>
      <c r="J42162" s="309"/>
    </row>
    <row r="42163">
      <c r="B42163" s="309"/>
      <c r="C42163" s="309"/>
      <c r="I42163" s="309"/>
      <c r="J42163" s="309"/>
    </row>
    <row r="42164">
      <c r="B42164" s="309"/>
      <c r="C42164" s="309"/>
      <c r="I42164" s="309"/>
      <c r="J42164" s="309"/>
    </row>
    <row r="42165">
      <c r="B42165" s="309"/>
      <c r="C42165" s="309"/>
      <c r="I42165" s="309"/>
      <c r="J42165" s="309"/>
    </row>
    <row r="42166">
      <c r="B42166" s="309"/>
      <c r="C42166" s="309"/>
      <c r="I42166" s="309"/>
      <c r="J42166" s="309"/>
    </row>
    <row r="42167">
      <c r="B42167" s="309"/>
      <c r="C42167" s="309"/>
      <c r="I42167" s="309"/>
      <c r="J42167" s="309"/>
    </row>
    <row r="42168">
      <c r="B42168" s="309"/>
      <c r="C42168" s="309"/>
      <c r="I42168" s="309"/>
      <c r="J42168" s="309"/>
    </row>
    <row r="42169">
      <c r="B42169" s="309"/>
      <c r="C42169" s="309"/>
      <c r="I42169" s="309"/>
      <c r="J42169" s="309"/>
    </row>
    <row r="42170">
      <c r="B42170" s="309"/>
      <c r="C42170" s="309"/>
      <c r="I42170" s="309"/>
      <c r="J42170" s="309"/>
    </row>
    <row r="42171">
      <c r="B42171" s="309"/>
      <c r="C42171" s="309"/>
      <c r="I42171" s="309"/>
      <c r="J42171" s="309"/>
    </row>
    <row r="42172">
      <c r="B42172" s="309"/>
      <c r="C42172" s="309"/>
      <c r="I42172" s="309"/>
      <c r="J42172" s="309"/>
    </row>
    <row r="42173">
      <c r="B42173" s="309"/>
      <c r="C42173" s="309"/>
      <c r="I42173" s="309"/>
      <c r="J42173" s="309"/>
    </row>
    <row r="42174">
      <c r="B42174" s="309"/>
      <c r="C42174" s="309"/>
      <c r="I42174" s="309"/>
      <c r="J42174" s="309"/>
    </row>
    <row r="42175">
      <c r="B42175" s="309"/>
      <c r="C42175" s="309"/>
      <c r="I42175" s="309"/>
      <c r="J42175" s="309"/>
    </row>
    <row r="42176">
      <c r="B42176" s="309"/>
      <c r="C42176" s="309"/>
      <c r="I42176" s="309"/>
      <c r="J42176" s="309"/>
    </row>
    <row r="42177">
      <c r="B42177" s="309"/>
      <c r="C42177" s="309"/>
      <c r="I42177" s="309"/>
      <c r="J42177" s="309"/>
    </row>
    <row r="42178">
      <c r="B42178" s="309"/>
      <c r="C42178" s="309"/>
      <c r="I42178" s="309"/>
      <c r="J42178" s="309"/>
    </row>
    <row r="42179">
      <c r="B42179" s="309"/>
      <c r="C42179" s="309"/>
      <c r="I42179" s="309"/>
      <c r="J42179" s="309"/>
    </row>
    <row r="42180">
      <c r="B42180" s="309"/>
      <c r="C42180" s="309"/>
      <c r="I42180" s="309"/>
      <c r="J42180" s="309"/>
    </row>
    <row r="42181">
      <c r="B42181" s="309"/>
      <c r="C42181" s="309"/>
      <c r="I42181" s="309"/>
      <c r="J42181" s="309"/>
    </row>
    <row r="42182">
      <c r="B42182" s="309"/>
      <c r="C42182" s="309"/>
      <c r="I42182" s="309"/>
      <c r="J42182" s="309"/>
    </row>
    <row r="42183">
      <c r="B42183" s="309"/>
      <c r="C42183" s="309"/>
      <c r="I42183" s="309"/>
      <c r="J42183" s="309"/>
    </row>
    <row r="42184">
      <c r="B42184" s="309"/>
      <c r="C42184" s="309"/>
      <c r="I42184" s="309"/>
      <c r="J42184" s="309"/>
    </row>
    <row r="42185">
      <c r="B42185" s="309"/>
      <c r="C42185" s="309"/>
      <c r="I42185" s="309"/>
      <c r="J42185" s="309"/>
    </row>
    <row r="42186">
      <c r="B42186" s="309"/>
      <c r="C42186" s="309"/>
      <c r="I42186" s="309"/>
      <c r="J42186" s="309"/>
    </row>
    <row r="42187">
      <c r="B42187" s="309"/>
      <c r="C42187" s="309"/>
      <c r="I42187" s="309"/>
      <c r="J42187" s="309"/>
    </row>
    <row r="42188">
      <c r="B42188" s="309"/>
      <c r="C42188" s="309"/>
      <c r="I42188" s="309"/>
      <c r="J42188" s="309"/>
    </row>
    <row r="42189">
      <c r="B42189" s="309"/>
      <c r="C42189" s="309"/>
      <c r="I42189" s="309"/>
      <c r="J42189" s="309"/>
    </row>
    <row r="42190">
      <c r="B42190" s="309"/>
      <c r="C42190" s="309"/>
      <c r="I42190" s="309"/>
      <c r="J42190" s="309"/>
    </row>
    <row r="42191">
      <c r="B42191" s="309"/>
      <c r="C42191" s="309"/>
      <c r="I42191" s="309"/>
      <c r="J42191" s="309"/>
    </row>
    <row r="42192">
      <c r="B42192" s="309"/>
      <c r="C42192" s="309"/>
      <c r="I42192" s="309"/>
      <c r="J42192" s="309"/>
    </row>
    <row r="42193">
      <c r="B42193" s="309"/>
      <c r="C42193" s="309"/>
      <c r="I42193" s="309"/>
      <c r="J42193" s="309"/>
    </row>
    <row r="42194">
      <c r="B42194" s="309"/>
      <c r="C42194" s="309"/>
      <c r="I42194" s="309"/>
      <c r="J42194" s="309"/>
    </row>
    <row r="42195">
      <c r="B42195" s="309"/>
      <c r="C42195" s="309"/>
      <c r="I42195" s="309"/>
      <c r="J42195" s="309"/>
    </row>
    <row r="42196">
      <c r="B42196" s="309"/>
      <c r="C42196" s="309"/>
      <c r="I42196" s="309"/>
      <c r="J42196" s="309"/>
    </row>
    <row r="42197">
      <c r="B42197" s="309"/>
      <c r="C42197" s="309"/>
      <c r="I42197" s="309"/>
      <c r="J42197" s="309"/>
    </row>
    <row r="42198">
      <c r="B42198" s="309"/>
      <c r="C42198" s="309"/>
      <c r="I42198" s="309"/>
      <c r="J42198" s="309"/>
    </row>
    <row r="42199">
      <c r="B42199" s="309"/>
      <c r="C42199" s="309"/>
      <c r="I42199" s="309"/>
      <c r="J42199" s="309"/>
    </row>
    <row r="42200">
      <c r="B42200" s="309"/>
      <c r="C42200" s="309"/>
      <c r="I42200" s="309"/>
      <c r="J42200" s="309"/>
    </row>
    <row r="42201">
      <c r="B42201" s="309"/>
      <c r="C42201" s="309"/>
      <c r="I42201" s="309"/>
      <c r="J42201" s="309"/>
    </row>
    <row r="42202">
      <c r="B42202" s="309"/>
      <c r="C42202" s="309"/>
      <c r="I42202" s="309"/>
      <c r="J42202" s="309"/>
    </row>
    <row r="42203">
      <c r="B42203" s="309"/>
      <c r="C42203" s="309"/>
      <c r="I42203" s="309"/>
      <c r="J42203" s="309"/>
    </row>
    <row r="42204">
      <c r="B42204" s="309"/>
      <c r="C42204" s="309"/>
      <c r="I42204" s="309"/>
      <c r="J42204" s="309"/>
    </row>
    <row r="42205">
      <c r="B42205" s="309"/>
      <c r="C42205" s="309"/>
      <c r="I42205" s="309"/>
      <c r="J42205" s="309"/>
    </row>
    <row r="42206">
      <c r="B42206" s="309"/>
      <c r="C42206" s="309"/>
      <c r="I42206" s="309"/>
      <c r="J42206" s="309"/>
    </row>
    <row r="42207">
      <c r="B42207" s="309"/>
      <c r="C42207" s="309"/>
      <c r="I42207" s="309"/>
      <c r="J42207" s="309"/>
    </row>
    <row r="42208">
      <c r="B42208" s="309"/>
      <c r="C42208" s="309"/>
      <c r="I42208" s="309"/>
      <c r="J42208" s="309"/>
    </row>
    <row r="42209">
      <c r="B42209" s="309"/>
      <c r="C42209" s="309"/>
      <c r="I42209" s="309"/>
      <c r="J42209" s="309"/>
    </row>
    <row r="42210">
      <c r="B42210" s="309"/>
      <c r="C42210" s="309"/>
      <c r="I42210" s="309"/>
      <c r="J42210" s="309"/>
    </row>
    <row r="42211">
      <c r="B42211" s="309"/>
      <c r="C42211" s="309"/>
      <c r="I42211" s="309"/>
      <c r="J42211" s="309"/>
    </row>
    <row r="42212">
      <c r="B42212" s="309"/>
      <c r="C42212" s="309"/>
      <c r="I42212" s="309"/>
      <c r="J42212" s="309"/>
    </row>
    <row r="42213">
      <c r="B42213" s="309"/>
      <c r="C42213" s="309"/>
      <c r="I42213" s="309"/>
      <c r="J42213" s="309"/>
    </row>
    <row r="42214">
      <c r="B42214" s="309"/>
      <c r="C42214" s="309"/>
      <c r="I42214" s="309"/>
      <c r="J42214" s="309"/>
    </row>
    <row r="42215">
      <c r="B42215" s="309"/>
      <c r="C42215" s="309"/>
      <c r="I42215" s="309"/>
      <c r="J42215" s="309"/>
    </row>
    <row r="42216">
      <c r="B42216" s="309"/>
      <c r="C42216" s="309"/>
      <c r="I42216" s="309"/>
      <c r="J42216" s="309"/>
    </row>
    <row r="42217">
      <c r="B42217" s="309"/>
      <c r="C42217" s="309"/>
      <c r="I42217" s="309"/>
      <c r="J42217" s="309"/>
    </row>
    <row r="42218">
      <c r="B42218" s="309"/>
      <c r="C42218" s="309"/>
      <c r="I42218" s="309"/>
      <c r="J42218" s="309"/>
    </row>
    <row r="42219">
      <c r="B42219" s="309"/>
      <c r="C42219" s="309"/>
      <c r="I42219" s="309"/>
      <c r="J42219" s="309"/>
    </row>
    <row r="42220">
      <c r="B42220" s="309"/>
      <c r="C42220" s="309"/>
      <c r="I42220" s="309"/>
      <c r="J42220" s="309"/>
    </row>
    <row r="42221">
      <c r="B42221" s="309"/>
      <c r="C42221" s="309"/>
      <c r="I42221" s="309"/>
      <c r="J42221" s="309"/>
    </row>
    <row r="42222">
      <c r="B42222" s="309"/>
      <c r="C42222" s="309"/>
      <c r="I42222" s="309"/>
      <c r="J42222" s="309"/>
    </row>
    <row r="42223">
      <c r="B42223" s="309"/>
      <c r="C42223" s="309"/>
      <c r="I42223" s="309"/>
      <c r="J42223" s="309"/>
    </row>
    <row r="42224">
      <c r="B42224" s="309"/>
      <c r="C42224" s="309"/>
      <c r="I42224" s="309"/>
      <c r="J42224" s="309"/>
    </row>
    <row r="42225">
      <c r="B42225" s="309"/>
      <c r="C42225" s="309"/>
      <c r="I42225" s="309"/>
      <c r="J42225" s="309"/>
    </row>
    <row r="42226">
      <c r="B42226" s="309"/>
      <c r="C42226" s="309"/>
      <c r="I42226" s="309"/>
      <c r="J42226" s="309"/>
    </row>
    <row r="42227">
      <c r="B42227" s="309"/>
      <c r="C42227" s="309"/>
      <c r="I42227" s="309"/>
      <c r="J42227" s="309"/>
    </row>
    <row r="42228">
      <c r="B42228" s="309"/>
      <c r="C42228" s="309"/>
      <c r="I42228" s="309"/>
      <c r="J42228" s="309"/>
    </row>
    <row r="42229">
      <c r="B42229" s="309"/>
      <c r="C42229" s="309"/>
      <c r="I42229" s="309"/>
      <c r="J42229" s="309"/>
    </row>
    <row r="42230">
      <c r="B42230" s="309"/>
      <c r="C42230" s="309"/>
      <c r="I42230" s="309"/>
      <c r="J42230" s="309"/>
    </row>
    <row r="42231">
      <c r="B42231" s="309"/>
      <c r="C42231" s="309"/>
      <c r="I42231" s="309"/>
      <c r="J42231" s="309"/>
    </row>
    <row r="42232">
      <c r="B42232" s="309"/>
      <c r="C42232" s="309"/>
      <c r="I42232" s="309"/>
      <c r="J42232" s="309"/>
    </row>
    <row r="42233">
      <c r="B42233" s="309"/>
      <c r="C42233" s="309"/>
      <c r="I42233" s="309"/>
      <c r="J42233" s="309"/>
    </row>
    <row r="42234">
      <c r="B42234" s="309"/>
      <c r="C42234" s="309"/>
      <c r="I42234" s="309"/>
      <c r="J42234" s="309"/>
    </row>
    <row r="42235">
      <c r="B42235" s="309"/>
      <c r="C42235" s="309"/>
      <c r="I42235" s="309"/>
      <c r="J42235" s="309"/>
    </row>
    <row r="42236">
      <c r="B42236" s="309"/>
      <c r="C42236" s="309"/>
      <c r="I42236" s="309"/>
      <c r="J42236" s="309"/>
    </row>
    <row r="42237">
      <c r="B42237" s="309"/>
      <c r="C42237" s="309"/>
      <c r="I42237" s="309"/>
      <c r="J42237" s="309"/>
    </row>
    <row r="42238">
      <c r="B42238" s="309"/>
      <c r="C42238" s="309"/>
      <c r="I42238" s="309"/>
      <c r="J42238" s="309"/>
    </row>
    <row r="42239">
      <c r="B42239" s="309"/>
      <c r="C42239" s="309"/>
      <c r="I42239" s="309"/>
      <c r="J42239" s="309"/>
    </row>
    <row r="42240">
      <c r="B42240" s="309"/>
      <c r="C42240" s="309"/>
      <c r="I42240" s="309"/>
      <c r="J42240" s="309"/>
    </row>
    <row r="42241">
      <c r="B42241" s="309"/>
      <c r="C42241" s="309"/>
      <c r="I42241" s="309"/>
      <c r="J42241" s="309"/>
    </row>
    <row r="42242">
      <c r="B42242" s="309"/>
      <c r="C42242" s="309"/>
      <c r="I42242" s="309"/>
      <c r="J42242" s="309"/>
    </row>
    <row r="42243">
      <c r="B42243" s="309"/>
      <c r="C42243" s="309"/>
      <c r="I42243" s="309"/>
      <c r="J42243" s="309"/>
    </row>
    <row r="42244">
      <c r="B42244" s="309"/>
      <c r="C42244" s="309"/>
      <c r="I42244" s="309"/>
      <c r="J42244" s="309"/>
    </row>
    <row r="42245">
      <c r="B42245" s="309"/>
      <c r="C42245" s="309"/>
      <c r="I42245" s="309"/>
      <c r="J42245" s="309"/>
    </row>
    <row r="42246">
      <c r="B42246" s="309"/>
      <c r="C42246" s="309"/>
      <c r="I42246" s="309"/>
      <c r="J42246" s="309"/>
    </row>
    <row r="42247">
      <c r="B42247" s="309"/>
      <c r="C42247" s="309"/>
      <c r="I42247" s="309"/>
      <c r="J42247" s="309"/>
    </row>
    <row r="42248">
      <c r="B42248" s="309"/>
      <c r="C42248" s="309"/>
      <c r="I42248" s="309"/>
      <c r="J42248" s="309"/>
    </row>
    <row r="42249">
      <c r="B42249" s="309"/>
      <c r="C42249" s="309"/>
      <c r="I42249" s="309"/>
      <c r="J42249" s="309"/>
    </row>
    <row r="42250">
      <c r="B42250" s="309"/>
      <c r="C42250" s="309"/>
      <c r="I42250" s="309"/>
      <c r="J42250" s="309"/>
    </row>
    <row r="42251">
      <c r="B42251" s="309"/>
      <c r="C42251" s="309"/>
      <c r="I42251" s="309"/>
      <c r="J42251" s="309"/>
    </row>
    <row r="42252">
      <c r="B42252" s="309"/>
      <c r="C42252" s="309"/>
      <c r="I42252" s="309"/>
      <c r="J42252" s="309"/>
    </row>
    <row r="42253">
      <c r="B42253" s="309"/>
      <c r="C42253" s="309"/>
      <c r="I42253" s="309"/>
      <c r="J42253" s="309"/>
    </row>
    <row r="42254">
      <c r="B42254" s="309"/>
      <c r="C42254" s="309"/>
      <c r="I42254" s="309"/>
      <c r="J42254" s="309"/>
    </row>
    <row r="42255">
      <c r="B42255" s="309"/>
      <c r="C42255" s="309"/>
      <c r="I42255" s="309"/>
      <c r="J42255" s="309"/>
    </row>
    <row r="42256">
      <c r="B42256" s="309"/>
      <c r="C42256" s="309"/>
      <c r="I42256" s="309"/>
      <c r="J42256" s="309"/>
    </row>
    <row r="42257">
      <c r="B42257" s="309"/>
      <c r="C42257" s="309"/>
      <c r="I42257" s="309"/>
      <c r="J42257" s="309"/>
    </row>
    <row r="42258">
      <c r="B42258" s="309"/>
      <c r="C42258" s="309"/>
      <c r="I42258" s="309"/>
      <c r="J42258" s="309"/>
    </row>
    <row r="42259">
      <c r="B42259" s="309"/>
      <c r="C42259" s="309"/>
      <c r="I42259" s="309"/>
      <c r="J42259" s="309"/>
    </row>
    <row r="42260">
      <c r="B42260" s="309"/>
      <c r="C42260" s="309"/>
      <c r="I42260" s="309"/>
      <c r="J42260" s="309"/>
    </row>
    <row r="42261">
      <c r="B42261" s="309"/>
      <c r="C42261" s="309"/>
      <c r="I42261" s="309"/>
      <c r="J42261" s="309"/>
    </row>
    <row r="42262">
      <c r="B42262" s="309"/>
      <c r="C42262" s="309"/>
      <c r="I42262" s="309"/>
      <c r="J42262" s="309"/>
    </row>
    <row r="42263">
      <c r="B42263" s="309"/>
      <c r="C42263" s="309"/>
      <c r="I42263" s="309"/>
      <c r="J42263" s="309"/>
    </row>
    <row r="42264">
      <c r="B42264" s="309"/>
      <c r="C42264" s="309"/>
      <c r="I42264" s="309"/>
      <c r="J42264" s="309"/>
    </row>
    <row r="42265">
      <c r="B42265" s="309"/>
      <c r="C42265" s="309"/>
      <c r="I42265" s="309"/>
      <c r="J42265" s="309"/>
    </row>
    <row r="42266">
      <c r="B42266" s="309"/>
      <c r="C42266" s="309"/>
      <c r="I42266" s="309"/>
      <c r="J42266" s="309"/>
    </row>
    <row r="42267">
      <c r="B42267" s="309"/>
      <c r="C42267" s="309"/>
      <c r="I42267" s="309"/>
      <c r="J42267" s="309"/>
    </row>
    <row r="42268">
      <c r="B42268" s="309"/>
      <c r="C42268" s="309"/>
      <c r="I42268" s="309"/>
      <c r="J42268" s="309"/>
    </row>
    <row r="42269">
      <c r="B42269" s="309"/>
      <c r="C42269" s="309"/>
      <c r="I42269" s="309"/>
      <c r="J42269" s="309"/>
    </row>
    <row r="42270">
      <c r="B42270" s="309"/>
      <c r="C42270" s="309"/>
      <c r="I42270" s="309"/>
      <c r="J42270" s="309"/>
    </row>
    <row r="42271">
      <c r="B42271" s="309"/>
      <c r="C42271" s="309"/>
      <c r="I42271" s="309"/>
      <c r="J42271" s="309"/>
    </row>
    <row r="42272">
      <c r="B42272" s="309"/>
      <c r="C42272" s="309"/>
      <c r="I42272" s="309"/>
      <c r="J42272" s="309"/>
    </row>
    <row r="42273">
      <c r="B42273" s="309"/>
      <c r="C42273" s="309"/>
      <c r="I42273" s="309"/>
      <c r="J42273" s="309"/>
    </row>
    <row r="42274">
      <c r="B42274" s="309"/>
      <c r="C42274" s="309"/>
      <c r="I42274" s="309"/>
      <c r="J42274" s="309"/>
    </row>
    <row r="42275">
      <c r="B42275" s="309"/>
      <c r="C42275" s="309"/>
      <c r="I42275" s="309"/>
      <c r="J42275" s="309"/>
    </row>
    <row r="42276">
      <c r="B42276" s="309"/>
      <c r="C42276" s="309"/>
      <c r="I42276" s="309"/>
      <c r="J42276" s="309"/>
    </row>
    <row r="42277">
      <c r="B42277" s="309"/>
      <c r="C42277" s="309"/>
      <c r="I42277" s="309"/>
      <c r="J42277" s="309"/>
    </row>
    <row r="42278">
      <c r="B42278" s="309"/>
      <c r="C42278" s="309"/>
      <c r="I42278" s="309"/>
      <c r="J42278" s="309"/>
    </row>
    <row r="42279">
      <c r="B42279" s="309"/>
      <c r="C42279" s="309"/>
      <c r="I42279" s="309"/>
      <c r="J42279" s="309"/>
    </row>
    <row r="42280">
      <c r="B42280" s="309"/>
      <c r="C42280" s="309"/>
      <c r="I42280" s="309"/>
      <c r="J42280" s="309"/>
    </row>
    <row r="42281">
      <c r="B42281" s="309"/>
      <c r="C42281" s="309"/>
      <c r="I42281" s="309"/>
      <c r="J42281" s="309"/>
    </row>
    <row r="42282">
      <c r="B42282" s="309"/>
      <c r="C42282" s="309"/>
      <c r="I42282" s="309"/>
      <c r="J42282" s="309"/>
    </row>
    <row r="42283">
      <c r="B42283" s="309"/>
      <c r="C42283" s="309"/>
      <c r="I42283" s="309"/>
      <c r="J42283" s="309"/>
    </row>
    <row r="42284">
      <c r="B42284" s="309"/>
      <c r="C42284" s="309"/>
      <c r="I42284" s="309"/>
      <c r="J42284" s="309"/>
    </row>
    <row r="42285">
      <c r="B42285" s="309"/>
      <c r="C42285" s="309"/>
      <c r="I42285" s="309"/>
      <c r="J42285" s="309"/>
    </row>
    <row r="42286">
      <c r="B42286" s="309"/>
      <c r="C42286" s="309"/>
      <c r="I42286" s="309"/>
      <c r="J42286" s="309"/>
    </row>
    <row r="42287">
      <c r="B42287" s="309"/>
      <c r="C42287" s="309"/>
      <c r="I42287" s="309"/>
      <c r="J42287" s="309"/>
    </row>
    <row r="42288">
      <c r="B42288" s="309"/>
      <c r="C42288" s="309"/>
      <c r="I42288" s="309"/>
      <c r="J42288" s="309"/>
    </row>
    <row r="42289">
      <c r="B42289" s="309"/>
      <c r="C42289" s="309"/>
      <c r="I42289" s="309"/>
      <c r="J42289" s="309"/>
    </row>
    <row r="42290">
      <c r="B42290" s="309"/>
      <c r="C42290" s="309"/>
      <c r="I42290" s="309"/>
      <c r="J42290" s="309"/>
    </row>
    <row r="42291">
      <c r="B42291" s="309"/>
      <c r="C42291" s="309"/>
      <c r="I42291" s="309"/>
      <c r="J42291" s="309"/>
    </row>
    <row r="42292">
      <c r="B42292" s="309"/>
      <c r="C42292" s="309"/>
      <c r="I42292" s="309"/>
      <c r="J42292" s="309"/>
    </row>
    <row r="42293">
      <c r="B42293" s="309"/>
      <c r="C42293" s="309"/>
      <c r="I42293" s="309"/>
      <c r="J42293" s="309"/>
    </row>
    <row r="42294">
      <c r="B42294" s="309"/>
      <c r="C42294" s="309"/>
      <c r="I42294" s="309"/>
      <c r="J42294" s="309"/>
    </row>
    <row r="42295">
      <c r="B42295" s="309"/>
      <c r="C42295" s="309"/>
      <c r="I42295" s="309"/>
      <c r="J42295" s="309"/>
    </row>
    <row r="42296">
      <c r="B42296" s="309"/>
      <c r="C42296" s="309"/>
      <c r="I42296" s="309"/>
      <c r="J42296" s="309"/>
    </row>
    <row r="42297">
      <c r="B42297" s="309"/>
      <c r="C42297" s="309"/>
      <c r="I42297" s="309"/>
      <c r="J42297" s="309"/>
    </row>
    <row r="42298">
      <c r="B42298" s="309"/>
      <c r="C42298" s="309"/>
      <c r="I42298" s="309"/>
      <c r="J42298" s="309"/>
    </row>
    <row r="42299">
      <c r="B42299" s="309"/>
      <c r="C42299" s="309"/>
      <c r="I42299" s="309"/>
      <c r="J42299" s="309"/>
    </row>
    <row r="42300">
      <c r="B42300" s="309"/>
      <c r="C42300" s="309"/>
      <c r="I42300" s="309"/>
      <c r="J42300" s="309"/>
    </row>
    <row r="42301">
      <c r="B42301" s="309"/>
      <c r="C42301" s="309"/>
      <c r="I42301" s="309"/>
      <c r="J42301" s="309"/>
    </row>
    <row r="42302">
      <c r="B42302" s="309"/>
      <c r="C42302" s="309"/>
      <c r="I42302" s="309"/>
      <c r="J42302" s="309"/>
    </row>
    <row r="42303">
      <c r="B42303" s="309"/>
      <c r="C42303" s="309"/>
      <c r="I42303" s="309"/>
      <c r="J42303" s="309"/>
    </row>
    <row r="42304">
      <c r="B42304" s="309"/>
      <c r="C42304" s="309"/>
      <c r="I42304" s="309"/>
      <c r="J42304" s="309"/>
    </row>
    <row r="42305">
      <c r="B42305" s="309"/>
      <c r="C42305" s="309"/>
      <c r="I42305" s="309"/>
      <c r="J42305" s="309"/>
    </row>
    <row r="42306">
      <c r="B42306" s="309"/>
      <c r="C42306" s="309"/>
      <c r="I42306" s="309"/>
      <c r="J42306" s="309"/>
    </row>
    <row r="42307">
      <c r="B42307" s="309"/>
      <c r="C42307" s="309"/>
      <c r="I42307" s="309"/>
      <c r="J42307" s="309"/>
    </row>
    <row r="42308">
      <c r="B42308" s="309"/>
      <c r="C42308" s="309"/>
      <c r="I42308" s="309"/>
      <c r="J42308" s="309"/>
    </row>
    <row r="42309">
      <c r="B42309" s="309"/>
      <c r="C42309" s="309"/>
      <c r="I42309" s="309"/>
      <c r="J42309" s="309"/>
    </row>
    <row r="42310">
      <c r="B42310" s="309"/>
      <c r="C42310" s="309"/>
      <c r="I42310" s="309"/>
      <c r="J42310" s="309"/>
    </row>
    <row r="42311">
      <c r="B42311" s="309"/>
      <c r="C42311" s="309"/>
      <c r="I42311" s="309"/>
      <c r="J42311" s="309"/>
    </row>
    <row r="42312">
      <c r="B42312" s="309"/>
      <c r="C42312" s="309"/>
      <c r="I42312" s="309"/>
      <c r="J42312" s="309"/>
    </row>
    <row r="42313">
      <c r="B42313" s="309"/>
      <c r="C42313" s="309"/>
      <c r="I42313" s="309"/>
      <c r="J42313" s="309"/>
    </row>
    <row r="42314">
      <c r="B42314" s="309"/>
      <c r="C42314" s="309"/>
      <c r="I42314" s="309"/>
      <c r="J42314" s="309"/>
    </row>
    <row r="42315">
      <c r="B42315" s="309"/>
      <c r="C42315" s="309"/>
      <c r="I42315" s="309"/>
      <c r="J42315" s="309"/>
    </row>
    <row r="42316">
      <c r="B42316" s="309"/>
      <c r="C42316" s="309"/>
      <c r="I42316" s="309"/>
      <c r="J42316" s="309"/>
    </row>
    <row r="42317">
      <c r="B42317" s="309"/>
      <c r="C42317" s="309"/>
      <c r="I42317" s="309"/>
      <c r="J42317" s="309"/>
    </row>
    <row r="42318">
      <c r="B42318" s="309"/>
      <c r="C42318" s="309"/>
      <c r="I42318" s="309"/>
      <c r="J42318" s="309"/>
    </row>
    <row r="42319">
      <c r="B42319" s="309"/>
      <c r="C42319" s="309"/>
      <c r="I42319" s="309"/>
      <c r="J42319" s="309"/>
    </row>
    <row r="42320">
      <c r="B42320" s="309"/>
      <c r="C42320" s="309"/>
      <c r="I42320" s="309"/>
      <c r="J42320" s="309"/>
    </row>
    <row r="42321">
      <c r="B42321" s="309"/>
      <c r="C42321" s="309"/>
      <c r="I42321" s="309"/>
      <c r="J42321" s="309"/>
    </row>
    <row r="42322">
      <c r="B42322" s="309"/>
      <c r="C42322" s="309"/>
      <c r="I42322" s="309"/>
      <c r="J42322" s="309"/>
    </row>
    <row r="42323">
      <c r="B42323" s="309"/>
      <c r="C42323" s="309"/>
      <c r="I42323" s="309"/>
      <c r="J42323" s="309"/>
    </row>
    <row r="42324">
      <c r="B42324" s="309"/>
      <c r="C42324" s="309"/>
      <c r="I42324" s="309"/>
      <c r="J42324" s="309"/>
    </row>
    <row r="42325">
      <c r="B42325" s="309"/>
      <c r="C42325" s="309"/>
      <c r="I42325" s="309"/>
      <c r="J42325" s="309"/>
    </row>
    <row r="42326">
      <c r="B42326" s="309"/>
      <c r="C42326" s="309"/>
      <c r="I42326" s="309"/>
      <c r="J42326" s="309"/>
    </row>
    <row r="42327">
      <c r="B42327" s="309"/>
      <c r="C42327" s="309"/>
      <c r="I42327" s="309"/>
      <c r="J42327" s="309"/>
    </row>
    <row r="42328">
      <c r="B42328" s="309"/>
      <c r="C42328" s="309"/>
      <c r="I42328" s="309"/>
      <c r="J42328" s="309"/>
    </row>
    <row r="42329">
      <c r="B42329" s="309"/>
      <c r="C42329" s="309"/>
      <c r="I42329" s="309"/>
      <c r="J42329" s="309"/>
    </row>
    <row r="42330">
      <c r="B42330" s="309"/>
      <c r="C42330" s="309"/>
      <c r="I42330" s="309"/>
      <c r="J42330" s="309"/>
    </row>
    <row r="42331">
      <c r="B42331" s="309"/>
      <c r="C42331" s="309"/>
      <c r="I42331" s="309"/>
      <c r="J42331" s="309"/>
    </row>
    <row r="42332">
      <c r="B42332" s="309"/>
      <c r="C42332" s="309"/>
      <c r="I42332" s="309"/>
      <c r="J42332" s="309"/>
    </row>
    <row r="42333">
      <c r="B42333" s="309"/>
      <c r="C42333" s="309"/>
      <c r="I42333" s="309"/>
      <c r="J42333" s="309"/>
    </row>
    <row r="42334">
      <c r="B42334" s="309"/>
      <c r="C42334" s="309"/>
      <c r="I42334" s="309"/>
      <c r="J42334" s="309"/>
    </row>
    <row r="42335">
      <c r="B42335" s="309"/>
      <c r="C42335" s="309"/>
      <c r="I42335" s="309"/>
      <c r="J42335" s="309"/>
    </row>
    <row r="42336">
      <c r="B42336" s="309"/>
      <c r="C42336" s="309"/>
      <c r="I42336" s="309"/>
      <c r="J42336" s="309"/>
    </row>
    <row r="42337">
      <c r="B42337" s="309"/>
      <c r="C42337" s="309"/>
      <c r="I42337" s="309"/>
      <c r="J42337" s="309"/>
    </row>
    <row r="42338">
      <c r="B42338" s="309"/>
      <c r="C42338" s="309"/>
      <c r="I42338" s="309"/>
      <c r="J42338" s="309"/>
    </row>
    <row r="42339">
      <c r="B42339" s="309"/>
      <c r="C42339" s="309"/>
      <c r="I42339" s="309"/>
      <c r="J42339" s="309"/>
    </row>
    <row r="42340">
      <c r="B42340" s="309"/>
      <c r="C42340" s="309"/>
      <c r="I42340" s="309"/>
      <c r="J42340" s="309"/>
    </row>
    <row r="42341">
      <c r="B42341" s="309"/>
      <c r="C42341" s="309"/>
      <c r="I42341" s="309"/>
      <c r="J42341" s="309"/>
    </row>
    <row r="42342">
      <c r="B42342" s="309"/>
      <c r="C42342" s="309"/>
      <c r="I42342" s="309"/>
      <c r="J42342" s="309"/>
    </row>
    <row r="42343">
      <c r="B42343" s="309"/>
      <c r="C42343" s="309"/>
      <c r="I42343" s="309"/>
      <c r="J42343" s="309"/>
    </row>
    <row r="42344">
      <c r="B42344" s="309"/>
      <c r="C42344" s="309"/>
      <c r="I42344" s="309"/>
      <c r="J42344" s="309"/>
    </row>
    <row r="42345">
      <c r="B42345" s="309"/>
      <c r="C42345" s="309"/>
      <c r="I42345" s="309"/>
      <c r="J42345" s="309"/>
    </row>
    <row r="42346">
      <c r="B42346" s="309"/>
      <c r="C42346" s="309"/>
      <c r="I42346" s="309"/>
      <c r="J42346" s="309"/>
    </row>
    <row r="42347">
      <c r="B42347" s="309"/>
      <c r="C42347" s="309"/>
      <c r="I42347" s="309"/>
      <c r="J42347" s="309"/>
    </row>
    <row r="42348">
      <c r="B42348" s="309"/>
      <c r="C42348" s="309"/>
      <c r="I42348" s="309"/>
      <c r="J42348" s="309"/>
    </row>
    <row r="42349">
      <c r="B42349" s="309"/>
      <c r="C42349" s="309"/>
      <c r="I42349" s="309"/>
      <c r="J42349" s="309"/>
    </row>
    <row r="42350">
      <c r="B42350" s="309"/>
      <c r="C42350" s="309"/>
      <c r="I42350" s="309"/>
      <c r="J42350" s="309"/>
    </row>
    <row r="42351">
      <c r="B42351" s="309"/>
      <c r="C42351" s="309"/>
      <c r="I42351" s="309"/>
      <c r="J42351" s="309"/>
    </row>
    <row r="42352">
      <c r="B42352" s="309"/>
      <c r="C42352" s="309"/>
      <c r="I42352" s="309"/>
      <c r="J42352" s="309"/>
    </row>
    <row r="42353">
      <c r="B42353" s="309"/>
      <c r="C42353" s="309"/>
      <c r="I42353" s="309"/>
      <c r="J42353" s="309"/>
    </row>
    <row r="42354">
      <c r="B42354" s="309"/>
      <c r="C42354" s="309"/>
      <c r="I42354" s="309"/>
      <c r="J42354" s="309"/>
    </row>
    <row r="42355">
      <c r="B42355" s="309"/>
      <c r="C42355" s="309"/>
      <c r="I42355" s="309"/>
      <c r="J42355" s="309"/>
    </row>
    <row r="42356">
      <c r="B42356" s="309"/>
      <c r="C42356" s="309"/>
      <c r="I42356" s="309"/>
      <c r="J42356" s="309"/>
    </row>
    <row r="42357">
      <c r="B42357" s="309"/>
      <c r="C42357" s="309"/>
      <c r="I42357" s="309"/>
      <c r="J42357" s="309"/>
    </row>
    <row r="42358">
      <c r="B42358" s="309"/>
      <c r="C42358" s="309"/>
      <c r="I42358" s="309"/>
      <c r="J42358" s="309"/>
    </row>
    <row r="42359">
      <c r="B42359" s="309"/>
      <c r="C42359" s="309"/>
      <c r="I42359" s="309"/>
      <c r="J42359" s="309"/>
    </row>
    <row r="42360">
      <c r="B42360" s="309"/>
      <c r="C42360" s="309"/>
      <c r="I42360" s="309"/>
      <c r="J42360" s="309"/>
    </row>
    <row r="42361">
      <c r="B42361" s="309"/>
      <c r="C42361" s="309"/>
      <c r="I42361" s="309"/>
      <c r="J42361" s="309"/>
    </row>
    <row r="42362">
      <c r="B42362" s="309"/>
      <c r="C42362" s="309"/>
      <c r="I42362" s="309"/>
      <c r="J42362" s="309"/>
    </row>
    <row r="42363">
      <c r="B42363" s="309"/>
      <c r="C42363" s="309"/>
      <c r="I42363" s="309"/>
      <c r="J42363" s="309"/>
    </row>
    <row r="42364">
      <c r="B42364" s="309"/>
      <c r="C42364" s="309"/>
      <c r="I42364" s="309"/>
      <c r="J42364" s="309"/>
    </row>
    <row r="42365">
      <c r="B42365" s="309"/>
      <c r="C42365" s="309"/>
      <c r="I42365" s="309"/>
      <c r="J42365" s="309"/>
    </row>
    <row r="42366">
      <c r="B42366" s="309"/>
      <c r="C42366" s="309"/>
      <c r="I42366" s="309"/>
      <c r="J42366" s="309"/>
    </row>
    <row r="42367">
      <c r="B42367" s="309"/>
      <c r="C42367" s="309"/>
      <c r="I42367" s="309"/>
      <c r="J42367" s="309"/>
    </row>
    <row r="42368">
      <c r="B42368" s="309"/>
      <c r="C42368" s="309"/>
      <c r="I42368" s="309"/>
      <c r="J42368" s="309"/>
    </row>
    <row r="42369">
      <c r="B42369" s="309"/>
      <c r="C42369" s="309"/>
      <c r="I42369" s="309"/>
      <c r="J42369" s="309"/>
    </row>
    <row r="42370">
      <c r="B42370" s="309"/>
      <c r="C42370" s="309"/>
      <c r="I42370" s="309"/>
      <c r="J42370" s="309"/>
    </row>
    <row r="42371">
      <c r="B42371" s="309"/>
      <c r="C42371" s="309"/>
      <c r="I42371" s="309"/>
      <c r="J42371" s="309"/>
    </row>
    <row r="42372">
      <c r="B42372" s="309"/>
      <c r="C42372" s="309"/>
      <c r="I42372" s="309"/>
      <c r="J42372" s="309"/>
    </row>
    <row r="42373">
      <c r="B42373" s="309"/>
      <c r="C42373" s="309"/>
      <c r="I42373" s="309"/>
      <c r="J42373" s="309"/>
    </row>
    <row r="42374">
      <c r="B42374" s="309"/>
      <c r="C42374" s="309"/>
      <c r="I42374" s="309"/>
      <c r="J42374" s="309"/>
    </row>
    <row r="42375">
      <c r="B42375" s="309"/>
      <c r="C42375" s="309"/>
      <c r="I42375" s="309"/>
      <c r="J42375" s="309"/>
    </row>
    <row r="42376">
      <c r="B42376" s="309"/>
      <c r="C42376" s="309"/>
      <c r="I42376" s="309"/>
      <c r="J42376" s="309"/>
    </row>
    <row r="42377">
      <c r="B42377" s="309"/>
      <c r="C42377" s="309"/>
      <c r="I42377" s="309"/>
      <c r="J42377" s="309"/>
    </row>
    <row r="42378">
      <c r="B42378" s="309"/>
      <c r="C42378" s="309"/>
      <c r="I42378" s="309"/>
      <c r="J42378" s="309"/>
    </row>
    <row r="42379">
      <c r="B42379" s="309"/>
      <c r="C42379" s="309"/>
      <c r="I42379" s="309"/>
      <c r="J42379" s="309"/>
    </row>
    <row r="42380">
      <c r="B42380" s="309"/>
      <c r="C42380" s="309"/>
      <c r="I42380" s="309"/>
      <c r="J42380" s="309"/>
    </row>
    <row r="42381">
      <c r="B42381" s="309"/>
      <c r="C42381" s="309"/>
      <c r="I42381" s="309"/>
      <c r="J42381" s="309"/>
    </row>
    <row r="42382">
      <c r="B42382" s="309"/>
      <c r="C42382" s="309"/>
      <c r="I42382" s="309"/>
      <c r="J42382" s="309"/>
    </row>
    <row r="42383">
      <c r="B42383" s="309"/>
      <c r="C42383" s="309"/>
      <c r="I42383" s="309"/>
      <c r="J42383" s="309"/>
    </row>
    <row r="42384">
      <c r="B42384" s="309"/>
      <c r="C42384" s="309"/>
      <c r="I42384" s="309"/>
      <c r="J42384" s="309"/>
    </row>
    <row r="42385">
      <c r="B42385" s="309"/>
      <c r="C42385" s="309"/>
      <c r="I42385" s="309"/>
      <c r="J42385" s="309"/>
    </row>
    <row r="42386">
      <c r="B42386" s="309"/>
      <c r="C42386" s="309"/>
      <c r="I42386" s="309"/>
      <c r="J42386" s="309"/>
    </row>
    <row r="42387">
      <c r="B42387" s="309"/>
      <c r="C42387" s="309"/>
      <c r="I42387" s="309"/>
      <c r="J42387" s="309"/>
    </row>
    <row r="42388">
      <c r="B42388" s="309"/>
      <c r="C42388" s="309"/>
      <c r="I42388" s="309"/>
      <c r="J42388" s="309"/>
    </row>
    <row r="42389">
      <c r="B42389" s="309"/>
      <c r="C42389" s="309"/>
      <c r="I42389" s="309"/>
      <c r="J42389" s="309"/>
    </row>
    <row r="42390">
      <c r="B42390" s="309"/>
      <c r="C42390" s="309"/>
      <c r="I42390" s="309"/>
      <c r="J42390" s="309"/>
    </row>
    <row r="42391">
      <c r="B42391" s="309"/>
      <c r="C42391" s="309"/>
      <c r="I42391" s="309"/>
      <c r="J42391" s="309"/>
    </row>
    <row r="42392">
      <c r="B42392" s="309"/>
      <c r="C42392" s="309"/>
      <c r="I42392" s="309"/>
      <c r="J42392" s="309"/>
    </row>
    <row r="42393">
      <c r="B42393" s="309"/>
      <c r="C42393" s="309"/>
      <c r="I42393" s="309"/>
      <c r="J42393" s="309"/>
    </row>
    <row r="42394">
      <c r="B42394" s="309"/>
      <c r="C42394" s="309"/>
      <c r="I42394" s="309"/>
      <c r="J42394" s="309"/>
    </row>
    <row r="42395">
      <c r="B42395" s="309"/>
      <c r="C42395" s="309"/>
      <c r="I42395" s="309"/>
      <c r="J42395" s="309"/>
    </row>
    <row r="42396">
      <c r="B42396" s="309"/>
      <c r="C42396" s="309"/>
      <c r="I42396" s="309"/>
      <c r="J42396" s="309"/>
    </row>
    <row r="42397">
      <c r="B42397" s="309"/>
      <c r="C42397" s="309"/>
      <c r="I42397" s="309"/>
      <c r="J42397" s="309"/>
    </row>
    <row r="42398">
      <c r="B42398" s="309"/>
      <c r="C42398" s="309"/>
      <c r="I42398" s="309"/>
      <c r="J42398" s="309"/>
    </row>
    <row r="42399">
      <c r="B42399" s="309"/>
      <c r="C42399" s="309"/>
      <c r="I42399" s="309"/>
      <c r="J42399" s="309"/>
    </row>
    <row r="42400">
      <c r="B42400" s="309"/>
      <c r="C42400" s="309"/>
      <c r="I42400" s="309"/>
      <c r="J42400" s="309"/>
    </row>
    <row r="42401">
      <c r="B42401" s="309"/>
      <c r="C42401" s="309"/>
      <c r="I42401" s="309"/>
      <c r="J42401" s="309"/>
    </row>
    <row r="42402">
      <c r="B42402" s="309"/>
      <c r="C42402" s="309"/>
      <c r="I42402" s="309"/>
      <c r="J42402" s="309"/>
    </row>
    <row r="42403">
      <c r="B42403" s="309"/>
      <c r="C42403" s="309"/>
      <c r="I42403" s="309"/>
      <c r="J42403" s="309"/>
    </row>
    <row r="42404">
      <c r="B42404" s="309"/>
      <c r="C42404" s="309"/>
      <c r="I42404" s="309"/>
      <c r="J42404" s="309"/>
    </row>
    <row r="42405">
      <c r="B42405" s="309"/>
      <c r="C42405" s="309"/>
      <c r="I42405" s="309"/>
      <c r="J42405" s="309"/>
    </row>
    <row r="42406">
      <c r="B42406" s="309"/>
      <c r="C42406" s="309"/>
      <c r="I42406" s="309"/>
      <c r="J42406" s="309"/>
    </row>
    <row r="42407">
      <c r="B42407" s="309"/>
      <c r="C42407" s="309"/>
      <c r="I42407" s="309"/>
      <c r="J42407" s="309"/>
    </row>
    <row r="42408">
      <c r="B42408" s="309"/>
      <c r="C42408" s="309"/>
      <c r="I42408" s="309"/>
      <c r="J42408" s="309"/>
    </row>
    <row r="42409">
      <c r="B42409" s="309"/>
      <c r="C42409" s="309"/>
      <c r="I42409" s="309"/>
      <c r="J42409" s="309"/>
    </row>
    <row r="42410">
      <c r="B42410" s="309"/>
      <c r="C42410" s="309"/>
      <c r="I42410" s="309"/>
      <c r="J42410" s="309"/>
    </row>
    <row r="42411">
      <c r="B42411" s="309"/>
      <c r="C42411" s="309"/>
      <c r="I42411" s="309"/>
      <c r="J42411" s="309"/>
    </row>
    <row r="42412">
      <c r="B42412" s="309"/>
      <c r="C42412" s="309"/>
      <c r="I42412" s="309"/>
      <c r="J42412" s="309"/>
    </row>
    <row r="42413">
      <c r="B42413" s="309"/>
      <c r="C42413" s="309"/>
      <c r="I42413" s="309"/>
      <c r="J42413" s="309"/>
    </row>
    <row r="42414">
      <c r="B42414" s="309"/>
      <c r="C42414" s="309"/>
      <c r="I42414" s="309"/>
      <c r="J42414" s="309"/>
    </row>
    <row r="42415">
      <c r="B42415" s="309"/>
      <c r="C42415" s="309"/>
      <c r="I42415" s="309"/>
      <c r="J42415" s="309"/>
    </row>
    <row r="42416">
      <c r="B42416" s="309"/>
      <c r="C42416" s="309"/>
      <c r="I42416" s="309"/>
      <c r="J42416" s="309"/>
    </row>
    <row r="42417">
      <c r="B42417" s="309"/>
      <c r="C42417" s="309"/>
      <c r="I42417" s="309"/>
      <c r="J42417" s="309"/>
    </row>
    <row r="42418">
      <c r="B42418" s="309"/>
      <c r="C42418" s="309"/>
      <c r="I42418" s="309"/>
      <c r="J42418" s="309"/>
    </row>
    <row r="42419">
      <c r="B42419" s="309"/>
      <c r="C42419" s="309"/>
      <c r="I42419" s="309"/>
      <c r="J42419" s="309"/>
    </row>
    <row r="42420">
      <c r="B42420" s="309"/>
      <c r="C42420" s="309"/>
      <c r="I42420" s="309"/>
      <c r="J42420" s="309"/>
    </row>
    <row r="42421">
      <c r="B42421" s="309"/>
      <c r="C42421" s="309"/>
      <c r="I42421" s="309"/>
      <c r="J42421" s="309"/>
    </row>
    <row r="42422">
      <c r="B42422" s="309"/>
      <c r="C42422" s="309"/>
      <c r="I42422" s="309"/>
      <c r="J42422" s="309"/>
    </row>
    <row r="42423">
      <c r="B42423" s="309"/>
      <c r="C42423" s="309"/>
      <c r="I42423" s="309"/>
      <c r="J42423" s="309"/>
    </row>
    <row r="42424">
      <c r="B42424" s="309"/>
      <c r="C42424" s="309"/>
      <c r="I42424" s="309"/>
      <c r="J42424" s="309"/>
    </row>
    <row r="42425">
      <c r="B42425" s="309"/>
      <c r="C42425" s="309"/>
      <c r="I42425" s="309"/>
      <c r="J42425" s="309"/>
    </row>
    <row r="42426">
      <c r="B42426" s="309"/>
      <c r="C42426" s="309"/>
      <c r="I42426" s="309"/>
      <c r="J42426" s="309"/>
    </row>
    <row r="42427">
      <c r="B42427" s="309"/>
      <c r="C42427" s="309"/>
      <c r="I42427" s="309"/>
      <c r="J42427" s="309"/>
    </row>
    <row r="42428">
      <c r="B42428" s="309"/>
      <c r="C42428" s="309"/>
      <c r="I42428" s="309"/>
      <c r="J42428" s="309"/>
    </row>
    <row r="42429">
      <c r="B42429" s="309"/>
      <c r="C42429" s="309"/>
      <c r="I42429" s="309"/>
      <c r="J42429" s="309"/>
    </row>
    <row r="42430">
      <c r="B42430" s="309"/>
      <c r="C42430" s="309"/>
      <c r="I42430" s="309"/>
      <c r="J42430" s="309"/>
    </row>
    <row r="42431">
      <c r="B42431" s="309"/>
      <c r="C42431" s="309"/>
      <c r="I42431" s="309"/>
      <c r="J42431" s="309"/>
    </row>
    <row r="42432">
      <c r="B42432" s="309"/>
      <c r="C42432" s="309"/>
      <c r="I42432" s="309"/>
      <c r="J42432" s="309"/>
    </row>
    <row r="42433">
      <c r="B42433" s="309"/>
      <c r="C42433" s="309"/>
      <c r="I42433" s="309"/>
      <c r="J42433" s="309"/>
    </row>
    <row r="42434">
      <c r="B42434" s="309"/>
      <c r="C42434" s="309"/>
      <c r="I42434" s="309"/>
      <c r="J42434" s="309"/>
    </row>
    <row r="42435">
      <c r="B42435" s="309"/>
      <c r="C42435" s="309"/>
      <c r="I42435" s="309"/>
      <c r="J42435" s="309"/>
    </row>
    <row r="42436">
      <c r="B42436" s="309"/>
      <c r="C42436" s="309"/>
      <c r="I42436" s="309"/>
      <c r="J42436" s="309"/>
    </row>
    <row r="42437">
      <c r="B42437" s="309"/>
      <c r="C42437" s="309"/>
      <c r="I42437" s="309"/>
      <c r="J42437" s="309"/>
    </row>
    <row r="42438">
      <c r="B42438" s="309"/>
      <c r="C42438" s="309"/>
      <c r="I42438" s="309"/>
      <c r="J42438" s="309"/>
    </row>
    <row r="42439">
      <c r="B42439" s="309"/>
      <c r="C42439" s="309"/>
      <c r="I42439" s="309"/>
      <c r="J42439" s="309"/>
    </row>
    <row r="42440">
      <c r="B42440" s="309"/>
      <c r="C42440" s="309"/>
      <c r="I42440" s="309"/>
      <c r="J42440" s="309"/>
    </row>
    <row r="42441">
      <c r="B42441" s="309"/>
      <c r="C42441" s="309"/>
      <c r="I42441" s="309"/>
      <c r="J42441" s="309"/>
    </row>
    <row r="42442">
      <c r="B42442" s="309"/>
      <c r="C42442" s="309"/>
      <c r="I42442" s="309"/>
      <c r="J42442" s="309"/>
    </row>
    <row r="42443">
      <c r="B42443" s="309"/>
      <c r="C42443" s="309"/>
      <c r="I42443" s="309"/>
      <c r="J42443" s="309"/>
    </row>
    <row r="42444">
      <c r="B42444" s="309"/>
      <c r="C42444" s="309"/>
      <c r="I42444" s="309"/>
      <c r="J42444" s="309"/>
    </row>
    <row r="42445">
      <c r="B42445" s="309"/>
      <c r="C42445" s="309"/>
      <c r="I42445" s="309"/>
      <c r="J42445" s="309"/>
    </row>
    <row r="42446">
      <c r="B42446" s="309"/>
      <c r="C42446" s="309"/>
      <c r="I42446" s="309"/>
      <c r="J42446" s="309"/>
    </row>
    <row r="42447">
      <c r="B42447" s="309"/>
      <c r="C42447" s="309"/>
      <c r="I42447" s="309"/>
      <c r="J42447" s="309"/>
    </row>
    <row r="42448">
      <c r="B42448" s="309"/>
      <c r="C42448" s="309"/>
      <c r="I42448" s="309"/>
      <c r="J42448" s="309"/>
    </row>
    <row r="42449">
      <c r="B42449" s="309"/>
      <c r="C42449" s="309"/>
      <c r="I42449" s="309"/>
      <c r="J42449" s="309"/>
    </row>
    <row r="42450">
      <c r="B42450" s="309"/>
      <c r="C42450" s="309"/>
      <c r="I42450" s="309"/>
      <c r="J42450" s="309"/>
    </row>
    <row r="42451">
      <c r="B42451" s="309"/>
      <c r="C42451" s="309"/>
      <c r="I42451" s="309"/>
      <c r="J42451" s="309"/>
    </row>
    <row r="42452">
      <c r="B42452" s="309"/>
      <c r="C42452" s="309"/>
      <c r="I42452" s="309"/>
      <c r="J42452" s="309"/>
    </row>
    <row r="42453">
      <c r="B42453" s="309"/>
      <c r="C42453" s="309"/>
      <c r="I42453" s="309"/>
      <c r="J42453" s="309"/>
    </row>
    <row r="42454">
      <c r="B42454" s="309"/>
      <c r="C42454" s="309"/>
      <c r="I42454" s="309"/>
      <c r="J42454" s="309"/>
    </row>
    <row r="42455">
      <c r="B42455" s="309"/>
      <c r="C42455" s="309"/>
      <c r="I42455" s="309"/>
      <c r="J42455" s="309"/>
    </row>
    <row r="42456">
      <c r="B42456" s="309"/>
      <c r="C42456" s="309"/>
      <c r="I42456" s="309"/>
      <c r="J42456" s="309"/>
    </row>
    <row r="42457">
      <c r="B42457" s="309"/>
      <c r="C42457" s="309"/>
      <c r="I42457" s="309"/>
      <c r="J42457" s="309"/>
    </row>
    <row r="42458">
      <c r="B42458" s="309"/>
      <c r="C42458" s="309"/>
      <c r="I42458" s="309"/>
      <c r="J42458" s="309"/>
    </row>
    <row r="42459">
      <c r="B42459" s="309"/>
      <c r="C42459" s="309"/>
      <c r="I42459" s="309"/>
      <c r="J42459" s="309"/>
    </row>
    <row r="42460">
      <c r="B42460" s="309"/>
      <c r="C42460" s="309"/>
      <c r="I42460" s="309"/>
      <c r="J42460" s="309"/>
    </row>
    <row r="42461">
      <c r="B42461" s="309"/>
      <c r="C42461" s="309"/>
      <c r="I42461" s="309"/>
      <c r="J42461" s="309"/>
    </row>
    <row r="42462">
      <c r="B42462" s="309"/>
      <c r="C42462" s="309"/>
      <c r="I42462" s="309"/>
      <c r="J42462" s="309"/>
    </row>
    <row r="42463">
      <c r="B42463" s="309"/>
      <c r="C42463" s="309"/>
      <c r="I42463" s="309"/>
      <c r="J42463" s="309"/>
    </row>
    <row r="42464">
      <c r="B42464" s="309"/>
      <c r="C42464" s="309"/>
      <c r="I42464" s="309"/>
      <c r="J42464" s="309"/>
    </row>
    <row r="42465">
      <c r="B42465" s="309"/>
      <c r="C42465" s="309"/>
      <c r="I42465" s="309"/>
      <c r="J42465" s="309"/>
    </row>
    <row r="42466">
      <c r="B42466" s="309"/>
      <c r="C42466" s="309"/>
      <c r="I42466" s="309"/>
      <c r="J42466" s="309"/>
    </row>
    <row r="42467">
      <c r="B42467" s="309"/>
      <c r="C42467" s="309"/>
      <c r="I42467" s="309"/>
      <c r="J42467" s="309"/>
    </row>
    <row r="42468">
      <c r="B42468" s="309"/>
      <c r="C42468" s="309"/>
      <c r="I42468" s="309"/>
      <c r="J42468" s="309"/>
    </row>
    <row r="42469">
      <c r="B42469" s="309"/>
      <c r="C42469" s="309"/>
      <c r="I42469" s="309"/>
      <c r="J42469" s="309"/>
    </row>
    <row r="42470">
      <c r="B42470" s="309"/>
      <c r="C42470" s="309"/>
      <c r="I42470" s="309"/>
      <c r="J42470" s="309"/>
    </row>
    <row r="42471">
      <c r="B42471" s="309"/>
      <c r="C42471" s="309"/>
      <c r="I42471" s="309"/>
      <c r="J42471" s="309"/>
    </row>
    <row r="42472">
      <c r="B42472" s="309"/>
      <c r="C42472" s="309"/>
      <c r="I42472" s="309"/>
      <c r="J42472" s="309"/>
    </row>
    <row r="42473">
      <c r="B42473" s="309"/>
      <c r="C42473" s="309"/>
      <c r="I42473" s="309"/>
      <c r="J42473" s="309"/>
    </row>
    <row r="42474">
      <c r="B42474" s="309"/>
      <c r="C42474" s="309"/>
      <c r="I42474" s="309"/>
      <c r="J42474" s="309"/>
    </row>
    <row r="42475">
      <c r="B42475" s="309"/>
      <c r="C42475" s="309"/>
      <c r="I42475" s="309"/>
      <c r="J42475" s="309"/>
    </row>
    <row r="42476">
      <c r="B42476" s="309"/>
      <c r="C42476" s="309"/>
      <c r="I42476" s="309"/>
      <c r="J42476" s="309"/>
    </row>
    <row r="42477">
      <c r="B42477" s="309"/>
      <c r="C42477" s="309"/>
      <c r="I42477" s="309"/>
      <c r="J42477" s="309"/>
    </row>
    <row r="42478">
      <c r="B42478" s="309"/>
      <c r="C42478" s="309"/>
      <c r="I42478" s="309"/>
      <c r="J42478" s="309"/>
    </row>
    <row r="42479">
      <c r="B42479" s="309"/>
      <c r="C42479" s="309"/>
      <c r="I42479" s="309"/>
      <c r="J42479" s="309"/>
    </row>
    <row r="42480">
      <c r="B42480" s="309"/>
      <c r="C42480" s="309"/>
      <c r="I42480" s="309"/>
      <c r="J42480" s="309"/>
    </row>
    <row r="42481">
      <c r="B42481" s="309"/>
      <c r="C42481" s="309"/>
      <c r="I42481" s="309"/>
      <c r="J42481" s="309"/>
    </row>
    <row r="42482">
      <c r="B42482" s="309"/>
      <c r="C42482" s="309"/>
      <c r="I42482" s="309"/>
      <c r="J42482" s="309"/>
    </row>
    <row r="42483">
      <c r="B42483" s="309"/>
      <c r="C42483" s="309"/>
      <c r="I42483" s="309"/>
      <c r="J42483" s="309"/>
    </row>
    <row r="42484">
      <c r="B42484" s="309"/>
      <c r="C42484" s="309"/>
      <c r="I42484" s="309"/>
      <c r="J42484" s="309"/>
    </row>
    <row r="42485">
      <c r="B42485" s="309"/>
      <c r="C42485" s="309"/>
      <c r="I42485" s="309"/>
      <c r="J42485" s="309"/>
    </row>
    <row r="42486">
      <c r="B42486" s="309"/>
      <c r="C42486" s="309"/>
      <c r="I42486" s="309"/>
      <c r="J42486" s="309"/>
    </row>
    <row r="42487">
      <c r="B42487" s="309"/>
      <c r="C42487" s="309"/>
      <c r="I42487" s="309"/>
      <c r="J42487" s="309"/>
    </row>
    <row r="42488">
      <c r="B42488" s="309"/>
      <c r="C42488" s="309"/>
      <c r="I42488" s="309"/>
      <c r="J42488" s="309"/>
    </row>
    <row r="42489">
      <c r="B42489" s="309"/>
      <c r="C42489" s="309"/>
      <c r="I42489" s="309"/>
      <c r="J42489" s="309"/>
    </row>
    <row r="42490">
      <c r="B42490" s="309"/>
      <c r="C42490" s="309"/>
      <c r="I42490" s="309"/>
      <c r="J42490" s="309"/>
    </row>
    <row r="42491">
      <c r="B42491" s="309"/>
      <c r="C42491" s="309"/>
      <c r="I42491" s="309"/>
      <c r="J42491" s="309"/>
    </row>
    <row r="42492">
      <c r="B42492" s="309"/>
      <c r="C42492" s="309"/>
      <c r="I42492" s="309"/>
      <c r="J42492" s="309"/>
    </row>
    <row r="42493">
      <c r="B42493" s="309"/>
      <c r="C42493" s="309"/>
      <c r="I42493" s="309"/>
      <c r="J42493" s="309"/>
    </row>
    <row r="42494">
      <c r="B42494" s="309"/>
      <c r="C42494" s="309"/>
      <c r="I42494" s="309"/>
      <c r="J42494" s="309"/>
    </row>
    <row r="42495">
      <c r="B42495" s="309"/>
      <c r="C42495" s="309"/>
      <c r="I42495" s="309"/>
      <c r="J42495" s="309"/>
    </row>
    <row r="42496">
      <c r="B42496" s="309"/>
      <c r="C42496" s="309"/>
      <c r="I42496" s="309"/>
      <c r="J42496" s="309"/>
    </row>
    <row r="42497">
      <c r="B42497" s="309"/>
      <c r="C42497" s="309"/>
      <c r="I42497" s="309"/>
      <c r="J42497" s="309"/>
    </row>
    <row r="42498">
      <c r="B42498" s="309"/>
      <c r="C42498" s="309"/>
      <c r="I42498" s="309"/>
      <c r="J42498" s="309"/>
    </row>
    <row r="42499">
      <c r="B42499" s="309"/>
      <c r="C42499" s="309"/>
      <c r="I42499" s="309"/>
      <c r="J42499" s="309"/>
    </row>
    <row r="42500">
      <c r="B42500" s="309"/>
      <c r="C42500" s="309"/>
      <c r="I42500" s="309"/>
      <c r="J42500" s="309"/>
    </row>
    <row r="42501">
      <c r="B42501" s="309"/>
      <c r="C42501" s="309"/>
      <c r="I42501" s="309"/>
      <c r="J42501" s="309"/>
    </row>
    <row r="42502">
      <c r="B42502" s="309"/>
      <c r="C42502" s="309"/>
      <c r="I42502" s="309"/>
      <c r="J42502" s="309"/>
    </row>
    <row r="42503">
      <c r="B42503" s="309"/>
      <c r="C42503" s="309"/>
      <c r="I42503" s="309"/>
      <c r="J42503" s="309"/>
    </row>
    <row r="42504">
      <c r="B42504" s="309"/>
      <c r="C42504" s="309"/>
      <c r="I42504" s="309"/>
      <c r="J42504" s="309"/>
    </row>
    <row r="42505">
      <c r="B42505" s="309"/>
      <c r="C42505" s="309"/>
      <c r="I42505" s="309"/>
      <c r="J42505" s="309"/>
    </row>
    <row r="42506">
      <c r="B42506" s="309"/>
      <c r="C42506" s="309"/>
      <c r="I42506" s="309"/>
      <c r="J42506" s="309"/>
    </row>
    <row r="42507">
      <c r="B42507" s="309"/>
      <c r="C42507" s="309"/>
      <c r="I42507" s="309"/>
      <c r="J42507" s="309"/>
    </row>
    <row r="42508">
      <c r="B42508" s="309"/>
      <c r="C42508" s="309"/>
      <c r="I42508" s="309"/>
      <c r="J42508" s="309"/>
    </row>
    <row r="42509">
      <c r="B42509" s="309"/>
      <c r="C42509" s="309"/>
      <c r="I42509" s="309"/>
      <c r="J42509" s="309"/>
    </row>
    <row r="42510">
      <c r="B42510" s="309"/>
      <c r="C42510" s="309"/>
      <c r="I42510" s="309"/>
      <c r="J42510" s="309"/>
    </row>
    <row r="42511">
      <c r="B42511" s="309"/>
      <c r="C42511" s="309"/>
      <c r="I42511" s="309"/>
      <c r="J42511" s="309"/>
    </row>
    <row r="42512">
      <c r="B42512" s="309"/>
      <c r="C42512" s="309"/>
      <c r="I42512" s="309"/>
      <c r="J42512" s="309"/>
    </row>
    <row r="42513">
      <c r="B42513" s="309"/>
      <c r="C42513" s="309"/>
      <c r="I42513" s="309"/>
      <c r="J42513" s="309"/>
    </row>
    <row r="42514">
      <c r="B42514" s="309"/>
      <c r="C42514" s="309"/>
      <c r="I42514" s="309"/>
      <c r="J42514" s="309"/>
    </row>
    <row r="42515">
      <c r="B42515" s="309"/>
      <c r="C42515" s="309"/>
      <c r="I42515" s="309"/>
      <c r="J42515" s="309"/>
    </row>
    <row r="42516">
      <c r="B42516" s="309"/>
      <c r="C42516" s="309"/>
      <c r="I42516" s="309"/>
      <c r="J42516" s="309"/>
    </row>
    <row r="42517">
      <c r="B42517" s="309"/>
      <c r="C42517" s="309"/>
      <c r="I42517" s="309"/>
      <c r="J42517" s="309"/>
    </row>
    <row r="42518">
      <c r="B42518" s="309"/>
      <c r="C42518" s="309"/>
      <c r="I42518" s="309"/>
      <c r="J42518" s="309"/>
    </row>
    <row r="42519">
      <c r="B42519" s="309"/>
      <c r="C42519" s="309"/>
      <c r="I42519" s="309"/>
      <c r="J42519" s="309"/>
    </row>
    <row r="42520">
      <c r="B42520" s="309"/>
      <c r="C42520" s="309"/>
      <c r="I42520" s="309"/>
      <c r="J42520" s="309"/>
    </row>
    <row r="42521">
      <c r="B42521" s="309"/>
      <c r="C42521" s="309"/>
      <c r="I42521" s="309"/>
      <c r="J42521" s="309"/>
    </row>
    <row r="42522">
      <c r="B42522" s="309"/>
      <c r="C42522" s="309"/>
      <c r="I42522" s="309"/>
      <c r="J42522" s="309"/>
    </row>
    <row r="42523">
      <c r="B42523" s="309"/>
      <c r="C42523" s="309"/>
      <c r="I42523" s="309"/>
      <c r="J42523" s="309"/>
    </row>
    <row r="42524">
      <c r="B42524" s="309"/>
      <c r="C42524" s="309"/>
      <c r="I42524" s="309"/>
      <c r="J42524" s="309"/>
    </row>
    <row r="42525">
      <c r="B42525" s="309"/>
      <c r="C42525" s="309"/>
      <c r="I42525" s="309"/>
      <c r="J42525" s="309"/>
    </row>
    <row r="42526">
      <c r="B42526" s="309"/>
      <c r="C42526" s="309"/>
      <c r="I42526" s="309"/>
      <c r="J42526" s="309"/>
    </row>
    <row r="42527">
      <c r="B42527" s="309"/>
      <c r="C42527" s="309"/>
      <c r="I42527" s="309"/>
      <c r="J42527" s="309"/>
    </row>
    <row r="42528">
      <c r="B42528" s="309"/>
      <c r="C42528" s="309"/>
      <c r="I42528" s="309"/>
      <c r="J42528" s="309"/>
    </row>
    <row r="42529">
      <c r="B42529" s="309"/>
      <c r="C42529" s="309"/>
      <c r="I42529" s="309"/>
      <c r="J42529" s="309"/>
    </row>
    <row r="42530">
      <c r="B42530" s="309"/>
      <c r="C42530" s="309"/>
      <c r="I42530" s="309"/>
      <c r="J42530" s="309"/>
    </row>
    <row r="42531">
      <c r="B42531" s="309"/>
      <c r="C42531" s="309"/>
      <c r="I42531" s="309"/>
      <c r="J42531" s="309"/>
    </row>
    <row r="42532">
      <c r="B42532" s="309"/>
      <c r="C42532" s="309"/>
      <c r="I42532" s="309"/>
      <c r="J42532" s="309"/>
    </row>
    <row r="42533">
      <c r="B42533" s="309"/>
      <c r="C42533" s="309"/>
      <c r="I42533" s="309"/>
      <c r="J42533" s="309"/>
    </row>
    <row r="42534">
      <c r="B42534" s="309"/>
      <c r="C42534" s="309"/>
      <c r="I42534" s="309"/>
      <c r="J42534" s="309"/>
    </row>
    <row r="42535">
      <c r="B42535" s="309"/>
      <c r="C42535" s="309"/>
      <c r="I42535" s="309"/>
      <c r="J42535" s="309"/>
    </row>
    <row r="42536">
      <c r="B42536" s="309"/>
      <c r="C42536" s="309"/>
      <c r="I42536" s="309"/>
      <c r="J42536" s="309"/>
    </row>
    <row r="42537">
      <c r="B42537" s="309"/>
      <c r="C42537" s="309"/>
      <c r="I42537" s="309"/>
      <c r="J42537" s="309"/>
    </row>
    <row r="42538">
      <c r="B42538" s="309"/>
      <c r="C42538" s="309"/>
      <c r="I42538" s="309"/>
      <c r="J42538" s="309"/>
    </row>
    <row r="42539">
      <c r="B42539" s="309"/>
      <c r="C42539" s="309"/>
      <c r="I42539" s="309"/>
      <c r="J42539" s="309"/>
    </row>
    <row r="42540">
      <c r="B42540" s="309"/>
      <c r="C42540" s="309"/>
      <c r="I42540" s="309"/>
      <c r="J42540" s="309"/>
    </row>
    <row r="42541">
      <c r="B42541" s="309"/>
      <c r="C42541" s="309"/>
      <c r="I42541" s="309"/>
      <c r="J42541" s="309"/>
    </row>
    <row r="42542">
      <c r="B42542" s="309"/>
      <c r="C42542" s="309"/>
      <c r="I42542" s="309"/>
      <c r="J42542" s="309"/>
    </row>
    <row r="42543">
      <c r="B42543" s="309"/>
      <c r="C42543" s="309"/>
      <c r="I42543" s="309"/>
      <c r="J42543" s="309"/>
    </row>
    <row r="42544">
      <c r="B42544" s="309"/>
      <c r="C42544" s="309"/>
      <c r="I42544" s="309"/>
      <c r="J42544" s="309"/>
    </row>
    <row r="42545">
      <c r="B42545" s="309"/>
      <c r="C42545" s="309"/>
      <c r="I42545" s="309"/>
      <c r="J42545" s="309"/>
    </row>
    <row r="42546">
      <c r="B42546" s="309"/>
      <c r="C42546" s="309"/>
      <c r="I42546" s="309"/>
      <c r="J42546" s="309"/>
    </row>
    <row r="42547">
      <c r="B42547" s="309"/>
      <c r="C42547" s="309"/>
      <c r="I42547" s="309"/>
      <c r="J42547" s="309"/>
    </row>
    <row r="42548">
      <c r="B42548" s="309"/>
      <c r="C42548" s="309"/>
      <c r="I42548" s="309"/>
      <c r="J42548" s="309"/>
    </row>
    <row r="42549">
      <c r="B42549" s="309"/>
      <c r="C42549" s="309"/>
      <c r="I42549" s="309"/>
      <c r="J42549" s="309"/>
    </row>
    <row r="42550">
      <c r="B42550" s="309"/>
      <c r="C42550" s="309"/>
      <c r="I42550" s="309"/>
      <c r="J42550" s="309"/>
    </row>
    <row r="42551">
      <c r="B42551" s="309"/>
      <c r="C42551" s="309"/>
      <c r="I42551" s="309"/>
      <c r="J42551" s="309"/>
    </row>
    <row r="42552">
      <c r="B42552" s="309"/>
      <c r="C42552" s="309"/>
      <c r="I42552" s="309"/>
      <c r="J42552" s="309"/>
    </row>
    <row r="42553">
      <c r="B42553" s="309"/>
      <c r="C42553" s="309"/>
      <c r="I42553" s="309"/>
      <c r="J42553" s="309"/>
    </row>
    <row r="42554">
      <c r="B42554" s="309"/>
      <c r="C42554" s="309"/>
      <c r="I42554" s="309"/>
      <c r="J42554" s="309"/>
    </row>
    <row r="42555">
      <c r="B42555" s="309"/>
      <c r="C42555" s="309"/>
      <c r="I42555" s="309"/>
      <c r="J42555" s="309"/>
    </row>
    <row r="42556">
      <c r="B42556" s="309"/>
      <c r="C42556" s="309"/>
      <c r="I42556" s="309"/>
      <c r="J42556" s="309"/>
    </row>
    <row r="42557">
      <c r="B42557" s="309"/>
      <c r="C42557" s="309"/>
      <c r="I42557" s="309"/>
      <c r="J42557" s="309"/>
    </row>
    <row r="42558">
      <c r="B42558" s="309"/>
      <c r="C42558" s="309"/>
      <c r="I42558" s="309"/>
      <c r="J42558" s="309"/>
    </row>
    <row r="42559">
      <c r="B42559" s="309"/>
      <c r="C42559" s="309"/>
      <c r="I42559" s="309"/>
      <c r="J42559" s="309"/>
    </row>
    <row r="42560">
      <c r="B42560" s="309"/>
      <c r="C42560" s="309"/>
      <c r="I42560" s="309"/>
      <c r="J42560" s="309"/>
    </row>
    <row r="42561">
      <c r="B42561" s="309"/>
      <c r="C42561" s="309"/>
      <c r="I42561" s="309"/>
      <c r="J42561" s="309"/>
    </row>
    <row r="42562">
      <c r="B42562" s="309"/>
      <c r="C42562" s="309"/>
      <c r="I42562" s="309"/>
      <c r="J42562" s="309"/>
    </row>
    <row r="42563">
      <c r="B42563" s="309"/>
      <c r="C42563" s="309"/>
      <c r="I42563" s="309"/>
      <c r="J42563" s="309"/>
    </row>
    <row r="42564">
      <c r="B42564" s="309"/>
      <c r="C42564" s="309"/>
      <c r="I42564" s="309"/>
      <c r="J42564" s="309"/>
    </row>
    <row r="42565">
      <c r="B42565" s="309"/>
      <c r="C42565" s="309"/>
      <c r="I42565" s="309"/>
      <c r="J42565" s="309"/>
    </row>
    <row r="42566">
      <c r="B42566" s="309"/>
      <c r="C42566" s="309"/>
      <c r="I42566" s="309"/>
      <c r="J42566" s="309"/>
    </row>
    <row r="42567">
      <c r="B42567" s="309"/>
      <c r="C42567" s="309"/>
      <c r="I42567" s="309"/>
      <c r="J42567" s="309"/>
    </row>
    <row r="42568">
      <c r="B42568" s="309"/>
      <c r="C42568" s="309"/>
      <c r="I42568" s="309"/>
      <c r="J42568" s="309"/>
    </row>
    <row r="42569">
      <c r="B42569" s="309"/>
      <c r="C42569" s="309"/>
      <c r="I42569" s="309"/>
      <c r="J42569" s="309"/>
    </row>
    <row r="42570">
      <c r="B42570" s="309"/>
      <c r="C42570" s="309"/>
      <c r="I42570" s="309"/>
      <c r="J42570" s="309"/>
    </row>
    <row r="42571">
      <c r="B42571" s="309"/>
      <c r="C42571" s="309"/>
      <c r="I42571" s="309"/>
      <c r="J42571" s="309"/>
    </row>
    <row r="42572">
      <c r="B42572" s="309"/>
      <c r="C42572" s="309"/>
      <c r="I42572" s="309"/>
      <c r="J42572" s="309"/>
    </row>
    <row r="42573">
      <c r="B42573" s="309"/>
      <c r="C42573" s="309"/>
      <c r="I42573" s="309"/>
      <c r="J42573" s="309"/>
    </row>
    <row r="42574">
      <c r="B42574" s="309"/>
      <c r="C42574" s="309"/>
      <c r="I42574" s="309"/>
      <c r="J42574" s="309"/>
    </row>
    <row r="42575">
      <c r="B42575" s="309"/>
      <c r="C42575" s="309"/>
      <c r="I42575" s="309"/>
      <c r="J42575" s="309"/>
    </row>
    <row r="42576">
      <c r="B42576" s="309"/>
      <c r="C42576" s="309"/>
      <c r="I42576" s="309"/>
      <c r="J42576" s="309"/>
    </row>
    <row r="42577">
      <c r="B42577" s="309"/>
      <c r="C42577" s="309"/>
      <c r="I42577" s="309"/>
      <c r="J42577" s="309"/>
    </row>
    <row r="42578">
      <c r="B42578" s="309"/>
      <c r="C42578" s="309"/>
      <c r="I42578" s="309"/>
      <c r="J42578" s="309"/>
    </row>
    <row r="42579">
      <c r="B42579" s="309"/>
      <c r="C42579" s="309"/>
      <c r="I42579" s="309"/>
      <c r="J42579" s="309"/>
    </row>
    <row r="42580">
      <c r="B42580" s="309"/>
      <c r="C42580" s="309"/>
      <c r="I42580" s="309"/>
      <c r="J42580" s="309"/>
    </row>
    <row r="42581">
      <c r="B42581" s="309"/>
      <c r="C42581" s="309"/>
      <c r="I42581" s="309"/>
      <c r="J42581" s="309"/>
    </row>
    <row r="42582">
      <c r="B42582" s="309"/>
      <c r="C42582" s="309"/>
      <c r="I42582" s="309"/>
      <c r="J42582" s="309"/>
    </row>
    <row r="42583">
      <c r="B42583" s="309"/>
      <c r="C42583" s="309"/>
      <c r="I42583" s="309"/>
      <c r="J42583" s="309"/>
    </row>
    <row r="42584">
      <c r="B42584" s="309"/>
      <c r="C42584" s="309"/>
      <c r="I42584" s="309"/>
      <c r="J42584" s="309"/>
    </row>
    <row r="42585">
      <c r="B42585" s="309"/>
      <c r="C42585" s="309"/>
      <c r="I42585" s="309"/>
      <c r="J42585" s="309"/>
    </row>
    <row r="42586">
      <c r="B42586" s="309"/>
      <c r="C42586" s="309"/>
      <c r="I42586" s="309"/>
      <c r="J42586" s="309"/>
    </row>
    <row r="42587">
      <c r="B42587" s="309"/>
      <c r="C42587" s="309"/>
      <c r="I42587" s="309"/>
      <c r="J42587" s="309"/>
    </row>
    <row r="42588">
      <c r="B42588" s="309"/>
      <c r="C42588" s="309"/>
      <c r="I42588" s="309"/>
      <c r="J42588" s="309"/>
    </row>
    <row r="42589">
      <c r="B42589" s="309"/>
      <c r="C42589" s="309"/>
      <c r="I42589" s="309"/>
      <c r="J42589" s="309"/>
    </row>
    <row r="42590">
      <c r="B42590" s="309"/>
      <c r="C42590" s="309"/>
      <c r="I42590" s="309"/>
      <c r="J42590" s="309"/>
    </row>
    <row r="42591">
      <c r="B42591" s="309"/>
      <c r="C42591" s="309"/>
      <c r="I42591" s="309"/>
      <c r="J42591" s="309"/>
    </row>
    <row r="42592">
      <c r="B42592" s="309"/>
      <c r="C42592" s="309"/>
      <c r="I42592" s="309"/>
      <c r="J42592" s="309"/>
    </row>
    <row r="42593">
      <c r="B42593" s="309"/>
      <c r="C42593" s="309"/>
      <c r="I42593" s="309"/>
      <c r="J42593" s="309"/>
    </row>
    <row r="42594">
      <c r="B42594" s="309"/>
      <c r="C42594" s="309"/>
      <c r="I42594" s="309"/>
      <c r="J42594" s="309"/>
    </row>
    <row r="42595">
      <c r="B42595" s="309"/>
      <c r="C42595" s="309"/>
      <c r="I42595" s="309"/>
      <c r="J42595" s="309"/>
    </row>
    <row r="42596">
      <c r="B42596" s="309"/>
      <c r="C42596" s="309"/>
      <c r="I42596" s="309"/>
      <c r="J42596" s="309"/>
    </row>
    <row r="42597">
      <c r="B42597" s="309"/>
      <c r="C42597" s="309"/>
      <c r="I42597" s="309"/>
      <c r="J42597" s="309"/>
    </row>
    <row r="42598">
      <c r="B42598" s="309"/>
      <c r="C42598" s="309"/>
      <c r="I42598" s="309"/>
      <c r="J42598" s="309"/>
    </row>
    <row r="42599">
      <c r="B42599" s="309"/>
      <c r="C42599" s="309"/>
      <c r="I42599" s="309"/>
      <c r="J42599" s="309"/>
    </row>
    <row r="42600">
      <c r="B42600" s="309"/>
      <c r="C42600" s="309"/>
      <c r="I42600" s="309"/>
      <c r="J42600" s="309"/>
    </row>
    <row r="42601">
      <c r="B42601" s="309"/>
      <c r="C42601" s="309"/>
      <c r="I42601" s="309"/>
      <c r="J42601" s="309"/>
    </row>
    <row r="42602">
      <c r="B42602" s="309"/>
      <c r="C42602" s="309"/>
      <c r="I42602" s="309"/>
      <c r="J42602" s="309"/>
    </row>
    <row r="42603">
      <c r="B42603" s="309"/>
      <c r="C42603" s="309"/>
      <c r="I42603" s="309"/>
      <c r="J42603" s="309"/>
    </row>
    <row r="42604">
      <c r="B42604" s="309"/>
      <c r="C42604" s="309"/>
      <c r="I42604" s="309"/>
      <c r="J42604" s="309"/>
    </row>
    <row r="42605">
      <c r="B42605" s="309"/>
      <c r="C42605" s="309"/>
      <c r="I42605" s="309"/>
      <c r="J42605" s="309"/>
    </row>
    <row r="42606">
      <c r="B42606" s="309"/>
      <c r="C42606" s="309"/>
      <c r="I42606" s="309"/>
      <c r="J42606" s="309"/>
    </row>
    <row r="42607">
      <c r="B42607" s="309"/>
      <c r="C42607" s="309"/>
      <c r="I42607" s="309"/>
      <c r="J42607" s="309"/>
    </row>
    <row r="42608">
      <c r="B42608" s="309"/>
      <c r="C42608" s="309"/>
      <c r="I42608" s="309"/>
      <c r="J42608" s="309"/>
    </row>
    <row r="42609">
      <c r="B42609" s="309"/>
      <c r="C42609" s="309"/>
      <c r="I42609" s="309"/>
      <c r="J42609" s="309"/>
    </row>
    <row r="42610">
      <c r="B42610" s="309"/>
      <c r="C42610" s="309"/>
      <c r="I42610" s="309"/>
      <c r="J42610" s="309"/>
    </row>
    <row r="42611">
      <c r="B42611" s="309"/>
      <c r="C42611" s="309"/>
      <c r="I42611" s="309"/>
      <c r="J42611" s="309"/>
    </row>
    <row r="42612">
      <c r="B42612" s="309"/>
      <c r="C42612" s="309"/>
      <c r="I42612" s="309"/>
      <c r="J42612" s="309"/>
    </row>
    <row r="42613">
      <c r="B42613" s="309"/>
      <c r="C42613" s="309"/>
      <c r="I42613" s="309"/>
      <c r="J42613" s="309"/>
    </row>
    <row r="42614">
      <c r="B42614" s="309"/>
      <c r="C42614" s="309"/>
      <c r="I42614" s="309"/>
      <c r="J42614" s="309"/>
    </row>
    <row r="42615">
      <c r="B42615" s="309"/>
      <c r="C42615" s="309"/>
      <c r="I42615" s="309"/>
      <c r="J42615" s="309"/>
    </row>
    <row r="42616">
      <c r="B42616" s="309"/>
      <c r="C42616" s="309"/>
      <c r="I42616" s="309"/>
      <c r="J42616" s="309"/>
    </row>
    <row r="42617">
      <c r="B42617" s="309"/>
      <c r="C42617" s="309"/>
      <c r="I42617" s="309"/>
      <c r="J42617" s="309"/>
    </row>
    <row r="42618">
      <c r="B42618" s="309"/>
      <c r="C42618" s="309"/>
      <c r="I42618" s="309"/>
      <c r="J42618" s="309"/>
    </row>
    <row r="42619">
      <c r="B42619" s="309"/>
      <c r="C42619" s="309"/>
      <c r="I42619" s="309"/>
      <c r="J42619" s="309"/>
    </row>
    <row r="42620">
      <c r="B42620" s="309"/>
      <c r="C42620" s="309"/>
      <c r="I42620" s="309"/>
      <c r="J42620" s="309"/>
    </row>
    <row r="42621">
      <c r="B42621" s="309"/>
      <c r="C42621" s="309"/>
      <c r="I42621" s="309"/>
      <c r="J42621" s="309"/>
    </row>
    <row r="42622">
      <c r="B42622" s="309"/>
      <c r="C42622" s="309"/>
      <c r="I42622" s="309"/>
      <c r="J42622" s="309"/>
    </row>
    <row r="42623">
      <c r="B42623" s="309"/>
      <c r="C42623" s="309"/>
      <c r="I42623" s="309"/>
      <c r="J42623" s="309"/>
    </row>
    <row r="42624">
      <c r="B42624" s="309"/>
      <c r="C42624" s="309"/>
      <c r="I42624" s="309"/>
      <c r="J42624" s="309"/>
    </row>
    <row r="42625">
      <c r="B42625" s="309"/>
      <c r="C42625" s="309"/>
      <c r="I42625" s="309"/>
      <c r="J42625" s="309"/>
    </row>
    <row r="42626">
      <c r="B42626" s="309"/>
      <c r="C42626" s="309"/>
      <c r="I42626" s="309"/>
      <c r="J42626" s="309"/>
    </row>
    <row r="42627">
      <c r="B42627" s="309"/>
      <c r="C42627" s="309"/>
      <c r="I42627" s="309"/>
      <c r="J42627" s="309"/>
    </row>
    <row r="42628">
      <c r="B42628" s="309"/>
      <c r="C42628" s="309"/>
      <c r="I42628" s="309"/>
      <c r="J42628" s="309"/>
    </row>
    <row r="42629">
      <c r="B42629" s="309"/>
      <c r="C42629" s="309"/>
      <c r="I42629" s="309"/>
      <c r="J42629" s="309"/>
    </row>
    <row r="42630">
      <c r="B42630" s="309"/>
      <c r="C42630" s="309"/>
      <c r="I42630" s="309"/>
      <c r="J42630" s="309"/>
    </row>
    <row r="42631">
      <c r="B42631" s="309"/>
      <c r="C42631" s="309"/>
      <c r="I42631" s="309"/>
      <c r="J42631" s="309"/>
    </row>
    <row r="42632">
      <c r="B42632" s="309"/>
      <c r="C42632" s="309"/>
      <c r="I42632" s="309"/>
      <c r="J42632" s="309"/>
    </row>
    <row r="42633">
      <c r="B42633" s="309"/>
      <c r="C42633" s="309"/>
      <c r="I42633" s="309"/>
      <c r="J42633" s="309"/>
    </row>
    <row r="42634">
      <c r="B42634" s="309"/>
      <c r="C42634" s="309"/>
      <c r="I42634" s="309"/>
      <c r="J42634" s="309"/>
    </row>
    <row r="42635">
      <c r="B42635" s="309"/>
      <c r="C42635" s="309"/>
      <c r="I42635" s="309"/>
      <c r="J42635" s="309"/>
    </row>
    <row r="42636">
      <c r="B42636" s="309"/>
      <c r="C42636" s="309"/>
      <c r="I42636" s="309"/>
      <c r="J42636" s="309"/>
    </row>
    <row r="42637">
      <c r="B42637" s="309"/>
      <c r="C42637" s="309"/>
      <c r="I42637" s="309"/>
      <c r="J42637" s="309"/>
    </row>
    <row r="42638">
      <c r="B42638" s="309"/>
      <c r="C42638" s="309"/>
      <c r="I42638" s="309"/>
      <c r="J42638" s="309"/>
    </row>
    <row r="42639">
      <c r="B42639" s="309"/>
      <c r="C42639" s="309"/>
      <c r="I42639" s="309"/>
      <c r="J42639" s="309"/>
    </row>
    <row r="42640">
      <c r="B42640" s="309"/>
      <c r="C42640" s="309"/>
      <c r="I42640" s="309"/>
      <c r="J42640" s="309"/>
    </row>
    <row r="42641">
      <c r="B42641" s="309"/>
      <c r="C42641" s="309"/>
      <c r="I42641" s="309"/>
      <c r="J42641" s="309"/>
    </row>
    <row r="42642">
      <c r="B42642" s="309"/>
      <c r="C42642" s="309"/>
      <c r="I42642" s="309"/>
      <c r="J42642" s="309"/>
    </row>
    <row r="42643">
      <c r="B42643" s="309"/>
      <c r="C42643" s="309"/>
      <c r="I42643" s="309"/>
      <c r="J42643" s="309"/>
    </row>
    <row r="42644">
      <c r="B42644" s="309"/>
      <c r="C42644" s="309"/>
      <c r="I42644" s="309"/>
      <c r="J42644" s="309"/>
    </row>
    <row r="42645">
      <c r="B42645" s="309"/>
      <c r="C42645" s="309"/>
      <c r="I42645" s="309"/>
      <c r="J42645" s="309"/>
    </row>
    <row r="42646">
      <c r="B42646" s="309"/>
      <c r="C42646" s="309"/>
      <c r="I42646" s="309"/>
      <c r="J42646" s="309"/>
    </row>
    <row r="42647">
      <c r="B42647" s="309"/>
      <c r="C42647" s="309"/>
      <c r="I42647" s="309"/>
      <c r="J42647" s="309"/>
    </row>
    <row r="42648">
      <c r="B42648" s="309"/>
      <c r="C42648" s="309"/>
      <c r="I42648" s="309"/>
      <c r="J42648" s="309"/>
    </row>
    <row r="42649">
      <c r="B42649" s="309"/>
      <c r="C42649" s="309"/>
      <c r="I42649" s="309"/>
      <c r="J42649" s="309"/>
    </row>
    <row r="42650">
      <c r="B42650" s="309"/>
      <c r="C42650" s="309"/>
      <c r="I42650" s="309"/>
      <c r="J42650" s="309"/>
    </row>
    <row r="42651">
      <c r="B42651" s="309"/>
      <c r="C42651" s="309"/>
      <c r="I42651" s="309"/>
      <c r="J42651" s="309"/>
    </row>
    <row r="42652">
      <c r="B42652" s="309"/>
      <c r="C42652" s="309"/>
      <c r="I42652" s="309"/>
      <c r="J42652" s="309"/>
    </row>
    <row r="42653">
      <c r="B42653" s="309"/>
      <c r="C42653" s="309"/>
      <c r="I42653" s="309"/>
      <c r="J42653" s="309"/>
    </row>
    <row r="42654">
      <c r="B42654" s="309"/>
      <c r="C42654" s="309"/>
      <c r="I42654" s="309"/>
      <c r="J42654" s="309"/>
    </row>
    <row r="42655">
      <c r="B42655" s="309"/>
      <c r="C42655" s="309"/>
      <c r="I42655" s="309"/>
      <c r="J42655" s="309"/>
    </row>
    <row r="42656">
      <c r="B42656" s="309"/>
      <c r="C42656" s="309"/>
      <c r="I42656" s="309"/>
      <c r="J42656" s="309"/>
    </row>
    <row r="42657">
      <c r="B42657" s="309"/>
      <c r="C42657" s="309"/>
      <c r="I42657" s="309"/>
      <c r="J42657" s="309"/>
    </row>
    <row r="42658">
      <c r="B42658" s="309"/>
      <c r="C42658" s="309"/>
      <c r="I42658" s="309"/>
      <c r="J42658" s="309"/>
    </row>
    <row r="42659">
      <c r="B42659" s="309"/>
      <c r="C42659" s="309"/>
      <c r="I42659" s="309"/>
      <c r="J42659" s="309"/>
    </row>
    <row r="42660">
      <c r="B42660" s="309"/>
      <c r="C42660" s="309"/>
      <c r="I42660" s="309"/>
      <c r="J42660" s="309"/>
    </row>
    <row r="42661">
      <c r="B42661" s="309"/>
      <c r="C42661" s="309"/>
      <c r="I42661" s="309"/>
      <c r="J42661" s="309"/>
    </row>
    <row r="42662">
      <c r="B42662" s="309"/>
      <c r="C42662" s="309"/>
      <c r="I42662" s="309"/>
      <c r="J42662" s="309"/>
    </row>
    <row r="42663">
      <c r="B42663" s="309"/>
      <c r="C42663" s="309"/>
      <c r="I42663" s="309"/>
      <c r="J42663" s="309"/>
    </row>
    <row r="42664">
      <c r="B42664" s="309"/>
      <c r="C42664" s="309"/>
      <c r="I42664" s="309"/>
      <c r="J42664" s="309"/>
    </row>
    <row r="42665">
      <c r="B42665" s="309"/>
      <c r="C42665" s="309"/>
      <c r="I42665" s="309"/>
      <c r="J42665" s="309"/>
    </row>
    <row r="42666">
      <c r="B42666" s="309"/>
      <c r="C42666" s="309"/>
      <c r="I42666" s="309"/>
      <c r="J42666" s="309"/>
    </row>
    <row r="42667">
      <c r="B42667" s="309"/>
      <c r="C42667" s="309"/>
      <c r="I42667" s="309"/>
      <c r="J42667" s="309"/>
    </row>
    <row r="42668">
      <c r="B42668" s="309"/>
      <c r="C42668" s="309"/>
      <c r="I42668" s="309"/>
      <c r="J42668" s="309"/>
    </row>
    <row r="42669">
      <c r="B42669" s="309"/>
      <c r="C42669" s="309"/>
      <c r="I42669" s="309"/>
      <c r="J42669" s="309"/>
    </row>
    <row r="42670">
      <c r="B42670" s="309"/>
      <c r="C42670" s="309"/>
      <c r="I42670" s="309"/>
      <c r="J42670" s="309"/>
    </row>
    <row r="42671">
      <c r="B42671" s="309"/>
      <c r="C42671" s="309"/>
      <c r="I42671" s="309"/>
      <c r="J42671" s="309"/>
    </row>
    <row r="42672">
      <c r="B42672" s="309"/>
      <c r="C42672" s="309"/>
      <c r="I42672" s="309"/>
      <c r="J42672" s="309"/>
    </row>
    <row r="42673">
      <c r="B42673" s="309"/>
      <c r="C42673" s="309"/>
      <c r="I42673" s="309"/>
      <c r="J42673" s="309"/>
    </row>
    <row r="42674">
      <c r="B42674" s="309"/>
      <c r="C42674" s="309"/>
      <c r="I42674" s="309"/>
      <c r="J42674" s="309"/>
    </row>
    <row r="42675">
      <c r="B42675" s="309"/>
      <c r="C42675" s="309"/>
      <c r="I42675" s="309"/>
      <c r="J42675" s="309"/>
    </row>
    <row r="42676">
      <c r="B42676" s="309"/>
      <c r="C42676" s="309"/>
      <c r="I42676" s="309"/>
      <c r="J42676" s="309"/>
    </row>
    <row r="42677">
      <c r="B42677" s="309"/>
      <c r="C42677" s="309"/>
      <c r="I42677" s="309"/>
      <c r="J42677" s="309"/>
    </row>
    <row r="42678">
      <c r="B42678" s="309"/>
      <c r="C42678" s="309"/>
      <c r="I42678" s="309"/>
      <c r="J42678" s="309"/>
    </row>
    <row r="42679">
      <c r="B42679" s="309"/>
      <c r="C42679" s="309"/>
      <c r="I42679" s="309"/>
      <c r="J42679" s="309"/>
    </row>
    <row r="42680">
      <c r="B42680" s="309"/>
      <c r="C42680" s="309"/>
      <c r="I42680" s="309"/>
      <c r="J42680" s="309"/>
    </row>
    <row r="42681">
      <c r="B42681" s="309"/>
      <c r="C42681" s="309"/>
      <c r="I42681" s="309"/>
      <c r="J42681" s="309"/>
    </row>
    <row r="42682">
      <c r="B42682" s="309"/>
      <c r="C42682" s="309"/>
      <c r="I42682" s="309"/>
      <c r="J42682" s="309"/>
    </row>
    <row r="42683">
      <c r="B42683" s="309"/>
      <c r="C42683" s="309"/>
      <c r="I42683" s="309"/>
      <c r="J42683" s="309"/>
    </row>
    <row r="42684">
      <c r="B42684" s="309"/>
      <c r="C42684" s="309"/>
      <c r="I42684" s="309"/>
      <c r="J42684" s="309"/>
    </row>
    <row r="42685">
      <c r="B42685" s="309"/>
      <c r="C42685" s="309"/>
      <c r="I42685" s="309"/>
      <c r="J42685" s="309"/>
    </row>
    <row r="42686">
      <c r="B42686" s="309"/>
      <c r="C42686" s="309"/>
      <c r="I42686" s="309"/>
      <c r="J42686" s="309"/>
    </row>
    <row r="42687">
      <c r="B42687" s="309"/>
      <c r="C42687" s="309"/>
      <c r="I42687" s="309"/>
      <c r="J42687" s="309"/>
    </row>
    <row r="42688">
      <c r="B42688" s="309"/>
      <c r="C42688" s="309"/>
      <c r="I42688" s="309"/>
      <c r="J42688" s="309"/>
    </row>
    <row r="42689">
      <c r="B42689" s="309"/>
      <c r="C42689" s="309"/>
      <c r="I42689" s="309"/>
      <c r="J42689" s="309"/>
    </row>
    <row r="42690">
      <c r="B42690" s="309"/>
      <c r="C42690" s="309"/>
      <c r="I42690" s="309"/>
      <c r="J42690" s="309"/>
    </row>
    <row r="42691">
      <c r="B42691" s="309"/>
      <c r="C42691" s="309"/>
      <c r="I42691" s="309"/>
      <c r="J42691" s="309"/>
    </row>
    <row r="42692">
      <c r="B42692" s="309"/>
      <c r="C42692" s="309"/>
      <c r="I42692" s="309"/>
      <c r="J42692" s="309"/>
    </row>
    <row r="42693">
      <c r="B42693" s="309"/>
      <c r="C42693" s="309"/>
      <c r="I42693" s="309"/>
      <c r="J42693" s="309"/>
    </row>
    <row r="42694">
      <c r="B42694" s="309"/>
      <c r="C42694" s="309"/>
      <c r="I42694" s="309"/>
      <c r="J42694" s="309"/>
    </row>
    <row r="42695">
      <c r="B42695" s="309"/>
      <c r="C42695" s="309"/>
      <c r="I42695" s="309"/>
      <c r="J42695" s="309"/>
    </row>
    <row r="42696">
      <c r="B42696" s="309"/>
      <c r="C42696" s="309"/>
      <c r="I42696" s="309"/>
      <c r="J42696" s="309"/>
    </row>
    <row r="42697">
      <c r="B42697" s="309"/>
      <c r="C42697" s="309"/>
      <c r="I42697" s="309"/>
      <c r="J42697" s="309"/>
    </row>
    <row r="42698">
      <c r="B42698" s="309"/>
      <c r="C42698" s="309"/>
      <c r="I42698" s="309"/>
      <c r="J42698" s="309"/>
    </row>
    <row r="42699">
      <c r="B42699" s="309"/>
      <c r="C42699" s="309"/>
      <c r="I42699" s="309"/>
      <c r="J42699" s="309"/>
    </row>
    <row r="42700">
      <c r="B42700" s="309"/>
      <c r="C42700" s="309"/>
      <c r="I42700" s="309"/>
      <c r="J42700" s="309"/>
    </row>
    <row r="42701">
      <c r="B42701" s="309"/>
      <c r="C42701" s="309"/>
      <c r="I42701" s="309"/>
      <c r="J42701" s="309"/>
    </row>
    <row r="42702">
      <c r="B42702" s="309"/>
      <c r="C42702" s="309"/>
      <c r="I42702" s="309"/>
      <c r="J42702" s="309"/>
    </row>
    <row r="42703">
      <c r="B42703" s="309"/>
      <c r="C42703" s="309"/>
      <c r="I42703" s="309"/>
      <c r="J42703" s="309"/>
    </row>
    <row r="42704">
      <c r="B42704" s="309"/>
      <c r="C42704" s="309"/>
      <c r="I42704" s="309"/>
      <c r="J42704" s="309"/>
    </row>
    <row r="42705">
      <c r="B42705" s="309"/>
      <c r="C42705" s="309"/>
      <c r="I42705" s="309"/>
      <c r="J42705" s="309"/>
    </row>
    <row r="42706">
      <c r="B42706" s="309"/>
      <c r="C42706" s="309"/>
      <c r="I42706" s="309"/>
      <c r="J42706" s="309"/>
    </row>
    <row r="42707">
      <c r="B42707" s="309"/>
      <c r="C42707" s="309"/>
      <c r="I42707" s="309"/>
      <c r="J42707" s="309"/>
    </row>
    <row r="42708">
      <c r="B42708" s="309"/>
      <c r="C42708" s="309"/>
      <c r="I42708" s="309"/>
      <c r="J42708" s="309"/>
    </row>
    <row r="42709">
      <c r="B42709" s="309"/>
      <c r="C42709" s="309"/>
      <c r="I42709" s="309"/>
      <c r="J42709" s="309"/>
    </row>
    <row r="42710">
      <c r="B42710" s="309"/>
      <c r="C42710" s="309"/>
      <c r="I42710" s="309"/>
      <c r="J42710" s="309"/>
    </row>
    <row r="42711">
      <c r="B42711" s="309"/>
      <c r="C42711" s="309"/>
      <c r="I42711" s="309"/>
      <c r="J42711" s="309"/>
    </row>
    <row r="42712">
      <c r="B42712" s="309"/>
      <c r="C42712" s="309"/>
      <c r="I42712" s="309"/>
      <c r="J42712" s="309"/>
    </row>
    <row r="42713">
      <c r="B42713" s="309"/>
      <c r="C42713" s="309"/>
      <c r="I42713" s="309"/>
      <c r="J42713" s="309"/>
    </row>
    <row r="42714">
      <c r="B42714" s="309"/>
      <c r="C42714" s="309"/>
      <c r="I42714" s="309"/>
      <c r="J42714" s="309"/>
    </row>
    <row r="42715">
      <c r="B42715" s="309"/>
      <c r="C42715" s="309"/>
      <c r="I42715" s="309"/>
      <c r="J42715" s="309"/>
    </row>
    <row r="42716">
      <c r="B42716" s="309"/>
      <c r="C42716" s="309"/>
      <c r="I42716" s="309"/>
      <c r="J42716" s="309"/>
    </row>
    <row r="42717">
      <c r="B42717" s="309"/>
      <c r="C42717" s="309"/>
      <c r="I42717" s="309"/>
      <c r="J42717" s="309"/>
    </row>
    <row r="42718">
      <c r="B42718" s="309"/>
      <c r="C42718" s="309"/>
      <c r="I42718" s="309"/>
      <c r="J42718" s="309"/>
    </row>
    <row r="42719">
      <c r="B42719" s="309"/>
      <c r="C42719" s="309"/>
      <c r="I42719" s="309"/>
      <c r="J42719" s="309"/>
    </row>
    <row r="42720">
      <c r="B42720" s="309"/>
      <c r="C42720" s="309"/>
      <c r="I42720" s="309"/>
      <c r="J42720" s="309"/>
    </row>
    <row r="42721">
      <c r="B42721" s="309"/>
      <c r="C42721" s="309"/>
      <c r="I42721" s="309"/>
      <c r="J42721" s="309"/>
    </row>
    <row r="42722">
      <c r="B42722" s="309"/>
      <c r="C42722" s="309"/>
      <c r="I42722" s="309"/>
      <c r="J42722" s="309"/>
    </row>
    <row r="42723">
      <c r="B42723" s="309"/>
      <c r="C42723" s="309"/>
      <c r="I42723" s="309"/>
      <c r="J42723" s="309"/>
    </row>
    <row r="42724">
      <c r="B42724" s="309"/>
      <c r="C42724" s="309"/>
      <c r="I42724" s="309"/>
      <c r="J42724" s="309"/>
    </row>
    <row r="42725">
      <c r="B42725" s="309"/>
      <c r="C42725" s="309"/>
      <c r="I42725" s="309"/>
      <c r="J42725" s="309"/>
    </row>
    <row r="42726">
      <c r="B42726" s="309"/>
      <c r="C42726" s="309"/>
      <c r="I42726" s="309"/>
      <c r="J42726" s="309"/>
    </row>
    <row r="42727">
      <c r="B42727" s="309"/>
      <c r="C42727" s="309"/>
      <c r="I42727" s="309"/>
      <c r="J42727" s="309"/>
    </row>
    <row r="42728">
      <c r="B42728" s="309"/>
      <c r="C42728" s="309"/>
      <c r="I42728" s="309"/>
      <c r="J42728" s="309"/>
    </row>
    <row r="42729">
      <c r="B42729" s="309"/>
      <c r="C42729" s="309"/>
      <c r="I42729" s="309"/>
      <c r="J42729" s="309"/>
    </row>
    <row r="42730">
      <c r="B42730" s="309"/>
      <c r="C42730" s="309"/>
      <c r="I42730" s="309"/>
      <c r="J42730" s="309"/>
    </row>
    <row r="42731">
      <c r="B42731" s="309"/>
      <c r="C42731" s="309"/>
      <c r="I42731" s="309"/>
      <c r="J42731" s="309"/>
    </row>
    <row r="42732">
      <c r="B42732" s="309"/>
      <c r="C42732" s="309"/>
      <c r="I42732" s="309"/>
      <c r="J42732" s="309"/>
    </row>
    <row r="42733">
      <c r="B42733" s="309"/>
      <c r="C42733" s="309"/>
      <c r="I42733" s="309"/>
      <c r="J42733" s="309"/>
    </row>
    <row r="42734">
      <c r="B42734" s="309"/>
      <c r="C42734" s="309"/>
      <c r="I42734" s="309"/>
      <c r="J42734" s="309"/>
    </row>
    <row r="42735">
      <c r="B42735" s="309"/>
      <c r="C42735" s="309"/>
      <c r="I42735" s="309"/>
      <c r="J42735" s="309"/>
    </row>
    <row r="42736">
      <c r="B42736" s="309"/>
      <c r="C42736" s="309"/>
      <c r="I42736" s="309"/>
      <c r="J42736" s="309"/>
    </row>
    <row r="42737">
      <c r="B42737" s="309"/>
      <c r="C42737" s="309"/>
      <c r="I42737" s="309"/>
      <c r="J42737" s="309"/>
    </row>
    <row r="42738">
      <c r="B42738" s="309"/>
      <c r="C42738" s="309"/>
      <c r="I42738" s="309"/>
      <c r="J42738" s="309"/>
    </row>
    <row r="42739">
      <c r="B42739" s="309"/>
      <c r="C42739" s="309"/>
      <c r="I42739" s="309"/>
      <c r="J42739" s="309"/>
    </row>
    <row r="42740">
      <c r="B42740" s="309"/>
      <c r="C42740" s="309"/>
      <c r="I42740" s="309"/>
      <c r="J42740" s="309"/>
    </row>
    <row r="42741">
      <c r="B42741" s="309"/>
      <c r="C42741" s="309"/>
      <c r="I42741" s="309"/>
      <c r="J42741" s="309"/>
    </row>
    <row r="42742">
      <c r="B42742" s="309"/>
      <c r="C42742" s="309"/>
      <c r="I42742" s="309"/>
      <c r="J42742" s="309"/>
    </row>
    <row r="42743">
      <c r="B42743" s="309"/>
      <c r="C42743" s="309"/>
      <c r="I42743" s="309"/>
      <c r="J42743" s="309"/>
    </row>
    <row r="42744">
      <c r="B42744" s="309"/>
      <c r="C42744" s="309"/>
      <c r="I42744" s="309"/>
      <c r="J42744" s="309"/>
    </row>
    <row r="42745">
      <c r="B42745" s="309"/>
      <c r="C42745" s="309"/>
      <c r="I42745" s="309"/>
      <c r="J42745" s="309"/>
    </row>
    <row r="42746">
      <c r="B42746" s="309"/>
      <c r="C42746" s="309"/>
      <c r="I42746" s="309"/>
      <c r="J42746" s="309"/>
    </row>
    <row r="42747">
      <c r="B42747" s="309"/>
      <c r="C42747" s="309"/>
      <c r="I42747" s="309"/>
      <c r="J42747" s="309"/>
    </row>
    <row r="42748">
      <c r="B42748" s="309"/>
      <c r="C42748" s="309"/>
      <c r="I42748" s="309"/>
      <c r="J42748" s="309"/>
    </row>
    <row r="42749">
      <c r="B42749" s="309"/>
      <c r="C42749" s="309"/>
      <c r="I42749" s="309"/>
      <c r="J42749" s="309"/>
    </row>
    <row r="42750">
      <c r="B42750" s="309"/>
      <c r="C42750" s="309"/>
      <c r="I42750" s="309"/>
      <c r="J42750" s="309"/>
    </row>
    <row r="42751">
      <c r="B42751" s="309"/>
      <c r="C42751" s="309"/>
      <c r="I42751" s="309"/>
      <c r="J42751" s="309"/>
    </row>
    <row r="42752">
      <c r="B42752" s="309"/>
      <c r="C42752" s="309"/>
      <c r="I42752" s="309"/>
      <c r="J42752" s="309"/>
    </row>
    <row r="42753">
      <c r="B42753" s="309"/>
      <c r="C42753" s="309"/>
      <c r="I42753" s="309"/>
      <c r="J42753" s="309"/>
    </row>
    <row r="42754">
      <c r="B42754" s="309"/>
      <c r="C42754" s="309"/>
      <c r="I42754" s="309"/>
      <c r="J42754" s="309"/>
    </row>
    <row r="42755">
      <c r="B42755" s="309"/>
      <c r="C42755" s="309"/>
      <c r="I42755" s="309"/>
      <c r="J42755" s="309"/>
    </row>
    <row r="42756">
      <c r="B42756" s="309"/>
      <c r="C42756" s="309"/>
      <c r="I42756" s="309"/>
      <c r="J42756" s="309"/>
    </row>
    <row r="42757">
      <c r="B42757" s="309"/>
      <c r="C42757" s="309"/>
      <c r="I42757" s="309"/>
      <c r="J42757" s="309"/>
    </row>
    <row r="42758">
      <c r="B42758" s="309"/>
      <c r="C42758" s="309"/>
      <c r="I42758" s="309"/>
      <c r="J42758" s="309"/>
    </row>
    <row r="42759">
      <c r="B42759" s="309"/>
      <c r="C42759" s="309"/>
      <c r="I42759" s="309"/>
      <c r="J42759" s="309"/>
    </row>
    <row r="42760">
      <c r="B42760" s="309"/>
      <c r="C42760" s="309"/>
      <c r="I42760" s="309"/>
      <c r="J42760" s="309"/>
    </row>
    <row r="42761">
      <c r="B42761" s="309"/>
      <c r="C42761" s="309"/>
      <c r="I42761" s="309"/>
      <c r="J42761" s="309"/>
    </row>
    <row r="42762">
      <c r="B42762" s="309"/>
      <c r="C42762" s="309"/>
      <c r="I42762" s="309"/>
      <c r="J42762" s="309"/>
    </row>
    <row r="42763">
      <c r="B42763" s="309"/>
      <c r="C42763" s="309"/>
      <c r="I42763" s="309"/>
      <c r="J42763" s="309"/>
    </row>
    <row r="42764">
      <c r="B42764" s="309"/>
      <c r="C42764" s="309"/>
      <c r="I42764" s="309"/>
      <c r="J42764" s="309"/>
    </row>
    <row r="42765">
      <c r="B42765" s="309"/>
      <c r="C42765" s="309"/>
      <c r="I42765" s="309"/>
      <c r="J42765" s="309"/>
    </row>
    <row r="42766">
      <c r="B42766" s="309"/>
      <c r="C42766" s="309"/>
      <c r="I42766" s="309"/>
      <c r="J42766" s="309"/>
    </row>
    <row r="42767">
      <c r="B42767" s="309"/>
      <c r="C42767" s="309"/>
      <c r="I42767" s="309"/>
      <c r="J42767" s="309"/>
    </row>
    <row r="42768">
      <c r="B42768" s="309"/>
      <c r="C42768" s="309"/>
      <c r="I42768" s="309"/>
      <c r="J42768" s="309"/>
    </row>
    <row r="42769">
      <c r="B42769" s="309"/>
      <c r="C42769" s="309"/>
      <c r="I42769" s="309"/>
      <c r="J42769" s="309"/>
    </row>
    <row r="42770">
      <c r="B42770" s="309"/>
      <c r="C42770" s="309"/>
      <c r="I42770" s="309"/>
      <c r="J42770" s="309"/>
    </row>
    <row r="42771">
      <c r="B42771" s="309"/>
      <c r="C42771" s="309"/>
      <c r="I42771" s="309"/>
      <c r="J42771" s="309"/>
    </row>
    <row r="42772">
      <c r="B42772" s="309"/>
      <c r="C42772" s="309"/>
      <c r="I42772" s="309"/>
      <c r="J42772" s="309"/>
    </row>
    <row r="42773">
      <c r="B42773" s="309"/>
      <c r="C42773" s="309"/>
      <c r="I42773" s="309"/>
      <c r="J42773" s="309"/>
    </row>
    <row r="42774">
      <c r="B42774" s="309"/>
      <c r="C42774" s="309"/>
      <c r="I42774" s="309"/>
      <c r="J42774" s="309"/>
    </row>
    <row r="42775">
      <c r="B42775" s="309"/>
      <c r="C42775" s="309"/>
      <c r="I42775" s="309"/>
      <c r="J42775" s="309"/>
    </row>
    <row r="42776">
      <c r="B42776" s="309"/>
      <c r="C42776" s="309"/>
      <c r="I42776" s="309"/>
      <c r="J42776" s="309"/>
    </row>
    <row r="42777">
      <c r="B42777" s="309"/>
      <c r="C42777" s="309"/>
      <c r="I42777" s="309"/>
      <c r="J42777" s="309"/>
    </row>
    <row r="42778">
      <c r="B42778" s="309"/>
      <c r="C42778" s="309"/>
      <c r="I42778" s="309"/>
      <c r="J42778" s="309"/>
    </row>
    <row r="42779">
      <c r="B42779" s="309"/>
      <c r="C42779" s="309"/>
      <c r="I42779" s="309"/>
      <c r="J42779" s="309"/>
    </row>
    <row r="42780">
      <c r="B42780" s="309"/>
      <c r="C42780" s="309"/>
      <c r="I42780" s="309"/>
      <c r="J42780" s="309"/>
    </row>
    <row r="42781">
      <c r="B42781" s="309"/>
      <c r="C42781" s="309"/>
      <c r="I42781" s="309"/>
      <c r="J42781" s="309"/>
    </row>
    <row r="42782">
      <c r="B42782" s="309"/>
      <c r="C42782" s="309"/>
      <c r="I42782" s="309"/>
      <c r="J42782" s="309"/>
    </row>
    <row r="42783">
      <c r="B42783" s="309"/>
      <c r="C42783" s="309"/>
      <c r="I42783" s="309"/>
      <c r="J42783" s="309"/>
    </row>
    <row r="42784">
      <c r="B42784" s="309"/>
      <c r="C42784" s="309"/>
      <c r="I42784" s="309"/>
      <c r="J42784" s="309"/>
    </row>
    <row r="42785">
      <c r="B42785" s="309"/>
      <c r="C42785" s="309"/>
      <c r="I42785" s="309"/>
      <c r="J42785" s="309"/>
    </row>
    <row r="42786">
      <c r="B42786" s="309"/>
      <c r="C42786" s="309"/>
      <c r="I42786" s="309"/>
      <c r="J42786" s="309"/>
    </row>
    <row r="42787">
      <c r="B42787" s="309"/>
      <c r="C42787" s="309"/>
      <c r="I42787" s="309"/>
      <c r="J42787" s="309"/>
    </row>
    <row r="42788">
      <c r="B42788" s="309"/>
      <c r="C42788" s="309"/>
      <c r="I42788" s="309"/>
      <c r="J42788" s="309"/>
    </row>
    <row r="42789">
      <c r="B42789" s="309"/>
      <c r="C42789" s="309"/>
      <c r="I42789" s="309"/>
      <c r="J42789" s="309"/>
    </row>
    <row r="42790">
      <c r="B42790" s="309"/>
      <c r="C42790" s="309"/>
      <c r="I42790" s="309"/>
      <c r="J42790" s="309"/>
    </row>
    <row r="42791">
      <c r="B42791" s="309"/>
      <c r="C42791" s="309"/>
      <c r="I42791" s="309"/>
      <c r="J42791" s="309"/>
    </row>
    <row r="42792">
      <c r="B42792" s="309"/>
      <c r="C42792" s="309"/>
      <c r="I42792" s="309"/>
      <c r="J42792" s="309"/>
    </row>
    <row r="42793">
      <c r="B42793" s="309"/>
      <c r="C42793" s="309"/>
      <c r="I42793" s="309"/>
      <c r="J42793" s="309"/>
    </row>
    <row r="42794">
      <c r="B42794" s="309"/>
      <c r="C42794" s="309"/>
      <c r="I42794" s="309"/>
      <c r="J42794" s="309"/>
    </row>
    <row r="42795">
      <c r="B42795" s="309"/>
      <c r="C42795" s="309"/>
      <c r="I42795" s="309"/>
      <c r="J42795" s="309"/>
    </row>
    <row r="42796">
      <c r="B42796" s="309"/>
      <c r="C42796" s="309"/>
      <c r="I42796" s="309"/>
      <c r="J42796" s="309"/>
    </row>
    <row r="42797">
      <c r="B42797" s="309"/>
      <c r="C42797" s="309"/>
      <c r="I42797" s="309"/>
      <c r="J42797" s="309"/>
    </row>
    <row r="42798">
      <c r="B42798" s="309"/>
      <c r="C42798" s="309"/>
      <c r="I42798" s="309"/>
      <c r="J42798" s="309"/>
    </row>
    <row r="42799">
      <c r="B42799" s="309"/>
      <c r="C42799" s="309"/>
      <c r="I42799" s="309"/>
      <c r="J42799" s="309"/>
    </row>
    <row r="42800">
      <c r="B42800" s="309"/>
      <c r="C42800" s="309"/>
      <c r="I42800" s="309"/>
      <c r="J42800" s="309"/>
    </row>
    <row r="42801">
      <c r="B42801" s="309"/>
      <c r="C42801" s="309"/>
      <c r="I42801" s="309"/>
      <c r="J42801" s="309"/>
    </row>
    <row r="42802">
      <c r="B42802" s="309"/>
      <c r="C42802" s="309"/>
      <c r="I42802" s="309"/>
      <c r="J42802" s="309"/>
    </row>
    <row r="42803">
      <c r="B42803" s="309"/>
      <c r="C42803" s="309"/>
      <c r="I42803" s="309"/>
      <c r="J42803" s="309"/>
    </row>
    <row r="42804">
      <c r="B42804" s="309"/>
      <c r="C42804" s="309"/>
      <c r="I42804" s="309"/>
      <c r="J42804" s="309"/>
    </row>
    <row r="42805">
      <c r="B42805" s="309"/>
      <c r="C42805" s="309"/>
      <c r="I42805" s="309"/>
      <c r="J42805" s="309"/>
    </row>
    <row r="42806">
      <c r="B42806" s="309"/>
      <c r="C42806" s="309"/>
      <c r="I42806" s="309"/>
      <c r="J42806" s="309"/>
    </row>
    <row r="42807">
      <c r="B42807" s="309"/>
      <c r="C42807" s="309"/>
      <c r="I42807" s="309"/>
      <c r="J42807" s="309"/>
    </row>
    <row r="42808">
      <c r="B42808" s="309"/>
      <c r="C42808" s="309"/>
      <c r="I42808" s="309"/>
      <c r="J42808" s="309"/>
    </row>
    <row r="42809">
      <c r="B42809" s="309"/>
      <c r="C42809" s="309"/>
      <c r="I42809" s="309"/>
      <c r="J42809" s="309"/>
    </row>
    <row r="42810">
      <c r="B42810" s="309"/>
      <c r="C42810" s="309"/>
      <c r="I42810" s="309"/>
      <c r="J42810" s="309"/>
    </row>
    <row r="42811">
      <c r="B42811" s="309"/>
      <c r="C42811" s="309"/>
      <c r="I42811" s="309"/>
      <c r="J42811" s="309"/>
    </row>
    <row r="42812">
      <c r="B42812" s="309"/>
      <c r="C42812" s="309"/>
      <c r="I42812" s="309"/>
      <c r="J42812" s="309"/>
    </row>
    <row r="42813">
      <c r="B42813" s="309"/>
      <c r="C42813" s="309"/>
      <c r="I42813" s="309"/>
      <c r="J42813" s="309"/>
    </row>
    <row r="42814">
      <c r="B42814" s="309"/>
      <c r="C42814" s="309"/>
      <c r="I42814" s="309"/>
      <c r="J42814" s="309"/>
    </row>
    <row r="42815">
      <c r="B42815" s="309"/>
      <c r="C42815" s="309"/>
      <c r="I42815" s="309"/>
      <c r="J42815" s="309"/>
    </row>
    <row r="42816">
      <c r="B42816" s="309"/>
      <c r="C42816" s="309"/>
      <c r="I42816" s="309"/>
      <c r="J42816" s="309"/>
    </row>
    <row r="42817">
      <c r="B42817" s="309"/>
      <c r="C42817" s="309"/>
      <c r="I42817" s="309"/>
      <c r="J42817" s="309"/>
    </row>
    <row r="42818">
      <c r="B42818" s="309"/>
      <c r="C42818" s="309"/>
      <c r="I42818" s="309"/>
      <c r="J42818" s="309"/>
    </row>
    <row r="42819">
      <c r="B42819" s="309"/>
      <c r="C42819" s="309"/>
      <c r="I42819" s="309"/>
      <c r="J42819" s="309"/>
    </row>
    <row r="42820">
      <c r="B42820" s="309"/>
      <c r="C42820" s="309"/>
      <c r="I42820" s="309"/>
      <c r="J42820" s="309"/>
    </row>
    <row r="42821">
      <c r="B42821" s="309"/>
      <c r="C42821" s="309"/>
      <c r="I42821" s="309"/>
      <c r="J42821" s="309"/>
    </row>
    <row r="42822">
      <c r="B42822" s="309"/>
      <c r="C42822" s="309"/>
      <c r="I42822" s="309"/>
      <c r="J42822" s="309"/>
    </row>
    <row r="42823">
      <c r="B42823" s="309"/>
      <c r="C42823" s="309"/>
      <c r="I42823" s="309"/>
      <c r="J42823" s="309"/>
    </row>
    <row r="42824">
      <c r="B42824" s="309"/>
      <c r="C42824" s="309"/>
      <c r="I42824" s="309"/>
      <c r="J42824" s="309"/>
    </row>
    <row r="42825">
      <c r="B42825" s="309"/>
      <c r="C42825" s="309"/>
      <c r="I42825" s="309"/>
      <c r="J42825" s="309"/>
    </row>
    <row r="42826">
      <c r="B42826" s="309"/>
      <c r="C42826" s="309"/>
      <c r="I42826" s="309"/>
      <c r="J42826" s="309"/>
    </row>
    <row r="42827">
      <c r="B42827" s="309"/>
      <c r="C42827" s="309"/>
      <c r="I42827" s="309"/>
      <c r="J42827" s="309"/>
    </row>
    <row r="42828">
      <c r="B42828" s="309"/>
      <c r="C42828" s="309"/>
      <c r="I42828" s="309"/>
      <c r="J42828" s="309"/>
    </row>
    <row r="42829">
      <c r="B42829" s="309"/>
      <c r="C42829" s="309"/>
      <c r="I42829" s="309"/>
      <c r="J42829" s="309"/>
    </row>
    <row r="42830">
      <c r="B42830" s="309"/>
      <c r="C42830" s="309"/>
      <c r="I42830" s="309"/>
      <c r="J42830" s="309"/>
    </row>
    <row r="42831">
      <c r="B42831" s="309"/>
      <c r="C42831" s="309"/>
      <c r="I42831" s="309"/>
      <c r="J42831" s="309"/>
    </row>
    <row r="42832">
      <c r="B42832" s="309"/>
      <c r="C42832" s="309"/>
      <c r="I42832" s="309"/>
      <c r="J42832" s="309"/>
    </row>
    <row r="42833">
      <c r="B42833" s="309"/>
      <c r="C42833" s="309"/>
      <c r="I42833" s="309"/>
      <c r="J42833" s="309"/>
    </row>
    <row r="42834">
      <c r="B42834" s="309"/>
      <c r="C42834" s="309"/>
      <c r="I42834" s="309"/>
      <c r="J42834" s="309"/>
    </row>
    <row r="42835">
      <c r="B42835" s="309"/>
      <c r="C42835" s="309"/>
      <c r="I42835" s="309"/>
      <c r="J42835" s="309"/>
    </row>
    <row r="42836">
      <c r="B42836" s="309"/>
      <c r="C42836" s="309"/>
      <c r="I42836" s="309"/>
      <c r="J42836" s="309"/>
    </row>
    <row r="42837">
      <c r="B42837" s="309"/>
      <c r="C42837" s="309"/>
      <c r="I42837" s="309"/>
      <c r="J42837" s="309"/>
    </row>
    <row r="42838">
      <c r="B42838" s="309"/>
      <c r="C42838" s="309"/>
      <c r="I42838" s="309"/>
      <c r="J42838" s="309"/>
    </row>
    <row r="42839">
      <c r="B42839" s="309"/>
      <c r="C42839" s="309"/>
      <c r="I42839" s="309"/>
      <c r="J42839" s="309"/>
    </row>
    <row r="42840">
      <c r="B42840" s="309"/>
      <c r="C42840" s="309"/>
      <c r="I42840" s="309"/>
      <c r="J42840" s="309"/>
    </row>
    <row r="42841">
      <c r="B42841" s="309"/>
      <c r="C42841" s="309"/>
      <c r="I42841" s="309"/>
      <c r="J42841" s="309"/>
    </row>
    <row r="42842">
      <c r="B42842" s="309"/>
      <c r="C42842" s="309"/>
      <c r="I42842" s="309"/>
      <c r="J42842" s="309"/>
    </row>
    <row r="42843">
      <c r="B42843" s="309"/>
      <c r="C42843" s="309"/>
      <c r="I42843" s="309"/>
      <c r="J42843" s="309"/>
    </row>
    <row r="42844">
      <c r="B42844" s="309"/>
      <c r="C42844" s="309"/>
      <c r="I42844" s="309"/>
      <c r="J42844" s="309"/>
    </row>
    <row r="42845">
      <c r="B42845" s="309"/>
      <c r="C42845" s="309"/>
      <c r="I42845" s="309"/>
      <c r="J42845" s="309"/>
    </row>
    <row r="42846">
      <c r="B42846" s="309"/>
      <c r="C42846" s="309"/>
      <c r="I42846" s="309"/>
      <c r="J42846" s="309"/>
    </row>
    <row r="42847">
      <c r="B42847" s="309"/>
      <c r="C42847" s="309"/>
      <c r="I42847" s="309"/>
      <c r="J42847" s="309"/>
    </row>
    <row r="42848">
      <c r="B42848" s="309"/>
      <c r="C42848" s="309"/>
      <c r="I42848" s="309"/>
      <c r="J42848" s="309"/>
    </row>
    <row r="42849">
      <c r="B42849" s="309"/>
      <c r="C42849" s="309"/>
      <c r="I42849" s="309"/>
      <c r="J42849" s="309"/>
    </row>
    <row r="42850">
      <c r="B42850" s="309"/>
      <c r="C42850" s="309"/>
      <c r="I42850" s="309"/>
      <c r="J42850" s="309"/>
    </row>
    <row r="42851">
      <c r="B42851" s="309"/>
      <c r="C42851" s="309"/>
      <c r="I42851" s="309"/>
      <c r="J42851" s="309"/>
    </row>
    <row r="42852">
      <c r="B42852" s="309"/>
      <c r="C42852" s="309"/>
      <c r="I42852" s="309"/>
      <c r="J42852" s="309"/>
    </row>
    <row r="42853">
      <c r="B42853" s="309"/>
      <c r="C42853" s="309"/>
      <c r="I42853" s="309"/>
      <c r="J42853" s="309"/>
    </row>
    <row r="42854">
      <c r="B42854" s="309"/>
      <c r="C42854" s="309"/>
      <c r="I42854" s="309"/>
      <c r="J42854" s="309"/>
    </row>
    <row r="42855">
      <c r="B42855" s="309"/>
      <c r="C42855" s="309"/>
      <c r="I42855" s="309"/>
      <c r="J42855" s="309"/>
    </row>
    <row r="42856">
      <c r="B42856" s="309"/>
      <c r="C42856" s="309"/>
      <c r="I42856" s="309"/>
      <c r="J42856" s="309"/>
    </row>
    <row r="42857">
      <c r="B42857" s="309"/>
      <c r="C42857" s="309"/>
      <c r="I42857" s="309"/>
      <c r="J42857" s="309"/>
    </row>
    <row r="42858">
      <c r="B42858" s="309"/>
      <c r="C42858" s="309"/>
      <c r="I42858" s="309"/>
      <c r="J42858" s="309"/>
    </row>
    <row r="42859">
      <c r="B42859" s="309"/>
      <c r="C42859" s="309"/>
      <c r="I42859" s="309"/>
      <c r="J42859" s="309"/>
    </row>
    <row r="42860">
      <c r="B42860" s="309"/>
      <c r="C42860" s="309"/>
      <c r="I42860" s="309"/>
      <c r="J42860" s="309"/>
    </row>
    <row r="42861">
      <c r="B42861" s="309"/>
      <c r="C42861" s="309"/>
      <c r="I42861" s="309"/>
      <c r="J42861" s="309"/>
    </row>
    <row r="42862">
      <c r="B42862" s="309"/>
      <c r="C42862" s="309"/>
      <c r="I42862" s="309"/>
      <c r="J42862" s="309"/>
    </row>
    <row r="42863">
      <c r="B42863" s="309"/>
      <c r="C42863" s="309"/>
      <c r="I42863" s="309"/>
      <c r="J42863" s="309"/>
    </row>
    <row r="42864">
      <c r="B42864" s="309"/>
      <c r="C42864" s="309"/>
      <c r="I42864" s="309"/>
      <c r="J42864" s="309"/>
    </row>
    <row r="42865">
      <c r="B42865" s="309"/>
      <c r="C42865" s="309"/>
      <c r="I42865" s="309"/>
      <c r="J42865" s="309"/>
    </row>
    <row r="42866">
      <c r="B42866" s="309"/>
      <c r="C42866" s="309"/>
      <c r="I42866" s="309"/>
      <c r="J42866" s="309"/>
    </row>
    <row r="42867">
      <c r="B42867" s="309"/>
      <c r="C42867" s="309"/>
      <c r="I42867" s="309"/>
      <c r="J42867" s="309"/>
    </row>
    <row r="42868">
      <c r="B42868" s="309"/>
      <c r="C42868" s="309"/>
      <c r="I42868" s="309"/>
      <c r="J42868" s="309"/>
    </row>
    <row r="42869">
      <c r="B42869" s="309"/>
      <c r="C42869" s="309"/>
      <c r="I42869" s="309"/>
      <c r="J42869" s="309"/>
    </row>
    <row r="42870">
      <c r="B42870" s="309"/>
      <c r="C42870" s="309"/>
      <c r="I42870" s="309"/>
      <c r="J42870" s="309"/>
    </row>
    <row r="42871">
      <c r="B42871" s="309"/>
      <c r="C42871" s="309"/>
      <c r="I42871" s="309"/>
      <c r="J42871" s="309"/>
    </row>
    <row r="42872">
      <c r="B42872" s="309"/>
      <c r="C42872" s="309"/>
      <c r="I42872" s="309"/>
      <c r="J42872" s="309"/>
    </row>
    <row r="42873">
      <c r="B42873" s="309"/>
      <c r="C42873" s="309"/>
      <c r="I42873" s="309"/>
      <c r="J42873" s="309"/>
    </row>
    <row r="42874">
      <c r="B42874" s="309"/>
      <c r="C42874" s="309"/>
      <c r="I42874" s="309"/>
      <c r="J42874" s="309"/>
    </row>
    <row r="42875">
      <c r="B42875" s="309"/>
      <c r="C42875" s="309"/>
      <c r="I42875" s="309"/>
      <c r="J42875" s="309"/>
    </row>
    <row r="42876">
      <c r="B42876" s="309"/>
      <c r="C42876" s="309"/>
      <c r="I42876" s="309"/>
      <c r="J42876" s="309"/>
    </row>
    <row r="42877">
      <c r="B42877" s="309"/>
      <c r="C42877" s="309"/>
      <c r="I42877" s="309"/>
      <c r="J42877" s="309"/>
    </row>
    <row r="42878">
      <c r="B42878" s="309"/>
      <c r="C42878" s="309"/>
      <c r="I42878" s="309"/>
      <c r="J42878" s="309"/>
    </row>
    <row r="42879">
      <c r="B42879" s="309"/>
      <c r="C42879" s="309"/>
      <c r="I42879" s="309"/>
      <c r="J42879" s="309"/>
    </row>
    <row r="42880">
      <c r="B42880" s="309"/>
      <c r="C42880" s="309"/>
      <c r="I42880" s="309"/>
      <c r="J42880" s="309"/>
    </row>
    <row r="42881">
      <c r="B42881" s="309"/>
      <c r="C42881" s="309"/>
      <c r="I42881" s="309"/>
      <c r="J42881" s="309"/>
    </row>
    <row r="42882">
      <c r="B42882" s="309"/>
      <c r="C42882" s="309"/>
      <c r="I42882" s="309"/>
      <c r="J42882" s="309"/>
    </row>
    <row r="42883">
      <c r="B42883" s="309"/>
      <c r="C42883" s="309"/>
      <c r="I42883" s="309"/>
      <c r="J42883" s="309"/>
    </row>
    <row r="42884">
      <c r="B42884" s="309"/>
      <c r="C42884" s="309"/>
      <c r="I42884" s="309"/>
      <c r="J42884" s="309"/>
    </row>
    <row r="42885">
      <c r="B42885" s="309"/>
      <c r="C42885" s="309"/>
      <c r="I42885" s="309"/>
      <c r="J42885" s="309"/>
    </row>
    <row r="42886">
      <c r="B42886" s="309"/>
      <c r="C42886" s="309"/>
      <c r="I42886" s="309"/>
      <c r="J42886" s="309"/>
    </row>
    <row r="42887">
      <c r="B42887" s="309"/>
      <c r="C42887" s="309"/>
      <c r="I42887" s="309"/>
      <c r="J42887" s="309"/>
    </row>
    <row r="42888">
      <c r="B42888" s="309"/>
      <c r="C42888" s="309"/>
      <c r="I42888" s="309"/>
      <c r="J42888" s="309"/>
    </row>
    <row r="42889">
      <c r="B42889" s="309"/>
      <c r="C42889" s="309"/>
      <c r="I42889" s="309"/>
      <c r="J42889" s="309"/>
    </row>
    <row r="42890">
      <c r="B42890" s="309"/>
      <c r="C42890" s="309"/>
      <c r="I42890" s="309"/>
      <c r="J42890" s="309"/>
    </row>
    <row r="42891">
      <c r="B42891" s="309"/>
      <c r="C42891" s="309"/>
      <c r="I42891" s="309"/>
      <c r="J42891" s="309"/>
    </row>
    <row r="42892">
      <c r="B42892" s="309"/>
      <c r="C42892" s="309"/>
      <c r="I42892" s="309"/>
      <c r="J42892" s="309"/>
    </row>
    <row r="42893">
      <c r="B42893" s="309"/>
      <c r="C42893" s="309"/>
      <c r="I42893" s="309"/>
      <c r="J42893" s="309"/>
    </row>
    <row r="42894">
      <c r="B42894" s="309"/>
      <c r="C42894" s="309"/>
      <c r="I42894" s="309"/>
      <c r="J42894" s="309"/>
    </row>
    <row r="42895">
      <c r="B42895" s="309"/>
      <c r="C42895" s="309"/>
      <c r="I42895" s="309"/>
      <c r="J42895" s="309"/>
    </row>
    <row r="42896">
      <c r="B42896" s="309"/>
      <c r="C42896" s="309"/>
      <c r="I42896" s="309"/>
      <c r="J42896" s="309"/>
    </row>
    <row r="42897">
      <c r="B42897" s="309"/>
      <c r="C42897" s="309"/>
      <c r="I42897" s="309"/>
      <c r="J42897" s="309"/>
    </row>
    <row r="42898">
      <c r="B42898" s="309"/>
      <c r="C42898" s="309"/>
      <c r="I42898" s="309"/>
      <c r="J42898" s="309"/>
    </row>
    <row r="42899">
      <c r="B42899" s="309"/>
      <c r="C42899" s="309"/>
      <c r="I42899" s="309"/>
      <c r="J42899" s="309"/>
    </row>
    <row r="42900">
      <c r="B42900" s="309"/>
      <c r="C42900" s="309"/>
      <c r="I42900" s="309"/>
      <c r="J42900" s="309"/>
    </row>
    <row r="42901">
      <c r="B42901" s="309"/>
      <c r="C42901" s="309"/>
      <c r="I42901" s="309"/>
      <c r="J42901" s="309"/>
    </row>
    <row r="42902">
      <c r="B42902" s="309"/>
      <c r="C42902" s="309"/>
      <c r="I42902" s="309"/>
      <c r="J42902" s="309"/>
    </row>
    <row r="42903">
      <c r="B42903" s="309"/>
      <c r="C42903" s="309"/>
      <c r="I42903" s="309"/>
      <c r="J42903" s="309"/>
    </row>
    <row r="42904">
      <c r="B42904" s="309"/>
      <c r="C42904" s="309"/>
      <c r="I42904" s="309"/>
      <c r="J42904" s="309"/>
    </row>
    <row r="42905">
      <c r="B42905" s="309"/>
      <c r="C42905" s="309"/>
      <c r="I42905" s="309"/>
      <c r="J42905" s="309"/>
    </row>
    <row r="42906">
      <c r="B42906" s="309"/>
      <c r="C42906" s="309"/>
      <c r="I42906" s="309"/>
      <c r="J42906" s="309"/>
    </row>
    <row r="42907">
      <c r="B42907" s="309"/>
      <c r="C42907" s="309"/>
      <c r="I42907" s="309"/>
      <c r="J42907" s="309"/>
    </row>
    <row r="42908">
      <c r="B42908" s="309"/>
      <c r="C42908" s="309"/>
      <c r="I42908" s="309"/>
      <c r="J42908" s="309"/>
    </row>
    <row r="42909">
      <c r="B42909" s="309"/>
      <c r="C42909" s="309"/>
      <c r="I42909" s="309"/>
      <c r="J42909" s="309"/>
    </row>
    <row r="42910">
      <c r="B42910" s="309"/>
      <c r="C42910" s="309"/>
      <c r="I42910" s="309"/>
      <c r="J42910" s="309"/>
    </row>
    <row r="42911">
      <c r="B42911" s="309"/>
      <c r="C42911" s="309"/>
      <c r="I42911" s="309"/>
      <c r="J42911" s="309"/>
    </row>
    <row r="42912">
      <c r="B42912" s="309"/>
      <c r="C42912" s="309"/>
      <c r="I42912" s="309"/>
      <c r="J42912" s="309"/>
    </row>
    <row r="42913">
      <c r="B42913" s="309"/>
      <c r="C42913" s="309"/>
      <c r="I42913" s="309"/>
      <c r="J42913" s="309"/>
    </row>
    <row r="42914">
      <c r="B42914" s="309"/>
      <c r="C42914" s="309"/>
      <c r="I42914" s="309"/>
      <c r="J42914" s="309"/>
    </row>
    <row r="42915">
      <c r="B42915" s="309"/>
      <c r="C42915" s="309"/>
      <c r="I42915" s="309"/>
      <c r="J42915" s="309"/>
    </row>
    <row r="42916">
      <c r="B42916" s="309"/>
      <c r="C42916" s="309"/>
      <c r="I42916" s="309"/>
      <c r="J42916" s="309"/>
    </row>
    <row r="42917">
      <c r="B42917" s="309"/>
      <c r="C42917" s="309"/>
      <c r="I42917" s="309"/>
      <c r="J42917" s="309"/>
    </row>
    <row r="42918">
      <c r="B42918" s="309"/>
      <c r="C42918" s="309"/>
      <c r="I42918" s="309"/>
      <c r="J42918" s="309"/>
    </row>
    <row r="42919">
      <c r="B42919" s="309"/>
      <c r="C42919" s="309"/>
      <c r="I42919" s="309"/>
      <c r="J42919" s="309"/>
    </row>
    <row r="42920">
      <c r="B42920" s="309"/>
      <c r="C42920" s="309"/>
      <c r="I42920" s="309"/>
      <c r="J42920" s="309"/>
    </row>
    <row r="42921">
      <c r="B42921" s="309"/>
      <c r="C42921" s="309"/>
      <c r="I42921" s="309"/>
      <c r="J42921" s="309"/>
    </row>
    <row r="42922">
      <c r="B42922" s="309"/>
      <c r="C42922" s="309"/>
      <c r="I42922" s="309"/>
      <c r="J42922" s="309"/>
    </row>
    <row r="42923">
      <c r="B42923" s="309"/>
      <c r="C42923" s="309"/>
      <c r="I42923" s="309"/>
      <c r="J42923" s="309"/>
    </row>
    <row r="42924">
      <c r="B42924" s="309"/>
      <c r="C42924" s="309"/>
      <c r="I42924" s="309"/>
      <c r="J42924" s="309"/>
    </row>
    <row r="42925">
      <c r="B42925" s="309"/>
      <c r="C42925" s="309"/>
      <c r="I42925" s="309"/>
      <c r="J42925" s="309"/>
    </row>
    <row r="42926">
      <c r="B42926" s="309"/>
      <c r="C42926" s="309"/>
      <c r="I42926" s="309"/>
      <c r="J42926" s="309"/>
    </row>
    <row r="42927">
      <c r="B42927" s="309"/>
      <c r="C42927" s="309"/>
      <c r="I42927" s="309"/>
      <c r="J42927" s="309"/>
    </row>
    <row r="42928">
      <c r="B42928" s="309"/>
      <c r="C42928" s="309"/>
      <c r="I42928" s="309"/>
      <c r="J42928" s="309"/>
    </row>
    <row r="42929">
      <c r="B42929" s="309"/>
      <c r="C42929" s="309"/>
      <c r="I42929" s="309"/>
      <c r="J42929" s="309"/>
    </row>
    <row r="42930">
      <c r="B42930" s="309"/>
      <c r="C42930" s="309"/>
      <c r="I42930" s="309"/>
      <c r="J42930" s="309"/>
    </row>
    <row r="42931">
      <c r="B42931" s="309"/>
      <c r="C42931" s="309"/>
      <c r="I42931" s="309"/>
      <c r="J42931" s="309"/>
    </row>
    <row r="42932">
      <c r="B42932" s="309"/>
      <c r="C42932" s="309"/>
      <c r="I42932" s="309"/>
      <c r="J42932" s="309"/>
    </row>
    <row r="42933">
      <c r="B42933" s="309"/>
      <c r="C42933" s="309"/>
      <c r="I42933" s="309"/>
      <c r="J42933" s="309"/>
    </row>
    <row r="42934">
      <c r="B42934" s="309"/>
      <c r="C42934" s="309"/>
      <c r="I42934" s="309"/>
      <c r="J42934" s="309"/>
    </row>
    <row r="42935">
      <c r="B42935" s="309"/>
      <c r="C42935" s="309"/>
      <c r="I42935" s="309"/>
      <c r="J42935" s="309"/>
    </row>
    <row r="42936">
      <c r="B42936" s="309"/>
      <c r="C42936" s="309"/>
      <c r="I42936" s="309"/>
      <c r="J42936" s="309"/>
    </row>
    <row r="42937">
      <c r="B42937" s="309"/>
      <c r="C42937" s="309"/>
      <c r="I42937" s="309"/>
      <c r="J42937" s="309"/>
    </row>
    <row r="42938">
      <c r="B42938" s="309"/>
      <c r="C42938" s="309"/>
      <c r="I42938" s="309"/>
      <c r="J42938" s="309"/>
    </row>
    <row r="42939">
      <c r="B42939" s="309"/>
      <c r="C42939" s="309"/>
      <c r="I42939" s="309"/>
      <c r="J42939" s="309"/>
    </row>
    <row r="42940">
      <c r="B42940" s="309"/>
      <c r="C42940" s="309"/>
      <c r="I42940" s="309"/>
      <c r="J42940" s="309"/>
    </row>
    <row r="42941">
      <c r="B42941" s="309"/>
      <c r="C42941" s="309"/>
      <c r="I42941" s="309"/>
      <c r="J42941" s="309"/>
    </row>
    <row r="42942">
      <c r="B42942" s="309"/>
      <c r="C42942" s="309"/>
      <c r="I42942" s="309"/>
      <c r="J42942" s="309"/>
    </row>
    <row r="42943">
      <c r="B42943" s="309"/>
      <c r="C42943" s="309"/>
      <c r="I42943" s="309"/>
      <c r="J42943" s="309"/>
    </row>
    <row r="42944">
      <c r="B42944" s="309"/>
      <c r="C42944" s="309"/>
      <c r="I42944" s="309"/>
      <c r="J42944" s="309"/>
    </row>
    <row r="42945">
      <c r="B42945" s="309"/>
      <c r="C42945" s="309"/>
      <c r="I42945" s="309"/>
      <c r="J42945" s="309"/>
    </row>
    <row r="42946">
      <c r="B42946" s="309"/>
      <c r="C42946" s="309"/>
      <c r="I42946" s="309"/>
      <c r="J42946" s="309"/>
    </row>
    <row r="42947">
      <c r="B42947" s="309"/>
      <c r="C42947" s="309"/>
      <c r="I42947" s="309"/>
      <c r="J42947" s="309"/>
    </row>
    <row r="42948">
      <c r="B42948" s="309"/>
      <c r="C42948" s="309"/>
      <c r="I42948" s="309"/>
      <c r="J42948" s="309"/>
    </row>
    <row r="42949">
      <c r="B42949" s="309"/>
      <c r="C42949" s="309"/>
      <c r="I42949" s="309"/>
      <c r="J42949" s="309"/>
    </row>
    <row r="42950">
      <c r="B42950" s="309"/>
      <c r="C42950" s="309"/>
      <c r="I42950" s="309"/>
      <c r="J42950" s="309"/>
    </row>
    <row r="42951">
      <c r="B42951" s="309"/>
      <c r="C42951" s="309"/>
      <c r="I42951" s="309"/>
      <c r="J42951" s="309"/>
    </row>
    <row r="42952">
      <c r="B42952" s="309"/>
      <c r="C42952" s="309"/>
      <c r="I42952" s="309"/>
      <c r="J42952" s="309"/>
    </row>
    <row r="42953">
      <c r="B42953" s="309"/>
      <c r="C42953" s="309"/>
      <c r="I42953" s="309"/>
      <c r="J42953" s="309"/>
    </row>
    <row r="42954">
      <c r="B42954" s="309"/>
      <c r="C42954" s="309"/>
      <c r="I42954" s="309"/>
      <c r="J42954" s="309"/>
    </row>
    <row r="42955">
      <c r="B42955" s="309"/>
      <c r="C42955" s="309"/>
      <c r="I42955" s="309"/>
      <c r="J42955" s="309"/>
    </row>
    <row r="42956">
      <c r="B42956" s="309"/>
      <c r="C42956" s="309"/>
      <c r="I42956" s="309"/>
      <c r="J42956" s="309"/>
    </row>
    <row r="42957">
      <c r="B42957" s="309"/>
      <c r="C42957" s="309"/>
      <c r="I42957" s="309"/>
      <c r="J42957" s="309"/>
    </row>
    <row r="42958">
      <c r="B42958" s="309"/>
      <c r="C42958" s="309"/>
      <c r="I42958" s="309"/>
      <c r="J42958" s="309"/>
    </row>
    <row r="42959">
      <c r="B42959" s="309"/>
      <c r="C42959" s="309"/>
      <c r="I42959" s="309"/>
      <c r="J42959" s="309"/>
    </row>
    <row r="42960">
      <c r="B42960" s="309"/>
      <c r="C42960" s="309"/>
      <c r="I42960" s="309"/>
      <c r="J42960" s="309"/>
    </row>
    <row r="42961">
      <c r="B42961" s="309"/>
      <c r="C42961" s="309"/>
      <c r="I42961" s="309"/>
      <c r="J42961" s="309"/>
    </row>
    <row r="42962">
      <c r="B42962" s="309"/>
      <c r="C42962" s="309"/>
      <c r="I42962" s="309"/>
      <c r="J42962" s="309"/>
    </row>
    <row r="42963">
      <c r="B42963" s="309"/>
      <c r="C42963" s="309"/>
      <c r="I42963" s="309"/>
      <c r="J42963" s="309"/>
    </row>
    <row r="42964">
      <c r="B42964" s="309"/>
      <c r="C42964" s="309"/>
      <c r="I42964" s="309"/>
      <c r="J42964" s="309"/>
    </row>
    <row r="42965">
      <c r="B42965" s="309"/>
      <c r="C42965" s="309"/>
      <c r="I42965" s="309"/>
      <c r="J42965" s="309"/>
    </row>
    <row r="42966">
      <c r="B42966" s="309"/>
      <c r="C42966" s="309"/>
      <c r="I42966" s="309"/>
      <c r="J42966" s="309"/>
    </row>
    <row r="42967">
      <c r="B42967" s="309"/>
      <c r="C42967" s="309"/>
      <c r="I42967" s="309"/>
      <c r="J42967" s="309"/>
    </row>
    <row r="42968">
      <c r="B42968" s="309"/>
      <c r="C42968" s="309"/>
      <c r="I42968" s="309"/>
      <c r="J42968" s="309"/>
    </row>
    <row r="42969">
      <c r="B42969" s="309"/>
      <c r="C42969" s="309"/>
      <c r="I42969" s="309"/>
      <c r="J42969" s="309"/>
    </row>
    <row r="42970">
      <c r="B42970" s="309"/>
      <c r="C42970" s="309"/>
      <c r="I42970" s="309"/>
      <c r="J42970" s="309"/>
    </row>
    <row r="42971">
      <c r="B42971" s="309"/>
      <c r="C42971" s="309"/>
      <c r="I42971" s="309"/>
      <c r="J42971" s="309"/>
    </row>
    <row r="42972">
      <c r="B42972" s="309"/>
      <c r="C42972" s="309"/>
      <c r="I42972" s="309"/>
      <c r="J42972" s="309"/>
    </row>
    <row r="42973">
      <c r="B42973" s="309"/>
      <c r="C42973" s="309"/>
      <c r="I42973" s="309"/>
      <c r="J42973" s="309"/>
    </row>
    <row r="42974">
      <c r="B42974" s="309"/>
      <c r="C42974" s="309"/>
      <c r="I42974" s="309"/>
      <c r="J42974" s="309"/>
    </row>
    <row r="42975">
      <c r="B42975" s="309"/>
      <c r="C42975" s="309"/>
      <c r="I42975" s="309"/>
      <c r="J42975" s="309"/>
    </row>
    <row r="42976">
      <c r="B42976" s="309"/>
      <c r="C42976" s="309"/>
      <c r="I42976" s="309"/>
      <c r="J42976" s="309"/>
    </row>
    <row r="42977">
      <c r="B42977" s="309"/>
      <c r="C42977" s="309"/>
      <c r="I42977" s="309"/>
      <c r="J42977" s="309"/>
    </row>
    <row r="42978">
      <c r="B42978" s="309"/>
      <c r="C42978" s="309"/>
      <c r="I42978" s="309"/>
      <c r="J42978" s="309"/>
    </row>
    <row r="42979">
      <c r="B42979" s="309"/>
      <c r="C42979" s="309"/>
      <c r="I42979" s="309"/>
      <c r="J42979" s="309"/>
    </row>
    <row r="42980">
      <c r="B42980" s="309"/>
      <c r="C42980" s="309"/>
      <c r="I42980" s="309"/>
      <c r="J42980" s="309"/>
    </row>
    <row r="42981">
      <c r="B42981" s="309"/>
      <c r="C42981" s="309"/>
      <c r="I42981" s="309"/>
      <c r="J42981" s="309"/>
    </row>
    <row r="42982">
      <c r="B42982" s="309"/>
      <c r="C42982" s="309"/>
      <c r="I42982" s="309"/>
      <c r="J42982" s="309"/>
    </row>
    <row r="42983">
      <c r="B42983" s="309"/>
      <c r="C42983" s="309"/>
      <c r="I42983" s="309"/>
      <c r="J42983" s="309"/>
    </row>
    <row r="42984">
      <c r="B42984" s="309"/>
      <c r="C42984" s="309"/>
      <c r="I42984" s="309"/>
      <c r="J42984" s="309"/>
    </row>
    <row r="42985">
      <c r="B42985" s="309"/>
      <c r="C42985" s="309"/>
      <c r="I42985" s="309"/>
      <c r="J42985" s="309"/>
    </row>
    <row r="42986">
      <c r="B42986" s="309"/>
      <c r="C42986" s="309"/>
      <c r="I42986" s="309"/>
      <c r="J42986" s="309"/>
    </row>
    <row r="42987">
      <c r="B42987" s="309"/>
      <c r="C42987" s="309"/>
      <c r="I42987" s="309"/>
      <c r="J42987" s="309"/>
    </row>
    <row r="42988">
      <c r="B42988" s="309"/>
      <c r="C42988" s="309"/>
      <c r="I42988" s="309"/>
      <c r="J42988" s="309"/>
    </row>
    <row r="42989">
      <c r="B42989" s="309"/>
      <c r="C42989" s="309"/>
      <c r="I42989" s="309"/>
      <c r="J42989" s="309"/>
    </row>
    <row r="42990">
      <c r="B42990" s="309"/>
      <c r="C42990" s="309"/>
      <c r="I42990" s="309"/>
      <c r="J42990" s="309"/>
    </row>
    <row r="42991">
      <c r="B42991" s="309"/>
      <c r="C42991" s="309"/>
      <c r="I42991" s="309"/>
      <c r="J42991" s="309"/>
    </row>
    <row r="42992">
      <c r="B42992" s="309"/>
      <c r="C42992" s="309"/>
      <c r="I42992" s="309"/>
      <c r="J42992" s="309"/>
    </row>
    <row r="42993">
      <c r="B42993" s="309"/>
      <c r="C42993" s="309"/>
      <c r="I42993" s="309"/>
      <c r="J42993" s="309"/>
    </row>
    <row r="42994">
      <c r="B42994" s="309"/>
      <c r="C42994" s="309"/>
      <c r="I42994" s="309"/>
      <c r="J42994" s="309"/>
    </row>
    <row r="42995">
      <c r="B42995" s="309"/>
      <c r="C42995" s="309"/>
      <c r="I42995" s="309"/>
      <c r="J42995" s="309"/>
    </row>
    <row r="42996">
      <c r="B42996" s="309"/>
      <c r="C42996" s="309"/>
      <c r="I42996" s="309"/>
      <c r="J42996" s="309"/>
    </row>
    <row r="42997">
      <c r="B42997" s="309"/>
      <c r="C42997" s="309"/>
      <c r="I42997" s="309"/>
      <c r="J42997" s="309"/>
    </row>
    <row r="42998">
      <c r="B42998" s="309"/>
      <c r="C42998" s="309"/>
      <c r="I42998" s="309"/>
      <c r="J42998" s="309"/>
    </row>
    <row r="42999">
      <c r="B42999" s="309"/>
      <c r="C42999" s="309"/>
      <c r="I42999" s="309"/>
      <c r="J42999" s="309"/>
    </row>
    <row r="43000">
      <c r="B43000" s="309"/>
      <c r="C43000" s="309"/>
      <c r="I43000" s="309"/>
      <c r="J43000" s="309"/>
    </row>
    <row r="43001">
      <c r="B43001" s="309"/>
      <c r="C43001" s="309"/>
      <c r="I43001" s="309"/>
      <c r="J43001" s="309"/>
    </row>
    <row r="43002">
      <c r="B43002" s="309"/>
      <c r="C43002" s="309"/>
      <c r="I43002" s="309"/>
      <c r="J43002" s="309"/>
    </row>
    <row r="43003">
      <c r="B43003" s="309"/>
      <c r="C43003" s="309"/>
      <c r="I43003" s="309"/>
      <c r="J43003" s="309"/>
    </row>
    <row r="43004">
      <c r="B43004" s="309"/>
      <c r="C43004" s="309"/>
      <c r="I43004" s="309"/>
      <c r="J43004" s="309"/>
    </row>
    <row r="43005">
      <c r="B43005" s="309"/>
      <c r="C43005" s="309"/>
      <c r="I43005" s="309"/>
      <c r="J43005" s="309"/>
    </row>
    <row r="43006">
      <c r="B43006" s="309"/>
      <c r="C43006" s="309"/>
      <c r="I43006" s="309"/>
      <c r="J43006" s="309"/>
    </row>
    <row r="43007">
      <c r="B43007" s="309"/>
      <c r="C43007" s="309"/>
      <c r="I43007" s="309"/>
      <c r="J43007" s="309"/>
    </row>
    <row r="43008">
      <c r="B43008" s="309"/>
      <c r="C43008" s="309"/>
      <c r="I43008" s="309"/>
      <c r="J43008" s="309"/>
    </row>
    <row r="43009">
      <c r="B43009" s="309"/>
      <c r="C43009" s="309"/>
      <c r="I43009" s="309"/>
      <c r="J43009" s="309"/>
    </row>
    <row r="43010">
      <c r="B43010" s="309"/>
      <c r="C43010" s="309"/>
      <c r="I43010" s="309"/>
      <c r="J43010" s="309"/>
    </row>
    <row r="43011">
      <c r="B43011" s="309"/>
      <c r="C43011" s="309"/>
      <c r="I43011" s="309"/>
      <c r="J43011" s="309"/>
    </row>
    <row r="43012">
      <c r="B43012" s="309"/>
      <c r="C43012" s="309"/>
      <c r="I43012" s="309"/>
      <c r="J43012" s="309"/>
    </row>
    <row r="43013">
      <c r="B43013" s="309"/>
      <c r="C43013" s="309"/>
      <c r="I43013" s="309"/>
      <c r="J43013" s="309"/>
    </row>
    <row r="43014">
      <c r="B43014" s="309"/>
      <c r="C43014" s="309"/>
      <c r="I43014" s="309"/>
      <c r="J43014" s="309"/>
    </row>
    <row r="43015">
      <c r="B43015" s="309"/>
      <c r="C43015" s="309"/>
      <c r="I43015" s="309"/>
      <c r="J43015" s="309"/>
    </row>
    <row r="43016">
      <c r="B43016" s="309"/>
      <c r="C43016" s="309"/>
      <c r="I43016" s="309"/>
      <c r="J43016" s="309"/>
    </row>
    <row r="43017">
      <c r="B43017" s="309"/>
      <c r="C43017" s="309"/>
      <c r="I43017" s="309"/>
      <c r="J43017" s="309"/>
    </row>
    <row r="43018">
      <c r="B43018" s="309"/>
      <c r="C43018" s="309"/>
      <c r="I43018" s="309"/>
      <c r="J43018" s="309"/>
    </row>
    <row r="43019">
      <c r="B43019" s="309"/>
      <c r="C43019" s="309"/>
      <c r="I43019" s="309"/>
      <c r="J43019" s="309"/>
    </row>
    <row r="43020">
      <c r="B43020" s="309"/>
      <c r="C43020" s="309"/>
      <c r="I43020" s="309"/>
      <c r="J43020" s="309"/>
    </row>
    <row r="43021">
      <c r="B43021" s="309"/>
      <c r="C43021" s="309"/>
      <c r="I43021" s="309"/>
      <c r="J43021" s="309"/>
    </row>
    <row r="43022">
      <c r="B43022" s="309"/>
      <c r="C43022" s="309"/>
      <c r="I43022" s="309"/>
      <c r="J43022" s="309"/>
    </row>
    <row r="43023">
      <c r="B43023" s="309"/>
      <c r="C43023" s="309"/>
      <c r="I43023" s="309"/>
      <c r="J43023" s="309"/>
    </row>
    <row r="43024">
      <c r="B43024" s="309"/>
      <c r="C43024" s="309"/>
      <c r="I43024" s="309"/>
      <c r="J43024" s="309"/>
    </row>
    <row r="43025">
      <c r="B43025" s="309"/>
      <c r="C43025" s="309"/>
      <c r="I43025" s="309"/>
      <c r="J43025" s="309"/>
    </row>
    <row r="43026">
      <c r="B43026" s="309"/>
      <c r="C43026" s="309"/>
      <c r="I43026" s="309"/>
      <c r="J43026" s="309"/>
    </row>
    <row r="43027">
      <c r="B43027" s="309"/>
      <c r="C43027" s="309"/>
      <c r="I43027" s="309"/>
      <c r="J43027" s="309"/>
    </row>
    <row r="43028">
      <c r="B43028" s="309"/>
      <c r="C43028" s="309"/>
      <c r="I43028" s="309"/>
      <c r="J43028" s="309"/>
    </row>
    <row r="43029">
      <c r="B43029" s="309"/>
      <c r="C43029" s="309"/>
      <c r="I43029" s="309"/>
      <c r="J43029" s="309"/>
    </row>
    <row r="43030">
      <c r="B43030" s="309"/>
      <c r="C43030" s="309"/>
      <c r="I43030" s="309"/>
      <c r="J43030" s="309"/>
    </row>
    <row r="43031">
      <c r="B43031" s="309"/>
      <c r="C43031" s="309"/>
      <c r="I43031" s="309"/>
      <c r="J43031" s="309"/>
    </row>
    <row r="43032">
      <c r="B43032" s="309"/>
      <c r="C43032" s="309"/>
      <c r="I43032" s="309"/>
      <c r="J43032" s="309"/>
    </row>
    <row r="43033">
      <c r="B43033" s="309"/>
      <c r="C43033" s="309"/>
      <c r="I43033" s="309"/>
      <c r="J43033" s="309"/>
    </row>
    <row r="43034">
      <c r="B43034" s="309"/>
      <c r="C43034" s="309"/>
      <c r="I43034" s="309"/>
      <c r="J43034" s="309"/>
    </row>
    <row r="43035">
      <c r="B43035" s="309"/>
      <c r="C43035" s="309"/>
      <c r="I43035" s="309"/>
      <c r="J43035" s="309"/>
    </row>
    <row r="43036">
      <c r="B43036" s="309"/>
      <c r="C43036" s="309"/>
      <c r="I43036" s="309"/>
      <c r="J43036" s="309"/>
    </row>
    <row r="43037">
      <c r="B43037" s="309"/>
      <c r="C43037" s="309"/>
      <c r="I43037" s="309"/>
      <c r="J43037" s="309"/>
    </row>
    <row r="43038">
      <c r="B43038" s="309"/>
      <c r="C43038" s="309"/>
      <c r="I43038" s="309"/>
      <c r="J43038" s="309"/>
    </row>
    <row r="43039">
      <c r="B43039" s="309"/>
      <c r="C43039" s="309"/>
      <c r="I43039" s="309"/>
      <c r="J43039" s="309"/>
    </row>
    <row r="43040">
      <c r="B43040" s="309"/>
      <c r="C43040" s="309"/>
      <c r="I43040" s="309"/>
      <c r="J43040" s="309"/>
    </row>
    <row r="43041">
      <c r="B43041" s="309"/>
      <c r="C43041" s="309"/>
      <c r="I43041" s="309"/>
      <c r="J43041" s="309"/>
    </row>
    <row r="43042">
      <c r="B43042" s="309"/>
      <c r="C43042" s="309"/>
      <c r="I43042" s="309"/>
      <c r="J43042" s="309"/>
    </row>
    <row r="43043">
      <c r="B43043" s="309"/>
      <c r="C43043" s="309"/>
      <c r="I43043" s="309"/>
      <c r="J43043" s="309"/>
    </row>
    <row r="43044">
      <c r="B43044" s="309"/>
      <c r="C43044" s="309"/>
      <c r="I43044" s="309"/>
      <c r="J43044" s="309"/>
    </row>
    <row r="43045">
      <c r="B43045" s="309"/>
      <c r="C43045" s="309"/>
      <c r="I43045" s="309"/>
      <c r="J43045" s="309"/>
    </row>
    <row r="43046">
      <c r="B43046" s="309"/>
      <c r="C43046" s="309"/>
      <c r="I43046" s="309"/>
      <c r="J43046" s="309"/>
    </row>
    <row r="43047">
      <c r="B43047" s="309"/>
      <c r="C43047" s="309"/>
      <c r="I43047" s="309"/>
      <c r="J43047" s="309"/>
    </row>
    <row r="43048">
      <c r="B43048" s="309"/>
      <c r="C43048" s="309"/>
      <c r="I43048" s="309"/>
      <c r="J43048" s="309"/>
    </row>
    <row r="43049">
      <c r="B43049" s="309"/>
      <c r="C43049" s="309"/>
      <c r="I43049" s="309"/>
      <c r="J43049" s="309"/>
    </row>
    <row r="43050">
      <c r="B43050" s="309"/>
      <c r="C43050" s="309"/>
      <c r="I43050" s="309"/>
      <c r="J43050" s="309"/>
    </row>
    <row r="43051">
      <c r="B43051" s="309"/>
      <c r="C43051" s="309"/>
      <c r="I43051" s="309"/>
      <c r="J43051" s="309"/>
    </row>
    <row r="43052">
      <c r="B43052" s="309"/>
      <c r="C43052" s="309"/>
      <c r="I43052" s="309"/>
      <c r="J43052" s="309"/>
    </row>
    <row r="43053">
      <c r="B43053" s="309"/>
      <c r="C43053" s="309"/>
      <c r="I43053" s="309"/>
      <c r="J43053" s="309"/>
    </row>
    <row r="43054">
      <c r="B43054" s="309"/>
      <c r="C43054" s="309"/>
      <c r="I43054" s="309"/>
      <c r="J43054" s="309"/>
    </row>
    <row r="43055">
      <c r="B43055" s="309"/>
      <c r="C43055" s="309"/>
      <c r="I43055" s="309"/>
      <c r="J43055" s="309"/>
    </row>
    <row r="43056">
      <c r="B43056" s="309"/>
      <c r="C43056" s="309"/>
      <c r="I43056" s="309"/>
      <c r="J43056" s="309"/>
    </row>
    <row r="43057">
      <c r="B43057" s="309"/>
      <c r="C43057" s="309"/>
      <c r="I43057" s="309"/>
      <c r="J43057" s="309"/>
    </row>
    <row r="43058">
      <c r="B43058" s="309"/>
      <c r="C43058" s="309"/>
      <c r="I43058" s="309"/>
      <c r="J43058" s="309"/>
    </row>
    <row r="43059">
      <c r="B43059" s="309"/>
      <c r="C43059" s="309"/>
      <c r="I43059" s="309"/>
      <c r="J43059" s="309"/>
    </row>
    <row r="43060">
      <c r="B43060" s="309"/>
      <c r="C43060" s="309"/>
      <c r="I43060" s="309"/>
      <c r="J43060" s="309"/>
    </row>
    <row r="43061">
      <c r="B43061" s="309"/>
      <c r="C43061" s="309"/>
      <c r="I43061" s="309"/>
      <c r="J43061" s="309"/>
    </row>
    <row r="43062">
      <c r="B43062" s="309"/>
      <c r="C43062" s="309"/>
      <c r="I43062" s="309"/>
      <c r="J43062" s="309"/>
    </row>
    <row r="43063">
      <c r="B43063" s="309"/>
      <c r="C43063" s="309"/>
      <c r="I43063" s="309"/>
      <c r="J43063" s="309"/>
    </row>
    <row r="43064">
      <c r="B43064" s="309"/>
      <c r="C43064" s="309"/>
      <c r="I43064" s="309"/>
      <c r="J43064" s="309"/>
    </row>
    <row r="43065">
      <c r="B43065" s="309"/>
      <c r="C43065" s="309"/>
      <c r="I43065" s="309"/>
      <c r="J43065" s="309"/>
    </row>
    <row r="43066">
      <c r="B43066" s="309"/>
      <c r="C43066" s="309"/>
      <c r="I43066" s="309"/>
      <c r="J43066" s="309"/>
    </row>
    <row r="43067">
      <c r="B43067" s="309"/>
      <c r="C43067" s="309"/>
      <c r="I43067" s="309"/>
      <c r="J43067" s="309"/>
    </row>
    <row r="43068">
      <c r="B43068" s="309"/>
      <c r="C43068" s="309"/>
      <c r="I43068" s="309"/>
      <c r="J43068" s="309"/>
    </row>
    <row r="43069">
      <c r="B43069" s="309"/>
      <c r="C43069" s="309"/>
      <c r="I43069" s="309"/>
      <c r="J43069" s="309"/>
    </row>
    <row r="43070">
      <c r="B43070" s="309"/>
      <c r="C43070" s="309"/>
      <c r="I43070" s="309"/>
      <c r="J43070" s="309"/>
    </row>
    <row r="43071">
      <c r="B43071" s="309"/>
      <c r="C43071" s="309"/>
      <c r="I43071" s="309"/>
      <c r="J43071" s="309"/>
    </row>
    <row r="43072">
      <c r="B43072" s="309"/>
      <c r="C43072" s="309"/>
      <c r="I43072" s="309"/>
      <c r="J43072" s="309"/>
    </row>
    <row r="43073">
      <c r="B43073" s="309"/>
      <c r="C43073" s="309"/>
      <c r="I43073" s="309"/>
      <c r="J43073" s="309"/>
    </row>
    <row r="43074">
      <c r="B43074" s="309"/>
      <c r="C43074" s="309"/>
      <c r="I43074" s="309"/>
      <c r="J43074" s="309"/>
    </row>
    <row r="43075">
      <c r="B43075" s="309"/>
      <c r="C43075" s="309"/>
      <c r="I43075" s="309"/>
      <c r="J43075" s="309"/>
    </row>
    <row r="43076">
      <c r="B43076" s="309"/>
      <c r="C43076" s="309"/>
      <c r="I43076" s="309"/>
      <c r="J43076" s="309"/>
    </row>
    <row r="43077">
      <c r="B43077" s="309"/>
      <c r="C43077" s="309"/>
      <c r="I43077" s="309"/>
      <c r="J43077" s="309"/>
    </row>
    <row r="43078">
      <c r="B43078" s="309"/>
      <c r="C43078" s="309"/>
      <c r="I43078" s="309"/>
      <c r="J43078" s="309"/>
    </row>
    <row r="43079">
      <c r="B43079" s="309"/>
      <c r="C43079" s="309"/>
      <c r="I43079" s="309"/>
      <c r="J43079" s="309"/>
    </row>
    <row r="43080">
      <c r="B43080" s="309"/>
      <c r="C43080" s="309"/>
      <c r="I43080" s="309"/>
      <c r="J43080" s="309"/>
    </row>
    <row r="43081">
      <c r="B43081" s="309"/>
      <c r="C43081" s="309"/>
      <c r="I43081" s="309"/>
      <c r="J43081" s="309"/>
    </row>
    <row r="43082">
      <c r="B43082" s="309"/>
      <c r="C43082" s="309"/>
      <c r="I43082" s="309"/>
      <c r="J43082" s="309"/>
    </row>
    <row r="43083">
      <c r="B43083" s="309"/>
      <c r="C43083" s="309"/>
      <c r="I43083" s="309"/>
      <c r="J43083" s="309"/>
    </row>
    <row r="43084">
      <c r="B43084" s="309"/>
      <c r="C43084" s="309"/>
      <c r="I43084" s="309"/>
      <c r="J43084" s="309"/>
    </row>
    <row r="43085">
      <c r="B43085" s="309"/>
      <c r="C43085" s="309"/>
      <c r="I43085" s="309"/>
      <c r="J43085" s="309"/>
    </row>
    <row r="43086">
      <c r="B43086" s="309"/>
      <c r="C43086" s="309"/>
      <c r="I43086" s="309"/>
      <c r="J43086" s="309"/>
    </row>
    <row r="43087">
      <c r="B43087" s="309"/>
      <c r="C43087" s="309"/>
      <c r="I43087" s="309"/>
      <c r="J43087" s="309"/>
    </row>
    <row r="43088">
      <c r="B43088" s="309"/>
      <c r="C43088" s="309"/>
      <c r="I43088" s="309"/>
      <c r="J43088" s="309"/>
    </row>
    <row r="43089">
      <c r="B43089" s="309"/>
      <c r="C43089" s="309"/>
      <c r="I43089" s="309"/>
      <c r="J43089" s="309"/>
    </row>
    <row r="43090">
      <c r="B43090" s="309"/>
      <c r="C43090" s="309"/>
      <c r="I43090" s="309"/>
      <c r="J43090" s="309"/>
    </row>
    <row r="43091">
      <c r="B43091" s="309"/>
      <c r="C43091" s="309"/>
      <c r="I43091" s="309"/>
      <c r="J43091" s="309"/>
    </row>
    <row r="43092">
      <c r="B43092" s="309"/>
      <c r="C43092" s="309"/>
      <c r="I43092" s="309"/>
      <c r="J43092" s="309"/>
    </row>
    <row r="43093">
      <c r="B43093" s="309"/>
      <c r="C43093" s="309"/>
      <c r="I43093" s="309"/>
      <c r="J43093" s="309"/>
    </row>
    <row r="43094">
      <c r="B43094" s="309"/>
      <c r="C43094" s="309"/>
      <c r="I43094" s="309"/>
      <c r="J43094" s="309"/>
    </row>
    <row r="43095">
      <c r="B43095" s="309"/>
      <c r="C43095" s="309"/>
      <c r="I43095" s="309"/>
      <c r="J43095" s="309"/>
    </row>
    <row r="43096">
      <c r="B43096" s="309"/>
      <c r="C43096" s="309"/>
      <c r="I43096" s="309"/>
      <c r="J43096" s="309"/>
    </row>
    <row r="43097">
      <c r="B43097" s="309"/>
      <c r="C43097" s="309"/>
      <c r="I43097" s="309"/>
      <c r="J43097" s="309"/>
    </row>
    <row r="43098">
      <c r="B43098" s="309"/>
      <c r="C43098" s="309"/>
      <c r="I43098" s="309"/>
      <c r="J43098" s="309"/>
    </row>
    <row r="43099">
      <c r="B43099" s="309"/>
      <c r="C43099" s="309"/>
      <c r="I43099" s="309"/>
      <c r="J43099" s="309"/>
    </row>
    <row r="43100">
      <c r="B43100" s="309"/>
      <c r="C43100" s="309"/>
      <c r="I43100" s="309"/>
      <c r="J43100" s="309"/>
    </row>
    <row r="43101">
      <c r="B43101" s="309"/>
      <c r="C43101" s="309"/>
      <c r="I43101" s="309"/>
      <c r="J43101" s="309"/>
    </row>
    <row r="43102">
      <c r="B43102" s="309"/>
      <c r="C43102" s="309"/>
      <c r="I43102" s="309"/>
      <c r="J43102" s="309"/>
    </row>
    <row r="43103">
      <c r="B43103" s="309"/>
      <c r="C43103" s="309"/>
      <c r="I43103" s="309"/>
      <c r="J43103" s="309"/>
    </row>
    <row r="43104">
      <c r="B43104" s="309"/>
      <c r="C43104" s="309"/>
      <c r="I43104" s="309"/>
      <c r="J43104" s="309"/>
    </row>
    <row r="43105">
      <c r="B43105" s="309"/>
      <c r="C43105" s="309"/>
      <c r="I43105" s="309"/>
      <c r="J43105" s="309"/>
    </row>
    <row r="43106">
      <c r="B43106" s="309"/>
      <c r="C43106" s="309"/>
      <c r="I43106" s="309"/>
      <c r="J43106" s="309"/>
    </row>
    <row r="43107">
      <c r="B43107" s="309"/>
      <c r="C43107" s="309"/>
      <c r="I43107" s="309"/>
      <c r="J43107" s="309"/>
    </row>
    <row r="43108">
      <c r="B43108" s="309"/>
      <c r="C43108" s="309"/>
      <c r="I43108" s="309"/>
      <c r="J43108" s="309"/>
    </row>
    <row r="43109">
      <c r="B43109" s="309"/>
      <c r="C43109" s="309"/>
      <c r="I43109" s="309"/>
      <c r="J43109" s="309"/>
    </row>
    <row r="43110">
      <c r="B43110" s="309"/>
      <c r="C43110" s="309"/>
      <c r="I43110" s="309"/>
      <c r="J43110" s="309"/>
    </row>
    <row r="43111">
      <c r="B43111" s="309"/>
      <c r="C43111" s="309"/>
      <c r="I43111" s="309"/>
      <c r="J43111" s="309"/>
    </row>
    <row r="43112">
      <c r="B43112" s="309"/>
      <c r="C43112" s="309"/>
      <c r="I43112" s="309"/>
      <c r="J43112" s="309"/>
    </row>
    <row r="43113">
      <c r="B43113" s="309"/>
      <c r="C43113" s="309"/>
      <c r="I43113" s="309"/>
      <c r="J43113" s="309"/>
    </row>
    <row r="43114">
      <c r="B43114" s="309"/>
      <c r="C43114" s="309"/>
      <c r="I43114" s="309"/>
      <c r="J43114" s="309"/>
    </row>
    <row r="43115">
      <c r="B43115" s="309"/>
      <c r="C43115" s="309"/>
      <c r="I43115" s="309"/>
      <c r="J43115" s="309"/>
    </row>
    <row r="43116">
      <c r="B43116" s="309"/>
      <c r="C43116" s="309"/>
      <c r="I43116" s="309"/>
      <c r="J43116" s="309"/>
    </row>
    <row r="43117">
      <c r="B43117" s="309"/>
      <c r="C43117" s="309"/>
      <c r="I43117" s="309"/>
      <c r="J43117" s="309"/>
    </row>
    <row r="43118">
      <c r="B43118" s="309"/>
      <c r="C43118" s="309"/>
      <c r="I43118" s="309"/>
      <c r="J43118" s="309"/>
    </row>
    <row r="43119">
      <c r="B43119" s="309"/>
      <c r="C43119" s="309"/>
      <c r="I43119" s="309"/>
      <c r="J43119" s="309"/>
    </row>
    <row r="43120">
      <c r="B43120" s="309"/>
      <c r="C43120" s="309"/>
      <c r="I43120" s="309"/>
      <c r="J43120" s="309"/>
    </row>
    <row r="43121">
      <c r="B43121" s="309"/>
      <c r="C43121" s="309"/>
      <c r="I43121" s="309"/>
      <c r="J43121" s="309"/>
    </row>
    <row r="43122">
      <c r="B43122" s="309"/>
      <c r="C43122" s="309"/>
      <c r="I43122" s="309"/>
      <c r="J43122" s="309"/>
    </row>
    <row r="43123">
      <c r="B43123" s="309"/>
      <c r="C43123" s="309"/>
      <c r="I43123" s="309"/>
      <c r="J43123" s="309"/>
    </row>
    <row r="43124">
      <c r="B43124" s="309"/>
      <c r="C43124" s="309"/>
      <c r="I43124" s="309"/>
      <c r="J43124" s="309"/>
    </row>
    <row r="43125">
      <c r="B43125" s="309"/>
      <c r="C43125" s="309"/>
      <c r="I43125" s="309"/>
      <c r="J43125" s="309"/>
    </row>
    <row r="43126">
      <c r="B43126" s="309"/>
      <c r="C43126" s="309"/>
      <c r="I43126" s="309"/>
      <c r="J43126" s="309"/>
    </row>
    <row r="43127">
      <c r="B43127" s="309"/>
      <c r="C43127" s="309"/>
      <c r="I43127" s="309"/>
      <c r="J43127" s="309"/>
    </row>
    <row r="43128">
      <c r="B43128" s="309"/>
      <c r="C43128" s="309"/>
      <c r="I43128" s="309"/>
      <c r="J43128" s="309"/>
    </row>
    <row r="43129">
      <c r="B43129" s="309"/>
      <c r="C43129" s="309"/>
      <c r="I43129" s="309"/>
      <c r="J43129" s="309"/>
    </row>
    <row r="43130">
      <c r="B43130" s="309"/>
      <c r="C43130" s="309"/>
      <c r="I43130" s="309"/>
      <c r="J43130" s="309"/>
    </row>
    <row r="43131">
      <c r="B43131" s="309"/>
      <c r="C43131" s="309"/>
      <c r="I43131" s="309"/>
      <c r="J43131" s="309"/>
    </row>
    <row r="43132">
      <c r="B43132" s="309"/>
      <c r="C43132" s="309"/>
      <c r="I43132" s="309"/>
      <c r="J43132" s="309"/>
    </row>
    <row r="43133">
      <c r="B43133" s="309"/>
      <c r="C43133" s="309"/>
      <c r="I43133" s="309"/>
      <c r="J43133" s="309"/>
    </row>
    <row r="43134">
      <c r="B43134" s="309"/>
      <c r="C43134" s="309"/>
      <c r="I43134" s="309"/>
      <c r="J43134" s="309"/>
    </row>
    <row r="43135">
      <c r="B43135" s="309"/>
      <c r="C43135" s="309"/>
      <c r="I43135" s="309"/>
      <c r="J43135" s="309"/>
    </row>
    <row r="43136">
      <c r="B43136" s="309"/>
      <c r="C43136" s="309"/>
      <c r="I43136" s="309"/>
      <c r="J43136" s="309"/>
    </row>
    <row r="43137">
      <c r="B43137" s="309"/>
      <c r="C43137" s="309"/>
      <c r="I43137" s="309"/>
      <c r="J43137" s="309"/>
    </row>
    <row r="43138">
      <c r="B43138" s="309"/>
      <c r="C43138" s="309"/>
      <c r="I43138" s="309"/>
      <c r="J43138" s="309"/>
    </row>
    <row r="43139">
      <c r="B43139" s="309"/>
      <c r="C43139" s="309"/>
      <c r="I43139" s="309"/>
      <c r="J43139" s="309"/>
    </row>
    <row r="43140">
      <c r="B43140" s="309"/>
      <c r="C43140" s="309"/>
      <c r="I43140" s="309"/>
      <c r="J43140" s="309"/>
    </row>
    <row r="43141">
      <c r="B43141" s="309"/>
      <c r="C43141" s="309"/>
      <c r="I43141" s="309"/>
      <c r="J43141" s="309"/>
    </row>
    <row r="43142">
      <c r="B43142" s="309"/>
      <c r="C43142" s="309"/>
      <c r="I43142" s="309"/>
      <c r="J43142" s="309"/>
    </row>
    <row r="43143">
      <c r="B43143" s="309"/>
      <c r="C43143" s="309"/>
      <c r="I43143" s="309"/>
      <c r="J43143" s="309"/>
    </row>
    <row r="43144">
      <c r="B43144" s="309"/>
      <c r="C43144" s="309"/>
      <c r="I43144" s="309"/>
      <c r="J43144" s="309"/>
    </row>
    <row r="43145">
      <c r="B43145" s="309"/>
      <c r="C43145" s="309"/>
      <c r="I43145" s="309"/>
      <c r="J43145" s="309"/>
    </row>
    <row r="43146">
      <c r="B43146" s="309"/>
      <c r="C43146" s="309"/>
      <c r="I43146" s="309"/>
      <c r="J43146" s="309"/>
    </row>
    <row r="43147">
      <c r="B43147" s="309"/>
      <c r="C43147" s="309"/>
      <c r="I43147" s="309"/>
      <c r="J43147" s="309"/>
    </row>
    <row r="43148">
      <c r="B43148" s="309"/>
      <c r="C43148" s="309"/>
      <c r="I43148" s="309"/>
      <c r="J43148" s="309"/>
    </row>
    <row r="43149">
      <c r="B43149" s="309"/>
      <c r="C43149" s="309"/>
      <c r="I43149" s="309"/>
      <c r="J43149" s="309"/>
    </row>
    <row r="43150">
      <c r="B43150" s="309"/>
      <c r="C43150" s="309"/>
      <c r="I43150" s="309"/>
      <c r="J43150" s="309"/>
    </row>
    <row r="43151">
      <c r="B43151" s="309"/>
      <c r="C43151" s="309"/>
      <c r="I43151" s="309"/>
      <c r="J43151" s="309"/>
    </row>
    <row r="43152">
      <c r="B43152" s="309"/>
      <c r="C43152" s="309"/>
      <c r="I43152" s="309"/>
      <c r="J43152" s="309"/>
    </row>
    <row r="43153">
      <c r="B43153" s="309"/>
      <c r="C43153" s="309"/>
      <c r="I43153" s="309"/>
      <c r="J43153" s="309"/>
    </row>
    <row r="43154">
      <c r="B43154" s="309"/>
      <c r="C43154" s="309"/>
      <c r="I43154" s="309"/>
      <c r="J43154" s="309"/>
    </row>
    <row r="43155">
      <c r="B43155" s="309"/>
      <c r="C43155" s="309"/>
      <c r="I43155" s="309"/>
      <c r="J43155" s="309"/>
    </row>
    <row r="43156">
      <c r="B43156" s="309"/>
      <c r="C43156" s="309"/>
      <c r="I43156" s="309"/>
      <c r="J43156" s="309"/>
    </row>
    <row r="43157">
      <c r="B43157" s="309"/>
      <c r="C43157" s="309"/>
      <c r="I43157" s="309"/>
      <c r="J43157" s="309"/>
    </row>
    <row r="43158">
      <c r="B43158" s="309"/>
      <c r="C43158" s="309"/>
      <c r="I43158" s="309"/>
      <c r="J43158" s="309"/>
    </row>
    <row r="43159">
      <c r="B43159" s="309"/>
      <c r="C43159" s="309"/>
      <c r="I43159" s="309"/>
      <c r="J43159" s="309"/>
    </row>
    <row r="43160">
      <c r="B43160" s="309"/>
      <c r="C43160" s="309"/>
      <c r="I43160" s="309"/>
      <c r="J43160" s="309"/>
    </row>
    <row r="43161">
      <c r="B43161" s="309"/>
      <c r="C43161" s="309"/>
      <c r="I43161" s="309"/>
      <c r="J43161" s="309"/>
    </row>
    <row r="43162">
      <c r="B43162" s="309"/>
      <c r="C43162" s="309"/>
      <c r="I43162" s="309"/>
      <c r="J43162" s="309"/>
    </row>
    <row r="43163">
      <c r="B43163" s="309"/>
      <c r="C43163" s="309"/>
      <c r="I43163" s="309"/>
      <c r="J43163" s="309"/>
    </row>
    <row r="43164">
      <c r="B43164" s="309"/>
      <c r="C43164" s="309"/>
      <c r="I43164" s="309"/>
      <c r="J43164" s="309"/>
    </row>
    <row r="43165">
      <c r="B43165" s="309"/>
      <c r="C43165" s="309"/>
      <c r="I43165" s="309"/>
      <c r="J43165" s="309"/>
    </row>
    <row r="43166">
      <c r="B43166" s="309"/>
      <c r="C43166" s="309"/>
      <c r="I43166" s="309"/>
      <c r="J43166" s="309"/>
    </row>
    <row r="43167">
      <c r="B43167" s="309"/>
      <c r="C43167" s="309"/>
      <c r="I43167" s="309"/>
      <c r="J43167" s="309"/>
    </row>
    <row r="43168">
      <c r="B43168" s="309"/>
      <c r="C43168" s="309"/>
      <c r="I43168" s="309"/>
      <c r="J43168" s="309"/>
    </row>
    <row r="43169">
      <c r="B43169" s="309"/>
      <c r="C43169" s="309"/>
      <c r="I43169" s="309"/>
      <c r="J43169" s="309"/>
    </row>
    <row r="43170">
      <c r="B43170" s="309"/>
      <c r="C43170" s="309"/>
      <c r="I43170" s="309"/>
      <c r="J43170" s="309"/>
    </row>
    <row r="43171">
      <c r="B43171" s="309"/>
      <c r="C43171" s="309"/>
      <c r="I43171" s="309"/>
      <c r="J43171" s="309"/>
    </row>
    <row r="43172">
      <c r="B43172" s="309"/>
      <c r="C43172" s="309"/>
      <c r="I43172" s="309"/>
      <c r="J43172" s="309"/>
    </row>
    <row r="43173">
      <c r="B43173" s="309"/>
      <c r="C43173" s="309"/>
      <c r="I43173" s="309"/>
      <c r="J43173" s="309"/>
    </row>
    <row r="43174">
      <c r="B43174" s="309"/>
      <c r="C43174" s="309"/>
      <c r="I43174" s="309"/>
      <c r="J43174" s="309"/>
    </row>
    <row r="43175">
      <c r="B43175" s="309"/>
      <c r="C43175" s="309"/>
      <c r="I43175" s="309"/>
      <c r="J43175" s="309"/>
    </row>
    <row r="43176">
      <c r="B43176" s="309"/>
      <c r="C43176" s="309"/>
      <c r="I43176" s="309"/>
      <c r="J43176" s="309"/>
    </row>
    <row r="43177">
      <c r="B43177" s="309"/>
      <c r="C43177" s="309"/>
      <c r="I43177" s="309"/>
      <c r="J43177" s="309"/>
    </row>
    <row r="43178">
      <c r="B43178" s="309"/>
      <c r="C43178" s="309"/>
      <c r="I43178" s="309"/>
      <c r="J43178" s="309"/>
    </row>
    <row r="43179">
      <c r="B43179" s="309"/>
      <c r="C43179" s="309"/>
      <c r="I43179" s="309"/>
      <c r="J43179" s="309"/>
    </row>
    <row r="43180">
      <c r="B43180" s="309"/>
      <c r="C43180" s="309"/>
      <c r="I43180" s="309"/>
      <c r="J43180" s="309"/>
    </row>
    <row r="43181">
      <c r="B43181" s="309"/>
      <c r="C43181" s="309"/>
      <c r="I43181" s="309"/>
      <c r="J43181" s="309"/>
    </row>
    <row r="43182">
      <c r="B43182" s="309"/>
      <c r="C43182" s="309"/>
      <c r="I43182" s="309"/>
      <c r="J43182" s="309"/>
    </row>
    <row r="43183">
      <c r="B43183" s="309"/>
      <c r="C43183" s="309"/>
      <c r="I43183" s="309"/>
      <c r="J43183" s="309"/>
    </row>
    <row r="43184">
      <c r="B43184" s="309"/>
      <c r="C43184" s="309"/>
      <c r="I43184" s="309"/>
      <c r="J43184" s="309"/>
    </row>
    <row r="43185">
      <c r="B43185" s="309"/>
      <c r="C43185" s="309"/>
      <c r="I43185" s="309"/>
      <c r="J43185" s="309"/>
    </row>
    <row r="43186">
      <c r="B43186" s="309"/>
      <c r="C43186" s="309"/>
      <c r="I43186" s="309"/>
      <c r="J43186" s="309"/>
    </row>
    <row r="43187">
      <c r="B43187" s="309"/>
      <c r="C43187" s="309"/>
      <c r="I43187" s="309"/>
      <c r="J43187" s="309"/>
    </row>
    <row r="43188">
      <c r="B43188" s="309"/>
      <c r="C43188" s="309"/>
      <c r="I43188" s="309"/>
      <c r="J43188" s="309"/>
    </row>
    <row r="43189">
      <c r="B43189" s="309"/>
      <c r="C43189" s="309"/>
      <c r="I43189" s="309"/>
      <c r="J43189" s="309"/>
    </row>
    <row r="43190">
      <c r="B43190" s="309"/>
      <c r="C43190" s="309"/>
      <c r="I43190" s="309"/>
      <c r="J43190" s="309"/>
    </row>
    <row r="43191">
      <c r="B43191" s="309"/>
      <c r="C43191" s="309"/>
      <c r="I43191" s="309"/>
      <c r="J43191" s="309"/>
    </row>
    <row r="43192">
      <c r="B43192" s="309"/>
      <c r="C43192" s="309"/>
      <c r="I43192" s="309"/>
      <c r="J43192" s="309"/>
    </row>
    <row r="43193">
      <c r="B43193" s="309"/>
      <c r="C43193" s="309"/>
      <c r="I43193" s="309"/>
      <c r="J43193" s="309"/>
    </row>
    <row r="43194">
      <c r="B43194" s="309"/>
      <c r="C43194" s="309"/>
      <c r="I43194" s="309"/>
      <c r="J43194" s="309"/>
    </row>
    <row r="43195">
      <c r="B43195" s="309"/>
      <c r="C43195" s="309"/>
      <c r="I43195" s="309"/>
      <c r="J43195" s="309"/>
    </row>
    <row r="43196">
      <c r="B43196" s="309"/>
      <c r="C43196" s="309"/>
      <c r="I43196" s="309"/>
      <c r="J43196" s="309"/>
    </row>
    <row r="43197">
      <c r="B43197" s="309"/>
      <c r="C43197" s="309"/>
      <c r="I43197" s="309"/>
      <c r="J43197" s="309"/>
    </row>
    <row r="43198">
      <c r="B43198" s="309"/>
      <c r="C43198" s="309"/>
      <c r="I43198" s="309"/>
      <c r="J43198" s="309"/>
    </row>
    <row r="43199">
      <c r="B43199" s="309"/>
      <c r="C43199" s="309"/>
      <c r="I43199" s="309"/>
      <c r="J43199" s="309"/>
    </row>
    <row r="43200">
      <c r="B43200" s="309"/>
      <c r="C43200" s="309"/>
      <c r="I43200" s="309"/>
      <c r="J43200" s="309"/>
    </row>
    <row r="43201">
      <c r="B43201" s="309"/>
      <c r="C43201" s="309"/>
      <c r="I43201" s="309"/>
      <c r="J43201" s="309"/>
    </row>
    <row r="43202">
      <c r="B43202" s="309"/>
      <c r="C43202" s="309"/>
      <c r="I43202" s="309"/>
      <c r="J43202" s="309"/>
    </row>
    <row r="43203">
      <c r="B43203" s="309"/>
      <c r="C43203" s="309"/>
      <c r="I43203" s="309"/>
      <c r="J43203" s="309"/>
    </row>
    <row r="43204">
      <c r="B43204" s="309"/>
      <c r="C43204" s="309"/>
      <c r="I43204" s="309"/>
      <c r="J43204" s="309"/>
    </row>
    <row r="43205">
      <c r="B43205" s="309"/>
      <c r="C43205" s="309"/>
      <c r="I43205" s="309"/>
      <c r="J43205" s="309"/>
    </row>
    <row r="43206">
      <c r="B43206" s="309"/>
      <c r="C43206" s="309"/>
      <c r="I43206" s="309"/>
      <c r="J43206" s="309"/>
    </row>
    <row r="43207">
      <c r="B43207" s="309"/>
      <c r="C43207" s="309"/>
      <c r="I43207" s="309"/>
      <c r="J43207" s="309"/>
    </row>
    <row r="43208">
      <c r="B43208" s="309"/>
      <c r="C43208" s="309"/>
      <c r="I43208" s="309"/>
      <c r="J43208" s="309"/>
    </row>
    <row r="43209">
      <c r="B43209" s="309"/>
      <c r="C43209" s="309"/>
      <c r="I43209" s="309"/>
      <c r="J43209" s="309"/>
    </row>
    <row r="43210">
      <c r="B43210" s="309"/>
      <c r="C43210" s="309"/>
      <c r="I43210" s="309"/>
      <c r="J43210" s="309"/>
    </row>
    <row r="43211">
      <c r="B43211" s="309"/>
      <c r="C43211" s="309"/>
      <c r="I43211" s="309"/>
      <c r="J43211" s="309"/>
    </row>
    <row r="43212">
      <c r="B43212" s="309"/>
      <c r="C43212" s="309"/>
      <c r="I43212" s="309"/>
      <c r="J43212" s="309"/>
    </row>
    <row r="43213">
      <c r="B43213" s="309"/>
      <c r="C43213" s="309"/>
      <c r="I43213" s="309"/>
      <c r="J43213" s="309"/>
    </row>
    <row r="43214">
      <c r="B43214" s="309"/>
      <c r="C43214" s="309"/>
      <c r="I43214" s="309"/>
      <c r="J43214" s="309"/>
    </row>
    <row r="43215">
      <c r="B43215" s="309"/>
      <c r="C43215" s="309"/>
      <c r="I43215" s="309"/>
      <c r="J43215" s="309"/>
    </row>
    <row r="43216">
      <c r="B43216" s="309"/>
      <c r="C43216" s="309"/>
      <c r="I43216" s="309"/>
      <c r="J43216" s="309"/>
    </row>
    <row r="43217">
      <c r="B43217" s="309"/>
      <c r="C43217" s="309"/>
      <c r="I43217" s="309"/>
      <c r="J43217" s="309"/>
    </row>
    <row r="43218">
      <c r="B43218" s="309"/>
      <c r="C43218" s="309"/>
      <c r="I43218" s="309"/>
      <c r="J43218" s="309"/>
    </row>
    <row r="43219">
      <c r="B43219" s="309"/>
      <c r="C43219" s="309"/>
      <c r="I43219" s="309"/>
      <c r="J43219" s="309"/>
    </row>
    <row r="43220">
      <c r="B43220" s="309"/>
      <c r="C43220" s="309"/>
      <c r="I43220" s="309"/>
      <c r="J43220" s="309"/>
    </row>
    <row r="43221">
      <c r="B43221" s="309"/>
      <c r="C43221" s="309"/>
      <c r="I43221" s="309"/>
      <c r="J43221" s="309"/>
    </row>
    <row r="43222">
      <c r="B43222" s="309"/>
      <c r="C43222" s="309"/>
      <c r="I43222" s="309"/>
      <c r="J43222" s="309"/>
    </row>
    <row r="43223">
      <c r="B43223" s="309"/>
      <c r="C43223" s="309"/>
      <c r="I43223" s="309"/>
      <c r="J43223" s="309"/>
    </row>
    <row r="43224">
      <c r="B43224" s="309"/>
      <c r="C43224" s="309"/>
      <c r="I43224" s="309"/>
      <c r="J43224" s="309"/>
    </row>
    <row r="43225">
      <c r="B43225" s="309"/>
      <c r="C43225" s="309"/>
      <c r="I43225" s="309"/>
      <c r="J43225" s="309"/>
    </row>
    <row r="43226">
      <c r="B43226" s="309"/>
      <c r="C43226" s="309"/>
      <c r="I43226" s="309"/>
      <c r="J43226" s="309"/>
    </row>
    <row r="43227">
      <c r="B43227" s="309"/>
      <c r="C43227" s="309"/>
      <c r="I43227" s="309"/>
      <c r="J43227" s="309"/>
    </row>
    <row r="43228">
      <c r="B43228" s="309"/>
      <c r="C43228" s="309"/>
      <c r="I43228" s="309"/>
      <c r="J43228" s="309"/>
    </row>
    <row r="43229">
      <c r="B43229" s="309"/>
      <c r="C43229" s="309"/>
      <c r="I43229" s="309"/>
      <c r="J43229" s="309"/>
    </row>
    <row r="43230">
      <c r="B43230" s="309"/>
      <c r="C43230" s="309"/>
      <c r="I43230" s="309"/>
      <c r="J43230" s="309"/>
    </row>
    <row r="43231">
      <c r="B43231" s="309"/>
      <c r="C43231" s="309"/>
      <c r="I43231" s="309"/>
      <c r="J43231" s="309"/>
    </row>
    <row r="43232">
      <c r="B43232" s="309"/>
      <c r="C43232" s="309"/>
      <c r="I43232" s="309"/>
      <c r="J43232" s="309"/>
    </row>
    <row r="43233">
      <c r="B43233" s="309"/>
      <c r="C43233" s="309"/>
      <c r="I43233" s="309"/>
      <c r="J43233" s="309"/>
    </row>
    <row r="43234">
      <c r="B43234" s="309"/>
      <c r="C43234" s="309"/>
      <c r="I43234" s="309"/>
      <c r="J43234" s="309"/>
    </row>
    <row r="43235">
      <c r="B43235" s="309"/>
      <c r="C43235" s="309"/>
      <c r="I43235" s="309"/>
      <c r="J43235" s="309"/>
    </row>
    <row r="43236">
      <c r="B43236" s="309"/>
      <c r="C43236" s="309"/>
      <c r="I43236" s="309"/>
      <c r="J43236" s="309"/>
    </row>
    <row r="43237">
      <c r="B43237" s="309"/>
      <c r="C43237" s="309"/>
      <c r="I43237" s="309"/>
      <c r="J43237" s="309"/>
    </row>
    <row r="43238">
      <c r="B43238" s="309"/>
      <c r="C43238" s="309"/>
      <c r="I43238" s="309"/>
      <c r="J43238" s="309"/>
    </row>
    <row r="43239">
      <c r="B43239" s="309"/>
      <c r="C43239" s="309"/>
      <c r="I43239" s="309"/>
      <c r="J43239" s="309"/>
    </row>
    <row r="43240">
      <c r="B43240" s="309"/>
      <c r="C43240" s="309"/>
      <c r="I43240" s="309"/>
      <c r="J43240" s="309"/>
    </row>
    <row r="43241">
      <c r="B43241" s="309"/>
      <c r="C43241" s="309"/>
      <c r="I43241" s="309"/>
      <c r="J43241" s="309"/>
    </row>
    <row r="43242">
      <c r="B43242" s="309"/>
      <c r="C43242" s="309"/>
      <c r="I43242" s="309"/>
      <c r="J43242" s="309"/>
    </row>
    <row r="43243">
      <c r="B43243" s="309"/>
      <c r="C43243" s="309"/>
      <c r="I43243" s="309"/>
      <c r="J43243" s="309"/>
    </row>
    <row r="43244">
      <c r="B43244" s="309"/>
      <c r="C43244" s="309"/>
      <c r="I43244" s="309"/>
      <c r="J43244" s="309"/>
    </row>
    <row r="43245">
      <c r="B43245" s="309"/>
      <c r="C43245" s="309"/>
      <c r="I43245" s="309"/>
      <c r="J43245" s="309"/>
    </row>
    <row r="43246">
      <c r="B43246" s="309"/>
      <c r="C43246" s="309"/>
      <c r="I43246" s="309"/>
      <c r="J43246" s="309"/>
    </row>
    <row r="43247">
      <c r="B43247" s="309"/>
      <c r="C43247" s="309"/>
      <c r="I43247" s="309"/>
      <c r="J43247" s="309"/>
    </row>
    <row r="43248">
      <c r="B43248" s="309"/>
      <c r="C43248" s="309"/>
      <c r="I43248" s="309"/>
      <c r="J43248" s="309"/>
    </row>
    <row r="43249">
      <c r="B43249" s="309"/>
      <c r="C43249" s="309"/>
      <c r="I43249" s="309"/>
      <c r="J43249" s="309"/>
    </row>
    <row r="43250">
      <c r="B43250" s="309"/>
      <c r="C43250" s="309"/>
      <c r="I43250" s="309"/>
      <c r="J43250" s="309"/>
    </row>
    <row r="43251">
      <c r="B43251" s="309"/>
      <c r="C43251" s="309"/>
      <c r="I43251" s="309"/>
      <c r="J43251" s="309"/>
    </row>
    <row r="43252">
      <c r="B43252" s="309"/>
      <c r="C43252" s="309"/>
      <c r="I43252" s="309"/>
      <c r="J43252" s="309"/>
    </row>
    <row r="43253">
      <c r="B43253" s="309"/>
      <c r="C43253" s="309"/>
      <c r="I43253" s="309"/>
      <c r="J43253" s="309"/>
    </row>
    <row r="43254">
      <c r="B43254" s="309"/>
      <c r="C43254" s="309"/>
      <c r="I43254" s="309"/>
      <c r="J43254" s="309"/>
    </row>
    <row r="43255">
      <c r="B43255" s="309"/>
      <c r="C43255" s="309"/>
      <c r="I43255" s="309"/>
      <c r="J43255" s="309"/>
    </row>
    <row r="43256">
      <c r="B43256" s="309"/>
      <c r="C43256" s="309"/>
      <c r="I43256" s="309"/>
      <c r="J43256" s="309"/>
    </row>
    <row r="43257">
      <c r="B43257" s="309"/>
      <c r="C43257" s="309"/>
      <c r="I43257" s="309"/>
      <c r="J43257" s="309"/>
    </row>
    <row r="43258">
      <c r="B43258" s="309"/>
      <c r="C43258" s="309"/>
      <c r="I43258" s="309"/>
      <c r="J43258" s="309"/>
    </row>
    <row r="43259">
      <c r="B43259" s="309"/>
      <c r="C43259" s="309"/>
      <c r="I43259" s="309"/>
      <c r="J43259" s="309"/>
    </row>
    <row r="43260">
      <c r="B43260" s="309"/>
      <c r="C43260" s="309"/>
      <c r="I43260" s="309"/>
      <c r="J43260" s="309"/>
    </row>
    <row r="43261">
      <c r="B43261" s="309"/>
      <c r="C43261" s="309"/>
      <c r="I43261" s="309"/>
      <c r="J43261" s="309"/>
    </row>
    <row r="43262">
      <c r="B43262" s="309"/>
      <c r="C43262" s="309"/>
      <c r="I43262" s="309"/>
      <c r="J43262" s="309"/>
    </row>
    <row r="43263">
      <c r="B43263" s="309"/>
      <c r="C43263" s="309"/>
      <c r="I43263" s="309"/>
      <c r="J43263" s="309"/>
    </row>
    <row r="43264">
      <c r="B43264" s="309"/>
      <c r="C43264" s="309"/>
      <c r="I43264" s="309"/>
      <c r="J43264" s="309"/>
    </row>
    <row r="43265">
      <c r="B43265" s="309"/>
      <c r="C43265" s="309"/>
      <c r="I43265" s="309"/>
      <c r="J43265" s="309"/>
    </row>
    <row r="43266">
      <c r="B43266" s="309"/>
      <c r="C43266" s="309"/>
      <c r="I43266" s="309"/>
      <c r="J43266" s="309"/>
    </row>
    <row r="43267">
      <c r="B43267" s="309"/>
      <c r="C43267" s="309"/>
      <c r="I43267" s="309"/>
      <c r="J43267" s="309"/>
    </row>
    <row r="43268">
      <c r="B43268" s="309"/>
      <c r="C43268" s="309"/>
      <c r="I43268" s="309"/>
      <c r="J43268" s="309"/>
    </row>
    <row r="43269">
      <c r="B43269" s="309"/>
      <c r="C43269" s="309"/>
      <c r="I43269" s="309"/>
      <c r="J43269" s="309"/>
    </row>
    <row r="43270">
      <c r="B43270" s="309"/>
      <c r="C43270" s="309"/>
      <c r="I43270" s="309"/>
      <c r="J43270" s="309"/>
    </row>
    <row r="43271">
      <c r="B43271" s="309"/>
      <c r="C43271" s="309"/>
      <c r="I43271" s="309"/>
      <c r="J43271" s="309"/>
    </row>
    <row r="43272">
      <c r="B43272" s="309"/>
      <c r="C43272" s="309"/>
      <c r="I43272" s="309"/>
      <c r="J43272" s="309"/>
    </row>
    <row r="43273">
      <c r="B43273" s="309"/>
      <c r="C43273" s="309"/>
      <c r="I43273" s="309"/>
      <c r="J43273" s="309"/>
    </row>
    <row r="43274">
      <c r="B43274" s="309"/>
      <c r="C43274" s="309"/>
      <c r="I43274" s="309"/>
      <c r="J43274" s="309"/>
    </row>
    <row r="43275">
      <c r="B43275" s="309"/>
      <c r="C43275" s="309"/>
      <c r="I43275" s="309"/>
      <c r="J43275" s="309"/>
    </row>
    <row r="43276">
      <c r="B43276" s="309"/>
      <c r="C43276" s="309"/>
      <c r="I43276" s="309"/>
      <c r="J43276" s="309"/>
    </row>
    <row r="43277">
      <c r="B43277" s="309"/>
      <c r="C43277" s="309"/>
      <c r="I43277" s="309"/>
      <c r="J43277" s="309"/>
    </row>
    <row r="43278">
      <c r="B43278" s="309"/>
      <c r="C43278" s="309"/>
      <c r="I43278" s="309"/>
      <c r="J43278" s="309"/>
    </row>
    <row r="43279">
      <c r="B43279" s="309"/>
      <c r="C43279" s="309"/>
      <c r="I43279" s="309"/>
      <c r="J43279" s="309"/>
    </row>
    <row r="43280">
      <c r="B43280" s="309"/>
      <c r="C43280" s="309"/>
      <c r="I43280" s="309"/>
      <c r="J43280" s="309"/>
    </row>
    <row r="43281">
      <c r="B43281" s="309"/>
      <c r="C43281" s="309"/>
      <c r="I43281" s="309"/>
      <c r="J43281" s="309"/>
    </row>
    <row r="43282">
      <c r="B43282" s="309"/>
      <c r="C43282" s="309"/>
      <c r="I43282" s="309"/>
      <c r="J43282" s="309"/>
    </row>
    <row r="43283">
      <c r="B43283" s="309"/>
      <c r="C43283" s="309"/>
      <c r="I43283" s="309"/>
      <c r="J43283" s="309"/>
    </row>
    <row r="43284">
      <c r="B43284" s="309"/>
      <c r="C43284" s="309"/>
      <c r="I43284" s="309"/>
      <c r="J43284" s="309"/>
    </row>
    <row r="43285">
      <c r="B43285" s="309"/>
      <c r="C43285" s="309"/>
      <c r="I43285" s="309"/>
      <c r="J43285" s="309"/>
    </row>
    <row r="43286">
      <c r="B43286" s="309"/>
      <c r="C43286" s="309"/>
      <c r="I43286" s="309"/>
      <c r="J43286" s="309"/>
    </row>
    <row r="43287">
      <c r="B43287" s="309"/>
      <c r="C43287" s="309"/>
      <c r="I43287" s="309"/>
      <c r="J43287" s="309"/>
    </row>
    <row r="43288">
      <c r="B43288" s="309"/>
      <c r="C43288" s="309"/>
      <c r="I43288" s="309"/>
      <c r="J43288" s="309"/>
    </row>
    <row r="43289">
      <c r="B43289" s="309"/>
      <c r="C43289" s="309"/>
      <c r="I43289" s="309"/>
      <c r="J43289" s="309"/>
    </row>
    <row r="43290">
      <c r="B43290" s="309"/>
      <c r="C43290" s="309"/>
      <c r="I43290" s="309"/>
      <c r="J43290" s="309"/>
    </row>
    <row r="43291">
      <c r="B43291" s="309"/>
      <c r="C43291" s="309"/>
      <c r="I43291" s="309"/>
      <c r="J43291" s="309"/>
    </row>
    <row r="43292">
      <c r="B43292" s="309"/>
      <c r="C43292" s="309"/>
      <c r="I43292" s="309"/>
      <c r="J43292" s="309"/>
    </row>
    <row r="43293">
      <c r="B43293" s="309"/>
      <c r="C43293" s="309"/>
      <c r="I43293" s="309"/>
      <c r="J43293" s="309"/>
    </row>
    <row r="43294">
      <c r="B43294" s="309"/>
      <c r="C43294" s="309"/>
      <c r="I43294" s="309"/>
      <c r="J43294" s="309"/>
    </row>
    <row r="43295">
      <c r="B43295" s="309"/>
      <c r="C43295" s="309"/>
      <c r="I43295" s="309"/>
      <c r="J43295" s="309"/>
    </row>
    <row r="43296">
      <c r="B43296" s="309"/>
      <c r="C43296" s="309"/>
      <c r="I43296" s="309"/>
      <c r="J43296" s="309"/>
    </row>
    <row r="43297">
      <c r="B43297" s="309"/>
      <c r="C43297" s="309"/>
      <c r="I43297" s="309"/>
      <c r="J43297" s="309"/>
    </row>
    <row r="43298">
      <c r="B43298" s="309"/>
      <c r="C43298" s="309"/>
      <c r="I43298" s="309"/>
      <c r="J43298" s="309"/>
    </row>
    <row r="43299">
      <c r="B43299" s="309"/>
      <c r="C43299" s="309"/>
      <c r="I43299" s="309"/>
      <c r="J43299" s="309"/>
    </row>
    <row r="43300">
      <c r="B43300" s="309"/>
      <c r="C43300" s="309"/>
      <c r="I43300" s="309"/>
      <c r="J43300" s="309"/>
    </row>
    <row r="43301">
      <c r="B43301" s="309"/>
      <c r="C43301" s="309"/>
      <c r="I43301" s="309"/>
      <c r="J43301" s="309"/>
    </row>
    <row r="43302">
      <c r="B43302" s="309"/>
      <c r="C43302" s="309"/>
      <c r="I43302" s="309"/>
      <c r="J43302" s="309"/>
    </row>
    <row r="43303">
      <c r="B43303" s="309"/>
      <c r="C43303" s="309"/>
      <c r="I43303" s="309"/>
      <c r="J43303" s="309"/>
    </row>
    <row r="43304">
      <c r="B43304" s="309"/>
      <c r="C43304" s="309"/>
      <c r="I43304" s="309"/>
      <c r="J43304" s="309"/>
    </row>
    <row r="43305">
      <c r="B43305" s="309"/>
      <c r="C43305" s="309"/>
      <c r="I43305" s="309"/>
      <c r="J43305" s="309"/>
    </row>
    <row r="43306">
      <c r="B43306" s="309"/>
      <c r="C43306" s="309"/>
      <c r="I43306" s="309"/>
      <c r="J43306" s="309"/>
    </row>
    <row r="43307">
      <c r="B43307" s="309"/>
      <c r="C43307" s="309"/>
      <c r="I43307" s="309"/>
      <c r="J43307" s="309"/>
    </row>
    <row r="43308">
      <c r="B43308" s="309"/>
      <c r="C43308" s="309"/>
      <c r="I43308" s="309"/>
      <c r="J43308" s="309"/>
    </row>
    <row r="43309">
      <c r="B43309" s="309"/>
      <c r="C43309" s="309"/>
      <c r="I43309" s="309"/>
      <c r="J43309" s="309"/>
    </row>
    <row r="43310">
      <c r="B43310" s="309"/>
      <c r="C43310" s="309"/>
      <c r="I43310" s="309"/>
      <c r="J43310" s="309"/>
    </row>
    <row r="43311">
      <c r="B43311" s="309"/>
      <c r="C43311" s="309"/>
      <c r="I43311" s="309"/>
      <c r="J43311" s="309"/>
    </row>
    <row r="43312">
      <c r="B43312" s="309"/>
      <c r="C43312" s="309"/>
      <c r="I43312" s="309"/>
      <c r="J43312" s="309"/>
    </row>
    <row r="43313">
      <c r="B43313" s="309"/>
      <c r="C43313" s="309"/>
      <c r="I43313" s="309"/>
      <c r="J43313" s="309"/>
    </row>
    <row r="43314">
      <c r="B43314" s="309"/>
      <c r="C43314" s="309"/>
      <c r="I43314" s="309"/>
      <c r="J43314" s="309"/>
    </row>
    <row r="43315">
      <c r="B43315" s="309"/>
      <c r="C43315" s="309"/>
      <c r="I43315" s="309"/>
      <c r="J43315" s="309"/>
    </row>
    <row r="43316">
      <c r="B43316" s="309"/>
      <c r="C43316" s="309"/>
      <c r="I43316" s="309"/>
      <c r="J43316" s="309"/>
    </row>
    <row r="43317">
      <c r="B43317" s="309"/>
      <c r="C43317" s="309"/>
      <c r="I43317" s="309"/>
      <c r="J43317" s="309"/>
    </row>
    <row r="43318">
      <c r="B43318" s="309"/>
      <c r="C43318" s="309"/>
      <c r="I43318" s="309"/>
      <c r="J43318" s="309"/>
    </row>
    <row r="43319">
      <c r="B43319" s="309"/>
      <c r="C43319" s="309"/>
      <c r="I43319" s="309"/>
      <c r="J43319" s="309"/>
    </row>
    <row r="43320">
      <c r="B43320" s="309"/>
      <c r="C43320" s="309"/>
      <c r="I43320" s="309"/>
      <c r="J43320" s="309"/>
    </row>
    <row r="43321">
      <c r="B43321" s="309"/>
      <c r="C43321" s="309"/>
      <c r="I43321" s="309"/>
      <c r="J43321" s="309"/>
    </row>
    <row r="43322">
      <c r="B43322" s="309"/>
      <c r="C43322" s="309"/>
      <c r="I43322" s="309"/>
      <c r="J43322" s="309"/>
    </row>
    <row r="43323">
      <c r="B43323" s="309"/>
      <c r="C43323" s="309"/>
      <c r="I43323" s="309"/>
      <c r="J43323" s="309"/>
    </row>
    <row r="43324">
      <c r="B43324" s="309"/>
      <c r="C43324" s="309"/>
      <c r="I43324" s="309"/>
      <c r="J43324" s="309"/>
    </row>
    <row r="43325">
      <c r="B43325" s="309"/>
      <c r="C43325" s="309"/>
      <c r="I43325" s="309"/>
      <c r="J43325" s="309"/>
    </row>
    <row r="43326">
      <c r="B43326" s="309"/>
      <c r="C43326" s="309"/>
      <c r="I43326" s="309"/>
      <c r="J43326" s="309"/>
    </row>
    <row r="43327">
      <c r="B43327" s="309"/>
      <c r="C43327" s="309"/>
      <c r="I43327" s="309"/>
      <c r="J43327" s="309"/>
    </row>
    <row r="43328">
      <c r="B43328" s="309"/>
      <c r="C43328" s="309"/>
      <c r="I43328" s="309"/>
      <c r="J43328" s="309"/>
    </row>
    <row r="43329">
      <c r="B43329" s="309"/>
      <c r="C43329" s="309"/>
      <c r="I43329" s="309"/>
      <c r="J43329" s="309"/>
    </row>
    <row r="43330">
      <c r="B43330" s="309"/>
      <c r="C43330" s="309"/>
      <c r="I43330" s="309"/>
      <c r="J43330" s="309"/>
    </row>
    <row r="43331">
      <c r="B43331" s="309"/>
      <c r="C43331" s="309"/>
      <c r="I43331" s="309"/>
      <c r="J43331" s="309"/>
    </row>
    <row r="43332">
      <c r="B43332" s="309"/>
      <c r="C43332" s="309"/>
      <c r="I43332" s="309"/>
      <c r="J43332" s="309"/>
    </row>
    <row r="43333">
      <c r="B43333" s="309"/>
      <c r="C43333" s="309"/>
      <c r="I43333" s="309"/>
      <c r="J43333" s="309"/>
    </row>
    <row r="43334">
      <c r="B43334" s="309"/>
      <c r="C43334" s="309"/>
      <c r="I43334" s="309"/>
      <c r="J43334" s="309"/>
    </row>
    <row r="43335">
      <c r="B43335" s="309"/>
      <c r="C43335" s="309"/>
      <c r="I43335" s="309"/>
      <c r="J43335" s="309"/>
    </row>
    <row r="43336">
      <c r="B43336" s="309"/>
      <c r="C43336" s="309"/>
      <c r="I43336" s="309"/>
      <c r="J43336" s="309"/>
    </row>
    <row r="43337">
      <c r="B43337" s="309"/>
      <c r="C43337" s="309"/>
      <c r="I43337" s="309"/>
      <c r="J43337" s="309"/>
    </row>
    <row r="43338">
      <c r="B43338" s="309"/>
      <c r="C43338" s="309"/>
      <c r="I43338" s="309"/>
      <c r="J43338" s="309"/>
    </row>
    <row r="43339">
      <c r="B43339" s="309"/>
      <c r="C43339" s="309"/>
      <c r="I43339" s="309"/>
      <c r="J43339" s="309"/>
    </row>
    <row r="43340">
      <c r="B43340" s="309"/>
      <c r="C43340" s="309"/>
      <c r="I43340" s="309"/>
      <c r="J43340" s="309"/>
    </row>
    <row r="43341">
      <c r="B43341" s="309"/>
      <c r="C43341" s="309"/>
      <c r="I43341" s="309"/>
      <c r="J43341" s="309"/>
    </row>
    <row r="43342">
      <c r="B43342" s="309"/>
      <c r="C43342" s="309"/>
      <c r="I43342" s="309"/>
      <c r="J43342" s="309"/>
    </row>
    <row r="43343">
      <c r="B43343" s="309"/>
      <c r="C43343" s="309"/>
      <c r="I43343" s="309"/>
      <c r="J43343" s="309"/>
    </row>
    <row r="43344">
      <c r="B43344" s="309"/>
      <c r="C43344" s="309"/>
      <c r="I43344" s="309"/>
      <c r="J43344" s="309"/>
    </row>
    <row r="43345">
      <c r="B43345" s="309"/>
      <c r="C43345" s="309"/>
      <c r="I43345" s="309"/>
      <c r="J43345" s="309"/>
    </row>
    <row r="43346">
      <c r="B43346" s="309"/>
      <c r="C43346" s="309"/>
      <c r="I43346" s="309"/>
      <c r="J43346" s="309"/>
    </row>
    <row r="43347">
      <c r="B43347" s="309"/>
      <c r="C43347" s="309"/>
      <c r="I43347" s="309"/>
      <c r="J43347" s="309"/>
    </row>
    <row r="43348">
      <c r="B43348" s="309"/>
      <c r="C43348" s="309"/>
      <c r="I43348" s="309"/>
      <c r="J43348" s="309"/>
    </row>
    <row r="43349">
      <c r="B43349" s="309"/>
      <c r="C43349" s="309"/>
      <c r="I43349" s="309"/>
      <c r="J43349" s="309"/>
    </row>
    <row r="43350">
      <c r="B43350" s="309"/>
      <c r="C43350" s="309"/>
      <c r="I43350" s="309"/>
      <c r="J43350" s="309"/>
    </row>
    <row r="43351">
      <c r="B43351" s="309"/>
      <c r="C43351" s="309"/>
      <c r="I43351" s="309"/>
      <c r="J43351" s="309"/>
    </row>
    <row r="43352">
      <c r="B43352" s="309"/>
      <c r="C43352" s="309"/>
      <c r="I43352" s="309"/>
      <c r="J43352" s="309"/>
    </row>
    <row r="43353">
      <c r="B43353" s="309"/>
      <c r="C43353" s="309"/>
      <c r="I43353" s="309"/>
      <c r="J43353" s="309"/>
    </row>
    <row r="43354">
      <c r="B43354" s="309"/>
      <c r="C43354" s="309"/>
      <c r="I43354" s="309"/>
      <c r="J43354" s="309"/>
    </row>
    <row r="43355">
      <c r="B43355" s="309"/>
      <c r="C43355" s="309"/>
      <c r="I43355" s="309"/>
      <c r="J43355" s="309"/>
    </row>
    <row r="43356">
      <c r="B43356" s="309"/>
      <c r="C43356" s="309"/>
      <c r="I43356" s="309"/>
      <c r="J43356" s="309"/>
    </row>
    <row r="43357">
      <c r="B43357" s="309"/>
      <c r="C43357" s="309"/>
      <c r="I43357" s="309"/>
      <c r="J43357" s="309"/>
    </row>
    <row r="43358">
      <c r="B43358" s="309"/>
      <c r="C43358" s="309"/>
      <c r="I43358" s="309"/>
      <c r="J43358" s="309"/>
    </row>
    <row r="43359">
      <c r="B43359" s="309"/>
      <c r="C43359" s="309"/>
      <c r="I43359" s="309"/>
      <c r="J43359" s="309"/>
    </row>
    <row r="43360">
      <c r="B43360" s="309"/>
      <c r="C43360" s="309"/>
      <c r="I43360" s="309"/>
      <c r="J43360" s="309"/>
    </row>
    <row r="43361">
      <c r="B43361" s="309"/>
      <c r="C43361" s="309"/>
      <c r="I43361" s="309"/>
      <c r="J43361" s="309"/>
    </row>
    <row r="43362">
      <c r="B43362" s="309"/>
      <c r="C43362" s="309"/>
      <c r="I43362" s="309"/>
      <c r="J43362" s="309"/>
    </row>
    <row r="43363">
      <c r="B43363" s="309"/>
      <c r="C43363" s="309"/>
      <c r="I43363" s="309"/>
      <c r="J43363" s="309"/>
    </row>
    <row r="43364">
      <c r="B43364" s="309"/>
      <c r="C43364" s="309"/>
      <c r="I43364" s="309"/>
      <c r="J43364" s="309"/>
    </row>
    <row r="43365">
      <c r="B43365" s="309"/>
      <c r="C43365" s="309"/>
      <c r="I43365" s="309"/>
      <c r="J43365" s="309"/>
    </row>
    <row r="43366">
      <c r="B43366" s="309"/>
      <c r="C43366" s="309"/>
      <c r="I43366" s="309"/>
      <c r="J43366" s="309"/>
    </row>
    <row r="43367">
      <c r="B43367" s="309"/>
      <c r="C43367" s="309"/>
      <c r="I43367" s="309"/>
      <c r="J43367" s="309"/>
    </row>
    <row r="43368">
      <c r="B43368" s="309"/>
      <c r="C43368" s="309"/>
      <c r="I43368" s="309"/>
      <c r="J43368" s="309"/>
    </row>
    <row r="43369">
      <c r="B43369" s="309"/>
      <c r="C43369" s="309"/>
      <c r="I43369" s="309"/>
      <c r="J43369" s="309"/>
    </row>
    <row r="43370">
      <c r="B43370" s="309"/>
      <c r="C43370" s="309"/>
      <c r="I43370" s="309"/>
      <c r="J43370" s="309"/>
    </row>
    <row r="43371">
      <c r="B43371" s="309"/>
      <c r="C43371" s="309"/>
      <c r="I43371" s="309"/>
      <c r="J43371" s="309"/>
    </row>
    <row r="43372">
      <c r="B43372" s="309"/>
      <c r="C43372" s="309"/>
      <c r="I43372" s="309"/>
      <c r="J43372" s="309"/>
    </row>
    <row r="43373">
      <c r="B43373" s="309"/>
      <c r="C43373" s="309"/>
      <c r="I43373" s="309"/>
      <c r="J43373" s="309"/>
    </row>
    <row r="43374">
      <c r="B43374" s="309"/>
      <c r="C43374" s="309"/>
      <c r="I43374" s="309"/>
      <c r="J43374" s="309"/>
    </row>
    <row r="43375">
      <c r="B43375" s="309"/>
      <c r="C43375" s="309"/>
      <c r="I43375" s="309"/>
      <c r="J43375" s="309"/>
    </row>
    <row r="43376">
      <c r="B43376" s="309"/>
      <c r="C43376" s="309"/>
      <c r="I43376" s="309"/>
      <c r="J43376" s="309"/>
    </row>
    <row r="43377">
      <c r="B43377" s="309"/>
      <c r="C43377" s="309"/>
      <c r="I43377" s="309"/>
      <c r="J43377" s="309"/>
    </row>
    <row r="43378">
      <c r="B43378" s="309"/>
      <c r="C43378" s="309"/>
      <c r="I43378" s="309"/>
      <c r="J43378" s="309"/>
    </row>
    <row r="43379">
      <c r="B43379" s="309"/>
      <c r="C43379" s="309"/>
      <c r="I43379" s="309"/>
      <c r="J43379" s="309"/>
    </row>
    <row r="43380">
      <c r="B43380" s="309"/>
      <c r="C43380" s="309"/>
      <c r="I43380" s="309"/>
      <c r="J43380" s="309"/>
    </row>
    <row r="43381">
      <c r="B43381" s="309"/>
      <c r="C43381" s="309"/>
      <c r="I43381" s="309"/>
      <c r="J43381" s="309"/>
    </row>
    <row r="43382">
      <c r="B43382" s="309"/>
      <c r="C43382" s="309"/>
      <c r="I43382" s="309"/>
      <c r="J43382" s="309"/>
    </row>
    <row r="43383">
      <c r="B43383" s="309"/>
      <c r="C43383" s="309"/>
      <c r="I43383" s="309"/>
      <c r="J43383" s="309"/>
    </row>
    <row r="43384">
      <c r="B43384" s="309"/>
      <c r="C43384" s="309"/>
      <c r="I43384" s="309"/>
      <c r="J43384" s="309"/>
    </row>
    <row r="43385">
      <c r="B43385" s="309"/>
      <c r="C43385" s="309"/>
      <c r="I43385" s="309"/>
      <c r="J43385" s="309"/>
    </row>
    <row r="43386">
      <c r="B43386" s="309"/>
      <c r="C43386" s="309"/>
      <c r="I43386" s="309"/>
      <c r="J43386" s="309"/>
    </row>
    <row r="43387">
      <c r="B43387" s="309"/>
      <c r="C43387" s="309"/>
      <c r="I43387" s="309"/>
      <c r="J43387" s="309"/>
    </row>
    <row r="43388">
      <c r="B43388" s="309"/>
      <c r="C43388" s="309"/>
      <c r="I43388" s="309"/>
      <c r="J43388" s="309"/>
    </row>
    <row r="43389">
      <c r="B43389" s="309"/>
      <c r="C43389" s="309"/>
      <c r="I43389" s="309"/>
      <c r="J43389" s="309"/>
    </row>
    <row r="43390">
      <c r="B43390" s="309"/>
      <c r="C43390" s="309"/>
      <c r="I43390" s="309"/>
      <c r="J43390" s="309"/>
    </row>
    <row r="43391">
      <c r="B43391" s="309"/>
      <c r="C43391" s="309"/>
      <c r="I43391" s="309"/>
      <c r="J43391" s="309"/>
    </row>
    <row r="43392">
      <c r="B43392" s="309"/>
      <c r="C43392" s="309"/>
      <c r="I43392" s="309"/>
      <c r="J43392" s="309"/>
    </row>
    <row r="43393">
      <c r="B43393" s="309"/>
      <c r="C43393" s="309"/>
      <c r="I43393" s="309"/>
      <c r="J43393" s="309"/>
    </row>
    <row r="43394">
      <c r="B43394" s="309"/>
      <c r="C43394" s="309"/>
      <c r="I43394" s="309"/>
      <c r="J43394" s="309"/>
    </row>
    <row r="43395">
      <c r="B43395" s="309"/>
      <c r="C43395" s="309"/>
      <c r="I43395" s="309"/>
      <c r="J43395" s="309"/>
    </row>
    <row r="43396">
      <c r="B43396" s="309"/>
      <c r="C43396" s="309"/>
      <c r="I43396" s="309"/>
      <c r="J43396" s="309"/>
    </row>
    <row r="43397">
      <c r="B43397" s="309"/>
      <c r="C43397" s="309"/>
      <c r="I43397" s="309"/>
      <c r="J43397" s="309"/>
    </row>
    <row r="43398">
      <c r="B43398" s="309"/>
      <c r="C43398" s="309"/>
      <c r="I43398" s="309"/>
      <c r="J43398" s="309"/>
    </row>
    <row r="43399">
      <c r="B43399" s="309"/>
      <c r="C43399" s="309"/>
      <c r="I43399" s="309"/>
      <c r="J43399" s="309"/>
    </row>
    <row r="43400">
      <c r="B43400" s="309"/>
      <c r="C43400" s="309"/>
      <c r="I43400" s="309"/>
      <c r="J43400" s="309"/>
    </row>
    <row r="43401">
      <c r="B43401" s="309"/>
      <c r="C43401" s="309"/>
      <c r="I43401" s="309"/>
      <c r="J43401" s="309"/>
    </row>
    <row r="43402">
      <c r="B43402" s="309"/>
      <c r="C43402" s="309"/>
      <c r="I43402" s="309"/>
      <c r="J43402" s="309"/>
    </row>
    <row r="43403">
      <c r="B43403" s="309"/>
      <c r="C43403" s="309"/>
      <c r="I43403" s="309"/>
      <c r="J43403" s="309"/>
    </row>
    <row r="43404">
      <c r="B43404" s="309"/>
      <c r="C43404" s="309"/>
      <c r="I43404" s="309"/>
      <c r="J43404" s="309"/>
    </row>
    <row r="43405">
      <c r="B43405" s="309"/>
      <c r="C43405" s="309"/>
      <c r="I43405" s="309"/>
      <c r="J43405" s="309"/>
    </row>
    <row r="43406">
      <c r="B43406" s="309"/>
      <c r="C43406" s="309"/>
      <c r="I43406" s="309"/>
      <c r="J43406" s="309"/>
    </row>
    <row r="43407">
      <c r="B43407" s="309"/>
      <c r="C43407" s="309"/>
      <c r="I43407" s="309"/>
      <c r="J43407" s="309"/>
    </row>
    <row r="43408">
      <c r="B43408" s="309"/>
      <c r="C43408" s="309"/>
      <c r="I43408" s="309"/>
      <c r="J43408" s="309"/>
    </row>
    <row r="43409">
      <c r="B43409" s="309"/>
      <c r="C43409" s="309"/>
      <c r="I43409" s="309"/>
      <c r="J43409" s="309"/>
    </row>
    <row r="43410">
      <c r="B43410" s="309"/>
      <c r="C43410" s="309"/>
      <c r="I43410" s="309"/>
      <c r="J43410" s="309"/>
    </row>
    <row r="43411">
      <c r="B43411" s="309"/>
      <c r="C43411" s="309"/>
      <c r="I43411" s="309"/>
      <c r="J43411" s="309"/>
    </row>
    <row r="43412">
      <c r="B43412" s="309"/>
      <c r="C43412" s="309"/>
      <c r="I43412" s="309"/>
      <c r="J43412" s="309"/>
    </row>
    <row r="43413">
      <c r="B43413" s="309"/>
      <c r="C43413" s="309"/>
      <c r="I43413" s="309"/>
      <c r="J43413" s="309"/>
    </row>
    <row r="43414">
      <c r="B43414" s="309"/>
      <c r="C43414" s="309"/>
      <c r="I43414" s="309"/>
      <c r="J43414" s="309"/>
    </row>
    <row r="43415">
      <c r="B43415" s="309"/>
      <c r="C43415" s="309"/>
      <c r="I43415" s="309"/>
      <c r="J43415" s="309"/>
    </row>
    <row r="43416">
      <c r="B43416" s="309"/>
      <c r="C43416" s="309"/>
      <c r="I43416" s="309"/>
      <c r="J43416" s="309"/>
    </row>
    <row r="43417">
      <c r="B43417" s="309"/>
      <c r="C43417" s="309"/>
      <c r="I43417" s="309"/>
      <c r="J43417" s="309"/>
    </row>
    <row r="43418">
      <c r="B43418" s="309"/>
      <c r="C43418" s="309"/>
      <c r="I43418" s="309"/>
      <c r="J43418" s="309"/>
    </row>
    <row r="43419">
      <c r="B43419" s="309"/>
      <c r="C43419" s="309"/>
      <c r="I43419" s="309"/>
      <c r="J43419" s="309"/>
    </row>
    <row r="43420">
      <c r="B43420" s="309"/>
      <c r="C43420" s="309"/>
      <c r="I43420" s="309"/>
      <c r="J43420" s="309"/>
    </row>
    <row r="43421">
      <c r="B43421" s="309"/>
      <c r="C43421" s="309"/>
      <c r="I43421" s="309"/>
      <c r="J43421" s="309"/>
    </row>
    <row r="43422">
      <c r="B43422" s="309"/>
      <c r="C43422" s="309"/>
      <c r="I43422" s="309"/>
      <c r="J43422" s="309"/>
    </row>
    <row r="43423">
      <c r="B43423" s="309"/>
      <c r="C43423" s="309"/>
      <c r="I43423" s="309"/>
      <c r="J43423" s="309"/>
    </row>
    <row r="43424">
      <c r="B43424" s="309"/>
      <c r="C43424" s="309"/>
      <c r="I43424" s="309"/>
      <c r="J43424" s="309"/>
    </row>
    <row r="43425">
      <c r="B43425" s="309"/>
      <c r="C43425" s="309"/>
      <c r="I43425" s="309"/>
      <c r="J43425" s="309"/>
    </row>
    <row r="43426">
      <c r="B43426" s="309"/>
      <c r="C43426" s="309"/>
      <c r="I43426" s="309"/>
      <c r="J43426" s="309"/>
    </row>
    <row r="43427">
      <c r="B43427" s="309"/>
      <c r="C43427" s="309"/>
      <c r="I43427" s="309"/>
      <c r="J43427" s="309"/>
    </row>
    <row r="43428">
      <c r="B43428" s="309"/>
      <c r="C43428" s="309"/>
      <c r="I43428" s="309"/>
      <c r="J43428" s="309"/>
    </row>
    <row r="43429">
      <c r="B43429" s="309"/>
      <c r="C43429" s="309"/>
      <c r="I43429" s="309"/>
      <c r="J43429" s="309"/>
    </row>
    <row r="43430">
      <c r="B43430" s="309"/>
      <c r="C43430" s="309"/>
      <c r="I43430" s="309"/>
      <c r="J43430" s="309"/>
    </row>
    <row r="43431">
      <c r="B43431" s="309"/>
      <c r="C43431" s="309"/>
      <c r="I43431" s="309"/>
      <c r="J43431" s="309"/>
    </row>
    <row r="43432">
      <c r="B43432" s="309"/>
      <c r="C43432" s="309"/>
      <c r="I43432" s="309"/>
      <c r="J43432" s="309"/>
    </row>
    <row r="43433">
      <c r="B43433" s="309"/>
      <c r="C43433" s="309"/>
      <c r="I43433" s="309"/>
      <c r="J43433" s="309"/>
    </row>
    <row r="43434">
      <c r="B43434" s="309"/>
      <c r="C43434" s="309"/>
      <c r="I43434" s="309"/>
      <c r="J43434" s="309"/>
    </row>
    <row r="43435">
      <c r="B43435" s="309"/>
      <c r="C43435" s="309"/>
      <c r="I43435" s="309"/>
      <c r="J43435" s="309"/>
    </row>
    <row r="43436">
      <c r="B43436" s="309"/>
      <c r="C43436" s="309"/>
      <c r="I43436" s="309"/>
      <c r="J43436" s="309"/>
    </row>
    <row r="43437">
      <c r="B43437" s="309"/>
      <c r="C43437" s="309"/>
      <c r="I43437" s="309"/>
      <c r="J43437" s="309"/>
    </row>
    <row r="43438">
      <c r="B43438" s="309"/>
      <c r="C43438" s="309"/>
      <c r="I43438" s="309"/>
      <c r="J43438" s="309"/>
    </row>
    <row r="43439">
      <c r="B43439" s="309"/>
      <c r="C43439" s="309"/>
      <c r="I43439" s="309"/>
      <c r="J43439" s="309"/>
    </row>
    <row r="43440">
      <c r="B43440" s="309"/>
      <c r="C43440" s="309"/>
      <c r="I43440" s="309"/>
      <c r="J43440" s="309"/>
    </row>
    <row r="43441">
      <c r="B43441" s="309"/>
      <c r="C43441" s="309"/>
      <c r="I43441" s="309"/>
      <c r="J43441" s="309"/>
    </row>
    <row r="43442">
      <c r="B43442" s="309"/>
      <c r="C43442" s="309"/>
      <c r="I43442" s="309"/>
      <c r="J43442" s="309"/>
    </row>
    <row r="43443">
      <c r="B43443" s="309"/>
      <c r="C43443" s="309"/>
      <c r="I43443" s="309"/>
      <c r="J43443" s="309"/>
    </row>
    <row r="43444">
      <c r="B43444" s="309"/>
      <c r="C43444" s="309"/>
      <c r="I43444" s="309"/>
      <c r="J43444" s="309"/>
    </row>
    <row r="43445">
      <c r="B43445" s="309"/>
      <c r="C43445" s="309"/>
      <c r="I43445" s="309"/>
      <c r="J43445" s="309"/>
    </row>
    <row r="43446">
      <c r="B43446" s="309"/>
      <c r="C43446" s="309"/>
      <c r="I43446" s="309"/>
      <c r="J43446" s="309"/>
    </row>
    <row r="43447">
      <c r="B43447" s="309"/>
      <c r="C43447" s="309"/>
      <c r="I43447" s="309"/>
      <c r="J43447" s="309"/>
    </row>
    <row r="43448">
      <c r="B43448" s="309"/>
      <c r="C43448" s="309"/>
      <c r="I43448" s="309"/>
      <c r="J43448" s="309"/>
    </row>
    <row r="43449">
      <c r="B43449" s="309"/>
      <c r="C43449" s="309"/>
      <c r="I43449" s="309"/>
      <c r="J43449" s="309"/>
    </row>
    <row r="43450">
      <c r="B43450" s="309"/>
      <c r="C43450" s="309"/>
      <c r="I43450" s="309"/>
      <c r="J43450" s="309"/>
    </row>
    <row r="43451">
      <c r="B43451" s="309"/>
      <c r="C43451" s="309"/>
      <c r="I43451" s="309"/>
      <c r="J43451" s="309"/>
    </row>
    <row r="43452">
      <c r="B43452" s="309"/>
      <c r="C43452" s="309"/>
      <c r="I43452" s="309"/>
      <c r="J43452" s="309"/>
    </row>
    <row r="43453">
      <c r="B43453" s="309"/>
      <c r="C43453" s="309"/>
      <c r="I43453" s="309"/>
      <c r="J43453" s="309"/>
    </row>
    <row r="43454">
      <c r="B43454" s="309"/>
      <c r="C43454" s="309"/>
      <c r="I43454" s="309"/>
      <c r="J43454" s="309"/>
    </row>
    <row r="43455">
      <c r="B43455" s="309"/>
      <c r="C43455" s="309"/>
      <c r="I43455" s="309"/>
      <c r="J43455" s="309"/>
    </row>
    <row r="43456">
      <c r="B43456" s="309"/>
      <c r="C43456" s="309"/>
      <c r="I43456" s="309"/>
      <c r="J43456" s="309"/>
    </row>
    <row r="43457">
      <c r="B43457" s="309"/>
      <c r="C43457" s="309"/>
      <c r="I43457" s="309"/>
      <c r="J43457" s="309"/>
    </row>
    <row r="43458">
      <c r="B43458" s="309"/>
      <c r="C43458" s="309"/>
      <c r="I43458" s="309"/>
      <c r="J43458" s="309"/>
    </row>
    <row r="43459">
      <c r="B43459" s="309"/>
      <c r="C43459" s="309"/>
      <c r="I43459" s="309"/>
      <c r="J43459" s="309"/>
    </row>
    <row r="43460">
      <c r="B43460" s="309"/>
      <c r="C43460" s="309"/>
      <c r="I43460" s="309"/>
      <c r="J43460" s="309"/>
    </row>
    <row r="43461">
      <c r="B43461" s="309"/>
      <c r="C43461" s="309"/>
      <c r="I43461" s="309"/>
      <c r="J43461" s="309"/>
    </row>
    <row r="43462">
      <c r="B43462" s="309"/>
      <c r="C43462" s="309"/>
      <c r="I43462" s="309"/>
      <c r="J43462" s="309"/>
    </row>
    <row r="43463">
      <c r="B43463" s="309"/>
      <c r="C43463" s="309"/>
      <c r="I43463" s="309"/>
      <c r="J43463" s="309"/>
    </row>
    <row r="43464">
      <c r="B43464" s="309"/>
      <c r="C43464" s="309"/>
      <c r="I43464" s="309"/>
      <c r="J43464" s="309"/>
    </row>
    <row r="43465">
      <c r="B43465" s="309"/>
      <c r="C43465" s="309"/>
      <c r="I43465" s="309"/>
      <c r="J43465" s="309"/>
    </row>
    <row r="43466">
      <c r="B43466" s="309"/>
      <c r="C43466" s="309"/>
      <c r="I43466" s="309"/>
      <c r="J43466" s="309"/>
    </row>
    <row r="43467">
      <c r="B43467" s="309"/>
      <c r="C43467" s="309"/>
      <c r="I43467" s="309"/>
      <c r="J43467" s="309"/>
    </row>
    <row r="43468">
      <c r="B43468" s="309"/>
      <c r="C43468" s="309"/>
      <c r="I43468" s="309"/>
      <c r="J43468" s="309"/>
    </row>
    <row r="43469">
      <c r="B43469" s="309"/>
      <c r="C43469" s="309"/>
      <c r="I43469" s="309"/>
      <c r="J43469" s="309"/>
    </row>
    <row r="43470">
      <c r="B43470" s="309"/>
      <c r="C43470" s="309"/>
      <c r="I43470" s="309"/>
      <c r="J43470" s="309"/>
    </row>
    <row r="43471">
      <c r="B43471" s="309"/>
      <c r="C43471" s="309"/>
      <c r="I43471" s="309"/>
      <c r="J43471" s="309"/>
    </row>
    <row r="43472">
      <c r="B43472" s="309"/>
      <c r="C43472" s="309"/>
      <c r="I43472" s="309"/>
      <c r="J43472" s="309"/>
    </row>
    <row r="43473">
      <c r="B43473" s="309"/>
      <c r="C43473" s="309"/>
      <c r="I43473" s="309"/>
      <c r="J43473" s="309"/>
    </row>
    <row r="43474">
      <c r="B43474" s="309"/>
      <c r="C43474" s="309"/>
      <c r="I43474" s="309"/>
      <c r="J43474" s="309"/>
    </row>
    <row r="43475">
      <c r="B43475" s="309"/>
      <c r="C43475" s="309"/>
      <c r="I43475" s="309"/>
      <c r="J43475" s="309"/>
    </row>
    <row r="43476">
      <c r="B43476" s="309"/>
      <c r="C43476" s="309"/>
      <c r="I43476" s="309"/>
      <c r="J43476" s="309"/>
    </row>
    <row r="43477">
      <c r="B43477" s="309"/>
      <c r="C43477" s="309"/>
      <c r="I43477" s="309"/>
      <c r="J43477" s="309"/>
    </row>
    <row r="43478">
      <c r="B43478" s="309"/>
      <c r="C43478" s="309"/>
      <c r="I43478" s="309"/>
      <c r="J43478" s="309"/>
    </row>
    <row r="43479">
      <c r="B43479" s="309"/>
      <c r="C43479" s="309"/>
      <c r="I43479" s="309"/>
      <c r="J43479" s="309"/>
    </row>
    <row r="43480">
      <c r="B43480" s="309"/>
      <c r="C43480" s="309"/>
      <c r="I43480" s="309"/>
      <c r="J43480" s="309"/>
    </row>
    <row r="43481">
      <c r="B43481" s="309"/>
      <c r="C43481" s="309"/>
      <c r="I43481" s="309"/>
      <c r="J43481" s="309"/>
    </row>
    <row r="43482">
      <c r="B43482" s="309"/>
      <c r="C43482" s="309"/>
      <c r="I43482" s="309"/>
      <c r="J43482" s="309"/>
    </row>
    <row r="43483">
      <c r="B43483" s="309"/>
      <c r="C43483" s="309"/>
      <c r="I43483" s="309"/>
      <c r="J43483" s="309"/>
    </row>
    <row r="43484">
      <c r="B43484" s="309"/>
      <c r="C43484" s="309"/>
      <c r="I43484" s="309"/>
      <c r="J43484" s="309"/>
    </row>
    <row r="43485">
      <c r="B43485" s="309"/>
      <c r="C43485" s="309"/>
      <c r="I43485" s="309"/>
      <c r="J43485" s="309"/>
    </row>
    <row r="43486">
      <c r="B43486" s="309"/>
      <c r="C43486" s="309"/>
      <c r="I43486" s="309"/>
      <c r="J43486" s="309"/>
    </row>
    <row r="43487">
      <c r="B43487" s="309"/>
      <c r="C43487" s="309"/>
      <c r="I43487" s="309"/>
      <c r="J43487" s="309"/>
    </row>
    <row r="43488">
      <c r="B43488" s="309"/>
      <c r="C43488" s="309"/>
      <c r="I43488" s="309"/>
      <c r="J43488" s="309"/>
    </row>
    <row r="43489">
      <c r="B43489" s="309"/>
      <c r="C43489" s="309"/>
      <c r="I43489" s="309"/>
      <c r="J43489" s="309"/>
    </row>
    <row r="43490">
      <c r="B43490" s="309"/>
      <c r="C43490" s="309"/>
      <c r="I43490" s="309"/>
      <c r="J43490" s="309"/>
    </row>
    <row r="43491">
      <c r="B43491" s="309"/>
      <c r="C43491" s="309"/>
      <c r="I43491" s="309"/>
      <c r="J43491" s="309"/>
    </row>
    <row r="43492">
      <c r="B43492" s="309"/>
      <c r="C43492" s="309"/>
      <c r="I43492" s="309"/>
      <c r="J43492" s="309"/>
    </row>
    <row r="43493">
      <c r="B43493" s="309"/>
      <c r="C43493" s="309"/>
      <c r="I43493" s="309"/>
      <c r="J43493" s="309"/>
    </row>
    <row r="43494">
      <c r="B43494" s="309"/>
      <c r="C43494" s="309"/>
      <c r="I43494" s="309"/>
      <c r="J43494" s="309"/>
    </row>
    <row r="43495">
      <c r="B43495" s="309"/>
      <c r="C43495" s="309"/>
      <c r="I43495" s="309"/>
      <c r="J43495" s="309"/>
    </row>
    <row r="43496">
      <c r="B43496" s="309"/>
      <c r="C43496" s="309"/>
      <c r="I43496" s="309"/>
      <c r="J43496" s="309"/>
    </row>
    <row r="43497">
      <c r="B43497" s="309"/>
      <c r="C43497" s="309"/>
      <c r="I43497" s="309"/>
      <c r="J43497" s="309"/>
    </row>
    <row r="43498">
      <c r="B43498" s="309"/>
      <c r="C43498" s="309"/>
      <c r="I43498" s="309"/>
      <c r="J43498" s="309"/>
    </row>
    <row r="43499">
      <c r="B43499" s="309"/>
      <c r="C43499" s="309"/>
      <c r="I43499" s="309"/>
      <c r="J43499" s="309"/>
    </row>
    <row r="43500">
      <c r="B43500" s="309"/>
      <c r="C43500" s="309"/>
      <c r="I43500" s="309"/>
      <c r="J43500" s="309"/>
    </row>
    <row r="43501">
      <c r="B43501" s="309"/>
      <c r="C43501" s="309"/>
      <c r="I43501" s="309"/>
      <c r="J43501" s="309"/>
    </row>
    <row r="43502">
      <c r="B43502" s="309"/>
      <c r="C43502" s="309"/>
      <c r="I43502" s="309"/>
      <c r="J43502" s="309"/>
    </row>
    <row r="43503">
      <c r="B43503" s="309"/>
      <c r="C43503" s="309"/>
      <c r="I43503" s="309"/>
      <c r="J43503" s="309"/>
    </row>
    <row r="43504">
      <c r="B43504" s="309"/>
      <c r="C43504" s="309"/>
      <c r="I43504" s="309"/>
      <c r="J43504" s="309"/>
    </row>
    <row r="43505">
      <c r="B43505" s="309"/>
      <c r="C43505" s="309"/>
      <c r="I43505" s="309"/>
      <c r="J43505" s="309"/>
    </row>
    <row r="43506">
      <c r="B43506" s="309"/>
      <c r="C43506" s="309"/>
      <c r="I43506" s="309"/>
      <c r="J43506" s="309"/>
    </row>
    <row r="43507">
      <c r="B43507" s="309"/>
      <c r="C43507" s="309"/>
      <c r="I43507" s="309"/>
      <c r="J43507" s="309"/>
    </row>
    <row r="43508">
      <c r="B43508" s="309"/>
      <c r="C43508" s="309"/>
      <c r="I43508" s="309"/>
      <c r="J43508" s="309"/>
    </row>
    <row r="43509">
      <c r="B43509" s="309"/>
      <c r="C43509" s="309"/>
      <c r="I43509" s="309"/>
      <c r="J43509" s="309"/>
    </row>
    <row r="43510">
      <c r="B43510" s="309"/>
      <c r="C43510" s="309"/>
      <c r="I43510" s="309"/>
      <c r="J43510" s="309"/>
    </row>
    <row r="43511">
      <c r="B43511" s="309"/>
      <c r="C43511" s="309"/>
      <c r="I43511" s="309"/>
      <c r="J43511" s="309"/>
    </row>
    <row r="43512">
      <c r="B43512" s="309"/>
      <c r="C43512" s="309"/>
      <c r="I43512" s="309"/>
      <c r="J43512" s="309"/>
    </row>
    <row r="43513">
      <c r="B43513" s="309"/>
      <c r="C43513" s="309"/>
      <c r="I43513" s="309"/>
      <c r="J43513" s="309"/>
    </row>
    <row r="43514">
      <c r="B43514" s="309"/>
      <c r="C43514" s="309"/>
      <c r="I43514" s="309"/>
      <c r="J43514" s="309"/>
    </row>
    <row r="43515">
      <c r="B43515" s="309"/>
      <c r="C43515" s="309"/>
      <c r="I43515" s="309"/>
      <c r="J43515" s="309"/>
    </row>
    <row r="43516">
      <c r="B43516" s="309"/>
      <c r="C43516" s="309"/>
      <c r="I43516" s="309"/>
      <c r="J43516" s="309"/>
    </row>
    <row r="43517">
      <c r="B43517" s="309"/>
      <c r="C43517" s="309"/>
      <c r="I43517" s="309"/>
      <c r="J43517" s="309"/>
    </row>
    <row r="43518">
      <c r="B43518" s="309"/>
      <c r="C43518" s="309"/>
      <c r="I43518" s="309"/>
      <c r="J43518" s="309"/>
    </row>
    <row r="43519">
      <c r="B43519" s="309"/>
      <c r="C43519" s="309"/>
      <c r="I43519" s="309"/>
      <c r="J43519" s="309"/>
    </row>
    <row r="43520">
      <c r="B43520" s="309"/>
      <c r="C43520" s="309"/>
      <c r="I43520" s="309"/>
      <c r="J43520" s="309"/>
    </row>
    <row r="43521">
      <c r="B43521" s="309"/>
      <c r="C43521" s="309"/>
      <c r="I43521" s="309"/>
      <c r="J43521" s="309"/>
    </row>
    <row r="43522">
      <c r="B43522" s="309"/>
      <c r="C43522" s="309"/>
      <c r="I43522" s="309"/>
      <c r="J43522" s="309"/>
    </row>
    <row r="43523">
      <c r="B43523" s="309"/>
      <c r="C43523" s="309"/>
      <c r="I43523" s="309"/>
      <c r="J43523" s="309"/>
    </row>
    <row r="43524">
      <c r="B43524" s="309"/>
      <c r="C43524" s="309"/>
      <c r="I43524" s="309"/>
      <c r="J43524" s="309"/>
    </row>
    <row r="43525">
      <c r="B43525" s="309"/>
      <c r="C43525" s="309"/>
      <c r="I43525" s="309"/>
      <c r="J43525" s="309"/>
    </row>
    <row r="43526">
      <c r="B43526" s="309"/>
      <c r="C43526" s="309"/>
      <c r="I43526" s="309"/>
      <c r="J43526" s="309"/>
    </row>
    <row r="43527">
      <c r="B43527" s="309"/>
      <c r="C43527" s="309"/>
      <c r="I43527" s="309"/>
      <c r="J43527" s="309"/>
    </row>
    <row r="43528">
      <c r="B43528" s="309"/>
      <c r="C43528" s="309"/>
      <c r="I43528" s="309"/>
      <c r="J43528" s="309"/>
    </row>
    <row r="43529">
      <c r="B43529" s="309"/>
      <c r="C43529" s="309"/>
      <c r="I43529" s="309"/>
      <c r="J43529" s="309"/>
    </row>
    <row r="43530">
      <c r="B43530" s="309"/>
      <c r="C43530" s="309"/>
      <c r="I43530" s="309"/>
      <c r="J43530" s="309"/>
    </row>
    <row r="43531">
      <c r="B43531" s="309"/>
      <c r="C43531" s="309"/>
      <c r="I43531" s="309"/>
      <c r="J43531" s="309"/>
    </row>
    <row r="43532">
      <c r="B43532" s="309"/>
      <c r="C43532" s="309"/>
      <c r="I43532" s="309"/>
      <c r="J43532" s="309"/>
    </row>
    <row r="43533">
      <c r="B43533" s="309"/>
      <c r="C43533" s="309"/>
      <c r="I43533" s="309"/>
      <c r="J43533" s="309"/>
    </row>
    <row r="43534">
      <c r="B43534" s="309"/>
      <c r="C43534" s="309"/>
      <c r="I43534" s="309"/>
      <c r="J43534" s="309"/>
    </row>
    <row r="43535">
      <c r="B43535" s="309"/>
      <c r="C43535" s="309"/>
      <c r="I43535" s="309"/>
      <c r="J43535" s="309"/>
    </row>
    <row r="43536">
      <c r="B43536" s="309"/>
      <c r="C43536" s="309"/>
      <c r="I43536" s="309"/>
      <c r="J43536" s="309"/>
    </row>
    <row r="43537">
      <c r="B43537" s="309"/>
      <c r="C43537" s="309"/>
      <c r="I43537" s="309"/>
      <c r="J43537" s="309"/>
    </row>
    <row r="43538">
      <c r="B43538" s="309"/>
      <c r="C43538" s="309"/>
      <c r="I43538" s="309"/>
      <c r="J43538" s="309"/>
    </row>
    <row r="43539">
      <c r="B43539" s="309"/>
      <c r="C43539" s="309"/>
      <c r="I43539" s="309"/>
      <c r="J43539" s="309"/>
    </row>
    <row r="43540">
      <c r="B43540" s="309"/>
      <c r="C43540" s="309"/>
      <c r="I43540" s="309"/>
      <c r="J43540" s="309"/>
    </row>
    <row r="43541">
      <c r="B43541" s="309"/>
      <c r="C43541" s="309"/>
      <c r="I43541" s="309"/>
      <c r="J43541" s="309"/>
    </row>
    <row r="43542">
      <c r="B43542" s="309"/>
      <c r="C43542" s="309"/>
      <c r="I43542" s="309"/>
      <c r="J43542" s="309"/>
    </row>
    <row r="43543">
      <c r="B43543" s="309"/>
      <c r="C43543" s="309"/>
      <c r="I43543" s="309"/>
      <c r="J43543" s="309"/>
    </row>
    <row r="43544">
      <c r="B43544" s="309"/>
      <c r="C43544" s="309"/>
      <c r="I43544" s="309"/>
      <c r="J43544" s="309"/>
    </row>
    <row r="43545">
      <c r="B43545" s="309"/>
      <c r="C43545" s="309"/>
      <c r="I43545" s="309"/>
      <c r="J43545" s="309"/>
    </row>
    <row r="43546">
      <c r="B43546" s="309"/>
      <c r="C43546" s="309"/>
      <c r="I43546" s="309"/>
      <c r="J43546" s="309"/>
    </row>
    <row r="43547">
      <c r="B43547" s="309"/>
      <c r="C43547" s="309"/>
      <c r="I43547" s="309"/>
      <c r="J43547" s="309"/>
    </row>
    <row r="43548">
      <c r="B43548" s="309"/>
      <c r="C43548" s="309"/>
      <c r="I43548" s="309"/>
      <c r="J43548" s="309"/>
    </row>
    <row r="43549">
      <c r="B43549" s="309"/>
      <c r="C43549" s="309"/>
      <c r="I43549" s="309"/>
      <c r="J43549" s="309"/>
    </row>
    <row r="43550">
      <c r="B43550" s="309"/>
      <c r="C43550" s="309"/>
      <c r="I43550" s="309"/>
      <c r="J43550" s="309"/>
    </row>
    <row r="43551">
      <c r="B43551" s="309"/>
      <c r="C43551" s="309"/>
      <c r="I43551" s="309"/>
      <c r="J43551" s="309"/>
    </row>
    <row r="43552">
      <c r="B43552" s="309"/>
      <c r="C43552" s="309"/>
      <c r="I43552" s="309"/>
      <c r="J43552" s="309"/>
    </row>
    <row r="43553">
      <c r="B43553" s="309"/>
      <c r="C43553" s="309"/>
      <c r="I43553" s="309"/>
      <c r="J43553" s="309"/>
    </row>
    <row r="43554">
      <c r="B43554" s="309"/>
      <c r="C43554" s="309"/>
      <c r="I43554" s="309"/>
      <c r="J43554" s="309"/>
    </row>
    <row r="43555">
      <c r="B43555" s="309"/>
      <c r="C43555" s="309"/>
      <c r="I43555" s="309"/>
      <c r="J43555" s="309"/>
    </row>
    <row r="43556">
      <c r="B43556" s="309"/>
      <c r="C43556" s="309"/>
      <c r="I43556" s="309"/>
      <c r="J43556" s="309"/>
    </row>
    <row r="43557">
      <c r="B43557" s="309"/>
      <c r="C43557" s="309"/>
      <c r="I43557" s="309"/>
      <c r="J43557" s="309"/>
    </row>
    <row r="43558">
      <c r="B43558" s="309"/>
      <c r="C43558" s="309"/>
      <c r="I43558" s="309"/>
      <c r="J43558" s="309"/>
    </row>
    <row r="43559">
      <c r="B43559" s="309"/>
      <c r="C43559" s="309"/>
      <c r="I43559" s="309"/>
      <c r="J43559" s="309"/>
    </row>
    <row r="43560">
      <c r="B43560" s="309"/>
      <c r="C43560" s="309"/>
      <c r="I43560" s="309"/>
      <c r="J43560" s="309"/>
    </row>
    <row r="43561">
      <c r="B43561" s="309"/>
      <c r="C43561" s="309"/>
      <c r="I43561" s="309"/>
      <c r="J43561" s="309"/>
    </row>
    <row r="43562">
      <c r="B43562" s="309"/>
      <c r="C43562" s="309"/>
      <c r="I43562" s="309"/>
      <c r="J43562" s="309"/>
    </row>
    <row r="43563">
      <c r="B43563" s="309"/>
      <c r="C43563" s="309"/>
      <c r="I43563" s="309"/>
      <c r="J43563" s="309"/>
    </row>
    <row r="43564">
      <c r="B43564" s="309"/>
      <c r="C43564" s="309"/>
      <c r="I43564" s="309"/>
      <c r="J43564" s="309"/>
    </row>
    <row r="43565">
      <c r="B43565" s="309"/>
      <c r="C43565" s="309"/>
      <c r="I43565" s="309"/>
      <c r="J43565" s="309"/>
    </row>
    <row r="43566">
      <c r="B43566" s="309"/>
      <c r="C43566" s="309"/>
      <c r="I43566" s="309"/>
      <c r="J43566" s="309"/>
    </row>
    <row r="43567">
      <c r="B43567" s="309"/>
      <c r="C43567" s="309"/>
      <c r="I43567" s="309"/>
      <c r="J43567" s="309"/>
    </row>
    <row r="43568">
      <c r="B43568" s="309"/>
      <c r="C43568" s="309"/>
      <c r="I43568" s="309"/>
      <c r="J43568" s="309"/>
    </row>
    <row r="43569">
      <c r="B43569" s="309"/>
      <c r="C43569" s="309"/>
      <c r="I43569" s="309"/>
      <c r="J43569" s="309"/>
    </row>
    <row r="43570">
      <c r="B43570" s="309"/>
      <c r="C43570" s="309"/>
      <c r="I43570" s="309"/>
      <c r="J43570" s="309"/>
    </row>
    <row r="43571">
      <c r="B43571" s="309"/>
      <c r="C43571" s="309"/>
      <c r="I43571" s="309"/>
      <c r="J43571" s="309"/>
    </row>
    <row r="43572">
      <c r="B43572" s="309"/>
      <c r="C43572" s="309"/>
      <c r="I43572" s="309"/>
      <c r="J43572" s="309"/>
    </row>
    <row r="43573">
      <c r="B43573" s="309"/>
      <c r="C43573" s="309"/>
      <c r="I43573" s="309"/>
      <c r="J43573" s="309"/>
    </row>
    <row r="43574">
      <c r="B43574" s="309"/>
      <c r="C43574" s="309"/>
      <c r="I43574" s="309"/>
      <c r="J43574" s="309"/>
    </row>
    <row r="43575">
      <c r="B43575" s="309"/>
      <c r="C43575" s="309"/>
      <c r="I43575" s="309"/>
      <c r="J43575" s="309"/>
    </row>
    <row r="43576">
      <c r="B43576" s="309"/>
      <c r="C43576" s="309"/>
      <c r="I43576" s="309"/>
      <c r="J43576" s="309"/>
    </row>
    <row r="43577">
      <c r="B43577" s="309"/>
      <c r="C43577" s="309"/>
      <c r="I43577" s="309"/>
      <c r="J43577" s="309"/>
    </row>
    <row r="43578">
      <c r="B43578" s="309"/>
      <c r="C43578" s="309"/>
      <c r="I43578" s="309"/>
      <c r="J43578" s="309"/>
    </row>
    <row r="43579">
      <c r="B43579" s="309"/>
      <c r="C43579" s="309"/>
      <c r="I43579" s="309"/>
      <c r="J43579" s="309"/>
    </row>
    <row r="43580">
      <c r="B43580" s="309"/>
      <c r="C43580" s="309"/>
      <c r="I43580" s="309"/>
      <c r="J43580" s="309"/>
    </row>
    <row r="43581">
      <c r="B43581" s="309"/>
      <c r="C43581" s="309"/>
      <c r="I43581" s="309"/>
      <c r="J43581" s="309"/>
    </row>
    <row r="43582">
      <c r="B43582" s="309"/>
      <c r="C43582" s="309"/>
      <c r="I43582" s="309"/>
      <c r="J43582" s="309"/>
    </row>
    <row r="43583">
      <c r="B43583" s="309"/>
      <c r="C43583" s="309"/>
      <c r="I43583" s="309"/>
      <c r="J43583" s="309"/>
    </row>
    <row r="43584">
      <c r="B43584" s="309"/>
      <c r="C43584" s="309"/>
      <c r="I43584" s="309"/>
      <c r="J43584" s="309"/>
    </row>
    <row r="43585">
      <c r="B43585" s="309"/>
      <c r="C43585" s="309"/>
      <c r="I43585" s="309"/>
      <c r="J43585" s="309"/>
    </row>
    <row r="43586">
      <c r="B43586" s="309"/>
      <c r="C43586" s="309"/>
      <c r="I43586" s="309"/>
      <c r="J43586" s="309"/>
    </row>
    <row r="43587">
      <c r="B43587" s="309"/>
      <c r="C43587" s="309"/>
      <c r="I43587" s="309"/>
      <c r="J43587" s="309"/>
    </row>
    <row r="43588">
      <c r="B43588" s="309"/>
      <c r="C43588" s="309"/>
      <c r="I43588" s="309"/>
      <c r="J43588" s="309"/>
    </row>
    <row r="43589">
      <c r="B43589" s="309"/>
      <c r="C43589" s="309"/>
      <c r="I43589" s="309"/>
      <c r="J43589" s="309"/>
    </row>
    <row r="43590">
      <c r="B43590" s="309"/>
      <c r="C43590" s="309"/>
      <c r="I43590" s="309"/>
      <c r="J43590" s="309"/>
    </row>
    <row r="43591">
      <c r="B43591" s="309"/>
      <c r="C43591" s="309"/>
      <c r="I43591" s="309"/>
      <c r="J43591" s="309"/>
    </row>
    <row r="43592">
      <c r="B43592" s="309"/>
      <c r="C43592" s="309"/>
      <c r="I43592" s="309"/>
      <c r="J43592" s="309"/>
    </row>
    <row r="43593">
      <c r="B43593" s="309"/>
      <c r="C43593" s="309"/>
      <c r="I43593" s="309"/>
      <c r="J43593" s="309"/>
    </row>
    <row r="43594">
      <c r="B43594" s="309"/>
      <c r="C43594" s="309"/>
      <c r="I43594" s="309"/>
      <c r="J43594" s="309"/>
    </row>
    <row r="43595">
      <c r="B43595" s="309"/>
      <c r="C43595" s="309"/>
      <c r="I43595" s="309"/>
      <c r="J43595" s="309"/>
    </row>
    <row r="43596">
      <c r="B43596" s="309"/>
      <c r="C43596" s="309"/>
      <c r="I43596" s="309"/>
      <c r="J43596" s="309"/>
    </row>
    <row r="43597">
      <c r="B43597" s="309"/>
      <c r="C43597" s="309"/>
      <c r="I43597" s="309"/>
      <c r="J43597" s="309"/>
    </row>
    <row r="43598">
      <c r="B43598" s="309"/>
      <c r="C43598" s="309"/>
      <c r="I43598" s="309"/>
      <c r="J43598" s="309"/>
    </row>
    <row r="43599">
      <c r="B43599" s="309"/>
      <c r="C43599" s="309"/>
      <c r="I43599" s="309"/>
      <c r="J43599" s="309"/>
    </row>
    <row r="43600">
      <c r="B43600" s="309"/>
      <c r="C43600" s="309"/>
      <c r="I43600" s="309"/>
      <c r="J43600" s="309"/>
    </row>
    <row r="43601">
      <c r="B43601" s="309"/>
      <c r="C43601" s="309"/>
      <c r="I43601" s="309"/>
      <c r="J43601" s="309"/>
    </row>
    <row r="43602">
      <c r="B43602" s="309"/>
      <c r="C43602" s="309"/>
      <c r="I43602" s="309"/>
      <c r="J43602" s="309"/>
    </row>
    <row r="43603">
      <c r="B43603" s="309"/>
      <c r="C43603" s="309"/>
      <c r="I43603" s="309"/>
      <c r="J43603" s="309"/>
    </row>
    <row r="43604">
      <c r="B43604" s="309"/>
      <c r="C43604" s="309"/>
      <c r="I43604" s="309"/>
      <c r="J43604" s="309"/>
    </row>
    <row r="43605">
      <c r="B43605" s="309"/>
      <c r="C43605" s="309"/>
      <c r="I43605" s="309"/>
      <c r="J43605" s="309"/>
    </row>
    <row r="43606">
      <c r="B43606" s="309"/>
      <c r="C43606" s="309"/>
      <c r="I43606" s="309"/>
      <c r="J43606" s="309"/>
    </row>
    <row r="43607">
      <c r="B43607" s="309"/>
      <c r="C43607" s="309"/>
      <c r="I43607" s="309"/>
      <c r="J43607" s="309"/>
    </row>
    <row r="43608">
      <c r="B43608" s="309"/>
      <c r="C43608" s="309"/>
      <c r="I43608" s="309"/>
      <c r="J43608" s="309"/>
    </row>
    <row r="43609">
      <c r="B43609" s="309"/>
      <c r="C43609" s="309"/>
      <c r="I43609" s="309"/>
      <c r="J43609" s="309"/>
    </row>
    <row r="43610">
      <c r="B43610" s="309"/>
      <c r="C43610" s="309"/>
      <c r="I43610" s="309"/>
      <c r="J43610" s="309"/>
    </row>
    <row r="43611">
      <c r="B43611" s="309"/>
      <c r="C43611" s="309"/>
      <c r="I43611" s="309"/>
      <c r="J43611" s="309"/>
    </row>
    <row r="43612">
      <c r="B43612" s="309"/>
      <c r="C43612" s="309"/>
      <c r="I43612" s="309"/>
      <c r="J43612" s="309"/>
    </row>
    <row r="43613">
      <c r="B43613" s="309"/>
      <c r="C43613" s="309"/>
      <c r="I43613" s="309"/>
      <c r="J43613" s="309"/>
    </row>
    <row r="43614">
      <c r="B43614" s="309"/>
      <c r="C43614" s="309"/>
      <c r="I43614" s="309"/>
      <c r="J43614" s="309"/>
    </row>
    <row r="43615">
      <c r="B43615" s="309"/>
      <c r="C43615" s="309"/>
      <c r="I43615" s="309"/>
      <c r="J43615" s="309"/>
    </row>
    <row r="43616">
      <c r="B43616" s="309"/>
      <c r="C43616" s="309"/>
      <c r="I43616" s="309"/>
      <c r="J43616" s="309"/>
    </row>
    <row r="43617">
      <c r="B43617" s="309"/>
      <c r="C43617" s="309"/>
      <c r="I43617" s="309"/>
      <c r="J43617" s="309"/>
    </row>
    <row r="43618">
      <c r="B43618" s="309"/>
      <c r="C43618" s="309"/>
      <c r="I43618" s="309"/>
      <c r="J43618" s="309"/>
    </row>
    <row r="43619">
      <c r="B43619" s="309"/>
      <c r="C43619" s="309"/>
      <c r="I43619" s="309"/>
      <c r="J43619" s="309"/>
    </row>
    <row r="43620">
      <c r="B43620" s="309"/>
      <c r="C43620" s="309"/>
      <c r="I43620" s="309"/>
      <c r="J43620" s="309"/>
    </row>
    <row r="43621">
      <c r="B43621" s="309"/>
      <c r="C43621" s="309"/>
      <c r="I43621" s="309"/>
      <c r="J43621" s="309"/>
    </row>
    <row r="43622">
      <c r="B43622" s="309"/>
      <c r="C43622" s="309"/>
      <c r="I43622" s="309"/>
      <c r="J43622" s="309"/>
    </row>
    <row r="43623">
      <c r="B43623" s="309"/>
      <c r="C43623" s="309"/>
      <c r="I43623" s="309"/>
      <c r="J43623" s="309"/>
    </row>
    <row r="43624">
      <c r="B43624" s="309"/>
      <c r="C43624" s="309"/>
      <c r="I43624" s="309"/>
      <c r="J43624" s="309"/>
    </row>
    <row r="43625">
      <c r="B43625" s="309"/>
      <c r="C43625" s="309"/>
      <c r="I43625" s="309"/>
      <c r="J43625" s="309"/>
    </row>
    <row r="43626">
      <c r="B43626" s="309"/>
      <c r="C43626" s="309"/>
      <c r="I43626" s="309"/>
      <c r="J43626" s="309"/>
    </row>
    <row r="43627">
      <c r="B43627" s="309"/>
      <c r="C43627" s="309"/>
      <c r="I43627" s="309"/>
      <c r="J43627" s="309"/>
    </row>
    <row r="43628">
      <c r="B43628" s="309"/>
      <c r="C43628" s="309"/>
      <c r="I43628" s="309"/>
      <c r="J43628" s="309"/>
    </row>
    <row r="43629">
      <c r="B43629" s="309"/>
      <c r="C43629" s="309"/>
      <c r="I43629" s="309"/>
      <c r="J43629" s="309"/>
    </row>
    <row r="43630">
      <c r="B43630" s="309"/>
      <c r="C43630" s="309"/>
      <c r="I43630" s="309"/>
      <c r="J43630" s="309"/>
    </row>
    <row r="43631">
      <c r="B43631" s="309"/>
      <c r="C43631" s="309"/>
      <c r="I43631" s="309"/>
      <c r="J43631" s="309"/>
    </row>
    <row r="43632">
      <c r="B43632" s="309"/>
      <c r="C43632" s="309"/>
      <c r="I43632" s="309"/>
      <c r="J43632" s="309"/>
    </row>
    <row r="43633">
      <c r="B43633" s="309"/>
      <c r="C43633" s="309"/>
      <c r="I43633" s="309"/>
      <c r="J43633" s="309"/>
    </row>
    <row r="43634">
      <c r="B43634" s="309"/>
      <c r="C43634" s="309"/>
      <c r="I43634" s="309"/>
      <c r="J43634" s="309"/>
    </row>
    <row r="43635">
      <c r="B43635" s="309"/>
      <c r="C43635" s="309"/>
      <c r="I43635" s="309"/>
      <c r="J43635" s="309"/>
    </row>
    <row r="43636">
      <c r="B43636" s="309"/>
      <c r="C43636" s="309"/>
      <c r="I43636" s="309"/>
      <c r="J43636" s="309"/>
    </row>
    <row r="43637">
      <c r="B43637" s="309"/>
      <c r="C43637" s="309"/>
      <c r="I43637" s="309"/>
      <c r="J43637" s="309"/>
    </row>
    <row r="43638">
      <c r="B43638" s="309"/>
      <c r="C43638" s="309"/>
      <c r="I43638" s="309"/>
      <c r="J43638" s="309"/>
    </row>
    <row r="43639">
      <c r="B43639" s="309"/>
      <c r="C43639" s="309"/>
      <c r="I43639" s="309"/>
      <c r="J43639" s="309"/>
    </row>
    <row r="43640">
      <c r="B43640" s="309"/>
      <c r="C43640" s="309"/>
      <c r="I43640" s="309"/>
      <c r="J43640" s="309"/>
    </row>
    <row r="43641">
      <c r="B43641" s="309"/>
      <c r="C43641" s="309"/>
      <c r="I43641" s="309"/>
      <c r="J43641" s="309"/>
    </row>
    <row r="43642">
      <c r="B43642" s="309"/>
      <c r="C43642" s="309"/>
      <c r="I43642" s="309"/>
      <c r="J43642" s="309"/>
    </row>
    <row r="43643">
      <c r="B43643" s="309"/>
      <c r="C43643" s="309"/>
      <c r="I43643" s="309"/>
      <c r="J43643" s="309"/>
    </row>
    <row r="43644">
      <c r="B43644" s="309"/>
      <c r="C43644" s="309"/>
      <c r="I43644" s="309"/>
      <c r="J43644" s="309"/>
    </row>
    <row r="43645">
      <c r="B43645" s="309"/>
      <c r="C43645" s="309"/>
      <c r="I43645" s="309"/>
      <c r="J43645" s="309"/>
    </row>
    <row r="43646">
      <c r="B43646" s="309"/>
      <c r="C43646" s="309"/>
      <c r="I43646" s="309"/>
      <c r="J43646" s="309"/>
    </row>
    <row r="43647">
      <c r="B43647" s="309"/>
      <c r="C43647" s="309"/>
      <c r="I43647" s="309"/>
      <c r="J43647" s="309"/>
    </row>
    <row r="43648">
      <c r="B43648" s="309"/>
      <c r="C43648" s="309"/>
      <c r="I43648" s="309"/>
      <c r="J43648" s="309"/>
    </row>
    <row r="43649">
      <c r="B43649" s="309"/>
      <c r="C43649" s="309"/>
      <c r="I43649" s="309"/>
      <c r="J43649" s="309"/>
    </row>
    <row r="43650">
      <c r="B43650" s="309"/>
      <c r="C43650" s="309"/>
      <c r="I43650" s="309"/>
      <c r="J43650" s="309"/>
    </row>
    <row r="43651">
      <c r="B43651" s="309"/>
      <c r="C43651" s="309"/>
      <c r="I43651" s="309"/>
      <c r="J43651" s="309"/>
    </row>
    <row r="43652">
      <c r="B43652" s="309"/>
      <c r="C43652" s="309"/>
      <c r="I43652" s="309"/>
      <c r="J43652" s="309"/>
    </row>
    <row r="43653">
      <c r="B43653" s="309"/>
      <c r="C43653" s="309"/>
      <c r="I43653" s="309"/>
      <c r="J43653" s="309"/>
    </row>
    <row r="43654">
      <c r="B43654" s="309"/>
      <c r="C43654" s="309"/>
      <c r="I43654" s="309"/>
      <c r="J43654" s="309"/>
    </row>
    <row r="43655">
      <c r="B43655" s="309"/>
      <c r="C43655" s="309"/>
      <c r="I43655" s="309"/>
      <c r="J43655" s="309"/>
    </row>
    <row r="43656">
      <c r="B43656" s="309"/>
      <c r="C43656" s="309"/>
      <c r="I43656" s="309"/>
      <c r="J43656" s="309"/>
    </row>
    <row r="43657">
      <c r="B43657" s="309"/>
      <c r="C43657" s="309"/>
      <c r="I43657" s="309"/>
      <c r="J43657" s="309"/>
    </row>
    <row r="43658">
      <c r="B43658" s="309"/>
      <c r="C43658" s="309"/>
      <c r="I43658" s="309"/>
      <c r="J43658" s="309"/>
    </row>
    <row r="43659">
      <c r="B43659" s="309"/>
      <c r="C43659" s="309"/>
      <c r="I43659" s="309"/>
      <c r="J43659" s="309"/>
    </row>
    <row r="43660">
      <c r="B43660" s="309"/>
      <c r="C43660" s="309"/>
      <c r="I43660" s="309"/>
      <c r="J43660" s="309"/>
    </row>
    <row r="43661">
      <c r="B43661" s="309"/>
      <c r="C43661" s="309"/>
      <c r="I43661" s="309"/>
      <c r="J43661" s="309"/>
    </row>
    <row r="43662">
      <c r="B43662" s="309"/>
      <c r="C43662" s="309"/>
      <c r="I43662" s="309"/>
      <c r="J43662" s="309"/>
    </row>
    <row r="43663">
      <c r="B43663" s="309"/>
      <c r="C43663" s="309"/>
      <c r="I43663" s="309"/>
      <c r="J43663" s="309"/>
    </row>
    <row r="43664">
      <c r="B43664" s="309"/>
      <c r="C43664" s="309"/>
      <c r="I43664" s="309"/>
      <c r="J43664" s="309"/>
    </row>
    <row r="43665">
      <c r="B43665" s="309"/>
      <c r="C43665" s="309"/>
      <c r="I43665" s="309"/>
      <c r="J43665" s="309"/>
    </row>
    <row r="43666">
      <c r="B43666" s="309"/>
      <c r="C43666" s="309"/>
      <c r="I43666" s="309"/>
      <c r="J43666" s="309"/>
    </row>
    <row r="43667">
      <c r="B43667" s="309"/>
      <c r="C43667" s="309"/>
      <c r="I43667" s="309"/>
      <c r="J43667" s="309"/>
    </row>
    <row r="43668">
      <c r="B43668" s="309"/>
      <c r="C43668" s="309"/>
      <c r="I43668" s="309"/>
      <c r="J43668" s="309"/>
    </row>
    <row r="43669">
      <c r="B43669" s="309"/>
      <c r="C43669" s="309"/>
      <c r="I43669" s="309"/>
      <c r="J43669" s="309"/>
    </row>
    <row r="43670">
      <c r="B43670" s="309"/>
      <c r="C43670" s="309"/>
      <c r="I43670" s="309"/>
      <c r="J43670" s="309"/>
    </row>
    <row r="43671">
      <c r="B43671" s="309"/>
      <c r="C43671" s="309"/>
      <c r="I43671" s="309"/>
      <c r="J43671" s="309"/>
    </row>
    <row r="43672">
      <c r="B43672" s="309"/>
      <c r="C43672" s="309"/>
      <c r="I43672" s="309"/>
      <c r="J43672" s="309"/>
    </row>
    <row r="43673">
      <c r="B43673" s="309"/>
      <c r="C43673" s="309"/>
      <c r="I43673" s="309"/>
      <c r="J43673" s="309"/>
    </row>
    <row r="43674">
      <c r="B43674" s="309"/>
      <c r="C43674" s="309"/>
      <c r="I43674" s="309"/>
      <c r="J43674" s="309"/>
    </row>
    <row r="43675">
      <c r="B43675" s="309"/>
      <c r="C43675" s="309"/>
      <c r="I43675" s="309"/>
      <c r="J43675" s="309"/>
    </row>
    <row r="43676">
      <c r="B43676" s="309"/>
      <c r="C43676" s="309"/>
      <c r="I43676" s="309"/>
      <c r="J43676" s="309"/>
    </row>
    <row r="43677">
      <c r="B43677" s="309"/>
      <c r="C43677" s="309"/>
      <c r="I43677" s="309"/>
      <c r="J43677" s="309"/>
    </row>
    <row r="43678">
      <c r="B43678" s="309"/>
      <c r="C43678" s="309"/>
      <c r="I43678" s="309"/>
      <c r="J43678" s="309"/>
    </row>
    <row r="43679">
      <c r="B43679" s="309"/>
      <c r="C43679" s="309"/>
      <c r="I43679" s="309"/>
      <c r="J43679" s="309"/>
    </row>
    <row r="43680">
      <c r="B43680" s="309"/>
      <c r="C43680" s="309"/>
      <c r="I43680" s="309"/>
      <c r="J43680" s="309"/>
    </row>
    <row r="43681">
      <c r="B43681" s="309"/>
      <c r="C43681" s="309"/>
      <c r="I43681" s="309"/>
      <c r="J43681" s="309"/>
    </row>
    <row r="43682">
      <c r="B43682" s="309"/>
      <c r="C43682" s="309"/>
      <c r="I43682" s="309"/>
      <c r="J43682" s="309"/>
    </row>
    <row r="43683">
      <c r="B43683" s="309"/>
      <c r="C43683" s="309"/>
      <c r="I43683" s="309"/>
      <c r="J43683" s="309"/>
    </row>
    <row r="43684">
      <c r="B43684" s="309"/>
      <c r="C43684" s="309"/>
      <c r="I43684" s="309"/>
      <c r="J43684" s="309"/>
    </row>
    <row r="43685">
      <c r="B43685" s="309"/>
      <c r="C43685" s="309"/>
      <c r="I43685" s="309"/>
      <c r="J43685" s="309"/>
    </row>
    <row r="43686">
      <c r="B43686" s="309"/>
      <c r="C43686" s="309"/>
      <c r="I43686" s="309"/>
      <c r="J43686" s="309"/>
    </row>
    <row r="43687">
      <c r="B43687" s="309"/>
      <c r="C43687" s="309"/>
      <c r="I43687" s="309"/>
      <c r="J43687" s="309"/>
    </row>
    <row r="43688">
      <c r="B43688" s="309"/>
      <c r="C43688" s="309"/>
      <c r="I43688" s="309"/>
      <c r="J43688" s="309"/>
    </row>
    <row r="43689">
      <c r="B43689" s="309"/>
      <c r="C43689" s="309"/>
      <c r="I43689" s="309"/>
      <c r="J43689" s="309"/>
    </row>
    <row r="43690">
      <c r="B43690" s="309"/>
      <c r="C43690" s="309"/>
      <c r="I43690" s="309"/>
      <c r="J43690" s="309"/>
    </row>
    <row r="43691">
      <c r="B43691" s="309"/>
      <c r="C43691" s="309"/>
      <c r="I43691" s="309"/>
      <c r="J43691" s="309"/>
    </row>
    <row r="43692">
      <c r="B43692" s="309"/>
      <c r="C43692" s="309"/>
      <c r="I43692" s="309"/>
      <c r="J43692" s="309"/>
    </row>
    <row r="43693">
      <c r="B43693" s="309"/>
      <c r="C43693" s="309"/>
      <c r="I43693" s="309"/>
      <c r="J43693" s="309"/>
    </row>
    <row r="43694">
      <c r="B43694" s="309"/>
      <c r="C43694" s="309"/>
      <c r="I43694" s="309"/>
      <c r="J43694" s="309"/>
    </row>
    <row r="43695">
      <c r="B43695" s="309"/>
      <c r="C43695" s="309"/>
      <c r="I43695" s="309"/>
      <c r="J43695" s="309"/>
    </row>
    <row r="43696">
      <c r="B43696" s="309"/>
      <c r="C43696" s="309"/>
      <c r="I43696" s="309"/>
      <c r="J43696" s="309"/>
    </row>
    <row r="43697">
      <c r="B43697" s="309"/>
      <c r="C43697" s="309"/>
      <c r="I43697" s="309"/>
      <c r="J43697" s="309"/>
    </row>
    <row r="43698">
      <c r="B43698" s="309"/>
      <c r="C43698" s="309"/>
      <c r="I43698" s="309"/>
      <c r="J43698" s="309"/>
    </row>
    <row r="43699">
      <c r="B43699" s="309"/>
      <c r="C43699" s="309"/>
      <c r="I43699" s="309"/>
      <c r="J43699" s="309"/>
    </row>
    <row r="43700">
      <c r="B43700" s="309"/>
      <c r="C43700" s="309"/>
      <c r="I43700" s="309"/>
      <c r="J43700" s="309"/>
    </row>
    <row r="43701">
      <c r="B43701" s="309"/>
      <c r="C43701" s="309"/>
      <c r="I43701" s="309"/>
      <c r="J43701" s="309"/>
    </row>
    <row r="43702">
      <c r="B43702" s="309"/>
      <c r="C43702" s="309"/>
      <c r="I43702" s="309"/>
      <c r="J43702" s="309"/>
    </row>
    <row r="43703">
      <c r="B43703" s="309"/>
      <c r="C43703" s="309"/>
      <c r="I43703" s="309"/>
      <c r="J43703" s="309"/>
    </row>
    <row r="43704">
      <c r="B43704" s="309"/>
      <c r="C43704" s="309"/>
      <c r="I43704" s="309"/>
      <c r="J43704" s="309"/>
    </row>
    <row r="43705">
      <c r="B43705" s="309"/>
      <c r="C43705" s="309"/>
      <c r="I43705" s="309"/>
      <c r="J43705" s="309"/>
    </row>
    <row r="43706">
      <c r="B43706" s="309"/>
      <c r="C43706" s="309"/>
      <c r="I43706" s="309"/>
      <c r="J43706" s="309"/>
    </row>
    <row r="43707">
      <c r="B43707" s="309"/>
      <c r="C43707" s="309"/>
      <c r="I43707" s="309"/>
      <c r="J43707" s="309"/>
    </row>
    <row r="43708">
      <c r="B43708" s="309"/>
      <c r="C43708" s="309"/>
      <c r="I43708" s="309"/>
      <c r="J43708" s="309"/>
    </row>
    <row r="43709">
      <c r="B43709" s="309"/>
      <c r="C43709" s="309"/>
      <c r="I43709" s="309"/>
      <c r="J43709" s="309"/>
    </row>
    <row r="43710">
      <c r="B43710" s="309"/>
      <c r="C43710" s="309"/>
      <c r="I43710" s="309"/>
      <c r="J43710" s="309"/>
    </row>
    <row r="43711">
      <c r="B43711" s="309"/>
      <c r="C43711" s="309"/>
      <c r="I43711" s="309"/>
      <c r="J43711" s="309"/>
    </row>
    <row r="43712">
      <c r="B43712" s="309"/>
      <c r="C43712" s="309"/>
      <c r="I43712" s="309"/>
      <c r="J43712" s="309"/>
    </row>
    <row r="43713">
      <c r="B43713" s="309"/>
      <c r="C43713" s="309"/>
      <c r="I43713" s="309"/>
      <c r="J43713" s="309"/>
    </row>
    <row r="43714">
      <c r="B43714" s="309"/>
      <c r="C43714" s="309"/>
      <c r="I43714" s="309"/>
      <c r="J43714" s="309"/>
    </row>
    <row r="43715">
      <c r="B43715" s="309"/>
      <c r="C43715" s="309"/>
      <c r="I43715" s="309"/>
      <c r="J43715" s="309"/>
    </row>
    <row r="43716">
      <c r="B43716" s="309"/>
      <c r="C43716" s="309"/>
      <c r="I43716" s="309"/>
      <c r="J43716" s="309"/>
    </row>
    <row r="43717">
      <c r="B43717" s="309"/>
      <c r="C43717" s="309"/>
      <c r="I43717" s="309"/>
      <c r="J43717" s="309"/>
    </row>
    <row r="43718">
      <c r="B43718" s="309"/>
      <c r="C43718" s="309"/>
      <c r="I43718" s="309"/>
      <c r="J43718" s="309"/>
    </row>
    <row r="43719">
      <c r="B43719" s="309"/>
      <c r="C43719" s="309"/>
      <c r="I43719" s="309"/>
      <c r="J43719" s="309"/>
    </row>
    <row r="43720">
      <c r="B43720" s="309"/>
      <c r="C43720" s="309"/>
      <c r="I43720" s="309"/>
      <c r="J43720" s="309"/>
    </row>
    <row r="43721">
      <c r="B43721" s="309"/>
      <c r="C43721" s="309"/>
      <c r="I43721" s="309"/>
      <c r="J43721" s="309"/>
    </row>
    <row r="43722">
      <c r="B43722" s="309"/>
      <c r="C43722" s="309"/>
      <c r="I43722" s="309"/>
      <c r="J43722" s="309"/>
    </row>
    <row r="43723">
      <c r="B43723" s="309"/>
      <c r="C43723" s="309"/>
      <c r="I43723" s="309"/>
      <c r="J43723" s="309"/>
    </row>
    <row r="43724">
      <c r="B43724" s="309"/>
      <c r="C43724" s="309"/>
      <c r="I43724" s="309"/>
      <c r="J43724" s="309"/>
    </row>
    <row r="43725">
      <c r="B43725" s="309"/>
      <c r="C43725" s="309"/>
      <c r="I43725" s="309"/>
      <c r="J43725" s="309"/>
    </row>
    <row r="43726">
      <c r="B43726" s="309"/>
      <c r="C43726" s="309"/>
      <c r="I43726" s="309"/>
      <c r="J43726" s="309"/>
    </row>
    <row r="43727">
      <c r="B43727" s="309"/>
      <c r="C43727" s="309"/>
      <c r="I43727" s="309"/>
      <c r="J43727" s="309"/>
    </row>
    <row r="43728">
      <c r="B43728" s="309"/>
      <c r="C43728" s="309"/>
      <c r="I43728" s="309"/>
      <c r="J43728" s="309"/>
    </row>
    <row r="43729">
      <c r="B43729" s="309"/>
      <c r="C43729" s="309"/>
      <c r="I43729" s="309"/>
      <c r="J43729" s="309"/>
    </row>
    <row r="43730">
      <c r="B43730" s="309"/>
      <c r="C43730" s="309"/>
      <c r="I43730" s="309"/>
      <c r="J43730" s="309"/>
    </row>
    <row r="43731">
      <c r="B43731" s="309"/>
      <c r="C43731" s="309"/>
      <c r="I43731" s="309"/>
      <c r="J43731" s="309"/>
    </row>
    <row r="43732">
      <c r="B43732" s="309"/>
      <c r="C43732" s="309"/>
      <c r="I43732" s="309"/>
      <c r="J43732" s="309"/>
    </row>
    <row r="43733">
      <c r="B43733" s="309"/>
      <c r="C43733" s="309"/>
      <c r="I43733" s="309"/>
      <c r="J43733" s="309"/>
    </row>
    <row r="43734">
      <c r="B43734" s="309"/>
      <c r="C43734" s="309"/>
      <c r="I43734" s="309"/>
      <c r="J43734" s="309"/>
    </row>
    <row r="43735">
      <c r="B43735" s="309"/>
      <c r="C43735" s="309"/>
      <c r="I43735" s="309"/>
      <c r="J43735" s="309"/>
    </row>
    <row r="43736">
      <c r="B43736" s="309"/>
      <c r="C43736" s="309"/>
      <c r="I43736" s="309"/>
      <c r="J43736" s="309"/>
    </row>
    <row r="43737">
      <c r="B43737" s="309"/>
      <c r="C43737" s="309"/>
      <c r="I43737" s="309"/>
      <c r="J43737" s="309"/>
    </row>
    <row r="43738">
      <c r="B43738" s="309"/>
      <c r="C43738" s="309"/>
      <c r="I43738" s="309"/>
      <c r="J43738" s="309"/>
    </row>
    <row r="43739">
      <c r="B43739" s="309"/>
      <c r="C43739" s="309"/>
      <c r="I43739" s="309"/>
      <c r="J43739" s="309"/>
    </row>
    <row r="43740">
      <c r="B43740" s="309"/>
      <c r="C43740" s="309"/>
      <c r="I43740" s="309"/>
      <c r="J43740" s="309"/>
    </row>
    <row r="43741">
      <c r="B43741" s="309"/>
      <c r="C43741" s="309"/>
      <c r="I43741" s="309"/>
      <c r="J43741" s="309"/>
    </row>
    <row r="43742">
      <c r="B43742" s="309"/>
      <c r="C43742" s="309"/>
      <c r="I43742" s="309"/>
      <c r="J43742" s="309"/>
    </row>
    <row r="43743">
      <c r="B43743" s="309"/>
      <c r="C43743" s="309"/>
      <c r="I43743" s="309"/>
      <c r="J43743" s="309"/>
    </row>
    <row r="43744">
      <c r="B43744" s="309"/>
      <c r="C43744" s="309"/>
      <c r="I43744" s="309"/>
      <c r="J43744" s="309"/>
    </row>
    <row r="43745">
      <c r="B43745" s="309"/>
      <c r="C43745" s="309"/>
      <c r="I43745" s="309"/>
      <c r="J43745" s="309"/>
    </row>
    <row r="43746">
      <c r="B43746" s="309"/>
      <c r="C43746" s="309"/>
      <c r="I43746" s="309"/>
      <c r="J43746" s="309"/>
    </row>
    <row r="43747">
      <c r="B43747" s="309"/>
      <c r="C43747" s="309"/>
      <c r="I43747" s="309"/>
      <c r="J43747" s="309"/>
    </row>
    <row r="43748">
      <c r="B43748" s="309"/>
      <c r="C43748" s="309"/>
      <c r="I43748" s="309"/>
      <c r="J43748" s="309"/>
    </row>
    <row r="43749">
      <c r="B43749" s="309"/>
      <c r="C43749" s="309"/>
      <c r="I43749" s="309"/>
      <c r="J43749" s="309"/>
    </row>
    <row r="43750">
      <c r="B43750" s="309"/>
      <c r="C43750" s="309"/>
      <c r="I43750" s="309"/>
      <c r="J43750" s="309"/>
    </row>
    <row r="43751">
      <c r="B43751" s="309"/>
      <c r="C43751" s="309"/>
      <c r="I43751" s="309"/>
      <c r="J43751" s="309"/>
    </row>
    <row r="43752">
      <c r="B43752" s="309"/>
      <c r="C43752" s="309"/>
      <c r="I43752" s="309"/>
      <c r="J43752" s="309"/>
    </row>
    <row r="43753">
      <c r="B43753" s="309"/>
      <c r="C43753" s="309"/>
      <c r="I43753" s="309"/>
      <c r="J43753" s="309"/>
    </row>
    <row r="43754">
      <c r="B43754" s="309"/>
      <c r="C43754" s="309"/>
      <c r="I43754" s="309"/>
      <c r="J43754" s="309"/>
    </row>
    <row r="43755">
      <c r="B43755" s="309"/>
      <c r="C43755" s="309"/>
      <c r="I43755" s="309"/>
      <c r="J43755" s="309"/>
    </row>
    <row r="43756">
      <c r="B43756" s="309"/>
      <c r="C43756" s="309"/>
      <c r="I43756" s="309"/>
      <c r="J43756" s="309"/>
    </row>
    <row r="43757">
      <c r="B43757" s="309"/>
      <c r="C43757" s="309"/>
      <c r="I43757" s="309"/>
      <c r="J43757" s="309"/>
    </row>
    <row r="43758">
      <c r="B43758" s="309"/>
      <c r="C43758" s="309"/>
      <c r="I43758" s="309"/>
      <c r="J43758" s="309"/>
    </row>
    <row r="43759">
      <c r="B43759" s="309"/>
      <c r="C43759" s="309"/>
      <c r="I43759" s="309"/>
      <c r="J43759" s="309"/>
    </row>
    <row r="43760">
      <c r="B43760" s="309"/>
      <c r="C43760" s="309"/>
      <c r="I43760" s="309"/>
      <c r="J43760" s="309"/>
    </row>
    <row r="43761">
      <c r="B43761" s="309"/>
      <c r="C43761" s="309"/>
      <c r="I43761" s="309"/>
      <c r="J43761" s="309"/>
    </row>
    <row r="43762">
      <c r="B43762" s="309"/>
      <c r="C43762" s="309"/>
      <c r="I43762" s="309"/>
      <c r="J43762" s="309"/>
    </row>
    <row r="43763">
      <c r="B43763" s="309"/>
      <c r="C43763" s="309"/>
      <c r="I43763" s="309"/>
      <c r="J43763" s="309"/>
    </row>
    <row r="43764">
      <c r="B43764" s="309"/>
      <c r="C43764" s="309"/>
      <c r="I43764" s="309"/>
      <c r="J43764" s="309"/>
    </row>
    <row r="43765">
      <c r="B43765" s="309"/>
      <c r="C43765" s="309"/>
      <c r="I43765" s="309"/>
      <c r="J43765" s="309"/>
    </row>
    <row r="43766">
      <c r="B43766" s="309"/>
      <c r="C43766" s="309"/>
      <c r="I43766" s="309"/>
      <c r="J43766" s="309"/>
    </row>
    <row r="43767">
      <c r="B43767" s="309"/>
      <c r="C43767" s="309"/>
      <c r="I43767" s="309"/>
      <c r="J43767" s="309"/>
    </row>
    <row r="43768">
      <c r="B43768" s="309"/>
      <c r="C43768" s="309"/>
      <c r="I43768" s="309"/>
      <c r="J43768" s="309"/>
    </row>
    <row r="43769">
      <c r="B43769" s="309"/>
      <c r="C43769" s="309"/>
      <c r="I43769" s="309"/>
      <c r="J43769" s="309"/>
    </row>
    <row r="43770">
      <c r="B43770" s="309"/>
      <c r="C43770" s="309"/>
      <c r="I43770" s="309"/>
      <c r="J43770" s="309"/>
    </row>
    <row r="43771">
      <c r="B43771" s="309"/>
      <c r="C43771" s="309"/>
      <c r="I43771" s="309"/>
      <c r="J43771" s="309"/>
    </row>
    <row r="43772">
      <c r="B43772" s="309"/>
      <c r="C43772" s="309"/>
      <c r="I43772" s="309"/>
      <c r="J43772" s="309"/>
    </row>
    <row r="43773">
      <c r="B43773" s="309"/>
      <c r="C43773" s="309"/>
      <c r="I43773" s="309"/>
      <c r="J43773" s="309"/>
    </row>
    <row r="43774">
      <c r="B43774" s="309"/>
      <c r="C43774" s="309"/>
      <c r="I43774" s="309"/>
      <c r="J43774" s="309"/>
    </row>
    <row r="43775">
      <c r="B43775" s="309"/>
      <c r="C43775" s="309"/>
      <c r="I43775" s="309"/>
      <c r="J43775" s="309"/>
    </row>
    <row r="43776">
      <c r="B43776" s="309"/>
      <c r="C43776" s="309"/>
      <c r="I43776" s="309"/>
      <c r="J43776" s="309"/>
    </row>
    <row r="43777">
      <c r="B43777" s="309"/>
      <c r="C43777" s="309"/>
      <c r="I43777" s="309"/>
      <c r="J43777" s="309"/>
    </row>
    <row r="43778">
      <c r="B43778" s="309"/>
      <c r="C43778" s="309"/>
      <c r="I43778" s="309"/>
      <c r="J43778" s="309"/>
    </row>
    <row r="43779">
      <c r="B43779" s="309"/>
      <c r="C43779" s="309"/>
      <c r="I43779" s="309"/>
      <c r="J43779" s="309"/>
    </row>
    <row r="43780">
      <c r="B43780" s="309"/>
      <c r="C43780" s="309"/>
      <c r="I43780" s="309"/>
      <c r="J43780" s="309"/>
    </row>
    <row r="43781">
      <c r="B43781" s="309"/>
      <c r="C43781" s="309"/>
      <c r="I43781" s="309"/>
      <c r="J43781" s="309"/>
    </row>
    <row r="43782">
      <c r="B43782" s="309"/>
      <c r="C43782" s="309"/>
      <c r="I43782" s="309"/>
      <c r="J43782" s="309"/>
    </row>
    <row r="43783">
      <c r="B43783" s="309"/>
      <c r="C43783" s="309"/>
      <c r="I43783" s="309"/>
      <c r="J43783" s="309"/>
    </row>
    <row r="43784">
      <c r="B43784" s="309"/>
      <c r="C43784" s="309"/>
      <c r="I43784" s="309"/>
      <c r="J43784" s="309"/>
    </row>
    <row r="43785">
      <c r="B43785" s="309"/>
      <c r="C43785" s="309"/>
      <c r="I43785" s="309"/>
      <c r="J43785" s="309"/>
    </row>
    <row r="43786">
      <c r="B43786" s="309"/>
      <c r="C43786" s="309"/>
      <c r="I43786" s="309"/>
      <c r="J43786" s="309"/>
    </row>
    <row r="43787">
      <c r="B43787" s="309"/>
      <c r="C43787" s="309"/>
      <c r="I43787" s="309"/>
      <c r="J43787" s="309"/>
    </row>
    <row r="43788">
      <c r="B43788" s="309"/>
      <c r="C43788" s="309"/>
      <c r="I43788" s="309"/>
      <c r="J43788" s="309"/>
    </row>
    <row r="43789">
      <c r="B43789" s="309"/>
      <c r="C43789" s="309"/>
      <c r="I43789" s="309"/>
      <c r="J43789" s="309"/>
    </row>
    <row r="43790">
      <c r="B43790" s="309"/>
      <c r="C43790" s="309"/>
      <c r="I43790" s="309"/>
      <c r="J43790" s="309"/>
    </row>
    <row r="43791">
      <c r="B43791" s="309"/>
      <c r="C43791" s="309"/>
      <c r="I43791" s="309"/>
      <c r="J43791" s="309"/>
    </row>
    <row r="43792">
      <c r="B43792" s="309"/>
      <c r="C43792" s="309"/>
      <c r="I43792" s="309"/>
      <c r="J43792" s="309"/>
    </row>
    <row r="43793">
      <c r="B43793" s="309"/>
      <c r="C43793" s="309"/>
      <c r="I43793" s="309"/>
      <c r="J43793" s="309"/>
    </row>
    <row r="43794">
      <c r="B43794" s="309"/>
      <c r="C43794" s="309"/>
      <c r="I43794" s="309"/>
      <c r="J43794" s="309"/>
    </row>
    <row r="43795">
      <c r="B43795" s="309"/>
      <c r="C43795" s="309"/>
      <c r="I43795" s="309"/>
      <c r="J43795" s="309"/>
    </row>
    <row r="43796">
      <c r="B43796" s="309"/>
      <c r="C43796" s="309"/>
      <c r="I43796" s="309"/>
      <c r="J43796" s="309"/>
    </row>
    <row r="43797">
      <c r="B43797" s="309"/>
      <c r="C43797" s="309"/>
      <c r="I43797" s="309"/>
      <c r="J43797" s="309"/>
    </row>
    <row r="43798">
      <c r="B43798" s="309"/>
      <c r="C43798" s="309"/>
      <c r="I43798" s="309"/>
      <c r="J43798" s="309"/>
    </row>
    <row r="43799">
      <c r="B43799" s="309"/>
      <c r="C43799" s="309"/>
      <c r="I43799" s="309"/>
      <c r="J43799" s="309"/>
    </row>
    <row r="43800">
      <c r="B43800" s="309"/>
      <c r="C43800" s="309"/>
      <c r="I43800" s="309"/>
      <c r="J43800" s="309"/>
    </row>
    <row r="43801">
      <c r="B43801" s="309"/>
      <c r="C43801" s="309"/>
      <c r="I43801" s="309"/>
      <c r="J43801" s="309"/>
    </row>
    <row r="43802">
      <c r="B43802" s="309"/>
      <c r="C43802" s="309"/>
      <c r="I43802" s="309"/>
      <c r="J43802" s="309"/>
    </row>
    <row r="43803">
      <c r="B43803" s="309"/>
      <c r="C43803" s="309"/>
      <c r="I43803" s="309"/>
      <c r="J43803" s="309"/>
    </row>
    <row r="43804">
      <c r="B43804" s="309"/>
      <c r="C43804" s="309"/>
      <c r="I43804" s="309"/>
      <c r="J43804" s="309"/>
    </row>
    <row r="43805">
      <c r="B43805" s="309"/>
      <c r="C43805" s="309"/>
      <c r="I43805" s="309"/>
      <c r="J43805" s="309"/>
    </row>
    <row r="43806">
      <c r="B43806" s="309"/>
      <c r="C43806" s="309"/>
      <c r="I43806" s="309"/>
      <c r="J43806" s="309"/>
    </row>
    <row r="43807">
      <c r="B43807" s="309"/>
      <c r="C43807" s="309"/>
      <c r="I43807" s="309"/>
      <c r="J43807" s="309"/>
    </row>
    <row r="43808">
      <c r="B43808" s="309"/>
      <c r="C43808" s="309"/>
      <c r="I43808" s="309"/>
      <c r="J43808" s="309"/>
    </row>
    <row r="43809">
      <c r="B43809" s="309"/>
      <c r="C43809" s="309"/>
      <c r="I43809" s="309"/>
      <c r="J43809" s="309"/>
    </row>
    <row r="43810">
      <c r="B43810" s="309"/>
      <c r="C43810" s="309"/>
      <c r="I43810" s="309"/>
      <c r="J43810" s="309"/>
    </row>
    <row r="43811">
      <c r="B43811" s="309"/>
      <c r="C43811" s="309"/>
      <c r="I43811" s="309"/>
      <c r="J43811" s="309"/>
    </row>
    <row r="43812">
      <c r="B43812" s="309"/>
      <c r="C43812" s="309"/>
      <c r="I43812" s="309"/>
      <c r="J43812" s="309"/>
    </row>
    <row r="43813">
      <c r="B43813" s="309"/>
      <c r="C43813" s="309"/>
      <c r="I43813" s="309"/>
      <c r="J43813" s="309"/>
    </row>
    <row r="43814">
      <c r="B43814" s="309"/>
      <c r="C43814" s="309"/>
      <c r="I43814" s="309"/>
      <c r="J43814" s="309"/>
    </row>
    <row r="43815">
      <c r="B43815" s="309"/>
      <c r="C43815" s="309"/>
      <c r="I43815" s="309"/>
      <c r="J43815" s="309"/>
    </row>
    <row r="43816">
      <c r="B43816" s="309"/>
      <c r="C43816" s="309"/>
      <c r="I43816" s="309"/>
      <c r="J43816" s="309"/>
    </row>
    <row r="43817">
      <c r="B43817" s="309"/>
      <c r="C43817" s="309"/>
      <c r="I43817" s="309"/>
      <c r="J43817" s="309"/>
    </row>
    <row r="43818">
      <c r="B43818" s="309"/>
      <c r="C43818" s="309"/>
      <c r="I43818" s="309"/>
      <c r="J43818" s="309"/>
    </row>
    <row r="43819">
      <c r="B43819" s="309"/>
      <c r="C43819" s="309"/>
      <c r="I43819" s="309"/>
      <c r="J43819" s="309"/>
    </row>
    <row r="43820">
      <c r="B43820" s="309"/>
      <c r="C43820" s="309"/>
      <c r="I43820" s="309"/>
      <c r="J43820" s="309"/>
    </row>
    <row r="43821">
      <c r="B43821" s="309"/>
      <c r="C43821" s="309"/>
      <c r="I43821" s="309"/>
      <c r="J43821" s="309"/>
    </row>
    <row r="43822">
      <c r="B43822" s="309"/>
      <c r="C43822" s="309"/>
      <c r="I43822" s="309"/>
      <c r="J43822" s="309"/>
    </row>
    <row r="43823">
      <c r="B43823" s="309"/>
      <c r="C43823" s="309"/>
      <c r="I43823" s="309"/>
      <c r="J43823" s="309"/>
    </row>
    <row r="43824">
      <c r="B43824" s="309"/>
      <c r="C43824" s="309"/>
      <c r="I43824" s="309"/>
      <c r="J43824" s="309"/>
    </row>
    <row r="43825">
      <c r="B43825" s="309"/>
      <c r="C43825" s="309"/>
      <c r="I43825" s="309"/>
      <c r="J43825" s="309"/>
    </row>
    <row r="43826">
      <c r="B43826" s="309"/>
      <c r="C43826" s="309"/>
      <c r="I43826" s="309"/>
      <c r="J43826" s="309"/>
    </row>
    <row r="43827">
      <c r="B43827" s="309"/>
      <c r="C43827" s="309"/>
      <c r="I43827" s="309"/>
      <c r="J43827" s="309"/>
    </row>
    <row r="43828">
      <c r="B43828" s="309"/>
      <c r="C43828" s="309"/>
      <c r="I43828" s="309"/>
      <c r="J43828" s="309"/>
    </row>
    <row r="43829">
      <c r="B43829" s="309"/>
      <c r="C43829" s="309"/>
      <c r="I43829" s="309"/>
      <c r="J43829" s="309"/>
    </row>
    <row r="43830">
      <c r="B43830" s="309"/>
      <c r="C43830" s="309"/>
      <c r="I43830" s="309"/>
      <c r="J43830" s="309"/>
    </row>
    <row r="43831">
      <c r="B43831" s="309"/>
      <c r="C43831" s="309"/>
      <c r="I43831" s="309"/>
      <c r="J43831" s="309"/>
    </row>
    <row r="43832">
      <c r="B43832" s="309"/>
      <c r="C43832" s="309"/>
      <c r="I43832" s="309"/>
      <c r="J43832" s="309"/>
    </row>
    <row r="43833">
      <c r="B43833" s="309"/>
      <c r="C43833" s="309"/>
      <c r="I43833" s="309"/>
      <c r="J43833" s="309"/>
    </row>
    <row r="43834">
      <c r="B43834" s="309"/>
      <c r="C43834" s="309"/>
      <c r="I43834" s="309"/>
      <c r="J43834" s="309"/>
    </row>
    <row r="43835">
      <c r="B43835" s="309"/>
      <c r="C43835" s="309"/>
      <c r="I43835" s="309"/>
      <c r="J43835" s="309"/>
    </row>
    <row r="43836">
      <c r="B43836" s="309"/>
      <c r="C43836" s="309"/>
      <c r="I43836" s="309"/>
      <c r="J43836" s="309"/>
    </row>
    <row r="43837">
      <c r="B43837" s="309"/>
      <c r="C43837" s="309"/>
      <c r="I43837" s="309"/>
      <c r="J43837" s="309"/>
    </row>
    <row r="43838">
      <c r="B43838" s="309"/>
      <c r="C43838" s="309"/>
      <c r="I43838" s="309"/>
      <c r="J43838" s="309"/>
    </row>
    <row r="43839">
      <c r="B43839" s="309"/>
      <c r="C43839" s="309"/>
      <c r="I43839" s="309"/>
      <c r="J43839" s="309"/>
    </row>
    <row r="43840">
      <c r="B43840" s="309"/>
      <c r="C43840" s="309"/>
      <c r="I43840" s="309"/>
      <c r="J43840" s="309"/>
    </row>
    <row r="43841">
      <c r="B43841" s="309"/>
      <c r="C43841" s="309"/>
      <c r="I43841" s="309"/>
      <c r="J43841" s="309"/>
    </row>
    <row r="43842">
      <c r="B43842" s="309"/>
      <c r="C43842" s="309"/>
      <c r="I43842" s="309"/>
      <c r="J43842" s="309"/>
    </row>
    <row r="43843">
      <c r="B43843" s="309"/>
      <c r="C43843" s="309"/>
      <c r="I43843" s="309"/>
      <c r="J43843" s="309"/>
    </row>
    <row r="43844">
      <c r="B43844" s="309"/>
      <c r="C43844" s="309"/>
      <c r="I43844" s="309"/>
      <c r="J43844" s="309"/>
    </row>
    <row r="43845">
      <c r="B43845" s="309"/>
      <c r="C43845" s="309"/>
      <c r="I43845" s="309"/>
      <c r="J43845" s="309"/>
    </row>
    <row r="43846">
      <c r="B43846" s="309"/>
      <c r="C43846" s="309"/>
      <c r="I43846" s="309"/>
      <c r="J43846" s="309"/>
    </row>
    <row r="43847">
      <c r="B43847" s="309"/>
      <c r="C43847" s="309"/>
      <c r="I43847" s="309"/>
      <c r="J43847" s="309"/>
    </row>
    <row r="43848">
      <c r="B43848" s="309"/>
      <c r="C43848" s="309"/>
      <c r="I43848" s="309"/>
      <c r="J43848" s="309"/>
    </row>
    <row r="43849">
      <c r="B43849" s="309"/>
      <c r="C43849" s="309"/>
      <c r="I43849" s="309"/>
      <c r="J43849" s="309"/>
    </row>
    <row r="43850">
      <c r="B43850" s="309"/>
      <c r="C43850" s="309"/>
      <c r="I43850" s="309"/>
      <c r="J43850" s="309"/>
    </row>
    <row r="43851">
      <c r="B43851" s="309"/>
      <c r="C43851" s="309"/>
      <c r="I43851" s="309"/>
      <c r="J43851" s="309"/>
    </row>
    <row r="43852">
      <c r="B43852" s="309"/>
      <c r="C43852" s="309"/>
      <c r="I43852" s="309"/>
      <c r="J43852" s="309"/>
    </row>
    <row r="43853">
      <c r="B43853" s="309"/>
      <c r="C43853" s="309"/>
      <c r="I43853" s="309"/>
      <c r="J43853" s="309"/>
    </row>
    <row r="43854">
      <c r="B43854" s="309"/>
      <c r="C43854" s="309"/>
      <c r="I43854" s="309"/>
      <c r="J43854" s="309"/>
    </row>
    <row r="43855">
      <c r="B43855" s="309"/>
      <c r="C43855" s="309"/>
      <c r="I43855" s="309"/>
      <c r="J43855" s="309"/>
    </row>
    <row r="43856">
      <c r="B43856" s="309"/>
      <c r="C43856" s="309"/>
      <c r="I43856" s="309"/>
      <c r="J43856" s="309"/>
    </row>
    <row r="43857">
      <c r="B43857" s="309"/>
      <c r="C43857" s="309"/>
      <c r="I43857" s="309"/>
      <c r="J43857" s="309"/>
    </row>
    <row r="43858">
      <c r="B43858" s="309"/>
      <c r="C43858" s="309"/>
      <c r="I43858" s="309"/>
      <c r="J43858" s="309"/>
    </row>
    <row r="43859">
      <c r="B43859" s="309"/>
      <c r="C43859" s="309"/>
      <c r="I43859" s="309"/>
      <c r="J43859" s="309"/>
    </row>
    <row r="43860">
      <c r="B43860" s="309"/>
      <c r="C43860" s="309"/>
      <c r="I43860" s="309"/>
      <c r="J43860" s="309"/>
    </row>
    <row r="43861">
      <c r="B43861" s="309"/>
      <c r="C43861" s="309"/>
      <c r="I43861" s="309"/>
      <c r="J43861" s="309"/>
    </row>
    <row r="43862">
      <c r="B43862" s="309"/>
      <c r="C43862" s="309"/>
      <c r="I43862" s="309"/>
      <c r="J43862" s="309"/>
    </row>
    <row r="43863">
      <c r="B43863" s="309"/>
      <c r="C43863" s="309"/>
      <c r="I43863" s="309"/>
      <c r="J43863" s="309"/>
    </row>
    <row r="43864">
      <c r="B43864" s="309"/>
      <c r="C43864" s="309"/>
      <c r="I43864" s="309"/>
      <c r="J43864" s="309"/>
    </row>
    <row r="43865">
      <c r="B43865" s="309"/>
      <c r="C43865" s="309"/>
      <c r="I43865" s="309"/>
      <c r="J43865" s="309"/>
    </row>
    <row r="43866">
      <c r="B43866" s="309"/>
      <c r="C43866" s="309"/>
      <c r="I43866" s="309"/>
      <c r="J43866" s="309"/>
    </row>
    <row r="43867">
      <c r="B43867" s="309"/>
      <c r="C43867" s="309"/>
      <c r="I43867" s="309"/>
      <c r="J43867" s="309"/>
    </row>
    <row r="43868">
      <c r="B43868" s="309"/>
      <c r="C43868" s="309"/>
      <c r="I43868" s="309"/>
      <c r="J43868" s="309"/>
    </row>
    <row r="43869">
      <c r="B43869" s="309"/>
      <c r="C43869" s="309"/>
      <c r="I43869" s="309"/>
      <c r="J43869" s="309"/>
    </row>
    <row r="43870">
      <c r="B43870" s="309"/>
      <c r="C43870" s="309"/>
      <c r="I43870" s="309"/>
      <c r="J43870" s="309"/>
    </row>
    <row r="43871">
      <c r="B43871" s="309"/>
      <c r="C43871" s="309"/>
      <c r="I43871" s="309"/>
      <c r="J43871" s="309"/>
    </row>
    <row r="43872">
      <c r="B43872" s="309"/>
      <c r="C43872" s="309"/>
      <c r="I43872" s="309"/>
      <c r="J43872" s="309"/>
    </row>
    <row r="43873">
      <c r="B43873" s="309"/>
      <c r="C43873" s="309"/>
      <c r="I43873" s="309"/>
      <c r="J43873" s="309"/>
    </row>
    <row r="43874">
      <c r="B43874" s="309"/>
      <c r="C43874" s="309"/>
      <c r="I43874" s="309"/>
      <c r="J43874" s="309"/>
    </row>
    <row r="43875">
      <c r="B43875" s="309"/>
      <c r="C43875" s="309"/>
      <c r="I43875" s="309"/>
      <c r="J43875" s="309"/>
    </row>
    <row r="43876">
      <c r="B43876" s="309"/>
      <c r="C43876" s="309"/>
      <c r="I43876" s="309"/>
      <c r="J43876" s="309"/>
    </row>
    <row r="43877">
      <c r="B43877" s="309"/>
      <c r="C43877" s="309"/>
      <c r="I43877" s="309"/>
      <c r="J43877" s="309"/>
    </row>
    <row r="43878">
      <c r="B43878" s="309"/>
      <c r="C43878" s="309"/>
      <c r="I43878" s="309"/>
      <c r="J43878" s="309"/>
    </row>
    <row r="43879">
      <c r="B43879" s="309"/>
      <c r="C43879" s="309"/>
      <c r="I43879" s="309"/>
      <c r="J43879" s="309"/>
    </row>
    <row r="43880">
      <c r="B43880" s="309"/>
      <c r="C43880" s="309"/>
      <c r="I43880" s="309"/>
      <c r="J43880" s="309"/>
    </row>
    <row r="43881">
      <c r="B43881" s="309"/>
      <c r="C43881" s="309"/>
      <c r="I43881" s="309"/>
      <c r="J43881" s="309"/>
    </row>
    <row r="43882">
      <c r="B43882" s="309"/>
      <c r="C43882" s="309"/>
      <c r="I43882" s="309"/>
      <c r="J43882" s="309"/>
    </row>
    <row r="43883">
      <c r="B43883" s="309"/>
      <c r="C43883" s="309"/>
      <c r="I43883" s="309"/>
      <c r="J43883" s="309"/>
    </row>
    <row r="43884">
      <c r="B43884" s="309"/>
      <c r="C43884" s="309"/>
      <c r="I43884" s="309"/>
      <c r="J43884" s="309"/>
    </row>
    <row r="43885">
      <c r="B43885" s="309"/>
      <c r="C43885" s="309"/>
      <c r="I43885" s="309"/>
      <c r="J43885" s="309"/>
    </row>
    <row r="43886">
      <c r="B43886" s="309"/>
      <c r="C43886" s="309"/>
      <c r="I43886" s="309"/>
      <c r="J43886" s="309"/>
    </row>
    <row r="43887">
      <c r="B43887" s="309"/>
      <c r="C43887" s="309"/>
      <c r="I43887" s="309"/>
      <c r="J43887" s="309"/>
    </row>
    <row r="43888">
      <c r="B43888" s="309"/>
      <c r="C43888" s="309"/>
      <c r="I43888" s="309"/>
      <c r="J43888" s="309"/>
    </row>
    <row r="43889">
      <c r="B43889" s="309"/>
      <c r="C43889" s="309"/>
      <c r="I43889" s="309"/>
      <c r="J43889" s="309"/>
    </row>
    <row r="43890">
      <c r="B43890" s="309"/>
      <c r="C43890" s="309"/>
      <c r="I43890" s="309"/>
      <c r="J43890" s="309"/>
    </row>
    <row r="43891">
      <c r="B43891" s="309"/>
      <c r="C43891" s="309"/>
      <c r="I43891" s="309"/>
      <c r="J43891" s="309"/>
    </row>
    <row r="43892">
      <c r="B43892" s="309"/>
      <c r="C43892" s="309"/>
      <c r="I43892" s="309"/>
      <c r="J43892" s="309"/>
    </row>
    <row r="43893">
      <c r="B43893" s="309"/>
      <c r="C43893" s="309"/>
      <c r="I43893" s="309"/>
      <c r="J43893" s="309"/>
    </row>
    <row r="43894">
      <c r="B43894" s="309"/>
      <c r="C43894" s="309"/>
      <c r="I43894" s="309"/>
      <c r="J43894" s="309"/>
    </row>
    <row r="43895">
      <c r="B43895" s="309"/>
      <c r="C43895" s="309"/>
      <c r="I43895" s="309"/>
      <c r="J43895" s="309"/>
    </row>
    <row r="43896">
      <c r="B43896" s="309"/>
      <c r="C43896" s="309"/>
      <c r="I43896" s="309"/>
      <c r="J43896" s="309"/>
    </row>
    <row r="43897">
      <c r="B43897" s="309"/>
      <c r="C43897" s="309"/>
      <c r="I43897" s="309"/>
      <c r="J43897" s="309"/>
    </row>
    <row r="43898">
      <c r="B43898" s="309"/>
      <c r="C43898" s="309"/>
      <c r="I43898" s="309"/>
      <c r="J43898" s="309"/>
    </row>
    <row r="43899">
      <c r="B43899" s="309"/>
      <c r="C43899" s="309"/>
      <c r="I43899" s="309"/>
      <c r="J43899" s="309"/>
    </row>
    <row r="43900">
      <c r="B43900" s="309"/>
      <c r="C43900" s="309"/>
      <c r="I43900" s="309"/>
      <c r="J43900" s="309"/>
    </row>
    <row r="43901">
      <c r="B43901" s="309"/>
      <c r="C43901" s="309"/>
      <c r="I43901" s="309"/>
      <c r="J43901" s="309"/>
    </row>
    <row r="43902">
      <c r="B43902" s="309"/>
      <c r="C43902" s="309"/>
      <c r="I43902" s="309"/>
      <c r="J43902" s="309"/>
    </row>
    <row r="43903">
      <c r="B43903" s="309"/>
      <c r="C43903" s="309"/>
      <c r="I43903" s="309"/>
      <c r="J43903" s="309"/>
    </row>
    <row r="43904">
      <c r="B43904" s="309"/>
      <c r="C43904" s="309"/>
      <c r="I43904" s="309"/>
      <c r="J43904" s="309"/>
    </row>
    <row r="43905">
      <c r="B43905" s="309"/>
      <c r="C43905" s="309"/>
      <c r="I43905" s="309"/>
      <c r="J43905" s="309"/>
    </row>
    <row r="43906">
      <c r="B43906" s="309"/>
      <c r="C43906" s="309"/>
      <c r="I43906" s="309"/>
      <c r="J43906" s="309"/>
    </row>
    <row r="43907">
      <c r="B43907" s="309"/>
      <c r="C43907" s="309"/>
      <c r="I43907" s="309"/>
      <c r="J43907" s="309"/>
    </row>
    <row r="43908">
      <c r="B43908" s="309"/>
      <c r="C43908" s="309"/>
      <c r="I43908" s="309"/>
      <c r="J43908" s="309"/>
    </row>
    <row r="43909">
      <c r="B43909" s="309"/>
      <c r="C43909" s="309"/>
      <c r="I43909" s="309"/>
      <c r="J43909" s="309"/>
    </row>
    <row r="43910">
      <c r="B43910" s="309"/>
      <c r="C43910" s="309"/>
      <c r="I43910" s="309"/>
      <c r="J43910" s="309"/>
    </row>
    <row r="43911">
      <c r="B43911" s="309"/>
      <c r="C43911" s="309"/>
      <c r="I43911" s="309"/>
      <c r="J43911" s="309"/>
    </row>
    <row r="43912">
      <c r="B43912" s="309"/>
      <c r="C43912" s="309"/>
      <c r="I43912" s="309"/>
      <c r="J43912" s="309"/>
    </row>
    <row r="43913">
      <c r="B43913" s="309"/>
      <c r="C43913" s="309"/>
      <c r="I43913" s="309"/>
      <c r="J43913" s="309"/>
    </row>
    <row r="43914">
      <c r="B43914" s="309"/>
      <c r="C43914" s="309"/>
      <c r="I43914" s="309"/>
      <c r="J43914" s="309"/>
    </row>
    <row r="43915">
      <c r="B43915" s="309"/>
      <c r="C43915" s="309"/>
      <c r="I43915" s="309"/>
      <c r="J43915" s="309"/>
    </row>
    <row r="43916">
      <c r="B43916" s="309"/>
      <c r="C43916" s="309"/>
      <c r="I43916" s="309"/>
      <c r="J43916" s="309"/>
    </row>
    <row r="43917">
      <c r="B43917" s="309"/>
      <c r="C43917" s="309"/>
      <c r="I43917" s="309"/>
      <c r="J43917" s="309"/>
    </row>
    <row r="43918">
      <c r="B43918" s="309"/>
      <c r="C43918" s="309"/>
      <c r="I43918" s="309"/>
      <c r="J43918" s="309"/>
    </row>
    <row r="43919">
      <c r="B43919" s="309"/>
      <c r="C43919" s="309"/>
      <c r="I43919" s="309"/>
      <c r="J43919" s="309"/>
    </row>
    <row r="43920">
      <c r="B43920" s="309"/>
      <c r="C43920" s="309"/>
      <c r="I43920" s="309"/>
      <c r="J43920" s="309"/>
    </row>
    <row r="43921">
      <c r="B43921" s="309"/>
      <c r="C43921" s="309"/>
      <c r="I43921" s="309"/>
      <c r="J43921" s="309"/>
    </row>
    <row r="43922">
      <c r="B43922" s="309"/>
      <c r="C43922" s="309"/>
      <c r="I43922" s="309"/>
      <c r="J43922" s="309"/>
    </row>
    <row r="43923">
      <c r="B43923" s="309"/>
      <c r="C43923" s="309"/>
      <c r="I43923" s="309"/>
      <c r="J43923" s="309"/>
    </row>
    <row r="43924">
      <c r="B43924" s="309"/>
      <c r="C43924" s="309"/>
      <c r="I43924" s="309"/>
      <c r="J43924" s="309"/>
    </row>
    <row r="43925">
      <c r="B43925" s="309"/>
      <c r="C43925" s="309"/>
      <c r="I43925" s="309"/>
      <c r="J43925" s="309"/>
    </row>
    <row r="43926">
      <c r="B43926" s="309"/>
      <c r="C43926" s="309"/>
      <c r="I43926" s="309"/>
      <c r="J43926" s="309"/>
    </row>
    <row r="43927">
      <c r="B43927" s="309"/>
      <c r="C43927" s="309"/>
      <c r="I43927" s="309"/>
      <c r="J43927" s="309"/>
    </row>
    <row r="43928">
      <c r="B43928" s="309"/>
      <c r="C43928" s="309"/>
      <c r="I43928" s="309"/>
      <c r="J43928" s="309"/>
    </row>
    <row r="43929">
      <c r="B43929" s="309"/>
      <c r="C43929" s="309"/>
      <c r="I43929" s="309"/>
      <c r="J43929" s="309"/>
    </row>
    <row r="43930">
      <c r="B43930" s="309"/>
      <c r="C43930" s="309"/>
      <c r="I43930" s="309"/>
      <c r="J43930" s="309"/>
    </row>
    <row r="43931">
      <c r="B43931" s="309"/>
      <c r="C43931" s="309"/>
      <c r="I43931" s="309"/>
      <c r="J43931" s="309"/>
    </row>
    <row r="43932">
      <c r="B43932" s="309"/>
      <c r="C43932" s="309"/>
      <c r="I43932" s="309"/>
      <c r="J43932" s="309"/>
    </row>
    <row r="43933">
      <c r="B43933" s="309"/>
      <c r="C43933" s="309"/>
      <c r="I43933" s="309"/>
      <c r="J43933" s="309"/>
    </row>
    <row r="43934">
      <c r="B43934" s="309"/>
      <c r="C43934" s="309"/>
      <c r="I43934" s="309"/>
      <c r="J43934" s="309"/>
    </row>
    <row r="43935">
      <c r="B43935" s="309"/>
      <c r="C43935" s="309"/>
      <c r="I43935" s="309"/>
      <c r="J43935" s="309"/>
    </row>
    <row r="43936">
      <c r="B43936" s="309"/>
      <c r="C43936" s="309"/>
      <c r="I43936" s="309"/>
      <c r="J43936" s="309"/>
    </row>
    <row r="43937">
      <c r="B43937" s="309"/>
      <c r="C43937" s="309"/>
      <c r="I43937" s="309"/>
      <c r="J43937" s="309"/>
    </row>
    <row r="43938">
      <c r="B43938" s="309"/>
      <c r="C43938" s="309"/>
      <c r="I43938" s="309"/>
      <c r="J43938" s="309"/>
    </row>
    <row r="43939">
      <c r="B43939" s="309"/>
      <c r="C43939" s="309"/>
      <c r="I43939" s="309"/>
      <c r="J43939" s="309"/>
    </row>
    <row r="43940">
      <c r="B43940" s="309"/>
      <c r="C43940" s="309"/>
      <c r="I43940" s="309"/>
      <c r="J43940" s="309"/>
    </row>
    <row r="43941">
      <c r="B43941" s="309"/>
      <c r="C43941" s="309"/>
      <c r="I43941" s="309"/>
      <c r="J43941" s="309"/>
    </row>
    <row r="43942">
      <c r="B43942" s="309"/>
      <c r="C43942" s="309"/>
      <c r="I43942" s="309"/>
      <c r="J43942" s="309"/>
    </row>
    <row r="43943">
      <c r="B43943" s="309"/>
      <c r="C43943" s="309"/>
      <c r="I43943" s="309"/>
      <c r="J43943" s="309"/>
    </row>
    <row r="43944">
      <c r="B43944" s="309"/>
      <c r="C43944" s="309"/>
      <c r="I43944" s="309"/>
      <c r="J43944" s="309"/>
    </row>
    <row r="43945">
      <c r="B43945" s="309"/>
      <c r="C43945" s="309"/>
      <c r="I43945" s="309"/>
      <c r="J43945" s="309"/>
    </row>
    <row r="43946">
      <c r="B43946" s="309"/>
      <c r="C43946" s="309"/>
      <c r="I43946" s="309"/>
      <c r="J43946" s="309"/>
    </row>
    <row r="43947">
      <c r="B43947" s="309"/>
      <c r="C43947" s="309"/>
      <c r="I43947" s="309"/>
      <c r="J43947" s="309"/>
    </row>
    <row r="43948">
      <c r="B43948" s="309"/>
      <c r="C43948" s="309"/>
      <c r="I43948" s="309"/>
      <c r="J43948" s="309"/>
    </row>
    <row r="43949">
      <c r="B43949" s="309"/>
      <c r="C43949" s="309"/>
      <c r="I43949" s="309"/>
      <c r="J43949" s="309"/>
    </row>
    <row r="43950">
      <c r="B43950" s="309"/>
      <c r="C43950" s="309"/>
      <c r="I43950" s="309"/>
      <c r="J43950" s="309"/>
    </row>
    <row r="43951">
      <c r="B43951" s="309"/>
      <c r="C43951" s="309"/>
      <c r="I43951" s="309"/>
      <c r="J43951" s="309"/>
    </row>
    <row r="43952">
      <c r="B43952" s="309"/>
      <c r="C43952" s="309"/>
      <c r="I43952" s="309"/>
      <c r="J43952" s="309"/>
    </row>
    <row r="43953">
      <c r="B43953" s="309"/>
      <c r="C43953" s="309"/>
      <c r="I43953" s="309"/>
      <c r="J43953" s="309"/>
    </row>
    <row r="43954">
      <c r="B43954" s="309"/>
      <c r="C43954" s="309"/>
      <c r="I43954" s="309"/>
      <c r="J43954" s="309"/>
    </row>
    <row r="43955">
      <c r="B43955" s="309"/>
      <c r="C43955" s="309"/>
      <c r="I43955" s="309"/>
      <c r="J43955" s="309"/>
    </row>
    <row r="43956">
      <c r="B43956" s="309"/>
      <c r="C43956" s="309"/>
      <c r="I43956" s="309"/>
      <c r="J43956" s="309"/>
    </row>
    <row r="43957">
      <c r="B43957" s="309"/>
      <c r="C43957" s="309"/>
      <c r="I43957" s="309"/>
      <c r="J43957" s="309"/>
    </row>
    <row r="43958">
      <c r="B43958" s="309"/>
      <c r="C43958" s="309"/>
      <c r="I43958" s="309"/>
      <c r="J43958" s="309"/>
    </row>
    <row r="43959">
      <c r="B43959" s="309"/>
      <c r="C43959" s="309"/>
      <c r="I43959" s="309"/>
      <c r="J43959" s="309"/>
    </row>
    <row r="43960">
      <c r="B43960" s="309"/>
      <c r="C43960" s="309"/>
      <c r="I43960" s="309"/>
      <c r="J43960" s="309"/>
    </row>
    <row r="43961">
      <c r="B43961" s="309"/>
      <c r="C43961" s="309"/>
      <c r="I43961" s="309"/>
      <c r="J43961" s="309"/>
    </row>
    <row r="43962">
      <c r="B43962" s="309"/>
      <c r="C43962" s="309"/>
      <c r="I43962" s="309"/>
      <c r="J43962" s="309"/>
    </row>
    <row r="43963">
      <c r="B43963" s="309"/>
      <c r="C43963" s="309"/>
      <c r="I43963" s="309"/>
      <c r="J43963" s="309"/>
    </row>
    <row r="43964">
      <c r="B43964" s="309"/>
      <c r="C43964" s="309"/>
      <c r="I43964" s="309"/>
      <c r="J43964" s="309"/>
    </row>
    <row r="43965">
      <c r="B43965" s="309"/>
      <c r="C43965" s="309"/>
      <c r="I43965" s="309"/>
      <c r="J43965" s="309"/>
    </row>
    <row r="43966">
      <c r="B43966" s="309"/>
      <c r="C43966" s="309"/>
      <c r="I43966" s="309"/>
      <c r="J43966" s="309"/>
    </row>
    <row r="43967">
      <c r="B43967" s="309"/>
      <c r="C43967" s="309"/>
      <c r="I43967" s="309"/>
      <c r="J43967" s="309"/>
    </row>
    <row r="43968">
      <c r="B43968" s="309"/>
      <c r="C43968" s="309"/>
      <c r="I43968" s="309"/>
      <c r="J43968" s="309"/>
    </row>
    <row r="43969">
      <c r="B43969" s="309"/>
      <c r="C43969" s="309"/>
      <c r="I43969" s="309"/>
      <c r="J43969" s="309"/>
    </row>
    <row r="43970">
      <c r="B43970" s="309"/>
      <c r="C43970" s="309"/>
      <c r="I43970" s="309"/>
      <c r="J43970" s="309"/>
    </row>
    <row r="43971">
      <c r="B43971" s="309"/>
      <c r="C43971" s="309"/>
      <c r="I43971" s="309"/>
      <c r="J43971" s="309"/>
    </row>
    <row r="43972">
      <c r="B43972" s="309"/>
      <c r="C43972" s="309"/>
      <c r="I43972" s="309"/>
      <c r="J43972" s="309"/>
    </row>
    <row r="43973">
      <c r="B43973" s="309"/>
      <c r="C43973" s="309"/>
      <c r="I43973" s="309"/>
      <c r="J43973" s="309"/>
    </row>
    <row r="43974">
      <c r="B43974" s="309"/>
      <c r="C43974" s="309"/>
      <c r="I43974" s="309"/>
      <c r="J43974" s="309"/>
    </row>
    <row r="43975">
      <c r="B43975" s="309"/>
      <c r="C43975" s="309"/>
      <c r="I43975" s="309"/>
      <c r="J43975" s="309"/>
    </row>
    <row r="43976">
      <c r="B43976" s="309"/>
      <c r="C43976" s="309"/>
      <c r="I43976" s="309"/>
      <c r="J43976" s="309"/>
    </row>
    <row r="43977">
      <c r="B43977" s="309"/>
      <c r="C43977" s="309"/>
      <c r="I43977" s="309"/>
      <c r="J43977" s="309"/>
    </row>
    <row r="43978">
      <c r="B43978" s="309"/>
      <c r="C43978" s="309"/>
      <c r="I43978" s="309"/>
      <c r="J43978" s="309"/>
    </row>
    <row r="43979">
      <c r="B43979" s="309"/>
      <c r="C43979" s="309"/>
      <c r="I43979" s="309"/>
      <c r="J43979" s="309"/>
    </row>
    <row r="43980">
      <c r="B43980" s="309"/>
      <c r="C43980" s="309"/>
      <c r="I43980" s="309"/>
      <c r="J43980" s="309"/>
    </row>
    <row r="43981">
      <c r="B43981" s="309"/>
      <c r="C43981" s="309"/>
      <c r="I43981" s="309"/>
      <c r="J43981" s="309"/>
    </row>
    <row r="43982">
      <c r="B43982" s="309"/>
      <c r="C43982" s="309"/>
      <c r="I43982" s="309"/>
      <c r="J43982" s="309"/>
    </row>
    <row r="43983">
      <c r="B43983" s="309"/>
      <c r="C43983" s="309"/>
      <c r="I43983" s="309"/>
      <c r="J43983" s="309"/>
    </row>
    <row r="43984">
      <c r="B43984" s="309"/>
      <c r="C43984" s="309"/>
      <c r="I43984" s="309"/>
      <c r="J43984" s="309"/>
    </row>
    <row r="43985">
      <c r="B43985" s="309"/>
      <c r="C43985" s="309"/>
      <c r="I43985" s="309"/>
      <c r="J43985" s="309"/>
    </row>
    <row r="43986">
      <c r="B43986" s="309"/>
      <c r="C43986" s="309"/>
      <c r="I43986" s="309"/>
      <c r="J43986" s="309"/>
    </row>
    <row r="43987">
      <c r="B43987" s="309"/>
      <c r="C43987" s="309"/>
      <c r="I43987" s="309"/>
      <c r="J43987" s="309"/>
    </row>
    <row r="43988">
      <c r="B43988" s="309"/>
      <c r="C43988" s="309"/>
      <c r="I43988" s="309"/>
      <c r="J43988" s="309"/>
    </row>
    <row r="43989">
      <c r="B43989" s="309"/>
      <c r="C43989" s="309"/>
      <c r="I43989" s="309"/>
      <c r="J43989" s="309"/>
    </row>
    <row r="43990">
      <c r="B43990" s="309"/>
      <c r="C43990" s="309"/>
      <c r="I43990" s="309"/>
      <c r="J43990" s="309"/>
    </row>
    <row r="43991">
      <c r="B43991" s="309"/>
      <c r="C43991" s="309"/>
      <c r="I43991" s="309"/>
      <c r="J43991" s="309"/>
    </row>
    <row r="43992">
      <c r="B43992" s="309"/>
      <c r="C43992" s="309"/>
      <c r="I43992" s="309"/>
      <c r="J43992" s="309"/>
    </row>
    <row r="43993">
      <c r="B43993" s="309"/>
      <c r="C43993" s="309"/>
      <c r="I43993" s="309"/>
      <c r="J43993" s="309"/>
    </row>
    <row r="43994">
      <c r="B43994" s="309"/>
      <c r="C43994" s="309"/>
      <c r="I43994" s="309"/>
      <c r="J43994" s="309"/>
    </row>
    <row r="43995">
      <c r="B43995" s="309"/>
      <c r="C43995" s="309"/>
      <c r="I43995" s="309"/>
      <c r="J43995" s="309"/>
    </row>
    <row r="43996">
      <c r="B43996" s="309"/>
      <c r="C43996" s="309"/>
      <c r="I43996" s="309"/>
      <c r="J43996" s="309"/>
    </row>
    <row r="43997">
      <c r="B43997" s="309"/>
      <c r="C43997" s="309"/>
      <c r="I43997" s="309"/>
      <c r="J43997" s="309"/>
    </row>
    <row r="43998">
      <c r="B43998" s="309"/>
      <c r="C43998" s="309"/>
      <c r="I43998" s="309"/>
      <c r="J43998" s="309"/>
    </row>
    <row r="43999">
      <c r="B43999" s="309"/>
      <c r="C43999" s="309"/>
      <c r="I43999" s="309"/>
      <c r="J43999" s="309"/>
    </row>
    <row r="44000">
      <c r="B44000" s="309"/>
      <c r="C44000" s="309"/>
      <c r="I44000" s="309"/>
      <c r="J44000" s="309"/>
    </row>
    <row r="44001">
      <c r="B44001" s="309"/>
      <c r="C44001" s="309"/>
      <c r="I44001" s="309"/>
      <c r="J44001" s="309"/>
    </row>
    <row r="44002">
      <c r="B44002" s="309"/>
      <c r="C44002" s="309"/>
      <c r="I44002" s="309"/>
      <c r="J44002" s="309"/>
    </row>
    <row r="44003">
      <c r="B44003" s="309"/>
      <c r="C44003" s="309"/>
      <c r="I44003" s="309"/>
      <c r="J44003" s="309"/>
    </row>
    <row r="44004">
      <c r="B44004" s="309"/>
      <c r="C44004" s="309"/>
      <c r="I44004" s="309"/>
      <c r="J44004" s="309"/>
    </row>
    <row r="44005">
      <c r="B44005" s="309"/>
      <c r="C44005" s="309"/>
      <c r="I44005" s="309"/>
      <c r="J44005" s="309"/>
    </row>
    <row r="44006">
      <c r="B44006" s="309"/>
      <c r="C44006" s="309"/>
      <c r="I44006" s="309"/>
      <c r="J44006" s="309"/>
    </row>
    <row r="44007">
      <c r="B44007" s="309"/>
      <c r="C44007" s="309"/>
      <c r="I44007" s="309"/>
      <c r="J44007" s="309"/>
    </row>
    <row r="44008">
      <c r="B44008" s="309"/>
      <c r="C44008" s="309"/>
      <c r="I44008" s="309"/>
      <c r="J44008" s="309"/>
    </row>
    <row r="44009">
      <c r="B44009" s="309"/>
      <c r="C44009" s="309"/>
      <c r="I44009" s="309"/>
      <c r="J44009" s="309"/>
    </row>
    <row r="44010">
      <c r="B44010" s="309"/>
      <c r="C44010" s="309"/>
      <c r="I44010" s="309"/>
      <c r="J44010" s="309"/>
    </row>
    <row r="44011">
      <c r="B44011" s="309"/>
      <c r="C44011" s="309"/>
      <c r="I44011" s="309"/>
      <c r="J44011" s="309"/>
    </row>
    <row r="44012">
      <c r="B44012" s="309"/>
      <c r="C44012" s="309"/>
      <c r="I44012" s="309"/>
      <c r="J44012" s="309"/>
    </row>
    <row r="44013">
      <c r="B44013" s="309"/>
      <c r="C44013" s="309"/>
      <c r="I44013" s="309"/>
      <c r="J44013" s="309"/>
    </row>
    <row r="44014">
      <c r="B44014" s="309"/>
      <c r="C44014" s="309"/>
      <c r="I44014" s="309"/>
      <c r="J44014" s="309"/>
    </row>
    <row r="44015">
      <c r="B44015" s="309"/>
      <c r="C44015" s="309"/>
      <c r="I44015" s="309"/>
      <c r="J44015" s="309"/>
    </row>
    <row r="44016">
      <c r="B44016" s="309"/>
      <c r="C44016" s="309"/>
      <c r="I44016" s="309"/>
      <c r="J44016" s="309"/>
    </row>
    <row r="44017">
      <c r="B44017" s="309"/>
      <c r="C44017" s="309"/>
      <c r="I44017" s="309"/>
      <c r="J44017" s="309"/>
    </row>
    <row r="44018">
      <c r="B44018" s="309"/>
      <c r="C44018" s="309"/>
      <c r="I44018" s="309"/>
      <c r="J44018" s="309"/>
    </row>
    <row r="44019">
      <c r="B44019" s="309"/>
      <c r="C44019" s="309"/>
      <c r="I44019" s="309"/>
      <c r="J44019" s="309"/>
    </row>
    <row r="44020">
      <c r="B44020" s="309"/>
      <c r="C44020" s="309"/>
      <c r="I44020" s="309"/>
      <c r="J44020" s="309"/>
    </row>
    <row r="44021">
      <c r="B44021" s="309"/>
      <c r="C44021" s="309"/>
      <c r="I44021" s="309"/>
      <c r="J44021" s="309"/>
    </row>
    <row r="44022">
      <c r="B44022" s="309"/>
      <c r="C44022" s="309"/>
      <c r="I44022" s="309"/>
      <c r="J44022" s="309"/>
    </row>
    <row r="44023">
      <c r="B44023" s="309"/>
      <c r="C44023" s="309"/>
      <c r="I44023" s="309"/>
      <c r="J44023" s="309"/>
    </row>
    <row r="44024">
      <c r="B44024" s="309"/>
      <c r="C44024" s="309"/>
      <c r="I44024" s="309"/>
      <c r="J44024" s="309"/>
    </row>
    <row r="44025">
      <c r="B44025" s="309"/>
      <c r="C44025" s="309"/>
      <c r="I44025" s="309"/>
      <c r="J44025" s="309"/>
    </row>
    <row r="44026">
      <c r="B44026" s="309"/>
      <c r="C44026" s="309"/>
      <c r="I44026" s="309"/>
      <c r="J44026" s="309"/>
    </row>
    <row r="44027">
      <c r="B44027" s="309"/>
      <c r="C44027" s="309"/>
      <c r="I44027" s="309"/>
      <c r="J44027" s="309"/>
    </row>
    <row r="44028">
      <c r="B44028" s="309"/>
      <c r="C44028" s="309"/>
      <c r="I44028" s="309"/>
      <c r="J44028" s="309"/>
    </row>
    <row r="44029">
      <c r="B44029" s="309"/>
      <c r="C44029" s="309"/>
      <c r="I44029" s="309"/>
      <c r="J44029" s="309"/>
    </row>
    <row r="44030">
      <c r="B44030" s="309"/>
      <c r="C44030" s="309"/>
      <c r="I44030" s="309"/>
      <c r="J44030" s="309"/>
    </row>
    <row r="44031">
      <c r="B44031" s="309"/>
      <c r="C44031" s="309"/>
      <c r="I44031" s="309"/>
      <c r="J44031" s="309"/>
    </row>
    <row r="44032">
      <c r="B44032" s="309"/>
      <c r="C44032" s="309"/>
      <c r="I44032" s="309"/>
      <c r="J44032" s="309"/>
    </row>
    <row r="44033">
      <c r="B44033" s="309"/>
      <c r="C44033" s="309"/>
      <c r="I44033" s="309"/>
      <c r="J44033" s="309"/>
    </row>
    <row r="44034">
      <c r="B44034" s="309"/>
      <c r="C44034" s="309"/>
      <c r="I44034" s="309"/>
      <c r="J44034" s="309"/>
    </row>
    <row r="44035">
      <c r="B44035" s="309"/>
      <c r="C44035" s="309"/>
      <c r="I44035" s="309"/>
      <c r="J44035" s="309"/>
    </row>
    <row r="44036">
      <c r="B44036" s="309"/>
      <c r="C44036" s="309"/>
      <c r="I44036" s="309"/>
      <c r="J44036" s="309"/>
    </row>
    <row r="44037">
      <c r="B44037" s="309"/>
      <c r="C44037" s="309"/>
      <c r="I44037" s="309"/>
      <c r="J44037" s="309"/>
    </row>
    <row r="44038">
      <c r="B44038" s="309"/>
      <c r="C44038" s="309"/>
      <c r="I44038" s="309"/>
      <c r="J44038" s="309"/>
    </row>
    <row r="44039">
      <c r="B44039" s="309"/>
      <c r="C44039" s="309"/>
      <c r="I44039" s="309"/>
      <c r="J44039" s="309"/>
    </row>
    <row r="44040">
      <c r="B44040" s="309"/>
      <c r="C44040" s="309"/>
      <c r="I44040" s="309"/>
      <c r="J44040" s="309"/>
    </row>
    <row r="44041">
      <c r="B44041" s="309"/>
      <c r="C44041" s="309"/>
      <c r="I44041" s="309"/>
      <c r="J44041" s="309"/>
    </row>
    <row r="44042">
      <c r="B44042" s="309"/>
      <c r="C44042" s="309"/>
      <c r="I44042" s="309"/>
      <c r="J44042" s="309"/>
    </row>
    <row r="44043">
      <c r="B44043" s="309"/>
      <c r="C44043" s="309"/>
      <c r="I44043" s="309"/>
      <c r="J44043" s="309"/>
    </row>
    <row r="44044">
      <c r="B44044" s="309"/>
      <c r="C44044" s="309"/>
      <c r="I44044" s="309"/>
      <c r="J44044" s="309"/>
    </row>
    <row r="44045">
      <c r="B44045" s="309"/>
      <c r="C44045" s="309"/>
      <c r="I44045" s="309"/>
      <c r="J44045" s="309"/>
    </row>
    <row r="44046">
      <c r="B44046" s="309"/>
      <c r="C44046" s="309"/>
      <c r="I44046" s="309"/>
      <c r="J44046" s="309"/>
    </row>
    <row r="44047">
      <c r="B44047" s="309"/>
      <c r="C44047" s="309"/>
      <c r="I44047" s="309"/>
      <c r="J44047" s="309"/>
    </row>
    <row r="44048">
      <c r="B44048" s="309"/>
      <c r="C44048" s="309"/>
      <c r="I44048" s="309"/>
      <c r="J44048" s="309"/>
    </row>
    <row r="44049">
      <c r="B44049" s="309"/>
      <c r="C44049" s="309"/>
      <c r="I44049" s="309"/>
      <c r="J44049" s="309"/>
    </row>
    <row r="44050">
      <c r="B44050" s="309"/>
      <c r="C44050" s="309"/>
      <c r="I44050" s="309"/>
      <c r="J44050" s="309"/>
    </row>
    <row r="44051">
      <c r="B44051" s="309"/>
      <c r="C44051" s="309"/>
      <c r="I44051" s="309"/>
      <c r="J44051" s="309"/>
    </row>
    <row r="44052">
      <c r="B44052" s="309"/>
      <c r="C44052" s="309"/>
      <c r="I44052" s="309"/>
      <c r="J44052" s="309"/>
    </row>
    <row r="44053">
      <c r="B44053" s="309"/>
      <c r="C44053" s="309"/>
      <c r="I44053" s="309"/>
      <c r="J44053" s="309"/>
    </row>
    <row r="44054">
      <c r="B44054" s="309"/>
      <c r="C44054" s="309"/>
      <c r="I44054" s="309"/>
      <c r="J44054" s="309"/>
    </row>
    <row r="44055">
      <c r="B44055" s="309"/>
      <c r="C44055" s="309"/>
      <c r="I44055" s="309"/>
      <c r="J44055" s="309"/>
    </row>
    <row r="44056">
      <c r="B44056" s="309"/>
      <c r="C44056" s="309"/>
      <c r="I44056" s="309"/>
      <c r="J44056" s="309"/>
    </row>
    <row r="44057">
      <c r="B44057" s="309"/>
      <c r="C44057" s="309"/>
      <c r="I44057" s="309"/>
      <c r="J44057" s="309"/>
    </row>
    <row r="44058">
      <c r="B44058" s="309"/>
      <c r="C44058" s="309"/>
      <c r="I44058" s="309"/>
      <c r="J44058" s="309"/>
    </row>
    <row r="44059">
      <c r="B44059" s="309"/>
      <c r="C44059" s="309"/>
      <c r="I44059" s="309"/>
      <c r="J44059" s="309"/>
    </row>
    <row r="44060">
      <c r="B44060" s="309"/>
      <c r="C44060" s="309"/>
      <c r="I44060" s="309"/>
      <c r="J44060" s="309"/>
    </row>
    <row r="44061">
      <c r="B44061" s="309"/>
      <c r="C44061" s="309"/>
      <c r="I44061" s="309"/>
      <c r="J44061" s="309"/>
    </row>
    <row r="44062">
      <c r="B44062" s="309"/>
      <c r="C44062" s="309"/>
      <c r="I44062" s="309"/>
      <c r="J44062" s="309"/>
    </row>
    <row r="44063">
      <c r="B44063" s="309"/>
      <c r="C44063" s="309"/>
      <c r="I44063" s="309"/>
      <c r="J44063" s="309"/>
    </row>
    <row r="44064">
      <c r="B44064" s="309"/>
      <c r="C44064" s="309"/>
      <c r="I44064" s="309"/>
      <c r="J44064" s="309"/>
    </row>
    <row r="44065">
      <c r="B44065" s="309"/>
      <c r="C44065" s="309"/>
      <c r="I44065" s="309"/>
      <c r="J44065" s="309"/>
    </row>
    <row r="44066">
      <c r="B44066" s="309"/>
      <c r="C44066" s="309"/>
      <c r="I44066" s="309"/>
      <c r="J44066" s="309"/>
    </row>
    <row r="44067">
      <c r="B44067" s="309"/>
      <c r="C44067" s="309"/>
      <c r="I44067" s="309"/>
      <c r="J44067" s="309"/>
    </row>
    <row r="44068">
      <c r="B44068" s="309"/>
      <c r="C44068" s="309"/>
      <c r="I44068" s="309"/>
      <c r="J44068" s="309"/>
    </row>
    <row r="44069">
      <c r="B44069" s="309"/>
      <c r="C44069" s="309"/>
      <c r="I44069" s="309"/>
      <c r="J44069" s="309"/>
    </row>
    <row r="44070">
      <c r="B44070" s="309"/>
      <c r="C44070" s="309"/>
      <c r="I44070" s="309"/>
      <c r="J44070" s="309"/>
    </row>
    <row r="44071">
      <c r="B44071" s="309"/>
      <c r="C44071" s="309"/>
      <c r="I44071" s="309"/>
      <c r="J44071" s="309"/>
    </row>
    <row r="44072">
      <c r="B44072" s="309"/>
      <c r="C44072" s="309"/>
      <c r="I44072" s="309"/>
      <c r="J44072" s="309"/>
    </row>
    <row r="44073">
      <c r="B44073" s="309"/>
      <c r="C44073" s="309"/>
      <c r="I44073" s="309"/>
      <c r="J44073" s="309"/>
    </row>
    <row r="44074">
      <c r="B44074" s="309"/>
      <c r="C44074" s="309"/>
      <c r="I44074" s="309"/>
      <c r="J44074" s="309"/>
    </row>
    <row r="44075">
      <c r="B44075" s="309"/>
      <c r="C44075" s="309"/>
      <c r="I44075" s="309"/>
      <c r="J44075" s="309"/>
    </row>
    <row r="44076">
      <c r="B44076" s="309"/>
      <c r="C44076" s="309"/>
      <c r="I44076" s="309"/>
      <c r="J44076" s="309"/>
    </row>
    <row r="44077">
      <c r="B44077" s="309"/>
      <c r="C44077" s="309"/>
      <c r="I44077" s="309"/>
      <c r="J44077" s="309"/>
    </row>
    <row r="44078">
      <c r="B44078" s="309"/>
      <c r="C44078" s="309"/>
      <c r="I44078" s="309"/>
      <c r="J44078" s="309"/>
    </row>
    <row r="44079">
      <c r="B44079" s="309"/>
      <c r="C44079" s="309"/>
      <c r="I44079" s="309"/>
      <c r="J44079" s="309"/>
    </row>
    <row r="44080">
      <c r="B44080" s="309"/>
      <c r="C44080" s="309"/>
      <c r="I44080" s="309"/>
      <c r="J44080" s="309"/>
    </row>
    <row r="44081">
      <c r="B44081" s="309"/>
      <c r="C44081" s="309"/>
      <c r="I44081" s="309"/>
      <c r="J44081" s="309"/>
    </row>
    <row r="44082">
      <c r="B44082" s="309"/>
      <c r="C44082" s="309"/>
      <c r="I44082" s="309"/>
      <c r="J44082" s="309"/>
    </row>
    <row r="44083">
      <c r="B44083" s="309"/>
      <c r="C44083" s="309"/>
      <c r="I44083" s="309"/>
      <c r="J44083" s="309"/>
    </row>
    <row r="44084">
      <c r="B44084" s="309"/>
      <c r="C44084" s="309"/>
      <c r="I44084" s="309"/>
      <c r="J44084" s="309"/>
    </row>
    <row r="44085">
      <c r="B44085" s="309"/>
      <c r="C44085" s="309"/>
      <c r="I44085" s="309"/>
      <c r="J44085" s="309"/>
    </row>
    <row r="44086">
      <c r="B44086" s="309"/>
      <c r="C44086" s="309"/>
      <c r="I44086" s="309"/>
      <c r="J44086" s="309"/>
    </row>
    <row r="44087">
      <c r="B44087" s="309"/>
      <c r="C44087" s="309"/>
      <c r="I44087" s="309"/>
      <c r="J44087" s="309"/>
    </row>
    <row r="44088">
      <c r="B44088" s="309"/>
      <c r="C44088" s="309"/>
      <c r="I44088" s="309"/>
      <c r="J44088" s="309"/>
    </row>
    <row r="44089">
      <c r="B44089" s="309"/>
      <c r="C44089" s="309"/>
      <c r="I44089" s="309"/>
      <c r="J44089" s="309"/>
    </row>
    <row r="44090">
      <c r="B44090" s="309"/>
      <c r="C44090" s="309"/>
      <c r="I44090" s="309"/>
      <c r="J44090" s="309"/>
    </row>
    <row r="44091">
      <c r="B44091" s="309"/>
      <c r="C44091" s="309"/>
      <c r="I44091" s="309"/>
      <c r="J44091" s="309"/>
    </row>
    <row r="44092">
      <c r="B44092" s="309"/>
      <c r="C44092" s="309"/>
      <c r="I44092" s="309"/>
      <c r="J44092" s="309"/>
    </row>
    <row r="44093">
      <c r="B44093" s="309"/>
      <c r="C44093" s="309"/>
      <c r="I44093" s="309"/>
      <c r="J44093" s="309"/>
    </row>
    <row r="44094">
      <c r="B44094" s="309"/>
      <c r="C44094" s="309"/>
      <c r="I44094" s="309"/>
      <c r="J44094" s="309"/>
    </row>
    <row r="44095">
      <c r="B44095" s="309"/>
      <c r="C44095" s="309"/>
      <c r="I44095" s="309"/>
      <c r="J44095" s="309"/>
    </row>
    <row r="44096">
      <c r="B44096" s="309"/>
      <c r="C44096" s="309"/>
      <c r="I44096" s="309"/>
      <c r="J44096" s="309"/>
    </row>
    <row r="44097">
      <c r="B44097" s="309"/>
      <c r="C44097" s="309"/>
      <c r="I44097" s="309"/>
      <c r="J44097" s="309"/>
    </row>
    <row r="44098">
      <c r="B44098" s="309"/>
      <c r="C44098" s="309"/>
      <c r="I44098" s="309"/>
      <c r="J44098" s="309"/>
    </row>
    <row r="44099">
      <c r="B44099" s="309"/>
      <c r="C44099" s="309"/>
      <c r="I44099" s="309"/>
      <c r="J44099" s="309"/>
    </row>
    <row r="44100">
      <c r="B44100" s="309"/>
      <c r="C44100" s="309"/>
      <c r="I44100" s="309"/>
      <c r="J44100" s="309"/>
    </row>
    <row r="44101">
      <c r="B44101" s="309"/>
      <c r="C44101" s="309"/>
      <c r="I44101" s="309"/>
      <c r="J44101" s="309"/>
    </row>
    <row r="44102">
      <c r="B44102" s="309"/>
      <c r="C44102" s="309"/>
      <c r="I44102" s="309"/>
      <c r="J44102" s="309"/>
    </row>
    <row r="44103">
      <c r="B44103" s="309"/>
      <c r="C44103" s="309"/>
      <c r="I44103" s="309"/>
      <c r="J44103" s="309"/>
    </row>
    <row r="44104">
      <c r="B44104" s="309"/>
      <c r="C44104" s="309"/>
      <c r="I44104" s="309"/>
      <c r="J44104" s="309"/>
    </row>
    <row r="44105">
      <c r="B44105" s="309"/>
      <c r="C44105" s="309"/>
      <c r="I44105" s="309"/>
      <c r="J44105" s="309"/>
    </row>
    <row r="44106">
      <c r="B44106" s="309"/>
      <c r="C44106" s="309"/>
      <c r="I44106" s="309"/>
      <c r="J44106" s="309"/>
    </row>
    <row r="44107">
      <c r="B44107" s="309"/>
      <c r="C44107" s="309"/>
      <c r="I44107" s="309"/>
      <c r="J44107" s="309"/>
    </row>
    <row r="44108">
      <c r="B44108" s="309"/>
      <c r="C44108" s="309"/>
      <c r="I44108" s="309"/>
      <c r="J44108" s="309"/>
    </row>
    <row r="44109">
      <c r="B44109" s="309"/>
      <c r="C44109" s="309"/>
      <c r="I44109" s="309"/>
      <c r="J44109" s="309"/>
    </row>
    <row r="44110">
      <c r="B44110" s="309"/>
      <c r="C44110" s="309"/>
      <c r="I44110" s="309"/>
      <c r="J44110" s="309"/>
    </row>
    <row r="44111">
      <c r="B44111" s="309"/>
      <c r="C44111" s="309"/>
      <c r="I44111" s="309"/>
      <c r="J44111" s="309"/>
    </row>
    <row r="44112">
      <c r="B44112" s="309"/>
      <c r="C44112" s="309"/>
      <c r="I44112" s="309"/>
      <c r="J44112" s="309"/>
    </row>
    <row r="44113">
      <c r="B44113" s="309"/>
      <c r="C44113" s="309"/>
      <c r="I44113" s="309"/>
      <c r="J44113" s="309"/>
    </row>
    <row r="44114">
      <c r="B44114" s="309"/>
      <c r="C44114" s="309"/>
      <c r="I44114" s="309"/>
      <c r="J44114" s="309"/>
    </row>
    <row r="44115">
      <c r="B44115" s="309"/>
      <c r="C44115" s="309"/>
      <c r="I44115" s="309"/>
      <c r="J44115" s="309"/>
    </row>
    <row r="44116">
      <c r="B44116" s="309"/>
      <c r="C44116" s="309"/>
      <c r="I44116" s="309"/>
      <c r="J44116" s="309"/>
    </row>
    <row r="44117">
      <c r="B44117" s="309"/>
      <c r="C44117" s="309"/>
      <c r="I44117" s="309"/>
      <c r="J44117" s="309"/>
    </row>
    <row r="44118">
      <c r="B44118" s="309"/>
      <c r="C44118" s="309"/>
      <c r="I44118" s="309"/>
      <c r="J44118" s="309"/>
    </row>
    <row r="44119">
      <c r="B44119" s="309"/>
      <c r="C44119" s="309"/>
      <c r="I44119" s="309"/>
      <c r="J44119" s="309"/>
    </row>
    <row r="44120">
      <c r="B44120" s="309"/>
      <c r="C44120" s="309"/>
      <c r="I44120" s="309"/>
      <c r="J44120" s="309"/>
    </row>
    <row r="44121">
      <c r="B44121" s="309"/>
      <c r="C44121" s="309"/>
      <c r="I44121" s="309"/>
      <c r="J44121" s="309"/>
    </row>
    <row r="44122">
      <c r="B44122" s="309"/>
      <c r="C44122" s="309"/>
      <c r="I44122" s="309"/>
      <c r="J44122" s="309"/>
    </row>
    <row r="44123">
      <c r="B44123" s="309"/>
      <c r="C44123" s="309"/>
      <c r="I44123" s="309"/>
      <c r="J44123" s="309"/>
    </row>
    <row r="44124">
      <c r="B44124" s="309"/>
      <c r="C44124" s="309"/>
      <c r="I44124" s="309"/>
      <c r="J44124" s="309"/>
    </row>
    <row r="44125">
      <c r="B44125" s="309"/>
      <c r="C44125" s="309"/>
      <c r="I44125" s="309"/>
      <c r="J44125" s="309"/>
    </row>
    <row r="44126">
      <c r="B44126" s="309"/>
      <c r="C44126" s="309"/>
      <c r="I44126" s="309"/>
      <c r="J44126" s="309"/>
    </row>
    <row r="44127">
      <c r="B44127" s="309"/>
      <c r="C44127" s="309"/>
      <c r="I44127" s="309"/>
      <c r="J44127" s="309"/>
    </row>
    <row r="44128">
      <c r="B44128" s="309"/>
      <c r="C44128" s="309"/>
      <c r="I44128" s="309"/>
      <c r="J44128" s="309"/>
    </row>
    <row r="44129">
      <c r="B44129" s="309"/>
      <c r="C44129" s="309"/>
      <c r="I44129" s="309"/>
      <c r="J44129" s="309"/>
    </row>
    <row r="44130">
      <c r="B44130" s="309"/>
      <c r="C44130" s="309"/>
      <c r="I44130" s="309"/>
      <c r="J44130" s="309"/>
    </row>
    <row r="44131">
      <c r="B44131" s="309"/>
      <c r="C44131" s="309"/>
      <c r="I44131" s="309"/>
      <c r="J44131" s="309"/>
    </row>
    <row r="44132">
      <c r="B44132" s="309"/>
      <c r="C44132" s="309"/>
      <c r="I44132" s="309"/>
      <c r="J44132" s="309"/>
    </row>
    <row r="44133">
      <c r="B44133" s="309"/>
      <c r="C44133" s="309"/>
      <c r="I44133" s="309"/>
      <c r="J44133" s="309"/>
    </row>
    <row r="44134">
      <c r="B44134" s="309"/>
      <c r="C44134" s="309"/>
      <c r="I44134" s="309"/>
      <c r="J44134" s="309"/>
    </row>
    <row r="44135">
      <c r="B44135" s="309"/>
      <c r="C44135" s="309"/>
      <c r="I44135" s="309"/>
      <c r="J44135" s="309"/>
    </row>
    <row r="44136">
      <c r="B44136" s="309"/>
      <c r="C44136" s="309"/>
      <c r="I44136" s="309"/>
      <c r="J44136" s="309"/>
    </row>
    <row r="44137">
      <c r="B44137" s="309"/>
      <c r="C44137" s="309"/>
      <c r="I44137" s="309"/>
      <c r="J44137" s="309"/>
    </row>
    <row r="44138">
      <c r="B44138" s="309"/>
      <c r="C44138" s="309"/>
      <c r="I44138" s="309"/>
      <c r="J44138" s="309"/>
    </row>
    <row r="44139">
      <c r="B44139" s="309"/>
      <c r="C44139" s="309"/>
      <c r="I44139" s="309"/>
      <c r="J44139" s="309"/>
    </row>
    <row r="44140">
      <c r="B44140" s="309"/>
      <c r="C44140" s="309"/>
      <c r="I44140" s="309"/>
      <c r="J44140" s="309"/>
    </row>
    <row r="44141">
      <c r="B44141" s="309"/>
      <c r="C44141" s="309"/>
      <c r="I44141" s="309"/>
      <c r="J44141" s="309"/>
    </row>
    <row r="44142">
      <c r="B44142" s="309"/>
      <c r="C44142" s="309"/>
      <c r="I44142" s="309"/>
      <c r="J44142" s="309"/>
    </row>
    <row r="44143">
      <c r="B44143" s="309"/>
      <c r="C44143" s="309"/>
      <c r="I44143" s="309"/>
      <c r="J44143" s="309"/>
    </row>
    <row r="44144">
      <c r="B44144" s="309"/>
      <c r="C44144" s="309"/>
      <c r="I44144" s="309"/>
      <c r="J44144" s="309"/>
    </row>
    <row r="44145">
      <c r="B44145" s="309"/>
      <c r="C44145" s="309"/>
      <c r="I44145" s="309"/>
      <c r="J44145" s="309"/>
    </row>
    <row r="44146">
      <c r="B44146" s="309"/>
      <c r="C44146" s="309"/>
      <c r="I44146" s="309"/>
      <c r="J44146" s="309"/>
    </row>
    <row r="44147">
      <c r="B44147" s="309"/>
      <c r="C44147" s="309"/>
      <c r="I44147" s="309"/>
      <c r="J44147" s="309"/>
    </row>
    <row r="44148">
      <c r="B44148" s="309"/>
      <c r="C44148" s="309"/>
      <c r="I44148" s="309"/>
      <c r="J44148" s="309"/>
    </row>
    <row r="44149">
      <c r="B44149" s="309"/>
      <c r="C44149" s="309"/>
      <c r="I44149" s="309"/>
      <c r="J44149" s="309"/>
    </row>
    <row r="44150">
      <c r="B44150" s="309"/>
      <c r="C44150" s="309"/>
      <c r="I44150" s="309"/>
      <c r="J44150" s="309"/>
    </row>
    <row r="44151">
      <c r="B44151" s="309"/>
      <c r="C44151" s="309"/>
      <c r="I44151" s="309"/>
      <c r="J44151" s="309"/>
    </row>
    <row r="44152">
      <c r="B44152" s="309"/>
      <c r="C44152" s="309"/>
      <c r="I44152" s="309"/>
      <c r="J44152" s="309"/>
    </row>
    <row r="44153">
      <c r="B44153" s="309"/>
      <c r="C44153" s="309"/>
      <c r="I44153" s="309"/>
      <c r="J44153" s="309"/>
    </row>
    <row r="44154">
      <c r="B44154" s="309"/>
      <c r="C44154" s="309"/>
      <c r="I44154" s="309"/>
      <c r="J44154" s="309"/>
    </row>
    <row r="44155">
      <c r="B44155" s="309"/>
      <c r="C44155" s="309"/>
      <c r="I44155" s="309"/>
      <c r="J44155" s="309"/>
    </row>
    <row r="44156">
      <c r="B44156" s="309"/>
      <c r="C44156" s="309"/>
      <c r="I44156" s="309"/>
      <c r="J44156" s="309"/>
    </row>
    <row r="44157">
      <c r="B44157" s="309"/>
      <c r="C44157" s="309"/>
      <c r="I44157" s="309"/>
      <c r="J44157" s="309"/>
    </row>
    <row r="44158">
      <c r="B44158" s="309"/>
      <c r="C44158" s="309"/>
      <c r="I44158" s="309"/>
      <c r="J44158" s="309"/>
    </row>
    <row r="44159">
      <c r="B44159" s="309"/>
      <c r="C44159" s="309"/>
      <c r="I44159" s="309"/>
      <c r="J44159" s="309"/>
    </row>
    <row r="44160">
      <c r="B44160" s="309"/>
      <c r="C44160" s="309"/>
      <c r="I44160" s="309"/>
      <c r="J44160" s="309"/>
    </row>
    <row r="44161">
      <c r="B44161" s="309"/>
      <c r="C44161" s="309"/>
      <c r="I44161" s="309"/>
      <c r="J44161" s="309"/>
    </row>
    <row r="44162">
      <c r="B44162" s="309"/>
      <c r="C44162" s="309"/>
      <c r="I44162" s="309"/>
      <c r="J44162" s="309"/>
    </row>
    <row r="44163">
      <c r="B44163" s="309"/>
      <c r="C44163" s="309"/>
      <c r="I44163" s="309"/>
      <c r="J44163" s="309"/>
    </row>
    <row r="44164">
      <c r="B44164" s="309"/>
      <c r="C44164" s="309"/>
      <c r="I44164" s="309"/>
      <c r="J44164" s="309"/>
    </row>
    <row r="44165">
      <c r="B44165" s="309"/>
      <c r="C44165" s="309"/>
      <c r="I44165" s="309"/>
      <c r="J44165" s="309"/>
    </row>
    <row r="44166">
      <c r="B44166" s="309"/>
      <c r="C44166" s="309"/>
      <c r="I44166" s="309"/>
      <c r="J44166" s="309"/>
    </row>
    <row r="44167">
      <c r="B44167" s="309"/>
      <c r="C44167" s="309"/>
      <c r="I44167" s="309"/>
      <c r="J44167" s="309"/>
    </row>
    <row r="44168">
      <c r="B44168" s="309"/>
      <c r="C44168" s="309"/>
      <c r="I44168" s="309"/>
      <c r="J44168" s="309"/>
    </row>
    <row r="44169">
      <c r="B44169" s="309"/>
      <c r="C44169" s="309"/>
      <c r="I44169" s="309"/>
      <c r="J44169" s="309"/>
    </row>
    <row r="44170">
      <c r="B44170" s="309"/>
      <c r="C44170" s="309"/>
      <c r="I44170" s="309"/>
      <c r="J44170" s="309"/>
    </row>
    <row r="44171">
      <c r="B44171" s="309"/>
      <c r="C44171" s="309"/>
      <c r="I44171" s="309"/>
      <c r="J44171" s="309"/>
    </row>
    <row r="44172">
      <c r="B44172" s="309"/>
      <c r="C44172" s="309"/>
      <c r="I44172" s="309"/>
      <c r="J44172" s="309"/>
    </row>
    <row r="44173">
      <c r="B44173" s="309"/>
      <c r="C44173" s="309"/>
      <c r="I44173" s="309"/>
      <c r="J44173" s="309"/>
    </row>
    <row r="44174">
      <c r="B44174" s="309"/>
      <c r="C44174" s="309"/>
      <c r="I44174" s="309"/>
      <c r="J44174" s="309"/>
    </row>
    <row r="44175">
      <c r="B44175" s="309"/>
      <c r="C44175" s="309"/>
      <c r="I44175" s="309"/>
      <c r="J44175" s="309"/>
    </row>
    <row r="44176">
      <c r="B44176" s="309"/>
      <c r="C44176" s="309"/>
      <c r="I44176" s="309"/>
      <c r="J44176" s="309"/>
    </row>
    <row r="44177">
      <c r="B44177" s="309"/>
      <c r="C44177" s="309"/>
      <c r="I44177" s="309"/>
      <c r="J44177" s="309"/>
    </row>
    <row r="44178">
      <c r="B44178" s="309"/>
      <c r="C44178" s="309"/>
      <c r="I44178" s="309"/>
      <c r="J44178" s="309"/>
    </row>
    <row r="44179">
      <c r="B44179" s="309"/>
      <c r="C44179" s="309"/>
      <c r="I44179" s="309"/>
      <c r="J44179" s="309"/>
    </row>
    <row r="44180">
      <c r="B44180" s="309"/>
      <c r="C44180" s="309"/>
      <c r="I44180" s="309"/>
      <c r="J44180" s="309"/>
    </row>
    <row r="44181">
      <c r="B44181" s="309"/>
      <c r="C44181" s="309"/>
      <c r="I44181" s="309"/>
      <c r="J44181" s="309"/>
    </row>
    <row r="44182">
      <c r="B44182" s="309"/>
      <c r="C44182" s="309"/>
      <c r="I44182" s="309"/>
      <c r="J44182" s="309"/>
    </row>
    <row r="44183">
      <c r="B44183" s="309"/>
      <c r="C44183" s="309"/>
      <c r="I44183" s="309"/>
      <c r="J44183" s="309"/>
    </row>
    <row r="44184">
      <c r="B44184" s="309"/>
      <c r="C44184" s="309"/>
      <c r="I44184" s="309"/>
      <c r="J44184" s="309"/>
    </row>
    <row r="44185">
      <c r="B44185" s="309"/>
      <c r="C44185" s="309"/>
      <c r="I44185" s="309"/>
      <c r="J44185" s="309"/>
    </row>
    <row r="44186">
      <c r="B44186" s="309"/>
      <c r="C44186" s="309"/>
      <c r="I44186" s="309"/>
      <c r="J44186" s="309"/>
    </row>
    <row r="44187">
      <c r="B44187" s="309"/>
      <c r="C44187" s="309"/>
      <c r="I44187" s="309"/>
      <c r="J44187" s="309"/>
    </row>
    <row r="44188">
      <c r="B44188" s="309"/>
      <c r="C44188" s="309"/>
      <c r="I44188" s="309"/>
      <c r="J44188" s="309"/>
    </row>
    <row r="44189">
      <c r="B44189" s="309"/>
      <c r="C44189" s="309"/>
      <c r="I44189" s="309"/>
      <c r="J44189" s="309"/>
    </row>
    <row r="44190">
      <c r="B44190" s="309"/>
      <c r="C44190" s="309"/>
      <c r="I44190" s="309"/>
      <c r="J44190" s="309"/>
    </row>
    <row r="44191">
      <c r="B44191" s="309"/>
      <c r="C44191" s="309"/>
      <c r="I44191" s="309"/>
      <c r="J44191" s="309"/>
    </row>
    <row r="44192">
      <c r="B44192" s="309"/>
      <c r="C44192" s="309"/>
      <c r="I44192" s="309"/>
      <c r="J44192" s="309"/>
    </row>
    <row r="44193">
      <c r="B44193" s="309"/>
      <c r="C44193" s="309"/>
      <c r="I44193" s="309"/>
      <c r="J44193" s="309"/>
    </row>
    <row r="44194">
      <c r="B44194" s="309"/>
      <c r="C44194" s="309"/>
      <c r="I44194" s="309"/>
      <c r="J44194" s="309"/>
    </row>
    <row r="44195">
      <c r="B44195" s="309"/>
      <c r="C44195" s="309"/>
      <c r="I44195" s="309"/>
      <c r="J44195" s="309"/>
    </row>
    <row r="44196">
      <c r="B44196" s="309"/>
      <c r="C44196" s="309"/>
      <c r="I44196" s="309"/>
      <c r="J44196" s="309"/>
    </row>
    <row r="44197">
      <c r="B44197" s="309"/>
      <c r="C44197" s="309"/>
      <c r="I44197" s="309"/>
      <c r="J44197" s="309"/>
    </row>
    <row r="44198">
      <c r="B44198" s="309"/>
      <c r="C44198" s="309"/>
      <c r="I44198" s="309"/>
      <c r="J44198" s="309"/>
    </row>
    <row r="44199">
      <c r="B44199" s="309"/>
      <c r="C44199" s="309"/>
      <c r="I44199" s="309"/>
      <c r="J44199" s="309"/>
    </row>
    <row r="44200">
      <c r="B44200" s="309"/>
      <c r="C44200" s="309"/>
      <c r="I44200" s="309"/>
      <c r="J44200" s="309"/>
    </row>
    <row r="44201">
      <c r="B44201" s="309"/>
      <c r="C44201" s="309"/>
      <c r="I44201" s="309"/>
      <c r="J44201" s="309"/>
    </row>
    <row r="44202">
      <c r="B44202" s="309"/>
      <c r="C44202" s="309"/>
      <c r="I44202" s="309"/>
      <c r="J44202" s="309"/>
    </row>
    <row r="44203">
      <c r="B44203" s="309"/>
      <c r="C44203" s="309"/>
      <c r="I44203" s="309"/>
      <c r="J44203" s="309"/>
    </row>
    <row r="44204">
      <c r="B44204" s="309"/>
      <c r="C44204" s="309"/>
      <c r="I44204" s="309"/>
      <c r="J44204" s="309"/>
    </row>
    <row r="44205">
      <c r="B44205" s="309"/>
      <c r="C44205" s="309"/>
      <c r="I44205" s="309"/>
      <c r="J44205" s="309"/>
    </row>
    <row r="44206">
      <c r="B44206" s="309"/>
      <c r="C44206" s="309"/>
      <c r="I44206" s="309"/>
      <c r="J44206" s="309"/>
    </row>
    <row r="44207">
      <c r="B44207" s="309"/>
      <c r="C44207" s="309"/>
      <c r="I44207" s="309"/>
      <c r="J44207" s="309"/>
    </row>
    <row r="44208">
      <c r="B44208" s="309"/>
      <c r="C44208" s="309"/>
      <c r="I44208" s="309"/>
      <c r="J44208" s="309"/>
    </row>
    <row r="44209">
      <c r="B44209" s="309"/>
      <c r="C44209" s="309"/>
      <c r="I44209" s="309"/>
      <c r="J44209" s="309"/>
    </row>
    <row r="44210">
      <c r="B44210" s="309"/>
      <c r="C44210" s="309"/>
      <c r="I44210" s="309"/>
      <c r="J44210" s="309"/>
    </row>
    <row r="44211">
      <c r="B44211" s="309"/>
      <c r="C44211" s="309"/>
      <c r="I44211" s="309"/>
      <c r="J44211" s="309"/>
    </row>
    <row r="44212">
      <c r="B44212" s="309"/>
      <c r="C44212" s="309"/>
      <c r="I44212" s="309"/>
      <c r="J44212" s="309"/>
    </row>
    <row r="44213">
      <c r="B44213" s="309"/>
      <c r="C44213" s="309"/>
      <c r="I44213" s="309"/>
      <c r="J44213" s="309"/>
    </row>
    <row r="44214">
      <c r="B44214" s="309"/>
      <c r="C44214" s="309"/>
      <c r="I44214" s="309"/>
      <c r="J44214" s="309"/>
    </row>
    <row r="44215">
      <c r="B44215" s="309"/>
      <c r="C44215" s="309"/>
      <c r="I44215" s="309"/>
      <c r="J44215" s="309"/>
    </row>
    <row r="44216">
      <c r="B44216" s="309"/>
      <c r="C44216" s="309"/>
      <c r="I44216" s="309"/>
      <c r="J44216" s="309"/>
    </row>
    <row r="44217">
      <c r="B44217" s="309"/>
      <c r="C44217" s="309"/>
      <c r="I44217" s="309"/>
      <c r="J44217" s="309"/>
    </row>
    <row r="44218">
      <c r="B44218" s="309"/>
      <c r="C44218" s="309"/>
      <c r="I44218" s="309"/>
      <c r="J44218" s="309"/>
    </row>
    <row r="44219">
      <c r="B44219" s="309"/>
      <c r="C44219" s="309"/>
      <c r="I44219" s="309"/>
      <c r="J44219" s="309"/>
    </row>
    <row r="44220">
      <c r="B44220" s="309"/>
      <c r="C44220" s="309"/>
      <c r="I44220" s="309"/>
      <c r="J44220" s="309"/>
    </row>
    <row r="44221">
      <c r="B44221" s="309"/>
      <c r="C44221" s="309"/>
      <c r="I44221" s="309"/>
      <c r="J44221" s="309"/>
    </row>
    <row r="44222">
      <c r="B44222" s="309"/>
      <c r="C44222" s="309"/>
      <c r="I44222" s="309"/>
      <c r="J44222" s="309"/>
    </row>
    <row r="44223">
      <c r="B44223" s="309"/>
      <c r="C44223" s="309"/>
      <c r="I44223" s="309"/>
      <c r="J44223" s="309"/>
    </row>
    <row r="44224">
      <c r="B44224" s="309"/>
      <c r="C44224" s="309"/>
      <c r="I44224" s="309"/>
      <c r="J44224" s="309"/>
    </row>
    <row r="44225">
      <c r="B44225" s="309"/>
      <c r="C44225" s="309"/>
      <c r="I44225" s="309"/>
      <c r="J44225" s="309"/>
    </row>
    <row r="44226">
      <c r="B44226" s="309"/>
      <c r="C44226" s="309"/>
      <c r="I44226" s="309"/>
      <c r="J44226" s="309"/>
    </row>
    <row r="44227">
      <c r="B44227" s="309"/>
      <c r="C44227" s="309"/>
      <c r="I44227" s="309"/>
      <c r="J44227" s="309"/>
    </row>
    <row r="44228">
      <c r="B44228" s="309"/>
      <c r="C44228" s="309"/>
      <c r="I44228" s="309"/>
      <c r="J44228" s="309"/>
    </row>
    <row r="44229">
      <c r="B44229" s="309"/>
      <c r="C44229" s="309"/>
      <c r="I44229" s="309"/>
      <c r="J44229" s="309"/>
    </row>
    <row r="44230">
      <c r="B44230" s="309"/>
      <c r="C44230" s="309"/>
      <c r="I44230" s="309"/>
      <c r="J44230" s="309"/>
    </row>
    <row r="44231">
      <c r="B44231" s="309"/>
      <c r="C44231" s="309"/>
      <c r="I44231" s="309"/>
      <c r="J44231" s="309"/>
    </row>
    <row r="44232">
      <c r="B44232" s="309"/>
      <c r="C44232" s="309"/>
      <c r="I44232" s="309"/>
      <c r="J44232" s="309"/>
    </row>
    <row r="44233">
      <c r="B44233" s="309"/>
      <c r="C44233" s="309"/>
      <c r="I44233" s="309"/>
      <c r="J44233" s="309"/>
    </row>
    <row r="44234">
      <c r="B44234" s="309"/>
      <c r="C44234" s="309"/>
      <c r="I44234" s="309"/>
      <c r="J44234" s="309"/>
    </row>
    <row r="44235">
      <c r="B44235" s="309"/>
      <c r="C44235" s="309"/>
      <c r="I44235" s="309"/>
      <c r="J44235" s="309"/>
    </row>
    <row r="44236">
      <c r="B44236" s="309"/>
      <c r="C44236" s="309"/>
      <c r="I44236" s="309"/>
      <c r="J44236" s="309"/>
    </row>
    <row r="44237">
      <c r="B44237" s="309"/>
      <c r="C44237" s="309"/>
      <c r="I44237" s="309"/>
      <c r="J44237" s="309"/>
    </row>
    <row r="44238">
      <c r="B44238" s="309"/>
      <c r="C44238" s="309"/>
      <c r="I44238" s="309"/>
      <c r="J44238" s="309"/>
    </row>
    <row r="44239">
      <c r="B44239" s="309"/>
      <c r="C44239" s="309"/>
      <c r="I44239" s="309"/>
      <c r="J44239" s="309"/>
    </row>
    <row r="44240">
      <c r="B44240" s="309"/>
      <c r="C44240" s="309"/>
      <c r="I44240" s="309"/>
      <c r="J44240" s="309"/>
    </row>
    <row r="44241">
      <c r="B44241" s="309"/>
      <c r="C44241" s="309"/>
      <c r="I44241" s="309"/>
      <c r="J44241" s="309"/>
    </row>
    <row r="44242">
      <c r="B44242" s="309"/>
      <c r="C44242" s="309"/>
      <c r="I44242" s="309"/>
      <c r="J44242" s="309"/>
    </row>
    <row r="44243">
      <c r="B44243" s="309"/>
      <c r="C44243" s="309"/>
      <c r="I44243" s="309"/>
      <c r="J44243" s="309"/>
    </row>
    <row r="44244">
      <c r="B44244" s="309"/>
      <c r="C44244" s="309"/>
      <c r="I44244" s="309"/>
      <c r="J44244" s="309"/>
    </row>
    <row r="44245">
      <c r="B44245" s="309"/>
      <c r="C44245" s="309"/>
      <c r="I44245" s="309"/>
      <c r="J44245" s="309"/>
    </row>
    <row r="44246">
      <c r="B44246" s="309"/>
      <c r="C44246" s="309"/>
      <c r="I44246" s="309"/>
      <c r="J44246" s="309"/>
    </row>
    <row r="44247">
      <c r="B44247" s="309"/>
      <c r="C44247" s="309"/>
      <c r="I44247" s="309"/>
      <c r="J44247" s="309"/>
    </row>
    <row r="44248">
      <c r="B44248" s="309"/>
      <c r="C44248" s="309"/>
      <c r="I44248" s="309"/>
      <c r="J44248" s="309"/>
    </row>
    <row r="44249">
      <c r="B44249" s="309"/>
      <c r="C44249" s="309"/>
      <c r="I44249" s="309"/>
      <c r="J44249" s="309"/>
    </row>
    <row r="44250">
      <c r="B44250" s="309"/>
      <c r="C44250" s="309"/>
      <c r="I44250" s="309"/>
      <c r="J44250" s="309"/>
    </row>
    <row r="44251">
      <c r="B44251" s="309"/>
      <c r="C44251" s="309"/>
      <c r="I44251" s="309"/>
      <c r="J44251" s="309"/>
    </row>
    <row r="44252">
      <c r="B44252" s="309"/>
      <c r="C44252" s="309"/>
      <c r="I44252" s="309"/>
      <c r="J44252" s="309"/>
    </row>
    <row r="44253">
      <c r="B44253" s="309"/>
      <c r="C44253" s="309"/>
      <c r="I44253" s="309"/>
      <c r="J44253" s="309"/>
    </row>
    <row r="44254">
      <c r="B44254" s="309"/>
      <c r="C44254" s="309"/>
      <c r="I44254" s="309"/>
      <c r="J44254" s="309"/>
    </row>
    <row r="44255">
      <c r="B44255" s="309"/>
      <c r="C44255" s="309"/>
      <c r="I44255" s="309"/>
      <c r="J44255" s="309"/>
    </row>
    <row r="44256">
      <c r="B44256" s="309"/>
      <c r="C44256" s="309"/>
      <c r="I44256" s="309"/>
      <c r="J44256" s="309"/>
    </row>
    <row r="44257">
      <c r="B44257" s="309"/>
      <c r="C44257" s="309"/>
      <c r="I44257" s="309"/>
      <c r="J44257" s="309"/>
    </row>
    <row r="44258">
      <c r="B44258" s="309"/>
      <c r="C44258" s="309"/>
      <c r="I44258" s="309"/>
      <c r="J44258" s="309"/>
    </row>
    <row r="44259">
      <c r="B44259" s="309"/>
      <c r="C44259" s="309"/>
      <c r="I44259" s="309"/>
      <c r="J44259" s="309"/>
    </row>
    <row r="44260">
      <c r="B44260" s="309"/>
      <c r="C44260" s="309"/>
      <c r="I44260" s="309"/>
      <c r="J44260" s="309"/>
    </row>
    <row r="44261">
      <c r="B44261" s="309"/>
      <c r="C44261" s="309"/>
      <c r="I44261" s="309"/>
      <c r="J44261" s="309"/>
    </row>
    <row r="44262">
      <c r="B44262" s="309"/>
      <c r="C44262" s="309"/>
      <c r="I44262" s="309"/>
      <c r="J44262" s="309"/>
    </row>
    <row r="44263">
      <c r="B44263" s="309"/>
      <c r="C44263" s="309"/>
      <c r="I44263" s="309"/>
      <c r="J44263" s="309"/>
    </row>
    <row r="44264">
      <c r="B44264" s="309"/>
      <c r="C44264" s="309"/>
      <c r="I44264" s="309"/>
      <c r="J44264" s="309"/>
    </row>
    <row r="44265">
      <c r="B44265" s="309"/>
      <c r="C44265" s="309"/>
      <c r="I44265" s="309"/>
      <c r="J44265" s="309"/>
    </row>
    <row r="44266">
      <c r="B44266" s="309"/>
      <c r="C44266" s="309"/>
      <c r="I44266" s="309"/>
      <c r="J44266" s="309"/>
    </row>
    <row r="44267">
      <c r="B44267" s="309"/>
      <c r="C44267" s="309"/>
      <c r="I44267" s="309"/>
      <c r="J44267" s="309"/>
    </row>
    <row r="44268">
      <c r="B44268" s="309"/>
      <c r="C44268" s="309"/>
      <c r="I44268" s="309"/>
      <c r="J44268" s="309"/>
    </row>
    <row r="44269">
      <c r="B44269" s="309"/>
      <c r="C44269" s="309"/>
      <c r="I44269" s="309"/>
      <c r="J44269" s="309"/>
    </row>
    <row r="44270">
      <c r="B44270" s="309"/>
      <c r="C44270" s="309"/>
      <c r="I44270" s="309"/>
      <c r="J44270" s="309"/>
    </row>
    <row r="44271">
      <c r="B44271" s="309"/>
      <c r="C44271" s="309"/>
      <c r="I44271" s="309"/>
      <c r="J44271" s="309"/>
    </row>
    <row r="44272">
      <c r="B44272" s="309"/>
      <c r="C44272" s="309"/>
      <c r="I44272" s="309"/>
      <c r="J44272" s="309"/>
    </row>
    <row r="44273">
      <c r="B44273" s="309"/>
      <c r="C44273" s="309"/>
      <c r="I44273" s="309"/>
      <c r="J44273" s="309"/>
    </row>
    <row r="44274">
      <c r="B44274" s="309"/>
      <c r="C44274" s="309"/>
      <c r="I44274" s="309"/>
      <c r="J44274" s="309"/>
    </row>
    <row r="44275">
      <c r="B44275" s="309"/>
      <c r="C44275" s="309"/>
      <c r="I44275" s="309"/>
      <c r="J44275" s="309"/>
    </row>
    <row r="44276">
      <c r="B44276" s="309"/>
      <c r="C44276" s="309"/>
      <c r="I44276" s="309"/>
      <c r="J44276" s="309"/>
    </row>
    <row r="44277">
      <c r="B44277" s="309"/>
      <c r="C44277" s="309"/>
      <c r="I44277" s="309"/>
      <c r="J44277" s="309"/>
    </row>
    <row r="44278">
      <c r="B44278" s="309"/>
      <c r="C44278" s="309"/>
      <c r="I44278" s="309"/>
      <c r="J44278" s="309"/>
    </row>
    <row r="44279">
      <c r="B44279" s="309"/>
      <c r="C44279" s="309"/>
      <c r="I44279" s="309"/>
      <c r="J44279" s="309"/>
    </row>
    <row r="44280">
      <c r="B44280" s="309"/>
      <c r="C44280" s="309"/>
      <c r="I44280" s="309"/>
      <c r="J44280" s="309"/>
    </row>
    <row r="44281">
      <c r="B44281" s="309"/>
      <c r="C44281" s="309"/>
      <c r="I44281" s="309"/>
      <c r="J44281" s="309"/>
    </row>
    <row r="44282">
      <c r="B44282" s="309"/>
      <c r="C44282" s="309"/>
      <c r="I44282" s="309"/>
      <c r="J44282" s="309"/>
    </row>
    <row r="44283">
      <c r="B44283" s="309"/>
      <c r="C44283" s="309"/>
      <c r="I44283" s="309"/>
      <c r="J44283" s="309"/>
    </row>
    <row r="44284">
      <c r="B44284" s="309"/>
      <c r="C44284" s="309"/>
      <c r="I44284" s="309"/>
      <c r="J44284" s="309"/>
    </row>
    <row r="44285">
      <c r="B44285" s="309"/>
      <c r="C44285" s="309"/>
      <c r="I44285" s="309"/>
      <c r="J44285" s="309"/>
    </row>
    <row r="44286">
      <c r="B44286" s="309"/>
      <c r="C44286" s="309"/>
      <c r="I44286" s="309"/>
      <c r="J44286" s="309"/>
    </row>
    <row r="44287">
      <c r="B44287" s="309"/>
      <c r="C44287" s="309"/>
      <c r="I44287" s="309"/>
      <c r="J44287" s="309"/>
    </row>
    <row r="44288">
      <c r="B44288" s="309"/>
      <c r="C44288" s="309"/>
      <c r="I44288" s="309"/>
      <c r="J44288" s="309"/>
    </row>
    <row r="44289">
      <c r="B44289" s="309"/>
      <c r="C44289" s="309"/>
      <c r="I44289" s="309"/>
      <c r="J44289" s="309"/>
    </row>
    <row r="44290">
      <c r="B44290" s="309"/>
      <c r="C44290" s="309"/>
      <c r="I44290" s="309"/>
      <c r="J44290" s="309"/>
    </row>
    <row r="44291">
      <c r="B44291" s="309"/>
      <c r="C44291" s="309"/>
      <c r="I44291" s="309"/>
      <c r="J44291" s="309"/>
    </row>
    <row r="44292">
      <c r="B44292" s="309"/>
      <c r="C44292" s="309"/>
      <c r="I44292" s="309"/>
      <c r="J44292" s="309"/>
    </row>
    <row r="44293">
      <c r="B44293" s="309"/>
      <c r="C44293" s="309"/>
      <c r="I44293" s="309"/>
      <c r="J44293" s="309"/>
    </row>
    <row r="44294">
      <c r="B44294" s="309"/>
      <c r="C44294" s="309"/>
      <c r="I44294" s="309"/>
      <c r="J44294" s="309"/>
    </row>
    <row r="44295">
      <c r="B44295" s="309"/>
      <c r="C44295" s="309"/>
      <c r="I44295" s="309"/>
      <c r="J44295" s="309"/>
    </row>
    <row r="44296">
      <c r="B44296" s="309"/>
      <c r="C44296" s="309"/>
      <c r="I44296" s="309"/>
      <c r="J44296" s="309"/>
    </row>
    <row r="44297">
      <c r="B44297" s="309"/>
      <c r="C44297" s="309"/>
      <c r="I44297" s="309"/>
      <c r="J44297" s="309"/>
    </row>
    <row r="44298">
      <c r="B44298" s="309"/>
      <c r="C44298" s="309"/>
      <c r="I44298" s="309"/>
      <c r="J44298" s="309"/>
    </row>
    <row r="44299">
      <c r="B44299" s="309"/>
      <c r="C44299" s="309"/>
      <c r="I44299" s="309"/>
      <c r="J44299" s="309"/>
    </row>
    <row r="44300">
      <c r="B44300" s="309"/>
      <c r="C44300" s="309"/>
      <c r="I44300" s="309"/>
      <c r="J44300" s="309"/>
    </row>
    <row r="44301">
      <c r="B44301" s="309"/>
      <c r="C44301" s="309"/>
      <c r="I44301" s="309"/>
      <c r="J44301" s="309"/>
    </row>
    <row r="44302">
      <c r="B44302" s="309"/>
      <c r="C44302" s="309"/>
      <c r="I44302" s="309"/>
      <c r="J44302" s="309"/>
    </row>
    <row r="44303">
      <c r="B44303" s="309"/>
      <c r="C44303" s="309"/>
      <c r="I44303" s="309"/>
      <c r="J44303" s="309"/>
    </row>
    <row r="44304">
      <c r="B44304" s="309"/>
      <c r="C44304" s="309"/>
      <c r="I44304" s="309"/>
      <c r="J44304" s="309"/>
    </row>
    <row r="44305">
      <c r="B44305" s="309"/>
      <c r="C44305" s="309"/>
      <c r="I44305" s="309"/>
      <c r="J44305" s="309"/>
    </row>
    <row r="44306">
      <c r="B44306" s="309"/>
      <c r="C44306" s="309"/>
      <c r="I44306" s="309"/>
      <c r="J44306" s="309"/>
    </row>
    <row r="44307">
      <c r="B44307" s="309"/>
      <c r="C44307" s="309"/>
      <c r="I44307" s="309"/>
      <c r="J44307" s="309"/>
    </row>
    <row r="44308">
      <c r="B44308" s="309"/>
      <c r="C44308" s="309"/>
      <c r="I44308" s="309"/>
      <c r="J44308" s="309"/>
    </row>
    <row r="44309">
      <c r="B44309" s="309"/>
      <c r="C44309" s="309"/>
      <c r="I44309" s="309"/>
      <c r="J44309" s="309"/>
    </row>
    <row r="44310">
      <c r="B44310" s="309"/>
      <c r="C44310" s="309"/>
      <c r="I44310" s="309"/>
      <c r="J44310" s="309"/>
    </row>
    <row r="44311">
      <c r="B44311" s="309"/>
      <c r="C44311" s="309"/>
      <c r="I44311" s="309"/>
      <c r="J44311" s="309"/>
    </row>
    <row r="44312">
      <c r="B44312" s="309"/>
      <c r="C44312" s="309"/>
      <c r="I44312" s="309"/>
      <c r="J44312" s="309"/>
    </row>
    <row r="44313">
      <c r="B44313" s="309"/>
      <c r="C44313" s="309"/>
      <c r="I44313" s="309"/>
      <c r="J44313" s="309"/>
    </row>
    <row r="44314">
      <c r="B44314" s="309"/>
      <c r="C44314" s="309"/>
      <c r="I44314" s="309"/>
      <c r="J44314" s="309"/>
    </row>
    <row r="44315">
      <c r="B44315" s="309"/>
      <c r="C44315" s="309"/>
      <c r="I44315" s="309"/>
      <c r="J44315" s="309"/>
    </row>
    <row r="44316">
      <c r="B44316" s="309"/>
      <c r="C44316" s="309"/>
      <c r="I44316" s="309"/>
      <c r="J44316" s="309"/>
    </row>
    <row r="44317">
      <c r="B44317" s="309"/>
      <c r="C44317" s="309"/>
      <c r="I44317" s="309"/>
      <c r="J44317" s="309"/>
    </row>
    <row r="44318">
      <c r="B44318" s="309"/>
      <c r="C44318" s="309"/>
      <c r="I44318" s="309"/>
      <c r="J44318" s="309"/>
    </row>
    <row r="44319">
      <c r="B44319" s="309"/>
      <c r="C44319" s="309"/>
      <c r="I44319" s="309"/>
      <c r="J44319" s="309"/>
    </row>
    <row r="44320">
      <c r="B44320" s="309"/>
      <c r="C44320" s="309"/>
      <c r="I44320" s="309"/>
      <c r="J44320" s="309"/>
    </row>
    <row r="44321">
      <c r="B44321" s="309"/>
      <c r="C44321" s="309"/>
      <c r="I44321" s="309"/>
      <c r="J44321" s="309"/>
    </row>
    <row r="44322">
      <c r="B44322" s="309"/>
      <c r="C44322" s="309"/>
      <c r="I44322" s="309"/>
      <c r="J44322" s="309"/>
    </row>
    <row r="44323">
      <c r="B44323" s="309"/>
      <c r="C44323" s="309"/>
      <c r="I44323" s="309"/>
      <c r="J44323" s="309"/>
    </row>
    <row r="44324">
      <c r="B44324" s="309"/>
      <c r="C44324" s="309"/>
      <c r="I44324" s="309"/>
      <c r="J44324" s="309"/>
    </row>
    <row r="44325">
      <c r="B44325" s="309"/>
      <c r="C44325" s="309"/>
      <c r="I44325" s="309"/>
      <c r="J44325" s="309"/>
    </row>
    <row r="44326">
      <c r="B44326" s="309"/>
      <c r="C44326" s="309"/>
      <c r="I44326" s="309"/>
      <c r="J44326" s="309"/>
    </row>
    <row r="44327">
      <c r="B44327" s="309"/>
      <c r="C44327" s="309"/>
      <c r="I44327" s="309"/>
      <c r="J44327" s="309"/>
    </row>
    <row r="44328">
      <c r="B44328" s="309"/>
      <c r="C44328" s="309"/>
      <c r="I44328" s="309"/>
      <c r="J44328" s="309"/>
    </row>
    <row r="44329">
      <c r="B44329" s="309"/>
      <c r="C44329" s="309"/>
      <c r="I44329" s="309"/>
      <c r="J44329" s="309"/>
    </row>
    <row r="44330">
      <c r="B44330" s="309"/>
      <c r="C44330" s="309"/>
      <c r="I44330" s="309"/>
      <c r="J44330" s="309"/>
    </row>
    <row r="44331">
      <c r="B44331" s="309"/>
      <c r="C44331" s="309"/>
      <c r="I44331" s="309"/>
      <c r="J44331" s="309"/>
    </row>
    <row r="44332">
      <c r="B44332" s="309"/>
      <c r="C44332" s="309"/>
      <c r="I44332" s="309"/>
      <c r="J44332" s="309"/>
    </row>
    <row r="44333">
      <c r="B44333" s="309"/>
      <c r="C44333" s="309"/>
      <c r="I44333" s="309"/>
      <c r="J44333" s="309"/>
    </row>
    <row r="44334">
      <c r="B44334" s="309"/>
      <c r="C44334" s="309"/>
      <c r="I44334" s="309"/>
      <c r="J44334" s="309"/>
    </row>
    <row r="44335">
      <c r="B44335" s="309"/>
      <c r="C44335" s="309"/>
      <c r="I44335" s="309"/>
      <c r="J44335" s="309"/>
    </row>
    <row r="44336">
      <c r="B44336" s="309"/>
      <c r="C44336" s="309"/>
      <c r="I44336" s="309"/>
      <c r="J44336" s="309"/>
    </row>
    <row r="44337">
      <c r="B44337" s="309"/>
      <c r="C44337" s="309"/>
      <c r="I44337" s="309"/>
      <c r="J44337" s="309"/>
    </row>
    <row r="44338">
      <c r="B44338" s="309"/>
      <c r="C44338" s="309"/>
      <c r="I44338" s="309"/>
      <c r="J44338" s="309"/>
    </row>
    <row r="44339">
      <c r="B44339" s="309"/>
      <c r="C44339" s="309"/>
      <c r="I44339" s="309"/>
      <c r="J44339" s="309"/>
    </row>
    <row r="44340">
      <c r="B44340" s="309"/>
      <c r="C44340" s="309"/>
      <c r="I44340" s="309"/>
      <c r="J44340" s="309"/>
    </row>
    <row r="44341">
      <c r="B44341" s="309"/>
      <c r="C44341" s="309"/>
      <c r="I44341" s="309"/>
      <c r="J44341" s="309"/>
    </row>
    <row r="44342">
      <c r="B44342" s="309"/>
      <c r="C44342" s="309"/>
      <c r="I44342" s="309"/>
      <c r="J44342" s="309"/>
    </row>
    <row r="44343">
      <c r="B44343" s="309"/>
      <c r="C44343" s="309"/>
      <c r="I44343" s="309"/>
      <c r="J44343" s="309"/>
    </row>
    <row r="44344">
      <c r="B44344" s="309"/>
      <c r="C44344" s="309"/>
      <c r="I44344" s="309"/>
      <c r="J44344" s="309"/>
    </row>
    <row r="44345">
      <c r="B44345" s="309"/>
      <c r="C44345" s="309"/>
      <c r="I44345" s="309"/>
      <c r="J44345" s="309"/>
    </row>
    <row r="44346">
      <c r="B44346" s="309"/>
      <c r="C44346" s="309"/>
      <c r="I44346" s="309"/>
      <c r="J44346" s="309"/>
    </row>
    <row r="44347">
      <c r="B44347" s="309"/>
      <c r="C44347" s="309"/>
      <c r="I44347" s="309"/>
      <c r="J44347" s="309"/>
    </row>
    <row r="44348">
      <c r="B44348" s="309"/>
      <c r="C44348" s="309"/>
      <c r="I44348" s="309"/>
      <c r="J44348" s="309"/>
    </row>
    <row r="44349">
      <c r="B44349" s="309"/>
      <c r="C44349" s="309"/>
      <c r="I44349" s="309"/>
      <c r="J44349" s="309"/>
    </row>
    <row r="44350">
      <c r="B44350" s="309"/>
      <c r="C44350" s="309"/>
      <c r="I44350" s="309"/>
      <c r="J44350" s="309"/>
    </row>
    <row r="44351">
      <c r="B44351" s="309"/>
      <c r="C44351" s="309"/>
      <c r="I44351" s="309"/>
      <c r="J44351" s="309"/>
    </row>
    <row r="44352">
      <c r="B44352" s="309"/>
      <c r="C44352" s="309"/>
      <c r="I44352" s="309"/>
      <c r="J44352" s="309"/>
    </row>
    <row r="44353">
      <c r="B44353" s="309"/>
      <c r="C44353" s="309"/>
      <c r="I44353" s="309"/>
      <c r="J44353" s="309"/>
    </row>
    <row r="44354">
      <c r="B44354" s="309"/>
      <c r="C44354" s="309"/>
      <c r="I44354" s="309"/>
      <c r="J44354" s="309"/>
    </row>
    <row r="44355">
      <c r="B44355" s="309"/>
      <c r="C44355" s="309"/>
      <c r="I44355" s="309"/>
      <c r="J44355" s="309"/>
    </row>
    <row r="44356">
      <c r="B44356" s="309"/>
      <c r="C44356" s="309"/>
      <c r="I44356" s="309"/>
      <c r="J44356" s="309"/>
    </row>
    <row r="44357">
      <c r="B44357" s="309"/>
      <c r="C44357" s="309"/>
      <c r="I44357" s="309"/>
      <c r="J44357" s="309"/>
    </row>
    <row r="44358">
      <c r="B44358" s="309"/>
      <c r="C44358" s="309"/>
      <c r="I44358" s="309"/>
      <c r="J44358" s="309"/>
    </row>
    <row r="44359">
      <c r="B44359" s="309"/>
      <c r="C44359" s="309"/>
      <c r="I44359" s="309"/>
      <c r="J44359" s="309"/>
    </row>
    <row r="44360">
      <c r="B44360" s="309"/>
      <c r="C44360" s="309"/>
      <c r="I44360" s="309"/>
      <c r="J44360" s="309"/>
    </row>
    <row r="44361">
      <c r="B44361" s="309"/>
      <c r="C44361" s="309"/>
      <c r="I44361" s="309"/>
      <c r="J44361" s="309"/>
    </row>
    <row r="44362">
      <c r="B44362" s="309"/>
      <c r="C44362" s="309"/>
      <c r="I44362" s="309"/>
      <c r="J44362" s="309"/>
    </row>
    <row r="44363">
      <c r="B44363" s="309"/>
      <c r="C44363" s="309"/>
      <c r="I44363" s="309"/>
      <c r="J44363" s="309"/>
    </row>
    <row r="44364">
      <c r="B44364" s="309"/>
      <c r="C44364" s="309"/>
      <c r="I44364" s="309"/>
      <c r="J44364" s="309"/>
    </row>
    <row r="44365">
      <c r="B44365" s="309"/>
      <c r="C44365" s="309"/>
      <c r="I44365" s="309"/>
      <c r="J44365" s="309"/>
    </row>
    <row r="44366">
      <c r="B44366" s="309"/>
      <c r="C44366" s="309"/>
      <c r="I44366" s="309"/>
      <c r="J44366" s="309"/>
    </row>
    <row r="44367">
      <c r="B44367" s="309"/>
      <c r="C44367" s="309"/>
      <c r="I44367" s="309"/>
      <c r="J44367" s="309"/>
    </row>
    <row r="44368">
      <c r="B44368" s="309"/>
      <c r="C44368" s="309"/>
      <c r="I44368" s="309"/>
      <c r="J44368" s="309"/>
    </row>
    <row r="44369">
      <c r="B44369" s="309"/>
      <c r="C44369" s="309"/>
      <c r="I44369" s="309"/>
      <c r="J44369" s="309"/>
    </row>
    <row r="44370">
      <c r="B44370" s="309"/>
      <c r="C44370" s="309"/>
      <c r="I44370" s="309"/>
      <c r="J44370" s="309"/>
    </row>
    <row r="44371">
      <c r="B44371" s="309"/>
      <c r="C44371" s="309"/>
      <c r="I44371" s="309"/>
      <c r="J44371" s="309"/>
    </row>
    <row r="44372">
      <c r="B44372" s="309"/>
      <c r="C44372" s="309"/>
      <c r="I44372" s="309"/>
      <c r="J44372" s="309"/>
    </row>
    <row r="44373">
      <c r="B44373" s="309"/>
      <c r="C44373" s="309"/>
      <c r="I44373" s="309"/>
      <c r="J44373" s="309"/>
    </row>
    <row r="44374">
      <c r="B44374" s="309"/>
      <c r="C44374" s="309"/>
      <c r="I44374" s="309"/>
      <c r="J44374" s="309"/>
    </row>
    <row r="44375">
      <c r="B44375" s="309"/>
      <c r="C44375" s="309"/>
      <c r="I44375" s="309"/>
      <c r="J44375" s="309"/>
    </row>
    <row r="44376">
      <c r="B44376" s="309"/>
      <c r="C44376" s="309"/>
      <c r="I44376" s="309"/>
      <c r="J44376" s="309"/>
    </row>
    <row r="44377">
      <c r="B44377" s="309"/>
      <c r="C44377" s="309"/>
      <c r="I44377" s="309"/>
      <c r="J44377" s="309"/>
    </row>
    <row r="44378">
      <c r="B44378" s="309"/>
      <c r="C44378" s="309"/>
      <c r="I44378" s="309"/>
      <c r="J44378" s="309"/>
    </row>
    <row r="44379">
      <c r="B44379" s="309"/>
      <c r="C44379" s="309"/>
      <c r="I44379" s="309"/>
      <c r="J44379" s="309"/>
    </row>
    <row r="44380">
      <c r="B44380" s="309"/>
      <c r="C44380" s="309"/>
      <c r="I44380" s="309"/>
      <c r="J44380" s="309"/>
    </row>
    <row r="44381">
      <c r="B44381" s="309"/>
      <c r="C44381" s="309"/>
      <c r="I44381" s="309"/>
      <c r="J44381" s="309"/>
    </row>
    <row r="44382">
      <c r="B44382" s="309"/>
      <c r="C44382" s="309"/>
      <c r="I44382" s="309"/>
      <c r="J44382" s="309"/>
    </row>
    <row r="44383">
      <c r="B44383" s="309"/>
      <c r="C44383" s="309"/>
      <c r="I44383" s="309"/>
      <c r="J44383" s="309"/>
    </row>
    <row r="44384">
      <c r="B44384" s="309"/>
      <c r="C44384" s="309"/>
      <c r="I44384" s="309"/>
      <c r="J44384" s="309"/>
    </row>
    <row r="44385">
      <c r="B44385" s="309"/>
      <c r="C44385" s="309"/>
      <c r="I44385" s="309"/>
      <c r="J44385" s="309"/>
    </row>
    <row r="44386">
      <c r="B44386" s="309"/>
      <c r="C44386" s="309"/>
      <c r="I44386" s="309"/>
      <c r="J44386" s="309"/>
    </row>
    <row r="44387">
      <c r="B44387" s="309"/>
      <c r="C44387" s="309"/>
      <c r="I44387" s="309"/>
      <c r="J44387" s="309"/>
    </row>
    <row r="44388">
      <c r="B44388" s="309"/>
      <c r="C44388" s="309"/>
      <c r="I44388" s="309"/>
      <c r="J44388" s="309"/>
    </row>
    <row r="44389">
      <c r="B44389" s="309"/>
      <c r="C44389" s="309"/>
      <c r="I44389" s="309"/>
      <c r="J44389" s="309"/>
    </row>
    <row r="44390">
      <c r="B44390" s="309"/>
      <c r="C44390" s="309"/>
      <c r="I44390" s="309"/>
      <c r="J44390" s="309"/>
    </row>
    <row r="44391">
      <c r="B44391" s="309"/>
      <c r="C44391" s="309"/>
      <c r="I44391" s="309"/>
      <c r="J44391" s="309"/>
    </row>
    <row r="44392">
      <c r="B44392" s="309"/>
      <c r="C44392" s="309"/>
      <c r="I44392" s="309"/>
      <c r="J44392" s="309"/>
    </row>
    <row r="44393">
      <c r="B44393" s="309"/>
      <c r="C44393" s="309"/>
      <c r="I44393" s="309"/>
      <c r="J44393" s="309"/>
    </row>
    <row r="44394">
      <c r="B44394" s="309"/>
      <c r="C44394" s="309"/>
      <c r="I44394" s="309"/>
      <c r="J44394" s="309"/>
    </row>
    <row r="44395">
      <c r="B44395" s="309"/>
      <c r="C44395" s="309"/>
      <c r="I44395" s="309"/>
      <c r="J44395" s="309"/>
    </row>
    <row r="44396">
      <c r="B44396" s="309"/>
      <c r="C44396" s="309"/>
      <c r="I44396" s="309"/>
      <c r="J44396" s="309"/>
    </row>
    <row r="44397">
      <c r="B44397" s="309"/>
      <c r="C44397" s="309"/>
      <c r="I44397" s="309"/>
      <c r="J44397" s="309"/>
    </row>
    <row r="44398">
      <c r="B44398" s="309"/>
      <c r="C44398" s="309"/>
      <c r="I44398" s="309"/>
      <c r="J44398" s="309"/>
    </row>
    <row r="44399">
      <c r="B44399" s="309"/>
      <c r="C44399" s="309"/>
      <c r="I44399" s="309"/>
      <c r="J44399" s="309"/>
    </row>
    <row r="44400">
      <c r="B44400" s="309"/>
      <c r="C44400" s="309"/>
      <c r="I44400" s="309"/>
      <c r="J44400" s="309"/>
    </row>
    <row r="44401">
      <c r="B44401" s="309"/>
      <c r="C44401" s="309"/>
      <c r="I44401" s="309"/>
      <c r="J44401" s="309"/>
    </row>
    <row r="44402">
      <c r="B44402" s="309"/>
      <c r="C44402" s="309"/>
      <c r="I44402" s="309"/>
      <c r="J44402" s="309"/>
    </row>
    <row r="44403">
      <c r="B44403" s="309"/>
      <c r="C44403" s="309"/>
      <c r="I44403" s="309"/>
      <c r="J44403" s="309"/>
    </row>
    <row r="44404">
      <c r="B44404" s="309"/>
      <c r="C44404" s="309"/>
      <c r="I44404" s="309"/>
      <c r="J44404" s="309"/>
    </row>
    <row r="44405">
      <c r="B44405" s="309"/>
      <c r="C44405" s="309"/>
      <c r="I44405" s="309"/>
      <c r="J44405" s="309"/>
    </row>
    <row r="44406">
      <c r="B44406" s="309"/>
      <c r="C44406" s="309"/>
      <c r="I44406" s="309"/>
      <c r="J44406" s="309"/>
    </row>
    <row r="44407">
      <c r="B44407" s="309"/>
      <c r="C44407" s="309"/>
      <c r="I44407" s="309"/>
      <c r="J44407" s="309"/>
    </row>
    <row r="44408">
      <c r="B44408" s="309"/>
      <c r="C44408" s="309"/>
      <c r="I44408" s="309"/>
      <c r="J44408" s="309"/>
    </row>
    <row r="44409">
      <c r="B44409" s="309"/>
      <c r="C44409" s="309"/>
      <c r="I44409" s="309"/>
      <c r="J44409" s="309"/>
    </row>
    <row r="44410">
      <c r="B44410" s="309"/>
      <c r="C44410" s="309"/>
      <c r="I44410" s="309"/>
      <c r="J44410" s="309"/>
    </row>
    <row r="44411">
      <c r="B44411" s="309"/>
      <c r="C44411" s="309"/>
      <c r="I44411" s="309"/>
      <c r="J44411" s="309"/>
    </row>
    <row r="44412">
      <c r="B44412" s="309"/>
      <c r="C44412" s="309"/>
      <c r="I44412" s="309"/>
      <c r="J44412" s="309"/>
    </row>
    <row r="44413">
      <c r="B44413" s="309"/>
      <c r="C44413" s="309"/>
      <c r="I44413" s="309"/>
      <c r="J44413" s="309"/>
    </row>
    <row r="44414">
      <c r="B44414" s="309"/>
      <c r="C44414" s="309"/>
      <c r="I44414" s="309"/>
      <c r="J44414" s="309"/>
    </row>
    <row r="44415">
      <c r="B44415" s="309"/>
      <c r="C44415" s="309"/>
      <c r="I44415" s="309"/>
      <c r="J44415" s="309"/>
    </row>
    <row r="44416">
      <c r="B44416" s="309"/>
      <c r="C44416" s="309"/>
      <c r="I44416" s="309"/>
      <c r="J44416" s="309"/>
    </row>
    <row r="44417">
      <c r="B44417" s="309"/>
      <c r="C44417" s="309"/>
      <c r="I44417" s="309"/>
      <c r="J44417" s="309"/>
    </row>
    <row r="44418">
      <c r="B44418" s="309"/>
      <c r="C44418" s="309"/>
      <c r="I44418" s="309"/>
      <c r="J44418" s="309"/>
    </row>
    <row r="44419">
      <c r="B44419" s="309"/>
      <c r="C44419" s="309"/>
      <c r="I44419" s="309"/>
      <c r="J44419" s="309"/>
    </row>
    <row r="44420">
      <c r="B44420" s="309"/>
      <c r="C44420" s="309"/>
      <c r="I44420" s="309"/>
      <c r="J44420" s="309"/>
    </row>
    <row r="44421">
      <c r="B44421" s="309"/>
      <c r="C44421" s="309"/>
      <c r="I44421" s="309"/>
      <c r="J44421" s="309"/>
    </row>
    <row r="44422">
      <c r="B44422" s="309"/>
      <c r="C44422" s="309"/>
      <c r="I44422" s="309"/>
      <c r="J44422" s="309"/>
    </row>
    <row r="44423">
      <c r="B44423" s="309"/>
      <c r="C44423" s="309"/>
      <c r="I44423" s="309"/>
      <c r="J44423" s="309"/>
    </row>
    <row r="44424">
      <c r="B44424" s="309"/>
      <c r="C44424" s="309"/>
      <c r="I44424" s="309"/>
      <c r="J44424" s="309"/>
    </row>
    <row r="44425">
      <c r="B44425" s="309"/>
      <c r="C44425" s="309"/>
      <c r="I44425" s="309"/>
      <c r="J44425" s="309"/>
    </row>
    <row r="44426">
      <c r="B44426" s="309"/>
      <c r="C44426" s="309"/>
      <c r="I44426" s="309"/>
      <c r="J44426" s="309"/>
    </row>
    <row r="44427">
      <c r="B44427" s="309"/>
      <c r="C44427" s="309"/>
      <c r="I44427" s="309"/>
      <c r="J44427" s="309"/>
    </row>
    <row r="44428">
      <c r="B44428" s="309"/>
      <c r="C44428" s="309"/>
      <c r="I44428" s="309"/>
      <c r="J44428" s="309"/>
    </row>
    <row r="44429">
      <c r="B44429" s="309"/>
      <c r="C44429" s="309"/>
      <c r="I44429" s="309"/>
      <c r="J44429" s="309"/>
    </row>
    <row r="44430">
      <c r="B44430" s="309"/>
      <c r="C44430" s="309"/>
      <c r="I44430" s="309"/>
      <c r="J44430" s="309"/>
    </row>
    <row r="44431">
      <c r="B44431" s="309"/>
      <c r="C44431" s="309"/>
      <c r="I44431" s="309"/>
      <c r="J44431" s="309"/>
    </row>
    <row r="44432">
      <c r="B44432" s="309"/>
      <c r="C44432" s="309"/>
      <c r="I44432" s="309"/>
      <c r="J44432" s="309"/>
    </row>
    <row r="44433">
      <c r="B44433" s="309"/>
      <c r="C44433" s="309"/>
      <c r="I44433" s="309"/>
      <c r="J44433" s="309"/>
    </row>
    <row r="44434">
      <c r="B44434" s="309"/>
      <c r="C44434" s="309"/>
      <c r="I44434" s="309"/>
      <c r="J44434" s="309"/>
    </row>
    <row r="44435">
      <c r="B44435" s="309"/>
      <c r="C44435" s="309"/>
      <c r="I44435" s="309"/>
      <c r="J44435" s="309"/>
    </row>
    <row r="44436">
      <c r="B44436" s="309"/>
      <c r="C44436" s="309"/>
      <c r="I44436" s="309"/>
      <c r="J44436" s="309"/>
    </row>
    <row r="44437">
      <c r="B44437" s="309"/>
      <c r="C44437" s="309"/>
      <c r="I44437" s="309"/>
      <c r="J44437" s="309"/>
    </row>
    <row r="44438">
      <c r="B44438" s="309"/>
      <c r="C44438" s="309"/>
      <c r="I44438" s="309"/>
      <c r="J44438" s="309"/>
    </row>
    <row r="44439">
      <c r="B44439" s="309"/>
      <c r="C44439" s="309"/>
      <c r="I44439" s="309"/>
      <c r="J44439" s="309"/>
    </row>
    <row r="44440">
      <c r="B44440" s="309"/>
      <c r="C44440" s="309"/>
      <c r="I44440" s="309"/>
      <c r="J44440" s="309"/>
    </row>
    <row r="44441">
      <c r="B44441" s="309"/>
      <c r="C44441" s="309"/>
      <c r="I44441" s="309"/>
      <c r="J44441" s="309"/>
    </row>
    <row r="44442">
      <c r="B44442" s="309"/>
      <c r="C44442" s="309"/>
      <c r="I44442" s="309"/>
      <c r="J44442" s="309"/>
    </row>
    <row r="44443">
      <c r="B44443" s="309"/>
      <c r="C44443" s="309"/>
      <c r="I44443" s="309"/>
      <c r="J44443" s="309"/>
    </row>
    <row r="44444">
      <c r="B44444" s="309"/>
      <c r="C44444" s="309"/>
      <c r="I44444" s="309"/>
      <c r="J44444" s="309"/>
    </row>
    <row r="44445">
      <c r="B44445" s="309"/>
      <c r="C44445" s="309"/>
      <c r="I44445" s="309"/>
      <c r="J44445" s="309"/>
    </row>
    <row r="44446">
      <c r="B44446" s="309"/>
      <c r="C44446" s="309"/>
      <c r="I44446" s="309"/>
      <c r="J44446" s="309"/>
    </row>
    <row r="44447">
      <c r="B44447" s="309"/>
      <c r="C44447" s="309"/>
      <c r="I44447" s="309"/>
      <c r="J44447" s="309"/>
    </row>
    <row r="44448">
      <c r="B44448" s="309"/>
      <c r="C44448" s="309"/>
      <c r="I44448" s="309"/>
      <c r="J44448" s="309"/>
    </row>
    <row r="44449">
      <c r="B44449" s="309"/>
      <c r="C44449" s="309"/>
      <c r="I44449" s="309"/>
      <c r="J44449" s="309"/>
    </row>
    <row r="44450">
      <c r="B44450" s="309"/>
      <c r="C44450" s="309"/>
      <c r="I44450" s="309"/>
      <c r="J44450" s="309"/>
    </row>
    <row r="44451">
      <c r="B44451" s="309"/>
      <c r="C44451" s="309"/>
      <c r="I44451" s="309"/>
      <c r="J44451" s="309"/>
    </row>
    <row r="44452">
      <c r="B44452" s="309"/>
      <c r="C44452" s="309"/>
      <c r="I44452" s="309"/>
      <c r="J44452" s="309"/>
    </row>
    <row r="44453">
      <c r="B44453" s="309"/>
      <c r="C44453" s="309"/>
      <c r="I44453" s="309"/>
      <c r="J44453" s="309"/>
    </row>
    <row r="44454">
      <c r="B44454" s="309"/>
      <c r="C44454" s="309"/>
      <c r="I44454" s="309"/>
      <c r="J44454" s="309"/>
    </row>
    <row r="44455">
      <c r="B44455" s="309"/>
      <c r="C44455" s="309"/>
      <c r="I44455" s="309"/>
      <c r="J44455" s="309"/>
    </row>
    <row r="44456">
      <c r="B44456" s="309"/>
      <c r="C44456" s="309"/>
      <c r="I44456" s="309"/>
      <c r="J44456" s="309"/>
    </row>
    <row r="44457">
      <c r="B44457" s="309"/>
      <c r="C44457" s="309"/>
      <c r="I44457" s="309"/>
      <c r="J44457" s="309"/>
    </row>
    <row r="44458">
      <c r="B44458" s="309"/>
      <c r="C44458" s="309"/>
      <c r="I44458" s="309"/>
      <c r="J44458" s="309"/>
    </row>
    <row r="44459">
      <c r="B44459" s="309"/>
      <c r="C44459" s="309"/>
      <c r="I44459" s="309"/>
      <c r="J44459" s="309"/>
    </row>
    <row r="44460">
      <c r="B44460" s="309"/>
      <c r="C44460" s="309"/>
      <c r="I44460" s="309"/>
      <c r="J44460" s="309"/>
    </row>
    <row r="44461">
      <c r="B44461" s="309"/>
      <c r="C44461" s="309"/>
      <c r="I44461" s="309"/>
      <c r="J44461" s="309"/>
    </row>
    <row r="44462">
      <c r="B44462" s="309"/>
      <c r="C44462" s="309"/>
      <c r="I44462" s="309"/>
      <c r="J44462" s="309"/>
    </row>
    <row r="44463">
      <c r="B44463" s="309"/>
      <c r="C44463" s="309"/>
      <c r="I44463" s="309"/>
      <c r="J44463" s="309"/>
    </row>
    <row r="44464">
      <c r="B44464" s="309"/>
      <c r="C44464" s="309"/>
      <c r="I44464" s="309"/>
      <c r="J44464" s="309"/>
    </row>
    <row r="44465">
      <c r="B44465" s="309"/>
      <c r="C44465" s="309"/>
      <c r="I44465" s="309"/>
      <c r="J44465" s="309"/>
    </row>
    <row r="44466">
      <c r="B44466" s="309"/>
      <c r="C44466" s="309"/>
      <c r="I44466" s="309"/>
      <c r="J44466" s="309"/>
    </row>
    <row r="44467">
      <c r="B44467" s="309"/>
      <c r="C44467" s="309"/>
      <c r="I44467" s="309"/>
      <c r="J44467" s="309"/>
    </row>
    <row r="44468">
      <c r="B44468" s="309"/>
      <c r="C44468" s="309"/>
      <c r="I44468" s="309"/>
      <c r="J44468" s="309"/>
    </row>
    <row r="44469">
      <c r="B44469" s="309"/>
      <c r="C44469" s="309"/>
      <c r="I44469" s="309"/>
      <c r="J44469" s="309"/>
    </row>
    <row r="44470">
      <c r="B44470" s="309"/>
      <c r="C44470" s="309"/>
      <c r="I44470" s="309"/>
      <c r="J44470" s="309"/>
    </row>
    <row r="44471">
      <c r="B44471" s="309"/>
      <c r="C44471" s="309"/>
      <c r="I44471" s="309"/>
      <c r="J44471" s="309"/>
    </row>
    <row r="44472">
      <c r="B44472" s="309"/>
      <c r="C44472" s="309"/>
      <c r="I44472" s="309"/>
      <c r="J44472" s="309"/>
    </row>
    <row r="44473">
      <c r="B44473" s="309"/>
      <c r="C44473" s="309"/>
      <c r="I44473" s="309"/>
      <c r="J44473" s="309"/>
    </row>
    <row r="44474">
      <c r="B44474" s="309"/>
      <c r="C44474" s="309"/>
      <c r="I44474" s="309"/>
      <c r="J44474" s="309"/>
    </row>
    <row r="44475">
      <c r="B44475" s="309"/>
      <c r="C44475" s="309"/>
      <c r="I44475" s="309"/>
      <c r="J44475" s="309"/>
    </row>
    <row r="44476">
      <c r="B44476" s="309"/>
      <c r="C44476" s="309"/>
      <c r="I44476" s="309"/>
      <c r="J44476" s="309"/>
    </row>
    <row r="44477">
      <c r="B44477" s="309"/>
      <c r="C44477" s="309"/>
      <c r="I44477" s="309"/>
      <c r="J44477" s="309"/>
    </row>
    <row r="44478">
      <c r="B44478" s="309"/>
      <c r="C44478" s="309"/>
      <c r="I44478" s="309"/>
      <c r="J44478" s="309"/>
    </row>
    <row r="44479">
      <c r="B44479" s="309"/>
      <c r="C44479" s="309"/>
      <c r="I44479" s="309"/>
      <c r="J44479" s="309"/>
    </row>
    <row r="44480">
      <c r="B44480" s="309"/>
      <c r="C44480" s="309"/>
      <c r="I44480" s="309"/>
      <c r="J44480" s="309"/>
    </row>
    <row r="44481">
      <c r="B44481" s="309"/>
      <c r="C44481" s="309"/>
      <c r="I44481" s="309"/>
      <c r="J44481" s="309"/>
    </row>
    <row r="44482">
      <c r="B44482" s="309"/>
      <c r="C44482" s="309"/>
      <c r="I44482" s="309"/>
      <c r="J44482" s="309"/>
    </row>
    <row r="44483">
      <c r="B44483" s="309"/>
      <c r="C44483" s="309"/>
      <c r="I44483" s="309"/>
      <c r="J44483" s="309"/>
    </row>
    <row r="44484">
      <c r="B44484" s="309"/>
      <c r="C44484" s="309"/>
      <c r="I44484" s="309"/>
      <c r="J44484" s="309"/>
    </row>
    <row r="44485">
      <c r="B44485" s="309"/>
      <c r="C44485" s="309"/>
      <c r="I44485" s="309"/>
      <c r="J44485" s="309"/>
    </row>
    <row r="44486">
      <c r="B44486" s="309"/>
      <c r="C44486" s="309"/>
      <c r="I44486" s="309"/>
      <c r="J44486" s="309"/>
    </row>
    <row r="44487">
      <c r="B44487" s="309"/>
      <c r="C44487" s="309"/>
      <c r="I44487" s="309"/>
      <c r="J44487" s="309"/>
    </row>
    <row r="44488">
      <c r="B44488" s="309"/>
      <c r="C44488" s="309"/>
      <c r="I44488" s="309"/>
      <c r="J44488" s="309"/>
    </row>
    <row r="44489">
      <c r="B44489" s="309"/>
      <c r="C44489" s="309"/>
      <c r="I44489" s="309"/>
      <c r="J44489" s="309"/>
    </row>
    <row r="44490">
      <c r="B44490" s="309"/>
      <c r="C44490" s="309"/>
      <c r="I44490" s="309"/>
      <c r="J44490" s="309"/>
    </row>
    <row r="44491">
      <c r="B44491" s="309"/>
      <c r="C44491" s="309"/>
      <c r="I44491" s="309"/>
      <c r="J44491" s="309"/>
    </row>
    <row r="44492">
      <c r="B44492" s="309"/>
      <c r="C44492" s="309"/>
      <c r="I44492" s="309"/>
      <c r="J44492" s="309"/>
    </row>
    <row r="44493">
      <c r="B44493" s="309"/>
      <c r="C44493" s="309"/>
      <c r="I44493" s="309"/>
      <c r="J44493" s="309"/>
    </row>
    <row r="44494">
      <c r="B44494" s="309"/>
      <c r="C44494" s="309"/>
      <c r="I44494" s="309"/>
      <c r="J44494" s="309"/>
    </row>
    <row r="44495">
      <c r="B44495" s="309"/>
      <c r="C44495" s="309"/>
      <c r="I44495" s="309"/>
      <c r="J44495" s="309"/>
    </row>
    <row r="44496">
      <c r="B44496" s="309"/>
      <c r="C44496" s="309"/>
      <c r="I44496" s="309"/>
      <c r="J44496" s="309"/>
    </row>
    <row r="44497">
      <c r="B44497" s="309"/>
      <c r="C44497" s="309"/>
      <c r="I44497" s="309"/>
      <c r="J44497" s="309"/>
    </row>
    <row r="44498">
      <c r="B44498" s="309"/>
      <c r="C44498" s="309"/>
      <c r="I44498" s="309"/>
      <c r="J44498" s="309"/>
    </row>
    <row r="44499">
      <c r="B44499" s="309"/>
      <c r="C44499" s="309"/>
      <c r="I44499" s="309"/>
      <c r="J44499" s="309"/>
    </row>
    <row r="44500">
      <c r="B44500" s="309"/>
      <c r="C44500" s="309"/>
      <c r="I44500" s="309"/>
      <c r="J44500" s="309"/>
    </row>
    <row r="44501">
      <c r="B44501" s="309"/>
      <c r="C44501" s="309"/>
      <c r="I44501" s="309"/>
      <c r="J44501" s="309"/>
    </row>
    <row r="44502">
      <c r="B44502" s="309"/>
      <c r="C44502" s="309"/>
      <c r="I44502" s="309"/>
      <c r="J44502" s="309"/>
    </row>
    <row r="44503">
      <c r="B44503" s="309"/>
      <c r="C44503" s="309"/>
      <c r="I44503" s="309"/>
      <c r="J44503" s="309"/>
    </row>
    <row r="44504">
      <c r="B44504" s="309"/>
      <c r="C44504" s="309"/>
      <c r="I44504" s="309"/>
      <c r="J44504" s="309"/>
    </row>
    <row r="44505">
      <c r="B44505" s="309"/>
      <c r="C44505" s="309"/>
      <c r="I44505" s="309"/>
      <c r="J44505" s="309"/>
    </row>
    <row r="44506">
      <c r="B44506" s="309"/>
      <c r="C44506" s="309"/>
      <c r="I44506" s="309"/>
      <c r="J44506" s="309"/>
    </row>
    <row r="44507">
      <c r="B44507" s="309"/>
      <c r="C44507" s="309"/>
      <c r="I44507" s="309"/>
      <c r="J44507" s="309"/>
    </row>
    <row r="44508">
      <c r="B44508" s="309"/>
      <c r="C44508" s="309"/>
      <c r="I44508" s="309"/>
      <c r="J44508" s="309"/>
    </row>
    <row r="44509">
      <c r="B44509" s="309"/>
      <c r="C44509" s="309"/>
      <c r="I44509" s="309"/>
      <c r="J44509" s="309"/>
    </row>
    <row r="44510">
      <c r="B44510" s="309"/>
      <c r="C44510" s="309"/>
      <c r="I44510" s="309"/>
      <c r="J44510" s="309"/>
    </row>
    <row r="44511">
      <c r="B44511" s="309"/>
      <c r="C44511" s="309"/>
      <c r="I44511" s="309"/>
      <c r="J44511" s="309"/>
    </row>
    <row r="44512">
      <c r="B44512" s="309"/>
      <c r="C44512" s="309"/>
      <c r="I44512" s="309"/>
      <c r="J44512" s="309"/>
    </row>
    <row r="44513">
      <c r="B44513" s="309"/>
      <c r="C44513" s="309"/>
      <c r="I44513" s="309"/>
      <c r="J44513" s="309"/>
    </row>
    <row r="44514">
      <c r="B44514" s="309"/>
      <c r="C44514" s="309"/>
      <c r="I44514" s="309"/>
      <c r="J44514" s="309"/>
    </row>
    <row r="44515">
      <c r="B44515" s="309"/>
      <c r="C44515" s="309"/>
      <c r="I44515" s="309"/>
      <c r="J44515" s="309"/>
    </row>
    <row r="44516">
      <c r="B44516" s="309"/>
      <c r="C44516" s="309"/>
      <c r="I44516" s="309"/>
      <c r="J44516" s="309"/>
    </row>
    <row r="44517">
      <c r="B44517" s="309"/>
      <c r="C44517" s="309"/>
      <c r="I44517" s="309"/>
      <c r="J44517" s="309"/>
    </row>
    <row r="44518">
      <c r="B44518" s="309"/>
      <c r="C44518" s="309"/>
      <c r="I44518" s="309"/>
      <c r="J44518" s="309"/>
    </row>
    <row r="44519">
      <c r="B44519" s="309"/>
      <c r="C44519" s="309"/>
      <c r="I44519" s="309"/>
      <c r="J44519" s="309"/>
    </row>
    <row r="44520">
      <c r="B44520" s="309"/>
      <c r="C44520" s="309"/>
      <c r="I44520" s="309"/>
      <c r="J44520" s="309"/>
    </row>
    <row r="44521">
      <c r="B44521" s="309"/>
      <c r="C44521" s="309"/>
      <c r="I44521" s="309"/>
      <c r="J44521" s="309"/>
    </row>
    <row r="44522">
      <c r="B44522" s="309"/>
      <c r="C44522" s="309"/>
      <c r="I44522" s="309"/>
      <c r="J44522" s="309"/>
    </row>
    <row r="44523">
      <c r="B44523" s="309"/>
      <c r="C44523" s="309"/>
      <c r="I44523" s="309"/>
      <c r="J44523" s="309"/>
    </row>
    <row r="44524">
      <c r="B44524" s="309"/>
      <c r="C44524" s="309"/>
      <c r="I44524" s="309"/>
      <c r="J44524" s="309"/>
    </row>
    <row r="44525">
      <c r="B44525" s="309"/>
      <c r="C44525" s="309"/>
      <c r="I44525" s="309"/>
      <c r="J44525" s="309"/>
    </row>
    <row r="44526">
      <c r="B44526" s="309"/>
      <c r="C44526" s="309"/>
      <c r="I44526" s="309"/>
      <c r="J44526" s="309"/>
    </row>
    <row r="44527">
      <c r="B44527" s="309"/>
      <c r="C44527" s="309"/>
      <c r="I44527" s="309"/>
      <c r="J44527" s="309"/>
    </row>
    <row r="44528">
      <c r="B44528" s="309"/>
      <c r="C44528" s="309"/>
      <c r="I44528" s="309"/>
      <c r="J44528" s="309"/>
    </row>
    <row r="44529">
      <c r="B44529" s="309"/>
      <c r="C44529" s="309"/>
      <c r="I44529" s="309"/>
      <c r="J44529" s="309"/>
    </row>
    <row r="44530">
      <c r="B44530" s="309"/>
      <c r="C44530" s="309"/>
      <c r="I44530" s="309"/>
      <c r="J44530" s="309"/>
    </row>
    <row r="44531">
      <c r="B44531" s="309"/>
      <c r="C44531" s="309"/>
      <c r="I44531" s="309"/>
      <c r="J44531" s="309"/>
    </row>
    <row r="44532">
      <c r="B44532" s="309"/>
      <c r="C44532" s="309"/>
      <c r="I44532" s="309"/>
      <c r="J44532" s="309"/>
    </row>
    <row r="44533">
      <c r="B44533" s="309"/>
      <c r="C44533" s="309"/>
      <c r="I44533" s="309"/>
      <c r="J44533" s="309"/>
    </row>
    <row r="44534">
      <c r="B44534" s="309"/>
      <c r="C44534" s="309"/>
      <c r="I44534" s="309"/>
      <c r="J44534" s="309"/>
    </row>
    <row r="44535">
      <c r="B44535" s="309"/>
      <c r="C44535" s="309"/>
      <c r="I44535" s="309"/>
      <c r="J44535" s="309"/>
    </row>
    <row r="44536">
      <c r="B44536" s="309"/>
      <c r="C44536" s="309"/>
      <c r="I44536" s="309"/>
      <c r="J44536" s="309"/>
    </row>
    <row r="44537">
      <c r="B44537" s="309"/>
      <c r="C44537" s="309"/>
      <c r="I44537" s="309"/>
      <c r="J44537" s="309"/>
    </row>
    <row r="44538">
      <c r="B44538" s="309"/>
      <c r="C44538" s="309"/>
      <c r="I44538" s="309"/>
      <c r="J44538" s="309"/>
    </row>
    <row r="44539">
      <c r="B44539" s="309"/>
      <c r="C44539" s="309"/>
      <c r="I44539" s="309"/>
      <c r="J44539" s="309"/>
    </row>
    <row r="44540">
      <c r="B44540" s="309"/>
      <c r="C44540" s="309"/>
      <c r="I44540" s="309"/>
      <c r="J44540" s="309"/>
    </row>
    <row r="44541">
      <c r="B44541" s="309"/>
      <c r="C44541" s="309"/>
      <c r="I44541" s="309"/>
      <c r="J44541" s="309"/>
    </row>
    <row r="44542">
      <c r="B44542" s="309"/>
      <c r="C44542" s="309"/>
      <c r="I44542" s="309"/>
      <c r="J44542" s="309"/>
    </row>
    <row r="44543">
      <c r="B44543" s="309"/>
      <c r="C44543" s="309"/>
      <c r="I44543" s="309"/>
      <c r="J44543" s="309"/>
    </row>
    <row r="44544">
      <c r="B44544" s="309"/>
      <c r="C44544" s="309"/>
      <c r="I44544" s="309"/>
      <c r="J44544" s="309"/>
    </row>
    <row r="44545">
      <c r="B44545" s="309"/>
      <c r="C44545" s="309"/>
      <c r="I44545" s="309"/>
      <c r="J44545" s="309"/>
    </row>
    <row r="44546">
      <c r="B44546" s="309"/>
      <c r="C44546" s="309"/>
      <c r="I44546" s="309"/>
      <c r="J44546" s="309"/>
    </row>
    <row r="44547">
      <c r="B44547" s="309"/>
      <c r="C44547" s="309"/>
      <c r="I44547" s="309"/>
      <c r="J44547" s="309"/>
    </row>
    <row r="44548">
      <c r="B44548" s="309"/>
      <c r="C44548" s="309"/>
      <c r="I44548" s="309"/>
      <c r="J44548" s="309"/>
    </row>
    <row r="44549">
      <c r="B44549" s="309"/>
      <c r="C44549" s="309"/>
      <c r="I44549" s="309"/>
      <c r="J44549" s="309"/>
    </row>
    <row r="44550">
      <c r="B44550" s="309"/>
      <c r="C44550" s="309"/>
      <c r="I44550" s="309"/>
      <c r="J44550" s="309"/>
    </row>
    <row r="44551">
      <c r="B44551" s="309"/>
      <c r="C44551" s="309"/>
      <c r="I44551" s="309"/>
      <c r="J44551" s="309"/>
    </row>
    <row r="44552">
      <c r="B44552" s="309"/>
      <c r="C44552" s="309"/>
      <c r="I44552" s="309"/>
      <c r="J44552" s="309"/>
    </row>
    <row r="44553">
      <c r="B44553" s="309"/>
      <c r="C44553" s="309"/>
      <c r="I44553" s="309"/>
      <c r="J44553" s="309"/>
    </row>
    <row r="44554">
      <c r="B44554" s="309"/>
      <c r="C44554" s="309"/>
      <c r="I44554" s="309"/>
      <c r="J44554" s="309"/>
    </row>
    <row r="44555">
      <c r="B44555" s="309"/>
      <c r="C44555" s="309"/>
      <c r="I44555" s="309"/>
      <c r="J44555" s="309"/>
    </row>
    <row r="44556">
      <c r="B44556" s="309"/>
      <c r="C44556" s="309"/>
      <c r="I44556" s="309"/>
      <c r="J44556" s="309"/>
    </row>
    <row r="44557">
      <c r="B44557" s="309"/>
      <c r="C44557" s="309"/>
      <c r="I44557" s="309"/>
      <c r="J44557" s="309"/>
    </row>
    <row r="44558">
      <c r="B44558" s="309"/>
      <c r="C44558" s="309"/>
      <c r="I44558" s="309"/>
      <c r="J44558" s="309"/>
    </row>
    <row r="44559">
      <c r="B44559" s="309"/>
      <c r="C44559" s="309"/>
      <c r="I44559" s="309"/>
      <c r="J44559" s="309"/>
    </row>
    <row r="44560">
      <c r="B44560" s="309"/>
      <c r="C44560" s="309"/>
      <c r="I44560" s="309"/>
      <c r="J44560" s="309"/>
    </row>
    <row r="44561">
      <c r="B44561" s="309"/>
      <c r="C44561" s="309"/>
      <c r="I44561" s="309"/>
      <c r="J44561" s="309"/>
    </row>
    <row r="44562">
      <c r="B44562" s="309"/>
      <c r="C44562" s="309"/>
      <c r="I44562" s="309"/>
      <c r="J44562" s="309"/>
    </row>
    <row r="44563">
      <c r="B44563" s="309"/>
      <c r="C44563" s="309"/>
      <c r="I44563" s="309"/>
      <c r="J44563" s="309"/>
    </row>
    <row r="44564">
      <c r="B44564" s="309"/>
      <c r="C44564" s="309"/>
      <c r="I44564" s="309"/>
      <c r="J44564" s="309"/>
    </row>
    <row r="44565">
      <c r="B44565" s="309"/>
      <c r="C44565" s="309"/>
      <c r="I44565" s="309"/>
      <c r="J44565" s="309"/>
    </row>
    <row r="44566">
      <c r="B44566" s="309"/>
      <c r="C44566" s="309"/>
      <c r="I44566" s="309"/>
      <c r="J44566" s="309"/>
    </row>
    <row r="44567">
      <c r="B44567" s="309"/>
      <c r="C44567" s="309"/>
      <c r="I44567" s="309"/>
      <c r="J44567" s="309"/>
    </row>
    <row r="44568">
      <c r="B44568" s="309"/>
      <c r="C44568" s="309"/>
      <c r="I44568" s="309"/>
      <c r="J44568" s="309"/>
    </row>
    <row r="44569">
      <c r="B44569" s="309"/>
      <c r="C44569" s="309"/>
      <c r="I44569" s="309"/>
      <c r="J44569" s="309"/>
    </row>
    <row r="44570">
      <c r="B44570" s="309"/>
      <c r="C44570" s="309"/>
      <c r="I44570" s="309"/>
      <c r="J44570" s="309"/>
    </row>
    <row r="44571">
      <c r="B44571" s="309"/>
      <c r="C44571" s="309"/>
      <c r="I44571" s="309"/>
      <c r="J44571" s="309"/>
    </row>
    <row r="44572">
      <c r="B44572" s="309"/>
      <c r="C44572" s="309"/>
      <c r="I44572" s="309"/>
      <c r="J44572" s="309"/>
    </row>
    <row r="44573">
      <c r="B44573" s="309"/>
      <c r="C44573" s="309"/>
      <c r="I44573" s="309"/>
      <c r="J44573" s="309"/>
    </row>
    <row r="44574">
      <c r="B44574" s="309"/>
      <c r="C44574" s="309"/>
      <c r="I44574" s="309"/>
      <c r="J44574" s="309"/>
    </row>
    <row r="44575">
      <c r="B44575" s="309"/>
      <c r="C44575" s="309"/>
      <c r="I44575" s="309"/>
      <c r="J44575" s="309"/>
    </row>
    <row r="44576">
      <c r="B44576" s="309"/>
      <c r="C44576" s="309"/>
      <c r="I44576" s="309"/>
      <c r="J44576" s="309"/>
    </row>
    <row r="44577">
      <c r="B44577" s="309"/>
      <c r="C44577" s="309"/>
      <c r="I44577" s="309"/>
      <c r="J44577" s="309"/>
    </row>
    <row r="44578">
      <c r="B44578" s="309"/>
      <c r="C44578" s="309"/>
      <c r="I44578" s="309"/>
      <c r="J44578" s="309"/>
    </row>
    <row r="44579">
      <c r="B44579" s="309"/>
      <c r="C44579" s="309"/>
      <c r="I44579" s="309"/>
      <c r="J44579" s="309"/>
    </row>
    <row r="44580">
      <c r="B44580" s="309"/>
      <c r="C44580" s="309"/>
      <c r="I44580" s="309"/>
      <c r="J44580" s="309"/>
    </row>
    <row r="44581">
      <c r="B44581" s="309"/>
      <c r="C44581" s="309"/>
      <c r="I44581" s="309"/>
      <c r="J44581" s="309"/>
    </row>
    <row r="44582">
      <c r="B44582" s="309"/>
      <c r="C44582" s="309"/>
      <c r="I44582" s="309"/>
      <c r="J44582" s="309"/>
    </row>
    <row r="44583">
      <c r="B44583" s="309"/>
      <c r="C44583" s="309"/>
      <c r="I44583" s="309"/>
      <c r="J44583" s="309"/>
    </row>
    <row r="44584">
      <c r="B44584" s="309"/>
      <c r="C44584" s="309"/>
      <c r="I44584" s="309"/>
      <c r="J44584" s="309"/>
    </row>
    <row r="44585">
      <c r="B44585" s="309"/>
      <c r="C44585" s="309"/>
      <c r="I44585" s="309"/>
      <c r="J44585" s="309"/>
    </row>
    <row r="44586">
      <c r="B44586" s="309"/>
      <c r="C44586" s="309"/>
      <c r="I44586" s="309"/>
      <c r="J44586" s="309"/>
    </row>
    <row r="44587">
      <c r="B44587" s="309"/>
      <c r="C44587" s="309"/>
      <c r="I44587" s="309"/>
      <c r="J44587" s="309"/>
    </row>
    <row r="44588">
      <c r="B44588" s="309"/>
      <c r="C44588" s="309"/>
      <c r="I44588" s="309"/>
      <c r="J44588" s="309"/>
    </row>
    <row r="44589">
      <c r="B44589" s="309"/>
      <c r="C44589" s="309"/>
      <c r="I44589" s="309"/>
      <c r="J44589" s="309"/>
    </row>
    <row r="44590">
      <c r="B44590" s="309"/>
      <c r="C44590" s="309"/>
      <c r="I44590" s="309"/>
      <c r="J44590" s="309"/>
    </row>
    <row r="44591">
      <c r="B44591" s="309"/>
      <c r="C44591" s="309"/>
      <c r="I44591" s="309"/>
      <c r="J44591" s="309"/>
    </row>
    <row r="44592">
      <c r="B44592" s="309"/>
      <c r="C44592" s="309"/>
      <c r="I44592" s="309"/>
      <c r="J44592" s="309"/>
    </row>
    <row r="44593">
      <c r="B44593" s="309"/>
      <c r="C44593" s="309"/>
      <c r="I44593" s="309"/>
      <c r="J44593" s="309"/>
    </row>
    <row r="44594">
      <c r="B44594" s="309"/>
      <c r="C44594" s="309"/>
      <c r="I44594" s="309"/>
      <c r="J44594" s="309"/>
    </row>
    <row r="44595">
      <c r="B44595" s="309"/>
      <c r="C44595" s="309"/>
      <c r="I44595" s="309"/>
      <c r="J44595" s="309"/>
    </row>
    <row r="44596">
      <c r="B44596" s="309"/>
      <c r="C44596" s="309"/>
      <c r="I44596" s="309"/>
      <c r="J44596" s="309"/>
    </row>
    <row r="44597">
      <c r="B44597" s="309"/>
      <c r="C44597" s="309"/>
      <c r="I44597" s="309"/>
      <c r="J44597" s="309"/>
    </row>
    <row r="44598">
      <c r="B44598" s="309"/>
      <c r="C44598" s="309"/>
      <c r="I44598" s="309"/>
      <c r="J44598" s="309"/>
    </row>
    <row r="44599">
      <c r="B44599" s="309"/>
      <c r="C44599" s="309"/>
      <c r="I44599" s="309"/>
      <c r="J44599" s="309"/>
    </row>
    <row r="44600">
      <c r="B44600" s="309"/>
      <c r="C44600" s="309"/>
      <c r="I44600" s="309"/>
      <c r="J44600" s="309"/>
    </row>
    <row r="44601">
      <c r="B44601" s="309"/>
      <c r="C44601" s="309"/>
      <c r="I44601" s="309"/>
      <c r="J44601" s="309"/>
    </row>
    <row r="44602">
      <c r="B44602" s="309"/>
      <c r="C44602" s="309"/>
      <c r="I44602" s="309"/>
      <c r="J44602" s="309"/>
    </row>
    <row r="44603">
      <c r="B44603" s="309"/>
      <c r="C44603" s="309"/>
      <c r="I44603" s="309"/>
      <c r="J44603" s="309"/>
    </row>
    <row r="44604">
      <c r="B44604" s="309"/>
      <c r="C44604" s="309"/>
      <c r="I44604" s="309"/>
      <c r="J44604" s="309"/>
    </row>
    <row r="44605">
      <c r="B44605" s="309"/>
      <c r="C44605" s="309"/>
      <c r="I44605" s="309"/>
      <c r="J44605" s="309"/>
    </row>
    <row r="44606">
      <c r="B44606" s="309"/>
      <c r="C44606" s="309"/>
      <c r="I44606" s="309"/>
      <c r="J44606" s="309"/>
    </row>
    <row r="44607">
      <c r="B44607" s="309"/>
      <c r="C44607" s="309"/>
      <c r="I44607" s="309"/>
      <c r="J44607" s="309"/>
    </row>
    <row r="44608">
      <c r="B44608" s="309"/>
      <c r="C44608" s="309"/>
      <c r="I44608" s="309"/>
      <c r="J44608" s="309"/>
    </row>
    <row r="44609">
      <c r="B44609" s="309"/>
      <c r="C44609" s="309"/>
      <c r="I44609" s="309"/>
      <c r="J44609" s="309"/>
    </row>
    <row r="44610">
      <c r="B44610" s="309"/>
      <c r="C44610" s="309"/>
      <c r="I44610" s="309"/>
      <c r="J44610" s="309"/>
    </row>
    <row r="44611">
      <c r="B44611" s="309"/>
      <c r="C44611" s="309"/>
      <c r="I44611" s="309"/>
      <c r="J44611" s="309"/>
    </row>
    <row r="44612">
      <c r="B44612" s="309"/>
      <c r="C44612" s="309"/>
      <c r="I44612" s="309"/>
      <c r="J44612" s="309"/>
    </row>
    <row r="44613">
      <c r="B44613" s="309"/>
      <c r="C44613" s="309"/>
      <c r="I44613" s="309"/>
      <c r="J44613" s="309"/>
    </row>
    <row r="44614">
      <c r="B44614" s="309"/>
      <c r="C44614" s="309"/>
      <c r="I44614" s="309"/>
      <c r="J44614" s="309"/>
    </row>
    <row r="44615">
      <c r="B44615" s="309"/>
      <c r="C44615" s="309"/>
      <c r="I44615" s="309"/>
      <c r="J44615" s="309"/>
    </row>
    <row r="44616">
      <c r="B44616" s="309"/>
      <c r="C44616" s="309"/>
      <c r="I44616" s="309"/>
      <c r="J44616" s="309"/>
    </row>
    <row r="44617">
      <c r="B44617" s="309"/>
      <c r="C44617" s="309"/>
      <c r="I44617" s="309"/>
      <c r="J44617" s="309"/>
    </row>
    <row r="44618">
      <c r="B44618" s="309"/>
      <c r="C44618" s="309"/>
      <c r="I44618" s="309"/>
      <c r="J44618" s="309"/>
    </row>
    <row r="44619">
      <c r="B44619" s="309"/>
      <c r="C44619" s="309"/>
      <c r="I44619" s="309"/>
      <c r="J44619" s="309"/>
    </row>
    <row r="44620">
      <c r="B44620" s="309"/>
      <c r="C44620" s="309"/>
      <c r="I44620" s="309"/>
      <c r="J44620" s="309"/>
    </row>
    <row r="44621">
      <c r="B44621" s="309"/>
      <c r="C44621" s="309"/>
      <c r="I44621" s="309"/>
      <c r="J44621" s="309"/>
    </row>
    <row r="44622">
      <c r="B44622" s="309"/>
      <c r="C44622" s="309"/>
      <c r="I44622" s="309"/>
      <c r="J44622" s="309"/>
    </row>
    <row r="44623">
      <c r="B44623" s="309"/>
      <c r="C44623" s="309"/>
      <c r="I44623" s="309"/>
      <c r="J44623" s="309"/>
    </row>
    <row r="44624">
      <c r="B44624" s="309"/>
      <c r="C44624" s="309"/>
      <c r="I44624" s="309"/>
      <c r="J44624" s="309"/>
    </row>
    <row r="44625">
      <c r="B44625" s="309"/>
      <c r="C44625" s="309"/>
      <c r="I44625" s="309"/>
      <c r="J44625" s="309"/>
    </row>
    <row r="44626">
      <c r="B44626" s="309"/>
      <c r="C44626" s="309"/>
      <c r="I44626" s="309"/>
      <c r="J44626" s="309"/>
    </row>
    <row r="44627">
      <c r="B44627" s="309"/>
      <c r="C44627" s="309"/>
      <c r="I44627" s="309"/>
      <c r="J44627" s="309"/>
    </row>
    <row r="44628">
      <c r="B44628" s="309"/>
      <c r="C44628" s="309"/>
      <c r="I44628" s="309"/>
      <c r="J44628" s="309"/>
    </row>
    <row r="44629">
      <c r="B44629" s="309"/>
      <c r="C44629" s="309"/>
      <c r="I44629" s="309"/>
      <c r="J44629" s="309"/>
    </row>
    <row r="44630">
      <c r="B44630" s="309"/>
      <c r="C44630" s="309"/>
      <c r="I44630" s="309"/>
      <c r="J44630" s="309"/>
    </row>
    <row r="44631">
      <c r="B44631" s="309"/>
      <c r="C44631" s="309"/>
      <c r="I44631" s="309"/>
      <c r="J44631" s="309"/>
    </row>
    <row r="44632">
      <c r="B44632" s="309"/>
      <c r="C44632" s="309"/>
      <c r="I44632" s="309"/>
      <c r="J44632" s="309"/>
    </row>
    <row r="44633">
      <c r="B44633" s="309"/>
      <c r="C44633" s="309"/>
      <c r="I44633" s="309"/>
      <c r="J44633" s="309"/>
    </row>
    <row r="44634">
      <c r="B44634" s="309"/>
      <c r="C44634" s="309"/>
      <c r="I44634" s="309"/>
      <c r="J44634" s="309"/>
    </row>
    <row r="44635">
      <c r="B44635" s="309"/>
      <c r="C44635" s="309"/>
      <c r="I44635" s="309"/>
      <c r="J44635" s="309"/>
    </row>
    <row r="44636">
      <c r="B44636" s="309"/>
      <c r="C44636" s="309"/>
      <c r="I44636" s="309"/>
      <c r="J44636" s="309"/>
    </row>
    <row r="44637">
      <c r="B44637" s="309"/>
      <c r="C44637" s="309"/>
      <c r="I44637" s="309"/>
      <c r="J44637" s="309"/>
    </row>
    <row r="44638">
      <c r="B44638" s="309"/>
      <c r="C44638" s="309"/>
      <c r="I44638" s="309"/>
      <c r="J44638" s="309"/>
    </row>
    <row r="44639">
      <c r="B44639" s="309"/>
      <c r="C44639" s="309"/>
      <c r="I44639" s="309"/>
      <c r="J44639" s="309"/>
    </row>
    <row r="44640">
      <c r="B44640" s="309"/>
      <c r="C44640" s="309"/>
      <c r="I44640" s="309"/>
      <c r="J44640" s="309"/>
    </row>
    <row r="44641">
      <c r="B44641" s="309"/>
      <c r="C44641" s="309"/>
      <c r="I44641" s="309"/>
      <c r="J44641" s="309"/>
    </row>
    <row r="44642">
      <c r="B44642" s="309"/>
      <c r="C44642" s="309"/>
      <c r="I44642" s="309"/>
      <c r="J44642" s="309"/>
    </row>
    <row r="44643">
      <c r="B44643" s="309"/>
      <c r="C44643" s="309"/>
      <c r="I44643" s="309"/>
      <c r="J44643" s="309"/>
    </row>
    <row r="44644">
      <c r="B44644" s="309"/>
      <c r="C44644" s="309"/>
      <c r="I44644" s="309"/>
      <c r="J44644" s="309"/>
    </row>
    <row r="44645">
      <c r="B44645" s="309"/>
      <c r="C44645" s="309"/>
      <c r="I44645" s="309"/>
      <c r="J44645" s="309"/>
    </row>
    <row r="44646">
      <c r="B44646" s="309"/>
      <c r="C44646" s="309"/>
      <c r="I44646" s="309"/>
      <c r="J44646" s="309"/>
    </row>
    <row r="44647">
      <c r="B44647" s="309"/>
      <c r="C44647" s="309"/>
      <c r="I44647" s="309"/>
      <c r="J44647" s="309"/>
    </row>
    <row r="44648">
      <c r="B44648" s="309"/>
      <c r="C44648" s="309"/>
      <c r="I44648" s="309"/>
      <c r="J44648" s="309"/>
    </row>
    <row r="44649">
      <c r="B44649" s="309"/>
      <c r="C44649" s="309"/>
      <c r="I44649" s="309"/>
      <c r="J44649" s="309"/>
    </row>
    <row r="44650">
      <c r="B44650" s="309"/>
      <c r="C44650" s="309"/>
      <c r="I44650" s="309"/>
      <c r="J44650" s="309"/>
    </row>
    <row r="44651">
      <c r="B44651" s="309"/>
      <c r="C44651" s="309"/>
      <c r="I44651" s="309"/>
      <c r="J44651" s="309"/>
    </row>
    <row r="44652">
      <c r="B44652" s="309"/>
      <c r="C44652" s="309"/>
      <c r="I44652" s="309"/>
      <c r="J44652" s="309"/>
    </row>
    <row r="44653">
      <c r="B44653" s="309"/>
      <c r="C44653" s="309"/>
      <c r="I44653" s="309"/>
      <c r="J44653" s="309"/>
    </row>
    <row r="44654">
      <c r="B44654" s="309"/>
      <c r="C44654" s="309"/>
      <c r="I44654" s="309"/>
      <c r="J44654" s="309"/>
    </row>
    <row r="44655">
      <c r="B44655" s="309"/>
      <c r="C44655" s="309"/>
      <c r="I44655" s="309"/>
      <c r="J44655" s="309"/>
    </row>
    <row r="44656">
      <c r="B44656" s="309"/>
      <c r="C44656" s="309"/>
      <c r="I44656" s="309"/>
      <c r="J44656" s="309"/>
    </row>
    <row r="44657">
      <c r="B44657" s="309"/>
      <c r="C44657" s="309"/>
      <c r="I44657" s="309"/>
      <c r="J44657" s="309"/>
    </row>
    <row r="44658">
      <c r="B44658" s="309"/>
      <c r="C44658" s="309"/>
      <c r="I44658" s="309"/>
      <c r="J44658" s="309"/>
    </row>
    <row r="44659">
      <c r="B44659" s="309"/>
      <c r="C44659" s="309"/>
      <c r="I44659" s="309"/>
      <c r="J44659" s="309"/>
    </row>
    <row r="44660">
      <c r="B44660" s="309"/>
      <c r="C44660" s="309"/>
      <c r="I44660" s="309"/>
      <c r="J44660" s="309"/>
    </row>
    <row r="44661">
      <c r="B44661" s="309"/>
      <c r="C44661" s="309"/>
      <c r="I44661" s="309"/>
      <c r="J44661" s="309"/>
    </row>
    <row r="44662">
      <c r="B44662" s="309"/>
      <c r="C44662" s="309"/>
      <c r="I44662" s="309"/>
      <c r="J44662" s="309"/>
    </row>
    <row r="44663">
      <c r="B44663" s="309"/>
      <c r="C44663" s="309"/>
      <c r="I44663" s="309"/>
      <c r="J44663" s="309"/>
    </row>
    <row r="44664">
      <c r="B44664" s="309"/>
      <c r="C44664" s="309"/>
      <c r="I44664" s="309"/>
      <c r="J44664" s="309"/>
    </row>
    <row r="44665">
      <c r="B44665" s="309"/>
      <c r="C44665" s="309"/>
      <c r="I44665" s="309"/>
      <c r="J44665" s="309"/>
    </row>
    <row r="44666">
      <c r="B44666" s="309"/>
      <c r="C44666" s="309"/>
      <c r="I44666" s="309"/>
      <c r="J44666" s="309"/>
    </row>
    <row r="44667">
      <c r="B44667" s="309"/>
      <c r="C44667" s="309"/>
      <c r="I44667" s="309"/>
      <c r="J44667" s="309"/>
    </row>
    <row r="44668">
      <c r="B44668" s="309"/>
      <c r="C44668" s="309"/>
      <c r="I44668" s="309"/>
      <c r="J44668" s="309"/>
    </row>
    <row r="44669">
      <c r="B44669" s="309"/>
      <c r="C44669" s="309"/>
      <c r="I44669" s="309"/>
      <c r="J44669" s="309"/>
    </row>
    <row r="44670">
      <c r="B44670" s="309"/>
      <c r="C44670" s="309"/>
      <c r="I44670" s="309"/>
      <c r="J44670" s="309"/>
    </row>
    <row r="44671">
      <c r="B44671" s="309"/>
      <c r="C44671" s="309"/>
      <c r="I44671" s="309"/>
      <c r="J44671" s="309"/>
    </row>
    <row r="44672">
      <c r="B44672" s="309"/>
      <c r="C44672" s="309"/>
      <c r="I44672" s="309"/>
      <c r="J44672" s="309"/>
    </row>
    <row r="44673">
      <c r="B44673" s="309"/>
      <c r="C44673" s="309"/>
      <c r="I44673" s="309"/>
      <c r="J44673" s="309"/>
    </row>
    <row r="44674">
      <c r="B44674" s="309"/>
      <c r="C44674" s="309"/>
      <c r="I44674" s="309"/>
      <c r="J44674" s="309"/>
    </row>
    <row r="44675">
      <c r="B44675" s="309"/>
      <c r="C44675" s="309"/>
      <c r="I44675" s="309"/>
      <c r="J44675" s="309"/>
    </row>
    <row r="44676">
      <c r="B44676" s="309"/>
      <c r="C44676" s="309"/>
      <c r="I44676" s="309"/>
      <c r="J44676" s="309"/>
    </row>
    <row r="44677">
      <c r="B44677" s="309"/>
      <c r="C44677" s="309"/>
      <c r="I44677" s="309"/>
      <c r="J44677" s="309"/>
    </row>
    <row r="44678">
      <c r="B44678" s="309"/>
      <c r="C44678" s="309"/>
      <c r="I44678" s="309"/>
      <c r="J44678" s="309"/>
    </row>
    <row r="44679">
      <c r="B44679" s="309"/>
      <c r="C44679" s="309"/>
      <c r="I44679" s="309"/>
      <c r="J44679" s="309"/>
    </row>
    <row r="44680">
      <c r="B44680" s="309"/>
      <c r="C44680" s="309"/>
      <c r="I44680" s="309"/>
      <c r="J44680" s="309"/>
    </row>
    <row r="44681">
      <c r="B44681" s="309"/>
      <c r="C44681" s="309"/>
      <c r="I44681" s="309"/>
      <c r="J44681" s="309"/>
    </row>
    <row r="44682">
      <c r="B44682" s="309"/>
      <c r="C44682" s="309"/>
      <c r="I44682" s="309"/>
      <c r="J44682" s="309"/>
    </row>
    <row r="44683">
      <c r="B44683" s="309"/>
      <c r="C44683" s="309"/>
      <c r="I44683" s="309"/>
      <c r="J44683" s="309"/>
    </row>
    <row r="44684">
      <c r="B44684" s="309"/>
      <c r="C44684" s="309"/>
      <c r="I44684" s="309"/>
      <c r="J44684" s="309"/>
    </row>
    <row r="44685">
      <c r="B44685" s="309"/>
      <c r="C44685" s="309"/>
      <c r="I44685" s="309"/>
      <c r="J44685" s="309"/>
    </row>
    <row r="44686">
      <c r="B44686" s="309"/>
      <c r="C44686" s="309"/>
      <c r="I44686" s="309"/>
      <c r="J44686" s="309"/>
    </row>
    <row r="44687">
      <c r="B44687" s="309"/>
      <c r="C44687" s="309"/>
      <c r="I44687" s="309"/>
      <c r="J44687" s="309"/>
    </row>
    <row r="44688">
      <c r="B44688" s="309"/>
      <c r="C44688" s="309"/>
      <c r="I44688" s="309"/>
      <c r="J44688" s="309"/>
    </row>
    <row r="44689">
      <c r="B44689" s="309"/>
      <c r="C44689" s="309"/>
      <c r="I44689" s="309"/>
      <c r="J44689" s="309"/>
    </row>
    <row r="44690">
      <c r="B44690" s="309"/>
      <c r="C44690" s="309"/>
      <c r="I44690" s="309"/>
      <c r="J44690" s="309"/>
    </row>
    <row r="44691">
      <c r="B44691" s="309"/>
      <c r="C44691" s="309"/>
      <c r="I44691" s="309"/>
      <c r="J44691" s="309"/>
    </row>
    <row r="44692">
      <c r="B44692" s="309"/>
      <c r="C44692" s="309"/>
      <c r="I44692" s="309"/>
      <c r="J44692" s="309"/>
    </row>
    <row r="44693">
      <c r="B44693" s="309"/>
      <c r="C44693" s="309"/>
      <c r="I44693" s="309"/>
      <c r="J44693" s="309"/>
    </row>
    <row r="44694">
      <c r="B44694" s="309"/>
      <c r="C44694" s="309"/>
      <c r="I44694" s="309"/>
      <c r="J44694" s="309"/>
    </row>
    <row r="44695">
      <c r="B44695" s="309"/>
      <c r="C44695" s="309"/>
      <c r="I44695" s="309"/>
      <c r="J44695" s="309"/>
    </row>
    <row r="44696">
      <c r="B44696" s="309"/>
      <c r="C44696" s="309"/>
      <c r="I44696" s="309"/>
      <c r="J44696" s="309"/>
    </row>
    <row r="44697">
      <c r="B44697" s="309"/>
      <c r="C44697" s="309"/>
      <c r="I44697" s="309"/>
      <c r="J44697" s="309"/>
    </row>
    <row r="44698">
      <c r="B44698" s="309"/>
      <c r="C44698" s="309"/>
      <c r="I44698" s="309"/>
      <c r="J44698" s="309"/>
    </row>
    <row r="44699">
      <c r="B44699" s="309"/>
      <c r="C44699" s="309"/>
      <c r="I44699" s="309"/>
      <c r="J44699" s="309"/>
    </row>
    <row r="44700">
      <c r="B44700" s="309"/>
      <c r="C44700" s="309"/>
      <c r="I44700" s="309"/>
      <c r="J44700" s="309"/>
    </row>
    <row r="44701">
      <c r="B44701" s="309"/>
      <c r="C44701" s="309"/>
      <c r="I44701" s="309"/>
      <c r="J44701" s="309"/>
    </row>
    <row r="44702">
      <c r="B44702" s="309"/>
      <c r="C44702" s="309"/>
      <c r="I44702" s="309"/>
      <c r="J44702" s="309"/>
    </row>
    <row r="44703">
      <c r="B44703" s="309"/>
      <c r="C44703" s="309"/>
      <c r="I44703" s="309"/>
      <c r="J44703" s="309"/>
    </row>
    <row r="44704">
      <c r="B44704" s="309"/>
      <c r="C44704" s="309"/>
      <c r="I44704" s="309"/>
      <c r="J44704" s="309"/>
    </row>
    <row r="44705">
      <c r="B44705" s="309"/>
      <c r="C44705" s="309"/>
      <c r="I44705" s="309"/>
      <c r="J44705" s="309"/>
    </row>
    <row r="44706">
      <c r="B44706" s="309"/>
      <c r="C44706" s="309"/>
      <c r="I44706" s="309"/>
      <c r="J44706" s="309"/>
    </row>
    <row r="44707">
      <c r="B44707" s="309"/>
      <c r="C44707" s="309"/>
      <c r="I44707" s="309"/>
      <c r="J44707" s="309"/>
    </row>
    <row r="44708">
      <c r="B44708" s="309"/>
      <c r="C44708" s="309"/>
      <c r="I44708" s="309"/>
      <c r="J44708" s="309"/>
    </row>
    <row r="44709">
      <c r="B44709" s="309"/>
      <c r="C44709" s="309"/>
      <c r="I44709" s="309"/>
      <c r="J44709" s="309"/>
    </row>
    <row r="44710">
      <c r="B44710" s="309"/>
      <c r="C44710" s="309"/>
      <c r="I44710" s="309"/>
      <c r="J44710" s="309"/>
    </row>
    <row r="44711">
      <c r="B44711" s="309"/>
      <c r="C44711" s="309"/>
      <c r="I44711" s="309"/>
      <c r="J44711" s="309"/>
    </row>
    <row r="44712">
      <c r="B44712" s="309"/>
      <c r="C44712" s="309"/>
      <c r="I44712" s="309"/>
      <c r="J44712" s="309"/>
    </row>
    <row r="44713">
      <c r="B44713" s="309"/>
      <c r="C44713" s="309"/>
      <c r="I44713" s="309"/>
      <c r="J44713" s="309"/>
    </row>
    <row r="44714">
      <c r="B44714" s="309"/>
      <c r="C44714" s="309"/>
      <c r="I44714" s="309"/>
      <c r="J44714" s="309"/>
    </row>
    <row r="44715">
      <c r="B44715" s="309"/>
      <c r="C44715" s="309"/>
      <c r="I44715" s="309"/>
      <c r="J44715" s="309"/>
    </row>
    <row r="44716">
      <c r="B44716" s="309"/>
      <c r="C44716" s="309"/>
      <c r="I44716" s="309"/>
      <c r="J44716" s="309"/>
    </row>
    <row r="44717">
      <c r="B44717" s="309"/>
      <c r="C44717" s="309"/>
      <c r="I44717" s="309"/>
      <c r="J44717" s="309"/>
    </row>
    <row r="44718">
      <c r="B44718" s="309"/>
      <c r="C44718" s="309"/>
      <c r="I44718" s="309"/>
      <c r="J44718" s="309"/>
    </row>
    <row r="44719">
      <c r="B44719" s="309"/>
      <c r="C44719" s="309"/>
      <c r="I44719" s="309"/>
      <c r="J44719" s="309"/>
    </row>
    <row r="44720">
      <c r="B44720" s="309"/>
      <c r="C44720" s="309"/>
      <c r="I44720" s="309"/>
      <c r="J44720" s="309"/>
    </row>
    <row r="44721">
      <c r="B44721" s="309"/>
      <c r="C44721" s="309"/>
      <c r="I44721" s="309"/>
      <c r="J44721" s="309"/>
    </row>
    <row r="44722">
      <c r="B44722" s="309"/>
      <c r="C44722" s="309"/>
      <c r="I44722" s="309"/>
      <c r="J44722" s="309"/>
    </row>
    <row r="44723">
      <c r="B44723" s="309"/>
      <c r="C44723" s="309"/>
      <c r="I44723" s="309"/>
      <c r="J44723" s="309"/>
    </row>
    <row r="44724">
      <c r="B44724" s="309"/>
      <c r="C44724" s="309"/>
      <c r="I44724" s="309"/>
      <c r="J44724" s="309"/>
    </row>
    <row r="44725">
      <c r="B44725" s="309"/>
      <c r="C44725" s="309"/>
      <c r="I44725" s="309"/>
      <c r="J44725" s="309"/>
    </row>
    <row r="44726">
      <c r="B44726" s="309"/>
      <c r="C44726" s="309"/>
      <c r="I44726" s="309"/>
      <c r="J44726" s="309"/>
    </row>
    <row r="44727">
      <c r="B44727" s="309"/>
      <c r="C44727" s="309"/>
      <c r="I44727" s="309"/>
      <c r="J44727" s="309"/>
    </row>
    <row r="44728">
      <c r="B44728" s="309"/>
      <c r="C44728" s="309"/>
      <c r="I44728" s="309"/>
      <c r="J44728" s="309"/>
    </row>
    <row r="44729">
      <c r="B44729" s="309"/>
      <c r="C44729" s="309"/>
      <c r="I44729" s="309"/>
      <c r="J44729" s="309"/>
    </row>
    <row r="44730">
      <c r="B44730" s="309"/>
      <c r="C44730" s="309"/>
      <c r="I44730" s="309"/>
      <c r="J44730" s="309"/>
    </row>
    <row r="44731">
      <c r="B44731" s="309"/>
      <c r="C44731" s="309"/>
      <c r="I44731" s="309"/>
      <c r="J44731" s="309"/>
    </row>
    <row r="44732">
      <c r="B44732" s="309"/>
      <c r="C44732" s="309"/>
      <c r="I44732" s="309"/>
      <c r="J44732" s="309"/>
    </row>
    <row r="44733">
      <c r="B44733" s="309"/>
      <c r="C44733" s="309"/>
      <c r="I44733" s="309"/>
      <c r="J44733" s="309"/>
    </row>
    <row r="44734">
      <c r="B44734" s="309"/>
      <c r="C44734" s="309"/>
      <c r="I44734" s="309"/>
      <c r="J44734" s="309"/>
    </row>
    <row r="44735">
      <c r="B44735" s="309"/>
      <c r="C44735" s="309"/>
      <c r="I44735" s="309"/>
      <c r="J44735" s="309"/>
    </row>
    <row r="44736">
      <c r="B44736" s="309"/>
      <c r="C44736" s="309"/>
      <c r="I44736" s="309"/>
      <c r="J44736" s="309"/>
    </row>
    <row r="44737">
      <c r="B44737" s="309"/>
      <c r="C44737" s="309"/>
      <c r="I44737" s="309"/>
      <c r="J44737" s="309"/>
    </row>
    <row r="44738">
      <c r="B44738" s="309"/>
      <c r="C44738" s="309"/>
      <c r="I44738" s="309"/>
      <c r="J44738" s="309"/>
    </row>
    <row r="44739">
      <c r="B44739" s="309"/>
      <c r="C44739" s="309"/>
      <c r="I44739" s="309"/>
      <c r="J44739" s="309"/>
    </row>
    <row r="44740">
      <c r="B44740" s="309"/>
      <c r="C44740" s="309"/>
      <c r="I44740" s="309"/>
      <c r="J44740" s="309"/>
    </row>
    <row r="44741">
      <c r="B44741" s="309"/>
      <c r="C44741" s="309"/>
      <c r="I44741" s="309"/>
      <c r="J44741" s="309"/>
    </row>
    <row r="44742">
      <c r="B44742" s="309"/>
      <c r="C44742" s="309"/>
      <c r="I44742" s="309"/>
      <c r="J44742" s="309"/>
    </row>
    <row r="44743">
      <c r="B44743" s="309"/>
      <c r="C44743" s="309"/>
      <c r="I44743" s="309"/>
      <c r="J44743" s="309"/>
    </row>
    <row r="44744">
      <c r="B44744" s="309"/>
      <c r="C44744" s="309"/>
      <c r="I44744" s="309"/>
      <c r="J44744" s="309"/>
    </row>
    <row r="44745">
      <c r="B44745" s="309"/>
      <c r="C44745" s="309"/>
      <c r="I44745" s="309"/>
      <c r="J44745" s="309"/>
    </row>
    <row r="44746">
      <c r="B44746" s="309"/>
      <c r="C44746" s="309"/>
      <c r="I44746" s="309"/>
      <c r="J44746" s="309"/>
    </row>
    <row r="44747">
      <c r="B44747" s="309"/>
      <c r="C44747" s="309"/>
      <c r="I44747" s="309"/>
      <c r="J44747" s="309"/>
    </row>
    <row r="44748">
      <c r="B44748" s="309"/>
      <c r="C44748" s="309"/>
      <c r="I44748" s="309"/>
      <c r="J44748" s="309"/>
    </row>
    <row r="44749">
      <c r="B44749" s="309"/>
      <c r="C44749" s="309"/>
      <c r="I44749" s="309"/>
      <c r="J44749" s="309"/>
    </row>
    <row r="44750">
      <c r="B44750" s="309"/>
      <c r="C44750" s="309"/>
      <c r="I44750" s="309"/>
      <c r="J44750" s="309"/>
    </row>
    <row r="44751">
      <c r="B44751" s="309"/>
      <c r="C44751" s="309"/>
      <c r="I44751" s="309"/>
      <c r="J44751" s="309"/>
    </row>
    <row r="44752">
      <c r="B44752" s="309"/>
      <c r="C44752" s="309"/>
      <c r="I44752" s="309"/>
      <c r="J44752" s="309"/>
    </row>
    <row r="44753">
      <c r="B44753" s="309"/>
      <c r="C44753" s="309"/>
      <c r="I44753" s="309"/>
      <c r="J44753" s="309"/>
    </row>
    <row r="44754">
      <c r="B44754" s="309"/>
      <c r="C44754" s="309"/>
      <c r="I44754" s="309"/>
      <c r="J44754" s="309"/>
    </row>
    <row r="44755">
      <c r="B44755" s="309"/>
      <c r="C44755" s="309"/>
      <c r="I44755" s="309"/>
      <c r="J44755" s="309"/>
    </row>
    <row r="44756">
      <c r="B44756" s="309"/>
      <c r="C44756" s="309"/>
      <c r="I44756" s="309"/>
      <c r="J44756" s="309"/>
    </row>
    <row r="44757">
      <c r="B44757" s="309"/>
      <c r="C44757" s="309"/>
      <c r="I44757" s="309"/>
      <c r="J44757" s="309"/>
    </row>
    <row r="44758">
      <c r="B44758" s="309"/>
      <c r="C44758" s="309"/>
      <c r="I44758" s="309"/>
      <c r="J44758" s="309"/>
    </row>
    <row r="44759">
      <c r="B44759" s="309"/>
      <c r="C44759" s="309"/>
      <c r="I44759" s="309"/>
      <c r="J44759" s="309"/>
    </row>
    <row r="44760">
      <c r="B44760" s="309"/>
      <c r="C44760" s="309"/>
      <c r="I44760" s="309"/>
      <c r="J44760" s="309"/>
    </row>
    <row r="44761">
      <c r="B44761" s="309"/>
      <c r="C44761" s="309"/>
      <c r="I44761" s="309"/>
      <c r="J44761" s="309"/>
    </row>
    <row r="44762">
      <c r="B44762" s="309"/>
      <c r="C44762" s="309"/>
      <c r="I44762" s="309"/>
      <c r="J44762" s="309"/>
    </row>
    <row r="44763">
      <c r="B44763" s="309"/>
      <c r="C44763" s="309"/>
      <c r="I44763" s="309"/>
      <c r="J44763" s="309"/>
    </row>
    <row r="44764">
      <c r="B44764" s="309"/>
      <c r="C44764" s="309"/>
      <c r="I44764" s="309"/>
      <c r="J44764" s="309"/>
    </row>
    <row r="44765">
      <c r="B44765" s="309"/>
      <c r="C44765" s="309"/>
      <c r="I44765" s="309"/>
      <c r="J44765" s="309"/>
    </row>
    <row r="44766">
      <c r="B44766" s="309"/>
      <c r="C44766" s="309"/>
      <c r="I44766" s="309"/>
      <c r="J44766" s="309"/>
    </row>
    <row r="44767">
      <c r="B44767" s="309"/>
      <c r="C44767" s="309"/>
      <c r="I44767" s="309"/>
      <c r="J44767" s="309"/>
    </row>
    <row r="44768">
      <c r="B44768" s="309"/>
      <c r="C44768" s="309"/>
      <c r="I44768" s="309"/>
      <c r="J44768" s="309"/>
    </row>
    <row r="44769">
      <c r="B44769" s="309"/>
      <c r="C44769" s="309"/>
      <c r="I44769" s="309"/>
      <c r="J44769" s="309"/>
    </row>
    <row r="44770">
      <c r="B44770" s="309"/>
      <c r="C44770" s="309"/>
      <c r="I44770" s="309"/>
      <c r="J44770" s="309"/>
    </row>
    <row r="44771">
      <c r="B44771" s="309"/>
      <c r="C44771" s="309"/>
      <c r="I44771" s="309"/>
      <c r="J44771" s="309"/>
    </row>
    <row r="44772">
      <c r="B44772" s="309"/>
      <c r="C44772" s="309"/>
      <c r="I44772" s="309"/>
      <c r="J44772" s="309"/>
    </row>
    <row r="44773">
      <c r="B44773" s="309"/>
      <c r="C44773" s="309"/>
      <c r="I44773" s="309"/>
      <c r="J44773" s="309"/>
    </row>
    <row r="44774">
      <c r="B44774" s="309"/>
      <c r="C44774" s="309"/>
      <c r="I44774" s="309"/>
      <c r="J44774" s="309"/>
    </row>
    <row r="44775">
      <c r="B44775" s="309"/>
      <c r="C44775" s="309"/>
      <c r="I44775" s="309"/>
      <c r="J44775" s="309"/>
    </row>
    <row r="44776">
      <c r="B44776" s="309"/>
      <c r="C44776" s="309"/>
      <c r="I44776" s="309"/>
      <c r="J44776" s="309"/>
    </row>
    <row r="44777">
      <c r="B44777" s="309"/>
      <c r="C44777" s="309"/>
      <c r="I44777" s="309"/>
      <c r="J44777" s="309"/>
    </row>
    <row r="44778">
      <c r="B44778" s="309"/>
      <c r="C44778" s="309"/>
      <c r="I44778" s="309"/>
      <c r="J44778" s="309"/>
    </row>
    <row r="44779">
      <c r="B44779" s="309"/>
      <c r="C44779" s="309"/>
      <c r="I44779" s="309"/>
      <c r="J44779" s="309"/>
    </row>
    <row r="44780">
      <c r="B44780" s="309"/>
      <c r="C44780" s="309"/>
      <c r="I44780" s="309"/>
      <c r="J44780" s="309"/>
    </row>
    <row r="44781">
      <c r="B44781" s="309"/>
      <c r="C44781" s="309"/>
      <c r="I44781" s="309"/>
      <c r="J44781" s="309"/>
    </row>
    <row r="44782">
      <c r="B44782" s="309"/>
      <c r="C44782" s="309"/>
      <c r="I44782" s="309"/>
      <c r="J44782" s="309"/>
    </row>
    <row r="44783">
      <c r="B44783" s="309"/>
      <c r="C44783" s="309"/>
      <c r="I44783" s="309"/>
      <c r="J44783" s="309"/>
    </row>
    <row r="44784">
      <c r="B44784" s="309"/>
      <c r="C44784" s="309"/>
      <c r="I44784" s="309"/>
      <c r="J44784" s="309"/>
    </row>
    <row r="44785">
      <c r="B44785" s="309"/>
      <c r="C44785" s="309"/>
      <c r="I44785" s="309"/>
      <c r="J44785" s="309"/>
    </row>
    <row r="44786">
      <c r="B44786" s="309"/>
      <c r="C44786" s="309"/>
      <c r="I44786" s="309"/>
      <c r="J44786" s="309"/>
    </row>
    <row r="44787">
      <c r="B44787" s="309"/>
      <c r="C44787" s="309"/>
      <c r="I44787" s="309"/>
      <c r="J44787" s="309"/>
    </row>
    <row r="44788">
      <c r="B44788" s="309"/>
      <c r="C44788" s="309"/>
      <c r="I44788" s="309"/>
      <c r="J44788" s="309"/>
    </row>
    <row r="44789">
      <c r="B44789" s="309"/>
      <c r="C44789" s="309"/>
      <c r="I44789" s="309"/>
      <c r="J44789" s="309"/>
    </row>
    <row r="44790">
      <c r="B44790" s="309"/>
      <c r="C44790" s="309"/>
      <c r="I44790" s="309"/>
      <c r="J44790" s="309"/>
    </row>
    <row r="44791">
      <c r="B44791" s="309"/>
      <c r="C44791" s="309"/>
      <c r="I44791" s="309"/>
      <c r="J44791" s="309"/>
    </row>
    <row r="44792">
      <c r="B44792" s="309"/>
      <c r="C44792" s="309"/>
      <c r="I44792" s="309"/>
      <c r="J44792" s="309"/>
    </row>
    <row r="44793">
      <c r="B44793" s="309"/>
      <c r="C44793" s="309"/>
      <c r="I44793" s="309"/>
      <c r="J44793" s="309"/>
    </row>
    <row r="44794">
      <c r="B44794" s="309"/>
      <c r="C44794" s="309"/>
      <c r="I44794" s="309"/>
      <c r="J44794" s="309"/>
    </row>
    <row r="44795">
      <c r="B44795" s="309"/>
      <c r="C44795" s="309"/>
      <c r="I44795" s="309"/>
      <c r="J44795" s="309"/>
    </row>
    <row r="44796">
      <c r="B44796" s="309"/>
      <c r="C44796" s="309"/>
      <c r="I44796" s="309"/>
      <c r="J44796" s="309"/>
    </row>
    <row r="44797">
      <c r="B44797" s="309"/>
      <c r="C44797" s="309"/>
      <c r="I44797" s="309"/>
      <c r="J44797" s="309"/>
    </row>
    <row r="44798">
      <c r="B44798" s="309"/>
      <c r="C44798" s="309"/>
      <c r="I44798" s="309"/>
      <c r="J44798" s="309"/>
    </row>
    <row r="44799">
      <c r="B44799" s="309"/>
      <c r="C44799" s="309"/>
      <c r="I44799" s="309"/>
      <c r="J44799" s="309"/>
    </row>
    <row r="44800">
      <c r="B44800" s="309"/>
      <c r="C44800" s="309"/>
      <c r="I44800" s="309"/>
      <c r="J44800" s="309"/>
    </row>
    <row r="44801">
      <c r="B44801" s="309"/>
      <c r="C44801" s="309"/>
      <c r="I44801" s="309"/>
      <c r="J44801" s="309"/>
    </row>
    <row r="44802">
      <c r="B44802" s="309"/>
      <c r="C44802" s="309"/>
      <c r="I44802" s="309"/>
      <c r="J44802" s="309"/>
    </row>
    <row r="44803">
      <c r="B44803" s="309"/>
      <c r="C44803" s="309"/>
      <c r="I44803" s="309"/>
      <c r="J44803" s="309"/>
    </row>
    <row r="44804">
      <c r="B44804" s="309"/>
      <c r="C44804" s="309"/>
      <c r="I44804" s="309"/>
      <c r="J44804" s="309"/>
    </row>
    <row r="44805">
      <c r="B44805" s="309"/>
      <c r="C44805" s="309"/>
      <c r="I44805" s="309"/>
      <c r="J44805" s="309"/>
    </row>
    <row r="44806">
      <c r="B44806" s="309"/>
      <c r="C44806" s="309"/>
      <c r="I44806" s="309"/>
      <c r="J44806" s="309"/>
    </row>
    <row r="44807">
      <c r="B44807" s="309"/>
      <c r="C44807" s="309"/>
      <c r="I44807" s="309"/>
      <c r="J44807" s="309"/>
    </row>
    <row r="44808">
      <c r="B44808" s="309"/>
      <c r="C44808" s="309"/>
      <c r="I44808" s="309"/>
      <c r="J44808" s="309"/>
    </row>
    <row r="44809">
      <c r="B44809" s="309"/>
      <c r="C44809" s="309"/>
      <c r="I44809" s="309"/>
      <c r="J44809" s="309"/>
    </row>
    <row r="44810">
      <c r="B44810" s="309"/>
      <c r="C44810" s="309"/>
      <c r="I44810" s="309"/>
      <c r="J44810" s="309"/>
    </row>
    <row r="44811">
      <c r="B44811" s="309"/>
      <c r="C44811" s="309"/>
      <c r="I44811" s="309"/>
      <c r="J44811" s="309"/>
    </row>
    <row r="44812">
      <c r="B44812" s="309"/>
      <c r="C44812" s="309"/>
      <c r="I44812" s="309"/>
      <c r="J44812" s="309"/>
    </row>
    <row r="44813">
      <c r="B44813" s="309"/>
      <c r="C44813" s="309"/>
      <c r="I44813" s="309"/>
      <c r="J44813" s="309"/>
    </row>
    <row r="44814">
      <c r="B44814" s="309"/>
      <c r="C44814" s="309"/>
      <c r="I44814" s="309"/>
      <c r="J44814" s="309"/>
    </row>
    <row r="44815">
      <c r="B44815" s="309"/>
      <c r="C44815" s="309"/>
      <c r="I44815" s="309"/>
      <c r="J44815" s="309"/>
    </row>
    <row r="44816">
      <c r="B44816" s="309"/>
      <c r="C44816" s="309"/>
      <c r="I44816" s="309"/>
      <c r="J44816" s="309"/>
    </row>
    <row r="44817">
      <c r="B44817" s="309"/>
      <c r="C44817" s="309"/>
      <c r="I44817" s="309"/>
      <c r="J44817" s="309"/>
    </row>
    <row r="44818">
      <c r="B44818" s="309"/>
      <c r="C44818" s="309"/>
      <c r="I44818" s="309"/>
      <c r="J44818" s="309"/>
    </row>
    <row r="44819">
      <c r="B44819" s="309"/>
      <c r="C44819" s="309"/>
      <c r="I44819" s="309"/>
      <c r="J44819" s="309"/>
    </row>
    <row r="44820">
      <c r="B44820" s="309"/>
      <c r="C44820" s="309"/>
      <c r="I44820" s="309"/>
      <c r="J44820" s="309"/>
    </row>
    <row r="44821">
      <c r="B44821" s="309"/>
      <c r="C44821" s="309"/>
      <c r="I44821" s="309"/>
      <c r="J44821" s="309"/>
    </row>
    <row r="44822">
      <c r="B44822" s="309"/>
      <c r="C44822" s="309"/>
      <c r="I44822" s="309"/>
      <c r="J44822" s="309"/>
    </row>
    <row r="44823">
      <c r="B44823" s="309"/>
      <c r="C44823" s="309"/>
      <c r="I44823" s="309"/>
      <c r="J44823" s="309"/>
    </row>
    <row r="44824">
      <c r="B44824" s="309"/>
      <c r="C44824" s="309"/>
      <c r="I44824" s="309"/>
      <c r="J44824" s="309"/>
    </row>
    <row r="44825">
      <c r="B44825" s="309"/>
      <c r="C44825" s="309"/>
      <c r="I44825" s="309"/>
      <c r="J44825" s="309"/>
    </row>
    <row r="44826">
      <c r="B44826" s="309"/>
      <c r="C44826" s="309"/>
      <c r="I44826" s="309"/>
      <c r="J44826" s="309"/>
    </row>
    <row r="44827">
      <c r="B44827" s="309"/>
      <c r="C44827" s="309"/>
      <c r="I44827" s="309"/>
      <c r="J44827" s="309"/>
    </row>
    <row r="44828">
      <c r="B44828" s="309"/>
      <c r="C44828" s="309"/>
      <c r="I44828" s="309"/>
      <c r="J44828" s="309"/>
    </row>
    <row r="44829">
      <c r="B44829" s="309"/>
      <c r="C44829" s="309"/>
      <c r="I44829" s="309"/>
      <c r="J44829" s="309"/>
    </row>
    <row r="44830">
      <c r="B44830" s="309"/>
      <c r="C44830" s="309"/>
      <c r="I44830" s="309"/>
      <c r="J44830" s="309"/>
    </row>
    <row r="44831">
      <c r="B44831" s="309"/>
      <c r="C44831" s="309"/>
      <c r="I44831" s="309"/>
      <c r="J44831" s="309"/>
    </row>
    <row r="44832">
      <c r="B44832" s="309"/>
      <c r="C44832" s="309"/>
      <c r="I44832" s="309"/>
      <c r="J44832" s="309"/>
    </row>
    <row r="44833">
      <c r="B44833" s="309"/>
      <c r="C44833" s="309"/>
      <c r="I44833" s="309"/>
      <c r="J44833" s="309"/>
    </row>
    <row r="44834">
      <c r="B44834" s="309"/>
      <c r="C44834" s="309"/>
      <c r="I44834" s="309"/>
      <c r="J44834" s="309"/>
    </row>
    <row r="44835">
      <c r="B44835" s="309"/>
      <c r="C44835" s="309"/>
      <c r="I44835" s="309"/>
      <c r="J44835" s="309"/>
    </row>
    <row r="44836">
      <c r="B44836" s="309"/>
      <c r="C44836" s="309"/>
      <c r="I44836" s="309"/>
      <c r="J44836" s="309"/>
    </row>
    <row r="44837">
      <c r="B44837" s="309"/>
      <c r="C44837" s="309"/>
      <c r="I44837" s="309"/>
      <c r="J44837" s="309"/>
    </row>
    <row r="44838">
      <c r="B44838" s="309"/>
      <c r="C44838" s="309"/>
      <c r="I44838" s="309"/>
      <c r="J44838" s="309"/>
    </row>
    <row r="44839">
      <c r="B44839" s="309"/>
      <c r="C44839" s="309"/>
      <c r="I44839" s="309"/>
      <c r="J44839" s="309"/>
    </row>
    <row r="44840">
      <c r="B44840" s="309"/>
      <c r="C44840" s="309"/>
      <c r="I44840" s="309"/>
      <c r="J44840" s="309"/>
    </row>
    <row r="44841">
      <c r="B44841" s="309"/>
      <c r="C44841" s="309"/>
      <c r="I44841" s="309"/>
      <c r="J44841" s="309"/>
    </row>
    <row r="44842">
      <c r="B44842" s="309"/>
      <c r="C44842" s="309"/>
      <c r="I44842" s="309"/>
      <c r="J44842" s="309"/>
    </row>
    <row r="44843">
      <c r="B44843" s="309"/>
      <c r="C44843" s="309"/>
      <c r="I44843" s="309"/>
      <c r="J44843" s="309"/>
    </row>
    <row r="44844">
      <c r="B44844" s="309"/>
      <c r="C44844" s="309"/>
      <c r="I44844" s="309"/>
      <c r="J44844" s="309"/>
    </row>
    <row r="44845">
      <c r="B44845" s="309"/>
      <c r="C44845" s="309"/>
      <c r="I44845" s="309"/>
      <c r="J44845" s="309"/>
    </row>
    <row r="44846">
      <c r="B44846" s="309"/>
      <c r="C44846" s="309"/>
      <c r="I44846" s="309"/>
      <c r="J44846" s="309"/>
    </row>
    <row r="44847">
      <c r="B44847" s="309"/>
      <c r="C44847" s="309"/>
      <c r="I44847" s="309"/>
      <c r="J44847" s="309"/>
    </row>
    <row r="44848">
      <c r="B44848" s="309"/>
      <c r="C44848" s="309"/>
      <c r="I44848" s="309"/>
      <c r="J44848" s="309"/>
    </row>
    <row r="44849">
      <c r="B44849" s="309"/>
      <c r="C44849" s="309"/>
      <c r="I44849" s="309"/>
      <c r="J44849" s="309"/>
    </row>
    <row r="44850">
      <c r="B44850" s="309"/>
      <c r="C44850" s="309"/>
      <c r="I44850" s="309"/>
      <c r="J44850" s="309"/>
    </row>
    <row r="44851">
      <c r="B44851" s="309"/>
      <c r="C44851" s="309"/>
      <c r="I44851" s="309"/>
      <c r="J44851" s="309"/>
    </row>
    <row r="44852">
      <c r="B44852" s="309"/>
      <c r="C44852" s="309"/>
      <c r="I44852" s="309"/>
      <c r="J44852" s="309"/>
    </row>
    <row r="44853">
      <c r="B44853" s="309"/>
      <c r="C44853" s="309"/>
      <c r="I44853" s="309"/>
      <c r="J44853" s="309"/>
    </row>
    <row r="44854">
      <c r="B44854" s="309"/>
      <c r="C44854" s="309"/>
      <c r="I44854" s="309"/>
      <c r="J44854" s="309"/>
    </row>
    <row r="44855">
      <c r="B44855" s="309"/>
      <c r="C44855" s="309"/>
      <c r="I44855" s="309"/>
      <c r="J44855" s="309"/>
    </row>
    <row r="44856">
      <c r="B44856" s="309"/>
      <c r="C44856" s="309"/>
      <c r="I44856" s="309"/>
      <c r="J44856" s="309"/>
    </row>
    <row r="44857">
      <c r="B44857" s="309"/>
      <c r="C44857" s="309"/>
      <c r="I44857" s="309"/>
      <c r="J44857" s="309"/>
    </row>
    <row r="44858">
      <c r="B44858" s="309"/>
      <c r="C44858" s="309"/>
      <c r="I44858" s="309"/>
      <c r="J44858" s="309"/>
    </row>
    <row r="44859">
      <c r="B44859" s="309"/>
      <c r="C44859" s="309"/>
      <c r="I44859" s="309"/>
      <c r="J44859" s="309"/>
    </row>
    <row r="44860">
      <c r="B44860" s="309"/>
      <c r="C44860" s="309"/>
      <c r="I44860" s="309"/>
      <c r="J44860" s="309"/>
    </row>
    <row r="44861">
      <c r="B44861" s="309"/>
      <c r="C44861" s="309"/>
      <c r="I44861" s="309"/>
      <c r="J44861" s="309"/>
    </row>
    <row r="44862">
      <c r="B44862" s="309"/>
      <c r="C44862" s="309"/>
      <c r="I44862" s="309"/>
      <c r="J44862" s="309"/>
    </row>
    <row r="44863">
      <c r="B44863" s="309"/>
      <c r="C44863" s="309"/>
      <c r="I44863" s="309"/>
      <c r="J44863" s="309"/>
    </row>
    <row r="44864">
      <c r="B44864" s="309"/>
      <c r="C44864" s="309"/>
      <c r="I44864" s="309"/>
      <c r="J44864" s="309"/>
    </row>
    <row r="44865">
      <c r="B44865" s="309"/>
      <c r="C44865" s="309"/>
      <c r="I44865" s="309"/>
      <c r="J44865" s="309"/>
    </row>
    <row r="44866">
      <c r="B44866" s="309"/>
      <c r="C44866" s="309"/>
      <c r="I44866" s="309"/>
      <c r="J44866" s="309"/>
    </row>
    <row r="44867">
      <c r="B44867" s="309"/>
      <c r="C44867" s="309"/>
      <c r="I44867" s="309"/>
      <c r="J44867" s="309"/>
    </row>
    <row r="44868">
      <c r="B44868" s="309"/>
      <c r="C44868" s="309"/>
      <c r="I44868" s="309"/>
      <c r="J44868" s="309"/>
    </row>
    <row r="44869">
      <c r="B44869" s="309"/>
      <c r="C44869" s="309"/>
      <c r="I44869" s="309"/>
      <c r="J44869" s="309"/>
    </row>
    <row r="44870">
      <c r="B44870" s="309"/>
      <c r="C44870" s="309"/>
      <c r="I44870" s="309"/>
      <c r="J44870" s="309"/>
    </row>
    <row r="44871">
      <c r="B44871" s="309"/>
      <c r="C44871" s="309"/>
      <c r="I44871" s="309"/>
      <c r="J44871" s="309"/>
    </row>
    <row r="44872">
      <c r="B44872" s="309"/>
      <c r="C44872" s="309"/>
      <c r="I44872" s="309"/>
      <c r="J44872" s="309"/>
    </row>
    <row r="44873">
      <c r="B44873" s="309"/>
      <c r="C44873" s="309"/>
      <c r="I44873" s="309"/>
      <c r="J44873" s="309"/>
    </row>
    <row r="44874">
      <c r="B44874" s="309"/>
      <c r="C44874" s="309"/>
      <c r="I44874" s="309"/>
      <c r="J44874" s="309"/>
    </row>
    <row r="44875">
      <c r="B44875" s="309"/>
      <c r="C44875" s="309"/>
      <c r="I44875" s="309"/>
      <c r="J44875" s="309"/>
    </row>
    <row r="44876">
      <c r="B44876" s="309"/>
      <c r="C44876" s="309"/>
      <c r="I44876" s="309"/>
      <c r="J44876" s="309"/>
    </row>
    <row r="44877">
      <c r="B44877" s="309"/>
      <c r="C44877" s="309"/>
      <c r="I44877" s="309"/>
      <c r="J44877" s="309"/>
    </row>
    <row r="44878">
      <c r="B44878" s="309"/>
      <c r="C44878" s="309"/>
      <c r="I44878" s="309"/>
      <c r="J44878" s="309"/>
    </row>
    <row r="44879">
      <c r="B44879" s="309"/>
      <c r="C44879" s="309"/>
      <c r="I44879" s="309"/>
      <c r="J44879" s="309"/>
    </row>
    <row r="44880">
      <c r="B44880" s="309"/>
      <c r="C44880" s="309"/>
      <c r="I44880" s="309"/>
      <c r="J44880" s="309"/>
    </row>
    <row r="44881">
      <c r="B44881" s="309"/>
      <c r="C44881" s="309"/>
      <c r="I44881" s="309"/>
      <c r="J44881" s="309"/>
    </row>
    <row r="44882">
      <c r="B44882" s="309"/>
      <c r="C44882" s="309"/>
      <c r="I44882" s="309"/>
      <c r="J44882" s="309"/>
    </row>
    <row r="44883">
      <c r="B44883" s="309"/>
      <c r="C44883" s="309"/>
      <c r="I44883" s="309"/>
      <c r="J44883" s="309"/>
    </row>
    <row r="44884">
      <c r="B44884" s="309"/>
      <c r="C44884" s="309"/>
      <c r="I44884" s="309"/>
      <c r="J44884" s="309"/>
    </row>
    <row r="44885">
      <c r="B44885" s="309"/>
      <c r="C44885" s="309"/>
      <c r="I44885" s="309"/>
      <c r="J44885" s="309"/>
    </row>
    <row r="44886">
      <c r="B44886" s="309"/>
      <c r="C44886" s="309"/>
      <c r="I44886" s="309"/>
      <c r="J44886" s="309"/>
    </row>
    <row r="44887">
      <c r="B44887" s="309"/>
      <c r="C44887" s="309"/>
      <c r="I44887" s="309"/>
      <c r="J44887" s="309"/>
    </row>
    <row r="44888">
      <c r="B44888" s="309"/>
      <c r="C44888" s="309"/>
      <c r="I44888" s="309"/>
      <c r="J44888" s="309"/>
    </row>
    <row r="44889">
      <c r="B44889" s="309"/>
      <c r="C44889" s="309"/>
      <c r="I44889" s="309"/>
      <c r="J44889" s="309"/>
    </row>
    <row r="44890">
      <c r="B44890" s="309"/>
      <c r="C44890" s="309"/>
      <c r="I44890" s="309"/>
      <c r="J44890" s="309"/>
    </row>
    <row r="44891">
      <c r="B44891" s="309"/>
      <c r="C44891" s="309"/>
      <c r="I44891" s="309"/>
      <c r="J44891" s="309"/>
    </row>
    <row r="44892">
      <c r="B44892" s="309"/>
      <c r="C44892" s="309"/>
      <c r="I44892" s="309"/>
      <c r="J44892" s="309"/>
    </row>
    <row r="44893">
      <c r="B44893" s="309"/>
      <c r="C44893" s="309"/>
      <c r="I44893" s="309"/>
      <c r="J44893" s="309"/>
    </row>
    <row r="44894">
      <c r="B44894" s="309"/>
      <c r="C44894" s="309"/>
      <c r="I44894" s="309"/>
      <c r="J44894" s="309"/>
    </row>
    <row r="44895">
      <c r="B44895" s="309"/>
      <c r="C44895" s="309"/>
      <c r="I44895" s="309"/>
      <c r="J44895" s="309"/>
    </row>
    <row r="44896">
      <c r="B44896" s="309"/>
      <c r="C44896" s="309"/>
      <c r="I44896" s="309"/>
      <c r="J44896" s="309"/>
    </row>
    <row r="44897">
      <c r="B44897" s="309"/>
      <c r="C44897" s="309"/>
      <c r="I44897" s="309"/>
      <c r="J44897" s="309"/>
    </row>
    <row r="44898">
      <c r="B44898" s="309"/>
      <c r="C44898" s="309"/>
      <c r="I44898" s="309"/>
      <c r="J44898" s="309"/>
    </row>
    <row r="44899">
      <c r="B44899" s="309"/>
      <c r="C44899" s="309"/>
      <c r="I44899" s="309"/>
      <c r="J44899" s="309"/>
    </row>
    <row r="44900">
      <c r="B44900" s="309"/>
      <c r="C44900" s="309"/>
      <c r="I44900" s="309"/>
      <c r="J44900" s="309"/>
    </row>
    <row r="44901">
      <c r="B44901" s="309"/>
      <c r="C44901" s="309"/>
      <c r="I44901" s="309"/>
      <c r="J44901" s="309"/>
    </row>
    <row r="44902">
      <c r="B44902" s="309"/>
      <c r="C44902" s="309"/>
      <c r="I44902" s="309"/>
      <c r="J44902" s="309"/>
    </row>
    <row r="44903">
      <c r="B44903" s="309"/>
      <c r="C44903" s="309"/>
      <c r="I44903" s="309"/>
      <c r="J44903" s="309"/>
    </row>
    <row r="44904">
      <c r="B44904" s="309"/>
      <c r="C44904" s="309"/>
      <c r="I44904" s="309"/>
      <c r="J44904" s="309"/>
    </row>
    <row r="44905">
      <c r="B44905" s="309"/>
      <c r="C44905" s="309"/>
      <c r="I44905" s="309"/>
      <c r="J44905" s="309"/>
    </row>
    <row r="44906">
      <c r="B44906" s="309"/>
      <c r="C44906" s="309"/>
      <c r="I44906" s="309"/>
      <c r="J44906" s="309"/>
    </row>
    <row r="44907">
      <c r="B44907" s="309"/>
      <c r="C44907" s="309"/>
      <c r="I44907" s="309"/>
      <c r="J44907" s="309"/>
    </row>
    <row r="44908">
      <c r="B44908" s="309"/>
      <c r="C44908" s="309"/>
      <c r="I44908" s="309"/>
      <c r="J44908" s="309"/>
    </row>
    <row r="44909">
      <c r="B44909" s="309"/>
      <c r="C44909" s="309"/>
      <c r="I44909" s="309"/>
      <c r="J44909" s="309"/>
    </row>
    <row r="44910">
      <c r="B44910" s="309"/>
      <c r="C44910" s="309"/>
      <c r="I44910" s="309"/>
      <c r="J44910" s="309"/>
    </row>
    <row r="44911">
      <c r="B44911" s="309"/>
      <c r="C44911" s="309"/>
      <c r="I44911" s="309"/>
      <c r="J44911" s="309"/>
    </row>
    <row r="44912">
      <c r="B44912" s="309"/>
      <c r="C44912" s="309"/>
      <c r="I44912" s="309"/>
      <c r="J44912" s="309"/>
    </row>
    <row r="44913">
      <c r="B44913" s="309"/>
      <c r="C44913" s="309"/>
      <c r="I44913" s="309"/>
      <c r="J44913" s="309"/>
    </row>
    <row r="44914">
      <c r="B44914" s="309"/>
      <c r="C44914" s="309"/>
      <c r="I44914" s="309"/>
      <c r="J44914" s="309"/>
    </row>
    <row r="44915">
      <c r="B44915" s="309"/>
      <c r="C44915" s="309"/>
      <c r="I44915" s="309"/>
      <c r="J44915" s="309"/>
    </row>
    <row r="44916">
      <c r="B44916" s="309"/>
      <c r="C44916" s="309"/>
      <c r="I44916" s="309"/>
      <c r="J44916" s="309"/>
    </row>
    <row r="44917">
      <c r="B44917" s="309"/>
      <c r="C44917" s="309"/>
      <c r="I44917" s="309"/>
      <c r="J44917" s="309"/>
    </row>
    <row r="44918">
      <c r="B44918" s="309"/>
      <c r="C44918" s="309"/>
      <c r="I44918" s="309"/>
      <c r="J44918" s="309"/>
    </row>
    <row r="44919">
      <c r="B44919" s="309"/>
      <c r="C44919" s="309"/>
      <c r="I44919" s="309"/>
      <c r="J44919" s="309"/>
    </row>
    <row r="44920">
      <c r="B44920" s="309"/>
      <c r="C44920" s="309"/>
      <c r="I44920" s="309"/>
      <c r="J44920" s="309"/>
    </row>
    <row r="44921">
      <c r="B44921" s="309"/>
      <c r="C44921" s="309"/>
      <c r="I44921" s="309"/>
      <c r="J44921" s="309"/>
    </row>
    <row r="44922">
      <c r="B44922" s="309"/>
      <c r="C44922" s="309"/>
      <c r="I44922" s="309"/>
      <c r="J44922" s="309"/>
    </row>
    <row r="44923">
      <c r="B44923" s="309"/>
      <c r="C44923" s="309"/>
      <c r="I44923" s="309"/>
      <c r="J44923" s="309"/>
    </row>
    <row r="44924">
      <c r="B44924" s="309"/>
      <c r="C44924" s="309"/>
      <c r="I44924" s="309"/>
      <c r="J44924" s="309"/>
    </row>
    <row r="44925">
      <c r="B44925" s="309"/>
      <c r="C44925" s="309"/>
      <c r="I44925" s="309"/>
      <c r="J44925" s="309"/>
    </row>
    <row r="44926">
      <c r="B44926" s="309"/>
      <c r="C44926" s="309"/>
      <c r="I44926" s="309"/>
      <c r="J44926" s="309"/>
    </row>
    <row r="44927">
      <c r="B44927" s="309"/>
      <c r="C44927" s="309"/>
      <c r="I44927" s="309"/>
      <c r="J44927" s="309"/>
    </row>
    <row r="44928">
      <c r="B44928" s="309"/>
      <c r="C44928" s="309"/>
      <c r="I44928" s="309"/>
      <c r="J44928" s="309"/>
    </row>
    <row r="44929">
      <c r="B44929" s="309"/>
      <c r="C44929" s="309"/>
      <c r="I44929" s="309"/>
      <c r="J44929" s="309"/>
    </row>
    <row r="44930">
      <c r="B44930" s="309"/>
      <c r="C44930" s="309"/>
      <c r="I44930" s="309"/>
      <c r="J44930" s="309"/>
    </row>
    <row r="44931">
      <c r="B44931" s="309"/>
      <c r="C44931" s="309"/>
      <c r="I44931" s="309"/>
      <c r="J44931" s="309"/>
    </row>
    <row r="44932">
      <c r="B44932" s="309"/>
      <c r="C44932" s="309"/>
      <c r="I44932" s="309"/>
      <c r="J44932" s="309"/>
    </row>
    <row r="44933">
      <c r="B44933" s="309"/>
      <c r="C44933" s="309"/>
      <c r="I44933" s="309"/>
      <c r="J44933" s="309"/>
    </row>
    <row r="44934">
      <c r="B44934" s="309"/>
      <c r="C44934" s="309"/>
      <c r="I44934" s="309"/>
      <c r="J44934" s="309"/>
    </row>
    <row r="44935">
      <c r="B44935" s="309"/>
      <c r="C44935" s="309"/>
      <c r="I44935" s="309"/>
      <c r="J44935" s="309"/>
    </row>
    <row r="44936">
      <c r="B44936" s="309"/>
      <c r="C44936" s="309"/>
      <c r="I44936" s="309"/>
      <c r="J44936" s="309"/>
    </row>
    <row r="44937">
      <c r="B44937" s="309"/>
      <c r="C44937" s="309"/>
      <c r="I44937" s="309"/>
      <c r="J44937" s="309"/>
    </row>
    <row r="44938">
      <c r="B44938" s="309"/>
      <c r="C44938" s="309"/>
      <c r="I44938" s="309"/>
      <c r="J44938" s="309"/>
    </row>
    <row r="44939">
      <c r="B44939" s="309"/>
      <c r="C44939" s="309"/>
      <c r="I44939" s="309"/>
      <c r="J44939" s="309"/>
    </row>
    <row r="44940">
      <c r="B44940" s="309"/>
      <c r="C44940" s="309"/>
      <c r="I44940" s="309"/>
      <c r="J44940" s="309"/>
    </row>
    <row r="44941">
      <c r="B44941" s="309"/>
      <c r="C44941" s="309"/>
      <c r="I44941" s="309"/>
      <c r="J44941" s="309"/>
    </row>
    <row r="44942">
      <c r="B44942" s="309"/>
      <c r="C44942" s="309"/>
      <c r="I44942" s="309"/>
      <c r="J44942" s="309"/>
    </row>
    <row r="44943">
      <c r="B44943" s="309"/>
      <c r="C44943" s="309"/>
      <c r="I44943" s="309"/>
      <c r="J44943" s="309"/>
    </row>
    <row r="44944">
      <c r="B44944" s="309"/>
      <c r="C44944" s="309"/>
      <c r="I44944" s="309"/>
      <c r="J44944" s="309"/>
    </row>
    <row r="44945">
      <c r="B44945" s="309"/>
      <c r="C44945" s="309"/>
      <c r="I44945" s="309"/>
      <c r="J44945" s="309"/>
    </row>
    <row r="44946">
      <c r="B44946" s="309"/>
      <c r="C44946" s="309"/>
      <c r="I44946" s="309"/>
      <c r="J44946" s="309"/>
    </row>
    <row r="44947">
      <c r="B44947" s="309"/>
      <c r="C44947" s="309"/>
      <c r="I44947" s="309"/>
      <c r="J44947" s="309"/>
    </row>
    <row r="44948">
      <c r="B44948" s="309"/>
      <c r="C44948" s="309"/>
      <c r="I44948" s="309"/>
      <c r="J44948" s="309"/>
    </row>
    <row r="44949">
      <c r="B44949" s="309"/>
      <c r="C44949" s="309"/>
      <c r="I44949" s="309"/>
      <c r="J44949" s="309"/>
    </row>
    <row r="44950">
      <c r="B44950" s="309"/>
      <c r="C44950" s="309"/>
      <c r="I44950" s="309"/>
      <c r="J44950" s="309"/>
    </row>
    <row r="44951">
      <c r="B44951" s="309"/>
      <c r="C44951" s="309"/>
      <c r="I44951" s="309"/>
      <c r="J44951" s="309"/>
    </row>
    <row r="44952">
      <c r="B44952" s="309"/>
      <c r="C44952" s="309"/>
      <c r="I44952" s="309"/>
      <c r="J44952" s="309"/>
    </row>
    <row r="44953">
      <c r="B44953" s="309"/>
      <c r="C44953" s="309"/>
      <c r="I44953" s="309"/>
      <c r="J44953" s="309"/>
    </row>
    <row r="44954">
      <c r="B44954" s="309"/>
      <c r="C44954" s="309"/>
      <c r="I44954" s="309"/>
      <c r="J44954" s="309"/>
    </row>
    <row r="44955">
      <c r="B44955" s="309"/>
      <c r="C44955" s="309"/>
      <c r="I44955" s="309"/>
      <c r="J44955" s="309"/>
    </row>
    <row r="44956">
      <c r="B44956" s="309"/>
      <c r="C44956" s="309"/>
      <c r="I44956" s="309"/>
      <c r="J44956" s="309"/>
    </row>
    <row r="44957">
      <c r="B44957" s="309"/>
      <c r="C44957" s="309"/>
      <c r="I44957" s="309"/>
      <c r="J44957" s="309"/>
    </row>
    <row r="44958">
      <c r="B44958" s="309"/>
      <c r="C44958" s="309"/>
      <c r="I44958" s="309"/>
      <c r="J44958" s="309"/>
    </row>
    <row r="44959">
      <c r="B44959" s="309"/>
      <c r="C44959" s="309"/>
      <c r="I44959" s="309"/>
      <c r="J44959" s="309"/>
    </row>
    <row r="44960">
      <c r="B44960" s="309"/>
      <c r="C44960" s="309"/>
      <c r="I44960" s="309"/>
      <c r="J44960" s="309"/>
    </row>
    <row r="44961">
      <c r="B44961" s="309"/>
      <c r="C44961" s="309"/>
      <c r="I44961" s="309"/>
      <c r="J44961" s="309"/>
    </row>
    <row r="44962">
      <c r="B44962" s="309"/>
      <c r="C44962" s="309"/>
      <c r="I44962" s="309"/>
      <c r="J44962" s="309"/>
    </row>
    <row r="44963">
      <c r="B44963" s="309"/>
      <c r="C44963" s="309"/>
      <c r="I44963" s="309"/>
      <c r="J44963" s="309"/>
    </row>
    <row r="44964">
      <c r="B44964" s="309"/>
      <c r="C44964" s="309"/>
      <c r="I44964" s="309"/>
      <c r="J44964" s="309"/>
    </row>
    <row r="44965">
      <c r="B44965" s="309"/>
      <c r="C44965" s="309"/>
      <c r="I44965" s="309"/>
      <c r="J44965" s="309"/>
    </row>
    <row r="44966">
      <c r="B44966" s="309"/>
      <c r="C44966" s="309"/>
      <c r="I44966" s="309"/>
      <c r="J44966" s="309"/>
    </row>
    <row r="44967">
      <c r="B44967" s="309"/>
      <c r="C44967" s="309"/>
      <c r="I44967" s="309"/>
      <c r="J44967" s="309"/>
    </row>
    <row r="44968">
      <c r="B44968" s="309"/>
      <c r="C44968" s="309"/>
      <c r="I44968" s="309"/>
      <c r="J44968" s="309"/>
    </row>
    <row r="44969">
      <c r="B44969" s="309"/>
      <c r="C44969" s="309"/>
      <c r="I44969" s="309"/>
      <c r="J44969" s="309"/>
    </row>
    <row r="44970">
      <c r="B44970" s="309"/>
      <c r="C44970" s="309"/>
      <c r="I44970" s="309"/>
      <c r="J44970" s="309"/>
    </row>
    <row r="44971">
      <c r="B44971" s="309"/>
      <c r="C44971" s="309"/>
      <c r="I44971" s="309"/>
      <c r="J44971" s="309"/>
    </row>
    <row r="44972">
      <c r="B44972" s="309"/>
      <c r="C44972" s="309"/>
      <c r="I44972" s="309"/>
      <c r="J44972" s="309"/>
    </row>
    <row r="44973">
      <c r="B44973" s="309"/>
      <c r="C44973" s="309"/>
      <c r="I44973" s="309"/>
      <c r="J44973" s="309"/>
    </row>
    <row r="44974">
      <c r="B44974" s="309"/>
      <c r="C44974" s="309"/>
      <c r="I44974" s="309"/>
      <c r="J44974" s="309"/>
    </row>
    <row r="44975">
      <c r="B44975" s="309"/>
      <c r="C44975" s="309"/>
      <c r="I44975" s="309"/>
      <c r="J44975" s="309"/>
    </row>
    <row r="44976">
      <c r="B44976" s="309"/>
      <c r="C44976" s="309"/>
      <c r="I44976" s="309"/>
      <c r="J44976" s="309"/>
    </row>
    <row r="44977">
      <c r="B44977" s="309"/>
      <c r="C44977" s="309"/>
      <c r="I44977" s="309"/>
      <c r="J44977" s="309"/>
    </row>
    <row r="44978">
      <c r="B44978" s="309"/>
      <c r="C44978" s="309"/>
      <c r="I44978" s="309"/>
      <c r="J44978" s="309"/>
    </row>
    <row r="44979">
      <c r="B44979" s="309"/>
      <c r="C44979" s="309"/>
      <c r="I44979" s="309"/>
      <c r="J44979" s="309"/>
    </row>
    <row r="44980">
      <c r="B44980" s="309"/>
      <c r="C44980" s="309"/>
      <c r="I44980" s="309"/>
      <c r="J44980" s="309"/>
    </row>
    <row r="44981">
      <c r="B44981" s="309"/>
      <c r="C44981" s="309"/>
      <c r="I44981" s="309"/>
      <c r="J44981" s="309"/>
    </row>
    <row r="44982">
      <c r="B44982" s="309"/>
      <c r="C44982" s="309"/>
      <c r="I44982" s="309"/>
      <c r="J44982" s="309"/>
    </row>
    <row r="44983">
      <c r="B44983" s="309"/>
      <c r="C44983" s="309"/>
      <c r="I44983" s="309"/>
      <c r="J44983" s="309"/>
    </row>
    <row r="44984">
      <c r="B44984" s="309"/>
      <c r="C44984" s="309"/>
      <c r="I44984" s="309"/>
      <c r="J44984" s="309"/>
    </row>
    <row r="44985">
      <c r="B44985" s="309"/>
      <c r="C44985" s="309"/>
      <c r="I44985" s="309"/>
      <c r="J44985" s="309"/>
    </row>
    <row r="44986">
      <c r="B44986" s="309"/>
      <c r="C44986" s="309"/>
      <c r="I44986" s="309"/>
      <c r="J44986" s="309"/>
    </row>
    <row r="44987">
      <c r="B44987" s="309"/>
      <c r="C44987" s="309"/>
      <c r="I44987" s="309"/>
      <c r="J44987" s="309"/>
    </row>
    <row r="44988">
      <c r="B44988" s="309"/>
      <c r="C44988" s="309"/>
      <c r="I44988" s="309"/>
      <c r="J44988" s="309"/>
    </row>
    <row r="44989">
      <c r="B44989" s="309"/>
      <c r="C44989" s="309"/>
      <c r="I44989" s="309"/>
      <c r="J44989" s="309"/>
    </row>
    <row r="44990">
      <c r="B44990" s="309"/>
      <c r="C44990" s="309"/>
      <c r="I44990" s="309"/>
      <c r="J44990" s="309"/>
    </row>
    <row r="44991">
      <c r="B44991" s="309"/>
      <c r="C44991" s="309"/>
      <c r="I44991" s="309"/>
      <c r="J44991" s="309"/>
    </row>
    <row r="44992">
      <c r="B44992" s="309"/>
      <c r="C44992" s="309"/>
      <c r="I44992" s="309"/>
      <c r="J44992" s="309"/>
    </row>
    <row r="44993">
      <c r="B44993" s="309"/>
      <c r="C44993" s="309"/>
      <c r="I44993" s="309"/>
      <c r="J44993" s="309"/>
    </row>
    <row r="44994">
      <c r="B44994" s="309"/>
      <c r="C44994" s="309"/>
      <c r="I44994" s="309"/>
      <c r="J44994" s="309"/>
    </row>
    <row r="44995">
      <c r="B44995" s="309"/>
      <c r="C44995" s="309"/>
      <c r="I44995" s="309"/>
      <c r="J44995" s="309"/>
    </row>
    <row r="44996">
      <c r="B44996" s="309"/>
      <c r="C44996" s="309"/>
      <c r="I44996" s="309"/>
      <c r="J44996" s="309"/>
    </row>
    <row r="44997">
      <c r="B44997" s="309"/>
      <c r="C44997" s="309"/>
      <c r="I44997" s="309"/>
      <c r="J44997" s="309"/>
    </row>
    <row r="44998">
      <c r="B44998" s="309"/>
      <c r="C44998" s="309"/>
      <c r="I44998" s="309"/>
      <c r="J44998" s="309"/>
    </row>
    <row r="44999">
      <c r="B44999" s="309"/>
      <c r="C44999" s="309"/>
      <c r="I44999" s="309"/>
      <c r="J44999" s="309"/>
    </row>
    <row r="45000">
      <c r="B45000" s="309"/>
      <c r="C45000" s="309"/>
      <c r="I45000" s="309"/>
      <c r="J45000" s="309"/>
    </row>
    <row r="45001">
      <c r="B45001" s="309"/>
      <c r="C45001" s="309"/>
      <c r="I45001" s="309"/>
      <c r="J45001" s="309"/>
    </row>
    <row r="45002">
      <c r="B45002" s="309"/>
      <c r="C45002" s="309"/>
      <c r="I45002" s="309"/>
      <c r="J45002" s="309"/>
    </row>
    <row r="45003">
      <c r="B45003" s="309"/>
      <c r="C45003" s="309"/>
      <c r="I45003" s="309"/>
      <c r="J45003" s="309"/>
    </row>
    <row r="45004">
      <c r="B45004" s="309"/>
      <c r="C45004" s="309"/>
      <c r="I45004" s="309"/>
      <c r="J45004" s="309"/>
    </row>
    <row r="45005">
      <c r="B45005" s="309"/>
      <c r="C45005" s="309"/>
      <c r="I45005" s="309"/>
      <c r="J45005" s="309"/>
    </row>
    <row r="45006">
      <c r="B45006" s="309"/>
      <c r="C45006" s="309"/>
      <c r="I45006" s="309"/>
      <c r="J45006" s="309"/>
    </row>
    <row r="45007">
      <c r="B45007" s="309"/>
      <c r="C45007" s="309"/>
      <c r="I45007" s="309"/>
      <c r="J45007" s="309"/>
    </row>
    <row r="45008">
      <c r="B45008" s="309"/>
      <c r="C45008" s="309"/>
      <c r="I45008" s="309"/>
      <c r="J45008" s="309"/>
    </row>
    <row r="45009">
      <c r="B45009" s="309"/>
      <c r="C45009" s="309"/>
      <c r="I45009" s="309"/>
      <c r="J45009" s="309"/>
    </row>
    <row r="45010">
      <c r="B45010" s="309"/>
      <c r="C45010" s="309"/>
      <c r="I45010" s="309"/>
      <c r="J45010" s="309"/>
    </row>
    <row r="45011">
      <c r="B45011" s="309"/>
      <c r="C45011" s="309"/>
      <c r="I45011" s="309"/>
      <c r="J45011" s="309"/>
    </row>
    <row r="45012">
      <c r="B45012" s="309"/>
      <c r="C45012" s="309"/>
      <c r="I45012" s="309"/>
      <c r="J45012" s="309"/>
    </row>
    <row r="45013">
      <c r="B45013" s="309"/>
      <c r="C45013" s="309"/>
      <c r="I45013" s="309"/>
      <c r="J45013" s="309"/>
    </row>
    <row r="45014">
      <c r="B45014" s="309"/>
      <c r="C45014" s="309"/>
      <c r="I45014" s="309"/>
      <c r="J45014" s="309"/>
    </row>
    <row r="45015">
      <c r="B45015" s="309"/>
      <c r="C45015" s="309"/>
      <c r="I45015" s="309"/>
      <c r="J45015" s="309"/>
    </row>
    <row r="45016">
      <c r="B45016" s="309"/>
      <c r="C45016" s="309"/>
      <c r="I45016" s="309"/>
      <c r="J45016" s="309"/>
    </row>
    <row r="45017">
      <c r="B45017" s="309"/>
      <c r="C45017" s="309"/>
      <c r="I45017" s="309"/>
      <c r="J45017" s="309"/>
    </row>
    <row r="45018">
      <c r="B45018" s="309"/>
      <c r="C45018" s="309"/>
      <c r="I45018" s="309"/>
      <c r="J45018" s="309"/>
    </row>
    <row r="45019">
      <c r="B45019" s="309"/>
      <c r="C45019" s="309"/>
      <c r="I45019" s="309"/>
      <c r="J45019" s="309"/>
    </row>
    <row r="45020">
      <c r="B45020" s="309"/>
      <c r="C45020" s="309"/>
      <c r="I45020" s="309"/>
      <c r="J45020" s="309"/>
    </row>
    <row r="45021">
      <c r="B45021" s="309"/>
      <c r="C45021" s="309"/>
      <c r="I45021" s="309"/>
      <c r="J45021" s="309"/>
    </row>
    <row r="45022">
      <c r="B45022" s="309"/>
      <c r="C45022" s="309"/>
      <c r="I45022" s="309"/>
      <c r="J45022" s="309"/>
    </row>
    <row r="45023">
      <c r="B45023" s="309"/>
      <c r="C45023" s="309"/>
      <c r="I45023" s="309"/>
      <c r="J45023" s="309"/>
    </row>
    <row r="45024">
      <c r="B45024" s="309"/>
      <c r="C45024" s="309"/>
      <c r="I45024" s="309"/>
      <c r="J45024" s="309"/>
    </row>
    <row r="45025">
      <c r="B45025" s="309"/>
      <c r="C45025" s="309"/>
      <c r="I45025" s="309"/>
      <c r="J45025" s="309"/>
    </row>
    <row r="45026">
      <c r="B45026" s="309"/>
      <c r="C45026" s="309"/>
      <c r="I45026" s="309"/>
      <c r="J45026" s="309"/>
    </row>
    <row r="45027">
      <c r="B45027" s="309"/>
      <c r="C45027" s="309"/>
      <c r="I45027" s="309"/>
      <c r="J45027" s="309"/>
    </row>
    <row r="45028">
      <c r="B45028" s="309"/>
      <c r="C45028" s="309"/>
      <c r="I45028" s="309"/>
      <c r="J45028" s="309"/>
    </row>
    <row r="45029">
      <c r="B45029" s="309"/>
      <c r="C45029" s="309"/>
      <c r="I45029" s="309"/>
      <c r="J45029" s="309"/>
    </row>
    <row r="45030">
      <c r="B45030" s="309"/>
      <c r="C45030" s="309"/>
      <c r="I45030" s="309"/>
      <c r="J45030" s="309"/>
    </row>
    <row r="45031">
      <c r="B45031" s="309"/>
      <c r="C45031" s="309"/>
      <c r="I45031" s="309"/>
      <c r="J45031" s="309"/>
    </row>
    <row r="45032">
      <c r="B45032" s="309"/>
      <c r="C45032" s="309"/>
      <c r="I45032" s="309"/>
      <c r="J45032" s="309"/>
    </row>
    <row r="45033">
      <c r="B45033" s="309"/>
      <c r="C45033" s="309"/>
      <c r="I45033" s="309"/>
      <c r="J45033" s="309"/>
    </row>
    <row r="45034">
      <c r="B45034" s="309"/>
      <c r="C45034" s="309"/>
      <c r="I45034" s="309"/>
      <c r="J45034" s="309"/>
    </row>
    <row r="45035">
      <c r="B45035" s="309"/>
      <c r="C45035" s="309"/>
      <c r="I45035" s="309"/>
      <c r="J45035" s="309"/>
    </row>
    <row r="45036">
      <c r="B45036" s="309"/>
      <c r="C45036" s="309"/>
      <c r="I45036" s="309"/>
      <c r="J45036" s="309"/>
    </row>
    <row r="45037">
      <c r="B45037" s="309"/>
      <c r="C45037" s="309"/>
      <c r="I45037" s="309"/>
      <c r="J45037" s="309"/>
    </row>
    <row r="45038">
      <c r="B45038" s="309"/>
      <c r="C45038" s="309"/>
      <c r="I45038" s="309"/>
      <c r="J45038" s="309"/>
    </row>
    <row r="45039">
      <c r="B45039" s="309"/>
      <c r="C45039" s="309"/>
      <c r="I45039" s="309"/>
      <c r="J45039" s="309"/>
    </row>
    <row r="45040">
      <c r="B45040" s="309"/>
      <c r="C45040" s="309"/>
      <c r="I45040" s="309"/>
      <c r="J45040" s="309"/>
    </row>
    <row r="45041">
      <c r="B45041" s="309"/>
      <c r="C45041" s="309"/>
      <c r="I45041" s="309"/>
      <c r="J45041" s="309"/>
    </row>
    <row r="45042">
      <c r="B45042" s="309"/>
      <c r="C45042" s="309"/>
      <c r="I45042" s="309"/>
      <c r="J45042" s="309"/>
    </row>
    <row r="45043">
      <c r="B45043" s="309"/>
      <c r="C45043" s="309"/>
      <c r="I45043" s="309"/>
      <c r="J45043" s="309"/>
    </row>
    <row r="45044">
      <c r="B45044" s="309"/>
      <c r="C45044" s="309"/>
      <c r="I45044" s="309"/>
      <c r="J45044" s="309"/>
    </row>
    <row r="45045">
      <c r="B45045" s="309"/>
      <c r="C45045" s="309"/>
      <c r="I45045" s="309"/>
      <c r="J45045" s="309"/>
    </row>
    <row r="45046">
      <c r="B45046" s="309"/>
      <c r="C45046" s="309"/>
      <c r="I45046" s="309"/>
      <c r="J45046" s="309"/>
    </row>
    <row r="45047">
      <c r="B45047" s="309"/>
      <c r="C45047" s="309"/>
      <c r="I45047" s="309"/>
      <c r="J45047" s="309"/>
    </row>
    <row r="45048">
      <c r="B45048" s="309"/>
      <c r="C45048" s="309"/>
      <c r="I45048" s="309"/>
      <c r="J45048" s="309"/>
    </row>
    <row r="45049">
      <c r="B45049" s="309"/>
      <c r="C45049" s="309"/>
      <c r="I45049" s="309"/>
      <c r="J45049" s="309"/>
    </row>
    <row r="45050">
      <c r="B45050" s="309"/>
      <c r="C45050" s="309"/>
      <c r="I45050" s="309"/>
      <c r="J45050" s="309"/>
    </row>
    <row r="45051">
      <c r="B45051" s="309"/>
      <c r="C45051" s="309"/>
      <c r="I45051" s="309"/>
      <c r="J45051" s="309"/>
    </row>
    <row r="45052">
      <c r="B45052" s="309"/>
      <c r="C45052" s="309"/>
      <c r="I45052" s="309"/>
      <c r="J45052" s="309"/>
    </row>
    <row r="45053">
      <c r="B45053" s="309"/>
      <c r="C45053" s="309"/>
      <c r="I45053" s="309"/>
      <c r="J45053" s="309"/>
    </row>
    <row r="45054">
      <c r="B45054" s="309"/>
      <c r="C45054" s="309"/>
      <c r="I45054" s="309"/>
      <c r="J45054" s="309"/>
    </row>
    <row r="45055">
      <c r="B45055" s="309"/>
      <c r="C45055" s="309"/>
      <c r="I45055" s="309"/>
      <c r="J45055" s="309"/>
    </row>
    <row r="45056">
      <c r="B45056" s="309"/>
      <c r="C45056" s="309"/>
      <c r="I45056" s="309"/>
      <c r="J45056" s="309"/>
    </row>
    <row r="45057">
      <c r="B45057" s="309"/>
      <c r="C45057" s="309"/>
      <c r="I45057" s="309"/>
      <c r="J45057" s="309"/>
    </row>
    <row r="45058">
      <c r="B45058" s="309"/>
      <c r="C45058" s="309"/>
      <c r="I45058" s="309"/>
      <c r="J45058" s="309"/>
    </row>
    <row r="45059">
      <c r="B45059" s="309"/>
      <c r="C45059" s="309"/>
      <c r="I45059" s="309"/>
      <c r="J45059" s="309"/>
    </row>
    <row r="45060">
      <c r="B45060" s="309"/>
      <c r="C45060" s="309"/>
      <c r="I45060" s="309"/>
      <c r="J45060" s="309"/>
    </row>
    <row r="45061">
      <c r="B45061" s="309"/>
      <c r="C45061" s="309"/>
      <c r="I45061" s="309"/>
      <c r="J45061" s="309"/>
    </row>
    <row r="45062">
      <c r="B45062" s="309"/>
      <c r="C45062" s="309"/>
      <c r="I45062" s="309"/>
      <c r="J45062" s="309"/>
    </row>
    <row r="45063">
      <c r="B45063" s="309"/>
      <c r="C45063" s="309"/>
      <c r="I45063" s="309"/>
      <c r="J45063" s="309"/>
    </row>
    <row r="45064">
      <c r="B45064" s="309"/>
      <c r="C45064" s="309"/>
      <c r="I45064" s="309"/>
      <c r="J45064" s="309"/>
    </row>
    <row r="45065">
      <c r="B45065" s="309"/>
      <c r="C45065" s="309"/>
      <c r="I45065" s="309"/>
      <c r="J45065" s="309"/>
    </row>
    <row r="45066">
      <c r="B45066" s="309"/>
      <c r="C45066" s="309"/>
      <c r="I45066" s="309"/>
      <c r="J45066" s="309"/>
    </row>
    <row r="45067">
      <c r="B45067" s="309"/>
      <c r="C45067" s="309"/>
      <c r="I45067" s="309"/>
      <c r="J45067" s="309"/>
    </row>
    <row r="45068">
      <c r="B45068" s="309"/>
      <c r="C45068" s="309"/>
      <c r="I45068" s="309"/>
      <c r="J45068" s="309"/>
    </row>
    <row r="45069">
      <c r="B45069" s="309"/>
      <c r="C45069" s="309"/>
      <c r="I45069" s="309"/>
      <c r="J45069" s="309"/>
    </row>
    <row r="45070">
      <c r="B45070" s="309"/>
      <c r="C45070" s="309"/>
      <c r="I45070" s="309"/>
      <c r="J45070" s="309"/>
    </row>
    <row r="45071">
      <c r="B45071" s="309"/>
      <c r="C45071" s="309"/>
      <c r="I45071" s="309"/>
      <c r="J45071" s="309"/>
    </row>
    <row r="45072">
      <c r="B45072" s="309"/>
      <c r="C45072" s="309"/>
      <c r="I45072" s="309"/>
      <c r="J45072" s="309"/>
    </row>
    <row r="45073">
      <c r="B45073" s="309"/>
      <c r="C45073" s="309"/>
      <c r="I45073" s="309"/>
      <c r="J45073" s="309"/>
    </row>
    <row r="45074">
      <c r="B45074" s="309"/>
      <c r="C45074" s="309"/>
      <c r="I45074" s="309"/>
      <c r="J45074" s="309"/>
    </row>
    <row r="45075">
      <c r="B45075" s="309"/>
      <c r="C45075" s="309"/>
      <c r="I45075" s="309"/>
      <c r="J45075" s="309"/>
    </row>
    <row r="45076">
      <c r="B45076" s="309"/>
      <c r="C45076" s="309"/>
      <c r="I45076" s="309"/>
      <c r="J45076" s="309"/>
    </row>
    <row r="45077">
      <c r="B45077" s="309"/>
      <c r="C45077" s="309"/>
      <c r="I45077" s="309"/>
      <c r="J45077" s="309"/>
    </row>
    <row r="45078">
      <c r="B45078" s="309"/>
      <c r="C45078" s="309"/>
      <c r="I45078" s="309"/>
      <c r="J45078" s="309"/>
    </row>
    <row r="45079">
      <c r="B45079" s="309"/>
      <c r="C45079" s="309"/>
      <c r="I45079" s="309"/>
      <c r="J45079" s="309"/>
    </row>
    <row r="45080">
      <c r="B45080" s="309"/>
      <c r="C45080" s="309"/>
      <c r="I45080" s="309"/>
      <c r="J45080" s="309"/>
    </row>
    <row r="45081">
      <c r="B45081" s="309"/>
      <c r="C45081" s="309"/>
      <c r="I45081" s="309"/>
      <c r="J45081" s="309"/>
    </row>
    <row r="45082">
      <c r="B45082" s="309"/>
      <c r="C45082" s="309"/>
      <c r="I45082" s="309"/>
      <c r="J45082" s="309"/>
    </row>
    <row r="45083">
      <c r="B45083" s="309"/>
      <c r="C45083" s="309"/>
      <c r="I45083" s="309"/>
      <c r="J45083" s="309"/>
    </row>
    <row r="45084">
      <c r="B45084" s="309"/>
      <c r="C45084" s="309"/>
      <c r="I45084" s="309"/>
      <c r="J45084" s="309"/>
    </row>
    <row r="45085">
      <c r="B45085" s="309"/>
      <c r="C45085" s="309"/>
      <c r="I45085" s="309"/>
      <c r="J45085" s="309"/>
    </row>
    <row r="45086">
      <c r="B45086" s="309"/>
      <c r="C45086" s="309"/>
      <c r="I45086" s="309"/>
      <c r="J45086" s="309"/>
    </row>
    <row r="45087">
      <c r="B45087" s="309"/>
      <c r="C45087" s="309"/>
      <c r="I45087" s="309"/>
      <c r="J45087" s="309"/>
    </row>
    <row r="45088">
      <c r="B45088" s="309"/>
      <c r="C45088" s="309"/>
      <c r="I45088" s="309"/>
      <c r="J45088" s="309"/>
    </row>
    <row r="45089">
      <c r="B45089" s="309"/>
      <c r="C45089" s="309"/>
      <c r="I45089" s="309"/>
      <c r="J45089" s="309"/>
    </row>
    <row r="45090">
      <c r="B45090" s="309"/>
      <c r="C45090" s="309"/>
      <c r="I45090" s="309"/>
      <c r="J45090" s="309"/>
    </row>
    <row r="45091">
      <c r="B45091" s="309"/>
      <c r="C45091" s="309"/>
      <c r="I45091" s="309"/>
      <c r="J45091" s="309"/>
    </row>
    <row r="45092">
      <c r="B45092" s="309"/>
      <c r="C45092" s="309"/>
      <c r="I45092" s="309"/>
      <c r="J45092" s="309"/>
    </row>
    <row r="45093">
      <c r="B45093" s="309"/>
      <c r="C45093" s="309"/>
      <c r="I45093" s="309"/>
      <c r="J45093" s="309"/>
    </row>
    <row r="45094">
      <c r="B45094" s="309"/>
      <c r="C45094" s="309"/>
      <c r="I45094" s="309"/>
      <c r="J45094" s="309"/>
    </row>
    <row r="45095">
      <c r="B45095" s="309"/>
      <c r="C45095" s="309"/>
      <c r="I45095" s="309"/>
      <c r="J45095" s="309"/>
    </row>
    <row r="45096">
      <c r="B45096" s="309"/>
      <c r="C45096" s="309"/>
      <c r="I45096" s="309"/>
      <c r="J45096" s="309"/>
    </row>
    <row r="45097">
      <c r="B45097" s="309"/>
      <c r="C45097" s="309"/>
      <c r="I45097" s="309"/>
      <c r="J45097" s="309"/>
    </row>
    <row r="45098">
      <c r="B45098" s="309"/>
      <c r="C45098" s="309"/>
      <c r="I45098" s="309"/>
      <c r="J45098" s="309"/>
    </row>
    <row r="45099">
      <c r="B45099" s="309"/>
      <c r="C45099" s="309"/>
      <c r="I45099" s="309"/>
      <c r="J45099" s="309"/>
    </row>
    <row r="45100">
      <c r="B45100" s="309"/>
      <c r="C45100" s="309"/>
      <c r="I45100" s="309"/>
      <c r="J45100" s="309"/>
    </row>
    <row r="45101">
      <c r="B45101" s="309"/>
      <c r="C45101" s="309"/>
      <c r="I45101" s="309"/>
      <c r="J45101" s="309"/>
    </row>
    <row r="45102">
      <c r="B45102" s="309"/>
      <c r="C45102" s="309"/>
      <c r="I45102" s="309"/>
      <c r="J45102" s="309"/>
    </row>
    <row r="45103">
      <c r="B45103" s="309"/>
      <c r="C45103" s="309"/>
      <c r="I45103" s="309"/>
      <c r="J45103" s="309"/>
    </row>
    <row r="45104">
      <c r="B45104" s="309"/>
      <c r="C45104" s="309"/>
      <c r="I45104" s="309"/>
      <c r="J45104" s="309"/>
    </row>
    <row r="45105">
      <c r="B45105" s="309"/>
      <c r="C45105" s="309"/>
      <c r="I45105" s="309"/>
      <c r="J45105" s="309"/>
    </row>
    <row r="45106">
      <c r="B45106" s="309"/>
      <c r="C45106" s="309"/>
      <c r="I45106" s="309"/>
      <c r="J45106" s="309"/>
    </row>
    <row r="45107">
      <c r="B45107" s="309"/>
      <c r="C45107" s="309"/>
      <c r="I45107" s="309"/>
      <c r="J45107" s="309"/>
    </row>
    <row r="45108">
      <c r="B45108" s="309"/>
      <c r="C45108" s="309"/>
      <c r="I45108" s="309"/>
      <c r="J45108" s="309"/>
    </row>
    <row r="45109">
      <c r="B45109" s="309"/>
      <c r="C45109" s="309"/>
      <c r="I45109" s="309"/>
      <c r="J45109" s="309"/>
    </row>
    <row r="45110">
      <c r="B45110" s="309"/>
      <c r="C45110" s="309"/>
      <c r="I45110" s="309"/>
      <c r="J45110" s="309"/>
    </row>
    <row r="45111">
      <c r="B45111" s="309"/>
      <c r="C45111" s="309"/>
      <c r="I45111" s="309"/>
      <c r="J45111" s="309"/>
    </row>
    <row r="45112">
      <c r="B45112" s="309"/>
      <c r="C45112" s="309"/>
      <c r="I45112" s="309"/>
      <c r="J45112" s="309"/>
    </row>
    <row r="45113">
      <c r="B45113" s="309"/>
      <c r="C45113" s="309"/>
      <c r="I45113" s="309"/>
      <c r="J45113" s="309"/>
    </row>
    <row r="45114">
      <c r="B45114" s="309"/>
      <c r="C45114" s="309"/>
      <c r="I45114" s="309"/>
      <c r="J45114" s="309"/>
    </row>
    <row r="45115">
      <c r="B45115" s="309"/>
      <c r="C45115" s="309"/>
      <c r="I45115" s="309"/>
      <c r="J45115" s="309"/>
    </row>
    <row r="45116">
      <c r="B45116" s="309"/>
      <c r="C45116" s="309"/>
      <c r="I45116" s="309"/>
      <c r="J45116" s="309"/>
    </row>
    <row r="45117">
      <c r="B45117" s="309"/>
      <c r="C45117" s="309"/>
      <c r="I45117" s="309"/>
      <c r="J45117" s="309"/>
    </row>
    <row r="45118">
      <c r="B45118" s="309"/>
      <c r="C45118" s="309"/>
      <c r="I45118" s="309"/>
      <c r="J45118" s="309"/>
    </row>
    <row r="45119">
      <c r="B45119" s="309"/>
      <c r="C45119" s="309"/>
      <c r="I45119" s="309"/>
      <c r="J45119" s="309"/>
    </row>
    <row r="45120">
      <c r="B45120" s="309"/>
      <c r="C45120" s="309"/>
      <c r="I45120" s="309"/>
      <c r="J45120" s="309"/>
    </row>
    <row r="45121">
      <c r="B45121" s="309"/>
      <c r="C45121" s="309"/>
      <c r="I45121" s="309"/>
      <c r="J45121" s="309"/>
    </row>
    <row r="45122">
      <c r="B45122" s="309"/>
      <c r="C45122" s="309"/>
      <c r="I45122" s="309"/>
      <c r="J45122" s="309"/>
    </row>
    <row r="45123">
      <c r="B45123" s="309"/>
      <c r="C45123" s="309"/>
      <c r="I45123" s="309"/>
      <c r="J45123" s="309"/>
    </row>
    <row r="45124">
      <c r="B45124" s="309"/>
      <c r="C45124" s="309"/>
      <c r="I45124" s="309"/>
      <c r="J45124" s="309"/>
    </row>
    <row r="45125">
      <c r="B45125" s="309"/>
      <c r="C45125" s="309"/>
      <c r="I45125" s="309"/>
      <c r="J45125" s="309"/>
    </row>
    <row r="45126">
      <c r="B45126" s="309"/>
      <c r="C45126" s="309"/>
      <c r="I45126" s="309"/>
      <c r="J45126" s="309"/>
    </row>
    <row r="45127">
      <c r="B45127" s="309"/>
      <c r="C45127" s="309"/>
      <c r="I45127" s="309"/>
      <c r="J45127" s="309"/>
    </row>
    <row r="45128">
      <c r="B45128" s="309"/>
      <c r="C45128" s="309"/>
      <c r="I45128" s="309"/>
      <c r="J45128" s="309"/>
    </row>
    <row r="45129">
      <c r="B45129" s="309"/>
      <c r="C45129" s="309"/>
      <c r="I45129" s="309"/>
      <c r="J45129" s="309"/>
    </row>
    <row r="45130">
      <c r="B45130" s="309"/>
      <c r="C45130" s="309"/>
      <c r="I45130" s="309"/>
      <c r="J45130" s="309"/>
    </row>
    <row r="45131">
      <c r="B45131" s="309"/>
      <c r="C45131" s="309"/>
      <c r="I45131" s="309"/>
      <c r="J45131" s="309"/>
    </row>
    <row r="45132">
      <c r="B45132" s="309"/>
      <c r="C45132" s="309"/>
      <c r="I45132" s="309"/>
      <c r="J45132" s="309"/>
    </row>
    <row r="45133">
      <c r="B45133" s="309"/>
      <c r="C45133" s="309"/>
      <c r="I45133" s="309"/>
      <c r="J45133" s="309"/>
    </row>
    <row r="45134">
      <c r="B45134" s="309"/>
      <c r="C45134" s="309"/>
      <c r="I45134" s="309"/>
      <c r="J45134" s="309"/>
    </row>
    <row r="45135">
      <c r="B45135" s="309"/>
      <c r="C45135" s="309"/>
      <c r="I45135" s="309"/>
      <c r="J45135" s="309"/>
    </row>
    <row r="45136">
      <c r="B45136" s="309"/>
      <c r="C45136" s="309"/>
      <c r="I45136" s="309"/>
      <c r="J45136" s="309"/>
    </row>
    <row r="45137">
      <c r="B45137" s="309"/>
      <c r="C45137" s="309"/>
      <c r="I45137" s="309"/>
      <c r="J45137" s="309"/>
    </row>
    <row r="45138">
      <c r="B45138" s="309"/>
      <c r="C45138" s="309"/>
      <c r="I45138" s="309"/>
      <c r="J45138" s="309"/>
    </row>
    <row r="45139">
      <c r="B45139" s="309"/>
      <c r="C45139" s="309"/>
      <c r="I45139" s="309"/>
      <c r="J45139" s="309"/>
    </row>
    <row r="45140">
      <c r="B45140" s="309"/>
      <c r="C45140" s="309"/>
      <c r="I45140" s="309"/>
      <c r="J45140" s="309"/>
    </row>
    <row r="45141">
      <c r="B45141" s="309"/>
      <c r="C45141" s="309"/>
      <c r="I45141" s="309"/>
      <c r="J45141" s="309"/>
    </row>
    <row r="45142">
      <c r="B45142" s="309"/>
      <c r="C45142" s="309"/>
      <c r="I45142" s="309"/>
      <c r="J45142" s="309"/>
    </row>
    <row r="45143">
      <c r="B45143" s="309"/>
      <c r="C45143" s="309"/>
      <c r="I45143" s="309"/>
      <c r="J45143" s="309"/>
    </row>
    <row r="45144">
      <c r="B45144" s="309"/>
      <c r="C45144" s="309"/>
      <c r="I45144" s="309"/>
      <c r="J45144" s="309"/>
    </row>
    <row r="45145">
      <c r="B45145" s="309"/>
      <c r="C45145" s="309"/>
      <c r="I45145" s="309"/>
      <c r="J45145" s="309"/>
    </row>
    <row r="45146">
      <c r="B45146" s="309"/>
      <c r="C45146" s="309"/>
      <c r="I45146" s="309"/>
      <c r="J45146" s="309"/>
    </row>
    <row r="45147">
      <c r="B45147" s="309"/>
      <c r="C45147" s="309"/>
      <c r="I45147" s="309"/>
      <c r="J45147" s="309"/>
    </row>
    <row r="45148">
      <c r="B45148" s="309"/>
      <c r="C45148" s="309"/>
      <c r="I45148" s="309"/>
      <c r="J45148" s="309"/>
    </row>
    <row r="45149">
      <c r="B45149" s="309"/>
      <c r="C45149" s="309"/>
      <c r="I45149" s="309"/>
      <c r="J45149" s="309"/>
    </row>
    <row r="45150">
      <c r="B45150" s="309"/>
      <c r="C45150" s="309"/>
      <c r="I45150" s="309"/>
      <c r="J45150" s="309"/>
    </row>
    <row r="45151">
      <c r="B45151" s="309"/>
      <c r="C45151" s="309"/>
      <c r="I45151" s="309"/>
      <c r="J45151" s="309"/>
    </row>
    <row r="45152">
      <c r="B45152" s="309"/>
      <c r="C45152" s="309"/>
      <c r="I45152" s="309"/>
      <c r="J45152" s="309"/>
    </row>
    <row r="45153">
      <c r="B45153" s="309"/>
      <c r="C45153" s="309"/>
      <c r="I45153" s="309"/>
      <c r="J45153" s="309"/>
    </row>
    <row r="45154">
      <c r="B45154" s="309"/>
      <c r="C45154" s="309"/>
      <c r="I45154" s="309"/>
      <c r="J45154" s="309"/>
    </row>
    <row r="45155">
      <c r="B45155" s="309"/>
      <c r="C45155" s="309"/>
      <c r="I45155" s="309"/>
      <c r="J45155" s="309"/>
    </row>
    <row r="45156">
      <c r="B45156" s="309"/>
      <c r="C45156" s="309"/>
      <c r="I45156" s="309"/>
      <c r="J45156" s="309"/>
    </row>
    <row r="45157">
      <c r="B45157" s="309"/>
      <c r="C45157" s="309"/>
      <c r="I45157" s="309"/>
      <c r="J45157" s="309"/>
    </row>
    <row r="45158">
      <c r="B45158" s="309"/>
      <c r="C45158" s="309"/>
      <c r="I45158" s="309"/>
      <c r="J45158" s="309"/>
    </row>
    <row r="45159">
      <c r="B45159" s="309"/>
      <c r="C45159" s="309"/>
      <c r="I45159" s="309"/>
      <c r="J45159" s="309"/>
    </row>
    <row r="45160">
      <c r="B45160" s="309"/>
      <c r="C45160" s="309"/>
      <c r="I45160" s="309"/>
      <c r="J45160" s="309"/>
    </row>
    <row r="45161">
      <c r="B45161" s="309"/>
      <c r="C45161" s="309"/>
      <c r="I45161" s="309"/>
      <c r="J45161" s="309"/>
    </row>
    <row r="45162">
      <c r="B45162" s="309"/>
      <c r="C45162" s="309"/>
      <c r="I45162" s="309"/>
      <c r="J45162" s="309"/>
    </row>
    <row r="45163">
      <c r="B45163" s="309"/>
      <c r="C45163" s="309"/>
      <c r="I45163" s="309"/>
      <c r="J45163" s="309"/>
    </row>
    <row r="45164">
      <c r="B45164" s="309"/>
      <c r="C45164" s="309"/>
      <c r="I45164" s="309"/>
      <c r="J45164" s="309"/>
    </row>
    <row r="45165">
      <c r="B45165" s="309"/>
      <c r="C45165" s="309"/>
      <c r="I45165" s="309"/>
      <c r="J45165" s="309"/>
    </row>
    <row r="45166">
      <c r="B45166" s="309"/>
      <c r="C45166" s="309"/>
      <c r="I45166" s="309"/>
      <c r="J45166" s="309"/>
    </row>
    <row r="45167">
      <c r="B45167" s="309"/>
      <c r="C45167" s="309"/>
      <c r="I45167" s="309"/>
      <c r="J45167" s="309"/>
    </row>
    <row r="45168">
      <c r="B45168" s="309"/>
      <c r="C45168" s="309"/>
      <c r="I45168" s="309"/>
      <c r="J45168" s="309"/>
    </row>
    <row r="45169">
      <c r="B45169" s="309"/>
      <c r="C45169" s="309"/>
      <c r="I45169" s="309"/>
      <c r="J45169" s="309"/>
    </row>
    <row r="45170">
      <c r="B45170" s="309"/>
      <c r="C45170" s="309"/>
      <c r="I45170" s="309"/>
      <c r="J45170" s="309"/>
    </row>
    <row r="45171">
      <c r="B45171" s="309"/>
      <c r="C45171" s="309"/>
      <c r="I45171" s="309"/>
      <c r="J45171" s="309"/>
    </row>
    <row r="45172">
      <c r="B45172" s="309"/>
      <c r="C45172" s="309"/>
      <c r="I45172" s="309"/>
      <c r="J45172" s="309"/>
    </row>
    <row r="45173">
      <c r="B45173" s="309"/>
      <c r="C45173" s="309"/>
      <c r="I45173" s="309"/>
      <c r="J45173" s="309"/>
    </row>
    <row r="45174">
      <c r="B45174" s="309"/>
      <c r="C45174" s="309"/>
      <c r="I45174" s="309"/>
      <c r="J45174" s="309"/>
    </row>
    <row r="45175">
      <c r="B45175" s="309"/>
      <c r="C45175" s="309"/>
      <c r="I45175" s="309"/>
      <c r="J45175" s="309"/>
    </row>
    <row r="45176">
      <c r="B45176" s="309"/>
      <c r="C45176" s="309"/>
      <c r="I45176" s="309"/>
      <c r="J45176" s="309"/>
    </row>
    <row r="45177">
      <c r="B45177" s="309"/>
      <c r="C45177" s="309"/>
      <c r="I45177" s="309"/>
      <c r="J45177" s="309"/>
    </row>
    <row r="45178">
      <c r="B45178" s="309"/>
      <c r="C45178" s="309"/>
      <c r="I45178" s="309"/>
      <c r="J45178" s="309"/>
    </row>
    <row r="45179">
      <c r="B45179" s="309"/>
      <c r="C45179" s="309"/>
      <c r="I45179" s="309"/>
      <c r="J45179" s="309"/>
    </row>
    <row r="45180">
      <c r="B45180" s="309"/>
      <c r="C45180" s="309"/>
      <c r="I45180" s="309"/>
      <c r="J45180" s="309"/>
    </row>
    <row r="45181">
      <c r="B45181" s="309"/>
      <c r="C45181" s="309"/>
      <c r="I45181" s="309"/>
      <c r="J45181" s="309"/>
    </row>
    <row r="45182">
      <c r="B45182" s="309"/>
      <c r="C45182" s="309"/>
      <c r="I45182" s="309"/>
      <c r="J45182" s="309"/>
    </row>
    <row r="45183">
      <c r="B45183" s="309"/>
      <c r="C45183" s="309"/>
      <c r="I45183" s="309"/>
      <c r="J45183" s="309"/>
    </row>
    <row r="45184">
      <c r="B45184" s="309"/>
      <c r="C45184" s="309"/>
      <c r="I45184" s="309"/>
      <c r="J45184" s="309"/>
    </row>
    <row r="45185">
      <c r="B45185" s="309"/>
      <c r="C45185" s="309"/>
      <c r="I45185" s="309"/>
      <c r="J45185" s="309"/>
    </row>
    <row r="45186">
      <c r="B45186" s="309"/>
      <c r="C45186" s="309"/>
      <c r="I45186" s="309"/>
      <c r="J45186" s="309"/>
    </row>
    <row r="45187">
      <c r="B45187" s="309"/>
      <c r="C45187" s="309"/>
      <c r="I45187" s="309"/>
      <c r="J45187" s="309"/>
    </row>
    <row r="45188">
      <c r="B45188" s="309"/>
      <c r="C45188" s="309"/>
      <c r="I45188" s="309"/>
      <c r="J45188" s="309"/>
    </row>
    <row r="45189">
      <c r="B45189" s="309"/>
      <c r="C45189" s="309"/>
      <c r="I45189" s="309"/>
      <c r="J45189" s="309"/>
    </row>
    <row r="45190">
      <c r="B45190" s="309"/>
      <c r="C45190" s="309"/>
      <c r="I45190" s="309"/>
      <c r="J45190" s="309"/>
    </row>
    <row r="45191">
      <c r="B45191" s="309"/>
      <c r="C45191" s="309"/>
      <c r="I45191" s="309"/>
      <c r="J45191" s="309"/>
    </row>
    <row r="45192">
      <c r="B45192" s="309"/>
      <c r="C45192" s="309"/>
      <c r="I45192" s="309"/>
      <c r="J45192" s="309"/>
    </row>
    <row r="45193">
      <c r="B45193" s="309"/>
      <c r="C45193" s="309"/>
      <c r="I45193" s="309"/>
      <c r="J45193" s="309"/>
    </row>
    <row r="45194">
      <c r="B45194" s="309"/>
      <c r="C45194" s="309"/>
      <c r="I45194" s="309"/>
      <c r="J45194" s="309"/>
    </row>
    <row r="45195">
      <c r="B45195" s="309"/>
      <c r="C45195" s="309"/>
      <c r="I45195" s="309"/>
      <c r="J45195" s="309"/>
    </row>
    <row r="45196">
      <c r="B45196" s="309"/>
      <c r="C45196" s="309"/>
      <c r="I45196" s="309"/>
      <c r="J45196" s="309"/>
    </row>
    <row r="45197">
      <c r="B45197" s="309"/>
      <c r="C45197" s="309"/>
      <c r="I45197" s="309"/>
      <c r="J45197" s="309"/>
    </row>
    <row r="45198">
      <c r="B45198" s="309"/>
      <c r="C45198" s="309"/>
      <c r="I45198" s="309"/>
      <c r="J45198" s="309"/>
    </row>
    <row r="45199">
      <c r="B45199" s="309"/>
      <c r="C45199" s="309"/>
      <c r="I45199" s="309"/>
      <c r="J45199" s="309"/>
    </row>
    <row r="45200">
      <c r="B45200" s="309"/>
      <c r="C45200" s="309"/>
      <c r="I45200" s="309"/>
      <c r="J45200" s="309"/>
    </row>
    <row r="45201">
      <c r="B45201" s="309"/>
      <c r="C45201" s="309"/>
      <c r="I45201" s="309"/>
      <c r="J45201" s="309"/>
    </row>
    <row r="45202">
      <c r="B45202" s="309"/>
      <c r="C45202" s="309"/>
      <c r="I45202" s="309"/>
      <c r="J45202" s="309"/>
    </row>
    <row r="45203">
      <c r="B45203" s="309"/>
      <c r="C45203" s="309"/>
      <c r="I45203" s="309"/>
      <c r="J45203" s="309"/>
    </row>
    <row r="45204">
      <c r="B45204" s="309"/>
      <c r="C45204" s="309"/>
      <c r="I45204" s="309"/>
      <c r="J45204" s="309"/>
    </row>
    <row r="45205">
      <c r="B45205" s="309"/>
      <c r="C45205" s="309"/>
      <c r="I45205" s="309"/>
      <c r="J45205" s="309"/>
    </row>
    <row r="45206">
      <c r="B45206" s="309"/>
      <c r="C45206" s="309"/>
      <c r="I45206" s="309"/>
      <c r="J45206" s="309"/>
    </row>
    <row r="45207">
      <c r="B45207" s="309"/>
      <c r="C45207" s="309"/>
      <c r="I45207" s="309"/>
      <c r="J45207" s="309"/>
    </row>
    <row r="45208">
      <c r="B45208" s="309"/>
      <c r="C45208" s="309"/>
      <c r="I45208" s="309"/>
      <c r="J45208" s="309"/>
    </row>
    <row r="45209">
      <c r="B45209" s="309"/>
      <c r="C45209" s="309"/>
      <c r="I45209" s="309"/>
      <c r="J45209" s="309"/>
    </row>
    <row r="45210">
      <c r="B45210" s="309"/>
      <c r="C45210" s="309"/>
      <c r="I45210" s="309"/>
      <c r="J45210" s="309"/>
    </row>
    <row r="45211">
      <c r="B45211" s="309"/>
      <c r="C45211" s="309"/>
      <c r="I45211" s="309"/>
      <c r="J45211" s="309"/>
    </row>
    <row r="45212">
      <c r="B45212" s="309"/>
      <c r="C45212" s="309"/>
      <c r="I45212" s="309"/>
      <c r="J45212" s="309"/>
    </row>
    <row r="45213">
      <c r="B45213" s="309"/>
      <c r="C45213" s="309"/>
      <c r="I45213" s="309"/>
      <c r="J45213" s="309"/>
    </row>
    <row r="45214">
      <c r="B45214" s="309"/>
      <c r="C45214" s="309"/>
      <c r="I45214" s="309"/>
      <c r="J45214" s="309"/>
    </row>
    <row r="45215">
      <c r="B45215" s="309"/>
      <c r="C45215" s="309"/>
      <c r="I45215" s="309"/>
      <c r="J45215" s="309"/>
    </row>
    <row r="45216">
      <c r="B45216" s="309"/>
      <c r="C45216" s="309"/>
      <c r="I45216" s="309"/>
      <c r="J45216" s="309"/>
    </row>
    <row r="45217">
      <c r="B45217" s="309"/>
      <c r="C45217" s="309"/>
      <c r="I45217" s="309"/>
      <c r="J45217" s="309"/>
    </row>
    <row r="45218">
      <c r="B45218" s="309"/>
      <c r="C45218" s="309"/>
      <c r="I45218" s="309"/>
      <c r="J45218" s="309"/>
    </row>
    <row r="45219">
      <c r="B45219" s="309"/>
      <c r="C45219" s="309"/>
      <c r="I45219" s="309"/>
      <c r="J45219" s="309"/>
    </row>
    <row r="45220">
      <c r="B45220" s="309"/>
      <c r="C45220" s="309"/>
      <c r="I45220" s="309"/>
      <c r="J45220" s="309"/>
    </row>
    <row r="45221">
      <c r="B45221" s="309"/>
      <c r="C45221" s="309"/>
      <c r="I45221" s="309"/>
      <c r="J45221" s="309"/>
    </row>
    <row r="45222">
      <c r="B45222" s="309"/>
      <c r="C45222" s="309"/>
      <c r="I45222" s="309"/>
      <c r="J45222" s="309"/>
    </row>
    <row r="45223">
      <c r="B45223" s="309"/>
      <c r="C45223" s="309"/>
      <c r="I45223" s="309"/>
      <c r="J45223" s="309"/>
    </row>
    <row r="45224">
      <c r="B45224" s="309"/>
      <c r="C45224" s="309"/>
      <c r="I45224" s="309"/>
      <c r="J45224" s="309"/>
    </row>
    <row r="45225">
      <c r="B45225" s="309"/>
      <c r="C45225" s="309"/>
      <c r="I45225" s="309"/>
      <c r="J45225" s="309"/>
    </row>
    <row r="45226">
      <c r="B45226" s="309"/>
      <c r="C45226" s="309"/>
      <c r="I45226" s="309"/>
      <c r="J45226" s="309"/>
    </row>
    <row r="45227">
      <c r="B45227" s="309"/>
      <c r="C45227" s="309"/>
      <c r="I45227" s="309"/>
      <c r="J45227" s="309"/>
    </row>
    <row r="45228">
      <c r="B45228" s="309"/>
      <c r="C45228" s="309"/>
      <c r="I45228" s="309"/>
      <c r="J45228" s="309"/>
    </row>
    <row r="45229">
      <c r="B45229" s="309"/>
      <c r="C45229" s="309"/>
      <c r="I45229" s="309"/>
      <c r="J45229" s="309"/>
    </row>
    <row r="45230">
      <c r="B45230" s="309"/>
      <c r="C45230" s="309"/>
      <c r="I45230" s="309"/>
      <c r="J45230" s="309"/>
    </row>
    <row r="45231">
      <c r="B45231" s="309"/>
      <c r="C45231" s="309"/>
      <c r="I45231" s="309"/>
      <c r="J45231" s="309"/>
    </row>
    <row r="45232">
      <c r="B45232" s="309"/>
      <c r="C45232" s="309"/>
      <c r="I45232" s="309"/>
      <c r="J45232" s="309"/>
    </row>
    <row r="45233">
      <c r="B45233" s="309"/>
      <c r="C45233" s="309"/>
      <c r="I45233" s="309"/>
      <c r="J45233" s="309"/>
    </row>
    <row r="45234">
      <c r="B45234" s="309"/>
      <c r="C45234" s="309"/>
      <c r="I45234" s="309"/>
      <c r="J45234" s="309"/>
    </row>
    <row r="45235">
      <c r="B45235" s="309"/>
      <c r="C45235" s="309"/>
      <c r="I45235" s="309"/>
      <c r="J45235" s="309"/>
    </row>
    <row r="45236">
      <c r="B45236" s="309"/>
      <c r="C45236" s="309"/>
      <c r="I45236" s="309"/>
      <c r="J45236" s="309"/>
    </row>
    <row r="45237">
      <c r="B45237" s="309"/>
      <c r="C45237" s="309"/>
      <c r="I45237" s="309"/>
      <c r="J45237" s="309"/>
    </row>
    <row r="45238">
      <c r="B45238" s="309"/>
      <c r="C45238" s="309"/>
      <c r="I45238" s="309"/>
      <c r="J45238" s="309"/>
    </row>
    <row r="45239">
      <c r="B45239" s="309"/>
      <c r="C45239" s="309"/>
      <c r="I45239" s="309"/>
      <c r="J45239" s="309"/>
    </row>
    <row r="45240">
      <c r="B45240" s="309"/>
      <c r="C45240" s="309"/>
      <c r="I45240" s="309"/>
      <c r="J45240" s="309"/>
    </row>
    <row r="45241">
      <c r="B45241" s="309"/>
      <c r="C45241" s="309"/>
      <c r="I45241" s="309"/>
      <c r="J45241" s="309"/>
    </row>
    <row r="45242">
      <c r="B45242" s="309"/>
      <c r="C45242" s="309"/>
      <c r="I45242" s="309"/>
      <c r="J45242" s="309"/>
    </row>
    <row r="45243">
      <c r="B45243" s="309"/>
      <c r="C45243" s="309"/>
      <c r="I45243" s="309"/>
      <c r="J45243" s="309"/>
    </row>
    <row r="45244">
      <c r="B45244" s="309"/>
      <c r="C45244" s="309"/>
      <c r="I45244" s="309"/>
      <c r="J45244" s="309"/>
    </row>
    <row r="45245">
      <c r="B45245" s="309"/>
      <c r="C45245" s="309"/>
      <c r="I45245" s="309"/>
      <c r="J45245" s="309"/>
    </row>
    <row r="45246">
      <c r="B45246" s="309"/>
      <c r="C45246" s="309"/>
      <c r="I45246" s="309"/>
      <c r="J45246" s="309"/>
    </row>
    <row r="45247">
      <c r="B45247" s="309"/>
      <c r="C45247" s="309"/>
      <c r="I45247" s="309"/>
      <c r="J45247" s="309"/>
    </row>
    <row r="45248">
      <c r="B45248" s="309"/>
      <c r="C45248" s="309"/>
      <c r="I45248" s="309"/>
      <c r="J45248" s="309"/>
    </row>
    <row r="45249">
      <c r="B45249" s="309"/>
      <c r="C45249" s="309"/>
      <c r="I45249" s="309"/>
      <c r="J45249" s="309"/>
    </row>
    <row r="45250">
      <c r="B45250" s="309"/>
      <c r="C45250" s="309"/>
      <c r="I45250" s="309"/>
      <c r="J45250" s="309"/>
    </row>
    <row r="45251">
      <c r="B45251" s="309"/>
      <c r="C45251" s="309"/>
      <c r="I45251" s="309"/>
      <c r="J45251" s="309"/>
    </row>
    <row r="45252">
      <c r="B45252" s="309"/>
      <c r="C45252" s="309"/>
      <c r="I45252" s="309"/>
      <c r="J45252" s="309"/>
    </row>
    <row r="45253">
      <c r="B45253" s="309"/>
      <c r="C45253" s="309"/>
      <c r="I45253" s="309"/>
      <c r="J45253" s="309"/>
    </row>
    <row r="45254">
      <c r="B45254" s="309"/>
      <c r="C45254" s="309"/>
      <c r="I45254" s="309"/>
      <c r="J45254" s="309"/>
    </row>
    <row r="45255">
      <c r="B45255" s="309"/>
      <c r="C45255" s="309"/>
      <c r="I45255" s="309"/>
      <c r="J45255" s="309"/>
    </row>
    <row r="45256">
      <c r="B45256" s="309"/>
      <c r="C45256" s="309"/>
      <c r="I45256" s="309"/>
      <c r="J45256" s="309"/>
    </row>
    <row r="45257">
      <c r="B45257" s="309"/>
      <c r="C45257" s="309"/>
      <c r="I45257" s="309"/>
      <c r="J45257" s="309"/>
    </row>
    <row r="45258">
      <c r="B45258" s="309"/>
      <c r="C45258" s="309"/>
      <c r="I45258" s="309"/>
      <c r="J45258" s="309"/>
    </row>
    <row r="45259">
      <c r="B45259" s="309"/>
      <c r="C45259" s="309"/>
      <c r="I45259" s="309"/>
      <c r="J45259" s="309"/>
    </row>
    <row r="45260">
      <c r="B45260" s="309"/>
      <c r="C45260" s="309"/>
      <c r="I45260" s="309"/>
      <c r="J45260" s="309"/>
    </row>
    <row r="45261">
      <c r="B45261" s="309"/>
      <c r="C45261" s="309"/>
      <c r="I45261" s="309"/>
      <c r="J45261" s="309"/>
    </row>
    <row r="45262">
      <c r="B45262" s="309"/>
      <c r="C45262" s="309"/>
      <c r="I45262" s="309"/>
      <c r="J45262" s="309"/>
    </row>
    <row r="45263">
      <c r="B45263" s="309"/>
      <c r="C45263" s="309"/>
      <c r="I45263" s="309"/>
      <c r="J45263" s="309"/>
    </row>
    <row r="45264">
      <c r="B45264" s="309"/>
      <c r="C45264" s="309"/>
      <c r="I45264" s="309"/>
      <c r="J45264" s="309"/>
    </row>
    <row r="45265">
      <c r="B45265" s="309"/>
      <c r="C45265" s="309"/>
      <c r="I45265" s="309"/>
      <c r="J45265" s="309"/>
    </row>
    <row r="45266">
      <c r="B45266" s="309"/>
      <c r="C45266" s="309"/>
      <c r="I45266" s="309"/>
      <c r="J45266" s="309"/>
    </row>
    <row r="45267">
      <c r="B45267" s="309"/>
      <c r="C45267" s="309"/>
      <c r="I45267" s="309"/>
      <c r="J45267" s="309"/>
    </row>
    <row r="45268">
      <c r="B45268" s="309"/>
      <c r="C45268" s="309"/>
      <c r="I45268" s="309"/>
      <c r="J45268" s="309"/>
    </row>
    <row r="45269">
      <c r="B45269" s="309"/>
      <c r="C45269" s="309"/>
      <c r="I45269" s="309"/>
      <c r="J45269" s="309"/>
    </row>
    <row r="45270">
      <c r="B45270" s="309"/>
      <c r="C45270" s="309"/>
      <c r="I45270" s="309"/>
      <c r="J45270" s="309"/>
    </row>
    <row r="45271">
      <c r="B45271" s="309"/>
      <c r="C45271" s="309"/>
      <c r="I45271" s="309"/>
      <c r="J45271" s="309"/>
    </row>
    <row r="45272">
      <c r="B45272" s="309"/>
      <c r="C45272" s="309"/>
      <c r="I45272" s="309"/>
      <c r="J45272" s="309"/>
    </row>
    <row r="45273">
      <c r="B45273" s="309"/>
      <c r="C45273" s="309"/>
      <c r="I45273" s="309"/>
      <c r="J45273" s="309"/>
    </row>
    <row r="45274">
      <c r="B45274" s="309"/>
      <c r="C45274" s="309"/>
      <c r="I45274" s="309"/>
      <c r="J45274" s="309"/>
    </row>
    <row r="45275">
      <c r="B45275" s="309"/>
      <c r="C45275" s="309"/>
      <c r="I45275" s="309"/>
      <c r="J45275" s="309"/>
    </row>
    <row r="45276">
      <c r="B45276" s="309"/>
      <c r="C45276" s="309"/>
      <c r="I45276" s="309"/>
      <c r="J45276" s="309"/>
    </row>
    <row r="45277">
      <c r="B45277" s="309"/>
      <c r="C45277" s="309"/>
      <c r="I45277" s="309"/>
      <c r="J45277" s="309"/>
    </row>
    <row r="45278">
      <c r="B45278" s="309"/>
      <c r="C45278" s="309"/>
      <c r="I45278" s="309"/>
      <c r="J45278" s="309"/>
    </row>
    <row r="45279">
      <c r="B45279" s="309"/>
      <c r="C45279" s="309"/>
      <c r="I45279" s="309"/>
      <c r="J45279" s="309"/>
    </row>
    <row r="45280">
      <c r="B45280" s="309"/>
      <c r="C45280" s="309"/>
      <c r="I45280" s="309"/>
      <c r="J45280" s="309"/>
    </row>
    <row r="45281">
      <c r="B45281" s="309"/>
      <c r="C45281" s="309"/>
      <c r="I45281" s="309"/>
      <c r="J45281" s="309"/>
    </row>
    <row r="45282">
      <c r="B45282" s="309"/>
      <c r="C45282" s="309"/>
      <c r="I45282" s="309"/>
      <c r="J45282" s="309"/>
    </row>
    <row r="45283">
      <c r="B45283" s="309"/>
      <c r="C45283" s="309"/>
      <c r="I45283" s="309"/>
      <c r="J45283" s="309"/>
    </row>
    <row r="45284">
      <c r="B45284" s="309"/>
      <c r="C45284" s="309"/>
      <c r="I45284" s="309"/>
      <c r="J45284" s="309"/>
    </row>
    <row r="45285">
      <c r="B45285" s="309"/>
      <c r="C45285" s="309"/>
      <c r="I45285" s="309"/>
      <c r="J45285" s="309"/>
    </row>
    <row r="45286">
      <c r="B45286" s="309"/>
      <c r="C45286" s="309"/>
      <c r="I45286" s="309"/>
      <c r="J45286" s="309"/>
    </row>
    <row r="45287">
      <c r="B45287" s="309"/>
      <c r="C45287" s="309"/>
      <c r="I45287" s="309"/>
      <c r="J45287" s="309"/>
    </row>
    <row r="45288">
      <c r="B45288" s="309"/>
      <c r="C45288" s="309"/>
      <c r="I45288" s="309"/>
      <c r="J45288" s="309"/>
    </row>
    <row r="45289">
      <c r="B45289" s="309"/>
      <c r="C45289" s="309"/>
      <c r="I45289" s="309"/>
      <c r="J45289" s="309"/>
    </row>
    <row r="45290">
      <c r="B45290" s="309"/>
      <c r="C45290" s="309"/>
      <c r="I45290" s="309"/>
      <c r="J45290" s="309"/>
    </row>
    <row r="45291">
      <c r="B45291" s="309"/>
      <c r="C45291" s="309"/>
      <c r="I45291" s="309"/>
      <c r="J45291" s="309"/>
    </row>
    <row r="45292">
      <c r="B45292" s="309"/>
      <c r="C45292" s="309"/>
      <c r="I45292" s="309"/>
      <c r="J45292" s="309"/>
    </row>
    <row r="45293">
      <c r="B45293" s="309"/>
      <c r="C45293" s="309"/>
      <c r="I45293" s="309"/>
      <c r="J45293" s="309"/>
    </row>
    <row r="45294">
      <c r="B45294" s="309"/>
      <c r="C45294" s="309"/>
      <c r="I45294" s="309"/>
      <c r="J45294" s="309"/>
    </row>
    <row r="45295">
      <c r="B45295" s="309"/>
      <c r="C45295" s="309"/>
      <c r="I45295" s="309"/>
      <c r="J45295" s="309"/>
    </row>
    <row r="45296">
      <c r="B45296" s="309"/>
      <c r="C45296" s="309"/>
      <c r="I45296" s="309"/>
      <c r="J45296" s="309"/>
    </row>
    <row r="45297">
      <c r="B45297" s="309"/>
      <c r="C45297" s="309"/>
      <c r="I45297" s="309"/>
      <c r="J45297" s="309"/>
    </row>
    <row r="45298">
      <c r="B45298" s="309"/>
      <c r="C45298" s="309"/>
      <c r="I45298" s="309"/>
      <c r="J45298" s="309"/>
    </row>
    <row r="45299">
      <c r="B45299" s="309"/>
      <c r="C45299" s="309"/>
      <c r="I45299" s="309"/>
      <c r="J45299" s="309"/>
    </row>
    <row r="45300">
      <c r="B45300" s="309"/>
      <c r="C45300" s="309"/>
      <c r="I45300" s="309"/>
      <c r="J45300" s="309"/>
    </row>
    <row r="45301">
      <c r="B45301" s="309"/>
      <c r="C45301" s="309"/>
      <c r="I45301" s="309"/>
      <c r="J45301" s="309"/>
    </row>
    <row r="45302">
      <c r="B45302" s="309"/>
      <c r="C45302" s="309"/>
      <c r="I45302" s="309"/>
      <c r="J45302" s="309"/>
    </row>
    <row r="45303">
      <c r="B45303" s="309"/>
      <c r="C45303" s="309"/>
      <c r="I45303" s="309"/>
      <c r="J45303" s="309"/>
    </row>
    <row r="45304">
      <c r="B45304" s="309"/>
      <c r="C45304" s="309"/>
      <c r="I45304" s="309"/>
      <c r="J45304" s="309"/>
    </row>
    <row r="45305">
      <c r="B45305" s="309"/>
      <c r="C45305" s="309"/>
      <c r="I45305" s="309"/>
      <c r="J45305" s="309"/>
    </row>
    <row r="45306">
      <c r="B45306" s="309"/>
      <c r="C45306" s="309"/>
      <c r="I45306" s="309"/>
      <c r="J45306" s="309"/>
    </row>
    <row r="45307">
      <c r="B45307" s="309"/>
      <c r="C45307" s="309"/>
      <c r="I45307" s="309"/>
      <c r="J45307" s="309"/>
    </row>
    <row r="45308">
      <c r="B45308" s="309"/>
      <c r="C45308" s="309"/>
      <c r="I45308" s="309"/>
      <c r="J45308" s="309"/>
    </row>
    <row r="45309">
      <c r="B45309" s="309"/>
      <c r="C45309" s="309"/>
      <c r="I45309" s="309"/>
      <c r="J45309" s="309"/>
    </row>
    <row r="45310">
      <c r="B45310" s="309"/>
      <c r="C45310" s="309"/>
      <c r="I45310" s="309"/>
      <c r="J45310" s="309"/>
    </row>
    <row r="45311">
      <c r="B45311" s="309"/>
      <c r="C45311" s="309"/>
      <c r="I45311" s="309"/>
      <c r="J45311" s="309"/>
    </row>
    <row r="45312">
      <c r="B45312" s="309"/>
      <c r="C45312" s="309"/>
      <c r="I45312" s="309"/>
      <c r="J45312" s="309"/>
    </row>
    <row r="45313">
      <c r="B45313" s="309"/>
      <c r="C45313" s="309"/>
      <c r="I45313" s="309"/>
      <c r="J45313" s="309"/>
    </row>
    <row r="45314">
      <c r="B45314" s="309"/>
      <c r="C45314" s="309"/>
      <c r="I45314" s="309"/>
      <c r="J45314" s="309"/>
    </row>
    <row r="45315">
      <c r="B45315" s="309"/>
      <c r="C45315" s="309"/>
      <c r="I45315" s="309"/>
      <c r="J45315" s="309"/>
    </row>
    <row r="45316">
      <c r="B45316" s="309"/>
      <c r="C45316" s="309"/>
      <c r="I45316" s="309"/>
      <c r="J45316" s="309"/>
    </row>
    <row r="45317">
      <c r="B45317" s="309"/>
      <c r="C45317" s="309"/>
      <c r="I45317" s="309"/>
      <c r="J45317" s="309"/>
    </row>
    <row r="45318">
      <c r="B45318" s="309"/>
      <c r="C45318" s="309"/>
      <c r="I45318" s="309"/>
      <c r="J45318" s="309"/>
    </row>
    <row r="45319">
      <c r="B45319" s="309"/>
      <c r="C45319" s="309"/>
      <c r="I45319" s="309"/>
      <c r="J45319" s="309"/>
    </row>
    <row r="45320">
      <c r="B45320" s="309"/>
      <c r="C45320" s="309"/>
      <c r="I45320" s="309"/>
      <c r="J45320" s="309"/>
    </row>
    <row r="45321">
      <c r="B45321" s="309"/>
      <c r="C45321" s="309"/>
      <c r="I45321" s="309"/>
      <c r="J45321" s="309"/>
    </row>
    <row r="45322">
      <c r="B45322" s="309"/>
      <c r="C45322" s="309"/>
      <c r="I45322" s="309"/>
      <c r="J45322" s="309"/>
    </row>
    <row r="45323">
      <c r="B45323" s="309"/>
      <c r="C45323" s="309"/>
      <c r="I45323" s="309"/>
      <c r="J45323" s="309"/>
    </row>
    <row r="45324">
      <c r="B45324" s="309"/>
      <c r="C45324" s="309"/>
      <c r="I45324" s="309"/>
      <c r="J45324" s="309"/>
    </row>
    <row r="45325">
      <c r="B45325" s="309"/>
      <c r="C45325" s="309"/>
      <c r="I45325" s="309"/>
      <c r="J45325" s="309"/>
    </row>
    <row r="45326">
      <c r="B45326" s="309"/>
      <c r="C45326" s="309"/>
      <c r="I45326" s="309"/>
      <c r="J45326" s="309"/>
    </row>
    <row r="45327">
      <c r="B45327" s="309"/>
      <c r="C45327" s="309"/>
      <c r="I45327" s="309"/>
      <c r="J45327" s="309"/>
    </row>
    <row r="45328">
      <c r="B45328" s="309"/>
      <c r="C45328" s="309"/>
      <c r="I45328" s="309"/>
      <c r="J45328" s="309"/>
    </row>
    <row r="45329">
      <c r="B45329" s="309"/>
      <c r="C45329" s="309"/>
      <c r="I45329" s="309"/>
      <c r="J45329" s="309"/>
    </row>
    <row r="45330">
      <c r="B45330" s="309"/>
      <c r="C45330" s="309"/>
      <c r="I45330" s="309"/>
      <c r="J45330" s="309"/>
    </row>
    <row r="45331">
      <c r="B45331" s="309"/>
      <c r="C45331" s="309"/>
      <c r="I45331" s="309"/>
      <c r="J45331" s="309"/>
    </row>
    <row r="45332">
      <c r="B45332" s="309"/>
      <c r="C45332" s="309"/>
      <c r="I45332" s="309"/>
      <c r="J45332" s="309"/>
    </row>
    <row r="45333">
      <c r="B45333" s="309"/>
      <c r="C45333" s="309"/>
      <c r="I45333" s="309"/>
      <c r="J45333" s="309"/>
    </row>
    <row r="45334">
      <c r="B45334" s="309"/>
      <c r="C45334" s="309"/>
      <c r="I45334" s="309"/>
      <c r="J45334" s="309"/>
    </row>
    <row r="45335">
      <c r="B45335" s="309"/>
      <c r="C45335" s="309"/>
      <c r="I45335" s="309"/>
      <c r="J45335" s="309"/>
    </row>
    <row r="45336">
      <c r="B45336" s="309"/>
      <c r="C45336" s="309"/>
      <c r="I45336" s="309"/>
      <c r="J45336" s="309"/>
    </row>
    <row r="45337">
      <c r="B45337" s="309"/>
      <c r="C45337" s="309"/>
      <c r="I45337" s="309"/>
      <c r="J45337" s="309"/>
    </row>
    <row r="45338">
      <c r="B45338" s="309"/>
      <c r="C45338" s="309"/>
      <c r="I45338" s="309"/>
      <c r="J45338" s="309"/>
    </row>
    <row r="45339">
      <c r="B45339" s="309"/>
      <c r="C45339" s="309"/>
      <c r="I45339" s="309"/>
      <c r="J45339" s="309"/>
    </row>
    <row r="45340">
      <c r="B45340" s="309"/>
      <c r="C45340" s="309"/>
      <c r="I45340" s="309"/>
      <c r="J45340" s="309"/>
    </row>
    <row r="45341">
      <c r="B45341" s="309"/>
      <c r="C45341" s="309"/>
      <c r="I45341" s="309"/>
      <c r="J45341" s="309"/>
    </row>
    <row r="45342">
      <c r="B45342" s="309"/>
      <c r="C45342" s="309"/>
      <c r="I45342" s="309"/>
      <c r="J45342" s="309"/>
    </row>
    <row r="45343">
      <c r="B45343" s="309"/>
      <c r="C45343" s="309"/>
      <c r="I45343" s="309"/>
      <c r="J45343" s="309"/>
    </row>
    <row r="45344">
      <c r="B45344" s="309"/>
      <c r="C45344" s="309"/>
      <c r="I45344" s="309"/>
      <c r="J45344" s="309"/>
    </row>
    <row r="45345">
      <c r="B45345" s="309"/>
      <c r="C45345" s="309"/>
      <c r="I45345" s="309"/>
      <c r="J45345" s="309"/>
    </row>
    <row r="45346">
      <c r="B45346" s="309"/>
      <c r="C45346" s="309"/>
      <c r="I45346" s="309"/>
      <c r="J45346" s="309"/>
    </row>
    <row r="45347">
      <c r="B45347" s="309"/>
      <c r="C45347" s="309"/>
      <c r="I45347" s="309"/>
      <c r="J45347" s="309"/>
    </row>
    <row r="45348">
      <c r="B45348" s="309"/>
      <c r="C45348" s="309"/>
      <c r="I45348" s="309"/>
      <c r="J45348" s="309"/>
    </row>
    <row r="45349">
      <c r="B45349" s="309"/>
      <c r="C45349" s="309"/>
      <c r="I45349" s="309"/>
      <c r="J45349" s="309"/>
    </row>
    <row r="45350">
      <c r="B45350" s="309"/>
      <c r="C45350" s="309"/>
      <c r="I45350" s="309"/>
      <c r="J45350" s="309"/>
    </row>
    <row r="45351">
      <c r="B45351" s="309"/>
      <c r="C45351" s="309"/>
      <c r="I45351" s="309"/>
      <c r="J45351" s="309"/>
    </row>
    <row r="45352">
      <c r="B45352" s="309"/>
      <c r="C45352" s="309"/>
      <c r="I45352" s="309"/>
      <c r="J45352" s="309"/>
    </row>
    <row r="45353">
      <c r="B45353" s="309"/>
      <c r="C45353" s="309"/>
      <c r="I45353" s="309"/>
      <c r="J45353" s="309"/>
    </row>
    <row r="45354">
      <c r="B45354" s="309"/>
      <c r="C45354" s="309"/>
      <c r="I45354" s="309"/>
      <c r="J45354" s="309"/>
    </row>
    <row r="45355">
      <c r="B45355" s="309"/>
      <c r="C45355" s="309"/>
      <c r="I45355" s="309"/>
      <c r="J45355" s="309"/>
    </row>
    <row r="45356">
      <c r="B45356" s="309"/>
      <c r="C45356" s="309"/>
      <c r="I45356" s="309"/>
      <c r="J45356" s="309"/>
    </row>
    <row r="45357">
      <c r="B45357" s="309"/>
      <c r="C45357" s="309"/>
      <c r="I45357" s="309"/>
      <c r="J45357" s="309"/>
    </row>
    <row r="45358">
      <c r="B45358" s="309"/>
      <c r="C45358" s="309"/>
      <c r="I45358" s="309"/>
      <c r="J45358" s="309"/>
    </row>
    <row r="45359">
      <c r="B45359" s="309"/>
      <c r="C45359" s="309"/>
      <c r="I45359" s="309"/>
      <c r="J45359" s="309"/>
    </row>
    <row r="45360">
      <c r="B45360" s="309"/>
      <c r="C45360" s="309"/>
      <c r="I45360" s="309"/>
      <c r="J45360" s="309"/>
    </row>
    <row r="45361">
      <c r="B45361" s="309"/>
      <c r="C45361" s="309"/>
      <c r="I45361" s="309"/>
      <c r="J45361" s="309"/>
    </row>
    <row r="45362">
      <c r="B45362" s="309"/>
      <c r="C45362" s="309"/>
      <c r="I45362" s="309"/>
      <c r="J45362" s="309"/>
    </row>
    <row r="45363">
      <c r="B45363" s="309"/>
      <c r="C45363" s="309"/>
      <c r="I45363" s="309"/>
      <c r="J45363" s="309"/>
    </row>
    <row r="45364">
      <c r="B45364" s="309"/>
      <c r="C45364" s="309"/>
      <c r="I45364" s="309"/>
      <c r="J45364" s="309"/>
    </row>
    <row r="45365">
      <c r="B45365" s="309"/>
      <c r="C45365" s="309"/>
      <c r="I45365" s="309"/>
      <c r="J45365" s="309"/>
    </row>
    <row r="45366">
      <c r="B45366" s="309"/>
      <c r="C45366" s="309"/>
      <c r="I45366" s="309"/>
      <c r="J45366" s="309"/>
    </row>
    <row r="45367">
      <c r="B45367" s="309"/>
      <c r="C45367" s="309"/>
      <c r="I45367" s="309"/>
      <c r="J45367" s="309"/>
    </row>
    <row r="45368">
      <c r="B45368" s="309"/>
      <c r="C45368" s="309"/>
      <c r="I45368" s="309"/>
      <c r="J45368" s="309"/>
    </row>
    <row r="45369">
      <c r="B45369" s="309"/>
      <c r="C45369" s="309"/>
      <c r="I45369" s="309"/>
      <c r="J45369" s="309"/>
    </row>
    <row r="45370">
      <c r="B45370" s="309"/>
      <c r="C45370" s="309"/>
      <c r="I45370" s="309"/>
      <c r="J45370" s="309"/>
    </row>
    <row r="45371">
      <c r="B45371" s="309"/>
      <c r="C45371" s="309"/>
      <c r="I45371" s="309"/>
      <c r="J45371" s="309"/>
    </row>
    <row r="45372">
      <c r="B45372" s="309"/>
      <c r="C45372" s="309"/>
      <c r="I45372" s="309"/>
      <c r="J45372" s="309"/>
    </row>
    <row r="45373">
      <c r="B45373" s="309"/>
      <c r="C45373" s="309"/>
      <c r="I45373" s="309"/>
      <c r="J45373" s="309"/>
    </row>
    <row r="45374">
      <c r="B45374" s="309"/>
      <c r="C45374" s="309"/>
      <c r="I45374" s="309"/>
      <c r="J45374" s="309"/>
    </row>
    <row r="45375">
      <c r="B45375" s="309"/>
      <c r="C45375" s="309"/>
      <c r="I45375" s="309"/>
      <c r="J45375" s="309"/>
    </row>
    <row r="45376">
      <c r="B45376" s="309"/>
      <c r="C45376" s="309"/>
      <c r="I45376" s="309"/>
      <c r="J45376" s="309"/>
    </row>
    <row r="45377">
      <c r="B45377" s="309"/>
      <c r="C45377" s="309"/>
      <c r="I45377" s="309"/>
      <c r="J45377" s="309"/>
    </row>
    <row r="45378">
      <c r="B45378" s="309"/>
      <c r="C45378" s="309"/>
      <c r="I45378" s="309"/>
      <c r="J45378" s="309"/>
    </row>
    <row r="45379">
      <c r="B45379" s="309"/>
      <c r="C45379" s="309"/>
      <c r="I45379" s="309"/>
      <c r="J45379" s="309"/>
    </row>
    <row r="45380">
      <c r="B45380" s="309"/>
      <c r="C45380" s="309"/>
      <c r="I45380" s="309"/>
      <c r="J45380" s="309"/>
    </row>
    <row r="45381">
      <c r="B45381" s="309"/>
      <c r="C45381" s="309"/>
      <c r="I45381" s="309"/>
      <c r="J45381" s="309"/>
    </row>
    <row r="45382">
      <c r="B45382" s="309"/>
      <c r="C45382" s="309"/>
      <c r="I45382" s="309"/>
      <c r="J45382" s="309"/>
    </row>
    <row r="45383">
      <c r="B45383" s="309"/>
      <c r="C45383" s="309"/>
      <c r="I45383" s="309"/>
      <c r="J45383" s="309"/>
    </row>
    <row r="45384">
      <c r="B45384" s="309"/>
      <c r="C45384" s="309"/>
      <c r="I45384" s="309"/>
      <c r="J45384" s="309"/>
    </row>
    <row r="45385">
      <c r="B45385" s="309"/>
      <c r="C45385" s="309"/>
      <c r="I45385" s="309"/>
      <c r="J45385" s="309"/>
    </row>
    <row r="45386">
      <c r="B45386" s="309"/>
      <c r="C45386" s="309"/>
      <c r="I45386" s="309"/>
      <c r="J45386" s="309"/>
    </row>
    <row r="45387">
      <c r="B45387" s="309"/>
      <c r="C45387" s="309"/>
      <c r="I45387" s="309"/>
      <c r="J45387" s="309"/>
    </row>
    <row r="45388">
      <c r="B45388" s="309"/>
      <c r="C45388" s="309"/>
      <c r="I45388" s="309"/>
      <c r="J45388" s="309"/>
    </row>
    <row r="45389">
      <c r="B45389" s="309"/>
      <c r="C45389" s="309"/>
      <c r="I45389" s="309"/>
      <c r="J45389" s="309"/>
    </row>
    <row r="45390">
      <c r="B45390" s="309"/>
      <c r="C45390" s="309"/>
      <c r="I45390" s="309"/>
      <c r="J45390" s="309"/>
    </row>
    <row r="45391">
      <c r="B45391" s="309"/>
      <c r="C45391" s="309"/>
      <c r="I45391" s="309"/>
      <c r="J45391" s="309"/>
    </row>
    <row r="45392">
      <c r="B45392" s="309"/>
      <c r="C45392" s="309"/>
      <c r="I45392" s="309"/>
      <c r="J45392" s="309"/>
    </row>
    <row r="45393">
      <c r="B45393" s="309"/>
      <c r="C45393" s="309"/>
      <c r="I45393" s="309"/>
      <c r="J45393" s="309"/>
    </row>
    <row r="45394">
      <c r="B45394" s="309"/>
      <c r="C45394" s="309"/>
      <c r="I45394" s="309"/>
      <c r="J45394" s="309"/>
    </row>
    <row r="45395">
      <c r="B45395" s="309"/>
      <c r="C45395" s="309"/>
      <c r="I45395" s="309"/>
      <c r="J45395" s="309"/>
    </row>
    <row r="45396">
      <c r="B45396" s="309"/>
      <c r="C45396" s="309"/>
      <c r="I45396" s="309"/>
      <c r="J45396" s="309"/>
    </row>
    <row r="45397">
      <c r="B45397" s="309"/>
      <c r="C45397" s="309"/>
      <c r="I45397" s="309"/>
      <c r="J45397" s="309"/>
    </row>
    <row r="45398">
      <c r="B45398" s="309"/>
      <c r="C45398" s="309"/>
      <c r="I45398" s="309"/>
      <c r="J45398" s="309"/>
    </row>
    <row r="45399">
      <c r="B45399" s="309"/>
      <c r="C45399" s="309"/>
      <c r="I45399" s="309"/>
      <c r="J45399" s="309"/>
    </row>
    <row r="45400">
      <c r="B45400" s="309"/>
      <c r="C45400" s="309"/>
      <c r="I45400" s="309"/>
      <c r="J45400" s="309"/>
    </row>
    <row r="45401">
      <c r="B45401" s="309"/>
      <c r="C45401" s="309"/>
      <c r="I45401" s="309"/>
      <c r="J45401" s="309"/>
    </row>
    <row r="45402">
      <c r="B45402" s="309"/>
      <c r="C45402" s="309"/>
      <c r="I45402" s="309"/>
      <c r="J45402" s="309"/>
    </row>
    <row r="45403">
      <c r="B45403" s="309"/>
      <c r="C45403" s="309"/>
      <c r="I45403" s="309"/>
      <c r="J45403" s="309"/>
    </row>
    <row r="45404">
      <c r="B45404" s="309"/>
      <c r="C45404" s="309"/>
      <c r="I45404" s="309"/>
      <c r="J45404" s="309"/>
    </row>
    <row r="45405">
      <c r="B45405" s="309"/>
      <c r="C45405" s="309"/>
      <c r="I45405" s="309"/>
      <c r="J45405" s="309"/>
    </row>
    <row r="45406">
      <c r="B45406" s="309"/>
      <c r="C45406" s="309"/>
      <c r="I45406" s="309"/>
      <c r="J45406" s="309"/>
    </row>
    <row r="45407">
      <c r="B45407" s="309"/>
      <c r="C45407" s="309"/>
      <c r="I45407" s="309"/>
      <c r="J45407" s="309"/>
    </row>
    <row r="45408">
      <c r="B45408" s="309"/>
      <c r="C45408" s="309"/>
      <c r="I45408" s="309"/>
      <c r="J45408" s="309"/>
    </row>
    <row r="45409">
      <c r="B45409" s="309"/>
      <c r="C45409" s="309"/>
      <c r="I45409" s="309"/>
      <c r="J45409" s="309"/>
    </row>
    <row r="45410">
      <c r="B45410" s="309"/>
      <c r="C45410" s="309"/>
      <c r="I45410" s="309"/>
      <c r="J45410" s="309"/>
    </row>
    <row r="45411">
      <c r="B45411" s="309"/>
      <c r="C45411" s="309"/>
      <c r="I45411" s="309"/>
      <c r="J45411" s="309"/>
    </row>
    <row r="45412">
      <c r="B45412" s="309"/>
      <c r="C45412" s="309"/>
      <c r="I45412" s="309"/>
      <c r="J45412" s="309"/>
    </row>
    <row r="45413">
      <c r="B45413" s="309"/>
      <c r="C45413" s="309"/>
      <c r="I45413" s="309"/>
      <c r="J45413" s="309"/>
    </row>
    <row r="45414">
      <c r="B45414" s="309"/>
      <c r="C45414" s="309"/>
      <c r="I45414" s="309"/>
      <c r="J45414" s="309"/>
    </row>
    <row r="45415">
      <c r="B45415" s="309"/>
      <c r="C45415" s="309"/>
      <c r="I45415" s="309"/>
      <c r="J45415" s="309"/>
    </row>
    <row r="45416">
      <c r="B45416" s="309"/>
      <c r="C45416" s="309"/>
      <c r="I45416" s="309"/>
      <c r="J45416" s="309"/>
    </row>
    <row r="45417">
      <c r="B45417" s="309"/>
      <c r="C45417" s="309"/>
      <c r="I45417" s="309"/>
      <c r="J45417" s="309"/>
    </row>
    <row r="45418">
      <c r="B45418" s="309"/>
      <c r="C45418" s="309"/>
      <c r="I45418" s="309"/>
      <c r="J45418" s="309"/>
    </row>
    <row r="45419">
      <c r="B45419" s="309"/>
      <c r="C45419" s="309"/>
      <c r="I45419" s="309"/>
      <c r="J45419" s="309"/>
    </row>
    <row r="45420">
      <c r="B45420" s="309"/>
      <c r="C45420" s="309"/>
      <c r="I45420" s="309"/>
      <c r="J45420" s="309"/>
    </row>
    <row r="45421">
      <c r="B45421" s="309"/>
      <c r="C45421" s="309"/>
      <c r="I45421" s="309"/>
      <c r="J45421" s="309"/>
    </row>
    <row r="45422">
      <c r="B45422" s="309"/>
      <c r="C45422" s="309"/>
      <c r="I45422" s="309"/>
      <c r="J45422" s="309"/>
    </row>
    <row r="45423">
      <c r="B45423" s="309"/>
      <c r="C45423" s="309"/>
      <c r="I45423" s="309"/>
      <c r="J45423" s="309"/>
    </row>
    <row r="45424">
      <c r="B45424" s="309"/>
      <c r="C45424" s="309"/>
      <c r="I45424" s="309"/>
      <c r="J45424" s="309"/>
    </row>
    <row r="45425">
      <c r="B45425" s="309"/>
      <c r="C45425" s="309"/>
      <c r="I45425" s="309"/>
      <c r="J45425" s="309"/>
    </row>
    <row r="45426">
      <c r="B45426" s="309"/>
      <c r="C45426" s="309"/>
      <c r="I45426" s="309"/>
      <c r="J45426" s="309"/>
    </row>
    <row r="45427">
      <c r="B45427" s="309"/>
      <c r="C45427" s="309"/>
      <c r="I45427" s="309"/>
      <c r="J45427" s="309"/>
    </row>
    <row r="45428">
      <c r="B45428" s="309"/>
      <c r="C45428" s="309"/>
      <c r="I45428" s="309"/>
      <c r="J45428" s="309"/>
    </row>
    <row r="45429">
      <c r="B45429" s="309"/>
      <c r="C45429" s="309"/>
      <c r="I45429" s="309"/>
      <c r="J45429" s="309"/>
    </row>
    <row r="45430">
      <c r="B45430" s="309"/>
      <c r="C45430" s="309"/>
      <c r="I45430" s="309"/>
      <c r="J45430" s="309"/>
    </row>
    <row r="45431">
      <c r="B45431" s="309"/>
      <c r="C45431" s="309"/>
      <c r="I45431" s="309"/>
      <c r="J45431" s="309"/>
    </row>
    <row r="45432">
      <c r="B45432" s="309"/>
      <c r="C45432" s="309"/>
      <c r="I45432" s="309"/>
      <c r="J45432" s="309"/>
    </row>
    <row r="45433">
      <c r="B45433" s="309"/>
      <c r="C45433" s="309"/>
      <c r="I45433" s="309"/>
      <c r="J45433" s="309"/>
    </row>
    <row r="45434">
      <c r="B45434" s="309"/>
      <c r="C45434" s="309"/>
      <c r="I45434" s="309"/>
      <c r="J45434" s="309"/>
    </row>
    <row r="45435">
      <c r="B45435" s="309"/>
      <c r="C45435" s="309"/>
      <c r="I45435" s="309"/>
      <c r="J45435" s="309"/>
    </row>
    <row r="45436">
      <c r="B45436" s="309"/>
      <c r="C45436" s="309"/>
      <c r="I45436" s="309"/>
      <c r="J45436" s="309"/>
    </row>
    <row r="45437">
      <c r="B45437" s="309"/>
      <c r="C45437" s="309"/>
      <c r="I45437" s="309"/>
      <c r="J45437" s="309"/>
    </row>
    <row r="45438">
      <c r="B45438" s="309"/>
      <c r="C45438" s="309"/>
      <c r="I45438" s="309"/>
      <c r="J45438" s="309"/>
    </row>
    <row r="45439">
      <c r="B45439" s="309"/>
      <c r="C45439" s="309"/>
      <c r="I45439" s="309"/>
      <c r="J45439" s="309"/>
    </row>
    <row r="45440">
      <c r="B45440" s="309"/>
      <c r="C45440" s="309"/>
      <c r="I45440" s="309"/>
      <c r="J45440" s="309"/>
    </row>
    <row r="45441">
      <c r="B45441" s="309"/>
      <c r="C45441" s="309"/>
      <c r="I45441" s="309"/>
      <c r="J45441" s="309"/>
    </row>
    <row r="45442">
      <c r="B45442" s="309"/>
      <c r="C45442" s="309"/>
      <c r="I45442" s="309"/>
      <c r="J45442" s="309"/>
    </row>
    <row r="45443">
      <c r="B45443" s="309"/>
      <c r="C45443" s="309"/>
      <c r="I45443" s="309"/>
      <c r="J45443" s="309"/>
    </row>
    <row r="45444">
      <c r="B45444" s="309"/>
      <c r="C45444" s="309"/>
      <c r="I45444" s="309"/>
      <c r="J45444" s="309"/>
    </row>
    <row r="45445">
      <c r="B45445" s="309"/>
      <c r="C45445" s="309"/>
      <c r="I45445" s="309"/>
      <c r="J45445" s="309"/>
    </row>
    <row r="45446">
      <c r="B45446" s="309"/>
      <c r="C45446" s="309"/>
      <c r="I45446" s="309"/>
      <c r="J45446" s="309"/>
    </row>
    <row r="45447">
      <c r="B45447" s="309"/>
      <c r="C45447" s="309"/>
      <c r="I45447" s="309"/>
      <c r="J45447" s="309"/>
    </row>
    <row r="45448">
      <c r="B45448" s="309"/>
      <c r="C45448" s="309"/>
      <c r="I45448" s="309"/>
      <c r="J45448" s="309"/>
    </row>
    <row r="45449">
      <c r="B45449" s="309"/>
      <c r="C45449" s="309"/>
      <c r="I45449" s="309"/>
      <c r="J45449" s="309"/>
    </row>
    <row r="45450">
      <c r="B45450" s="309"/>
      <c r="C45450" s="309"/>
      <c r="I45450" s="309"/>
      <c r="J45450" s="309"/>
    </row>
    <row r="45451">
      <c r="B45451" s="309"/>
      <c r="C45451" s="309"/>
      <c r="I45451" s="309"/>
      <c r="J45451" s="309"/>
    </row>
    <row r="45452">
      <c r="B45452" s="309"/>
      <c r="C45452" s="309"/>
      <c r="I45452" s="309"/>
      <c r="J45452" s="309"/>
    </row>
    <row r="45453">
      <c r="B45453" s="309"/>
      <c r="C45453" s="309"/>
      <c r="I45453" s="309"/>
      <c r="J45453" s="309"/>
    </row>
    <row r="45454">
      <c r="B45454" s="309"/>
      <c r="C45454" s="309"/>
      <c r="I45454" s="309"/>
      <c r="J45454" s="309"/>
    </row>
    <row r="45455">
      <c r="B45455" s="309"/>
      <c r="C45455" s="309"/>
      <c r="I45455" s="309"/>
      <c r="J45455" s="309"/>
    </row>
    <row r="45456">
      <c r="B45456" s="309"/>
      <c r="C45456" s="309"/>
      <c r="I45456" s="309"/>
      <c r="J45456" s="309"/>
    </row>
    <row r="45457">
      <c r="B45457" s="309"/>
      <c r="C45457" s="309"/>
      <c r="I45457" s="309"/>
      <c r="J45457" s="309"/>
    </row>
    <row r="45458">
      <c r="B45458" s="309"/>
      <c r="C45458" s="309"/>
      <c r="I45458" s="309"/>
      <c r="J45458" s="309"/>
    </row>
    <row r="45459">
      <c r="B45459" s="309"/>
      <c r="C45459" s="309"/>
      <c r="I45459" s="309"/>
      <c r="J45459" s="309"/>
    </row>
    <row r="45460">
      <c r="B45460" s="309"/>
      <c r="C45460" s="309"/>
      <c r="I45460" s="309"/>
      <c r="J45460" s="309"/>
    </row>
    <row r="45461">
      <c r="B45461" s="309"/>
      <c r="C45461" s="309"/>
      <c r="I45461" s="309"/>
      <c r="J45461" s="309"/>
    </row>
    <row r="45462">
      <c r="B45462" s="309"/>
      <c r="C45462" s="309"/>
      <c r="I45462" s="309"/>
      <c r="J45462" s="309"/>
    </row>
    <row r="45463">
      <c r="B45463" s="309"/>
      <c r="C45463" s="309"/>
      <c r="I45463" s="309"/>
      <c r="J45463" s="309"/>
    </row>
    <row r="45464">
      <c r="B45464" s="309"/>
      <c r="C45464" s="309"/>
      <c r="I45464" s="309"/>
      <c r="J45464" s="309"/>
    </row>
    <row r="45465">
      <c r="B45465" s="309"/>
      <c r="C45465" s="309"/>
      <c r="I45465" s="309"/>
      <c r="J45465" s="309"/>
    </row>
    <row r="45466">
      <c r="B45466" s="309"/>
      <c r="C45466" s="309"/>
      <c r="I45466" s="309"/>
      <c r="J45466" s="309"/>
    </row>
    <row r="45467">
      <c r="B45467" s="309"/>
      <c r="C45467" s="309"/>
      <c r="I45467" s="309"/>
      <c r="J45467" s="309"/>
    </row>
    <row r="45468">
      <c r="B45468" s="309"/>
      <c r="C45468" s="309"/>
      <c r="I45468" s="309"/>
      <c r="J45468" s="309"/>
    </row>
    <row r="45469">
      <c r="B45469" s="309"/>
      <c r="C45469" s="309"/>
      <c r="I45469" s="309"/>
      <c r="J45469" s="309"/>
    </row>
    <row r="45470">
      <c r="B45470" s="309"/>
      <c r="C45470" s="309"/>
      <c r="I45470" s="309"/>
      <c r="J45470" s="309"/>
    </row>
    <row r="45471">
      <c r="B45471" s="309"/>
      <c r="C45471" s="309"/>
      <c r="I45471" s="309"/>
      <c r="J45471" s="309"/>
    </row>
    <row r="45472">
      <c r="B45472" s="309"/>
      <c r="C45472" s="309"/>
      <c r="I45472" s="309"/>
      <c r="J45472" s="309"/>
    </row>
    <row r="45473">
      <c r="B45473" s="309"/>
      <c r="C45473" s="309"/>
      <c r="I45473" s="309"/>
      <c r="J45473" s="309"/>
    </row>
    <row r="45474">
      <c r="B45474" s="309"/>
      <c r="C45474" s="309"/>
      <c r="I45474" s="309"/>
      <c r="J45474" s="309"/>
    </row>
    <row r="45475">
      <c r="B45475" s="309"/>
      <c r="C45475" s="309"/>
      <c r="I45475" s="309"/>
      <c r="J45475" s="309"/>
    </row>
    <row r="45476">
      <c r="B45476" s="309"/>
      <c r="C45476" s="309"/>
      <c r="I45476" s="309"/>
      <c r="J45476" s="309"/>
    </row>
    <row r="45477">
      <c r="B45477" s="309"/>
      <c r="C45477" s="309"/>
      <c r="I45477" s="309"/>
      <c r="J45477" s="309"/>
    </row>
    <row r="45478">
      <c r="B45478" s="309"/>
      <c r="C45478" s="309"/>
      <c r="I45478" s="309"/>
      <c r="J45478" s="309"/>
    </row>
    <row r="45479">
      <c r="B45479" s="309"/>
      <c r="C45479" s="309"/>
      <c r="I45479" s="309"/>
      <c r="J45479" s="309"/>
    </row>
    <row r="45480">
      <c r="B45480" s="309"/>
      <c r="C45480" s="309"/>
      <c r="I45480" s="309"/>
      <c r="J45480" s="309"/>
    </row>
    <row r="45481">
      <c r="B45481" s="309"/>
      <c r="C45481" s="309"/>
      <c r="I45481" s="309"/>
      <c r="J45481" s="309"/>
    </row>
    <row r="45482">
      <c r="B45482" s="309"/>
      <c r="C45482" s="309"/>
      <c r="I45482" s="309"/>
      <c r="J45482" s="309"/>
    </row>
    <row r="45483">
      <c r="B45483" s="309"/>
      <c r="C45483" s="309"/>
      <c r="I45483" s="309"/>
      <c r="J45483" s="309"/>
    </row>
    <row r="45484">
      <c r="B45484" s="309"/>
      <c r="C45484" s="309"/>
      <c r="I45484" s="309"/>
      <c r="J45484" s="309"/>
    </row>
    <row r="45485">
      <c r="B45485" s="309"/>
      <c r="C45485" s="309"/>
      <c r="I45485" s="309"/>
      <c r="J45485" s="309"/>
    </row>
    <row r="45486">
      <c r="B45486" s="309"/>
      <c r="C45486" s="309"/>
      <c r="I45486" s="309"/>
      <c r="J45486" s="309"/>
    </row>
    <row r="45487">
      <c r="B45487" s="309"/>
      <c r="C45487" s="309"/>
      <c r="I45487" s="309"/>
      <c r="J45487" s="309"/>
    </row>
    <row r="45488">
      <c r="B45488" s="309"/>
      <c r="C45488" s="309"/>
      <c r="I45488" s="309"/>
      <c r="J45488" s="309"/>
    </row>
    <row r="45489">
      <c r="B45489" s="309"/>
      <c r="C45489" s="309"/>
      <c r="I45489" s="309"/>
      <c r="J45489" s="309"/>
    </row>
    <row r="45490">
      <c r="B45490" s="309"/>
      <c r="C45490" s="309"/>
      <c r="I45490" s="309"/>
      <c r="J45490" s="309"/>
    </row>
    <row r="45491">
      <c r="B45491" s="309"/>
      <c r="C45491" s="309"/>
      <c r="I45491" s="309"/>
      <c r="J45491" s="309"/>
    </row>
    <row r="45492">
      <c r="B45492" s="309"/>
      <c r="C45492" s="309"/>
      <c r="I45492" s="309"/>
      <c r="J45492" s="309"/>
    </row>
    <row r="45493">
      <c r="B45493" s="309"/>
      <c r="C45493" s="309"/>
      <c r="I45493" s="309"/>
      <c r="J45493" s="309"/>
    </row>
    <row r="45494">
      <c r="B45494" s="309"/>
      <c r="C45494" s="309"/>
      <c r="I45494" s="309"/>
      <c r="J45494" s="309"/>
    </row>
    <row r="45495">
      <c r="B45495" s="309"/>
      <c r="C45495" s="309"/>
      <c r="I45495" s="309"/>
      <c r="J45495" s="309"/>
    </row>
    <row r="45496">
      <c r="B45496" s="309"/>
      <c r="C45496" s="309"/>
      <c r="I45496" s="309"/>
      <c r="J45496" s="309"/>
    </row>
    <row r="45497">
      <c r="B45497" s="309"/>
      <c r="C45497" s="309"/>
      <c r="I45497" s="309"/>
      <c r="J45497" s="309"/>
    </row>
    <row r="45498">
      <c r="B45498" s="309"/>
      <c r="C45498" s="309"/>
      <c r="I45498" s="309"/>
      <c r="J45498" s="309"/>
    </row>
    <row r="45499">
      <c r="B45499" s="309"/>
      <c r="C45499" s="309"/>
      <c r="I45499" s="309"/>
      <c r="J45499" s="309"/>
    </row>
    <row r="45500">
      <c r="B45500" s="309"/>
      <c r="C45500" s="309"/>
      <c r="I45500" s="309"/>
      <c r="J45500" s="309"/>
    </row>
    <row r="45501">
      <c r="B45501" s="309"/>
      <c r="C45501" s="309"/>
      <c r="I45501" s="309"/>
      <c r="J45501" s="309"/>
    </row>
    <row r="45502">
      <c r="B45502" s="309"/>
      <c r="C45502" s="309"/>
      <c r="I45502" s="309"/>
      <c r="J45502" s="309"/>
    </row>
    <row r="45503">
      <c r="B45503" s="309"/>
      <c r="C45503" s="309"/>
      <c r="I45503" s="309"/>
      <c r="J45503" s="309"/>
    </row>
    <row r="45504">
      <c r="B45504" s="309"/>
      <c r="C45504" s="309"/>
      <c r="I45504" s="309"/>
      <c r="J45504" s="309"/>
    </row>
    <row r="45505">
      <c r="B45505" s="309"/>
      <c r="C45505" s="309"/>
      <c r="I45505" s="309"/>
      <c r="J45505" s="309"/>
    </row>
    <row r="45506">
      <c r="B45506" s="309"/>
      <c r="C45506" s="309"/>
      <c r="I45506" s="309"/>
      <c r="J45506" s="309"/>
    </row>
    <row r="45507">
      <c r="B45507" s="309"/>
      <c r="C45507" s="309"/>
      <c r="I45507" s="309"/>
      <c r="J45507" s="309"/>
    </row>
    <row r="45508">
      <c r="B45508" s="309"/>
      <c r="C45508" s="309"/>
      <c r="I45508" s="309"/>
      <c r="J45508" s="309"/>
    </row>
    <row r="45509">
      <c r="B45509" s="309"/>
      <c r="C45509" s="309"/>
      <c r="I45509" s="309"/>
      <c r="J45509" s="309"/>
    </row>
    <row r="45510">
      <c r="B45510" s="309"/>
      <c r="C45510" s="309"/>
      <c r="I45510" s="309"/>
      <c r="J45510" s="309"/>
    </row>
    <row r="45511">
      <c r="B45511" s="309"/>
      <c r="C45511" s="309"/>
      <c r="I45511" s="309"/>
      <c r="J45511" s="309"/>
    </row>
    <row r="45512">
      <c r="B45512" s="309"/>
      <c r="C45512" s="309"/>
      <c r="I45512" s="309"/>
      <c r="J45512" s="309"/>
    </row>
    <row r="45513">
      <c r="B45513" s="309"/>
      <c r="C45513" s="309"/>
      <c r="I45513" s="309"/>
      <c r="J45513" s="309"/>
    </row>
    <row r="45514">
      <c r="B45514" s="309"/>
      <c r="C45514" s="309"/>
      <c r="I45514" s="309"/>
      <c r="J45514" s="309"/>
    </row>
    <row r="45515">
      <c r="B45515" s="309"/>
      <c r="C45515" s="309"/>
      <c r="I45515" s="309"/>
      <c r="J45515" s="309"/>
    </row>
    <row r="45516">
      <c r="B45516" s="309"/>
      <c r="C45516" s="309"/>
      <c r="I45516" s="309"/>
      <c r="J45516" s="309"/>
    </row>
    <row r="45517">
      <c r="B45517" s="309"/>
      <c r="C45517" s="309"/>
      <c r="I45517" s="309"/>
      <c r="J45517" s="309"/>
    </row>
    <row r="45518">
      <c r="B45518" s="309"/>
      <c r="C45518" s="309"/>
      <c r="I45518" s="309"/>
      <c r="J45518" s="309"/>
    </row>
    <row r="45519">
      <c r="B45519" s="309"/>
      <c r="C45519" s="309"/>
      <c r="I45519" s="309"/>
      <c r="J45519" s="309"/>
    </row>
    <row r="45520">
      <c r="B45520" s="309"/>
      <c r="C45520" s="309"/>
      <c r="I45520" s="309"/>
      <c r="J45520" s="309"/>
    </row>
    <row r="45521">
      <c r="B45521" s="309"/>
      <c r="C45521" s="309"/>
      <c r="I45521" s="309"/>
      <c r="J45521" s="309"/>
    </row>
    <row r="45522">
      <c r="B45522" s="309"/>
      <c r="C45522" s="309"/>
      <c r="I45522" s="309"/>
      <c r="J45522" s="309"/>
    </row>
    <row r="45523">
      <c r="B45523" s="309"/>
      <c r="C45523" s="309"/>
      <c r="I45523" s="309"/>
      <c r="J45523" s="309"/>
    </row>
    <row r="45524">
      <c r="B45524" s="309"/>
      <c r="C45524" s="309"/>
      <c r="I45524" s="309"/>
      <c r="J45524" s="309"/>
    </row>
    <row r="45525">
      <c r="B45525" s="309"/>
      <c r="C45525" s="309"/>
      <c r="I45525" s="309"/>
      <c r="J45525" s="309"/>
    </row>
    <row r="45526">
      <c r="B45526" s="309"/>
      <c r="C45526" s="309"/>
      <c r="I45526" s="309"/>
      <c r="J45526" s="309"/>
    </row>
    <row r="45527">
      <c r="B45527" s="309"/>
      <c r="C45527" s="309"/>
      <c r="I45527" s="309"/>
      <c r="J45527" s="309"/>
    </row>
    <row r="45528">
      <c r="B45528" s="309"/>
      <c r="C45528" s="309"/>
      <c r="I45528" s="309"/>
      <c r="J45528" s="309"/>
    </row>
    <row r="45529">
      <c r="B45529" s="309"/>
      <c r="C45529" s="309"/>
      <c r="I45529" s="309"/>
      <c r="J45529" s="309"/>
    </row>
    <row r="45530">
      <c r="B45530" s="309"/>
      <c r="C45530" s="309"/>
      <c r="I45530" s="309"/>
      <c r="J45530" s="309"/>
    </row>
    <row r="45531">
      <c r="B45531" s="309"/>
      <c r="C45531" s="309"/>
      <c r="I45531" s="309"/>
      <c r="J45531" s="309"/>
    </row>
    <row r="45532">
      <c r="B45532" s="309"/>
      <c r="C45532" s="309"/>
      <c r="I45532" s="309"/>
      <c r="J45532" s="309"/>
    </row>
    <row r="45533">
      <c r="B45533" s="309"/>
      <c r="C45533" s="309"/>
      <c r="I45533" s="309"/>
      <c r="J45533" s="309"/>
    </row>
    <row r="45534">
      <c r="B45534" s="309"/>
      <c r="C45534" s="309"/>
      <c r="I45534" s="309"/>
      <c r="J45534" s="309"/>
    </row>
    <row r="45535">
      <c r="B45535" s="309"/>
      <c r="C45535" s="309"/>
      <c r="I45535" s="309"/>
      <c r="J45535" s="309"/>
    </row>
    <row r="45536">
      <c r="B45536" s="309"/>
      <c r="C45536" s="309"/>
      <c r="I45536" s="309"/>
      <c r="J45536" s="309"/>
    </row>
    <row r="45537">
      <c r="B45537" s="309"/>
      <c r="C45537" s="309"/>
      <c r="I45537" s="309"/>
      <c r="J45537" s="309"/>
    </row>
    <row r="45538">
      <c r="B45538" s="309"/>
      <c r="C45538" s="309"/>
      <c r="I45538" s="309"/>
      <c r="J45538" s="309"/>
    </row>
    <row r="45539">
      <c r="B45539" s="309"/>
      <c r="C45539" s="309"/>
      <c r="I45539" s="309"/>
      <c r="J45539" s="309"/>
    </row>
    <row r="45540">
      <c r="B45540" s="309"/>
      <c r="C45540" s="309"/>
      <c r="I45540" s="309"/>
      <c r="J45540" s="309"/>
    </row>
    <row r="45541">
      <c r="B45541" s="309"/>
      <c r="C45541" s="309"/>
      <c r="I45541" s="309"/>
      <c r="J45541" s="309"/>
    </row>
    <row r="45542">
      <c r="B45542" s="309"/>
      <c r="C45542" s="309"/>
      <c r="I45542" s="309"/>
      <c r="J45542" s="309"/>
    </row>
    <row r="45543">
      <c r="B45543" s="309"/>
      <c r="C45543" s="309"/>
      <c r="I45543" s="309"/>
      <c r="J45543" s="309"/>
    </row>
    <row r="45544">
      <c r="B45544" s="309"/>
      <c r="C45544" s="309"/>
      <c r="I45544" s="309"/>
      <c r="J45544" s="309"/>
    </row>
    <row r="45545">
      <c r="B45545" s="309"/>
      <c r="C45545" s="309"/>
      <c r="I45545" s="309"/>
      <c r="J45545" s="309"/>
    </row>
    <row r="45546">
      <c r="B45546" s="309"/>
      <c r="C45546" s="309"/>
      <c r="I45546" s="309"/>
      <c r="J45546" s="309"/>
    </row>
    <row r="45547">
      <c r="B45547" s="309"/>
      <c r="C45547" s="309"/>
      <c r="I45547" s="309"/>
      <c r="J45547" s="309"/>
    </row>
    <row r="45548">
      <c r="B45548" s="309"/>
      <c r="C45548" s="309"/>
      <c r="I45548" s="309"/>
      <c r="J45548" s="309"/>
    </row>
    <row r="45549">
      <c r="B45549" s="309"/>
      <c r="C45549" s="309"/>
      <c r="I45549" s="309"/>
      <c r="J45549" s="309"/>
    </row>
    <row r="45550">
      <c r="B45550" s="309"/>
      <c r="C45550" s="309"/>
      <c r="I45550" s="309"/>
      <c r="J45550" s="309"/>
    </row>
    <row r="45551">
      <c r="B45551" s="309"/>
      <c r="C45551" s="309"/>
      <c r="I45551" s="309"/>
      <c r="J45551" s="309"/>
    </row>
    <row r="45552">
      <c r="B45552" s="309"/>
      <c r="C45552" s="309"/>
      <c r="I45552" s="309"/>
      <c r="J45552" s="309"/>
    </row>
    <row r="45553">
      <c r="B45553" s="309"/>
      <c r="C45553" s="309"/>
      <c r="I45553" s="309"/>
      <c r="J45553" s="309"/>
    </row>
    <row r="45554">
      <c r="B45554" s="309"/>
      <c r="C45554" s="309"/>
      <c r="I45554" s="309"/>
      <c r="J45554" s="309"/>
    </row>
    <row r="45555">
      <c r="B45555" s="309"/>
      <c r="C45555" s="309"/>
      <c r="I45555" s="309"/>
      <c r="J45555" s="309"/>
    </row>
    <row r="45556">
      <c r="B45556" s="309"/>
      <c r="C45556" s="309"/>
      <c r="I45556" s="309"/>
      <c r="J45556" s="309"/>
    </row>
    <row r="45557">
      <c r="B45557" s="309"/>
      <c r="C45557" s="309"/>
      <c r="I45557" s="309"/>
      <c r="J45557" s="309"/>
    </row>
    <row r="45558">
      <c r="B45558" s="309"/>
      <c r="C45558" s="309"/>
      <c r="I45558" s="309"/>
      <c r="J45558" s="309"/>
    </row>
    <row r="45559">
      <c r="B45559" s="309"/>
      <c r="C45559" s="309"/>
      <c r="I45559" s="309"/>
      <c r="J45559" s="309"/>
    </row>
    <row r="45560">
      <c r="B45560" s="309"/>
      <c r="C45560" s="309"/>
      <c r="I45560" s="309"/>
      <c r="J45560" s="309"/>
    </row>
    <row r="45561">
      <c r="B45561" s="309"/>
      <c r="C45561" s="309"/>
      <c r="I45561" s="309"/>
      <c r="J45561" s="309"/>
    </row>
    <row r="45562">
      <c r="B45562" s="309"/>
      <c r="C45562" s="309"/>
      <c r="I45562" s="309"/>
      <c r="J45562" s="309"/>
    </row>
    <row r="45563">
      <c r="B45563" s="309"/>
      <c r="C45563" s="309"/>
      <c r="I45563" s="309"/>
      <c r="J45563" s="309"/>
    </row>
    <row r="45564">
      <c r="B45564" s="309"/>
      <c r="C45564" s="309"/>
      <c r="I45564" s="309"/>
      <c r="J45564" s="309"/>
    </row>
    <row r="45565">
      <c r="B45565" s="309"/>
      <c r="C45565" s="309"/>
      <c r="I45565" s="309"/>
      <c r="J45565" s="309"/>
    </row>
    <row r="45566">
      <c r="B45566" s="309"/>
      <c r="C45566" s="309"/>
      <c r="I45566" s="309"/>
      <c r="J45566" s="309"/>
    </row>
    <row r="45567">
      <c r="B45567" s="309"/>
      <c r="C45567" s="309"/>
      <c r="I45567" s="309"/>
      <c r="J45567" s="309"/>
    </row>
    <row r="45568">
      <c r="B45568" s="309"/>
      <c r="C45568" s="309"/>
      <c r="I45568" s="309"/>
      <c r="J45568" s="309"/>
    </row>
    <row r="45569">
      <c r="B45569" s="309"/>
      <c r="C45569" s="309"/>
      <c r="I45569" s="309"/>
      <c r="J45569" s="309"/>
    </row>
    <row r="45570">
      <c r="B45570" s="309"/>
      <c r="C45570" s="309"/>
      <c r="I45570" s="309"/>
      <c r="J45570" s="309"/>
    </row>
    <row r="45571">
      <c r="B45571" s="309"/>
      <c r="C45571" s="309"/>
      <c r="I45571" s="309"/>
      <c r="J45571" s="309"/>
    </row>
    <row r="45572">
      <c r="B45572" s="309"/>
      <c r="C45572" s="309"/>
      <c r="I45572" s="309"/>
      <c r="J45572" s="309"/>
    </row>
    <row r="45573">
      <c r="B45573" s="309"/>
      <c r="C45573" s="309"/>
      <c r="I45573" s="309"/>
      <c r="J45573" s="309"/>
    </row>
    <row r="45574">
      <c r="B45574" s="309"/>
      <c r="C45574" s="309"/>
      <c r="I45574" s="309"/>
      <c r="J45574" s="309"/>
    </row>
    <row r="45575">
      <c r="B45575" s="309"/>
      <c r="C45575" s="309"/>
      <c r="I45575" s="309"/>
      <c r="J45575" s="309"/>
    </row>
    <row r="45576">
      <c r="B45576" s="309"/>
      <c r="C45576" s="309"/>
      <c r="I45576" s="309"/>
      <c r="J45576" s="309"/>
    </row>
    <row r="45577">
      <c r="B45577" s="309"/>
      <c r="C45577" s="309"/>
      <c r="I45577" s="309"/>
      <c r="J45577" s="309"/>
    </row>
    <row r="45578">
      <c r="B45578" s="309"/>
      <c r="C45578" s="309"/>
      <c r="I45578" s="309"/>
      <c r="J45578" s="309"/>
    </row>
    <row r="45579">
      <c r="B45579" s="309"/>
      <c r="C45579" s="309"/>
      <c r="I45579" s="309"/>
      <c r="J45579" s="309"/>
    </row>
    <row r="45580">
      <c r="B45580" s="309"/>
      <c r="C45580" s="309"/>
      <c r="I45580" s="309"/>
      <c r="J45580" s="309"/>
    </row>
    <row r="45581">
      <c r="B45581" s="309"/>
      <c r="C45581" s="309"/>
      <c r="I45581" s="309"/>
      <c r="J45581" s="309"/>
    </row>
    <row r="45582">
      <c r="B45582" s="309"/>
      <c r="C45582" s="309"/>
      <c r="I45582" s="309"/>
      <c r="J45582" s="309"/>
    </row>
    <row r="45583">
      <c r="B45583" s="309"/>
      <c r="C45583" s="309"/>
      <c r="I45583" s="309"/>
      <c r="J45583" s="309"/>
    </row>
    <row r="45584">
      <c r="B45584" s="309"/>
      <c r="C45584" s="309"/>
      <c r="I45584" s="309"/>
      <c r="J45584" s="309"/>
    </row>
    <row r="45585">
      <c r="B45585" s="309"/>
      <c r="C45585" s="309"/>
      <c r="I45585" s="309"/>
      <c r="J45585" s="309"/>
    </row>
    <row r="45586">
      <c r="B45586" s="309"/>
      <c r="C45586" s="309"/>
      <c r="I45586" s="309"/>
      <c r="J45586" s="309"/>
    </row>
    <row r="45587">
      <c r="B45587" s="309"/>
      <c r="C45587" s="309"/>
      <c r="I45587" s="309"/>
      <c r="J45587" s="309"/>
    </row>
    <row r="45588">
      <c r="B45588" s="309"/>
      <c r="C45588" s="309"/>
      <c r="I45588" s="309"/>
      <c r="J45588" s="309"/>
    </row>
    <row r="45589">
      <c r="B45589" s="309"/>
      <c r="C45589" s="309"/>
      <c r="I45589" s="309"/>
      <c r="J45589" s="309"/>
    </row>
    <row r="45590">
      <c r="B45590" s="309"/>
      <c r="C45590" s="309"/>
      <c r="I45590" s="309"/>
      <c r="J45590" s="309"/>
    </row>
    <row r="45591">
      <c r="B45591" s="309"/>
      <c r="C45591" s="309"/>
      <c r="I45591" s="309"/>
      <c r="J45591" s="309"/>
    </row>
    <row r="45592">
      <c r="B45592" s="309"/>
      <c r="C45592" s="309"/>
      <c r="I45592" s="309"/>
      <c r="J45592" s="309"/>
    </row>
    <row r="45593">
      <c r="B45593" s="309"/>
      <c r="C45593" s="309"/>
      <c r="I45593" s="309"/>
      <c r="J45593" s="309"/>
    </row>
    <row r="45594">
      <c r="B45594" s="309"/>
      <c r="C45594" s="309"/>
      <c r="I45594" s="309"/>
      <c r="J45594" s="309"/>
    </row>
    <row r="45595">
      <c r="B45595" s="309"/>
      <c r="C45595" s="309"/>
      <c r="I45595" s="309"/>
      <c r="J45595" s="309"/>
    </row>
    <row r="45596">
      <c r="B45596" s="309"/>
      <c r="C45596" s="309"/>
      <c r="I45596" s="309"/>
      <c r="J45596" s="309"/>
    </row>
    <row r="45597">
      <c r="B45597" s="309"/>
      <c r="C45597" s="309"/>
      <c r="I45597" s="309"/>
      <c r="J45597" s="309"/>
    </row>
    <row r="45598">
      <c r="B45598" s="309"/>
      <c r="C45598" s="309"/>
      <c r="I45598" s="309"/>
      <c r="J45598" s="309"/>
    </row>
    <row r="45599">
      <c r="B45599" s="309"/>
      <c r="C45599" s="309"/>
      <c r="I45599" s="309"/>
      <c r="J45599" s="309"/>
    </row>
    <row r="45600">
      <c r="B45600" s="309"/>
      <c r="C45600" s="309"/>
      <c r="I45600" s="309"/>
      <c r="J45600" s="309"/>
    </row>
    <row r="45601">
      <c r="B45601" s="309"/>
      <c r="C45601" s="309"/>
      <c r="I45601" s="309"/>
      <c r="J45601" s="309"/>
    </row>
    <row r="45602">
      <c r="B45602" s="309"/>
      <c r="C45602" s="309"/>
      <c r="I45602" s="309"/>
      <c r="J45602" s="309"/>
    </row>
    <row r="45603">
      <c r="B45603" s="309"/>
      <c r="C45603" s="309"/>
      <c r="I45603" s="309"/>
      <c r="J45603" s="309"/>
    </row>
    <row r="45604">
      <c r="B45604" s="309"/>
      <c r="C45604" s="309"/>
      <c r="I45604" s="309"/>
      <c r="J45604" s="309"/>
    </row>
    <row r="45605">
      <c r="B45605" s="309"/>
      <c r="C45605" s="309"/>
      <c r="I45605" s="309"/>
      <c r="J45605" s="309"/>
    </row>
    <row r="45606">
      <c r="B45606" s="309"/>
      <c r="C45606" s="309"/>
      <c r="I45606" s="309"/>
      <c r="J45606" s="309"/>
    </row>
    <row r="45607">
      <c r="B45607" s="309"/>
      <c r="C45607" s="309"/>
      <c r="I45607" s="309"/>
      <c r="J45607" s="309"/>
    </row>
    <row r="45608">
      <c r="B45608" s="309"/>
      <c r="C45608" s="309"/>
      <c r="I45608" s="309"/>
      <c r="J45608" s="309"/>
    </row>
    <row r="45609">
      <c r="B45609" s="309"/>
      <c r="C45609" s="309"/>
      <c r="I45609" s="309"/>
      <c r="J45609" s="309"/>
    </row>
    <row r="45610">
      <c r="B45610" s="309"/>
      <c r="C45610" s="309"/>
      <c r="I45610" s="309"/>
      <c r="J45610" s="309"/>
    </row>
    <row r="45611">
      <c r="B45611" s="309"/>
      <c r="C45611" s="309"/>
      <c r="I45611" s="309"/>
      <c r="J45611" s="309"/>
    </row>
    <row r="45612">
      <c r="B45612" s="309"/>
      <c r="C45612" s="309"/>
      <c r="I45612" s="309"/>
      <c r="J45612" s="309"/>
    </row>
    <row r="45613">
      <c r="B45613" s="309"/>
      <c r="C45613" s="309"/>
      <c r="I45613" s="309"/>
      <c r="J45613" s="309"/>
    </row>
    <row r="45614">
      <c r="B45614" s="309"/>
      <c r="C45614" s="309"/>
      <c r="I45614" s="309"/>
      <c r="J45614" s="309"/>
    </row>
    <row r="45615">
      <c r="B45615" s="309"/>
      <c r="C45615" s="309"/>
      <c r="I45615" s="309"/>
      <c r="J45615" s="309"/>
    </row>
    <row r="45616">
      <c r="B45616" s="309"/>
      <c r="C45616" s="309"/>
      <c r="I45616" s="309"/>
      <c r="J45616" s="309"/>
    </row>
    <row r="45617">
      <c r="B45617" s="309"/>
      <c r="C45617" s="309"/>
      <c r="I45617" s="309"/>
      <c r="J45617" s="309"/>
    </row>
    <row r="45618">
      <c r="B45618" s="309"/>
      <c r="C45618" s="309"/>
      <c r="I45618" s="309"/>
      <c r="J45618" s="309"/>
    </row>
    <row r="45619">
      <c r="B45619" s="309"/>
      <c r="C45619" s="309"/>
      <c r="I45619" s="309"/>
      <c r="J45619" s="309"/>
    </row>
    <row r="45620">
      <c r="B45620" s="309"/>
      <c r="C45620" s="309"/>
      <c r="I45620" s="309"/>
      <c r="J45620" s="309"/>
    </row>
    <row r="45621">
      <c r="B45621" s="309"/>
      <c r="C45621" s="309"/>
      <c r="I45621" s="309"/>
      <c r="J45621" s="309"/>
    </row>
    <row r="45622">
      <c r="B45622" s="309"/>
      <c r="C45622" s="309"/>
      <c r="I45622" s="309"/>
      <c r="J45622" s="309"/>
    </row>
    <row r="45623">
      <c r="B45623" s="309"/>
      <c r="C45623" s="309"/>
      <c r="I45623" s="309"/>
      <c r="J45623" s="309"/>
    </row>
    <row r="45624">
      <c r="B45624" s="309"/>
      <c r="C45624" s="309"/>
      <c r="I45624" s="309"/>
      <c r="J45624" s="309"/>
    </row>
    <row r="45625">
      <c r="B45625" s="309"/>
      <c r="C45625" s="309"/>
      <c r="I45625" s="309"/>
      <c r="J45625" s="309"/>
    </row>
    <row r="45626">
      <c r="B45626" s="309"/>
      <c r="C45626" s="309"/>
      <c r="I45626" s="309"/>
      <c r="J45626" s="309"/>
    </row>
    <row r="45627">
      <c r="B45627" s="309"/>
      <c r="C45627" s="309"/>
      <c r="I45627" s="309"/>
      <c r="J45627" s="309"/>
    </row>
    <row r="45628">
      <c r="B45628" s="309"/>
      <c r="C45628" s="309"/>
      <c r="I45628" s="309"/>
      <c r="J45628" s="309"/>
    </row>
    <row r="45629">
      <c r="B45629" s="309"/>
      <c r="C45629" s="309"/>
      <c r="I45629" s="309"/>
      <c r="J45629" s="309"/>
    </row>
    <row r="45630">
      <c r="B45630" s="309"/>
      <c r="C45630" s="309"/>
      <c r="I45630" s="309"/>
      <c r="J45630" s="309"/>
    </row>
    <row r="45631">
      <c r="B45631" s="309"/>
      <c r="C45631" s="309"/>
      <c r="I45631" s="309"/>
      <c r="J45631" s="309"/>
    </row>
    <row r="45632">
      <c r="B45632" s="309"/>
      <c r="C45632" s="309"/>
      <c r="I45632" s="309"/>
      <c r="J45632" s="309"/>
    </row>
    <row r="45633">
      <c r="B45633" s="309"/>
      <c r="C45633" s="309"/>
      <c r="I45633" s="309"/>
      <c r="J45633" s="309"/>
    </row>
    <row r="45634">
      <c r="B45634" s="309"/>
      <c r="C45634" s="309"/>
      <c r="I45634" s="309"/>
      <c r="J45634" s="309"/>
    </row>
    <row r="45635">
      <c r="B45635" s="309"/>
      <c r="C45635" s="309"/>
      <c r="I45635" s="309"/>
      <c r="J45635" s="309"/>
    </row>
    <row r="45636">
      <c r="B45636" s="309"/>
      <c r="C45636" s="309"/>
      <c r="I45636" s="309"/>
      <c r="J45636" s="309"/>
    </row>
    <row r="45637">
      <c r="B45637" s="309"/>
      <c r="C45637" s="309"/>
      <c r="I45637" s="309"/>
      <c r="J45637" s="309"/>
    </row>
    <row r="45638">
      <c r="B45638" s="309"/>
      <c r="C45638" s="309"/>
      <c r="I45638" s="309"/>
      <c r="J45638" s="309"/>
    </row>
    <row r="45639">
      <c r="B45639" s="309"/>
      <c r="C45639" s="309"/>
      <c r="I45639" s="309"/>
      <c r="J45639" s="309"/>
    </row>
    <row r="45640">
      <c r="B45640" s="309"/>
      <c r="C45640" s="309"/>
      <c r="I45640" s="309"/>
      <c r="J45640" s="309"/>
    </row>
    <row r="45641">
      <c r="B45641" s="309"/>
      <c r="C45641" s="309"/>
      <c r="I45641" s="309"/>
      <c r="J45641" s="309"/>
    </row>
    <row r="45642">
      <c r="B45642" s="309"/>
      <c r="C45642" s="309"/>
      <c r="I45642" s="309"/>
      <c r="J45642" s="309"/>
    </row>
    <row r="45643">
      <c r="B45643" s="309"/>
      <c r="C45643" s="309"/>
      <c r="I45643" s="309"/>
      <c r="J45643" s="309"/>
    </row>
    <row r="45644">
      <c r="B45644" s="309"/>
      <c r="C45644" s="309"/>
      <c r="I45644" s="309"/>
      <c r="J45644" s="309"/>
    </row>
    <row r="45645">
      <c r="B45645" s="309"/>
      <c r="C45645" s="309"/>
      <c r="I45645" s="309"/>
      <c r="J45645" s="309"/>
    </row>
    <row r="45646">
      <c r="B45646" s="309"/>
      <c r="C45646" s="309"/>
      <c r="I45646" s="309"/>
      <c r="J45646" s="309"/>
    </row>
    <row r="45647">
      <c r="B45647" s="309"/>
      <c r="C45647" s="309"/>
      <c r="I45647" s="309"/>
      <c r="J45647" s="309"/>
    </row>
    <row r="45648">
      <c r="B45648" s="309"/>
      <c r="C45648" s="309"/>
      <c r="I45648" s="309"/>
      <c r="J45648" s="309"/>
    </row>
    <row r="45649">
      <c r="B45649" s="309"/>
      <c r="C45649" s="309"/>
      <c r="I45649" s="309"/>
      <c r="J45649" s="309"/>
    </row>
    <row r="45650">
      <c r="B45650" s="309"/>
      <c r="C45650" s="309"/>
      <c r="I45650" s="309"/>
      <c r="J45650" s="309"/>
    </row>
    <row r="45651">
      <c r="B45651" s="309"/>
      <c r="C45651" s="309"/>
      <c r="I45651" s="309"/>
      <c r="J45651" s="309"/>
    </row>
    <row r="45652">
      <c r="B45652" s="309"/>
      <c r="C45652" s="309"/>
      <c r="I45652" s="309"/>
      <c r="J45652" s="309"/>
    </row>
    <row r="45653">
      <c r="B45653" s="309"/>
      <c r="C45653" s="309"/>
      <c r="I45653" s="309"/>
      <c r="J45653" s="309"/>
    </row>
    <row r="45654">
      <c r="B45654" s="309"/>
      <c r="C45654" s="309"/>
      <c r="I45654" s="309"/>
      <c r="J45654" s="309"/>
    </row>
    <row r="45655">
      <c r="B45655" s="309"/>
      <c r="C45655" s="309"/>
      <c r="I45655" s="309"/>
      <c r="J45655" s="309"/>
    </row>
    <row r="45656">
      <c r="B45656" s="309"/>
      <c r="C45656" s="309"/>
      <c r="I45656" s="309"/>
      <c r="J45656" s="309"/>
    </row>
    <row r="45657">
      <c r="B45657" s="309"/>
      <c r="C45657" s="309"/>
      <c r="I45657" s="309"/>
      <c r="J45657" s="309"/>
    </row>
    <row r="45658">
      <c r="B45658" s="309"/>
      <c r="C45658" s="309"/>
      <c r="I45658" s="309"/>
      <c r="J45658" s="309"/>
    </row>
    <row r="45659">
      <c r="B45659" s="309"/>
      <c r="C45659" s="309"/>
      <c r="I45659" s="309"/>
      <c r="J45659" s="309"/>
    </row>
    <row r="45660">
      <c r="B45660" s="309"/>
      <c r="C45660" s="309"/>
      <c r="I45660" s="309"/>
      <c r="J45660" s="309"/>
    </row>
    <row r="45661">
      <c r="B45661" s="309"/>
      <c r="C45661" s="309"/>
      <c r="I45661" s="309"/>
      <c r="J45661" s="309"/>
    </row>
    <row r="45662">
      <c r="B45662" s="309"/>
      <c r="C45662" s="309"/>
      <c r="I45662" s="309"/>
      <c r="J45662" s="309"/>
    </row>
    <row r="45663">
      <c r="B45663" s="309"/>
      <c r="C45663" s="309"/>
      <c r="I45663" s="309"/>
      <c r="J45663" s="309"/>
    </row>
    <row r="45664">
      <c r="B45664" s="309"/>
      <c r="C45664" s="309"/>
      <c r="I45664" s="309"/>
      <c r="J45664" s="309"/>
    </row>
    <row r="45665">
      <c r="B45665" s="309"/>
      <c r="C45665" s="309"/>
      <c r="I45665" s="309"/>
      <c r="J45665" s="309"/>
    </row>
    <row r="45666">
      <c r="B45666" s="309"/>
      <c r="C45666" s="309"/>
      <c r="I45666" s="309"/>
      <c r="J45666" s="309"/>
    </row>
    <row r="45667">
      <c r="B45667" s="309"/>
      <c r="C45667" s="309"/>
      <c r="I45667" s="309"/>
      <c r="J45667" s="309"/>
    </row>
    <row r="45668">
      <c r="B45668" s="309"/>
      <c r="C45668" s="309"/>
      <c r="I45668" s="309"/>
      <c r="J45668" s="309"/>
    </row>
    <row r="45669">
      <c r="B45669" s="309"/>
      <c r="C45669" s="309"/>
      <c r="I45669" s="309"/>
      <c r="J45669" s="309"/>
    </row>
    <row r="45670">
      <c r="B45670" s="309"/>
      <c r="C45670" s="309"/>
      <c r="I45670" s="309"/>
      <c r="J45670" s="309"/>
    </row>
    <row r="45671">
      <c r="B45671" s="309"/>
      <c r="C45671" s="309"/>
      <c r="I45671" s="309"/>
      <c r="J45671" s="309"/>
    </row>
    <row r="45672">
      <c r="B45672" s="309"/>
      <c r="C45672" s="309"/>
      <c r="I45672" s="309"/>
      <c r="J45672" s="309"/>
    </row>
    <row r="45673">
      <c r="B45673" s="309"/>
      <c r="C45673" s="309"/>
      <c r="I45673" s="309"/>
      <c r="J45673" s="309"/>
    </row>
    <row r="45674">
      <c r="B45674" s="309"/>
      <c r="C45674" s="309"/>
      <c r="I45674" s="309"/>
      <c r="J45674" s="309"/>
    </row>
    <row r="45675">
      <c r="B45675" s="309"/>
      <c r="C45675" s="309"/>
      <c r="I45675" s="309"/>
      <c r="J45675" s="309"/>
    </row>
    <row r="45676">
      <c r="B45676" s="309"/>
      <c r="C45676" s="309"/>
      <c r="I45676" s="309"/>
      <c r="J45676" s="309"/>
    </row>
    <row r="45677">
      <c r="B45677" s="309"/>
      <c r="C45677" s="309"/>
      <c r="I45677" s="309"/>
      <c r="J45677" s="309"/>
    </row>
    <row r="45678">
      <c r="B45678" s="309"/>
      <c r="C45678" s="309"/>
      <c r="I45678" s="309"/>
      <c r="J45678" s="309"/>
    </row>
    <row r="45679">
      <c r="B45679" s="309"/>
      <c r="C45679" s="309"/>
      <c r="I45679" s="309"/>
      <c r="J45679" s="309"/>
    </row>
    <row r="45680">
      <c r="B45680" s="309"/>
      <c r="C45680" s="309"/>
      <c r="I45680" s="309"/>
      <c r="J45680" s="309"/>
    </row>
    <row r="45681">
      <c r="B45681" s="309"/>
      <c r="C45681" s="309"/>
      <c r="I45681" s="309"/>
      <c r="J45681" s="309"/>
    </row>
    <row r="45682">
      <c r="B45682" s="309"/>
      <c r="C45682" s="309"/>
      <c r="I45682" s="309"/>
      <c r="J45682" s="309"/>
    </row>
    <row r="45683">
      <c r="B45683" s="309"/>
      <c r="C45683" s="309"/>
      <c r="I45683" s="309"/>
      <c r="J45683" s="309"/>
    </row>
    <row r="45684">
      <c r="B45684" s="309"/>
      <c r="C45684" s="309"/>
      <c r="I45684" s="309"/>
      <c r="J45684" s="309"/>
    </row>
    <row r="45685">
      <c r="B45685" s="309"/>
      <c r="C45685" s="309"/>
      <c r="I45685" s="309"/>
      <c r="J45685" s="309"/>
    </row>
    <row r="45686">
      <c r="B45686" s="309"/>
      <c r="C45686" s="309"/>
      <c r="I45686" s="309"/>
      <c r="J45686" s="309"/>
    </row>
    <row r="45687">
      <c r="B45687" s="309"/>
      <c r="C45687" s="309"/>
      <c r="I45687" s="309"/>
      <c r="J45687" s="309"/>
    </row>
    <row r="45688">
      <c r="B45688" s="309"/>
      <c r="C45688" s="309"/>
      <c r="I45688" s="309"/>
      <c r="J45688" s="309"/>
    </row>
    <row r="45689">
      <c r="B45689" s="309"/>
      <c r="C45689" s="309"/>
      <c r="I45689" s="309"/>
      <c r="J45689" s="309"/>
    </row>
    <row r="45690">
      <c r="B45690" s="309"/>
      <c r="C45690" s="309"/>
      <c r="I45690" s="309"/>
      <c r="J45690" s="309"/>
    </row>
    <row r="45691">
      <c r="B45691" s="309"/>
      <c r="C45691" s="309"/>
      <c r="I45691" s="309"/>
      <c r="J45691" s="309"/>
    </row>
    <row r="45692">
      <c r="B45692" s="309"/>
      <c r="C45692" s="309"/>
      <c r="I45692" s="309"/>
      <c r="J45692" s="309"/>
    </row>
    <row r="45693">
      <c r="B45693" s="309"/>
      <c r="C45693" s="309"/>
      <c r="I45693" s="309"/>
      <c r="J45693" s="309"/>
    </row>
    <row r="45694">
      <c r="B45694" s="309"/>
      <c r="C45694" s="309"/>
      <c r="I45694" s="309"/>
      <c r="J45694" s="309"/>
    </row>
    <row r="45695">
      <c r="B45695" s="309"/>
      <c r="C45695" s="309"/>
      <c r="I45695" s="309"/>
      <c r="J45695" s="309"/>
    </row>
    <row r="45696">
      <c r="B45696" s="309"/>
      <c r="C45696" s="309"/>
      <c r="I45696" s="309"/>
      <c r="J45696" s="309"/>
    </row>
    <row r="45697">
      <c r="B45697" s="309"/>
      <c r="C45697" s="309"/>
      <c r="I45697" s="309"/>
      <c r="J45697" s="309"/>
    </row>
    <row r="45698">
      <c r="B45698" s="309"/>
      <c r="C45698" s="309"/>
      <c r="I45698" s="309"/>
      <c r="J45698" s="309"/>
    </row>
    <row r="45699">
      <c r="B45699" s="309"/>
      <c r="C45699" s="309"/>
      <c r="I45699" s="309"/>
      <c r="J45699" s="309"/>
    </row>
    <row r="45700">
      <c r="B45700" s="309"/>
      <c r="C45700" s="309"/>
      <c r="I45700" s="309"/>
      <c r="J45700" s="309"/>
    </row>
    <row r="45701">
      <c r="B45701" s="309"/>
      <c r="C45701" s="309"/>
      <c r="I45701" s="309"/>
      <c r="J45701" s="309"/>
    </row>
    <row r="45702">
      <c r="B45702" s="309"/>
      <c r="C45702" s="309"/>
      <c r="I45702" s="309"/>
      <c r="J45702" s="309"/>
    </row>
    <row r="45703">
      <c r="B45703" s="309"/>
      <c r="C45703" s="309"/>
      <c r="I45703" s="309"/>
      <c r="J45703" s="309"/>
    </row>
    <row r="45704">
      <c r="B45704" s="309"/>
      <c r="C45704" s="309"/>
      <c r="I45704" s="309"/>
      <c r="J45704" s="309"/>
    </row>
    <row r="45705">
      <c r="B45705" s="309"/>
      <c r="C45705" s="309"/>
      <c r="I45705" s="309"/>
      <c r="J45705" s="309"/>
    </row>
    <row r="45706">
      <c r="B45706" s="309"/>
      <c r="C45706" s="309"/>
      <c r="I45706" s="309"/>
      <c r="J45706" s="309"/>
    </row>
    <row r="45707">
      <c r="B45707" s="309"/>
      <c r="C45707" s="309"/>
      <c r="I45707" s="309"/>
      <c r="J45707" s="309"/>
    </row>
    <row r="45708">
      <c r="B45708" s="309"/>
      <c r="C45708" s="309"/>
      <c r="I45708" s="309"/>
      <c r="J45708" s="309"/>
    </row>
    <row r="45709">
      <c r="B45709" s="309"/>
      <c r="C45709" s="309"/>
      <c r="I45709" s="309"/>
      <c r="J45709" s="309"/>
    </row>
    <row r="45710">
      <c r="B45710" s="309"/>
      <c r="C45710" s="309"/>
      <c r="I45710" s="309"/>
      <c r="J45710" s="309"/>
    </row>
    <row r="45711">
      <c r="B45711" s="309"/>
      <c r="C45711" s="309"/>
      <c r="I45711" s="309"/>
      <c r="J45711" s="309"/>
    </row>
    <row r="45712">
      <c r="B45712" s="309"/>
      <c r="C45712" s="309"/>
      <c r="I45712" s="309"/>
      <c r="J45712" s="309"/>
    </row>
    <row r="45713">
      <c r="B45713" s="309"/>
      <c r="C45713" s="309"/>
      <c r="I45713" s="309"/>
      <c r="J45713" s="309"/>
    </row>
    <row r="45714">
      <c r="B45714" s="309"/>
      <c r="C45714" s="309"/>
      <c r="I45714" s="309"/>
      <c r="J45714" s="309"/>
    </row>
    <row r="45715">
      <c r="B45715" s="309"/>
      <c r="C45715" s="309"/>
      <c r="I45715" s="309"/>
      <c r="J45715" s="309"/>
    </row>
    <row r="45716">
      <c r="B45716" s="309"/>
      <c r="C45716" s="309"/>
      <c r="I45716" s="309"/>
      <c r="J45716" s="309"/>
    </row>
    <row r="45717">
      <c r="B45717" s="309"/>
      <c r="C45717" s="309"/>
      <c r="I45717" s="309"/>
      <c r="J45717" s="309"/>
    </row>
    <row r="45718">
      <c r="B45718" s="309"/>
      <c r="C45718" s="309"/>
      <c r="I45718" s="309"/>
      <c r="J45718" s="309"/>
    </row>
    <row r="45719">
      <c r="B45719" s="309"/>
      <c r="C45719" s="309"/>
      <c r="I45719" s="309"/>
      <c r="J45719" s="309"/>
    </row>
    <row r="45720">
      <c r="B45720" s="309"/>
      <c r="C45720" s="309"/>
      <c r="I45720" s="309"/>
      <c r="J45720" s="309"/>
    </row>
    <row r="45721">
      <c r="B45721" s="309"/>
      <c r="C45721" s="309"/>
      <c r="I45721" s="309"/>
      <c r="J45721" s="309"/>
    </row>
    <row r="45722">
      <c r="B45722" s="309"/>
      <c r="C45722" s="309"/>
      <c r="I45722" s="309"/>
      <c r="J45722" s="309"/>
    </row>
    <row r="45723">
      <c r="B45723" s="309"/>
      <c r="C45723" s="309"/>
      <c r="I45723" s="309"/>
      <c r="J45723" s="309"/>
    </row>
    <row r="45724">
      <c r="B45724" s="309"/>
      <c r="C45724" s="309"/>
      <c r="I45724" s="309"/>
      <c r="J45724" s="309"/>
    </row>
    <row r="45725">
      <c r="B45725" s="309"/>
      <c r="C45725" s="309"/>
      <c r="I45725" s="309"/>
      <c r="J45725" s="309"/>
    </row>
    <row r="45726">
      <c r="B45726" s="309"/>
      <c r="C45726" s="309"/>
      <c r="I45726" s="309"/>
      <c r="J45726" s="309"/>
    </row>
    <row r="45727">
      <c r="B45727" s="309"/>
      <c r="C45727" s="309"/>
      <c r="I45727" s="309"/>
      <c r="J45727" s="309"/>
    </row>
    <row r="45728">
      <c r="B45728" s="309"/>
      <c r="C45728" s="309"/>
      <c r="I45728" s="309"/>
      <c r="J45728" s="309"/>
    </row>
    <row r="45729">
      <c r="B45729" s="309"/>
      <c r="C45729" s="309"/>
      <c r="I45729" s="309"/>
      <c r="J45729" s="309"/>
    </row>
    <row r="45730">
      <c r="B45730" s="309"/>
      <c r="C45730" s="309"/>
      <c r="I45730" s="309"/>
      <c r="J45730" s="309"/>
    </row>
    <row r="45731">
      <c r="B45731" s="309"/>
      <c r="C45731" s="309"/>
      <c r="I45731" s="309"/>
      <c r="J45731" s="309"/>
    </row>
    <row r="45732">
      <c r="B45732" s="309"/>
      <c r="C45732" s="309"/>
      <c r="I45732" s="309"/>
      <c r="J45732" s="309"/>
    </row>
    <row r="45733">
      <c r="B45733" s="309"/>
      <c r="C45733" s="309"/>
      <c r="I45733" s="309"/>
      <c r="J45733" s="309"/>
    </row>
    <row r="45734">
      <c r="B45734" s="309"/>
      <c r="C45734" s="309"/>
      <c r="I45734" s="309"/>
      <c r="J45734" s="309"/>
    </row>
    <row r="45735">
      <c r="B45735" s="309"/>
      <c r="C45735" s="309"/>
      <c r="I45735" s="309"/>
      <c r="J45735" s="309"/>
    </row>
    <row r="45736">
      <c r="B45736" s="309"/>
      <c r="C45736" s="309"/>
      <c r="I45736" s="309"/>
      <c r="J45736" s="309"/>
    </row>
    <row r="45737">
      <c r="B45737" s="309"/>
      <c r="C45737" s="309"/>
      <c r="I45737" s="309"/>
      <c r="J45737" s="309"/>
    </row>
    <row r="45738">
      <c r="B45738" s="309"/>
      <c r="C45738" s="309"/>
      <c r="I45738" s="309"/>
      <c r="J45738" s="309"/>
    </row>
    <row r="45739">
      <c r="B45739" s="309"/>
      <c r="C45739" s="309"/>
      <c r="I45739" s="309"/>
      <c r="J45739" s="309"/>
    </row>
    <row r="45740">
      <c r="B45740" s="309"/>
      <c r="C45740" s="309"/>
      <c r="I45740" s="309"/>
      <c r="J45740" s="309"/>
    </row>
    <row r="45741">
      <c r="B45741" s="309"/>
      <c r="C45741" s="309"/>
      <c r="I45741" s="309"/>
      <c r="J45741" s="309"/>
    </row>
    <row r="45742">
      <c r="B45742" s="309"/>
      <c r="C45742" s="309"/>
      <c r="I45742" s="309"/>
      <c r="J45742" s="309"/>
    </row>
    <row r="45743">
      <c r="B45743" s="309"/>
      <c r="C45743" s="309"/>
      <c r="I45743" s="309"/>
      <c r="J45743" s="309"/>
    </row>
    <row r="45744">
      <c r="B45744" s="309"/>
      <c r="C45744" s="309"/>
      <c r="I45744" s="309"/>
      <c r="J45744" s="309"/>
    </row>
    <row r="45745">
      <c r="B45745" s="309"/>
      <c r="C45745" s="309"/>
      <c r="I45745" s="309"/>
      <c r="J45745" s="309"/>
    </row>
    <row r="45746">
      <c r="B45746" s="309"/>
      <c r="C45746" s="309"/>
      <c r="I45746" s="309"/>
      <c r="J45746" s="309"/>
    </row>
    <row r="45747">
      <c r="B45747" s="309"/>
      <c r="C45747" s="309"/>
      <c r="I45747" s="309"/>
      <c r="J45747" s="309"/>
    </row>
    <row r="45748">
      <c r="B45748" s="309"/>
      <c r="C45748" s="309"/>
      <c r="I45748" s="309"/>
      <c r="J45748" s="309"/>
    </row>
    <row r="45749">
      <c r="B45749" s="309"/>
      <c r="C45749" s="309"/>
      <c r="I45749" s="309"/>
      <c r="J45749" s="309"/>
    </row>
    <row r="45750">
      <c r="B45750" s="309"/>
      <c r="C45750" s="309"/>
      <c r="I45750" s="309"/>
      <c r="J45750" s="309"/>
    </row>
    <row r="45751">
      <c r="B45751" s="309"/>
      <c r="C45751" s="309"/>
      <c r="I45751" s="309"/>
      <c r="J45751" s="309"/>
    </row>
    <row r="45752">
      <c r="B45752" s="309"/>
      <c r="C45752" s="309"/>
      <c r="I45752" s="309"/>
      <c r="J45752" s="309"/>
    </row>
    <row r="45753">
      <c r="B45753" s="309"/>
      <c r="C45753" s="309"/>
      <c r="I45753" s="309"/>
      <c r="J45753" s="309"/>
    </row>
    <row r="45754">
      <c r="B45754" s="309"/>
      <c r="C45754" s="309"/>
      <c r="I45754" s="309"/>
      <c r="J45754" s="309"/>
    </row>
    <row r="45755">
      <c r="B45755" s="309"/>
      <c r="C45755" s="309"/>
      <c r="I45755" s="309"/>
      <c r="J45755" s="309"/>
    </row>
    <row r="45756">
      <c r="B45756" s="309"/>
      <c r="C45756" s="309"/>
      <c r="I45756" s="309"/>
      <c r="J45756" s="309"/>
    </row>
    <row r="45757">
      <c r="B45757" s="309"/>
      <c r="C45757" s="309"/>
      <c r="I45757" s="309"/>
      <c r="J45757" s="309"/>
    </row>
    <row r="45758">
      <c r="B45758" s="309"/>
      <c r="C45758" s="309"/>
      <c r="I45758" s="309"/>
      <c r="J45758" s="309"/>
    </row>
    <row r="45759">
      <c r="B45759" s="309"/>
      <c r="C45759" s="309"/>
      <c r="I45759" s="309"/>
      <c r="J45759" s="309"/>
    </row>
    <row r="45760">
      <c r="B45760" s="309"/>
      <c r="C45760" s="309"/>
      <c r="I45760" s="309"/>
      <c r="J45760" s="309"/>
    </row>
    <row r="45761">
      <c r="B45761" s="309"/>
      <c r="C45761" s="309"/>
      <c r="I45761" s="309"/>
      <c r="J45761" s="309"/>
    </row>
    <row r="45762">
      <c r="B45762" s="309"/>
      <c r="C45762" s="309"/>
      <c r="I45762" s="309"/>
      <c r="J45762" s="309"/>
    </row>
    <row r="45763">
      <c r="B45763" s="309"/>
      <c r="C45763" s="309"/>
      <c r="I45763" s="309"/>
      <c r="J45763" s="309"/>
    </row>
    <row r="45764">
      <c r="B45764" s="309"/>
      <c r="C45764" s="309"/>
      <c r="I45764" s="309"/>
      <c r="J45764" s="309"/>
    </row>
    <row r="45765">
      <c r="B45765" s="309"/>
      <c r="C45765" s="309"/>
      <c r="I45765" s="309"/>
      <c r="J45765" s="309"/>
    </row>
    <row r="45766">
      <c r="B45766" s="309"/>
      <c r="C45766" s="309"/>
      <c r="I45766" s="309"/>
      <c r="J45766" s="309"/>
    </row>
    <row r="45767">
      <c r="B45767" s="309"/>
      <c r="C45767" s="309"/>
      <c r="I45767" s="309"/>
      <c r="J45767" s="309"/>
    </row>
    <row r="45768">
      <c r="B45768" s="309"/>
      <c r="C45768" s="309"/>
      <c r="I45768" s="309"/>
      <c r="J45768" s="309"/>
    </row>
    <row r="45769">
      <c r="B45769" s="309"/>
      <c r="C45769" s="309"/>
      <c r="I45769" s="309"/>
      <c r="J45769" s="309"/>
    </row>
    <row r="45770">
      <c r="B45770" s="309"/>
      <c r="C45770" s="309"/>
      <c r="I45770" s="309"/>
      <c r="J45770" s="309"/>
    </row>
    <row r="45771">
      <c r="B45771" s="309"/>
      <c r="C45771" s="309"/>
      <c r="I45771" s="309"/>
      <c r="J45771" s="309"/>
    </row>
    <row r="45772">
      <c r="B45772" s="309"/>
      <c r="C45772" s="309"/>
      <c r="I45772" s="309"/>
      <c r="J45772" s="309"/>
    </row>
    <row r="45773">
      <c r="B45773" s="309"/>
      <c r="C45773" s="309"/>
      <c r="I45773" s="309"/>
      <c r="J45773" s="309"/>
    </row>
    <row r="45774">
      <c r="B45774" s="309"/>
      <c r="C45774" s="309"/>
      <c r="I45774" s="309"/>
      <c r="J45774" s="309"/>
    </row>
    <row r="45775">
      <c r="B45775" s="309"/>
      <c r="C45775" s="309"/>
      <c r="I45775" s="309"/>
      <c r="J45775" s="309"/>
    </row>
    <row r="45776">
      <c r="B45776" s="309"/>
      <c r="C45776" s="309"/>
      <c r="I45776" s="309"/>
      <c r="J45776" s="309"/>
    </row>
    <row r="45777">
      <c r="B45777" s="309"/>
      <c r="C45777" s="309"/>
      <c r="I45777" s="309"/>
      <c r="J45777" s="309"/>
    </row>
    <row r="45778">
      <c r="B45778" s="309"/>
      <c r="C45778" s="309"/>
      <c r="I45778" s="309"/>
      <c r="J45778" s="309"/>
    </row>
    <row r="45779">
      <c r="B45779" s="309"/>
      <c r="C45779" s="309"/>
      <c r="I45779" s="309"/>
      <c r="J45779" s="309"/>
    </row>
    <row r="45780">
      <c r="B45780" s="309"/>
      <c r="C45780" s="309"/>
      <c r="I45780" s="309"/>
      <c r="J45780" s="309"/>
    </row>
    <row r="45781">
      <c r="B45781" s="309"/>
      <c r="C45781" s="309"/>
      <c r="I45781" s="309"/>
      <c r="J45781" s="309"/>
    </row>
    <row r="45782">
      <c r="B45782" s="309"/>
      <c r="C45782" s="309"/>
      <c r="I45782" s="309"/>
      <c r="J45782" s="309"/>
    </row>
    <row r="45783">
      <c r="B45783" s="309"/>
      <c r="C45783" s="309"/>
      <c r="I45783" s="309"/>
      <c r="J45783" s="309"/>
    </row>
    <row r="45784">
      <c r="B45784" s="309"/>
      <c r="C45784" s="309"/>
      <c r="I45784" s="309"/>
      <c r="J45784" s="309"/>
    </row>
    <row r="45785">
      <c r="B45785" s="309"/>
      <c r="C45785" s="309"/>
      <c r="I45785" s="309"/>
      <c r="J45785" s="309"/>
    </row>
    <row r="45786">
      <c r="B45786" s="309"/>
      <c r="C45786" s="309"/>
      <c r="I45786" s="309"/>
      <c r="J45786" s="309"/>
    </row>
    <row r="45787">
      <c r="B45787" s="309"/>
      <c r="C45787" s="309"/>
      <c r="I45787" s="309"/>
      <c r="J45787" s="309"/>
    </row>
    <row r="45788">
      <c r="B45788" s="309"/>
      <c r="C45788" s="309"/>
      <c r="I45788" s="309"/>
      <c r="J45788" s="309"/>
    </row>
    <row r="45789">
      <c r="B45789" s="309"/>
      <c r="C45789" s="309"/>
      <c r="I45789" s="309"/>
      <c r="J45789" s="309"/>
    </row>
    <row r="45790">
      <c r="B45790" s="309"/>
      <c r="C45790" s="309"/>
      <c r="I45790" s="309"/>
      <c r="J45790" s="309"/>
    </row>
    <row r="45791">
      <c r="B45791" s="309"/>
      <c r="C45791" s="309"/>
      <c r="I45791" s="309"/>
      <c r="J45791" s="309"/>
    </row>
    <row r="45792">
      <c r="B45792" s="309"/>
      <c r="C45792" s="309"/>
      <c r="I45792" s="309"/>
      <c r="J45792" s="309"/>
    </row>
    <row r="45793">
      <c r="B45793" s="309"/>
      <c r="C45793" s="309"/>
      <c r="I45793" s="309"/>
      <c r="J45793" s="309"/>
    </row>
    <row r="45794">
      <c r="B45794" s="309"/>
      <c r="C45794" s="309"/>
      <c r="I45794" s="309"/>
      <c r="J45794" s="309"/>
    </row>
    <row r="45795">
      <c r="B45795" s="309"/>
      <c r="C45795" s="309"/>
      <c r="I45795" s="309"/>
      <c r="J45795" s="309"/>
    </row>
    <row r="45796">
      <c r="B45796" s="309"/>
      <c r="C45796" s="309"/>
      <c r="I45796" s="309"/>
      <c r="J45796" s="309"/>
    </row>
    <row r="45797">
      <c r="B45797" s="309"/>
      <c r="C45797" s="309"/>
      <c r="I45797" s="309"/>
      <c r="J45797" s="309"/>
    </row>
    <row r="45798">
      <c r="B45798" s="309"/>
      <c r="C45798" s="309"/>
      <c r="I45798" s="309"/>
      <c r="J45798" s="309"/>
    </row>
    <row r="45799">
      <c r="B45799" s="309"/>
      <c r="C45799" s="309"/>
      <c r="I45799" s="309"/>
      <c r="J45799" s="309"/>
    </row>
    <row r="45800">
      <c r="B45800" s="309"/>
      <c r="C45800" s="309"/>
      <c r="I45800" s="309"/>
      <c r="J45800" s="309"/>
    </row>
    <row r="45801">
      <c r="B45801" s="309"/>
      <c r="C45801" s="309"/>
      <c r="I45801" s="309"/>
      <c r="J45801" s="309"/>
    </row>
    <row r="45802">
      <c r="B45802" s="309"/>
      <c r="C45802" s="309"/>
      <c r="I45802" s="309"/>
      <c r="J45802" s="309"/>
    </row>
    <row r="45803">
      <c r="B45803" s="309"/>
      <c r="C45803" s="309"/>
      <c r="I45803" s="309"/>
      <c r="J45803" s="309"/>
    </row>
    <row r="45804">
      <c r="B45804" s="309"/>
      <c r="C45804" s="309"/>
      <c r="I45804" s="309"/>
      <c r="J45804" s="309"/>
    </row>
    <row r="45805">
      <c r="B45805" s="309"/>
      <c r="C45805" s="309"/>
      <c r="I45805" s="309"/>
      <c r="J45805" s="309"/>
    </row>
    <row r="45806">
      <c r="B45806" s="309"/>
      <c r="C45806" s="309"/>
      <c r="I45806" s="309"/>
      <c r="J45806" s="309"/>
    </row>
    <row r="45807">
      <c r="B45807" s="309"/>
      <c r="C45807" s="309"/>
      <c r="I45807" s="309"/>
      <c r="J45807" s="309"/>
    </row>
    <row r="45808">
      <c r="B45808" s="309"/>
      <c r="C45808" s="309"/>
      <c r="I45808" s="309"/>
      <c r="J45808" s="309"/>
    </row>
    <row r="45809">
      <c r="B45809" s="309"/>
      <c r="C45809" s="309"/>
      <c r="I45809" s="309"/>
      <c r="J45809" s="309"/>
    </row>
    <row r="45810">
      <c r="B45810" s="309"/>
      <c r="C45810" s="309"/>
      <c r="I45810" s="309"/>
      <c r="J45810" s="309"/>
    </row>
    <row r="45811">
      <c r="B45811" s="309"/>
      <c r="C45811" s="309"/>
      <c r="I45811" s="309"/>
      <c r="J45811" s="309"/>
    </row>
    <row r="45812">
      <c r="B45812" s="309"/>
      <c r="C45812" s="309"/>
      <c r="I45812" s="309"/>
      <c r="J45812" s="309"/>
    </row>
    <row r="45813">
      <c r="B45813" s="309"/>
      <c r="C45813" s="309"/>
      <c r="I45813" s="309"/>
      <c r="J45813" s="309"/>
    </row>
    <row r="45814">
      <c r="B45814" s="309"/>
      <c r="C45814" s="309"/>
      <c r="I45814" s="309"/>
      <c r="J45814" s="309"/>
    </row>
    <row r="45815">
      <c r="B45815" s="309"/>
      <c r="C45815" s="309"/>
      <c r="I45815" s="309"/>
      <c r="J45815" s="309"/>
    </row>
    <row r="45816">
      <c r="B45816" s="309"/>
      <c r="C45816" s="309"/>
      <c r="I45816" s="309"/>
      <c r="J45816" s="309"/>
    </row>
    <row r="45817">
      <c r="B45817" s="309"/>
      <c r="C45817" s="309"/>
      <c r="I45817" s="309"/>
      <c r="J45817" s="309"/>
    </row>
    <row r="45818">
      <c r="B45818" s="309"/>
      <c r="C45818" s="309"/>
      <c r="I45818" s="309"/>
      <c r="J45818" s="309"/>
    </row>
    <row r="45819">
      <c r="B45819" s="309"/>
      <c r="C45819" s="309"/>
      <c r="I45819" s="309"/>
      <c r="J45819" s="309"/>
    </row>
    <row r="45820">
      <c r="B45820" s="309"/>
      <c r="C45820" s="309"/>
      <c r="I45820" s="309"/>
      <c r="J45820" s="309"/>
    </row>
    <row r="45821">
      <c r="B45821" s="309"/>
      <c r="C45821" s="309"/>
      <c r="I45821" s="309"/>
      <c r="J45821" s="309"/>
    </row>
    <row r="45822">
      <c r="B45822" s="309"/>
      <c r="C45822" s="309"/>
      <c r="I45822" s="309"/>
      <c r="J45822" s="309"/>
    </row>
    <row r="45823">
      <c r="B45823" s="309"/>
      <c r="C45823" s="309"/>
      <c r="I45823" s="309"/>
      <c r="J45823" s="309"/>
    </row>
    <row r="45824">
      <c r="B45824" s="309"/>
      <c r="C45824" s="309"/>
      <c r="I45824" s="309"/>
      <c r="J45824" s="309"/>
    </row>
    <row r="45825">
      <c r="B45825" s="309"/>
      <c r="C45825" s="309"/>
      <c r="I45825" s="309"/>
      <c r="J45825" s="309"/>
    </row>
    <row r="45826">
      <c r="B45826" s="309"/>
      <c r="C45826" s="309"/>
      <c r="I45826" s="309"/>
      <c r="J45826" s="309"/>
    </row>
    <row r="45827">
      <c r="B45827" s="309"/>
      <c r="C45827" s="309"/>
      <c r="I45827" s="309"/>
      <c r="J45827" s="309"/>
    </row>
    <row r="45828">
      <c r="B45828" s="309"/>
      <c r="C45828" s="309"/>
      <c r="I45828" s="309"/>
      <c r="J45828" s="309"/>
    </row>
    <row r="45829">
      <c r="B45829" s="309"/>
      <c r="C45829" s="309"/>
      <c r="I45829" s="309"/>
      <c r="J45829" s="309"/>
    </row>
    <row r="45830">
      <c r="B45830" s="309"/>
      <c r="C45830" s="309"/>
      <c r="I45830" s="309"/>
      <c r="J45830" s="309"/>
    </row>
    <row r="45831">
      <c r="B45831" s="309"/>
      <c r="C45831" s="309"/>
      <c r="I45831" s="309"/>
      <c r="J45831" s="309"/>
    </row>
    <row r="45832">
      <c r="B45832" s="309"/>
      <c r="C45832" s="309"/>
      <c r="I45832" s="309"/>
      <c r="J45832" s="309"/>
    </row>
    <row r="45833">
      <c r="B45833" s="309"/>
      <c r="C45833" s="309"/>
      <c r="I45833" s="309"/>
      <c r="J45833" s="309"/>
    </row>
    <row r="45834">
      <c r="B45834" s="309"/>
      <c r="C45834" s="309"/>
      <c r="I45834" s="309"/>
      <c r="J45834" s="309"/>
    </row>
    <row r="45835">
      <c r="B45835" s="309"/>
      <c r="C45835" s="309"/>
      <c r="I45835" s="309"/>
      <c r="J45835" s="309"/>
    </row>
    <row r="45836">
      <c r="B45836" s="309"/>
      <c r="C45836" s="309"/>
      <c r="I45836" s="309"/>
      <c r="J45836" s="309"/>
    </row>
    <row r="45837">
      <c r="B45837" s="309"/>
      <c r="C45837" s="309"/>
      <c r="I45837" s="309"/>
      <c r="J45837" s="309"/>
    </row>
    <row r="45838">
      <c r="B45838" s="309"/>
      <c r="C45838" s="309"/>
      <c r="I45838" s="309"/>
      <c r="J45838" s="309"/>
    </row>
    <row r="45839">
      <c r="B45839" s="309"/>
      <c r="C45839" s="309"/>
      <c r="I45839" s="309"/>
      <c r="J45839" s="309"/>
    </row>
    <row r="45840">
      <c r="B45840" s="309"/>
      <c r="C45840" s="309"/>
      <c r="I45840" s="309"/>
      <c r="J45840" s="309"/>
    </row>
    <row r="45841">
      <c r="B45841" s="309"/>
      <c r="C45841" s="309"/>
      <c r="I45841" s="309"/>
      <c r="J45841" s="309"/>
    </row>
    <row r="45842">
      <c r="B45842" s="309"/>
      <c r="C45842" s="309"/>
      <c r="I45842" s="309"/>
      <c r="J45842" s="309"/>
    </row>
    <row r="45843">
      <c r="B45843" s="309"/>
      <c r="C45843" s="309"/>
      <c r="I45843" s="309"/>
      <c r="J45843" s="309"/>
    </row>
    <row r="45844">
      <c r="B45844" s="309"/>
      <c r="C45844" s="309"/>
      <c r="I45844" s="309"/>
      <c r="J45844" s="309"/>
    </row>
    <row r="45845">
      <c r="B45845" s="309"/>
      <c r="C45845" s="309"/>
      <c r="I45845" s="309"/>
      <c r="J45845" s="309"/>
    </row>
    <row r="45846">
      <c r="B45846" s="309"/>
      <c r="C45846" s="309"/>
      <c r="I45846" s="309"/>
      <c r="J45846" s="309"/>
    </row>
    <row r="45847">
      <c r="B45847" s="309"/>
      <c r="C45847" s="309"/>
      <c r="I45847" s="309"/>
      <c r="J45847" s="309"/>
    </row>
    <row r="45848">
      <c r="B45848" s="309"/>
      <c r="C45848" s="309"/>
      <c r="I45848" s="309"/>
      <c r="J45848" s="309"/>
    </row>
    <row r="45849">
      <c r="B45849" s="309"/>
      <c r="C45849" s="309"/>
      <c r="I45849" s="309"/>
      <c r="J45849" s="309"/>
    </row>
    <row r="45850">
      <c r="B45850" s="309"/>
      <c r="C45850" s="309"/>
      <c r="I45850" s="309"/>
      <c r="J45850" s="309"/>
    </row>
    <row r="45851">
      <c r="B45851" s="309"/>
      <c r="C45851" s="309"/>
      <c r="I45851" s="309"/>
      <c r="J45851" s="309"/>
    </row>
    <row r="45852">
      <c r="B45852" s="309"/>
      <c r="C45852" s="309"/>
      <c r="I45852" s="309"/>
      <c r="J45852" s="309"/>
    </row>
    <row r="45853">
      <c r="B45853" s="309"/>
      <c r="C45853" s="309"/>
      <c r="I45853" s="309"/>
      <c r="J45853" s="309"/>
    </row>
    <row r="45854">
      <c r="B45854" s="309"/>
      <c r="C45854" s="309"/>
      <c r="I45854" s="309"/>
      <c r="J45854" s="309"/>
    </row>
    <row r="45855">
      <c r="B45855" s="309"/>
      <c r="C45855" s="309"/>
      <c r="I45855" s="309"/>
      <c r="J45855" s="309"/>
    </row>
    <row r="45856">
      <c r="B45856" s="309"/>
      <c r="C45856" s="309"/>
      <c r="I45856" s="309"/>
      <c r="J45856" s="309"/>
    </row>
    <row r="45857">
      <c r="B45857" s="309"/>
      <c r="C45857" s="309"/>
      <c r="I45857" s="309"/>
      <c r="J45857" s="309"/>
    </row>
    <row r="45858">
      <c r="B45858" s="309"/>
      <c r="C45858" s="309"/>
      <c r="I45858" s="309"/>
      <c r="J45858" s="309"/>
    </row>
    <row r="45859">
      <c r="B45859" s="309"/>
      <c r="C45859" s="309"/>
      <c r="I45859" s="309"/>
      <c r="J45859" s="309"/>
    </row>
    <row r="45860">
      <c r="B45860" s="309"/>
      <c r="C45860" s="309"/>
      <c r="I45860" s="309"/>
      <c r="J45860" s="309"/>
    </row>
    <row r="45861">
      <c r="B45861" s="309"/>
      <c r="C45861" s="309"/>
      <c r="I45861" s="309"/>
      <c r="J45861" s="309"/>
    </row>
    <row r="45862">
      <c r="B45862" s="309"/>
      <c r="C45862" s="309"/>
      <c r="I45862" s="309"/>
      <c r="J45862" s="309"/>
    </row>
    <row r="45863">
      <c r="B45863" s="309"/>
      <c r="C45863" s="309"/>
      <c r="I45863" s="309"/>
      <c r="J45863" s="309"/>
    </row>
    <row r="45864">
      <c r="B45864" s="309"/>
      <c r="C45864" s="309"/>
      <c r="I45864" s="309"/>
      <c r="J45864" s="309"/>
    </row>
    <row r="45865">
      <c r="B45865" s="309"/>
      <c r="C45865" s="309"/>
      <c r="I45865" s="309"/>
      <c r="J45865" s="309"/>
    </row>
    <row r="45866">
      <c r="B45866" s="309"/>
      <c r="C45866" s="309"/>
      <c r="I45866" s="309"/>
      <c r="J45866" s="309"/>
    </row>
    <row r="45867">
      <c r="B45867" s="309"/>
      <c r="C45867" s="309"/>
      <c r="I45867" s="309"/>
      <c r="J45867" s="309"/>
    </row>
    <row r="45868">
      <c r="B45868" s="309"/>
      <c r="C45868" s="309"/>
      <c r="I45868" s="309"/>
      <c r="J45868" s="309"/>
    </row>
    <row r="45869">
      <c r="B45869" s="309"/>
      <c r="C45869" s="309"/>
      <c r="I45869" s="309"/>
      <c r="J45869" s="309"/>
    </row>
    <row r="45870">
      <c r="B45870" s="309"/>
      <c r="C45870" s="309"/>
      <c r="I45870" s="309"/>
      <c r="J45870" s="309"/>
    </row>
    <row r="45871">
      <c r="B45871" s="309"/>
      <c r="C45871" s="309"/>
      <c r="I45871" s="309"/>
      <c r="J45871" s="309"/>
    </row>
    <row r="45872">
      <c r="B45872" s="309"/>
      <c r="C45872" s="309"/>
      <c r="I45872" s="309"/>
      <c r="J45872" s="309"/>
    </row>
    <row r="45873">
      <c r="B45873" s="309"/>
      <c r="C45873" s="309"/>
      <c r="I45873" s="309"/>
      <c r="J45873" s="309"/>
    </row>
    <row r="45874">
      <c r="B45874" s="309"/>
      <c r="C45874" s="309"/>
      <c r="I45874" s="309"/>
      <c r="J45874" s="309"/>
    </row>
    <row r="45875">
      <c r="B45875" s="309"/>
      <c r="C45875" s="309"/>
      <c r="I45875" s="309"/>
      <c r="J45875" s="309"/>
    </row>
    <row r="45876">
      <c r="B45876" s="309"/>
      <c r="C45876" s="309"/>
      <c r="I45876" s="309"/>
      <c r="J45876" s="309"/>
    </row>
    <row r="45877">
      <c r="B45877" s="309"/>
      <c r="C45877" s="309"/>
      <c r="I45877" s="309"/>
      <c r="J45877" s="309"/>
    </row>
    <row r="45878">
      <c r="B45878" s="309"/>
      <c r="C45878" s="309"/>
      <c r="I45878" s="309"/>
      <c r="J45878" s="309"/>
    </row>
    <row r="45879">
      <c r="B45879" s="309"/>
      <c r="C45879" s="309"/>
      <c r="I45879" s="309"/>
      <c r="J45879" s="309"/>
    </row>
    <row r="45880">
      <c r="B45880" s="309"/>
      <c r="C45880" s="309"/>
      <c r="I45880" s="309"/>
      <c r="J45880" s="309"/>
    </row>
    <row r="45881">
      <c r="B45881" s="309"/>
      <c r="C45881" s="309"/>
      <c r="I45881" s="309"/>
      <c r="J45881" s="309"/>
    </row>
    <row r="45882">
      <c r="B45882" s="309"/>
      <c r="C45882" s="309"/>
      <c r="I45882" s="309"/>
      <c r="J45882" s="309"/>
    </row>
    <row r="45883">
      <c r="B45883" s="309"/>
      <c r="C45883" s="309"/>
      <c r="I45883" s="309"/>
      <c r="J45883" s="309"/>
    </row>
    <row r="45884">
      <c r="B45884" s="309"/>
      <c r="C45884" s="309"/>
      <c r="I45884" s="309"/>
      <c r="J45884" s="309"/>
    </row>
    <row r="45885">
      <c r="B45885" s="309"/>
      <c r="C45885" s="309"/>
      <c r="I45885" s="309"/>
      <c r="J45885" s="309"/>
    </row>
    <row r="45886">
      <c r="B45886" s="309"/>
      <c r="C45886" s="309"/>
      <c r="I45886" s="309"/>
      <c r="J45886" s="309"/>
    </row>
    <row r="45887">
      <c r="B45887" s="309"/>
      <c r="C45887" s="309"/>
      <c r="I45887" s="309"/>
      <c r="J45887" s="309"/>
    </row>
    <row r="45888">
      <c r="B45888" s="309"/>
      <c r="C45888" s="309"/>
      <c r="I45888" s="309"/>
      <c r="J45888" s="309"/>
    </row>
    <row r="45889">
      <c r="B45889" s="309"/>
      <c r="C45889" s="309"/>
      <c r="I45889" s="309"/>
      <c r="J45889" s="309"/>
    </row>
    <row r="45890">
      <c r="B45890" s="309"/>
      <c r="C45890" s="309"/>
      <c r="I45890" s="309"/>
      <c r="J45890" s="309"/>
    </row>
    <row r="45891">
      <c r="B45891" s="309"/>
      <c r="C45891" s="309"/>
      <c r="I45891" s="309"/>
      <c r="J45891" s="309"/>
    </row>
    <row r="45892">
      <c r="B45892" s="309"/>
      <c r="C45892" s="309"/>
      <c r="I45892" s="309"/>
      <c r="J45892" s="309"/>
    </row>
    <row r="45893">
      <c r="B45893" s="309"/>
      <c r="C45893" s="309"/>
      <c r="I45893" s="309"/>
      <c r="J45893" s="309"/>
    </row>
    <row r="45894">
      <c r="B45894" s="309"/>
      <c r="C45894" s="309"/>
      <c r="I45894" s="309"/>
      <c r="J45894" s="309"/>
    </row>
    <row r="45895">
      <c r="B45895" s="309"/>
      <c r="C45895" s="309"/>
      <c r="I45895" s="309"/>
      <c r="J45895" s="309"/>
    </row>
    <row r="45896">
      <c r="B45896" s="309"/>
      <c r="C45896" s="309"/>
      <c r="I45896" s="309"/>
      <c r="J45896" s="309"/>
    </row>
    <row r="45897">
      <c r="B45897" s="309"/>
      <c r="C45897" s="309"/>
      <c r="I45897" s="309"/>
      <c r="J45897" s="309"/>
    </row>
    <row r="45898">
      <c r="B45898" s="309"/>
      <c r="C45898" s="309"/>
      <c r="I45898" s="309"/>
      <c r="J45898" s="309"/>
    </row>
    <row r="45899">
      <c r="B45899" s="309"/>
      <c r="C45899" s="309"/>
      <c r="I45899" s="309"/>
      <c r="J45899" s="309"/>
    </row>
    <row r="45900">
      <c r="B45900" s="309"/>
      <c r="C45900" s="309"/>
      <c r="I45900" s="309"/>
      <c r="J45900" s="309"/>
    </row>
    <row r="45901">
      <c r="B45901" s="309"/>
      <c r="C45901" s="309"/>
      <c r="I45901" s="309"/>
      <c r="J45901" s="309"/>
    </row>
    <row r="45902">
      <c r="B45902" s="309"/>
      <c r="C45902" s="309"/>
      <c r="I45902" s="309"/>
      <c r="J45902" s="309"/>
    </row>
    <row r="45903">
      <c r="B45903" s="309"/>
      <c r="C45903" s="309"/>
      <c r="I45903" s="309"/>
      <c r="J45903" s="309"/>
    </row>
    <row r="45904">
      <c r="B45904" s="309"/>
      <c r="C45904" s="309"/>
      <c r="I45904" s="309"/>
      <c r="J45904" s="309"/>
    </row>
    <row r="45905">
      <c r="B45905" s="309"/>
      <c r="C45905" s="309"/>
      <c r="I45905" s="309"/>
      <c r="J45905" s="309"/>
    </row>
    <row r="45906">
      <c r="B45906" s="309"/>
      <c r="C45906" s="309"/>
      <c r="I45906" s="309"/>
      <c r="J45906" s="309"/>
    </row>
    <row r="45907">
      <c r="B45907" s="309"/>
      <c r="C45907" s="309"/>
      <c r="I45907" s="309"/>
      <c r="J45907" s="309"/>
    </row>
    <row r="45908">
      <c r="B45908" s="309"/>
      <c r="C45908" s="309"/>
      <c r="I45908" s="309"/>
      <c r="J45908" s="309"/>
    </row>
    <row r="45909">
      <c r="B45909" s="309"/>
      <c r="C45909" s="309"/>
      <c r="I45909" s="309"/>
      <c r="J45909" s="309"/>
    </row>
    <row r="45910">
      <c r="B45910" s="309"/>
      <c r="C45910" s="309"/>
      <c r="I45910" s="309"/>
      <c r="J45910" s="309"/>
    </row>
    <row r="45911">
      <c r="B45911" s="309"/>
      <c r="C45911" s="309"/>
      <c r="I45911" s="309"/>
      <c r="J45911" s="309"/>
    </row>
    <row r="45912">
      <c r="B45912" s="309"/>
      <c r="C45912" s="309"/>
      <c r="I45912" s="309"/>
      <c r="J45912" s="309"/>
    </row>
    <row r="45913">
      <c r="B45913" s="309"/>
      <c r="C45913" s="309"/>
      <c r="I45913" s="309"/>
      <c r="J45913" s="309"/>
    </row>
    <row r="45914">
      <c r="B45914" s="309"/>
      <c r="C45914" s="309"/>
      <c r="I45914" s="309"/>
      <c r="J45914" s="309"/>
    </row>
    <row r="45915">
      <c r="B45915" s="309"/>
      <c r="C45915" s="309"/>
      <c r="I45915" s="309"/>
      <c r="J45915" s="309"/>
    </row>
    <row r="45916">
      <c r="B45916" s="309"/>
      <c r="C45916" s="309"/>
      <c r="I45916" s="309"/>
      <c r="J45916" s="309"/>
    </row>
    <row r="45917">
      <c r="B45917" s="309"/>
      <c r="C45917" s="309"/>
      <c r="I45917" s="309"/>
      <c r="J45917" s="309"/>
    </row>
    <row r="45918">
      <c r="B45918" s="309"/>
      <c r="C45918" s="309"/>
      <c r="I45918" s="309"/>
      <c r="J45918" s="309"/>
    </row>
    <row r="45919">
      <c r="B45919" s="309"/>
      <c r="C45919" s="309"/>
      <c r="I45919" s="309"/>
      <c r="J45919" s="309"/>
    </row>
    <row r="45920">
      <c r="B45920" s="309"/>
      <c r="C45920" s="309"/>
      <c r="I45920" s="309"/>
      <c r="J45920" s="309"/>
    </row>
    <row r="45921">
      <c r="B45921" s="309"/>
      <c r="C45921" s="309"/>
      <c r="I45921" s="309"/>
      <c r="J45921" s="309"/>
    </row>
    <row r="45922">
      <c r="B45922" s="309"/>
      <c r="C45922" s="309"/>
      <c r="I45922" s="309"/>
      <c r="J45922" s="309"/>
    </row>
    <row r="45923">
      <c r="B45923" s="309"/>
      <c r="C45923" s="309"/>
      <c r="I45923" s="309"/>
      <c r="J45923" s="309"/>
    </row>
    <row r="45924">
      <c r="B45924" s="309"/>
      <c r="C45924" s="309"/>
      <c r="I45924" s="309"/>
      <c r="J45924" s="309"/>
    </row>
    <row r="45925">
      <c r="B45925" s="309"/>
      <c r="C45925" s="309"/>
      <c r="I45925" s="309"/>
      <c r="J45925" s="309"/>
    </row>
    <row r="45926">
      <c r="B45926" s="309"/>
      <c r="C45926" s="309"/>
      <c r="I45926" s="309"/>
      <c r="J45926" s="309"/>
    </row>
    <row r="45927">
      <c r="B45927" s="309"/>
      <c r="C45927" s="309"/>
      <c r="I45927" s="309"/>
      <c r="J45927" s="309"/>
    </row>
    <row r="45928">
      <c r="B45928" s="309"/>
      <c r="C45928" s="309"/>
      <c r="I45928" s="309"/>
      <c r="J45928" s="309"/>
    </row>
    <row r="45929">
      <c r="B45929" s="309"/>
      <c r="C45929" s="309"/>
      <c r="I45929" s="309"/>
      <c r="J45929" s="309"/>
    </row>
    <row r="45930">
      <c r="B45930" s="309"/>
      <c r="C45930" s="309"/>
      <c r="I45930" s="309"/>
      <c r="J45930" s="309"/>
    </row>
    <row r="45931">
      <c r="B45931" s="309"/>
      <c r="C45931" s="309"/>
      <c r="I45931" s="309"/>
      <c r="J45931" s="309"/>
    </row>
    <row r="45932">
      <c r="B45932" s="309"/>
      <c r="C45932" s="309"/>
      <c r="I45932" s="309"/>
      <c r="J45932" s="309"/>
    </row>
    <row r="45933">
      <c r="B45933" s="309"/>
      <c r="C45933" s="309"/>
      <c r="I45933" s="309"/>
      <c r="J45933" s="309"/>
    </row>
    <row r="45934">
      <c r="B45934" s="309"/>
      <c r="C45934" s="309"/>
      <c r="I45934" s="309"/>
      <c r="J45934" s="309"/>
    </row>
    <row r="45935">
      <c r="B45935" s="309"/>
      <c r="C45935" s="309"/>
      <c r="I45935" s="309"/>
      <c r="J45935" s="309"/>
    </row>
    <row r="45936">
      <c r="B45936" s="309"/>
      <c r="C45936" s="309"/>
      <c r="I45936" s="309"/>
      <c r="J45936" s="309"/>
    </row>
    <row r="45937">
      <c r="B45937" s="309"/>
      <c r="C45937" s="309"/>
      <c r="I45937" s="309"/>
      <c r="J45937" s="309"/>
    </row>
    <row r="45938">
      <c r="B45938" s="309"/>
      <c r="C45938" s="309"/>
      <c r="I45938" s="309"/>
      <c r="J45938" s="309"/>
    </row>
    <row r="45939">
      <c r="B45939" s="309"/>
      <c r="C45939" s="309"/>
      <c r="I45939" s="309"/>
      <c r="J45939" s="309"/>
    </row>
    <row r="45940">
      <c r="B45940" s="309"/>
      <c r="C45940" s="309"/>
      <c r="I45940" s="309"/>
      <c r="J45940" s="309"/>
    </row>
    <row r="45941">
      <c r="B45941" s="309"/>
      <c r="C45941" s="309"/>
      <c r="I45941" s="309"/>
      <c r="J45941" s="309"/>
    </row>
    <row r="45942">
      <c r="B45942" s="309"/>
      <c r="C45942" s="309"/>
      <c r="I45942" s="309"/>
      <c r="J45942" s="309"/>
    </row>
    <row r="45943">
      <c r="B45943" s="309"/>
      <c r="C45943" s="309"/>
      <c r="I45943" s="309"/>
      <c r="J45943" s="309"/>
    </row>
    <row r="45944">
      <c r="B45944" s="309"/>
      <c r="C45944" s="309"/>
      <c r="I45944" s="309"/>
      <c r="J45944" s="309"/>
    </row>
    <row r="45945">
      <c r="B45945" s="309"/>
      <c r="C45945" s="309"/>
      <c r="I45945" s="309"/>
      <c r="J45945" s="309"/>
    </row>
    <row r="45946">
      <c r="B45946" s="309"/>
      <c r="C45946" s="309"/>
      <c r="I45946" s="309"/>
      <c r="J45946" s="309"/>
    </row>
    <row r="45947">
      <c r="B45947" s="309"/>
      <c r="C45947" s="309"/>
      <c r="I45947" s="309"/>
      <c r="J45947" s="309"/>
    </row>
    <row r="45948">
      <c r="B45948" s="309"/>
      <c r="C45948" s="309"/>
      <c r="I45948" s="309"/>
      <c r="J45948" s="309"/>
    </row>
    <row r="45949">
      <c r="B45949" s="309"/>
      <c r="C45949" s="309"/>
      <c r="I45949" s="309"/>
      <c r="J45949" s="309"/>
    </row>
    <row r="45950">
      <c r="B45950" s="309"/>
      <c r="C45950" s="309"/>
      <c r="I45950" s="309"/>
      <c r="J45950" s="309"/>
    </row>
    <row r="45951">
      <c r="B45951" s="309"/>
      <c r="C45951" s="309"/>
      <c r="I45951" s="309"/>
      <c r="J45951" s="309"/>
    </row>
    <row r="45952">
      <c r="B45952" s="309"/>
      <c r="C45952" s="309"/>
      <c r="I45952" s="309"/>
      <c r="J45952" s="309"/>
    </row>
    <row r="45953">
      <c r="B45953" s="309"/>
      <c r="C45953" s="309"/>
      <c r="I45953" s="309"/>
      <c r="J45953" s="309"/>
    </row>
    <row r="45954">
      <c r="B45954" s="309"/>
      <c r="C45954" s="309"/>
      <c r="I45954" s="309"/>
      <c r="J45954" s="309"/>
    </row>
    <row r="45955">
      <c r="B45955" s="309"/>
      <c r="C45955" s="309"/>
      <c r="I45955" s="309"/>
      <c r="J45955" s="309"/>
    </row>
    <row r="45956">
      <c r="B45956" s="309"/>
      <c r="C45956" s="309"/>
      <c r="I45956" s="309"/>
      <c r="J45956" s="309"/>
    </row>
    <row r="45957">
      <c r="B45957" s="309"/>
      <c r="C45957" s="309"/>
      <c r="I45957" s="309"/>
      <c r="J45957" s="309"/>
    </row>
    <row r="45958">
      <c r="B45958" s="309"/>
      <c r="C45958" s="309"/>
      <c r="I45958" s="309"/>
      <c r="J45958" s="309"/>
    </row>
    <row r="45959">
      <c r="B45959" s="309"/>
      <c r="C45959" s="309"/>
      <c r="I45959" s="309"/>
      <c r="J45959" s="309"/>
    </row>
    <row r="45960">
      <c r="B45960" s="309"/>
      <c r="C45960" s="309"/>
      <c r="I45960" s="309"/>
      <c r="J45960" s="309"/>
    </row>
    <row r="45961">
      <c r="B45961" s="309"/>
      <c r="C45961" s="309"/>
      <c r="I45961" s="309"/>
      <c r="J45961" s="309"/>
    </row>
    <row r="45962">
      <c r="B45962" s="309"/>
      <c r="C45962" s="309"/>
      <c r="I45962" s="309"/>
      <c r="J45962" s="309"/>
    </row>
    <row r="45963">
      <c r="B45963" s="309"/>
      <c r="C45963" s="309"/>
      <c r="I45963" s="309"/>
      <c r="J45963" s="309"/>
    </row>
    <row r="45964">
      <c r="B45964" s="309"/>
      <c r="C45964" s="309"/>
      <c r="I45964" s="309"/>
      <c r="J45964" s="309"/>
    </row>
    <row r="45965">
      <c r="B45965" s="309"/>
      <c r="C45965" s="309"/>
      <c r="I45965" s="309"/>
      <c r="J45965" s="309"/>
    </row>
    <row r="45966">
      <c r="B45966" s="309"/>
      <c r="C45966" s="309"/>
      <c r="I45966" s="309"/>
      <c r="J45966" s="309"/>
    </row>
    <row r="45967">
      <c r="B45967" s="309"/>
      <c r="C45967" s="309"/>
      <c r="I45967" s="309"/>
      <c r="J45967" s="309"/>
    </row>
    <row r="45968">
      <c r="B45968" s="309"/>
      <c r="C45968" s="309"/>
      <c r="I45968" s="309"/>
      <c r="J45968" s="309"/>
    </row>
    <row r="45969">
      <c r="B45969" s="309"/>
      <c r="C45969" s="309"/>
      <c r="I45969" s="309"/>
      <c r="J45969" s="309"/>
    </row>
    <row r="45970">
      <c r="B45970" s="309"/>
      <c r="C45970" s="309"/>
      <c r="I45970" s="309"/>
      <c r="J45970" s="309"/>
    </row>
    <row r="45971">
      <c r="B45971" s="309"/>
      <c r="C45971" s="309"/>
      <c r="I45971" s="309"/>
      <c r="J45971" s="309"/>
    </row>
    <row r="45972">
      <c r="B45972" s="309"/>
      <c r="C45972" s="309"/>
      <c r="I45972" s="309"/>
      <c r="J45972" s="309"/>
    </row>
    <row r="45973">
      <c r="B45973" s="309"/>
      <c r="C45973" s="309"/>
      <c r="I45973" s="309"/>
      <c r="J45973" s="309"/>
    </row>
    <row r="45974">
      <c r="B45974" s="309"/>
      <c r="C45974" s="309"/>
      <c r="I45974" s="309"/>
      <c r="J45974" s="309"/>
    </row>
    <row r="45975">
      <c r="B45975" s="309"/>
      <c r="C45975" s="309"/>
      <c r="I45975" s="309"/>
      <c r="J45975" s="309"/>
    </row>
    <row r="45976">
      <c r="B45976" s="309"/>
      <c r="C45976" s="309"/>
      <c r="I45976" s="309"/>
      <c r="J45976" s="309"/>
    </row>
    <row r="45977">
      <c r="B45977" s="309"/>
      <c r="C45977" s="309"/>
      <c r="I45977" s="309"/>
      <c r="J45977" s="309"/>
    </row>
    <row r="45978">
      <c r="B45978" s="309"/>
      <c r="C45978" s="309"/>
      <c r="I45978" s="309"/>
      <c r="J45978" s="309"/>
    </row>
    <row r="45979">
      <c r="B45979" s="309"/>
      <c r="C45979" s="309"/>
      <c r="I45979" s="309"/>
      <c r="J45979" s="309"/>
    </row>
    <row r="45980">
      <c r="B45980" s="309"/>
      <c r="C45980" s="309"/>
      <c r="I45980" s="309"/>
      <c r="J45980" s="309"/>
    </row>
    <row r="45981">
      <c r="B45981" s="309"/>
      <c r="C45981" s="309"/>
      <c r="I45981" s="309"/>
      <c r="J45981" s="309"/>
    </row>
    <row r="45982">
      <c r="B45982" s="309"/>
      <c r="C45982" s="309"/>
      <c r="I45982" s="309"/>
      <c r="J45982" s="309"/>
    </row>
    <row r="45983">
      <c r="B45983" s="309"/>
      <c r="C45983" s="309"/>
      <c r="I45983" s="309"/>
      <c r="J45983" s="309"/>
    </row>
    <row r="45984">
      <c r="B45984" s="309"/>
      <c r="C45984" s="309"/>
      <c r="I45984" s="309"/>
      <c r="J45984" s="309"/>
    </row>
    <row r="45985">
      <c r="B45985" s="309"/>
      <c r="C45985" s="309"/>
      <c r="I45985" s="309"/>
      <c r="J45985" s="309"/>
    </row>
    <row r="45986">
      <c r="B45986" s="309"/>
      <c r="C45986" s="309"/>
      <c r="I45986" s="309"/>
      <c r="J45986" s="309"/>
    </row>
    <row r="45987">
      <c r="B45987" s="309"/>
      <c r="C45987" s="309"/>
      <c r="I45987" s="309"/>
      <c r="J45987" s="309"/>
    </row>
    <row r="45988">
      <c r="B45988" s="309"/>
      <c r="C45988" s="309"/>
      <c r="I45988" s="309"/>
      <c r="J45988" s="309"/>
    </row>
    <row r="45989">
      <c r="B45989" s="309"/>
      <c r="C45989" s="309"/>
      <c r="I45989" s="309"/>
      <c r="J45989" s="309"/>
    </row>
    <row r="45990">
      <c r="B45990" s="309"/>
      <c r="C45990" s="309"/>
      <c r="I45990" s="309"/>
      <c r="J45990" s="309"/>
    </row>
    <row r="45991">
      <c r="B45991" s="309"/>
      <c r="C45991" s="309"/>
      <c r="I45991" s="309"/>
      <c r="J45991" s="309"/>
    </row>
    <row r="45992">
      <c r="B45992" s="309"/>
      <c r="C45992" s="309"/>
      <c r="I45992" s="309"/>
      <c r="J45992" s="309"/>
    </row>
    <row r="45993">
      <c r="B45993" s="309"/>
      <c r="C45993" s="309"/>
      <c r="I45993" s="309"/>
      <c r="J45993" s="309"/>
    </row>
    <row r="45994">
      <c r="B45994" s="309"/>
      <c r="C45994" s="309"/>
      <c r="I45994" s="309"/>
      <c r="J45994" s="309"/>
    </row>
    <row r="45995">
      <c r="B45995" s="309"/>
      <c r="C45995" s="309"/>
      <c r="I45995" s="309"/>
      <c r="J45995" s="309"/>
    </row>
    <row r="45996">
      <c r="B45996" s="309"/>
      <c r="C45996" s="309"/>
      <c r="I45996" s="309"/>
      <c r="J45996" s="309"/>
    </row>
    <row r="45997">
      <c r="B45997" s="309"/>
      <c r="C45997" s="309"/>
      <c r="I45997" s="309"/>
      <c r="J45997" s="309"/>
    </row>
    <row r="45998">
      <c r="B45998" s="309"/>
      <c r="C45998" s="309"/>
      <c r="I45998" s="309"/>
      <c r="J45998" s="309"/>
    </row>
    <row r="45999">
      <c r="B45999" s="309"/>
      <c r="C45999" s="309"/>
      <c r="I45999" s="309"/>
      <c r="J45999" s="309"/>
    </row>
    <row r="46000">
      <c r="B46000" s="309"/>
      <c r="C46000" s="309"/>
      <c r="I46000" s="309"/>
      <c r="J46000" s="309"/>
    </row>
    <row r="46001">
      <c r="B46001" s="309"/>
      <c r="C46001" s="309"/>
      <c r="I46001" s="309"/>
      <c r="J46001" s="309"/>
    </row>
    <row r="46002">
      <c r="B46002" s="309"/>
      <c r="C46002" s="309"/>
      <c r="I46002" s="309"/>
      <c r="J46002" s="309"/>
    </row>
    <row r="46003">
      <c r="B46003" s="309"/>
      <c r="C46003" s="309"/>
      <c r="I46003" s="309"/>
      <c r="J46003" s="309"/>
    </row>
    <row r="46004">
      <c r="B46004" s="309"/>
      <c r="C46004" s="309"/>
      <c r="I46004" s="309"/>
      <c r="J46004" s="309"/>
    </row>
    <row r="46005">
      <c r="B46005" s="309"/>
      <c r="C46005" s="309"/>
      <c r="I46005" s="309"/>
      <c r="J46005" s="309"/>
    </row>
    <row r="46006">
      <c r="B46006" s="309"/>
      <c r="C46006" s="309"/>
      <c r="I46006" s="309"/>
      <c r="J46006" s="309"/>
    </row>
    <row r="46007">
      <c r="B46007" s="309"/>
      <c r="C46007" s="309"/>
      <c r="I46007" s="309"/>
      <c r="J46007" s="309"/>
    </row>
    <row r="46008">
      <c r="B46008" s="309"/>
      <c r="C46008" s="309"/>
      <c r="I46008" s="309"/>
      <c r="J46008" s="309"/>
    </row>
    <row r="46009">
      <c r="B46009" s="309"/>
      <c r="C46009" s="309"/>
      <c r="I46009" s="309"/>
      <c r="J46009" s="309"/>
    </row>
    <row r="46010">
      <c r="B46010" s="309"/>
      <c r="C46010" s="309"/>
      <c r="I46010" s="309"/>
      <c r="J46010" s="309"/>
    </row>
    <row r="46011">
      <c r="B46011" s="309"/>
      <c r="C46011" s="309"/>
      <c r="I46011" s="309"/>
      <c r="J46011" s="309"/>
    </row>
    <row r="46012">
      <c r="B46012" s="309"/>
      <c r="C46012" s="309"/>
      <c r="I46012" s="309"/>
      <c r="J46012" s="309"/>
    </row>
    <row r="46013">
      <c r="B46013" s="309"/>
      <c r="C46013" s="309"/>
      <c r="I46013" s="309"/>
      <c r="J46013" s="309"/>
    </row>
    <row r="46014">
      <c r="B46014" s="309"/>
      <c r="C46014" s="309"/>
      <c r="I46014" s="309"/>
      <c r="J46014" s="309"/>
    </row>
    <row r="46015">
      <c r="B46015" s="309"/>
      <c r="C46015" s="309"/>
      <c r="I46015" s="309"/>
      <c r="J46015" s="309"/>
    </row>
    <row r="46016">
      <c r="B46016" s="309"/>
      <c r="C46016" s="309"/>
      <c r="I46016" s="309"/>
      <c r="J46016" s="309"/>
    </row>
    <row r="46017">
      <c r="B46017" s="309"/>
      <c r="C46017" s="309"/>
      <c r="I46017" s="309"/>
      <c r="J46017" s="309"/>
    </row>
    <row r="46018">
      <c r="B46018" s="309"/>
      <c r="C46018" s="309"/>
      <c r="I46018" s="309"/>
      <c r="J46018" s="309"/>
    </row>
    <row r="46019">
      <c r="B46019" s="309"/>
      <c r="C46019" s="309"/>
      <c r="I46019" s="309"/>
      <c r="J46019" s="309"/>
    </row>
    <row r="46020">
      <c r="B46020" s="309"/>
      <c r="C46020" s="309"/>
      <c r="I46020" s="309"/>
      <c r="J46020" s="309"/>
    </row>
    <row r="46021">
      <c r="B46021" s="309"/>
      <c r="C46021" s="309"/>
      <c r="I46021" s="309"/>
      <c r="J46021" s="309"/>
    </row>
    <row r="46022">
      <c r="B46022" s="309"/>
      <c r="C46022" s="309"/>
      <c r="I46022" s="309"/>
      <c r="J46022" s="309"/>
    </row>
    <row r="46023">
      <c r="B46023" s="309"/>
      <c r="C46023" s="309"/>
      <c r="I46023" s="309"/>
      <c r="J46023" s="309"/>
    </row>
    <row r="46024">
      <c r="B46024" s="309"/>
      <c r="C46024" s="309"/>
      <c r="I46024" s="309"/>
      <c r="J46024" s="309"/>
    </row>
    <row r="46025">
      <c r="B46025" s="309"/>
      <c r="C46025" s="309"/>
      <c r="I46025" s="309"/>
      <c r="J46025" s="309"/>
    </row>
    <row r="46026">
      <c r="B46026" s="309"/>
      <c r="C46026" s="309"/>
      <c r="I46026" s="309"/>
      <c r="J46026" s="309"/>
    </row>
    <row r="46027">
      <c r="B46027" s="309"/>
      <c r="C46027" s="309"/>
      <c r="I46027" s="309"/>
      <c r="J46027" s="309"/>
    </row>
    <row r="46028">
      <c r="B46028" s="309"/>
      <c r="C46028" s="309"/>
      <c r="I46028" s="309"/>
      <c r="J46028" s="309"/>
    </row>
    <row r="46029">
      <c r="B46029" s="309"/>
      <c r="C46029" s="309"/>
      <c r="I46029" s="309"/>
      <c r="J46029" s="309"/>
    </row>
    <row r="46030">
      <c r="B46030" s="309"/>
      <c r="C46030" s="309"/>
      <c r="I46030" s="309"/>
      <c r="J46030" s="309"/>
    </row>
    <row r="46031">
      <c r="B46031" s="309"/>
      <c r="C46031" s="309"/>
      <c r="I46031" s="309"/>
      <c r="J46031" s="309"/>
    </row>
    <row r="46032">
      <c r="B46032" s="309"/>
      <c r="C46032" s="309"/>
      <c r="I46032" s="309"/>
      <c r="J46032" s="309"/>
    </row>
    <row r="46033">
      <c r="B46033" s="309"/>
      <c r="C46033" s="309"/>
      <c r="I46033" s="309"/>
      <c r="J46033" s="309"/>
    </row>
    <row r="46034">
      <c r="B46034" s="309"/>
      <c r="C46034" s="309"/>
      <c r="I46034" s="309"/>
      <c r="J46034" s="309"/>
    </row>
    <row r="46035">
      <c r="B46035" s="309"/>
      <c r="C46035" s="309"/>
      <c r="I46035" s="309"/>
      <c r="J46035" s="309"/>
    </row>
    <row r="46036">
      <c r="B46036" s="309"/>
      <c r="C46036" s="309"/>
      <c r="I46036" s="309"/>
      <c r="J46036" s="309"/>
    </row>
    <row r="46037">
      <c r="B46037" s="309"/>
      <c r="C46037" s="309"/>
      <c r="I46037" s="309"/>
      <c r="J46037" s="309"/>
    </row>
    <row r="46038">
      <c r="B46038" s="309"/>
      <c r="C46038" s="309"/>
      <c r="I46038" s="309"/>
      <c r="J46038" s="309"/>
    </row>
    <row r="46039">
      <c r="B46039" s="309"/>
      <c r="C46039" s="309"/>
      <c r="I46039" s="309"/>
      <c r="J46039" s="309"/>
    </row>
    <row r="46040">
      <c r="B46040" s="309"/>
      <c r="C46040" s="309"/>
      <c r="I46040" s="309"/>
      <c r="J46040" s="309"/>
    </row>
    <row r="46041">
      <c r="B46041" s="309"/>
      <c r="C46041" s="309"/>
      <c r="I46041" s="309"/>
      <c r="J46041" s="309"/>
    </row>
    <row r="46042">
      <c r="B46042" s="309"/>
      <c r="C46042" s="309"/>
      <c r="I46042" s="309"/>
      <c r="J46042" s="309"/>
    </row>
    <row r="46043">
      <c r="B46043" s="309"/>
      <c r="C46043" s="309"/>
      <c r="I46043" s="309"/>
      <c r="J46043" s="309"/>
    </row>
    <row r="46044">
      <c r="B46044" s="309"/>
      <c r="C46044" s="309"/>
      <c r="I46044" s="309"/>
      <c r="J46044" s="309"/>
    </row>
    <row r="46045">
      <c r="B46045" s="309"/>
      <c r="C46045" s="309"/>
      <c r="I46045" s="309"/>
      <c r="J46045" s="309"/>
    </row>
    <row r="46046">
      <c r="B46046" s="309"/>
      <c r="C46046" s="309"/>
      <c r="I46046" s="309"/>
      <c r="J46046" s="309"/>
    </row>
    <row r="46047">
      <c r="B46047" s="309"/>
      <c r="C46047" s="309"/>
      <c r="I46047" s="309"/>
      <c r="J46047" s="309"/>
    </row>
    <row r="46048">
      <c r="B46048" s="309"/>
      <c r="C46048" s="309"/>
      <c r="I46048" s="309"/>
      <c r="J46048" s="309"/>
    </row>
    <row r="46049">
      <c r="B46049" s="309"/>
      <c r="C46049" s="309"/>
      <c r="I46049" s="309"/>
      <c r="J46049" s="309"/>
    </row>
    <row r="46050">
      <c r="B46050" s="309"/>
      <c r="C46050" s="309"/>
      <c r="I46050" s="309"/>
      <c r="J46050" s="309"/>
    </row>
    <row r="46051">
      <c r="B46051" s="309"/>
      <c r="C46051" s="309"/>
      <c r="I46051" s="309"/>
      <c r="J46051" s="309"/>
    </row>
    <row r="46052">
      <c r="B46052" s="309"/>
      <c r="C46052" s="309"/>
      <c r="I46052" s="309"/>
      <c r="J46052" s="309"/>
    </row>
    <row r="46053">
      <c r="B46053" s="309"/>
      <c r="C46053" s="309"/>
      <c r="I46053" s="309"/>
      <c r="J46053" s="309"/>
    </row>
    <row r="46054">
      <c r="B46054" s="309"/>
      <c r="C46054" s="309"/>
      <c r="I46054" s="309"/>
      <c r="J46054" s="309"/>
    </row>
    <row r="46055">
      <c r="B46055" s="309"/>
      <c r="C46055" s="309"/>
      <c r="I46055" s="309"/>
      <c r="J46055" s="309"/>
    </row>
    <row r="46056">
      <c r="B46056" s="309"/>
      <c r="C46056" s="309"/>
      <c r="I46056" s="309"/>
      <c r="J46056" s="309"/>
    </row>
    <row r="46057">
      <c r="B46057" s="309"/>
      <c r="C46057" s="309"/>
      <c r="I46057" s="309"/>
      <c r="J46057" s="309"/>
    </row>
    <row r="46058">
      <c r="B46058" s="309"/>
      <c r="C46058" s="309"/>
      <c r="I46058" s="309"/>
      <c r="J46058" s="309"/>
    </row>
    <row r="46059">
      <c r="B46059" s="309"/>
      <c r="C46059" s="309"/>
      <c r="I46059" s="309"/>
      <c r="J46059" s="309"/>
    </row>
    <row r="46060">
      <c r="B46060" s="309"/>
      <c r="C46060" s="309"/>
      <c r="I46060" s="309"/>
      <c r="J46060" s="309"/>
    </row>
    <row r="46061">
      <c r="B46061" s="309"/>
      <c r="C46061" s="309"/>
      <c r="I46061" s="309"/>
      <c r="J46061" s="309"/>
    </row>
    <row r="46062">
      <c r="B46062" s="309"/>
      <c r="C46062" s="309"/>
      <c r="I46062" s="309"/>
      <c r="J46062" s="309"/>
    </row>
    <row r="46063">
      <c r="B46063" s="309"/>
      <c r="C46063" s="309"/>
      <c r="I46063" s="309"/>
      <c r="J46063" s="309"/>
    </row>
    <row r="46064">
      <c r="B46064" s="309"/>
      <c r="C46064" s="309"/>
      <c r="I46064" s="309"/>
      <c r="J46064" s="309"/>
    </row>
    <row r="46065">
      <c r="B46065" s="309"/>
      <c r="C46065" s="309"/>
      <c r="I46065" s="309"/>
      <c r="J46065" s="309"/>
    </row>
    <row r="46066">
      <c r="B46066" s="309"/>
      <c r="C46066" s="309"/>
      <c r="I46066" s="309"/>
      <c r="J46066" s="309"/>
    </row>
    <row r="46067">
      <c r="B46067" s="309"/>
      <c r="C46067" s="309"/>
      <c r="I46067" s="309"/>
      <c r="J46067" s="309"/>
    </row>
    <row r="46068">
      <c r="B46068" s="309"/>
      <c r="C46068" s="309"/>
      <c r="I46068" s="309"/>
      <c r="J46068" s="309"/>
    </row>
    <row r="46069">
      <c r="B46069" s="309"/>
      <c r="C46069" s="309"/>
      <c r="I46069" s="309"/>
      <c r="J46069" s="309"/>
    </row>
    <row r="46070">
      <c r="B46070" s="309"/>
      <c r="C46070" s="309"/>
      <c r="I46070" s="309"/>
      <c r="J46070" s="309"/>
    </row>
    <row r="46071">
      <c r="B46071" s="309"/>
      <c r="C46071" s="309"/>
      <c r="I46071" s="309"/>
      <c r="J46071" s="309"/>
    </row>
    <row r="46072">
      <c r="B46072" s="309"/>
      <c r="C46072" s="309"/>
      <c r="I46072" s="309"/>
      <c r="J46072" s="309"/>
    </row>
    <row r="46073">
      <c r="B46073" s="309"/>
      <c r="C46073" s="309"/>
      <c r="I46073" s="309"/>
      <c r="J46073" s="309"/>
    </row>
    <row r="46074">
      <c r="B46074" s="309"/>
      <c r="C46074" s="309"/>
      <c r="I46074" s="309"/>
      <c r="J46074" s="309"/>
    </row>
    <row r="46075">
      <c r="B46075" s="309"/>
      <c r="C46075" s="309"/>
      <c r="I46075" s="309"/>
      <c r="J46075" s="309"/>
    </row>
    <row r="46076">
      <c r="B46076" s="309"/>
      <c r="C46076" s="309"/>
      <c r="I46076" s="309"/>
      <c r="J46076" s="309"/>
    </row>
    <row r="46077">
      <c r="B46077" s="309"/>
      <c r="C46077" s="309"/>
      <c r="I46077" s="309"/>
      <c r="J46077" s="309"/>
    </row>
    <row r="46078">
      <c r="B46078" s="309"/>
      <c r="C46078" s="309"/>
      <c r="I46078" s="309"/>
      <c r="J46078" s="309"/>
    </row>
    <row r="46079">
      <c r="B46079" s="309"/>
      <c r="C46079" s="309"/>
      <c r="I46079" s="309"/>
      <c r="J46079" s="309"/>
    </row>
    <row r="46080">
      <c r="B46080" s="309"/>
      <c r="C46080" s="309"/>
      <c r="I46080" s="309"/>
      <c r="J46080" s="309"/>
    </row>
    <row r="46081">
      <c r="B46081" s="309"/>
      <c r="C46081" s="309"/>
      <c r="I46081" s="309"/>
      <c r="J46081" s="309"/>
    </row>
    <row r="46082">
      <c r="B46082" s="309"/>
      <c r="C46082" s="309"/>
      <c r="I46082" s="309"/>
      <c r="J46082" s="309"/>
    </row>
    <row r="46083">
      <c r="B46083" s="309"/>
      <c r="C46083" s="309"/>
      <c r="I46083" s="309"/>
      <c r="J46083" s="309"/>
    </row>
    <row r="46084">
      <c r="B46084" s="309"/>
      <c r="C46084" s="309"/>
      <c r="I46084" s="309"/>
      <c r="J46084" s="309"/>
    </row>
    <row r="46085">
      <c r="B46085" s="309"/>
      <c r="C46085" s="309"/>
      <c r="I46085" s="309"/>
      <c r="J46085" s="309"/>
    </row>
    <row r="46086">
      <c r="B46086" s="309"/>
      <c r="C46086" s="309"/>
      <c r="I46086" s="309"/>
      <c r="J46086" s="309"/>
    </row>
    <row r="46087">
      <c r="B46087" s="309"/>
      <c r="C46087" s="309"/>
      <c r="I46087" s="309"/>
      <c r="J46087" s="309"/>
    </row>
    <row r="46088">
      <c r="B46088" s="309"/>
      <c r="C46088" s="309"/>
      <c r="I46088" s="309"/>
      <c r="J46088" s="309"/>
    </row>
    <row r="46089">
      <c r="B46089" s="309"/>
      <c r="C46089" s="309"/>
      <c r="I46089" s="309"/>
      <c r="J46089" s="309"/>
    </row>
    <row r="46090">
      <c r="B46090" s="309"/>
      <c r="C46090" s="309"/>
      <c r="I46090" s="309"/>
      <c r="J46090" s="309"/>
    </row>
    <row r="46091">
      <c r="B46091" s="309"/>
      <c r="C46091" s="309"/>
      <c r="I46091" s="309"/>
      <c r="J46091" s="309"/>
    </row>
    <row r="46092">
      <c r="B46092" s="309"/>
      <c r="C46092" s="309"/>
      <c r="I46092" s="309"/>
      <c r="J46092" s="309"/>
    </row>
    <row r="46093">
      <c r="B46093" s="309"/>
      <c r="C46093" s="309"/>
      <c r="I46093" s="309"/>
      <c r="J46093" s="309"/>
    </row>
    <row r="46094">
      <c r="B46094" s="309"/>
      <c r="C46094" s="309"/>
      <c r="I46094" s="309"/>
      <c r="J46094" s="309"/>
    </row>
    <row r="46095">
      <c r="B46095" s="309"/>
      <c r="C46095" s="309"/>
      <c r="I46095" s="309"/>
      <c r="J46095" s="309"/>
    </row>
    <row r="46096">
      <c r="B46096" s="309"/>
      <c r="C46096" s="309"/>
      <c r="I46096" s="309"/>
      <c r="J46096" s="309"/>
    </row>
    <row r="46097">
      <c r="B46097" s="309"/>
      <c r="C46097" s="309"/>
      <c r="I46097" s="309"/>
      <c r="J46097" s="309"/>
    </row>
    <row r="46098">
      <c r="B46098" s="309"/>
      <c r="C46098" s="309"/>
      <c r="I46098" s="309"/>
      <c r="J46098" s="309"/>
    </row>
    <row r="46099">
      <c r="B46099" s="309"/>
      <c r="C46099" s="309"/>
      <c r="I46099" s="309"/>
      <c r="J46099" s="309"/>
    </row>
    <row r="46100">
      <c r="B46100" s="309"/>
      <c r="C46100" s="309"/>
      <c r="I46100" s="309"/>
      <c r="J46100" s="309"/>
    </row>
    <row r="46101">
      <c r="B46101" s="309"/>
      <c r="C46101" s="309"/>
      <c r="I46101" s="309"/>
      <c r="J46101" s="309"/>
    </row>
    <row r="46102">
      <c r="B46102" s="309"/>
      <c r="C46102" s="309"/>
      <c r="I46102" s="309"/>
      <c r="J46102" s="309"/>
    </row>
    <row r="46103">
      <c r="B46103" s="309"/>
      <c r="C46103" s="309"/>
      <c r="I46103" s="309"/>
      <c r="J46103" s="309"/>
    </row>
    <row r="46104">
      <c r="B46104" s="309"/>
      <c r="C46104" s="309"/>
      <c r="I46104" s="309"/>
      <c r="J46104" s="309"/>
    </row>
    <row r="46105">
      <c r="B46105" s="309"/>
      <c r="C46105" s="309"/>
      <c r="I46105" s="309"/>
      <c r="J46105" s="309"/>
    </row>
    <row r="46106">
      <c r="B46106" s="309"/>
      <c r="C46106" s="309"/>
      <c r="I46106" s="309"/>
      <c r="J46106" s="309"/>
    </row>
    <row r="46107">
      <c r="B46107" s="309"/>
      <c r="C46107" s="309"/>
      <c r="I46107" s="309"/>
      <c r="J46107" s="309"/>
    </row>
    <row r="46108">
      <c r="B46108" s="309"/>
      <c r="C46108" s="309"/>
      <c r="I46108" s="309"/>
      <c r="J46108" s="309"/>
    </row>
    <row r="46109">
      <c r="B46109" s="309"/>
      <c r="C46109" s="309"/>
      <c r="I46109" s="309"/>
      <c r="J46109" s="309"/>
    </row>
    <row r="46110">
      <c r="B46110" s="309"/>
      <c r="C46110" s="309"/>
      <c r="I46110" s="309"/>
      <c r="J46110" s="309"/>
    </row>
    <row r="46111">
      <c r="B46111" s="309"/>
      <c r="C46111" s="309"/>
      <c r="I46111" s="309"/>
      <c r="J46111" s="309"/>
    </row>
    <row r="46112">
      <c r="B46112" s="309"/>
      <c r="C46112" s="309"/>
      <c r="I46112" s="309"/>
      <c r="J46112" s="309"/>
    </row>
    <row r="46113">
      <c r="B46113" s="309"/>
      <c r="C46113" s="309"/>
      <c r="I46113" s="309"/>
      <c r="J46113" s="309"/>
    </row>
    <row r="46114">
      <c r="B46114" s="309"/>
      <c r="C46114" s="309"/>
      <c r="I46114" s="309"/>
      <c r="J46114" s="309"/>
    </row>
    <row r="46115">
      <c r="B46115" s="309"/>
      <c r="C46115" s="309"/>
      <c r="I46115" s="309"/>
      <c r="J46115" s="309"/>
    </row>
    <row r="46116">
      <c r="B46116" s="309"/>
      <c r="C46116" s="309"/>
      <c r="I46116" s="309"/>
      <c r="J46116" s="309"/>
    </row>
    <row r="46117">
      <c r="B46117" s="309"/>
      <c r="C46117" s="309"/>
      <c r="I46117" s="309"/>
      <c r="J46117" s="309"/>
    </row>
    <row r="46118">
      <c r="B46118" s="309"/>
      <c r="C46118" s="309"/>
      <c r="I46118" s="309"/>
      <c r="J46118" s="309"/>
    </row>
    <row r="46119">
      <c r="B46119" s="309"/>
      <c r="C46119" s="309"/>
      <c r="I46119" s="309"/>
      <c r="J46119" s="309"/>
    </row>
    <row r="46120">
      <c r="B46120" s="309"/>
      <c r="C46120" s="309"/>
      <c r="I46120" s="309"/>
      <c r="J46120" s="309"/>
    </row>
    <row r="46121">
      <c r="B46121" s="309"/>
      <c r="C46121" s="309"/>
      <c r="I46121" s="309"/>
      <c r="J46121" s="309"/>
    </row>
    <row r="46122">
      <c r="B46122" s="309"/>
      <c r="C46122" s="309"/>
      <c r="I46122" s="309"/>
      <c r="J46122" s="309"/>
    </row>
    <row r="46123">
      <c r="B46123" s="309"/>
      <c r="C46123" s="309"/>
      <c r="I46123" s="309"/>
      <c r="J46123" s="309"/>
    </row>
    <row r="46124">
      <c r="B46124" s="309"/>
      <c r="C46124" s="309"/>
      <c r="I46124" s="309"/>
      <c r="J46124" s="309"/>
    </row>
    <row r="46125">
      <c r="B46125" s="309"/>
      <c r="C46125" s="309"/>
      <c r="I46125" s="309"/>
      <c r="J46125" s="309"/>
    </row>
    <row r="46126">
      <c r="B46126" s="309"/>
      <c r="C46126" s="309"/>
      <c r="I46126" s="309"/>
      <c r="J46126" s="309"/>
    </row>
    <row r="46127">
      <c r="B46127" s="309"/>
      <c r="C46127" s="309"/>
      <c r="I46127" s="309"/>
      <c r="J46127" s="309"/>
    </row>
    <row r="46128">
      <c r="B46128" s="309"/>
      <c r="C46128" s="309"/>
      <c r="I46128" s="309"/>
      <c r="J46128" s="309"/>
    </row>
    <row r="46129">
      <c r="B46129" s="309"/>
      <c r="C46129" s="309"/>
      <c r="I46129" s="309"/>
      <c r="J46129" s="309"/>
    </row>
    <row r="46130">
      <c r="B46130" s="309"/>
      <c r="C46130" s="309"/>
      <c r="I46130" s="309"/>
      <c r="J46130" s="309"/>
    </row>
    <row r="46131">
      <c r="B46131" s="309"/>
      <c r="C46131" s="309"/>
      <c r="I46131" s="309"/>
      <c r="J46131" s="309"/>
    </row>
    <row r="46132">
      <c r="B46132" s="309"/>
      <c r="C46132" s="309"/>
      <c r="I46132" s="309"/>
      <c r="J46132" s="309"/>
    </row>
    <row r="46133">
      <c r="B46133" s="309"/>
      <c r="C46133" s="309"/>
      <c r="I46133" s="309"/>
      <c r="J46133" s="309"/>
    </row>
    <row r="46134">
      <c r="B46134" s="309"/>
      <c r="C46134" s="309"/>
      <c r="I46134" s="309"/>
      <c r="J46134" s="309"/>
    </row>
    <row r="46135">
      <c r="B46135" s="309"/>
      <c r="C46135" s="309"/>
      <c r="I46135" s="309"/>
      <c r="J46135" s="309"/>
    </row>
    <row r="46136">
      <c r="B46136" s="309"/>
      <c r="C46136" s="309"/>
      <c r="I46136" s="309"/>
      <c r="J46136" s="309"/>
    </row>
    <row r="46137">
      <c r="B46137" s="309"/>
      <c r="C46137" s="309"/>
      <c r="I46137" s="309"/>
      <c r="J46137" s="309"/>
    </row>
    <row r="46138">
      <c r="B46138" s="309"/>
      <c r="C46138" s="309"/>
      <c r="I46138" s="309"/>
      <c r="J46138" s="309"/>
    </row>
    <row r="46139">
      <c r="B46139" s="309"/>
      <c r="C46139" s="309"/>
      <c r="I46139" s="309"/>
      <c r="J46139" s="309"/>
    </row>
    <row r="46140">
      <c r="B46140" s="309"/>
      <c r="C46140" s="309"/>
      <c r="I46140" s="309"/>
      <c r="J46140" s="309"/>
    </row>
    <row r="46141">
      <c r="B46141" s="309"/>
      <c r="C46141" s="309"/>
      <c r="I46141" s="309"/>
      <c r="J46141" s="309"/>
    </row>
    <row r="46142">
      <c r="B46142" s="309"/>
      <c r="C46142" s="309"/>
      <c r="I46142" s="309"/>
      <c r="J46142" s="309"/>
    </row>
    <row r="46143">
      <c r="B46143" s="309"/>
      <c r="C46143" s="309"/>
      <c r="I46143" s="309"/>
      <c r="J46143" s="309"/>
    </row>
    <row r="46144">
      <c r="B46144" s="309"/>
      <c r="C46144" s="309"/>
      <c r="I46144" s="309"/>
      <c r="J46144" s="309"/>
    </row>
    <row r="46145">
      <c r="B46145" s="309"/>
      <c r="C46145" s="309"/>
      <c r="I46145" s="309"/>
      <c r="J46145" s="309"/>
    </row>
    <row r="46146">
      <c r="B46146" s="309"/>
      <c r="C46146" s="309"/>
      <c r="I46146" s="309"/>
      <c r="J46146" s="309"/>
    </row>
    <row r="46147">
      <c r="B46147" s="309"/>
      <c r="C46147" s="309"/>
      <c r="I46147" s="309"/>
      <c r="J46147" s="309"/>
    </row>
    <row r="46148">
      <c r="B46148" s="309"/>
      <c r="C46148" s="309"/>
      <c r="I46148" s="309"/>
      <c r="J46148" s="309"/>
    </row>
    <row r="46149">
      <c r="B46149" s="309"/>
      <c r="C46149" s="309"/>
      <c r="I46149" s="309"/>
      <c r="J46149" s="309"/>
    </row>
    <row r="46150">
      <c r="B46150" s="309"/>
      <c r="C46150" s="309"/>
      <c r="I46150" s="309"/>
      <c r="J46150" s="309"/>
    </row>
    <row r="46151">
      <c r="B46151" s="309"/>
      <c r="C46151" s="309"/>
      <c r="I46151" s="309"/>
      <c r="J46151" s="309"/>
    </row>
    <row r="46152">
      <c r="B46152" s="309"/>
      <c r="C46152" s="309"/>
      <c r="I46152" s="309"/>
      <c r="J46152" s="309"/>
    </row>
    <row r="46153">
      <c r="B46153" s="309"/>
      <c r="C46153" s="309"/>
      <c r="I46153" s="309"/>
      <c r="J46153" s="309"/>
    </row>
    <row r="46154">
      <c r="B46154" s="309"/>
      <c r="C46154" s="309"/>
      <c r="I46154" s="309"/>
      <c r="J46154" s="309"/>
    </row>
    <row r="46155">
      <c r="B46155" s="309"/>
      <c r="C46155" s="309"/>
      <c r="I46155" s="309"/>
      <c r="J46155" s="309"/>
    </row>
    <row r="46156">
      <c r="B46156" s="309"/>
      <c r="C46156" s="309"/>
      <c r="I46156" s="309"/>
      <c r="J46156" s="309"/>
    </row>
    <row r="46157">
      <c r="B46157" s="309"/>
      <c r="C46157" s="309"/>
      <c r="I46157" s="309"/>
      <c r="J46157" s="309"/>
    </row>
    <row r="46158">
      <c r="B46158" s="309"/>
      <c r="C46158" s="309"/>
      <c r="I46158" s="309"/>
      <c r="J46158" s="309"/>
    </row>
    <row r="46159">
      <c r="B46159" s="309"/>
      <c r="C46159" s="309"/>
      <c r="I46159" s="309"/>
      <c r="J46159" s="309"/>
    </row>
    <row r="46160">
      <c r="B46160" s="309"/>
      <c r="C46160" s="309"/>
      <c r="I46160" s="309"/>
      <c r="J46160" s="309"/>
    </row>
    <row r="46161">
      <c r="B46161" s="309"/>
      <c r="C46161" s="309"/>
      <c r="I46161" s="309"/>
      <c r="J46161" s="309"/>
    </row>
    <row r="46162">
      <c r="B46162" s="309"/>
      <c r="C46162" s="309"/>
      <c r="I46162" s="309"/>
      <c r="J46162" s="309"/>
    </row>
    <row r="46163">
      <c r="B46163" s="309"/>
      <c r="C46163" s="309"/>
      <c r="I46163" s="309"/>
      <c r="J46163" s="309"/>
    </row>
    <row r="46164">
      <c r="B46164" s="309"/>
      <c r="C46164" s="309"/>
      <c r="I46164" s="309"/>
      <c r="J46164" s="309"/>
    </row>
    <row r="46165">
      <c r="B46165" s="309"/>
      <c r="C46165" s="309"/>
      <c r="I46165" s="309"/>
      <c r="J46165" s="309"/>
    </row>
    <row r="46166">
      <c r="B46166" s="309"/>
      <c r="C46166" s="309"/>
      <c r="I46166" s="309"/>
      <c r="J46166" s="309"/>
    </row>
    <row r="46167">
      <c r="B46167" s="309"/>
      <c r="C46167" s="309"/>
      <c r="I46167" s="309"/>
      <c r="J46167" s="309"/>
    </row>
    <row r="46168">
      <c r="B46168" s="309"/>
      <c r="C46168" s="309"/>
      <c r="I46168" s="309"/>
      <c r="J46168" s="309"/>
    </row>
    <row r="46169">
      <c r="B46169" s="309"/>
      <c r="C46169" s="309"/>
      <c r="I46169" s="309"/>
      <c r="J46169" s="309"/>
    </row>
    <row r="46170">
      <c r="B46170" s="309"/>
      <c r="C46170" s="309"/>
      <c r="I46170" s="309"/>
      <c r="J46170" s="309"/>
    </row>
    <row r="46171">
      <c r="B46171" s="309"/>
      <c r="C46171" s="309"/>
      <c r="I46171" s="309"/>
      <c r="J46171" s="309"/>
    </row>
    <row r="46172">
      <c r="B46172" s="309"/>
      <c r="C46172" s="309"/>
      <c r="I46172" s="309"/>
      <c r="J46172" s="309"/>
    </row>
    <row r="46173">
      <c r="B46173" s="309"/>
      <c r="C46173" s="309"/>
      <c r="I46173" s="309"/>
      <c r="J46173" s="309"/>
    </row>
    <row r="46174">
      <c r="B46174" s="309"/>
      <c r="C46174" s="309"/>
      <c r="I46174" s="309"/>
      <c r="J46174" s="309"/>
    </row>
    <row r="46175">
      <c r="B46175" s="309"/>
      <c r="C46175" s="309"/>
      <c r="I46175" s="309"/>
      <c r="J46175" s="309"/>
    </row>
    <row r="46176">
      <c r="B46176" s="309"/>
      <c r="C46176" s="309"/>
      <c r="I46176" s="309"/>
      <c r="J46176" s="309"/>
    </row>
    <row r="46177">
      <c r="B46177" s="309"/>
      <c r="C46177" s="309"/>
      <c r="I46177" s="309"/>
      <c r="J46177" s="309"/>
    </row>
    <row r="46178">
      <c r="B46178" s="309"/>
      <c r="C46178" s="309"/>
      <c r="I46178" s="309"/>
      <c r="J46178" s="309"/>
    </row>
    <row r="46179">
      <c r="B46179" s="309"/>
      <c r="C46179" s="309"/>
      <c r="I46179" s="309"/>
      <c r="J46179" s="309"/>
    </row>
    <row r="46180">
      <c r="B46180" s="309"/>
      <c r="C46180" s="309"/>
      <c r="I46180" s="309"/>
      <c r="J46180" s="309"/>
    </row>
    <row r="46181">
      <c r="B46181" s="309"/>
      <c r="C46181" s="309"/>
      <c r="I46181" s="309"/>
      <c r="J46181" s="309"/>
    </row>
    <row r="46182">
      <c r="B46182" s="309"/>
      <c r="C46182" s="309"/>
      <c r="I46182" s="309"/>
      <c r="J46182" s="309"/>
    </row>
    <row r="46183">
      <c r="B46183" s="309"/>
      <c r="C46183" s="309"/>
      <c r="I46183" s="309"/>
      <c r="J46183" s="309"/>
    </row>
    <row r="46184">
      <c r="B46184" s="309"/>
      <c r="C46184" s="309"/>
      <c r="I46184" s="309"/>
      <c r="J46184" s="309"/>
    </row>
    <row r="46185">
      <c r="B46185" s="309"/>
      <c r="C46185" s="309"/>
      <c r="I46185" s="309"/>
      <c r="J46185" s="309"/>
    </row>
    <row r="46186">
      <c r="B46186" s="309"/>
      <c r="C46186" s="309"/>
      <c r="I46186" s="309"/>
      <c r="J46186" s="309"/>
    </row>
    <row r="46187">
      <c r="B46187" s="309"/>
      <c r="C46187" s="309"/>
      <c r="I46187" s="309"/>
      <c r="J46187" s="309"/>
    </row>
    <row r="46188">
      <c r="B46188" s="309"/>
      <c r="C46188" s="309"/>
      <c r="I46188" s="309"/>
      <c r="J46188" s="309"/>
    </row>
    <row r="46189">
      <c r="B46189" s="309"/>
      <c r="C46189" s="309"/>
      <c r="I46189" s="309"/>
      <c r="J46189" s="309"/>
    </row>
    <row r="46190">
      <c r="B46190" s="309"/>
      <c r="C46190" s="309"/>
      <c r="I46190" s="309"/>
      <c r="J46190" s="309"/>
    </row>
    <row r="46191">
      <c r="B46191" s="309"/>
      <c r="C46191" s="309"/>
      <c r="I46191" s="309"/>
      <c r="J46191" s="309"/>
    </row>
    <row r="46192">
      <c r="B46192" s="309"/>
      <c r="C46192" s="309"/>
      <c r="I46192" s="309"/>
      <c r="J46192" s="309"/>
    </row>
    <row r="46193">
      <c r="B46193" s="309"/>
      <c r="C46193" s="309"/>
      <c r="I46193" s="309"/>
      <c r="J46193" s="309"/>
    </row>
    <row r="46194">
      <c r="B46194" s="309"/>
      <c r="C46194" s="309"/>
      <c r="I46194" s="309"/>
      <c r="J46194" s="309"/>
    </row>
    <row r="46195">
      <c r="B46195" s="309"/>
      <c r="C46195" s="309"/>
      <c r="I46195" s="309"/>
      <c r="J46195" s="309"/>
    </row>
    <row r="46196">
      <c r="B46196" s="309"/>
      <c r="C46196" s="309"/>
      <c r="I46196" s="309"/>
      <c r="J46196" s="309"/>
    </row>
    <row r="46197">
      <c r="B46197" s="309"/>
      <c r="C46197" s="309"/>
      <c r="I46197" s="309"/>
      <c r="J46197" s="309"/>
    </row>
    <row r="46198">
      <c r="B46198" s="309"/>
      <c r="C46198" s="309"/>
      <c r="I46198" s="309"/>
      <c r="J46198" s="309"/>
    </row>
    <row r="46199">
      <c r="B46199" s="309"/>
      <c r="C46199" s="309"/>
      <c r="I46199" s="309"/>
      <c r="J46199" s="309"/>
    </row>
    <row r="46200">
      <c r="B46200" s="309"/>
      <c r="C46200" s="309"/>
      <c r="I46200" s="309"/>
      <c r="J46200" s="309"/>
    </row>
    <row r="46201">
      <c r="B46201" s="309"/>
      <c r="C46201" s="309"/>
      <c r="I46201" s="309"/>
      <c r="J46201" s="309"/>
    </row>
    <row r="46202">
      <c r="B46202" s="309"/>
      <c r="C46202" s="309"/>
      <c r="I46202" s="309"/>
      <c r="J46202" s="309"/>
    </row>
    <row r="46203">
      <c r="B46203" s="309"/>
      <c r="C46203" s="309"/>
      <c r="I46203" s="309"/>
      <c r="J46203" s="309"/>
    </row>
    <row r="46204">
      <c r="B46204" s="309"/>
      <c r="C46204" s="309"/>
      <c r="I46204" s="309"/>
      <c r="J46204" s="309"/>
    </row>
    <row r="46205">
      <c r="B46205" s="309"/>
      <c r="C46205" s="309"/>
      <c r="I46205" s="309"/>
      <c r="J46205" s="309"/>
    </row>
    <row r="46206">
      <c r="B46206" s="309"/>
      <c r="C46206" s="309"/>
      <c r="I46206" s="309"/>
      <c r="J46206" s="309"/>
    </row>
    <row r="46207">
      <c r="B46207" s="309"/>
      <c r="C46207" s="309"/>
      <c r="I46207" s="309"/>
      <c r="J46207" s="309"/>
    </row>
    <row r="46208">
      <c r="B46208" s="309"/>
      <c r="C46208" s="309"/>
      <c r="I46208" s="309"/>
      <c r="J46208" s="309"/>
    </row>
    <row r="46209">
      <c r="B46209" s="309"/>
      <c r="C46209" s="309"/>
      <c r="I46209" s="309"/>
      <c r="J46209" s="309"/>
    </row>
    <row r="46210">
      <c r="B46210" s="309"/>
      <c r="C46210" s="309"/>
      <c r="I46210" s="309"/>
      <c r="J46210" s="309"/>
    </row>
    <row r="46211">
      <c r="B46211" s="309"/>
      <c r="C46211" s="309"/>
      <c r="I46211" s="309"/>
      <c r="J46211" s="309"/>
    </row>
    <row r="46212">
      <c r="B46212" s="309"/>
      <c r="C46212" s="309"/>
      <c r="I46212" s="309"/>
      <c r="J46212" s="309"/>
    </row>
    <row r="46213">
      <c r="B46213" s="309"/>
      <c r="C46213" s="309"/>
      <c r="I46213" s="309"/>
      <c r="J46213" s="309"/>
    </row>
    <row r="46214">
      <c r="B46214" s="309"/>
      <c r="C46214" s="309"/>
      <c r="I46214" s="309"/>
      <c r="J46214" s="309"/>
    </row>
    <row r="46215">
      <c r="B46215" s="309"/>
      <c r="C46215" s="309"/>
      <c r="I46215" s="309"/>
      <c r="J46215" s="309"/>
    </row>
    <row r="46216">
      <c r="B46216" s="309"/>
      <c r="C46216" s="309"/>
      <c r="I46216" s="309"/>
      <c r="J46216" s="309"/>
    </row>
    <row r="46217">
      <c r="B46217" s="309"/>
      <c r="C46217" s="309"/>
      <c r="I46217" s="309"/>
      <c r="J46217" s="309"/>
    </row>
    <row r="46218">
      <c r="B46218" s="309"/>
      <c r="C46218" s="309"/>
      <c r="I46218" s="309"/>
      <c r="J46218" s="309"/>
    </row>
    <row r="46219">
      <c r="B46219" s="309"/>
      <c r="C46219" s="309"/>
      <c r="I46219" s="309"/>
      <c r="J46219" s="309"/>
    </row>
    <row r="46220">
      <c r="B46220" s="309"/>
      <c r="C46220" s="309"/>
      <c r="I46220" s="309"/>
      <c r="J46220" s="309"/>
    </row>
    <row r="46221">
      <c r="B46221" s="309"/>
      <c r="C46221" s="309"/>
      <c r="I46221" s="309"/>
      <c r="J46221" s="309"/>
    </row>
    <row r="46222">
      <c r="B46222" s="309"/>
      <c r="C46222" s="309"/>
      <c r="I46222" s="309"/>
      <c r="J46222" s="309"/>
    </row>
    <row r="46223">
      <c r="B46223" s="309"/>
      <c r="C46223" s="309"/>
      <c r="I46223" s="309"/>
      <c r="J46223" s="309"/>
    </row>
    <row r="46224">
      <c r="B46224" s="309"/>
      <c r="C46224" s="309"/>
      <c r="I46224" s="309"/>
      <c r="J46224" s="309"/>
    </row>
    <row r="46225">
      <c r="B46225" s="309"/>
      <c r="C46225" s="309"/>
      <c r="I46225" s="309"/>
      <c r="J46225" s="309"/>
    </row>
    <row r="46226">
      <c r="B46226" s="309"/>
      <c r="C46226" s="309"/>
      <c r="I46226" s="309"/>
      <c r="J46226" s="309"/>
    </row>
    <row r="46227">
      <c r="B46227" s="309"/>
      <c r="C46227" s="309"/>
      <c r="I46227" s="309"/>
      <c r="J46227" s="309"/>
    </row>
    <row r="46228">
      <c r="B46228" s="309"/>
      <c r="C46228" s="309"/>
      <c r="I46228" s="309"/>
      <c r="J46228" s="309"/>
    </row>
    <row r="46229">
      <c r="B46229" s="309"/>
      <c r="C46229" s="309"/>
      <c r="I46229" s="309"/>
      <c r="J46229" s="309"/>
    </row>
    <row r="46230">
      <c r="B46230" s="309"/>
      <c r="C46230" s="309"/>
      <c r="I46230" s="309"/>
      <c r="J46230" s="309"/>
    </row>
    <row r="46231">
      <c r="B46231" s="309"/>
      <c r="C46231" s="309"/>
      <c r="I46231" s="309"/>
      <c r="J46231" s="309"/>
    </row>
    <row r="46232">
      <c r="B46232" s="309"/>
      <c r="C46232" s="309"/>
      <c r="I46232" s="309"/>
      <c r="J46232" s="309"/>
    </row>
    <row r="46233">
      <c r="B46233" s="309"/>
      <c r="C46233" s="309"/>
      <c r="I46233" s="309"/>
      <c r="J46233" s="309"/>
    </row>
    <row r="46234">
      <c r="B46234" s="309"/>
      <c r="C46234" s="309"/>
      <c r="I46234" s="309"/>
      <c r="J46234" s="309"/>
    </row>
    <row r="46235">
      <c r="B46235" s="309"/>
      <c r="C46235" s="309"/>
      <c r="I46235" s="309"/>
      <c r="J46235" s="309"/>
    </row>
    <row r="46236">
      <c r="B46236" s="309"/>
      <c r="C46236" s="309"/>
      <c r="I46236" s="309"/>
      <c r="J46236" s="309"/>
    </row>
    <row r="46237">
      <c r="B46237" s="309"/>
      <c r="C46237" s="309"/>
      <c r="I46237" s="309"/>
      <c r="J46237" s="309"/>
    </row>
    <row r="46238">
      <c r="B46238" s="309"/>
      <c r="C46238" s="309"/>
      <c r="I46238" s="309"/>
      <c r="J46238" s="309"/>
    </row>
    <row r="46239">
      <c r="B46239" s="309"/>
      <c r="C46239" s="309"/>
      <c r="I46239" s="309"/>
      <c r="J46239" s="309"/>
    </row>
    <row r="46240">
      <c r="B46240" s="309"/>
      <c r="C46240" s="309"/>
      <c r="I46240" s="309"/>
      <c r="J46240" s="309"/>
    </row>
    <row r="46241">
      <c r="B46241" s="309"/>
      <c r="C46241" s="309"/>
      <c r="I46241" s="309"/>
      <c r="J46241" s="309"/>
    </row>
    <row r="46242">
      <c r="B46242" s="309"/>
      <c r="C46242" s="309"/>
      <c r="I46242" s="309"/>
      <c r="J46242" s="309"/>
    </row>
    <row r="46243">
      <c r="B46243" s="309"/>
      <c r="C46243" s="309"/>
      <c r="I46243" s="309"/>
      <c r="J46243" s="309"/>
    </row>
    <row r="46244">
      <c r="B46244" s="309"/>
      <c r="C46244" s="309"/>
      <c r="I46244" s="309"/>
      <c r="J46244" s="309"/>
    </row>
    <row r="46245">
      <c r="B46245" s="309"/>
      <c r="C46245" s="309"/>
      <c r="I46245" s="309"/>
      <c r="J46245" s="309"/>
    </row>
    <row r="46246">
      <c r="B46246" s="309"/>
      <c r="C46246" s="309"/>
      <c r="I46246" s="309"/>
      <c r="J46246" s="309"/>
    </row>
    <row r="46247">
      <c r="B46247" s="309"/>
      <c r="C46247" s="309"/>
      <c r="I46247" s="309"/>
      <c r="J46247" s="309"/>
    </row>
    <row r="46248">
      <c r="B46248" s="309"/>
      <c r="C46248" s="309"/>
      <c r="I46248" s="309"/>
      <c r="J46248" s="309"/>
    </row>
    <row r="46249">
      <c r="B46249" s="309"/>
      <c r="C46249" s="309"/>
      <c r="I46249" s="309"/>
      <c r="J46249" s="309"/>
    </row>
    <row r="46250">
      <c r="B46250" s="309"/>
      <c r="C46250" s="309"/>
      <c r="I46250" s="309"/>
      <c r="J46250" s="309"/>
    </row>
    <row r="46251">
      <c r="B46251" s="309"/>
      <c r="C46251" s="309"/>
      <c r="I46251" s="309"/>
      <c r="J46251" s="309"/>
    </row>
    <row r="46252">
      <c r="B46252" s="309"/>
      <c r="C46252" s="309"/>
      <c r="I46252" s="309"/>
      <c r="J46252" s="309"/>
    </row>
    <row r="46253">
      <c r="B46253" s="309"/>
      <c r="C46253" s="309"/>
      <c r="I46253" s="309"/>
      <c r="J46253" s="309"/>
    </row>
    <row r="46254">
      <c r="B46254" s="309"/>
      <c r="C46254" s="309"/>
      <c r="I46254" s="309"/>
      <c r="J46254" s="309"/>
    </row>
    <row r="46255">
      <c r="B46255" s="309"/>
      <c r="C46255" s="309"/>
      <c r="I46255" s="309"/>
      <c r="J46255" s="309"/>
    </row>
    <row r="46256">
      <c r="B46256" s="309"/>
      <c r="C46256" s="309"/>
      <c r="I46256" s="309"/>
      <c r="J46256" s="309"/>
    </row>
    <row r="46257">
      <c r="B46257" s="309"/>
      <c r="C46257" s="309"/>
      <c r="I46257" s="309"/>
      <c r="J46257" s="309"/>
    </row>
    <row r="46258">
      <c r="B46258" s="309"/>
      <c r="C46258" s="309"/>
      <c r="I46258" s="309"/>
      <c r="J46258" s="309"/>
    </row>
    <row r="46259">
      <c r="B46259" s="309"/>
      <c r="C46259" s="309"/>
      <c r="I46259" s="309"/>
      <c r="J46259" s="309"/>
    </row>
    <row r="46260">
      <c r="B46260" s="309"/>
      <c r="C46260" s="309"/>
      <c r="I46260" s="309"/>
      <c r="J46260" s="309"/>
    </row>
    <row r="46261">
      <c r="B46261" s="309"/>
      <c r="C46261" s="309"/>
      <c r="I46261" s="309"/>
      <c r="J46261" s="309"/>
    </row>
    <row r="46262">
      <c r="B46262" s="309"/>
      <c r="C46262" s="309"/>
      <c r="I46262" s="309"/>
      <c r="J46262" s="309"/>
    </row>
    <row r="46263">
      <c r="B46263" s="309"/>
      <c r="C46263" s="309"/>
      <c r="I46263" s="309"/>
      <c r="J46263" s="309"/>
    </row>
    <row r="46264">
      <c r="B46264" s="309"/>
      <c r="C46264" s="309"/>
      <c r="I46264" s="309"/>
      <c r="J46264" s="309"/>
    </row>
    <row r="46265">
      <c r="B46265" s="309"/>
      <c r="C46265" s="309"/>
      <c r="I46265" s="309"/>
      <c r="J46265" s="309"/>
    </row>
    <row r="46266">
      <c r="B46266" s="309"/>
      <c r="C46266" s="309"/>
      <c r="I46266" s="309"/>
      <c r="J46266" s="309"/>
    </row>
    <row r="46267">
      <c r="B46267" s="309"/>
      <c r="C46267" s="309"/>
      <c r="I46267" s="309"/>
      <c r="J46267" s="309"/>
    </row>
    <row r="46268">
      <c r="B46268" s="309"/>
      <c r="C46268" s="309"/>
      <c r="I46268" s="309"/>
      <c r="J46268" s="309"/>
    </row>
    <row r="46269">
      <c r="B46269" s="309"/>
      <c r="C46269" s="309"/>
      <c r="I46269" s="309"/>
      <c r="J46269" s="309"/>
    </row>
    <row r="46270">
      <c r="B46270" s="309"/>
      <c r="C46270" s="309"/>
      <c r="I46270" s="309"/>
      <c r="J46270" s="309"/>
    </row>
    <row r="46271">
      <c r="B46271" s="309"/>
      <c r="C46271" s="309"/>
      <c r="I46271" s="309"/>
      <c r="J46271" s="309"/>
    </row>
    <row r="46272">
      <c r="B46272" s="309"/>
      <c r="C46272" s="309"/>
      <c r="I46272" s="309"/>
      <c r="J46272" s="309"/>
    </row>
    <row r="46273">
      <c r="B46273" s="309"/>
      <c r="C46273" s="309"/>
      <c r="I46273" s="309"/>
      <c r="J46273" s="309"/>
    </row>
    <row r="46274">
      <c r="B46274" s="309"/>
      <c r="C46274" s="309"/>
      <c r="I46274" s="309"/>
      <c r="J46274" s="309"/>
    </row>
    <row r="46275">
      <c r="B46275" s="309"/>
      <c r="C46275" s="309"/>
      <c r="I46275" s="309"/>
      <c r="J46275" s="309"/>
    </row>
    <row r="46276">
      <c r="B46276" s="309"/>
      <c r="C46276" s="309"/>
      <c r="I46276" s="309"/>
      <c r="J46276" s="309"/>
    </row>
    <row r="46277">
      <c r="B46277" s="309"/>
      <c r="C46277" s="309"/>
      <c r="I46277" s="309"/>
      <c r="J46277" s="309"/>
    </row>
    <row r="46278">
      <c r="B46278" s="309"/>
      <c r="C46278" s="309"/>
      <c r="I46278" s="309"/>
      <c r="J46278" s="309"/>
    </row>
    <row r="46279">
      <c r="B46279" s="309"/>
      <c r="C46279" s="309"/>
      <c r="I46279" s="309"/>
      <c r="J46279" s="309"/>
    </row>
    <row r="46280">
      <c r="B46280" s="309"/>
      <c r="C46280" s="309"/>
      <c r="I46280" s="309"/>
      <c r="J46280" s="309"/>
    </row>
    <row r="46281">
      <c r="B46281" s="309"/>
      <c r="C46281" s="309"/>
      <c r="I46281" s="309"/>
      <c r="J46281" s="309"/>
    </row>
    <row r="46282">
      <c r="B46282" s="309"/>
      <c r="C46282" s="309"/>
      <c r="I46282" s="309"/>
      <c r="J46282" s="309"/>
    </row>
    <row r="46283">
      <c r="B46283" s="309"/>
      <c r="C46283" s="309"/>
      <c r="I46283" s="309"/>
      <c r="J46283" s="309"/>
    </row>
    <row r="46284">
      <c r="B46284" s="309"/>
      <c r="C46284" s="309"/>
      <c r="I46284" s="309"/>
      <c r="J46284" s="309"/>
    </row>
    <row r="46285">
      <c r="B46285" s="309"/>
      <c r="C46285" s="309"/>
      <c r="I46285" s="309"/>
      <c r="J46285" s="309"/>
    </row>
    <row r="46286">
      <c r="B46286" s="309"/>
      <c r="C46286" s="309"/>
      <c r="I46286" s="309"/>
      <c r="J46286" s="309"/>
    </row>
    <row r="46287">
      <c r="B46287" s="309"/>
      <c r="C46287" s="309"/>
      <c r="I46287" s="309"/>
      <c r="J46287" s="309"/>
    </row>
    <row r="46288">
      <c r="B46288" s="309"/>
      <c r="C46288" s="309"/>
      <c r="I46288" s="309"/>
      <c r="J46288" s="309"/>
    </row>
    <row r="46289">
      <c r="B46289" s="309"/>
      <c r="C46289" s="309"/>
      <c r="I46289" s="309"/>
      <c r="J46289" s="309"/>
    </row>
    <row r="46290">
      <c r="B46290" s="309"/>
      <c r="C46290" s="309"/>
      <c r="I46290" s="309"/>
      <c r="J46290" s="309"/>
    </row>
    <row r="46291">
      <c r="B46291" s="309"/>
      <c r="C46291" s="309"/>
      <c r="I46291" s="309"/>
      <c r="J46291" s="309"/>
    </row>
    <row r="46292">
      <c r="B46292" s="309"/>
      <c r="C46292" s="309"/>
      <c r="I46292" s="309"/>
      <c r="J46292" s="309"/>
    </row>
    <row r="46293">
      <c r="B46293" s="309"/>
      <c r="C46293" s="309"/>
      <c r="I46293" s="309"/>
      <c r="J46293" s="309"/>
    </row>
    <row r="46294">
      <c r="B46294" s="309"/>
      <c r="C46294" s="309"/>
      <c r="I46294" s="309"/>
      <c r="J46294" s="309"/>
    </row>
    <row r="46295">
      <c r="B46295" s="309"/>
      <c r="C46295" s="309"/>
      <c r="I46295" s="309"/>
      <c r="J46295" s="309"/>
    </row>
    <row r="46296">
      <c r="B46296" s="309"/>
      <c r="C46296" s="309"/>
      <c r="I46296" s="309"/>
      <c r="J46296" s="309"/>
    </row>
    <row r="46297">
      <c r="B46297" s="309"/>
      <c r="C46297" s="309"/>
      <c r="I46297" s="309"/>
      <c r="J46297" s="309"/>
    </row>
    <row r="46298">
      <c r="B46298" s="309"/>
      <c r="C46298" s="309"/>
      <c r="I46298" s="309"/>
      <c r="J46298" s="309"/>
    </row>
    <row r="46299">
      <c r="B46299" s="309"/>
      <c r="C46299" s="309"/>
      <c r="I46299" s="309"/>
      <c r="J46299" s="309"/>
    </row>
    <row r="46300">
      <c r="B46300" s="309"/>
      <c r="C46300" s="309"/>
      <c r="I46300" s="309"/>
      <c r="J46300" s="309"/>
    </row>
    <row r="46301">
      <c r="B46301" s="309"/>
      <c r="C46301" s="309"/>
      <c r="I46301" s="309"/>
      <c r="J46301" s="309"/>
    </row>
    <row r="46302">
      <c r="B46302" s="309"/>
      <c r="C46302" s="309"/>
      <c r="I46302" s="309"/>
      <c r="J46302" s="309"/>
    </row>
    <row r="46303">
      <c r="B46303" s="309"/>
      <c r="C46303" s="309"/>
      <c r="I46303" s="309"/>
      <c r="J46303" s="309"/>
    </row>
    <row r="46304">
      <c r="B46304" s="309"/>
      <c r="C46304" s="309"/>
      <c r="I46304" s="309"/>
      <c r="J46304" s="309"/>
    </row>
    <row r="46305">
      <c r="B46305" s="309"/>
      <c r="C46305" s="309"/>
      <c r="I46305" s="309"/>
      <c r="J46305" s="309"/>
    </row>
    <row r="46306">
      <c r="B46306" s="309"/>
      <c r="C46306" s="309"/>
      <c r="I46306" s="309"/>
      <c r="J46306" s="309"/>
    </row>
    <row r="46307">
      <c r="B46307" s="309"/>
      <c r="C46307" s="309"/>
      <c r="I46307" s="309"/>
      <c r="J46307" s="309"/>
    </row>
    <row r="46308">
      <c r="B46308" s="309"/>
      <c r="C46308" s="309"/>
      <c r="I46308" s="309"/>
      <c r="J46308" s="309"/>
    </row>
    <row r="46309">
      <c r="B46309" s="309"/>
      <c r="C46309" s="309"/>
      <c r="I46309" s="309"/>
      <c r="J46309" s="309"/>
    </row>
    <row r="46310">
      <c r="B46310" s="309"/>
      <c r="C46310" s="309"/>
      <c r="I46310" s="309"/>
      <c r="J46310" s="309"/>
    </row>
    <row r="46311">
      <c r="B46311" s="309"/>
      <c r="C46311" s="309"/>
      <c r="I46311" s="309"/>
      <c r="J46311" s="309"/>
    </row>
    <row r="46312">
      <c r="B46312" s="309"/>
      <c r="C46312" s="309"/>
      <c r="I46312" s="309"/>
      <c r="J46312" s="309"/>
    </row>
    <row r="46313">
      <c r="B46313" s="309"/>
      <c r="C46313" s="309"/>
      <c r="I46313" s="309"/>
      <c r="J46313" s="309"/>
    </row>
    <row r="46314">
      <c r="B46314" s="309"/>
      <c r="C46314" s="309"/>
      <c r="I46314" s="309"/>
      <c r="J46314" s="309"/>
    </row>
    <row r="46315">
      <c r="B46315" s="309"/>
      <c r="C46315" s="309"/>
      <c r="I46315" s="309"/>
      <c r="J46315" s="309"/>
    </row>
    <row r="46316">
      <c r="B46316" s="309"/>
      <c r="C46316" s="309"/>
      <c r="I46316" s="309"/>
      <c r="J46316" s="309"/>
    </row>
    <row r="46317">
      <c r="B46317" s="309"/>
      <c r="C46317" s="309"/>
      <c r="I46317" s="309"/>
      <c r="J46317" s="309"/>
    </row>
    <row r="46318">
      <c r="B46318" s="309"/>
      <c r="C46318" s="309"/>
      <c r="I46318" s="309"/>
      <c r="J46318" s="309"/>
    </row>
    <row r="46319">
      <c r="B46319" s="309"/>
      <c r="C46319" s="309"/>
      <c r="I46319" s="309"/>
      <c r="J46319" s="309"/>
    </row>
    <row r="46320">
      <c r="B46320" s="309"/>
      <c r="C46320" s="309"/>
      <c r="I46320" s="309"/>
      <c r="J46320" s="309"/>
    </row>
    <row r="46321">
      <c r="B46321" s="309"/>
      <c r="C46321" s="309"/>
      <c r="I46321" s="309"/>
      <c r="J46321" s="309"/>
    </row>
    <row r="46322">
      <c r="B46322" s="309"/>
      <c r="C46322" s="309"/>
      <c r="I46322" s="309"/>
      <c r="J46322" s="309"/>
    </row>
    <row r="46323">
      <c r="B46323" s="309"/>
      <c r="C46323" s="309"/>
      <c r="I46323" s="309"/>
      <c r="J46323" s="309"/>
    </row>
    <row r="46324">
      <c r="B46324" s="309"/>
      <c r="C46324" s="309"/>
      <c r="I46324" s="309"/>
      <c r="J46324" s="309"/>
    </row>
    <row r="46325">
      <c r="B46325" s="309"/>
      <c r="C46325" s="309"/>
      <c r="I46325" s="309"/>
      <c r="J46325" s="309"/>
    </row>
    <row r="46326">
      <c r="B46326" s="309"/>
      <c r="C46326" s="309"/>
      <c r="I46326" s="309"/>
      <c r="J46326" s="309"/>
    </row>
    <row r="46327">
      <c r="B46327" s="309"/>
      <c r="C46327" s="309"/>
      <c r="I46327" s="309"/>
      <c r="J46327" s="309"/>
    </row>
    <row r="46328">
      <c r="B46328" s="309"/>
      <c r="C46328" s="309"/>
      <c r="I46328" s="309"/>
      <c r="J46328" s="309"/>
    </row>
    <row r="46329">
      <c r="B46329" s="309"/>
      <c r="C46329" s="309"/>
      <c r="I46329" s="309"/>
      <c r="J46329" s="309"/>
    </row>
    <row r="46330">
      <c r="B46330" s="309"/>
      <c r="C46330" s="309"/>
      <c r="I46330" s="309"/>
      <c r="J46330" s="309"/>
    </row>
    <row r="46331">
      <c r="B46331" s="309"/>
      <c r="C46331" s="309"/>
      <c r="I46331" s="309"/>
      <c r="J46331" s="309"/>
    </row>
    <row r="46332">
      <c r="B46332" s="309"/>
      <c r="C46332" s="309"/>
      <c r="I46332" s="309"/>
      <c r="J46332" s="309"/>
    </row>
    <row r="46333">
      <c r="B46333" s="309"/>
      <c r="C46333" s="309"/>
      <c r="I46333" s="309"/>
      <c r="J46333" s="309"/>
    </row>
    <row r="46334">
      <c r="B46334" s="309"/>
      <c r="C46334" s="309"/>
      <c r="I46334" s="309"/>
      <c r="J46334" s="309"/>
    </row>
    <row r="46335">
      <c r="B46335" s="309"/>
      <c r="C46335" s="309"/>
      <c r="I46335" s="309"/>
      <c r="J46335" s="309"/>
    </row>
    <row r="46336">
      <c r="B46336" s="309"/>
      <c r="C46336" s="309"/>
      <c r="I46336" s="309"/>
      <c r="J46336" s="309"/>
    </row>
    <row r="46337">
      <c r="B46337" s="309"/>
      <c r="C46337" s="309"/>
      <c r="I46337" s="309"/>
      <c r="J46337" s="309"/>
    </row>
    <row r="46338">
      <c r="B46338" s="309"/>
      <c r="C46338" s="309"/>
      <c r="I46338" s="309"/>
      <c r="J46338" s="309"/>
    </row>
    <row r="46339">
      <c r="B46339" s="309"/>
      <c r="C46339" s="309"/>
      <c r="I46339" s="309"/>
      <c r="J46339" s="309"/>
    </row>
    <row r="46340">
      <c r="B46340" s="309"/>
      <c r="C46340" s="309"/>
      <c r="I46340" s="309"/>
      <c r="J46340" s="309"/>
    </row>
    <row r="46341">
      <c r="B46341" s="309"/>
      <c r="C46341" s="309"/>
      <c r="I46341" s="309"/>
      <c r="J46341" s="309"/>
    </row>
    <row r="46342">
      <c r="B46342" s="309"/>
      <c r="C46342" s="309"/>
      <c r="I46342" s="309"/>
      <c r="J46342" s="309"/>
    </row>
    <row r="46343">
      <c r="B46343" s="309"/>
      <c r="C46343" s="309"/>
      <c r="I46343" s="309"/>
      <c r="J46343" s="309"/>
    </row>
    <row r="46344">
      <c r="B46344" s="309"/>
      <c r="C46344" s="309"/>
      <c r="I46344" s="309"/>
      <c r="J46344" s="309"/>
    </row>
    <row r="46345">
      <c r="B46345" s="309"/>
      <c r="C46345" s="309"/>
      <c r="I46345" s="309"/>
      <c r="J46345" s="309"/>
    </row>
    <row r="46346">
      <c r="B46346" s="309"/>
      <c r="C46346" s="309"/>
      <c r="I46346" s="309"/>
      <c r="J46346" s="309"/>
    </row>
    <row r="46347">
      <c r="B46347" s="309"/>
      <c r="C46347" s="309"/>
      <c r="I46347" s="309"/>
      <c r="J46347" s="309"/>
    </row>
    <row r="46348">
      <c r="B46348" s="309"/>
      <c r="C46348" s="309"/>
      <c r="I46348" s="309"/>
      <c r="J46348" s="309"/>
    </row>
    <row r="46349">
      <c r="B46349" s="309"/>
      <c r="C46349" s="309"/>
      <c r="I46349" s="309"/>
      <c r="J46349" s="309"/>
    </row>
    <row r="46350">
      <c r="B46350" s="309"/>
      <c r="C46350" s="309"/>
      <c r="I46350" s="309"/>
      <c r="J46350" s="309"/>
    </row>
    <row r="46351">
      <c r="B46351" s="309"/>
      <c r="C46351" s="309"/>
      <c r="I46351" s="309"/>
      <c r="J46351" s="309"/>
    </row>
    <row r="46352">
      <c r="B46352" s="309"/>
      <c r="C46352" s="309"/>
      <c r="I46352" s="309"/>
      <c r="J46352" s="309"/>
    </row>
    <row r="46353">
      <c r="B46353" s="309"/>
      <c r="C46353" s="309"/>
      <c r="I46353" s="309"/>
      <c r="J46353" s="309"/>
    </row>
    <row r="46354">
      <c r="B46354" s="309"/>
      <c r="C46354" s="309"/>
      <c r="I46354" s="309"/>
      <c r="J46354" s="309"/>
    </row>
    <row r="46355">
      <c r="B46355" s="309"/>
      <c r="C46355" s="309"/>
      <c r="I46355" s="309"/>
      <c r="J46355" s="309"/>
    </row>
    <row r="46356">
      <c r="B46356" s="309"/>
      <c r="C46356" s="309"/>
      <c r="I46356" s="309"/>
      <c r="J46356" s="309"/>
    </row>
    <row r="46357">
      <c r="B46357" s="309"/>
      <c r="C46357" s="309"/>
      <c r="I46357" s="309"/>
      <c r="J46357" s="309"/>
    </row>
    <row r="46358">
      <c r="B46358" s="309"/>
      <c r="C46358" s="309"/>
      <c r="I46358" s="309"/>
      <c r="J46358" s="309"/>
    </row>
    <row r="46359">
      <c r="B46359" s="309"/>
      <c r="C46359" s="309"/>
      <c r="I46359" s="309"/>
      <c r="J46359" s="309"/>
    </row>
    <row r="46360">
      <c r="B46360" s="309"/>
      <c r="C46360" s="309"/>
      <c r="I46360" s="309"/>
      <c r="J46360" s="309"/>
    </row>
    <row r="46361">
      <c r="B46361" s="309"/>
      <c r="C46361" s="309"/>
      <c r="I46361" s="309"/>
      <c r="J46361" s="309"/>
    </row>
    <row r="46362">
      <c r="B46362" s="309"/>
      <c r="C46362" s="309"/>
      <c r="I46362" s="309"/>
      <c r="J46362" s="309"/>
    </row>
    <row r="46363">
      <c r="B46363" s="309"/>
      <c r="C46363" s="309"/>
      <c r="I46363" s="309"/>
      <c r="J46363" s="309"/>
    </row>
    <row r="46364">
      <c r="B46364" s="309"/>
      <c r="C46364" s="309"/>
      <c r="I46364" s="309"/>
      <c r="J46364" s="309"/>
    </row>
    <row r="46365">
      <c r="B46365" s="309"/>
      <c r="C46365" s="309"/>
      <c r="I46365" s="309"/>
      <c r="J46365" s="309"/>
    </row>
    <row r="46366">
      <c r="B46366" s="309"/>
      <c r="C46366" s="309"/>
      <c r="I46366" s="309"/>
      <c r="J46366" s="309"/>
    </row>
    <row r="46367">
      <c r="B46367" s="309"/>
      <c r="C46367" s="309"/>
      <c r="I46367" s="309"/>
      <c r="J46367" s="309"/>
    </row>
    <row r="46368">
      <c r="B46368" s="309"/>
      <c r="C46368" s="309"/>
      <c r="I46368" s="309"/>
      <c r="J46368" s="309"/>
    </row>
    <row r="46369">
      <c r="B46369" s="309"/>
      <c r="C46369" s="309"/>
      <c r="I46369" s="309"/>
      <c r="J46369" s="309"/>
    </row>
    <row r="46370">
      <c r="B46370" s="309"/>
      <c r="C46370" s="309"/>
      <c r="I46370" s="309"/>
      <c r="J46370" s="309"/>
    </row>
    <row r="46371">
      <c r="B46371" s="309"/>
      <c r="C46371" s="309"/>
      <c r="I46371" s="309"/>
      <c r="J46371" s="309"/>
    </row>
    <row r="46372">
      <c r="B46372" s="309"/>
      <c r="C46372" s="309"/>
      <c r="I46372" s="309"/>
      <c r="J46372" s="309"/>
    </row>
    <row r="46373">
      <c r="B46373" s="309"/>
      <c r="C46373" s="309"/>
      <c r="I46373" s="309"/>
      <c r="J46373" s="309"/>
    </row>
    <row r="46374">
      <c r="B46374" s="309"/>
      <c r="C46374" s="309"/>
      <c r="I46374" s="309"/>
      <c r="J46374" s="309"/>
    </row>
    <row r="46375">
      <c r="B46375" s="309"/>
      <c r="C46375" s="309"/>
      <c r="I46375" s="309"/>
      <c r="J46375" s="309"/>
    </row>
    <row r="46376">
      <c r="B46376" s="309"/>
      <c r="C46376" s="309"/>
      <c r="I46376" s="309"/>
      <c r="J46376" s="309"/>
    </row>
    <row r="46377">
      <c r="B46377" s="309"/>
      <c r="C46377" s="309"/>
      <c r="I46377" s="309"/>
      <c r="J46377" s="309"/>
    </row>
    <row r="46378">
      <c r="B46378" s="309"/>
      <c r="C46378" s="309"/>
      <c r="I46378" s="309"/>
      <c r="J46378" s="309"/>
    </row>
    <row r="46379">
      <c r="B46379" s="309"/>
      <c r="C46379" s="309"/>
      <c r="I46379" s="309"/>
      <c r="J46379" s="309"/>
    </row>
    <row r="46380">
      <c r="B46380" s="309"/>
      <c r="C46380" s="309"/>
      <c r="I46380" s="309"/>
      <c r="J46380" s="309"/>
    </row>
    <row r="46381">
      <c r="B46381" s="309"/>
      <c r="C46381" s="309"/>
      <c r="I46381" s="309"/>
      <c r="J46381" s="309"/>
    </row>
    <row r="46382">
      <c r="B46382" s="309"/>
      <c r="C46382" s="309"/>
      <c r="I46382" s="309"/>
      <c r="J46382" s="309"/>
    </row>
    <row r="46383">
      <c r="B46383" s="309"/>
      <c r="C46383" s="309"/>
      <c r="I46383" s="309"/>
      <c r="J46383" s="309"/>
    </row>
    <row r="46384">
      <c r="B46384" s="309"/>
      <c r="C46384" s="309"/>
      <c r="I46384" s="309"/>
      <c r="J46384" s="309"/>
    </row>
    <row r="46385">
      <c r="B46385" s="309"/>
      <c r="C46385" s="309"/>
      <c r="I46385" s="309"/>
      <c r="J46385" s="309"/>
    </row>
    <row r="46386">
      <c r="B46386" s="309"/>
      <c r="C46386" s="309"/>
      <c r="I46386" s="309"/>
      <c r="J46386" s="309"/>
    </row>
    <row r="46387">
      <c r="B46387" s="309"/>
      <c r="C46387" s="309"/>
      <c r="I46387" s="309"/>
      <c r="J46387" s="309"/>
    </row>
    <row r="46388">
      <c r="B46388" s="309"/>
      <c r="C46388" s="309"/>
      <c r="I46388" s="309"/>
      <c r="J46388" s="309"/>
    </row>
    <row r="46389">
      <c r="B46389" s="309"/>
      <c r="C46389" s="309"/>
      <c r="I46389" s="309"/>
      <c r="J46389" s="309"/>
    </row>
    <row r="46390">
      <c r="B46390" s="309"/>
      <c r="C46390" s="309"/>
      <c r="I46390" s="309"/>
      <c r="J46390" s="309"/>
    </row>
    <row r="46391">
      <c r="B46391" s="309"/>
      <c r="C46391" s="309"/>
      <c r="I46391" s="309"/>
      <c r="J46391" s="309"/>
    </row>
    <row r="46392">
      <c r="B46392" s="309"/>
      <c r="C46392" s="309"/>
      <c r="I46392" s="309"/>
      <c r="J46392" s="309"/>
    </row>
    <row r="46393">
      <c r="B46393" s="309"/>
      <c r="C46393" s="309"/>
      <c r="I46393" s="309"/>
      <c r="J46393" s="309"/>
    </row>
    <row r="46394">
      <c r="B46394" s="309"/>
      <c r="C46394" s="309"/>
      <c r="I46394" s="309"/>
      <c r="J46394" s="309"/>
    </row>
    <row r="46395">
      <c r="B46395" s="309"/>
      <c r="C46395" s="309"/>
      <c r="I46395" s="309"/>
      <c r="J46395" s="309"/>
    </row>
    <row r="46396">
      <c r="B46396" s="309"/>
      <c r="C46396" s="309"/>
      <c r="I46396" s="309"/>
      <c r="J46396" s="309"/>
    </row>
    <row r="46397">
      <c r="B46397" s="309"/>
      <c r="C46397" s="309"/>
      <c r="I46397" s="309"/>
      <c r="J46397" s="309"/>
    </row>
    <row r="46398">
      <c r="B46398" s="309"/>
      <c r="C46398" s="309"/>
      <c r="I46398" s="309"/>
      <c r="J46398" s="309"/>
    </row>
    <row r="46399">
      <c r="B46399" s="309"/>
      <c r="C46399" s="309"/>
      <c r="I46399" s="309"/>
      <c r="J46399" s="309"/>
    </row>
    <row r="46400">
      <c r="B46400" s="309"/>
      <c r="C46400" s="309"/>
      <c r="I46400" s="309"/>
      <c r="J46400" s="309"/>
    </row>
    <row r="46401">
      <c r="B46401" s="309"/>
      <c r="C46401" s="309"/>
      <c r="I46401" s="309"/>
      <c r="J46401" s="309"/>
    </row>
    <row r="46402">
      <c r="B46402" s="309"/>
      <c r="C46402" s="309"/>
      <c r="I46402" s="309"/>
      <c r="J46402" s="309"/>
    </row>
    <row r="46403">
      <c r="B46403" s="309"/>
      <c r="C46403" s="309"/>
      <c r="I46403" s="309"/>
      <c r="J46403" s="309"/>
    </row>
    <row r="46404">
      <c r="B46404" s="309"/>
      <c r="C46404" s="309"/>
      <c r="I46404" s="309"/>
      <c r="J46404" s="309"/>
    </row>
    <row r="46405">
      <c r="B46405" s="309"/>
      <c r="C46405" s="309"/>
      <c r="I46405" s="309"/>
      <c r="J46405" s="309"/>
    </row>
    <row r="46406">
      <c r="B46406" s="309"/>
      <c r="C46406" s="309"/>
      <c r="I46406" s="309"/>
      <c r="J46406" s="309"/>
    </row>
    <row r="46407">
      <c r="B46407" s="309"/>
      <c r="C46407" s="309"/>
      <c r="I46407" s="309"/>
      <c r="J46407" s="309"/>
    </row>
    <row r="46408">
      <c r="B46408" s="309"/>
      <c r="C46408" s="309"/>
      <c r="I46408" s="309"/>
      <c r="J46408" s="309"/>
    </row>
    <row r="46409">
      <c r="B46409" s="309"/>
      <c r="C46409" s="309"/>
      <c r="I46409" s="309"/>
      <c r="J46409" s="309"/>
    </row>
    <row r="46410">
      <c r="B46410" s="309"/>
      <c r="C46410" s="309"/>
      <c r="I46410" s="309"/>
      <c r="J46410" s="309"/>
    </row>
    <row r="46411">
      <c r="B46411" s="309"/>
      <c r="C46411" s="309"/>
      <c r="I46411" s="309"/>
      <c r="J46411" s="309"/>
    </row>
    <row r="46412">
      <c r="B46412" s="309"/>
      <c r="C46412" s="309"/>
      <c r="I46412" s="309"/>
      <c r="J46412" s="309"/>
    </row>
    <row r="46413">
      <c r="B46413" s="309"/>
      <c r="C46413" s="309"/>
      <c r="I46413" s="309"/>
      <c r="J46413" s="309"/>
    </row>
    <row r="46414">
      <c r="B46414" s="309"/>
      <c r="C46414" s="309"/>
      <c r="I46414" s="309"/>
      <c r="J46414" s="309"/>
    </row>
    <row r="46415">
      <c r="B46415" s="309"/>
      <c r="C46415" s="309"/>
      <c r="I46415" s="309"/>
      <c r="J46415" s="309"/>
    </row>
    <row r="46416">
      <c r="B46416" s="309"/>
      <c r="C46416" s="309"/>
      <c r="I46416" s="309"/>
      <c r="J46416" s="309"/>
    </row>
    <row r="46417">
      <c r="B46417" s="309"/>
      <c r="C46417" s="309"/>
      <c r="I46417" s="309"/>
      <c r="J46417" s="309"/>
    </row>
    <row r="46418">
      <c r="B46418" s="309"/>
      <c r="C46418" s="309"/>
      <c r="I46418" s="309"/>
      <c r="J46418" s="309"/>
    </row>
    <row r="46419">
      <c r="B46419" s="309"/>
      <c r="C46419" s="309"/>
      <c r="I46419" s="309"/>
      <c r="J46419" s="309"/>
    </row>
    <row r="46420">
      <c r="B46420" s="309"/>
      <c r="C46420" s="309"/>
      <c r="I46420" s="309"/>
      <c r="J46420" s="309"/>
    </row>
    <row r="46421">
      <c r="B46421" s="309"/>
      <c r="C46421" s="309"/>
      <c r="I46421" s="309"/>
      <c r="J46421" s="309"/>
    </row>
    <row r="46422">
      <c r="B46422" s="309"/>
      <c r="C46422" s="309"/>
      <c r="I46422" s="309"/>
      <c r="J46422" s="309"/>
    </row>
    <row r="46423">
      <c r="B46423" s="309"/>
      <c r="C46423" s="309"/>
      <c r="I46423" s="309"/>
      <c r="J46423" s="309"/>
    </row>
    <row r="46424">
      <c r="B46424" s="309"/>
      <c r="C46424" s="309"/>
      <c r="I46424" s="309"/>
      <c r="J46424" s="309"/>
    </row>
    <row r="46425">
      <c r="B46425" s="309"/>
      <c r="C46425" s="309"/>
      <c r="I46425" s="309"/>
      <c r="J46425" s="309"/>
    </row>
    <row r="46426">
      <c r="B46426" s="309"/>
      <c r="C46426" s="309"/>
      <c r="I46426" s="309"/>
      <c r="J46426" s="309"/>
    </row>
    <row r="46427">
      <c r="B46427" s="309"/>
      <c r="C46427" s="309"/>
      <c r="I46427" s="309"/>
      <c r="J46427" s="309"/>
    </row>
    <row r="46428">
      <c r="B46428" s="309"/>
      <c r="C46428" s="309"/>
      <c r="I46428" s="309"/>
      <c r="J46428" s="309"/>
    </row>
    <row r="46429">
      <c r="B46429" s="309"/>
      <c r="C46429" s="309"/>
      <c r="I46429" s="309"/>
      <c r="J46429" s="309"/>
    </row>
    <row r="46430">
      <c r="B46430" s="309"/>
      <c r="C46430" s="309"/>
      <c r="I46430" s="309"/>
      <c r="J46430" s="309"/>
    </row>
    <row r="46431">
      <c r="B46431" s="309"/>
      <c r="C46431" s="309"/>
      <c r="I46431" s="309"/>
      <c r="J46431" s="309"/>
    </row>
    <row r="46432">
      <c r="B46432" s="309"/>
      <c r="C46432" s="309"/>
      <c r="I46432" s="309"/>
      <c r="J46432" s="309"/>
    </row>
    <row r="46433">
      <c r="B46433" s="309"/>
      <c r="C46433" s="309"/>
      <c r="I46433" s="309"/>
      <c r="J46433" s="309"/>
    </row>
    <row r="46434">
      <c r="B46434" s="309"/>
      <c r="C46434" s="309"/>
      <c r="I46434" s="309"/>
      <c r="J46434" s="309"/>
    </row>
    <row r="46435">
      <c r="B46435" s="309"/>
      <c r="C46435" s="309"/>
      <c r="I46435" s="309"/>
      <c r="J46435" s="309"/>
    </row>
    <row r="46436">
      <c r="B46436" s="309"/>
      <c r="C46436" s="309"/>
      <c r="I46436" s="309"/>
      <c r="J46436" s="309"/>
    </row>
    <row r="46437">
      <c r="B46437" s="309"/>
      <c r="C46437" s="309"/>
      <c r="I46437" s="309"/>
      <c r="J46437" s="309"/>
    </row>
    <row r="46438">
      <c r="B46438" s="309"/>
      <c r="C46438" s="309"/>
      <c r="I46438" s="309"/>
      <c r="J46438" s="309"/>
    </row>
    <row r="46439">
      <c r="B46439" s="309"/>
      <c r="C46439" s="309"/>
      <c r="I46439" s="309"/>
      <c r="J46439" s="309"/>
    </row>
    <row r="46440">
      <c r="B46440" s="309"/>
      <c r="C46440" s="309"/>
      <c r="I46440" s="309"/>
      <c r="J46440" s="309"/>
    </row>
    <row r="46441">
      <c r="B46441" s="309"/>
      <c r="C46441" s="309"/>
      <c r="I46441" s="309"/>
      <c r="J46441" s="309"/>
    </row>
    <row r="46442">
      <c r="B46442" s="309"/>
      <c r="C46442" s="309"/>
      <c r="I46442" s="309"/>
      <c r="J46442" s="309"/>
    </row>
    <row r="46443">
      <c r="B46443" s="309"/>
      <c r="C46443" s="309"/>
      <c r="I46443" s="309"/>
      <c r="J46443" s="309"/>
    </row>
    <row r="46444">
      <c r="B46444" s="309"/>
      <c r="C46444" s="309"/>
      <c r="I46444" s="309"/>
      <c r="J46444" s="309"/>
    </row>
    <row r="46445">
      <c r="B46445" s="309"/>
      <c r="C46445" s="309"/>
      <c r="I46445" s="309"/>
      <c r="J46445" s="309"/>
    </row>
    <row r="46446">
      <c r="B46446" s="309"/>
      <c r="C46446" s="309"/>
      <c r="I46446" s="309"/>
      <c r="J46446" s="309"/>
    </row>
    <row r="46447">
      <c r="B46447" s="309"/>
      <c r="C46447" s="309"/>
      <c r="I46447" s="309"/>
      <c r="J46447" s="309"/>
    </row>
    <row r="46448">
      <c r="B46448" s="309"/>
      <c r="C46448" s="309"/>
      <c r="I46448" s="309"/>
      <c r="J46448" s="309"/>
    </row>
    <row r="46449">
      <c r="B46449" s="309"/>
      <c r="C46449" s="309"/>
      <c r="I46449" s="309"/>
      <c r="J46449" s="309"/>
    </row>
    <row r="46450">
      <c r="B46450" s="309"/>
      <c r="C46450" s="309"/>
      <c r="I46450" s="309"/>
      <c r="J46450" s="309"/>
    </row>
    <row r="46451">
      <c r="B46451" s="309"/>
      <c r="C46451" s="309"/>
      <c r="I46451" s="309"/>
      <c r="J46451" s="309"/>
    </row>
    <row r="46452">
      <c r="B46452" s="309"/>
      <c r="C46452" s="309"/>
      <c r="I46452" s="309"/>
      <c r="J46452" s="309"/>
    </row>
    <row r="46453">
      <c r="B46453" s="309"/>
      <c r="C46453" s="309"/>
      <c r="I46453" s="309"/>
      <c r="J46453" s="309"/>
    </row>
    <row r="46454">
      <c r="B46454" s="309"/>
      <c r="C46454" s="309"/>
      <c r="I46454" s="309"/>
      <c r="J46454" s="309"/>
    </row>
    <row r="46455">
      <c r="B46455" s="309"/>
      <c r="C46455" s="309"/>
      <c r="I46455" s="309"/>
      <c r="J46455" s="309"/>
    </row>
    <row r="46456">
      <c r="B46456" s="309"/>
      <c r="C46456" s="309"/>
      <c r="I46456" s="309"/>
      <c r="J46456" s="309"/>
    </row>
    <row r="46457">
      <c r="B46457" s="309"/>
      <c r="C46457" s="309"/>
      <c r="I46457" s="309"/>
      <c r="J46457" s="309"/>
    </row>
    <row r="46458">
      <c r="B46458" s="309"/>
      <c r="C46458" s="309"/>
      <c r="I46458" s="309"/>
      <c r="J46458" s="309"/>
    </row>
    <row r="46459">
      <c r="B46459" s="309"/>
      <c r="C46459" s="309"/>
      <c r="I46459" s="309"/>
      <c r="J46459" s="309"/>
    </row>
    <row r="46460">
      <c r="B46460" s="309"/>
      <c r="C46460" s="309"/>
      <c r="I46460" s="309"/>
      <c r="J46460" s="309"/>
    </row>
    <row r="46461">
      <c r="B46461" s="309"/>
      <c r="C46461" s="309"/>
      <c r="I46461" s="309"/>
      <c r="J46461" s="309"/>
    </row>
    <row r="46462">
      <c r="B46462" s="309"/>
      <c r="C46462" s="309"/>
      <c r="I46462" s="309"/>
      <c r="J46462" s="309"/>
    </row>
    <row r="46463">
      <c r="B46463" s="309"/>
      <c r="C46463" s="309"/>
      <c r="I46463" s="309"/>
      <c r="J46463" s="309"/>
    </row>
    <row r="46464">
      <c r="B46464" s="309"/>
      <c r="C46464" s="309"/>
      <c r="I46464" s="309"/>
      <c r="J46464" s="309"/>
    </row>
    <row r="46465">
      <c r="B46465" s="309"/>
      <c r="C46465" s="309"/>
      <c r="I46465" s="309"/>
      <c r="J46465" s="309"/>
    </row>
    <row r="46466">
      <c r="B46466" s="309"/>
      <c r="C46466" s="309"/>
      <c r="I46466" s="309"/>
      <c r="J46466" s="309"/>
    </row>
    <row r="46467">
      <c r="B46467" s="309"/>
      <c r="C46467" s="309"/>
      <c r="I46467" s="309"/>
      <c r="J46467" s="309"/>
    </row>
    <row r="46468">
      <c r="B46468" s="309"/>
      <c r="C46468" s="309"/>
      <c r="I46468" s="309"/>
      <c r="J46468" s="309"/>
    </row>
    <row r="46469">
      <c r="B46469" s="309"/>
      <c r="C46469" s="309"/>
      <c r="I46469" s="309"/>
      <c r="J46469" s="309"/>
    </row>
    <row r="46470">
      <c r="B46470" s="309"/>
      <c r="C46470" s="309"/>
      <c r="I46470" s="309"/>
      <c r="J46470" s="309"/>
    </row>
    <row r="46471">
      <c r="B46471" s="309"/>
      <c r="C46471" s="309"/>
      <c r="I46471" s="309"/>
      <c r="J46471" s="309"/>
    </row>
    <row r="46472">
      <c r="B46472" s="309"/>
      <c r="C46472" s="309"/>
      <c r="I46472" s="309"/>
      <c r="J46472" s="309"/>
    </row>
    <row r="46473">
      <c r="B46473" s="309"/>
      <c r="C46473" s="309"/>
      <c r="I46473" s="309"/>
      <c r="J46473" s="309"/>
    </row>
    <row r="46474">
      <c r="B46474" s="309"/>
      <c r="C46474" s="309"/>
      <c r="I46474" s="309"/>
      <c r="J46474" s="309"/>
    </row>
    <row r="46475">
      <c r="B46475" s="309"/>
      <c r="C46475" s="309"/>
      <c r="I46475" s="309"/>
      <c r="J46475" s="309"/>
    </row>
    <row r="46476">
      <c r="B46476" s="309"/>
      <c r="C46476" s="309"/>
      <c r="I46476" s="309"/>
      <c r="J46476" s="309"/>
    </row>
    <row r="46477">
      <c r="B46477" s="309"/>
      <c r="C46477" s="309"/>
      <c r="I46477" s="309"/>
      <c r="J46477" s="309"/>
    </row>
    <row r="46478">
      <c r="B46478" s="309"/>
      <c r="C46478" s="309"/>
      <c r="I46478" s="309"/>
      <c r="J46478" s="309"/>
    </row>
    <row r="46479">
      <c r="B46479" s="309"/>
      <c r="C46479" s="309"/>
      <c r="I46479" s="309"/>
      <c r="J46479" s="309"/>
    </row>
    <row r="46480">
      <c r="B46480" s="309"/>
      <c r="C46480" s="309"/>
      <c r="I46480" s="309"/>
      <c r="J46480" s="309"/>
    </row>
    <row r="46481">
      <c r="B46481" s="309"/>
      <c r="C46481" s="309"/>
      <c r="I46481" s="309"/>
      <c r="J46481" s="309"/>
    </row>
    <row r="46482">
      <c r="B46482" s="309"/>
      <c r="C46482" s="309"/>
      <c r="I46482" s="309"/>
      <c r="J46482" s="309"/>
    </row>
    <row r="46483">
      <c r="B46483" s="309"/>
      <c r="C46483" s="309"/>
      <c r="I46483" s="309"/>
      <c r="J46483" s="309"/>
    </row>
    <row r="46484">
      <c r="B46484" s="309"/>
      <c r="C46484" s="309"/>
      <c r="I46484" s="309"/>
      <c r="J46484" s="309"/>
    </row>
    <row r="46485">
      <c r="B46485" s="309"/>
      <c r="C46485" s="309"/>
      <c r="I46485" s="309"/>
      <c r="J46485" s="309"/>
    </row>
    <row r="46486">
      <c r="B46486" s="309"/>
      <c r="C46486" s="309"/>
      <c r="I46486" s="309"/>
      <c r="J46486" s="309"/>
    </row>
    <row r="46487">
      <c r="B46487" s="309"/>
      <c r="C46487" s="309"/>
      <c r="I46487" s="309"/>
      <c r="J46487" s="309"/>
    </row>
    <row r="46488">
      <c r="B46488" s="309"/>
      <c r="C46488" s="309"/>
      <c r="I46488" s="309"/>
      <c r="J46488" s="309"/>
    </row>
    <row r="46489">
      <c r="B46489" s="309"/>
      <c r="C46489" s="309"/>
      <c r="I46489" s="309"/>
      <c r="J46489" s="309"/>
    </row>
    <row r="46490">
      <c r="B46490" s="309"/>
      <c r="C46490" s="309"/>
      <c r="I46490" s="309"/>
      <c r="J46490" s="309"/>
    </row>
    <row r="46491">
      <c r="B46491" s="309"/>
      <c r="C46491" s="309"/>
      <c r="I46491" s="309"/>
      <c r="J46491" s="309"/>
    </row>
    <row r="46492">
      <c r="B46492" s="309"/>
      <c r="C46492" s="309"/>
      <c r="I46492" s="309"/>
      <c r="J46492" s="309"/>
    </row>
    <row r="46493">
      <c r="B46493" s="309"/>
      <c r="C46493" s="309"/>
      <c r="I46493" s="309"/>
      <c r="J46493" s="309"/>
    </row>
    <row r="46494">
      <c r="B46494" s="309"/>
      <c r="C46494" s="309"/>
      <c r="I46494" s="309"/>
      <c r="J46494" s="309"/>
    </row>
    <row r="46495">
      <c r="B46495" s="309"/>
      <c r="C46495" s="309"/>
      <c r="I46495" s="309"/>
      <c r="J46495" s="309"/>
    </row>
    <row r="46496">
      <c r="B46496" s="309"/>
      <c r="C46496" s="309"/>
      <c r="I46496" s="309"/>
      <c r="J46496" s="309"/>
    </row>
    <row r="46497">
      <c r="B46497" s="309"/>
      <c r="C46497" s="309"/>
      <c r="I46497" s="309"/>
      <c r="J46497" s="309"/>
    </row>
    <row r="46498">
      <c r="B46498" s="309"/>
      <c r="C46498" s="309"/>
      <c r="I46498" s="309"/>
      <c r="J46498" s="309"/>
    </row>
    <row r="46499">
      <c r="B46499" s="309"/>
      <c r="C46499" s="309"/>
      <c r="I46499" s="309"/>
      <c r="J46499" s="309"/>
    </row>
    <row r="46500">
      <c r="B46500" s="309"/>
      <c r="C46500" s="309"/>
      <c r="I46500" s="309"/>
      <c r="J46500" s="309"/>
    </row>
    <row r="46501">
      <c r="B46501" s="309"/>
      <c r="C46501" s="309"/>
      <c r="I46501" s="309"/>
      <c r="J46501" s="309"/>
    </row>
    <row r="46502">
      <c r="B46502" s="309"/>
      <c r="C46502" s="309"/>
      <c r="I46502" s="309"/>
      <c r="J46502" s="309"/>
    </row>
    <row r="46503">
      <c r="B46503" s="309"/>
      <c r="C46503" s="309"/>
      <c r="I46503" s="309"/>
      <c r="J46503" s="309"/>
    </row>
    <row r="46504">
      <c r="B46504" s="309"/>
      <c r="C46504" s="309"/>
      <c r="I46504" s="309"/>
      <c r="J46504" s="309"/>
    </row>
    <row r="46505">
      <c r="B46505" s="309"/>
      <c r="C46505" s="309"/>
      <c r="I46505" s="309"/>
      <c r="J46505" s="309"/>
    </row>
    <row r="46506">
      <c r="B46506" s="309"/>
      <c r="C46506" s="309"/>
      <c r="I46506" s="309"/>
      <c r="J46506" s="309"/>
    </row>
    <row r="46507">
      <c r="B46507" s="309"/>
      <c r="C46507" s="309"/>
      <c r="I46507" s="309"/>
      <c r="J46507" s="309"/>
    </row>
    <row r="46508">
      <c r="B46508" s="309"/>
      <c r="C46508" s="309"/>
      <c r="I46508" s="309"/>
      <c r="J46508" s="309"/>
    </row>
    <row r="46509">
      <c r="B46509" s="309"/>
      <c r="C46509" s="309"/>
      <c r="I46509" s="309"/>
      <c r="J46509" s="309"/>
    </row>
    <row r="46510">
      <c r="B46510" s="309"/>
      <c r="C46510" s="309"/>
      <c r="I46510" s="309"/>
      <c r="J46510" s="309"/>
    </row>
    <row r="46511">
      <c r="B46511" s="309"/>
      <c r="C46511" s="309"/>
      <c r="I46511" s="309"/>
      <c r="J46511" s="309"/>
    </row>
    <row r="46512">
      <c r="B46512" s="309"/>
      <c r="C46512" s="309"/>
      <c r="I46512" s="309"/>
      <c r="J46512" s="309"/>
    </row>
    <row r="46513">
      <c r="B46513" s="309"/>
      <c r="C46513" s="309"/>
      <c r="I46513" s="309"/>
      <c r="J46513" s="309"/>
    </row>
    <row r="46514">
      <c r="B46514" s="309"/>
      <c r="C46514" s="309"/>
      <c r="I46514" s="309"/>
      <c r="J46514" s="309"/>
    </row>
    <row r="46515">
      <c r="B46515" s="309"/>
      <c r="C46515" s="309"/>
      <c r="I46515" s="309"/>
      <c r="J46515" s="309"/>
    </row>
    <row r="46516">
      <c r="B46516" s="309"/>
      <c r="C46516" s="309"/>
      <c r="I46516" s="309"/>
      <c r="J46516" s="309"/>
    </row>
    <row r="46517">
      <c r="B46517" s="309"/>
      <c r="C46517" s="309"/>
      <c r="I46517" s="309"/>
      <c r="J46517" s="309"/>
    </row>
    <row r="46518">
      <c r="B46518" s="309"/>
      <c r="C46518" s="309"/>
      <c r="I46518" s="309"/>
      <c r="J46518" s="309"/>
    </row>
    <row r="46519">
      <c r="B46519" s="309"/>
      <c r="C46519" s="309"/>
      <c r="I46519" s="309"/>
      <c r="J46519" s="309"/>
    </row>
    <row r="46520">
      <c r="B46520" s="309"/>
      <c r="C46520" s="309"/>
      <c r="I46520" s="309"/>
      <c r="J46520" s="309"/>
    </row>
    <row r="46521">
      <c r="B46521" s="309"/>
      <c r="C46521" s="309"/>
      <c r="I46521" s="309"/>
      <c r="J46521" s="309"/>
    </row>
    <row r="46522">
      <c r="B46522" s="309"/>
      <c r="C46522" s="309"/>
      <c r="I46522" s="309"/>
      <c r="J46522" s="309"/>
    </row>
    <row r="46523">
      <c r="B46523" s="309"/>
      <c r="C46523" s="309"/>
      <c r="I46523" s="309"/>
      <c r="J46523" s="309"/>
    </row>
    <row r="46524">
      <c r="B46524" s="309"/>
      <c r="C46524" s="309"/>
      <c r="I46524" s="309"/>
      <c r="J46524" s="309"/>
    </row>
    <row r="46525">
      <c r="B46525" s="309"/>
      <c r="C46525" s="309"/>
      <c r="I46525" s="309"/>
      <c r="J46525" s="309"/>
    </row>
    <row r="46526">
      <c r="B46526" s="309"/>
      <c r="C46526" s="309"/>
      <c r="I46526" s="309"/>
      <c r="J46526" s="309"/>
    </row>
    <row r="46527">
      <c r="B46527" s="309"/>
      <c r="C46527" s="309"/>
      <c r="I46527" s="309"/>
      <c r="J46527" s="309"/>
    </row>
    <row r="46528">
      <c r="B46528" s="309"/>
      <c r="C46528" s="309"/>
      <c r="I46528" s="309"/>
      <c r="J46528" s="309"/>
    </row>
    <row r="46529">
      <c r="B46529" s="309"/>
      <c r="C46529" s="309"/>
      <c r="I46529" s="309"/>
      <c r="J46529" s="309"/>
    </row>
    <row r="46530">
      <c r="B46530" s="309"/>
      <c r="C46530" s="309"/>
      <c r="I46530" s="309"/>
      <c r="J46530" s="309"/>
    </row>
    <row r="46531">
      <c r="B46531" s="309"/>
      <c r="C46531" s="309"/>
      <c r="I46531" s="309"/>
      <c r="J46531" s="309"/>
    </row>
    <row r="46532">
      <c r="B46532" s="309"/>
      <c r="C46532" s="309"/>
      <c r="I46532" s="309"/>
      <c r="J46532" s="309"/>
    </row>
    <row r="46533">
      <c r="B46533" s="309"/>
      <c r="C46533" s="309"/>
      <c r="I46533" s="309"/>
      <c r="J46533" s="309"/>
    </row>
    <row r="46534">
      <c r="B46534" s="309"/>
      <c r="C46534" s="309"/>
      <c r="I46534" s="309"/>
      <c r="J46534" s="309"/>
    </row>
    <row r="46535">
      <c r="B46535" s="309"/>
      <c r="C46535" s="309"/>
      <c r="I46535" s="309"/>
      <c r="J46535" s="309"/>
    </row>
    <row r="46536">
      <c r="B46536" s="309"/>
      <c r="C46536" s="309"/>
      <c r="I46536" s="309"/>
      <c r="J46536" s="309"/>
    </row>
    <row r="46537">
      <c r="B46537" s="309"/>
      <c r="C46537" s="309"/>
      <c r="I46537" s="309"/>
      <c r="J46537" s="309"/>
    </row>
    <row r="46538">
      <c r="B46538" s="309"/>
      <c r="C46538" s="309"/>
      <c r="I46538" s="309"/>
      <c r="J46538" s="309"/>
    </row>
    <row r="46539">
      <c r="B46539" s="309"/>
      <c r="C46539" s="309"/>
      <c r="I46539" s="309"/>
      <c r="J46539" s="309"/>
    </row>
    <row r="46540">
      <c r="B46540" s="309"/>
      <c r="C46540" s="309"/>
      <c r="I46540" s="309"/>
      <c r="J46540" s="309"/>
    </row>
    <row r="46541">
      <c r="B46541" s="309"/>
      <c r="C46541" s="309"/>
      <c r="I46541" s="309"/>
      <c r="J46541" s="309"/>
    </row>
    <row r="46542">
      <c r="B46542" s="309"/>
      <c r="C46542" s="309"/>
      <c r="I46542" s="309"/>
      <c r="J46542" s="309"/>
    </row>
    <row r="46543">
      <c r="B46543" s="309"/>
      <c r="C46543" s="309"/>
      <c r="I46543" s="309"/>
      <c r="J46543" s="309"/>
    </row>
    <row r="46544">
      <c r="B46544" s="309"/>
      <c r="C46544" s="309"/>
      <c r="I46544" s="309"/>
      <c r="J46544" s="309"/>
    </row>
    <row r="46545">
      <c r="B46545" s="309"/>
      <c r="C46545" s="309"/>
      <c r="I46545" s="309"/>
      <c r="J46545" s="309"/>
    </row>
    <row r="46546">
      <c r="B46546" s="309"/>
      <c r="C46546" s="309"/>
      <c r="I46546" s="309"/>
      <c r="J46546" s="309"/>
    </row>
    <row r="46547">
      <c r="B46547" s="309"/>
      <c r="C46547" s="309"/>
      <c r="I46547" s="309"/>
      <c r="J46547" s="309"/>
    </row>
    <row r="46548">
      <c r="B46548" s="309"/>
      <c r="C46548" s="309"/>
      <c r="I46548" s="309"/>
      <c r="J46548" s="309"/>
    </row>
    <row r="46549">
      <c r="B46549" s="309"/>
      <c r="C46549" s="309"/>
      <c r="I46549" s="309"/>
      <c r="J46549" s="309"/>
    </row>
    <row r="46550">
      <c r="B46550" s="309"/>
      <c r="C46550" s="309"/>
      <c r="I46550" s="309"/>
      <c r="J46550" s="309"/>
    </row>
    <row r="46551">
      <c r="B46551" s="309"/>
      <c r="C46551" s="309"/>
      <c r="I46551" s="309"/>
      <c r="J46551" s="309"/>
    </row>
    <row r="46552">
      <c r="B46552" s="309"/>
      <c r="C46552" s="309"/>
      <c r="I46552" s="309"/>
      <c r="J46552" s="309"/>
    </row>
    <row r="46553">
      <c r="B46553" s="309"/>
      <c r="C46553" s="309"/>
      <c r="I46553" s="309"/>
      <c r="J46553" s="309"/>
    </row>
    <row r="46554">
      <c r="B46554" s="309"/>
      <c r="C46554" s="309"/>
      <c r="I46554" s="309"/>
      <c r="J46554" s="309"/>
    </row>
    <row r="46555">
      <c r="B46555" s="309"/>
      <c r="C46555" s="309"/>
      <c r="I46555" s="309"/>
      <c r="J46555" s="309"/>
    </row>
    <row r="46556">
      <c r="B46556" s="309"/>
      <c r="C46556" s="309"/>
      <c r="I46556" s="309"/>
      <c r="J46556" s="309"/>
    </row>
    <row r="46557">
      <c r="B46557" s="309"/>
      <c r="C46557" s="309"/>
      <c r="I46557" s="309"/>
      <c r="J46557" s="309"/>
    </row>
    <row r="46558">
      <c r="B46558" s="309"/>
      <c r="C46558" s="309"/>
      <c r="I46558" s="309"/>
      <c r="J46558" s="309"/>
    </row>
    <row r="46559">
      <c r="B46559" s="309"/>
      <c r="C46559" s="309"/>
      <c r="I46559" s="309"/>
      <c r="J46559" s="309"/>
    </row>
    <row r="46560">
      <c r="B46560" s="309"/>
      <c r="C46560" s="309"/>
      <c r="I46560" s="309"/>
      <c r="J46560" s="309"/>
    </row>
    <row r="46561">
      <c r="B46561" s="309"/>
      <c r="C46561" s="309"/>
      <c r="I46561" s="309"/>
      <c r="J46561" s="309"/>
    </row>
    <row r="46562">
      <c r="B46562" s="309"/>
      <c r="C46562" s="309"/>
      <c r="I46562" s="309"/>
      <c r="J46562" s="309"/>
    </row>
    <row r="46563">
      <c r="B46563" s="309"/>
      <c r="C46563" s="309"/>
      <c r="I46563" s="309"/>
      <c r="J46563" s="309"/>
    </row>
    <row r="46564">
      <c r="B46564" s="309"/>
      <c r="C46564" s="309"/>
      <c r="I46564" s="309"/>
      <c r="J46564" s="309"/>
    </row>
    <row r="46565">
      <c r="B46565" s="309"/>
      <c r="C46565" s="309"/>
      <c r="I46565" s="309"/>
      <c r="J46565" s="309"/>
    </row>
    <row r="46566">
      <c r="B46566" s="309"/>
      <c r="C46566" s="309"/>
      <c r="I46566" s="309"/>
      <c r="J46566" s="309"/>
    </row>
    <row r="46567">
      <c r="B46567" s="309"/>
      <c r="C46567" s="309"/>
      <c r="I46567" s="309"/>
      <c r="J46567" s="309"/>
    </row>
    <row r="46568">
      <c r="B46568" s="309"/>
      <c r="C46568" s="309"/>
      <c r="I46568" s="309"/>
      <c r="J46568" s="309"/>
    </row>
    <row r="46569">
      <c r="B46569" s="309"/>
      <c r="C46569" s="309"/>
      <c r="I46569" s="309"/>
      <c r="J46569" s="309"/>
    </row>
    <row r="46570">
      <c r="B46570" s="309"/>
      <c r="C46570" s="309"/>
      <c r="I46570" s="309"/>
      <c r="J46570" s="309"/>
    </row>
    <row r="46571">
      <c r="B46571" s="309"/>
      <c r="C46571" s="309"/>
      <c r="I46571" s="309"/>
      <c r="J46571" s="309"/>
    </row>
    <row r="46572">
      <c r="B46572" s="309"/>
      <c r="C46572" s="309"/>
      <c r="I46572" s="309"/>
      <c r="J46572" s="309"/>
    </row>
    <row r="46573">
      <c r="B46573" s="309"/>
      <c r="C46573" s="309"/>
      <c r="I46573" s="309"/>
      <c r="J46573" s="309"/>
    </row>
    <row r="46574">
      <c r="B46574" s="309"/>
      <c r="C46574" s="309"/>
      <c r="I46574" s="309"/>
      <c r="J46574" s="309"/>
    </row>
    <row r="46575">
      <c r="B46575" s="309"/>
      <c r="C46575" s="309"/>
      <c r="I46575" s="309"/>
      <c r="J46575" s="309"/>
    </row>
    <row r="46576">
      <c r="B46576" s="309"/>
      <c r="C46576" s="309"/>
      <c r="I46576" s="309"/>
      <c r="J46576" s="309"/>
    </row>
    <row r="46577">
      <c r="B46577" s="309"/>
      <c r="C46577" s="309"/>
      <c r="I46577" s="309"/>
      <c r="J46577" s="309"/>
    </row>
    <row r="46578">
      <c r="B46578" s="309"/>
      <c r="C46578" s="309"/>
      <c r="I46578" s="309"/>
      <c r="J46578" s="309"/>
    </row>
    <row r="46579">
      <c r="B46579" s="309"/>
      <c r="C46579" s="309"/>
      <c r="I46579" s="309"/>
      <c r="J46579" s="309"/>
    </row>
    <row r="46580">
      <c r="B46580" s="309"/>
      <c r="C46580" s="309"/>
      <c r="I46580" s="309"/>
      <c r="J46580" s="309"/>
    </row>
    <row r="46581">
      <c r="B46581" s="309"/>
      <c r="C46581" s="309"/>
      <c r="I46581" s="309"/>
      <c r="J46581" s="309"/>
    </row>
    <row r="46582">
      <c r="B46582" s="309"/>
      <c r="C46582" s="309"/>
      <c r="I46582" s="309"/>
      <c r="J46582" s="309"/>
    </row>
    <row r="46583">
      <c r="B46583" s="309"/>
      <c r="C46583" s="309"/>
      <c r="I46583" s="309"/>
      <c r="J46583" s="309"/>
    </row>
    <row r="46584">
      <c r="B46584" s="309"/>
      <c r="C46584" s="309"/>
      <c r="I46584" s="309"/>
      <c r="J46584" s="309"/>
    </row>
    <row r="46585">
      <c r="B46585" s="309"/>
      <c r="C46585" s="309"/>
      <c r="I46585" s="309"/>
      <c r="J46585" s="309"/>
    </row>
    <row r="46586">
      <c r="B46586" s="309"/>
      <c r="C46586" s="309"/>
      <c r="I46586" s="309"/>
      <c r="J46586" s="309"/>
    </row>
    <row r="46587">
      <c r="B46587" s="309"/>
      <c r="C46587" s="309"/>
      <c r="I46587" s="309"/>
      <c r="J46587" s="309"/>
    </row>
    <row r="46588">
      <c r="B46588" s="309"/>
      <c r="C46588" s="309"/>
      <c r="I46588" s="309"/>
      <c r="J46588" s="309"/>
    </row>
    <row r="46589">
      <c r="B46589" s="309"/>
      <c r="C46589" s="309"/>
      <c r="I46589" s="309"/>
      <c r="J46589" s="309"/>
    </row>
    <row r="46590">
      <c r="B46590" s="309"/>
      <c r="C46590" s="309"/>
      <c r="I46590" s="309"/>
      <c r="J46590" s="309"/>
    </row>
    <row r="46591">
      <c r="B46591" s="309"/>
      <c r="C46591" s="309"/>
      <c r="I46591" s="309"/>
      <c r="J46591" s="309"/>
    </row>
    <row r="46592">
      <c r="B46592" s="309"/>
      <c r="C46592" s="309"/>
      <c r="I46592" s="309"/>
      <c r="J46592" s="309"/>
    </row>
    <row r="46593">
      <c r="B46593" s="309"/>
      <c r="C46593" s="309"/>
      <c r="I46593" s="309"/>
      <c r="J46593" s="309"/>
    </row>
    <row r="46594">
      <c r="B46594" s="309"/>
      <c r="C46594" s="309"/>
      <c r="I46594" s="309"/>
      <c r="J46594" s="309"/>
    </row>
    <row r="46595">
      <c r="B46595" s="309"/>
      <c r="C46595" s="309"/>
      <c r="I46595" s="309"/>
      <c r="J46595" s="309"/>
    </row>
    <row r="46596">
      <c r="B46596" s="309"/>
      <c r="C46596" s="309"/>
      <c r="I46596" s="309"/>
      <c r="J46596" s="309"/>
    </row>
    <row r="46597">
      <c r="B46597" s="309"/>
      <c r="C46597" s="309"/>
      <c r="I46597" s="309"/>
      <c r="J46597" s="309"/>
    </row>
    <row r="46598">
      <c r="B46598" s="309"/>
      <c r="C46598" s="309"/>
      <c r="I46598" s="309"/>
      <c r="J46598" s="309"/>
    </row>
    <row r="46599">
      <c r="B46599" s="309"/>
      <c r="C46599" s="309"/>
      <c r="I46599" s="309"/>
      <c r="J46599" s="309"/>
    </row>
    <row r="46600">
      <c r="B46600" s="309"/>
      <c r="C46600" s="309"/>
      <c r="I46600" s="309"/>
      <c r="J46600" s="309"/>
    </row>
    <row r="46601">
      <c r="B46601" s="309"/>
      <c r="C46601" s="309"/>
      <c r="I46601" s="309"/>
      <c r="J46601" s="309"/>
    </row>
    <row r="46602">
      <c r="B46602" s="309"/>
      <c r="C46602" s="309"/>
      <c r="I46602" s="309"/>
      <c r="J46602" s="309"/>
    </row>
    <row r="46603">
      <c r="B46603" s="309"/>
      <c r="C46603" s="309"/>
      <c r="I46603" s="309"/>
      <c r="J46603" s="309"/>
    </row>
    <row r="46604">
      <c r="B46604" s="309"/>
      <c r="C46604" s="309"/>
      <c r="I46604" s="309"/>
      <c r="J46604" s="309"/>
    </row>
    <row r="46605">
      <c r="B46605" s="309"/>
      <c r="C46605" s="309"/>
      <c r="I46605" s="309"/>
      <c r="J46605" s="309"/>
    </row>
    <row r="46606">
      <c r="B46606" s="309"/>
      <c r="C46606" s="309"/>
      <c r="I46606" s="309"/>
      <c r="J46606" s="309"/>
    </row>
    <row r="46607">
      <c r="B46607" s="309"/>
      <c r="C46607" s="309"/>
      <c r="I46607" s="309"/>
      <c r="J46607" s="309"/>
    </row>
    <row r="46608">
      <c r="B46608" s="309"/>
      <c r="C46608" s="309"/>
      <c r="I46608" s="309"/>
      <c r="J46608" s="309"/>
    </row>
    <row r="46609">
      <c r="B46609" s="309"/>
      <c r="C46609" s="309"/>
      <c r="I46609" s="309"/>
      <c r="J46609" s="309"/>
    </row>
    <row r="46610">
      <c r="B46610" s="309"/>
      <c r="C46610" s="309"/>
      <c r="I46610" s="309"/>
      <c r="J46610" s="309"/>
    </row>
    <row r="46611">
      <c r="B46611" s="309"/>
      <c r="C46611" s="309"/>
      <c r="I46611" s="309"/>
      <c r="J46611" s="309"/>
    </row>
    <row r="46612">
      <c r="B46612" s="309"/>
      <c r="C46612" s="309"/>
      <c r="I46612" s="309"/>
      <c r="J46612" s="309"/>
    </row>
    <row r="46613">
      <c r="B46613" s="309"/>
      <c r="C46613" s="309"/>
      <c r="I46613" s="309"/>
      <c r="J46613" s="309"/>
    </row>
    <row r="46614">
      <c r="B46614" s="309"/>
      <c r="C46614" s="309"/>
      <c r="I46614" s="309"/>
      <c r="J46614" s="309"/>
    </row>
    <row r="46615">
      <c r="B46615" s="309"/>
      <c r="C46615" s="309"/>
      <c r="I46615" s="309"/>
      <c r="J46615" s="309"/>
    </row>
    <row r="46616">
      <c r="B46616" s="309"/>
      <c r="C46616" s="309"/>
      <c r="I46616" s="309"/>
      <c r="J46616" s="309"/>
    </row>
    <row r="46617">
      <c r="B46617" s="309"/>
      <c r="C46617" s="309"/>
      <c r="I46617" s="309"/>
      <c r="J46617" s="309"/>
    </row>
    <row r="46618">
      <c r="B46618" s="309"/>
      <c r="C46618" s="309"/>
      <c r="I46618" s="309"/>
      <c r="J46618" s="309"/>
    </row>
    <row r="46619">
      <c r="B46619" s="309"/>
      <c r="C46619" s="309"/>
      <c r="I46619" s="309"/>
      <c r="J46619" s="309"/>
    </row>
    <row r="46620">
      <c r="B46620" s="309"/>
      <c r="C46620" s="309"/>
      <c r="I46620" s="309"/>
      <c r="J46620" s="309"/>
    </row>
    <row r="46621">
      <c r="B46621" s="309"/>
      <c r="C46621" s="309"/>
      <c r="I46621" s="309"/>
      <c r="J46621" s="309"/>
    </row>
    <row r="46622">
      <c r="B46622" s="309"/>
      <c r="C46622" s="309"/>
      <c r="I46622" s="309"/>
      <c r="J46622" s="309"/>
    </row>
    <row r="46623">
      <c r="B46623" s="309"/>
      <c r="C46623" s="309"/>
      <c r="I46623" s="309"/>
      <c r="J46623" s="309"/>
    </row>
    <row r="46624">
      <c r="B46624" s="309"/>
      <c r="C46624" s="309"/>
      <c r="I46624" s="309"/>
      <c r="J46624" s="309"/>
    </row>
    <row r="46625">
      <c r="B46625" s="309"/>
      <c r="C46625" s="309"/>
      <c r="I46625" s="309"/>
      <c r="J46625" s="309"/>
    </row>
    <row r="46626">
      <c r="B46626" s="309"/>
      <c r="C46626" s="309"/>
      <c r="I46626" s="309"/>
      <c r="J46626" s="309"/>
    </row>
    <row r="46627">
      <c r="B46627" s="309"/>
      <c r="C46627" s="309"/>
      <c r="I46627" s="309"/>
      <c r="J46627" s="309"/>
    </row>
    <row r="46628">
      <c r="B46628" s="309"/>
      <c r="C46628" s="309"/>
      <c r="I46628" s="309"/>
      <c r="J46628" s="309"/>
    </row>
    <row r="46629">
      <c r="B46629" s="309"/>
      <c r="C46629" s="309"/>
      <c r="I46629" s="309"/>
      <c r="J46629" s="309"/>
    </row>
    <row r="46630">
      <c r="B46630" s="309"/>
      <c r="C46630" s="309"/>
      <c r="I46630" s="309"/>
      <c r="J46630" s="309"/>
    </row>
    <row r="46631">
      <c r="B46631" s="309"/>
      <c r="C46631" s="309"/>
      <c r="I46631" s="309"/>
      <c r="J46631" s="309"/>
    </row>
    <row r="46632">
      <c r="B46632" s="309"/>
      <c r="C46632" s="309"/>
      <c r="I46632" s="309"/>
      <c r="J46632" s="309"/>
    </row>
    <row r="46633">
      <c r="B46633" s="309"/>
      <c r="C46633" s="309"/>
      <c r="I46633" s="309"/>
      <c r="J46633" s="309"/>
    </row>
    <row r="46634">
      <c r="B46634" s="309"/>
      <c r="C46634" s="309"/>
      <c r="I46634" s="309"/>
      <c r="J46634" s="309"/>
    </row>
    <row r="46635">
      <c r="B46635" s="309"/>
      <c r="C46635" s="309"/>
      <c r="I46635" s="309"/>
      <c r="J46635" s="309"/>
    </row>
    <row r="46636">
      <c r="B46636" s="309"/>
      <c r="C46636" s="309"/>
      <c r="I46636" s="309"/>
      <c r="J46636" s="309"/>
    </row>
    <row r="46637">
      <c r="B46637" s="309"/>
      <c r="C46637" s="309"/>
      <c r="I46637" s="309"/>
      <c r="J46637" s="309"/>
    </row>
    <row r="46638">
      <c r="B46638" s="309"/>
      <c r="C46638" s="309"/>
      <c r="I46638" s="309"/>
      <c r="J46638" s="309"/>
    </row>
    <row r="46639">
      <c r="B46639" s="309"/>
      <c r="C46639" s="309"/>
      <c r="I46639" s="309"/>
      <c r="J46639" s="309"/>
    </row>
    <row r="46640">
      <c r="B46640" s="309"/>
      <c r="C46640" s="309"/>
      <c r="I46640" s="309"/>
      <c r="J46640" s="309"/>
    </row>
    <row r="46641">
      <c r="B46641" s="309"/>
      <c r="C46641" s="309"/>
      <c r="I46641" s="309"/>
      <c r="J46641" s="309"/>
    </row>
    <row r="46642">
      <c r="B46642" s="309"/>
      <c r="C46642" s="309"/>
      <c r="I46642" s="309"/>
      <c r="J46642" s="309"/>
    </row>
    <row r="46643">
      <c r="B46643" s="309"/>
      <c r="C46643" s="309"/>
      <c r="I46643" s="309"/>
      <c r="J46643" s="309"/>
    </row>
    <row r="46644">
      <c r="B46644" s="309"/>
      <c r="C46644" s="309"/>
      <c r="I46644" s="309"/>
      <c r="J46644" s="309"/>
    </row>
    <row r="46645">
      <c r="B46645" s="309"/>
      <c r="C46645" s="309"/>
      <c r="I46645" s="309"/>
      <c r="J46645" s="309"/>
    </row>
    <row r="46646">
      <c r="B46646" s="309"/>
      <c r="C46646" s="309"/>
      <c r="I46646" s="309"/>
      <c r="J46646" s="309"/>
    </row>
    <row r="46647">
      <c r="B46647" s="309"/>
      <c r="C46647" s="309"/>
      <c r="I46647" s="309"/>
      <c r="J46647" s="309"/>
    </row>
    <row r="46648">
      <c r="B46648" s="309"/>
      <c r="C46648" s="309"/>
      <c r="I46648" s="309"/>
      <c r="J46648" s="309"/>
    </row>
    <row r="46649">
      <c r="B46649" s="309"/>
      <c r="C46649" s="309"/>
      <c r="I46649" s="309"/>
      <c r="J46649" s="309"/>
    </row>
    <row r="46650">
      <c r="B46650" s="309"/>
      <c r="C46650" s="309"/>
      <c r="I46650" s="309"/>
      <c r="J46650" s="309"/>
    </row>
    <row r="46651">
      <c r="B46651" s="309"/>
      <c r="C46651" s="309"/>
      <c r="I46651" s="309"/>
      <c r="J46651" s="309"/>
    </row>
    <row r="46652">
      <c r="B46652" s="309"/>
      <c r="C46652" s="309"/>
      <c r="I46652" s="309"/>
      <c r="J46652" s="309"/>
    </row>
    <row r="46653">
      <c r="B46653" s="309"/>
      <c r="C46653" s="309"/>
      <c r="I46653" s="309"/>
      <c r="J46653" s="309"/>
    </row>
    <row r="46654">
      <c r="B46654" s="309"/>
      <c r="C46654" s="309"/>
      <c r="I46654" s="309"/>
      <c r="J46654" s="309"/>
    </row>
    <row r="46655">
      <c r="B46655" s="309"/>
      <c r="C46655" s="309"/>
      <c r="I46655" s="309"/>
      <c r="J46655" s="309"/>
    </row>
    <row r="46656">
      <c r="B46656" s="309"/>
      <c r="C46656" s="309"/>
      <c r="I46656" s="309"/>
      <c r="J46656" s="309"/>
    </row>
    <row r="46657">
      <c r="B46657" s="309"/>
      <c r="C46657" s="309"/>
      <c r="I46657" s="309"/>
      <c r="J46657" s="309"/>
    </row>
    <row r="46658">
      <c r="B46658" s="309"/>
      <c r="C46658" s="309"/>
      <c r="I46658" s="309"/>
      <c r="J46658" s="309"/>
    </row>
    <row r="46659">
      <c r="B46659" s="309"/>
      <c r="C46659" s="309"/>
      <c r="I46659" s="309"/>
      <c r="J46659" s="309"/>
    </row>
    <row r="46660">
      <c r="B46660" s="309"/>
      <c r="C46660" s="309"/>
      <c r="I46660" s="309"/>
      <c r="J46660" s="309"/>
    </row>
    <row r="46661">
      <c r="B46661" s="309"/>
      <c r="C46661" s="309"/>
      <c r="I46661" s="309"/>
      <c r="J46661" s="309"/>
    </row>
    <row r="46662">
      <c r="B46662" s="309"/>
      <c r="C46662" s="309"/>
      <c r="I46662" s="309"/>
      <c r="J46662" s="309"/>
    </row>
    <row r="46663">
      <c r="B46663" s="309"/>
      <c r="C46663" s="309"/>
      <c r="I46663" s="309"/>
      <c r="J46663" s="309"/>
    </row>
    <row r="46664">
      <c r="B46664" s="309"/>
      <c r="C46664" s="309"/>
      <c r="I46664" s="309"/>
      <c r="J46664" s="309"/>
    </row>
    <row r="46665">
      <c r="B46665" s="309"/>
      <c r="C46665" s="309"/>
      <c r="I46665" s="309"/>
      <c r="J46665" s="309"/>
    </row>
    <row r="46666">
      <c r="B46666" s="309"/>
      <c r="C46666" s="309"/>
      <c r="I46666" s="309"/>
      <c r="J46666" s="309"/>
    </row>
    <row r="46667">
      <c r="B46667" s="309"/>
      <c r="C46667" s="309"/>
      <c r="I46667" s="309"/>
      <c r="J46667" s="309"/>
    </row>
    <row r="46668">
      <c r="B46668" s="309"/>
      <c r="C46668" s="309"/>
      <c r="I46668" s="309"/>
      <c r="J46668" s="309"/>
    </row>
    <row r="46669">
      <c r="B46669" s="309"/>
      <c r="C46669" s="309"/>
      <c r="I46669" s="309"/>
      <c r="J46669" s="309"/>
    </row>
    <row r="46670">
      <c r="B46670" s="309"/>
      <c r="C46670" s="309"/>
      <c r="I46670" s="309"/>
      <c r="J46670" s="309"/>
    </row>
    <row r="46671">
      <c r="B46671" s="309"/>
      <c r="C46671" s="309"/>
      <c r="I46671" s="309"/>
      <c r="J46671" s="309"/>
    </row>
    <row r="46672">
      <c r="B46672" s="309"/>
      <c r="C46672" s="309"/>
      <c r="I46672" s="309"/>
      <c r="J46672" s="309"/>
    </row>
    <row r="46673">
      <c r="B46673" s="309"/>
      <c r="C46673" s="309"/>
      <c r="I46673" s="309"/>
      <c r="J46673" s="309"/>
    </row>
    <row r="46674">
      <c r="B46674" s="309"/>
      <c r="C46674" s="309"/>
      <c r="I46674" s="309"/>
      <c r="J46674" s="309"/>
    </row>
    <row r="46675">
      <c r="B46675" s="309"/>
      <c r="C46675" s="309"/>
      <c r="I46675" s="309"/>
      <c r="J46675" s="309"/>
    </row>
    <row r="46676">
      <c r="B46676" s="309"/>
      <c r="C46676" s="309"/>
      <c r="I46676" s="309"/>
      <c r="J46676" s="309"/>
    </row>
    <row r="46677">
      <c r="B46677" s="309"/>
      <c r="C46677" s="309"/>
      <c r="I46677" s="309"/>
      <c r="J46677" s="309"/>
    </row>
    <row r="46678">
      <c r="B46678" s="309"/>
      <c r="C46678" s="309"/>
      <c r="I46678" s="309"/>
      <c r="J46678" s="309"/>
    </row>
    <row r="46679">
      <c r="B46679" s="309"/>
      <c r="C46679" s="309"/>
      <c r="I46679" s="309"/>
      <c r="J46679" s="309"/>
    </row>
    <row r="46680">
      <c r="B46680" s="309"/>
      <c r="C46680" s="309"/>
      <c r="I46680" s="309"/>
      <c r="J46680" s="309"/>
    </row>
    <row r="46681">
      <c r="B46681" s="309"/>
      <c r="C46681" s="309"/>
      <c r="I46681" s="309"/>
      <c r="J46681" s="309"/>
    </row>
    <row r="46682">
      <c r="B46682" s="309"/>
      <c r="C46682" s="309"/>
      <c r="I46682" s="309"/>
      <c r="J46682" s="309"/>
    </row>
    <row r="46683">
      <c r="B46683" s="309"/>
      <c r="C46683" s="309"/>
      <c r="I46683" s="309"/>
      <c r="J46683" s="309"/>
    </row>
    <row r="46684">
      <c r="B46684" s="309"/>
      <c r="C46684" s="309"/>
      <c r="I46684" s="309"/>
      <c r="J46684" s="309"/>
    </row>
    <row r="46685">
      <c r="B46685" s="309"/>
      <c r="C46685" s="309"/>
      <c r="I46685" s="309"/>
      <c r="J46685" s="309"/>
    </row>
    <row r="46686">
      <c r="B46686" s="309"/>
      <c r="C46686" s="309"/>
      <c r="I46686" s="309"/>
      <c r="J46686" s="309"/>
    </row>
    <row r="46687">
      <c r="B46687" s="309"/>
      <c r="C46687" s="309"/>
      <c r="I46687" s="309"/>
      <c r="J46687" s="309"/>
    </row>
    <row r="46688">
      <c r="B46688" s="309"/>
      <c r="C46688" s="309"/>
      <c r="I46688" s="309"/>
      <c r="J46688" s="309"/>
    </row>
    <row r="46689">
      <c r="B46689" s="309"/>
      <c r="C46689" s="309"/>
      <c r="I46689" s="309"/>
      <c r="J46689" s="309"/>
    </row>
    <row r="46690">
      <c r="B46690" s="309"/>
      <c r="C46690" s="309"/>
      <c r="I46690" s="309"/>
      <c r="J46690" s="309"/>
    </row>
    <row r="46691">
      <c r="B46691" s="309"/>
      <c r="C46691" s="309"/>
      <c r="I46691" s="309"/>
      <c r="J46691" s="309"/>
    </row>
    <row r="46692">
      <c r="B46692" s="309"/>
      <c r="C46692" s="309"/>
      <c r="I46692" s="309"/>
      <c r="J46692" s="309"/>
    </row>
    <row r="46693">
      <c r="B46693" s="309"/>
      <c r="C46693" s="309"/>
      <c r="I46693" s="309"/>
      <c r="J46693" s="309"/>
    </row>
    <row r="46694">
      <c r="B46694" s="309"/>
      <c r="C46694" s="309"/>
      <c r="I46694" s="309"/>
      <c r="J46694" s="309"/>
    </row>
    <row r="46695">
      <c r="B46695" s="309"/>
      <c r="C46695" s="309"/>
      <c r="I46695" s="309"/>
      <c r="J46695" s="309"/>
    </row>
    <row r="46696">
      <c r="B46696" s="309"/>
      <c r="C46696" s="309"/>
      <c r="I46696" s="309"/>
      <c r="J46696" s="309"/>
    </row>
    <row r="46697">
      <c r="B46697" s="309"/>
      <c r="C46697" s="309"/>
      <c r="I46697" s="309"/>
      <c r="J46697" s="309"/>
    </row>
    <row r="46698">
      <c r="B46698" s="309"/>
      <c r="C46698" s="309"/>
      <c r="I46698" s="309"/>
      <c r="J46698" s="309"/>
    </row>
    <row r="46699">
      <c r="B46699" s="309"/>
      <c r="C46699" s="309"/>
      <c r="I46699" s="309"/>
      <c r="J46699" s="309"/>
    </row>
    <row r="46700">
      <c r="B46700" s="309"/>
      <c r="C46700" s="309"/>
      <c r="I46700" s="309"/>
      <c r="J46700" s="309"/>
    </row>
    <row r="46701">
      <c r="B46701" s="309"/>
      <c r="C46701" s="309"/>
      <c r="I46701" s="309"/>
      <c r="J46701" s="309"/>
    </row>
    <row r="46702">
      <c r="B46702" s="309"/>
      <c r="C46702" s="309"/>
      <c r="I46702" s="309"/>
      <c r="J46702" s="309"/>
    </row>
    <row r="46703">
      <c r="B46703" s="309"/>
      <c r="C46703" s="309"/>
      <c r="I46703" s="309"/>
      <c r="J46703" s="309"/>
    </row>
    <row r="46704">
      <c r="B46704" s="309"/>
      <c r="C46704" s="309"/>
      <c r="I46704" s="309"/>
      <c r="J46704" s="309"/>
    </row>
    <row r="46705">
      <c r="B46705" s="309"/>
      <c r="C46705" s="309"/>
      <c r="I46705" s="309"/>
      <c r="J46705" s="309"/>
    </row>
    <row r="46706">
      <c r="B46706" s="309"/>
      <c r="C46706" s="309"/>
      <c r="I46706" s="309"/>
      <c r="J46706" s="309"/>
    </row>
    <row r="46707">
      <c r="B46707" s="309"/>
      <c r="C46707" s="309"/>
      <c r="I46707" s="309"/>
      <c r="J46707" s="309"/>
    </row>
    <row r="46708">
      <c r="B46708" s="309"/>
      <c r="C46708" s="309"/>
      <c r="I46708" s="309"/>
      <c r="J46708" s="309"/>
    </row>
    <row r="46709">
      <c r="B46709" s="309"/>
      <c r="C46709" s="309"/>
      <c r="I46709" s="309"/>
      <c r="J46709" s="309"/>
    </row>
    <row r="46710">
      <c r="B46710" s="309"/>
      <c r="C46710" s="309"/>
      <c r="I46710" s="309"/>
      <c r="J46710" s="309"/>
    </row>
    <row r="46711">
      <c r="B46711" s="309"/>
      <c r="C46711" s="309"/>
      <c r="I46711" s="309"/>
      <c r="J46711" s="309"/>
    </row>
    <row r="46712">
      <c r="B46712" s="309"/>
      <c r="C46712" s="309"/>
      <c r="I46712" s="309"/>
      <c r="J46712" s="309"/>
    </row>
    <row r="46713">
      <c r="B46713" s="309"/>
      <c r="C46713" s="309"/>
      <c r="I46713" s="309"/>
      <c r="J46713" s="309"/>
    </row>
    <row r="46714">
      <c r="B46714" s="309"/>
      <c r="C46714" s="309"/>
      <c r="I46714" s="309"/>
      <c r="J46714" s="309"/>
    </row>
    <row r="46715">
      <c r="B46715" s="309"/>
      <c r="C46715" s="309"/>
      <c r="I46715" s="309"/>
      <c r="J46715" s="309"/>
    </row>
    <row r="46716">
      <c r="B46716" s="309"/>
      <c r="C46716" s="309"/>
      <c r="I46716" s="309"/>
      <c r="J46716" s="309"/>
    </row>
    <row r="46717">
      <c r="B46717" s="309"/>
      <c r="C46717" s="309"/>
      <c r="I46717" s="309"/>
      <c r="J46717" s="309"/>
    </row>
    <row r="46718">
      <c r="B46718" s="309"/>
      <c r="C46718" s="309"/>
      <c r="I46718" s="309"/>
      <c r="J46718" s="309"/>
    </row>
    <row r="46719">
      <c r="B46719" s="309"/>
      <c r="C46719" s="309"/>
      <c r="I46719" s="309"/>
      <c r="J46719" s="309"/>
    </row>
    <row r="46720">
      <c r="B46720" s="309"/>
      <c r="C46720" s="309"/>
      <c r="I46720" s="309"/>
      <c r="J46720" s="309"/>
    </row>
    <row r="46721">
      <c r="B46721" s="309"/>
      <c r="C46721" s="309"/>
      <c r="I46721" s="309"/>
      <c r="J46721" s="309"/>
    </row>
    <row r="46722">
      <c r="B46722" s="309"/>
      <c r="C46722" s="309"/>
      <c r="I46722" s="309"/>
      <c r="J46722" s="309"/>
    </row>
    <row r="46723">
      <c r="B46723" s="309"/>
      <c r="C46723" s="309"/>
      <c r="I46723" s="309"/>
      <c r="J46723" s="309"/>
    </row>
    <row r="46724">
      <c r="B46724" s="309"/>
      <c r="C46724" s="309"/>
      <c r="I46724" s="309"/>
      <c r="J46724" s="309"/>
    </row>
    <row r="46725">
      <c r="B46725" s="309"/>
      <c r="C46725" s="309"/>
      <c r="I46725" s="309"/>
      <c r="J46725" s="309"/>
    </row>
    <row r="46726">
      <c r="B46726" s="309"/>
      <c r="C46726" s="309"/>
      <c r="I46726" s="309"/>
      <c r="J46726" s="309"/>
    </row>
    <row r="46727">
      <c r="B46727" s="309"/>
      <c r="C46727" s="309"/>
      <c r="I46727" s="309"/>
      <c r="J46727" s="309"/>
    </row>
    <row r="46728">
      <c r="B46728" s="309"/>
      <c r="C46728" s="309"/>
      <c r="I46728" s="309"/>
      <c r="J46728" s="309"/>
    </row>
    <row r="46729">
      <c r="B46729" s="309"/>
      <c r="C46729" s="309"/>
      <c r="I46729" s="309"/>
      <c r="J46729" s="309"/>
    </row>
    <row r="46730">
      <c r="B46730" s="309"/>
      <c r="C46730" s="309"/>
      <c r="I46730" s="309"/>
      <c r="J46730" s="309"/>
    </row>
    <row r="46731">
      <c r="B46731" s="309"/>
      <c r="C46731" s="309"/>
      <c r="I46731" s="309"/>
      <c r="J46731" s="309"/>
    </row>
    <row r="46732">
      <c r="B46732" s="309"/>
      <c r="C46732" s="309"/>
      <c r="I46732" s="309"/>
      <c r="J46732" s="309"/>
    </row>
    <row r="46733">
      <c r="B46733" s="309"/>
      <c r="C46733" s="309"/>
      <c r="I46733" s="309"/>
      <c r="J46733" s="309"/>
    </row>
    <row r="46734">
      <c r="B46734" s="309"/>
      <c r="C46734" s="309"/>
      <c r="I46734" s="309"/>
      <c r="J46734" s="309"/>
    </row>
    <row r="46735">
      <c r="B46735" s="309"/>
      <c r="C46735" s="309"/>
      <c r="I46735" s="309"/>
      <c r="J46735" s="309"/>
    </row>
    <row r="46736">
      <c r="B46736" s="309"/>
      <c r="C46736" s="309"/>
      <c r="I46736" s="309"/>
      <c r="J46736" s="309"/>
    </row>
    <row r="46737">
      <c r="B46737" s="309"/>
      <c r="C46737" s="309"/>
      <c r="I46737" s="309"/>
      <c r="J46737" s="309"/>
    </row>
    <row r="46738">
      <c r="B46738" s="309"/>
      <c r="C46738" s="309"/>
      <c r="I46738" s="309"/>
      <c r="J46738" s="309"/>
    </row>
    <row r="46739">
      <c r="B46739" s="309"/>
      <c r="C46739" s="309"/>
      <c r="I46739" s="309"/>
      <c r="J46739" s="309"/>
    </row>
    <row r="46740">
      <c r="B46740" s="309"/>
      <c r="C46740" s="309"/>
      <c r="I46740" s="309"/>
      <c r="J46740" s="309"/>
    </row>
    <row r="46741">
      <c r="B46741" s="309"/>
      <c r="C46741" s="309"/>
      <c r="I46741" s="309"/>
      <c r="J46741" s="309"/>
    </row>
    <row r="46742">
      <c r="B46742" s="309"/>
      <c r="C46742" s="309"/>
      <c r="I46742" s="309"/>
      <c r="J46742" s="309"/>
    </row>
    <row r="46743">
      <c r="B46743" s="309"/>
      <c r="C46743" s="309"/>
      <c r="I46743" s="309"/>
      <c r="J46743" s="309"/>
    </row>
    <row r="46744">
      <c r="B46744" s="309"/>
      <c r="C46744" s="309"/>
      <c r="I46744" s="309"/>
      <c r="J46744" s="309"/>
    </row>
    <row r="46745">
      <c r="B46745" s="309"/>
      <c r="C46745" s="309"/>
      <c r="I46745" s="309"/>
      <c r="J46745" s="309"/>
    </row>
    <row r="46746">
      <c r="B46746" s="309"/>
      <c r="C46746" s="309"/>
      <c r="I46746" s="309"/>
      <c r="J46746" s="309"/>
    </row>
    <row r="46747">
      <c r="B46747" s="309"/>
      <c r="C46747" s="309"/>
      <c r="I46747" s="309"/>
      <c r="J46747" s="309"/>
    </row>
    <row r="46748">
      <c r="B46748" s="309"/>
      <c r="C46748" s="309"/>
      <c r="I46748" s="309"/>
      <c r="J46748" s="309"/>
    </row>
    <row r="46749">
      <c r="B46749" s="309"/>
      <c r="C46749" s="309"/>
      <c r="I46749" s="309"/>
      <c r="J46749" s="309"/>
    </row>
    <row r="46750">
      <c r="B46750" s="309"/>
      <c r="C46750" s="309"/>
      <c r="I46750" s="309"/>
      <c r="J46750" s="309"/>
    </row>
    <row r="46751">
      <c r="B46751" s="309"/>
      <c r="C46751" s="309"/>
      <c r="I46751" s="309"/>
      <c r="J46751" s="309"/>
    </row>
    <row r="46752">
      <c r="B46752" s="309"/>
      <c r="C46752" s="309"/>
      <c r="I46752" s="309"/>
      <c r="J46752" s="309"/>
    </row>
    <row r="46753">
      <c r="B46753" s="309"/>
      <c r="C46753" s="309"/>
      <c r="I46753" s="309"/>
      <c r="J46753" s="309"/>
    </row>
    <row r="46754">
      <c r="B46754" s="309"/>
      <c r="C46754" s="309"/>
      <c r="I46754" s="309"/>
      <c r="J46754" s="309"/>
    </row>
    <row r="46755">
      <c r="B46755" s="309"/>
      <c r="C46755" s="309"/>
      <c r="I46755" s="309"/>
      <c r="J46755" s="309"/>
    </row>
    <row r="46756">
      <c r="B46756" s="309"/>
      <c r="C46756" s="309"/>
      <c r="I46756" s="309"/>
      <c r="J46756" s="309"/>
    </row>
    <row r="46757">
      <c r="B46757" s="309"/>
      <c r="C46757" s="309"/>
      <c r="I46757" s="309"/>
      <c r="J46757" s="309"/>
    </row>
    <row r="46758">
      <c r="B46758" s="309"/>
      <c r="C46758" s="309"/>
      <c r="I46758" s="309"/>
      <c r="J46758" s="309"/>
    </row>
    <row r="46759">
      <c r="B46759" s="309"/>
      <c r="C46759" s="309"/>
      <c r="I46759" s="309"/>
      <c r="J46759" s="309"/>
    </row>
    <row r="46760">
      <c r="B46760" s="309"/>
      <c r="C46760" s="309"/>
      <c r="I46760" s="309"/>
      <c r="J46760" s="309"/>
    </row>
    <row r="46761">
      <c r="B46761" s="309"/>
      <c r="C46761" s="309"/>
      <c r="I46761" s="309"/>
      <c r="J46761" s="309"/>
    </row>
    <row r="46762">
      <c r="B46762" s="309"/>
      <c r="C46762" s="309"/>
      <c r="I46762" s="309"/>
      <c r="J46762" s="309"/>
    </row>
    <row r="46763">
      <c r="B46763" s="309"/>
      <c r="C46763" s="309"/>
      <c r="I46763" s="309"/>
      <c r="J46763" s="309"/>
    </row>
    <row r="46764">
      <c r="B46764" s="309"/>
      <c r="C46764" s="309"/>
      <c r="I46764" s="309"/>
      <c r="J46764" s="309"/>
    </row>
    <row r="46765">
      <c r="B46765" s="309"/>
      <c r="C46765" s="309"/>
      <c r="I46765" s="309"/>
      <c r="J46765" s="309"/>
    </row>
    <row r="46766">
      <c r="B46766" s="309"/>
      <c r="C46766" s="309"/>
      <c r="I46766" s="309"/>
      <c r="J46766" s="309"/>
    </row>
    <row r="46767">
      <c r="B46767" s="309"/>
      <c r="C46767" s="309"/>
      <c r="I46767" s="309"/>
      <c r="J46767" s="309"/>
    </row>
    <row r="46768">
      <c r="B46768" s="309"/>
      <c r="C46768" s="309"/>
      <c r="I46768" s="309"/>
      <c r="J46768" s="309"/>
    </row>
    <row r="46769">
      <c r="B46769" s="309"/>
      <c r="C46769" s="309"/>
      <c r="I46769" s="309"/>
      <c r="J46769" s="309"/>
    </row>
    <row r="46770">
      <c r="B46770" s="309"/>
      <c r="C46770" s="309"/>
      <c r="I46770" s="309"/>
      <c r="J46770" s="309"/>
    </row>
    <row r="46771">
      <c r="B46771" s="309"/>
      <c r="C46771" s="309"/>
      <c r="I46771" s="309"/>
      <c r="J46771" s="309"/>
    </row>
    <row r="46772">
      <c r="B46772" s="309"/>
      <c r="C46772" s="309"/>
      <c r="I46772" s="309"/>
      <c r="J46772" s="309"/>
    </row>
    <row r="46773">
      <c r="B46773" s="309"/>
      <c r="C46773" s="309"/>
      <c r="I46773" s="309"/>
      <c r="J46773" s="309"/>
    </row>
    <row r="46774">
      <c r="B46774" s="309"/>
      <c r="C46774" s="309"/>
      <c r="I46774" s="309"/>
      <c r="J46774" s="309"/>
    </row>
    <row r="46775">
      <c r="B46775" s="309"/>
      <c r="C46775" s="309"/>
      <c r="I46775" s="309"/>
      <c r="J46775" s="309"/>
    </row>
    <row r="46776">
      <c r="B46776" s="309"/>
      <c r="C46776" s="309"/>
      <c r="I46776" s="309"/>
      <c r="J46776" s="309"/>
    </row>
    <row r="46777">
      <c r="B46777" s="309"/>
      <c r="C46777" s="309"/>
      <c r="I46777" s="309"/>
      <c r="J46777" s="309"/>
    </row>
    <row r="46778">
      <c r="B46778" s="309"/>
      <c r="C46778" s="309"/>
      <c r="I46778" s="309"/>
      <c r="J46778" s="309"/>
    </row>
    <row r="46779">
      <c r="B46779" s="309"/>
      <c r="C46779" s="309"/>
      <c r="I46779" s="309"/>
      <c r="J46779" s="309"/>
    </row>
    <row r="46780">
      <c r="B46780" s="309"/>
      <c r="C46780" s="309"/>
      <c r="I46780" s="309"/>
      <c r="J46780" s="309"/>
    </row>
    <row r="46781">
      <c r="B46781" s="309"/>
      <c r="C46781" s="309"/>
      <c r="I46781" s="309"/>
      <c r="J46781" s="309"/>
    </row>
    <row r="46782">
      <c r="B46782" s="309"/>
      <c r="C46782" s="309"/>
      <c r="I46782" s="309"/>
      <c r="J46782" s="309"/>
    </row>
    <row r="46783">
      <c r="B46783" s="309"/>
      <c r="C46783" s="309"/>
      <c r="I46783" s="309"/>
      <c r="J46783" s="309"/>
    </row>
    <row r="46784">
      <c r="B46784" s="309"/>
      <c r="C46784" s="309"/>
      <c r="I46784" s="309"/>
      <c r="J46784" s="309"/>
    </row>
    <row r="46785">
      <c r="B46785" s="309"/>
      <c r="C46785" s="309"/>
      <c r="I46785" s="309"/>
      <c r="J46785" s="309"/>
    </row>
    <row r="46786">
      <c r="B46786" s="309"/>
      <c r="C46786" s="309"/>
      <c r="I46786" s="309"/>
      <c r="J46786" s="309"/>
    </row>
    <row r="46787">
      <c r="B46787" s="309"/>
      <c r="C46787" s="309"/>
      <c r="I46787" s="309"/>
      <c r="J46787" s="309"/>
    </row>
    <row r="46788">
      <c r="B46788" s="309"/>
      <c r="C46788" s="309"/>
      <c r="I46788" s="309"/>
      <c r="J46788" s="309"/>
    </row>
    <row r="46789">
      <c r="B46789" s="309"/>
      <c r="C46789" s="309"/>
      <c r="I46789" s="309"/>
      <c r="J46789" s="309"/>
    </row>
    <row r="46790">
      <c r="B46790" s="309"/>
      <c r="C46790" s="309"/>
      <c r="I46790" s="309"/>
      <c r="J46790" s="309"/>
    </row>
    <row r="46791">
      <c r="B46791" s="309"/>
      <c r="C46791" s="309"/>
      <c r="I46791" s="309"/>
      <c r="J46791" s="309"/>
    </row>
    <row r="46792">
      <c r="B46792" s="309"/>
      <c r="C46792" s="309"/>
      <c r="I46792" s="309"/>
      <c r="J46792" s="309"/>
    </row>
    <row r="46793">
      <c r="B46793" s="309"/>
      <c r="C46793" s="309"/>
      <c r="I46793" s="309"/>
      <c r="J46793" s="309"/>
    </row>
    <row r="46794">
      <c r="B46794" s="309"/>
      <c r="C46794" s="309"/>
      <c r="I46794" s="309"/>
      <c r="J46794" s="309"/>
    </row>
    <row r="46795">
      <c r="B46795" s="309"/>
      <c r="C46795" s="309"/>
      <c r="I46795" s="309"/>
      <c r="J46795" s="309"/>
    </row>
    <row r="46796">
      <c r="B46796" s="309"/>
      <c r="C46796" s="309"/>
      <c r="I46796" s="309"/>
      <c r="J46796" s="309"/>
    </row>
    <row r="46797">
      <c r="B46797" s="309"/>
      <c r="C46797" s="309"/>
      <c r="I46797" s="309"/>
      <c r="J46797" s="309"/>
    </row>
    <row r="46798">
      <c r="B46798" s="309"/>
      <c r="C46798" s="309"/>
      <c r="I46798" s="309"/>
      <c r="J46798" s="309"/>
    </row>
    <row r="46799">
      <c r="B46799" s="309"/>
      <c r="C46799" s="309"/>
      <c r="I46799" s="309"/>
      <c r="J46799" s="309"/>
    </row>
    <row r="46800">
      <c r="B46800" s="309"/>
      <c r="C46800" s="309"/>
      <c r="I46800" s="309"/>
      <c r="J46800" s="309"/>
    </row>
    <row r="46801">
      <c r="B46801" s="309"/>
      <c r="C46801" s="309"/>
      <c r="I46801" s="309"/>
      <c r="J46801" s="309"/>
    </row>
    <row r="46802">
      <c r="B46802" s="309"/>
      <c r="C46802" s="309"/>
      <c r="I46802" s="309"/>
      <c r="J46802" s="309"/>
    </row>
    <row r="46803">
      <c r="B46803" s="309"/>
      <c r="C46803" s="309"/>
      <c r="I46803" s="309"/>
      <c r="J46803" s="309"/>
    </row>
    <row r="46804">
      <c r="B46804" s="309"/>
      <c r="C46804" s="309"/>
      <c r="I46804" s="309"/>
      <c r="J46804" s="309"/>
    </row>
    <row r="46805">
      <c r="B46805" s="309"/>
      <c r="C46805" s="309"/>
      <c r="I46805" s="309"/>
      <c r="J46805" s="309"/>
    </row>
    <row r="46806">
      <c r="B46806" s="309"/>
      <c r="C46806" s="309"/>
      <c r="I46806" s="309"/>
      <c r="J46806" s="309"/>
    </row>
    <row r="46807">
      <c r="B46807" s="309"/>
      <c r="C46807" s="309"/>
      <c r="I46807" s="309"/>
      <c r="J46807" s="309"/>
    </row>
    <row r="46808">
      <c r="B46808" s="309"/>
      <c r="C46808" s="309"/>
      <c r="I46808" s="309"/>
      <c r="J46808" s="309"/>
    </row>
    <row r="46809">
      <c r="B46809" s="309"/>
      <c r="C46809" s="309"/>
      <c r="I46809" s="309"/>
      <c r="J46809" s="309"/>
    </row>
    <row r="46810">
      <c r="B46810" s="309"/>
      <c r="C46810" s="309"/>
      <c r="I46810" s="309"/>
      <c r="J46810" s="309"/>
    </row>
    <row r="46811">
      <c r="B46811" s="309"/>
      <c r="C46811" s="309"/>
      <c r="I46811" s="309"/>
      <c r="J46811" s="309"/>
    </row>
    <row r="46812">
      <c r="B46812" s="309"/>
      <c r="C46812" s="309"/>
      <c r="I46812" s="309"/>
      <c r="J46812" s="309"/>
    </row>
    <row r="46813">
      <c r="B46813" s="309"/>
      <c r="C46813" s="309"/>
      <c r="I46813" s="309"/>
      <c r="J46813" s="309"/>
    </row>
    <row r="46814">
      <c r="B46814" s="309"/>
      <c r="C46814" s="309"/>
      <c r="I46814" s="309"/>
      <c r="J46814" s="309"/>
    </row>
    <row r="46815">
      <c r="B46815" s="309"/>
      <c r="C46815" s="309"/>
      <c r="I46815" s="309"/>
      <c r="J46815" s="309"/>
    </row>
    <row r="46816">
      <c r="B46816" s="309"/>
      <c r="C46816" s="309"/>
      <c r="I46816" s="309"/>
      <c r="J46816" s="309"/>
    </row>
    <row r="46817">
      <c r="B46817" s="309"/>
      <c r="C46817" s="309"/>
      <c r="I46817" s="309"/>
      <c r="J46817" s="309"/>
    </row>
    <row r="46818">
      <c r="B46818" s="309"/>
      <c r="C46818" s="309"/>
      <c r="I46818" s="309"/>
      <c r="J46818" s="309"/>
    </row>
    <row r="46819">
      <c r="B46819" s="309"/>
      <c r="C46819" s="309"/>
      <c r="I46819" s="309"/>
      <c r="J46819" s="309"/>
    </row>
    <row r="46820">
      <c r="B46820" s="309"/>
      <c r="C46820" s="309"/>
      <c r="I46820" s="309"/>
      <c r="J46820" s="309"/>
    </row>
    <row r="46821">
      <c r="B46821" s="309"/>
      <c r="C46821" s="309"/>
      <c r="I46821" s="309"/>
      <c r="J46821" s="309"/>
    </row>
    <row r="46822">
      <c r="B46822" s="309"/>
      <c r="C46822" s="309"/>
      <c r="I46822" s="309"/>
      <c r="J46822" s="309"/>
    </row>
    <row r="46823">
      <c r="B46823" s="309"/>
      <c r="C46823" s="309"/>
      <c r="I46823" s="309"/>
      <c r="J46823" s="309"/>
    </row>
    <row r="46824">
      <c r="B46824" s="309"/>
      <c r="C46824" s="309"/>
      <c r="I46824" s="309"/>
      <c r="J46824" s="309"/>
    </row>
    <row r="46825">
      <c r="B46825" s="309"/>
      <c r="C46825" s="309"/>
      <c r="I46825" s="309"/>
      <c r="J46825" s="309"/>
    </row>
    <row r="46826">
      <c r="B46826" s="309"/>
      <c r="C46826" s="309"/>
      <c r="I46826" s="309"/>
      <c r="J46826" s="309"/>
    </row>
    <row r="46827">
      <c r="B46827" s="309"/>
      <c r="C46827" s="309"/>
      <c r="I46827" s="309"/>
      <c r="J46827" s="309"/>
    </row>
    <row r="46828">
      <c r="B46828" s="309"/>
      <c r="C46828" s="309"/>
      <c r="I46828" s="309"/>
      <c r="J46828" s="309"/>
    </row>
    <row r="46829">
      <c r="B46829" s="309"/>
      <c r="C46829" s="309"/>
      <c r="I46829" s="309"/>
      <c r="J46829" s="309"/>
    </row>
    <row r="46830">
      <c r="B46830" s="309"/>
      <c r="C46830" s="309"/>
      <c r="I46830" s="309"/>
      <c r="J46830" s="309"/>
    </row>
    <row r="46831">
      <c r="B46831" s="309"/>
      <c r="C46831" s="309"/>
      <c r="I46831" s="309"/>
      <c r="J46831" s="309"/>
    </row>
    <row r="46832">
      <c r="B46832" s="309"/>
      <c r="C46832" s="309"/>
      <c r="I46832" s="309"/>
      <c r="J46832" s="309"/>
    </row>
    <row r="46833">
      <c r="B46833" s="309"/>
      <c r="C46833" s="309"/>
      <c r="I46833" s="309"/>
      <c r="J46833" s="309"/>
    </row>
    <row r="46834">
      <c r="B46834" s="309"/>
      <c r="C46834" s="309"/>
      <c r="I46834" s="309"/>
      <c r="J46834" s="309"/>
    </row>
    <row r="46835">
      <c r="B46835" s="309"/>
      <c r="C46835" s="309"/>
      <c r="I46835" s="309"/>
      <c r="J46835" s="309"/>
    </row>
    <row r="46836">
      <c r="B46836" s="309"/>
      <c r="C46836" s="309"/>
      <c r="I46836" s="309"/>
      <c r="J46836" s="309"/>
    </row>
    <row r="46837">
      <c r="B46837" s="309"/>
      <c r="C46837" s="309"/>
      <c r="I46837" s="309"/>
      <c r="J46837" s="309"/>
    </row>
    <row r="46838">
      <c r="B46838" s="309"/>
      <c r="C46838" s="309"/>
      <c r="I46838" s="309"/>
      <c r="J46838" s="309"/>
    </row>
    <row r="46839">
      <c r="B46839" s="309"/>
      <c r="C46839" s="309"/>
      <c r="I46839" s="309"/>
      <c r="J46839" s="309"/>
    </row>
    <row r="46840">
      <c r="B46840" s="309"/>
      <c r="C46840" s="309"/>
      <c r="I46840" s="309"/>
      <c r="J46840" s="309"/>
    </row>
    <row r="46841">
      <c r="B46841" s="309"/>
      <c r="C46841" s="309"/>
      <c r="I46841" s="309"/>
      <c r="J46841" s="309"/>
    </row>
    <row r="46842">
      <c r="B46842" s="309"/>
      <c r="C46842" s="309"/>
      <c r="I46842" s="309"/>
      <c r="J46842" s="309"/>
    </row>
    <row r="46843">
      <c r="B46843" s="309"/>
      <c r="C46843" s="309"/>
      <c r="I46843" s="309"/>
      <c r="J46843" s="309"/>
    </row>
    <row r="46844">
      <c r="B46844" s="309"/>
      <c r="C46844" s="309"/>
      <c r="I46844" s="309"/>
      <c r="J46844" s="309"/>
    </row>
    <row r="46845">
      <c r="B46845" s="309"/>
      <c r="C46845" s="309"/>
      <c r="I46845" s="309"/>
      <c r="J46845" s="309"/>
    </row>
    <row r="46846">
      <c r="B46846" s="309"/>
      <c r="C46846" s="309"/>
      <c r="I46846" s="309"/>
      <c r="J46846" s="309"/>
    </row>
    <row r="46847">
      <c r="B46847" s="309"/>
      <c r="C46847" s="309"/>
      <c r="I46847" s="309"/>
      <c r="J46847" s="309"/>
    </row>
    <row r="46848">
      <c r="B46848" s="309"/>
      <c r="C46848" s="309"/>
      <c r="I46848" s="309"/>
      <c r="J46848" s="309"/>
    </row>
    <row r="46849">
      <c r="B46849" s="309"/>
      <c r="C46849" s="309"/>
      <c r="I46849" s="309"/>
      <c r="J46849" s="309"/>
    </row>
    <row r="46850">
      <c r="B46850" s="309"/>
      <c r="C46850" s="309"/>
      <c r="I46850" s="309"/>
      <c r="J46850" s="309"/>
    </row>
    <row r="46851">
      <c r="B46851" s="309"/>
      <c r="C46851" s="309"/>
      <c r="I46851" s="309"/>
      <c r="J46851" s="309"/>
    </row>
    <row r="46852">
      <c r="B46852" s="309"/>
      <c r="C46852" s="309"/>
      <c r="I46852" s="309"/>
      <c r="J46852" s="309"/>
    </row>
    <row r="46853">
      <c r="B46853" s="309"/>
      <c r="C46853" s="309"/>
      <c r="I46853" s="309"/>
      <c r="J46853" s="309"/>
    </row>
    <row r="46854">
      <c r="B46854" s="309"/>
      <c r="C46854" s="309"/>
      <c r="I46854" s="309"/>
      <c r="J46854" s="309"/>
    </row>
    <row r="46855">
      <c r="B46855" s="309"/>
      <c r="C46855" s="309"/>
      <c r="I46855" s="309"/>
      <c r="J46855" s="309"/>
    </row>
    <row r="46856">
      <c r="B46856" s="309"/>
      <c r="C46856" s="309"/>
      <c r="I46856" s="309"/>
      <c r="J46856" s="309"/>
    </row>
    <row r="46857">
      <c r="B46857" s="309"/>
      <c r="C46857" s="309"/>
      <c r="I46857" s="309"/>
      <c r="J46857" s="309"/>
    </row>
    <row r="46858">
      <c r="B46858" s="309"/>
      <c r="C46858" s="309"/>
      <c r="I46858" s="309"/>
      <c r="J46858" s="309"/>
    </row>
    <row r="46859">
      <c r="B46859" s="309"/>
      <c r="C46859" s="309"/>
      <c r="I46859" s="309"/>
      <c r="J46859" s="309"/>
    </row>
    <row r="46860">
      <c r="B46860" s="309"/>
      <c r="C46860" s="309"/>
      <c r="I46860" s="309"/>
      <c r="J46860" s="309"/>
    </row>
    <row r="46861">
      <c r="B46861" s="309"/>
      <c r="C46861" s="309"/>
      <c r="I46861" s="309"/>
      <c r="J46861" s="309"/>
    </row>
    <row r="46862">
      <c r="B46862" s="309"/>
      <c r="C46862" s="309"/>
      <c r="I46862" s="309"/>
      <c r="J46862" s="309"/>
    </row>
    <row r="46863">
      <c r="B46863" s="309"/>
      <c r="C46863" s="309"/>
      <c r="I46863" s="309"/>
      <c r="J46863" s="309"/>
    </row>
    <row r="46864">
      <c r="B46864" s="309"/>
      <c r="C46864" s="309"/>
      <c r="I46864" s="309"/>
      <c r="J46864" s="309"/>
    </row>
    <row r="46865">
      <c r="B46865" s="309"/>
      <c r="C46865" s="309"/>
      <c r="I46865" s="309"/>
      <c r="J46865" s="309"/>
    </row>
    <row r="46866">
      <c r="B46866" s="309"/>
      <c r="C46866" s="309"/>
      <c r="I46866" s="309"/>
      <c r="J46866" s="309"/>
    </row>
    <row r="46867">
      <c r="B46867" s="309"/>
      <c r="C46867" s="309"/>
      <c r="I46867" s="309"/>
      <c r="J46867" s="309"/>
    </row>
    <row r="46868">
      <c r="B46868" s="309"/>
      <c r="C46868" s="309"/>
      <c r="I46868" s="309"/>
      <c r="J46868" s="309"/>
    </row>
    <row r="46869">
      <c r="B46869" s="309"/>
      <c r="C46869" s="309"/>
      <c r="I46869" s="309"/>
      <c r="J46869" s="309"/>
    </row>
    <row r="46870">
      <c r="B46870" s="309"/>
      <c r="C46870" s="309"/>
      <c r="I46870" s="309"/>
      <c r="J46870" s="309"/>
    </row>
    <row r="46871">
      <c r="B46871" s="309"/>
      <c r="C46871" s="309"/>
      <c r="I46871" s="309"/>
      <c r="J46871" s="309"/>
    </row>
    <row r="46872">
      <c r="B46872" s="309"/>
      <c r="C46872" s="309"/>
      <c r="I46872" s="309"/>
      <c r="J46872" s="309"/>
    </row>
    <row r="46873">
      <c r="B46873" s="309"/>
      <c r="C46873" s="309"/>
      <c r="I46873" s="309"/>
      <c r="J46873" s="309"/>
    </row>
    <row r="46874">
      <c r="B46874" s="309"/>
      <c r="C46874" s="309"/>
      <c r="I46874" s="309"/>
      <c r="J46874" s="309"/>
    </row>
    <row r="46875">
      <c r="B46875" s="309"/>
      <c r="C46875" s="309"/>
      <c r="I46875" s="309"/>
      <c r="J46875" s="309"/>
    </row>
    <row r="46876">
      <c r="B46876" s="309"/>
      <c r="C46876" s="309"/>
      <c r="I46876" s="309"/>
      <c r="J46876" s="309"/>
    </row>
    <row r="46877">
      <c r="B46877" s="309"/>
      <c r="C46877" s="309"/>
      <c r="I46877" s="309"/>
      <c r="J46877" s="309"/>
    </row>
    <row r="46878">
      <c r="B46878" s="309"/>
      <c r="C46878" s="309"/>
      <c r="I46878" s="309"/>
      <c r="J46878" s="309"/>
    </row>
    <row r="46879">
      <c r="B46879" s="309"/>
      <c r="C46879" s="309"/>
      <c r="I46879" s="309"/>
      <c r="J46879" s="309"/>
    </row>
    <row r="46880">
      <c r="B46880" s="309"/>
      <c r="C46880" s="309"/>
      <c r="I46880" s="309"/>
      <c r="J46880" s="309"/>
    </row>
    <row r="46881">
      <c r="B46881" s="309"/>
      <c r="C46881" s="309"/>
      <c r="I46881" s="309"/>
      <c r="J46881" s="309"/>
    </row>
    <row r="46882">
      <c r="B46882" s="309"/>
      <c r="C46882" s="309"/>
      <c r="I46882" s="309"/>
      <c r="J46882" s="309"/>
    </row>
    <row r="46883">
      <c r="B46883" s="309"/>
      <c r="C46883" s="309"/>
      <c r="I46883" s="309"/>
      <c r="J46883" s="309"/>
    </row>
    <row r="46884">
      <c r="B46884" s="309"/>
      <c r="C46884" s="309"/>
      <c r="I46884" s="309"/>
      <c r="J46884" s="309"/>
    </row>
    <row r="46885">
      <c r="B46885" s="309"/>
      <c r="C46885" s="309"/>
      <c r="I46885" s="309"/>
      <c r="J46885" s="309"/>
    </row>
    <row r="46886">
      <c r="B46886" s="309"/>
      <c r="C46886" s="309"/>
      <c r="I46886" s="309"/>
      <c r="J46886" s="309"/>
    </row>
    <row r="46887">
      <c r="B46887" s="309"/>
      <c r="C46887" s="309"/>
      <c r="I46887" s="309"/>
      <c r="J46887" s="309"/>
    </row>
    <row r="46888">
      <c r="B46888" s="309"/>
      <c r="C46888" s="309"/>
      <c r="I46888" s="309"/>
      <c r="J46888" s="309"/>
    </row>
    <row r="46889">
      <c r="B46889" s="309"/>
      <c r="C46889" s="309"/>
      <c r="I46889" s="309"/>
      <c r="J46889" s="309"/>
    </row>
    <row r="46890">
      <c r="B46890" s="309"/>
      <c r="C46890" s="309"/>
      <c r="I46890" s="309"/>
      <c r="J46890" s="309"/>
    </row>
    <row r="46891">
      <c r="B46891" s="309"/>
      <c r="C46891" s="309"/>
      <c r="I46891" s="309"/>
      <c r="J46891" s="309"/>
    </row>
    <row r="46892">
      <c r="B46892" s="309"/>
      <c r="C46892" s="309"/>
      <c r="I46892" s="309"/>
      <c r="J46892" s="309"/>
    </row>
    <row r="46893">
      <c r="B46893" s="309"/>
      <c r="C46893" s="309"/>
      <c r="I46893" s="309"/>
      <c r="J46893" s="309"/>
    </row>
    <row r="46894">
      <c r="B46894" s="309"/>
      <c r="C46894" s="309"/>
      <c r="I46894" s="309"/>
      <c r="J46894" s="309"/>
    </row>
    <row r="46895">
      <c r="B46895" s="309"/>
      <c r="C46895" s="309"/>
      <c r="I46895" s="309"/>
      <c r="J46895" s="309"/>
    </row>
    <row r="46896">
      <c r="B46896" s="309"/>
      <c r="C46896" s="309"/>
      <c r="I46896" s="309"/>
      <c r="J46896" s="309"/>
    </row>
    <row r="46897">
      <c r="B46897" s="309"/>
      <c r="C46897" s="309"/>
      <c r="I46897" s="309"/>
      <c r="J46897" s="309"/>
    </row>
    <row r="46898">
      <c r="B46898" s="309"/>
      <c r="C46898" s="309"/>
      <c r="I46898" s="309"/>
      <c r="J46898" s="309"/>
    </row>
    <row r="46899">
      <c r="B46899" s="309"/>
      <c r="C46899" s="309"/>
      <c r="I46899" s="309"/>
      <c r="J46899" s="309"/>
    </row>
    <row r="46900">
      <c r="B46900" s="309"/>
      <c r="C46900" s="309"/>
      <c r="I46900" s="309"/>
      <c r="J46900" s="309"/>
    </row>
    <row r="46901">
      <c r="B46901" s="309"/>
      <c r="C46901" s="309"/>
      <c r="I46901" s="309"/>
      <c r="J46901" s="309"/>
    </row>
    <row r="46902">
      <c r="B46902" s="309"/>
      <c r="C46902" s="309"/>
      <c r="I46902" s="309"/>
      <c r="J46902" s="309"/>
    </row>
    <row r="46903">
      <c r="B46903" s="309"/>
      <c r="C46903" s="309"/>
      <c r="I46903" s="309"/>
      <c r="J46903" s="309"/>
    </row>
    <row r="46904">
      <c r="B46904" s="309"/>
      <c r="C46904" s="309"/>
      <c r="I46904" s="309"/>
      <c r="J46904" s="309"/>
    </row>
    <row r="46905">
      <c r="B46905" s="309"/>
      <c r="C46905" s="309"/>
      <c r="I46905" s="309"/>
      <c r="J46905" s="309"/>
    </row>
    <row r="46906">
      <c r="B46906" s="309"/>
      <c r="C46906" s="309"/>
      <c r="I46906" s="309"/>
      <c r="J46906" s="309"/>
    </row>
    <row r="46907">
      <c r="B46907" s="309"/>
      <c r="C46907" s="309"/>
      <c r="I46907" s="309"/>
      <c r="J46907" s="309"/>
    </row>
    <row r="46908">
      <c r="B46908" s="309"/>
      <c r="C46908" s="309"/>
      <c r="I46908" s="309"/>
      <c r="J46908" s="309"/>
    </row>
    <row r="46909">
      <c r="B46909" s="309"/>
      <c r="C46909" s="309"/>
      <c r="I46909" s="309"/>
      <c r="J46909" s="309"/>
    </row>
    <row r="46910">
      <c r="B46910" s="309"/>
      <c r="C46910" s="309"/>
      <c r="I46910" s="309"/>
      <c r="J46910" s="309"/>
    </row>
    <row r="46911">
      <c r="B46911" s="309"/>
      <c r="C46911" s="309"/>
      <c r="I46911" s="309"/>
      <c r="J46911" s="309"/>
    </row>
    <row r="46912">
      <c r="B46912" s="309"/>
      <c r="C46912" s="309"/>
      <c r="I46912" s="309"/>
      <c r="J46912" s="309"/>
    </row>
    <row r="46913">
      <c r="B46913" s="309"/>
      <c r="C46913" s="309"/>
      <c r="I46913" s="309"/>
      <c r="J46913" s="309"/>
    </row>
    <row r="46914">
      <c r="B46914" s="309"/>
      <c r="C46914" s="309"/>
      <c r="I46914" s="309"/>
      <c r="J46914" s="309"/>
    </row>
    <row r="46915">
      <c r="B46915" s="309"/>
      <c r="C46915" s="309"/>
      <c r="I46915" s="309"/>
      <c r="J46915" s="309"/>
    </row>
    <row r="46916">
      <c r="B46916" s="309"/>
      <c r="C46916" s="309"/>
      <c r="I46916" s="309"/>
      <c r="J46916" s="309"/>
    </row>
    <row r="46917">
      <c r="B46917" s="309"/>
      <c r="C46917" s="309"/>
      <c r="I46917" s="309"/>
      <c r="J46917" s="309"/>
    </row>
    <row r="46918">
      <c r="B46918" s="309"/>
      <c r="C46918" s="309"/>
      <c r="I46918" s="309"/>
      <c r="J46918" s="309"/>
    </row>
    <row r="46919">
      <c r="B46919" s="309"/>
      <c r="C46919" s="309"/>
      <c r="I46919" s="309"/>
      <c r="J46919" s="309"/>
    </row>
    <row r="46920">
      <c r="B46920" s="309"/>
      <c r="C46920" s="309"/>
      <c r="I46920" s="309"/>
      <c r="J46920" s="309"/>
    </row>
    <row r="46921">
      <c r="B46921" s="309"/>
      <c r="C46921" s="309"/>
      <c r="I46921" s="309"/>
      <c r="J46921" s="309"/>
    </row>
    <row r="46922">
      <c r="B46922" s="309"/>
      <c r="C46922" s="309"/>
      <c r="I46922" s="309"/>
      <c r="J46922" s="309"/>
    </row>
    <row r="46923">
      <c r="B46923" s="309"/>
      <c r="C46923" s="309"/>
      <c r="I46923" s="309"/>
      <c r="J46923" s="309"/>
    </row>
    <row r="46924">
      <c r="B46924" s="309"/>
      <c r="C46924" s="309"/>
      <c r="I46924" s="309"/>
      <c r="J46924" s="309"/>
    </row>
    <row r="46925">
      <c r="B46925" s="309"/>
      <c r="C46925" s="309"/>
      <c r="I46925" s="309"/>
      <c r="J46925" s="309"/>
    </row>
    <row r="46926">
      <c r="B46926" s="309"/>
      <c r="C46926" s="309"/>
      <c r="I46926" s="309"/>
      <c r="J46926" s="309"/>
    </row>
    <row r="46927">
      <c r="B46927" s="309"/>
      <c r="C46927" s="309"/>
      <c r="I46927" s="309"/>
      <c r="J46927" s="309"/>
    </row>
    <row r="46928">
      <c r="B46928" s="309"/>
      <c r="C46928" s="309"/>
      <c r="I46928" s="309"/>
      <c r="J46928" s="309"/>
    </row>
    <row r="46929">
      <c r="B46929" s="309"/>
      <c r="C46929" s="309"/>
      <c r="I46929" s="309"/>
      <c r="J46929" s="309"/>
    </row>
    <row r="46930">
      <c r="B46930" s="309"/>
      <c r="C46930" s="309"/>
      <c r="I46930" s="309"/>
      <c r="J46930" s="309"/>
    </row>
    <row r="46931">
      <c r="B46931" s="309"/>
      <c r="C46931" s="309"/>
      <c r="I46931" s="309"/>
      <c r="J46931" s="309"/>
    </row>
    <row r="46932">
      <c r="B46932" s="309"/>
      <c r="C46932" s="309"/>
      <c r="I46932" s="309"/>
      <c r="J46932" s="309"/>
    </row>
    <row r="46933">
      <c r="B46933" s="309"/>
      <c r="C46933" s="309"/>
      <c r="I46933" s="309"/>
      <c r="J46933" s="309"/>
    </row>
    <row r="46934">
      <c r="B46934" s="309"/>
      <c r="C46934" s="309"/>
      <c r="I46934" s="309"/>
      <c r="J46934" s="309"/>
    </row>
    <row r="46935">
      <c r="B46935" s="309"/>
      <c r="C46935" s="309"/>
      <c r="I46935" s="309"/>
      <c r="J46935" s="309"/>
    </row>
    <row r="46936">
      <c r="B46936" s="309"/>
      <c r="C46936" s="309"/>
      <c r="I46936" s="309"/>
      <c r="J46936" s="309"/>
    </row>
    <row r="46937">
      <c r="B46937" s="309"/>
      <c r="C46937" s="309"/>
      <c r="I46937" s="309"/>
      <c r="J46937" s="309"/>
    </row>
    <row r="46938">
      <c r="B46938" s="309"/>
      <c r="C46938" s="309"/>
      <c r="I46938" s="309"/>
      <c r="J46938" s="309"/>
    </row>
    <row r="46939">
      <c r="B46939" s="309"/>
      <c r="C46939" s="309"/>
      <c r="I46939" s="309"/>
      <c r="J46939" s="309"/>
    </row>
    <row r="46940">
      <c r="B46940" s="309"/>
      <c r="C46940" s="309"/>
      <c r="I46940" s="309"/>
      <c r="J46940" s="309"/>
    </row>
    <row r="46941">
      <c r="B46941" s="309"/>
      <c r="C46941" s="309"/>
      <c r="I46941" s="309"/>
      <c r="J46941" s="309"/>
    </row>
    <row r="46942">
      <c r="B46942" s="309"/>
      <c r="C46942" s="309"/>
      <c r="I46942" s="309"/>
      <c r="J46942" s="309"/>
    </row>
    <row r="46943">
      <c r="B46943" s="309"/>
      <c r="C46943" s="309"/>
      <c r="I46943" s="309"/>
      <c r="J46943" s="309"/>
    </row>
    <row r="46944">
      <c r="B46944" s="309"/>
      <c r="C46944" s="309"/>
      <c r="I46944" s="309"/>
      <c r="J46944" s="309"/>
    </row>
    <row r="46945">
      <c r="B46945" s="309"/>
      <c r="C46945" s="309"/>
      <c r="I46945" s="309"/>
      <c r="J46945" s="309"/>
    </row>
    <row r="46946">
      <c r="B46946" s="309"/>
      <c r="C46946" s="309"/>
      <c r="I46946" s="309"/>
      <c r="J46946" s="309"/>
    </row>
    <row r="46947">
      <c r="B46947" s="309"/>
      <c r="C46947" s="309"/>
      <c r="I46947" s="309"/>
      <c r="J46947" s="309"/>
    </row>
    <row r="46948">
      <c r="B46948" s="309"/>
      <c r="C46948" s="309"/>
      <c r="I46948" s="309"/>
      <c r="J46948" s="309"/>
    </row>
    <row r="46949">
      <c r="B46949" s="309"/>
      <c r="C46949" s="309"/>
      <c r="I46949" s="309"/>
      <c r="J46949" s="309"/>
    </row>
    <row r="46950">
      <c r="B46950" s="309"/>
      <c r="C46950" s="309"/>
      <c r="I46950" s="309"/>
      <c r="J46950" s="309"/>
    </row>
    <row r="46951">
      <c r="B46951" s="309"/>
      <c r="C46951" s="309"/>
      <c r="I46951" s="309"/>
      <c r="J46951" s="309"/>
    </row>
    <row r="46952">
      <c r="B46952" s="309"/>
      <c r="C46952" s="309"/>
      <c r="I46952" s="309"/>
      <c r="J46952" s="309"/>
    </row>
    <row r="46953">
      <c r="B46953" s="309"/>
      <c r="C46953" s="309"/>
      <c r="I46953" s="309"/>
      <c r="J46953" s="309"/>
    </row>
    <row r="46954">
      <c r="B46954" s="309"/>
      <c r="C46954" s="309"/>
      <c r="I46954" s="309"/>
      <c r="J46954" s="309"/>
    </row>
    <row r="46955">
      <c r="B46955" s="309"/>
      <c r="C46955" s="309"/>
      <c r="I46955" s="309"/>
      <c r="J46955" s="309"/>
    </row>
    <row r="46956">
      <c r="B46956" s="309"/>
      <c r="C46956" s="309"/>
      <c r="I46956" s="309"/>
      <c r="J46956" s="309"/>
    </row>
    <row r="46957">
      <c r="B46957" s="309"/>
      <c r="C46957" s="309"/>
      <c r="I46957" s="309"/>
      <c r="J46957" s="309"/>
    </row>
    <row r="46958">
      <c r="B46958" s="309"/>
      <c r="C46958" s="309"/>
      <c r="I46958" s="309"/>
      <c r="J46958" s="309"/>
    </row>
    <row r="46959">
      <c r="B46959" s="309"/>
      <c r="C46959" s="309"/>
      <c r="I46959" s="309"/>
      <c r="J46959" s="309"/>
    </row>
    <row r="46960">
      <c r="B46960" s="309"/>
      <c r="C46960" s="309"/>
      <c r="I46960" s="309"/>
      <c r="J46960" s="309"/>
    </row>
    <row r="46961">
      <c r="B46961" s="309"/>
      <c r="C46961" s="309"/>
      <c r="I46961" s="309"/>
      <c r="J46961" s="309"/>
    </row>
    <row r="46962">
      <c r="B46962" s="309"/>
      <c r="C46962" s="309"/>
      <c r="I46962" s="309"/>
      <c r="J46962" s="309"/>
    </row>
    <row r="46963">
      <c r="B46963" s="309"/>
      <c r="C46963" s="309"/>
      <c r="I46963" s="309"/>
      <c r="J46963" s="309"/>
    </row>
    <row r="46964">
      <c r="B46964" s="309"/>
      <c r="C46964" s="309"/>
      <c r="I46964" s="309"/>
      <c r="J46964" s="309"/>
    </row>
    <row r="46965">
      <c r="B46965" s="309"/>
      <c r="C46965" s="309"/>
      <c r="I46965" s="309"/>
      <c r="J46965" s="309"/>
    </row>
    <row r="46966">
      <c r="B46966" s="309"/>
      <c r="C46966" s="309"/>
      <c r="I46966" s="309"/>
      <c r="J46966" s="309"/>
    </row>
    <row r="46967">
      <c r="B46967" s="309"/>
      <c r="C46967" s="309"/>
      <c r="I46967" s="309"/>
      <c r="J46967" s="309"/>
    </row>
    <row r="46968">
      <c r="B46968" s="309"/>
      <c r="C46968" s="309"/>
      <c r="I46968" s="309"/>
      <c r="J46968" s="309"/>
    </row>
    <row r="46969">
      <c r="B46969" s="309"/>
      <c r="C46969" s="309"/>
      <c r="I46969" s="309"/>
      <c r="J46969" s="309"/>
    </row>
    <row r="46970">
      <c r="B46970" s="309"/>
      <c r="C46970" s="309"/>
      <c r="I46970" s="309"/>
      <c r="J46970" s="309"/>
    </row>
    <row r="46971">
      <c r="B46971" s="309"/>
      <c r="C46971" s="309"/>
      <c r="I46971" s="309"/>
      <c r="J46971" s="309"/>
    </row>
    <row r="46972">
      <c r="B46972" s="309"/>
      <c r="C46972" s="309"/>
      <c r="I46972" s="309"/>
      <c r="J46972" s="309"/>
    </row>
    <row r="46973">
      <c r="B46973" s="309"/>
      <c r="C46973" s="309"/>
      <c r="I46973" s="309"/>
      <c r="J46973" s="309"/>
    </row>
    <row r="46974">
      <c r="B46974" s="309"/>
      <c r="C46974" s="309"/>
      <c r="I46974" s="309"/>
      <c r="J46974" s="309"/>
    </row>
    <row r="46975">
      <c r="B46975" s="309"/>
      <c r="C46975" s="309"/>
      <c r="I46975" s="309"/>
      <c r="J46975" s="309"/>
    </row>
    <row r="46976">
      <c r="B46976" s="309"/>
      <c r="C46976" s="309"/>
      <c r="I46976" s="309"/>
      <c r="J46976" s="309"/>
    </row>
    <row r="46977">
      <c r="B46977" s="309"/>
      <c r="C46977" s="309"/>
      <c r="I46977" s="309"/>
      <c r="J46977" s="309"/>
    </row>
    <row r="46978">
      <c r="B46978" s="309"/>
      <c r="C46978" s="309"/>
      <c r="I46978" s="309"/>
      <c r="J46978" s="309"/>
    </row>
    <row r="46979">
      <c r="B46979" s="309"/>
      <c r="C46979" s="309"/>
      <c r="I46979" s="309"/>
      <c r="J46979" s="309"/>
    </row>
    <row r="46980">
      <c r="B46980" s="309"/>
      <c r="C46980" s="309"/>
      <c r="I46980" s="309"/>
      <c r="J46980" s="309"/>
    </row>
    <row r="46981">
      <c r="B46981" s="309"/>
      <c r="C46981" s="309"/>
      <c r="I46981" s="309"/>
      <c r="J46981" s="309"/>
    </row>
    <row r="46982">
      <c r="B46982" s="309"/>
      <c r="C46982" s="309"/>
      <c r="I46982" s="309"/>
      <c r="J46982" s="309"/>
    </row>
    <row r="46983">
      <c r="B46983" s="309"/>
      <c r="C46983" s="309"/>
      <c r="I46983" s="309"/>
      <c r="J46983" s="309"/>
    </row>
    <row r="46984">
      <c r="B46984" s="309"/>
      <c r="C46984" s="309"/>
      <c r="I46984" s="309"/>
      <c r="J46984" s="309"/>
    </row>
    <row r="46985">
      <c r="B46985" s="309"/>
      <c r="C46985" s="309"/>
      <c r="I46985" s="309"/>
      <c r="J46985" s="309"/>
    </row>
    <row r="46986">
      <c r="B46986" s="309"/>
      <c r="C46986" s="309"/>
      <c r="I46986" s="309"/>
      <c r="J46986" s="309"/>
    </row>
    <row r="46987">
      <c r="B46987" s="309"/>
      <c r="C46987" s="309"/>
      <c r="I46987" s="309"/>
      <c r="J46987" s="309"/>
    </row>
    <row r="46988">
      <c r="B46988" s="309"/>
      <c r="C46988" s="309"/>
      <c r="I46988" s="309"/>
      <c r="J46988" s="309"/>
    </row>
    <row r="46989">
      <c r="B46989" s="309"/>
      <c r="C46989" s="309"/>
      <c r="I46989" s="309"/>
      <c r="J46989" s="309"/>
    </row>
    <row r="46990">
      <c r="B46990" s="309"/>
      <c r="C46990" s="309"/>
      <c r="I46990" s="309"/>
      <c r="J46990" s="309"/>
    </row>
    <row r="46991">
      <c r="B46991" s="309"/>
      <c r="C46991" s="309"/>
      <c r="I46991" s="309"/>
      <c r="J46991" s="309"/>
    </row>
    <row r="46992">
      <c r="B46992" s="309"/>
      <c r="C46992" s="309"/>
      <c r="I46992" s="309"/>
      <c r="J46992" s="309"/>
    </row>
    <row r="46993">
      <c r="B46993" s="309"/>
      <c r="C46993" s="309"/>
      <c r="I46993" s="309"/>
      <c r="J46993" s="309"/>
    </row>
    <row r="46994">
      <c r="B46994" s="309"/>
      <c r="C46994" s="309"/>
      <c r="I46994" s="309"/>
      <c r="J46994" s="309"/>
    </row>
    <row r="46995">
      <c r="B46995" s="309"/>
      <c r="C46995" s="309"/>
      <c r="I46995" s="309"/>
      <c r="J46995" s="309"/>
    </row>
    <row r="46996">
      <c r="B46996" s="309"/>
      <c r="C46996" s="309"/>
      <c r="I46996" s="309"/>
      <c r="J46996" s="309"/>
    </row>
    <row r="46997">
      <c r="B46997" s="309"/>
      <c r="C46997" s="309"/>
      <c r="I46997" s="309"/>
      <c r="J46997" s="309"/>
    </row>
    <row r="46998">
      <c r="B46998" s="309"/>
      <c r="C46998" s="309"/>
      <c r="I46998" s="309"/>
      <c r="J46998" s="309"/>
    </row>
    <row r="46999">
      <c r="B46999" s="309"/>
      <c r="C46999" s="309"/>
      <c r="I46999" s="309"/>
      <c r="J46999" s="309"/>
    </row>
    <row r="47000">
      <c r="B47000" s="309"/>
      <c r="C47000" s="309"/>
      <c r="I47000" s="309"/>
      <c r="J47000" s="309"/>
    </row>
    <row r="47001">
      <c r="B47001" s="309"/>
      <c r="C47001" s="309"/>
      <c r="I47001" s="309"/>
      <c r="J47001" s="309"/>
    </row>
    <row r="47002">
      <c r="B47002" s="309"/>
      <c r="C47002" s="309"/>
      <c r="I47002" s="309"/>
      <c r="J47002" s="309"/>
    </row>
    <row r="47003">
      <c r="B47003" s="309"/>
      <c r="C47003" s="309"/>
      <c r="I47003" s="309"/>
      <c r="J47003" s="309"/>
    </row>
    <row r="47004">
      <c r="B47004" s="309"/>
      <c r="C47004" s="309"/>
      <c r="I47004" s="309"/>
      <c r="J47004" s="309"/>
    </row>
    <row r="47005">
      <c r="B47005" s="309"/>
      <c r="C47005" s="309"/>
      <c r="I47005" s="309"/>
      <c r="J47005" s="309"/>
    </row>
    <row r="47006">
      <c r="B47006" s="309"/>
      <c r="C47006" s="309"/>
      <c r="I47006" s="309"/>
      <c r="J47006" s="309"/>
    </row>
    <row r="47007">
      <c r="B47007" s="309"/>
      <c r="C47007" s="309"/>
      <c r="I47007" s="309"/>
      <c r="J47007" s="309"/>
    </row>
    <row r="47008">
      <c r="B47008" s="309"/>
      <c r="C47008" s="309"/>
      <c r="I47008" s="309"/>
      <c r="J47008" s="309"/>
    </row>
    <row r="47009">
      <c r="B47009" s="309"/>
      <c r="C47009" s="309"/>
      <c r="I47009" s="309"/>
      <c r="J47009" s="309"/>
    </row>
    <row r="47010">
      <c r="B47010" s="309"/>
      <c r="C47010" s="309"/>
      <c r="I47010" s="309"/>
      <c r="J47010" s="309"/>
    </row>
    <row r="47011">
      <c r="B47011" s="309"/>
      <c r="C47011" s="309"/>
      <c r="I47011" s="309"/>
      <c r="J47011" s="309"/>
    </row>
    <row r="47012">
      <c r="B47012" s="309"/>
      <c r="C47012" s="309"/>
      <c r="I47012" s="309"/>
      <c r="J47012" s="309"/>
    </row>
    <row r="47013">
      <c r="B47013" s="309"/>
      <c r="C47013" s="309"/>
      <c r="I47013" s="309"/>
      <c r="J47013" s="309"/>
    </row>
    <row r="47014">
      <c r="B47014" s="309"/>
      <c r="C47014" s="309"/>
      <c r="I47014" s="309"/>
      <c r="J47014" s="309"/>
    </row>
    <row r="47015">
      <c r="B47015" s="309"/>
      <c r="C47015" s="309"/>
      <c r="I47015" s="309"/>
      <c r="J47015" s="309"/>
    </row>
    <row r="47016">
      <c r="B47016" s="309"/>
      <c r="C47016" s="309"/>
      <c r="I47016" s="309"/>
      <c r="J47016" s="309"/>
    </row>
    <row r="47017">
      <c r="B47017" s="309"/>
      <c r="C47017" s="309"/>
      <c r="I47017" s="309"/>
      <c r="J47017" s="309"/>
    </row>
    <row r="47018">
      <c r="B47018" s="309"/>
      <c r="C47018" s="309"/>
      <c r="I47018" s="309"/>
      <c r="J47018" s="309"/>
    </row>
    <row r="47019">
      <c r="B47019" s="309"/>
      <c r="C47019" s="309"/>
      <c r="I47019" s="309"/>
      <c r="J47019" s="309"/>
    </row>
    <row r="47020">
      <c r="B47020" s="309"/>
      <c r="C47020" s="309"/>
      <c r="I47020" s="309"/>
      <c r="J47020" s="309"/>
    </row>
    <row r="47021">
      <c r="B47021" s="309"/>
      <c r="C47021" s="309"/>
      <c r="I47021" s="309"/>
      <c r="J47021" s="309"/>
    </row>
    <row r="47022">
      <c r="B47022" s="309"/>
      <c r="C47022" s="309"/>
      <c r="I47022" s="309"/>
      <c r="J47022" s="309"/>
    </row>
    <row r="47023">
      <c r="B47023" s="309"/>
      <c r="C47023" s="309"/>
      <c r="I47023" s="309"/>
      <c r="J47023" s="309"/>
    </row>
    <row r="47024">
      <c r="B47024" s="309"/>
      <c r="C47024" s="309"/>
      <c r="I47024" s="309"/>
      <c r="J47024" s="309"/>
    </row>
    <row r="47025">
      <c r="B47025" s="309"/>
      <c r="C47025" s="309"/>
      <c r="I47025" s="309"/>
      <c r="J47025" s="309"/>
    </row>
    <row r="47026">
      <c r="B47026" s="309"/>
      <c r="C47026" s="309"/>
      <c r="I47026" s="309"/>
      <c r="J47026" s="309"/>
    </row>
    <row r="47027">
      <c r="B47027" s="309"/>
      <c r="C47027" s="309"/>
      <c r="I47027" s="309"/>
      <c r="J47027" s="309"/>
    </row>
    <row r="47028">
      <c r="B47028" s="309"/>
      <c r="C47028" s="309"/>
      <c r="I47028" s="309"/>
      <c r="J47028" s="309"/>
    </row>
    <row r="47029">
      <c r="B47029" s="309"/>
      <c r="C47029" s="309"/>
      <c r="I47029" s="309"/>
      <c r="J47029" s="309"/>
    </row>
    <row r="47030">
      <c r="B47030" s="309"/>
      <c r="C47030" s="309"/>
      <c r="I47030" s="309"/>
      <c r="J47030" s="309"/>
    </row>
    <row r="47031">
      <c r="B47031" s="309"/>
      <c r="C47031" s="309"/>
      <c r="I47031" s="309"/>
      <c r="J47031" s="309"/>
    </row>
    <row r="47032">
      <c r="B47032" s="309"/>
      <c r="C47032" s="309"/>
      <c r="I47032" s="309"/>
      <c r="J47032" s="309"/>
    </row>
    <row r="47033">
      <c r="B47033" s="309"/>
      <c r="C47033" s="309"/>
      <c r="I47033" s="309"/>
      <c r="J47033" s="309"/>
    </row>
    <row r="47034">
      <c r="B47034" s="309"/>
      <c r="C47034" s="309"/>
      <c r="I47034" s="309"/>
      <c r="J47034" s="309"/>
    </row>
    <row r="47035">
      <c r="B47035" s="309"/>
      <c r="C47035" s="309"/>
      <c r="I47035" s="309"/>
      <c r="J47035" s="309"/>
    </row>
    <row r="47036">
      <c r="B47036" s="309"/>
      <c r="C47036" s="309"/>
      <c r="I47036" s="309"/>
      <c r="J47036" s="309"/>
    </row>
    <row r="47037">
      <c r="B47037" s="309"/>
      <c r="C47037" s="309"/>
      <c r="I47037" s="309"/>
      <c r="J47037" s="309"/>
    </row>
    <row r="47038">
      <c r="B47038" s="309"/>
      <c r="C47038" s="309"/>
      <c r="I47038" s="309"/>
      <c r="J47038" s="309"/>
    </row>
    <row r="47039">
      <c r="B47039" s="309"/>
      <c r="C47039" s="309"/>
      <c r="I47039" s="309"/>
      <c r="J47039" s="309"/>
    </row>
    <row r="47040">
      <c r="B47040" s="309"/>
      <c r="C47040" s="309"/>
      <c r="I47040" s="309"/>
      <c r="J47040" s="309"/>
    </row>
    <row r="47041">
      <c r="B47041" s="309"/>
      <c r="C47041" s="309"/>
      <c r="I47041" s="309"/>
      <c r="J47041" s="309"/>
    </row>
    <row r="47042">
      <c r="B47042" s="309"/>
      <c r="C47042" s="309"/>
      <c r="I47042" s="309"/>
      <c r="J47042" s="309"/>
    </row>
    <row r="47043">
      <c r="B47043" s="309"/>
      <c r="C47043" s="309"/>
      <c r="I47043" s="309"/>
      <c r="J47043" s="309"/>
    </row>
    <row r="47044">
      <c r="B47044" s="309"/>
      <c r="C47044" s="309"/>
      <c r="I47044" s="309"/>
      <c r="J47044" s="309"/>
    </row>
    <row r="47045">
      <c r="B47045" s="309"/>
      <c r="C47045" s="309"/>
      <c r="I47045" s="309"/>
      <c r="J47045" s="309"/>
    </row>
    <row r="47046">
      <c r="B47046" s="309"/>
      <c r="C47046" s="309"/>
      <c r="I47046" s="309"/>
      <c r="J47046" s="309"/>
    </row>
    <row r="47047">
      <c r="B47047" s="309"/>
      <c r="C47047" s="309"/>
      <c r="I47047" s="309"/>
      <c r="J47047" s="309"/>
    </row>
    <row r="47048">
      <c r="B47048" s="309"/>
      <c r="C47048" s="309"/>
      <c r="I47048" s="309"/>
      <c r="J47048" s="309"/>
    </row>
    <row r="47049">
      <c r="B47049" s="309"/>
      <c r="C47049" s="309"/>
      <c r="I47049" s="309"/>
      <c r="J47049" s="309"/>
    </row>
    <row r="47050">
      <c r="B47050" s="309"/>
      <c r="C47050" s="309"/>
      <c r="I47050" s="309"/>
      <c r="J47050" s="309"/>
    </row>
    <row r="47051">
      <c r="B47051" s="309"/>
      <c r="C47051" s="309"/>
      <c r="I47051" s="309"/>
      <c r="J47051" s="309"/>
    </row>
    <row r="47052">
      <c r="B47052" s="309"/>
      <c r="C47052" s="309"/>
      <c r="I47052" s="309"/>
      <c r="J47052" s="309"/>
    </row>
    <row r="47053">
      <c r="B47053" s="309"/>
      <c r="C47053" s="309"/>
      <c r="I47053" s="309"/>
      <c r="J47053" s="309"/>
    </row>
    <row r="47054">
      <c r="B47054" s="309"/>
      <c r="C47054" s="309"/>
      <c r="I47054" s="309"/>
      <c r="J47054" s="309"/>
    </row>
    <row r="47055">
      <c r="B47055" s="309"/>
      <c r="C47055" s="309"/>
      <c r="I47055" s="309"/>
      <c r="J47055" s="309"/>
    </row>
    <row r="47056">
      <c r="B47056" s="309"/>
      <c r="C47056" s="309"/>
      <c r="I47056" s="309"/>
      <c r="J47056" s="309"/>
    </row>
    <row r="47057">
      <c r="B47057" s="309"/>
      <c r="C47057" s="309"/>
      <c r="I47057" s="309"/>
      <c r="J47057" s="309"/>
    </row>
    <row r="47058">
      <c r="B47058" s="309"/>
      <c r="C47058" s="309"/>
      <c r="I47058" s="309"/>
      <c r="J47058" s="309"/>
    </row>
    <row r="47059">
      <c r="B47059" s="309"/>
      <c r="C47059" s="309"/>
      <c r="I47059" s="309"/>
      <c r="J47059" s="309"/>
    </row>
    <row r="47060">
      <c r="B47060" s="309"/>
      <c r="C47060" s="309"/>
      <c r="I47060" s="309"/>
      <c r="J47060" s="309"/>
    </row>
    <row r="47061">
      <c r="B47061" s="309"/>
      <c r="C47061" s="309"/>
      <c r="I47061" s="309"/>
      <c r="J47061" s="309"/>
    </row>
    <row r="47062">
      <c r="B47062" s="309"/>
      <c r="C47062" s="309"/>
      <c r="I47062" s="309"/>
      <c r="J47062" s="309"/>
    </row>
    <row r="47063">
      <c r="B47063" s="309"/>
      <c r="C47063" s="309"/>
      <c r="I47063" s="309"/>
      <c r="J47063" s="309"/>
    </row>
    <row r="47064">
      <c r="B47064" s="309"/>
      <c r="C47064" s="309"/>
      <c r="I47064" s="309"/>
      <c r="J47064" s="309"/>
    </row>
    <row r="47065">
      <c r="B47065" s="309"/>
      <c r="C47065" s="309"/>
      <c r="I47065" s="309"/>
      <c r="J47065" s="309"/>
    </row>
    <row r="47066">
      <c r="B47066" s="309"/>
      <c r="C47066" s="309"/>
      <c r="I47066" s="309"/>
      <c r="J47066" s="309"/>
    </row>
    <row r="47067">
      <c r="B47067" s="309"/>
      <c r="C47067" s="309"/>
      <c r="I47067" s="309"/>
      <c r="J47067" s="309"/>
    </row>
    <row r="47068">
      <c r="B47068" s="309"/>
      <c r="C47068" s="309"/>
      <c r="I47068" s="309"/>
      <c r="J47068" s="309"/>
    </row>
    <row r="47069">
      <c r="B47069" s="309"/>
      <c r="C47069" s="309"/>
      <c r="I47069" s="309"/>
      <c r="J47069" s="309"/>
    </row>
    <row r="47070">
      <c r="B47070" s="309"/>
      <c r="C47070" s="309"/>
      <c r="I47070" s="309"/>
      <c r="J47070" s="309"/>
    </row>
    <row r="47071">
      <c r="B47071" s="309"/>
      <c r="C47071" s="309"/>
      <c r="I47071" s="309"/>
      <c r="J47071" s="309"/>
    </row>
    <row r="47072">
      <c r="B47072" s="309"/>
      <c r="C47072" s="309"/>
      <c r="I47072" s="309"/>
      <c r="J47072" s="309"/>
    </row>
    <row r="47073">
      <c r="B47073" s="309"/>
      <c r="C47073" s="309"/>
      <c r="I47073" s="309"/>
      <c r="J47073" s="309"/>
    </row>
    <row r="47074">
      <c r="B47074" s="309"/>
      <c r="C47074" s="309"/>
      <c r="I47074" s="309"/>
      <c r="J47074" s="309"/>
    </row>
    <row r="47075">
      <c r="B47075" s="309"/>
      <c r="C47075" s="309"/>
      <c r="I47075" s="309"/>
      <c r="J47075" s="309"/>
    </row>
    <row r="47076">
      <c r="B47076" s="309"/>
      <c r="C47076" s="309"/>
      <c r="I47076" s="309"/>
      <c r="J47076" s="309"/>
    </row>
    <row r="47077">
      <c r="B47077" s="309"/>
      <c r="C47077" s="309"/>
      <c r="I47077" s="309"/>
      <c r="J47077" s="309"/>
    </row>
    <row r="47078">
      <c r="B47078" s="309"/>
      <c r="C47078" s="309"/>
      <c r="I47078" s="309"/>
      <c r="J47078" s="309"/>
    </row>
    <row r="47079">
      <c r="B47079" s="309"/>
      <c r="C47079" s="309"/>
      <c r="I47079" s="309"/>
      <c r="J47079" s="309"/>
    </row>
    <row r="47080">
      <c r="B47080" s="309"/>
      <c r="C47080" s="309"/>
      <c r="I47080" s="309"/>
      <c r="J47080" s="309"/>
    </row>
    <row r="47081">
      <c r="B47081" s="309"/>
      <c r="C47081" s="309"/>
      <c r="I47081" s="309"/>
      <c r="J47081" s="309"/>
    </row>
    <row r="47082">
      <c r="B47082" s="309"/>
      <c r="C47082" s="309"/>
      <c r="I47082" s="309"/>
      <c r="J47082" s="309"/>
    </row>
    <row r="47083">
      <c r="B47083" s="309"/>
      <c r="C47083" s="309"/>
      <c r="I47083" s="309"/>
      <c r="J47083" s="309"/>
    </row>
    <row r="47084">
      <c r="B47084" s="309"/>
      <c r="C47084" s="309"/>
      <c r="I47084" s="309"/>
      <c r="J47084" s="309"/>
    </row>
    <row r="47085">
      <c r="B47085" s="309"/>
      <c r="C47085" s="309"/>
      <c r="I47085" s="309"/>
      <c r="J47085" s="309"/>
    </row>
    <row r="47086">
      <c r="B47086" s="309"/>
      <c r="C47086" s="309"/>
      <c r="I47086" s="309"/>
      <c r="J47086" s="309"/>
    </row>
    <row r="47087">
      <c r="B47087" s="309"/>
      <c r="C47087" s="309"/>
      <c r="I47087" s="309"/>
      <c r="J47087" s="309"/>
    </row>
    <row r="47088">
      <c r="B47088" s="309"/>
      <c r="C47088" s="309"/>
      <c r="I47088" s="309"/>
      <c r="J47088" s="309"/>
    </row>
    <row r="47089">
      <c r="B47089" s="309"/>
      <c r="C47089" s="309"/>
      <c r="I47089" s="309"/>
      <c r="J47089" s="309"/>
    </row>
    <row r="47090">
      <c r="B47090" s="309"/>
      <c r="C47090" s="309"/>
      <c r="I47090" s="309"/>
      <c r="J47090" s="309"/>
    </row>
    <row r="47091">
      <c r="B47091" s="309"/>
      <c r="C47091" s="309"/>
      <c r="I47091" s="309"/>
      <c r="J47091" s="309"/>
    </row>
    <row r="47092">
      <c r="B47092" s="309"/>
      <c r="C47092" s="309"/>
      <c r="I47092" s="309"/>
      <c r="J47092" s="309"/>
    </row>
    <row r="47093">
      <c r="B47093" s="309"/>
      <c r="C47093" s="309"/>
      <c r="I47093" s="309"/>
      <c r="J47093" s="309"/>
    </row>
    <row r="47094">
      <c r="B47094" s="309"/>
      <c r="C47094" s="309"/>
      <c r="I47094" s="309"/>
      <c r="J47094" s="309"/>
    </row>
    <row r="47095">
      <c r="B47095" s="309"/>
      <c r="C47095" s="309"/>
      <c r="I47095" s="309"/>
      <c r="J47095" s="309"/>
    </row>
    <row r="47096">
      <c r="B47096" s="309"/>
      <c r="C47096" s="309"/>
      <c r="I47096" s="309"/>
      <c r="J47096" s="309"/>
    </row>
    <row r="47097">
      <c r="B47097" s="309"/>
      <c r="C47097" s="309"/>
      <c r="I47097" s="309"/>
      <c r="J47097" s="309"/>
    </row>
    <row r="47098">
      <c r="B47098" s="309"/>
      <c r="C47098" s="309"/>
      <c r="I47098" s="309"/>
      <c r="J47098" s="309"/>
    </row>
    <row r="47099">
      <c r="B47099" s="309"/>
      <c r="C47099" s="309"/>
      <c r="I47099" s="309"/>
      <c r="J47099" s="309"/>
    </row>
    <row r="47100">
      <c r="B47100" s="309"/>
      <c r="C47100" s="309"/>
      <c r="I47100" s="309"/>
      <c r="J47100" s="309"/>
    </row>
    <row r="47101">
      <c r="B47101" s="309"/>
      <c r="C47101" s="309"/>
      <c r="I47101" s="309"/>
      <c r="J47101" s="309"/>
    </row>
    <row r="47102">
      <c r="B47102" s="309"/>
      <c r="C47102" s="309"/>
      <c r="I47102" s="309"/>
      <c r="J47102" s="309"/>
    </row>
    <row r="47103">
      <c r="B47103" s="309"/>
      <c r="C47103" s="309"/>
      <c r="I47103" s="309"/>
      <c r="J47103" s="309"/>
    </row>
    <row r="47104">
      <c r="B47104" s="309"/>
      <c r="C47104" s="309"/>
      <c r="I47104" s="309"/>
      <c r="J47104" s="309"/>
    </row>
    <row r="47105">
      <c r="B47105" s="309"/>
      <c r="C47105" s="309"/>
      <c r="I47105" s="309"/>
      <c r="J47105" s="309"/>
    </row>
    <row r="47106">
      <c r="B47106" s="309"/>
      <c r="C47106" s="309"/>
      <c r="I47106" s="309"/>
      <c r="J47106" s="309"/>
    </row>
    <row r="47107">
      <c r="B47107" s="309"/>
      <c r="C47107" s="309"/>
      <c r="I47107" s="309"/>
      <c r="J47107" s="309"/>
    </row>
    <row r="47108">
      <c r="B47108" s="309"/>
      <c r="C47108" s="309"/>
      <c r="I47108" s="309"/>
      <c r="J47108" s="309"/>
    </row>
    <row r="47109">
      <c r="B47109" s="309"/>
      <c r="C47109" s="309"/>
      <c r="I47109" s="309"/>
      <c r="J47109" s="309"/>
    </row>
    <row r="47110">
      <c r="B47110" s="309"/>
      <c r="C47110" s="309"/>
      <c r="I47110" s="309"/>
      <c r="J47110" s="309"/>
    </row>
    <row r="47111">
      <c r="B47111" s="309"/>
      <c r="C47111" s="309"/>
      <c r="I47111" s="309"/>
      <c r="J47111" s="309"/>
    </row>
    <row r="47112">
      <c r="B47112" s="309"/>
      <c r="C47112" s="309"/>
      <c r="I47112" s="309"/>
      <c r="J47112" s="309"/>
    </row>
    <row r="47113">
      <c r="B47113" s="309"/>
      <c r="C47113" s="309"/>
      <c r="I47113" s="309"/>
      <c r="J47113" s="309"/>
    </row>
    <row r="47114">
      <c r="B47114" s="309"/>
      <c r="C47114" s="309"/>
      <c r="I47114" s="309"/>
      <c r="J47114" s="309"/>
    </row>
    <row r="47115">
      <c r="B47115" s="309"/>
      <c r="C47115" s="309"/>
      <c r="I47115" s="309"/>
      <c r="J47115" s="309"/>
    </row>
    <row r="47116">
      <c r="B47116" s="309"/>
      <c r="C47116" s="309"/>
      <c r="I47116" s="309"/>
      <c r="J47116" s="309"/>
    </row>
    <row r="47117">
      <c r="B47117" s="309"/>
      <c r="C47117" s="309"/>
      <c r="I47117" s="309"/>
      <c r="J47117" s="309"/>
    </row>
    <row r="47118">
      <c r="B47118" s="309"/>
      <c r="C47118" s="309"/>
      <c r="I47118" s="309"/>
      <c r="J47118" s="309"/>
    </row>
    <row r="47119">
      <c r="B47119" s="309"/>
      <c r="C47119" s="309"/>
      <c r="I47119" s="309"/>
      <c r="J47119" s="309"/>
    </row>
    <row r="47120">
      <c r="B47120" s="309"/>
      <c r="C47120" s="309"/>
      <c r="I47120" s="309"/>
      <c r="J47120" s="309"/>
    </row>
    <row r="47121">
      <c r="B47121" s="309"/>
      <c r="C47121" s="309"/>
      <c r="I47121" s="309"/>
      <c r="J47121" s="309"/>
    </row>
    <row r="47122">
      <c r="B47122" s="309"/>
      <c r="C47122" s="309"/>
      <c r="I47122" s="309"/>
      <c r="J47122" s="309"/>
    </row>
    <row r="47123">
      <c r="B47123" s="309"/>
      <c r="C47123" s="309"/>
      <c r="I47123" s="309"/>
      <c r="J47123" s="309"/>
    </row>
    <row r="47124">
      <c r="B47124" s="309"/>
      <c r="C47124" s="309"/>
      <c r="I47124" s="309"/>
      <c r="J47124" s="309"/>
    </row>
    <row r="47125">
      <c r="B47125" s="309"/>
      <c r="C47125" s="309"/>
      <c r="I47125" s="309"/>
      <c r="J47125" s="309"/>
    </row>
    <row r="47126">
      <c r="B47126" s="309"/>
      <c r="C47126" s="309"/>
      <c r="I47126" s="309"/>
      <c r="J47126" s="309"/>
    </row>
    <row r="47127">
      <c r="B47127" s="309"/>
      <c r="C47127" s="309"/>
      <c r="I47127" s="309"/>
      <c r="J47127" s="309"/>
    </row>
    <row r="47128">
      <c r="B47128" s="309"/>
      <c r="C47128" s="309"/>
      <c r="I47128" s="309"/>
      <c r="J47128" s="309"/>
    </row>
    <row r="47129">
      <c r="B47129" s="309"/>
      <c r="C47129" s="309"/>
      <c r="I47129" s="309"/>
      <c r="J47129" s="309"/>
    </row>
    <row r="47130">
      <c r="B47130" s="309"/>
      <c r="C47130" s="309"/>
      <c r="I47130" s="309"/>
      <c r="J47130" s="309"/>
    </row>
    <row r="47131">
      <c r="B47131" s="309"/>
      <c r="C47131" s="309"/>
      <c r="I47131" s="309"/>
      <c r="J47131" s="309"/>
    </row>
    <row r="47132">
      <c r="B47132" s="309"/>
      <c r="C47132" s="309"/>
      <c r="I47132" s="309"/>
      <c r="J47132" s="309"/>
    </row>
    <row r="47133">
      <c r="B47133" s="309"/>
      <c r="C47133" s="309"/>
      <c r="I47133" s="309"/>
      <c r="J47133" s="309"/>
    </row>
    <row r="47134">
      <c r="B47134" s="309"/>
      <c r="C47134" s="309"/>
      <c r="I47134" s="309"/>
      <c r="J47134" s="309"/>
    </row>
    <row r="47135">
      <c r="B47135" s="309"/>
      <c r="C47135" s="309"/>
      <c r="I47135" s="309"/>
      <c r="J47135" s="309"/>
    </row>
    <row r="47136">
      <c r="B47136" s="309"/>
      <c r="C47136" s="309"/>
      <c r="I47136" s="309"/>
      <c r="J47136" s="309"/>
    </row>
    <row r="47137">
      <c r="B47137" s="309"/>
      <c r="C47137" s="309"/>
      <c r="I47137" s="309"/>
      <c r="J47137" s="309"/>
    </row>
    <row r="47138">
      <c r="B47138" s="309"/>
      <c r="C47138" s="309"/>
      <c r="I47138" s="309"/>
      <c r="J47138" s="309"/>
    </row>
    <row r="47139">
      <c r="B47139" s="309"/>
      <c r="C47139" s="309"/>
      <c r="I47139" s="309"/>
      <c r="J47139" s="309"/>
    </row>
    <row r="47140">
      <c r="B47140" s="309"/>
      <c r="C47140" s="309"/>
      <c r="I47140" s="309"/>
      <c r="J47140" s="309"/>
    </row>
    <row r="47141">
      <c r="B47141" s="309"/>
      <c r="C47141" s="309"/>
      <c r="I47141" s="309"/>
      <c r="J47141" s="309"/>
    </row>
    <row r="47142">
      <c r="B47142" s="309"/>
      <c r="C47142" s="309"/>
      <c r="I47142" s="309"/>
      <c r="J47142" s="309"/>
    </row>
    <row r="47143">
      <c r="B47143" s="309"/>
      <c r="C47143" s="309"/>
      <c r="I47143" s="309"/>
      <c r="J47143" s="309"/>
    </row>
    <row r="47144">
      <c r="B47144" s="309"/>
      <c r="C47144" s="309"/>
      <c r="I47144" s="309"/>
      <c r="J47144" s="309"/>
    </row>
    <row r="47145">
      <c r="B47145" s="309"/>
      <c r="C47145" s="309"/>
      <c r="I47145" s="309"/>
      <c r="J47145" s="309"/>
    </row>
    <row r="47146">
      <c r="B47146" s="309"/>
      <c r="C47146" s="309"/>
      <c r="I47146" s="309"/>
      <c r="J47146" s="309"/>
    </row>
    <row r="47147">
      <c r="B47147" s="309"/>
      <c r="C47147" s="309"/>
      <c r="I47147" s="309"/>
      <c r="J47147" s="309"/>
    </row>
    <row r="47148">
      <c r="B47148" s="309"/>
      <c r="C47148" s="309"/>
      <c r="I47148" s="309"/>
      <c r="J47148" s="309"/>
    </row>
    <row r="47149">
      <c r="B47149" s="309"/>
      <c r="C47149" s="309"/>
      <c r="I47149" s="309"/>
      <c r="J47149" s="309"/>
    </row>
    <row r="47150">
      <c r="B47150" s="309"/>
      <c r="C47150" s="309"/>
      <c r="I47150" s="309"/>
      <c r="J47150" s="309"/>
    </row>
    <row r="47151">
      <c r="B47151" s="309"/>
      <c r="C47151" s="309"/>
      <c r="I47151" s="309"/>
      <c r="J47151" s="309"/>
    </row>
    <row r="47152">
      <c r="B47152" s="309"/>
      <c r="C47152" s="309"/>
      <c r="I47152" s="309"/>
      <c r="J47152" s="309"/>
    </row>
    <row r="47153">
      <c r="B47153" s="309"/>
      <c r="C47153" s="309"/>
      <c r="I47153" s="309"/>
      <c r="J47153" s="309"/>
    </row>
    <row r="47154">
      <c r="B47154" s="309"/>
      <c r="C47154" s="309"/>
      <c r="I47154" s="309"/>
      <c r="J47154" s="309"/>
    </row>
    <row r="47155">
      <c r="B47155" s="309"/>
      <c r="C47155" s="309"/>
      <c r="I47155" s="309"/>
      <c r="J47155" s="309"/>
    </row>
    <row r="47156">
      <c r="B47156" s="309"/>
      <c r="C47156" s="309"/>
      <c r="I47156" s="309"/>
      <c r="J47156" s="309"/>
    </row>
    <row r="47157">
      <c r="B47157" s="309"/>
      <c r="C47157" s="309"/>
      <c r="I47157" s="309"/>
      <c r="J47157" s="309"/>
    </row>
    <row r="47158">
      <c r="B47158" s="309"/>
      <c r="C47158" s="309"/>
      <c r="I47158" s="309"/>
      <c r="J47158" s="309"/>
    </row>
    <row r="47159">
      <c r="B47159" s="309"/>
      <c r="C47159" s="309"/>
      <c r="I47159" s="309"/>
      <c r="J47159" s="309"/>
    </row>
    <row r="47160">
      <c r="B47160" s="309"/>
      <c r="C47160" s="309"/>
      <c r="I47160" s="309"/>
      <c r="J47160" s="309"/>
    </row>
    <row r="47161">
      <c r="B47161" s="309"/>
      <c r="C47161" s="309"/>
      <c r="I47161" s="309"/>
      <c r="J47161" s="309"/>
    </row>
    <row r="47162">
      <c r="B47162" s="309"/>
      <c r="C47162" s="309"/>
      <c r="I47162" s="309"/>
      <c r="J47162" s="309"/>
    </row>
    <row r="47163">
      <c r="B47163" s="309"/>
      <c r="C47163" s="309"/>
      <c r="I47163" s="309"/>
      <c r="J47163" s="309"/>
    </row>
    <row r="47164">
      <c r="B47164" s="309"/>
      <c r="C47164" s="309"/>
      <c r="I47164" s="309"/>
      <c r="J47164" s="309"/>
    </row>
    <row r="47165">
      <c r="B47165" s="309"/>
      <c r="C47165" s="309"/>
      <c r="I47165" s="309"/>
      <c r="J47165" s="309"/>
    </row>
    <row r="47166">
      <c r="B47166" s="309"/>
      <c r="C47166" s="309"/>
      <c r="I47166" s="309"/>
      <c r="J47166" s="309"/>
    </row>
    <row r="47167">
      <c r="B47167" s="309"/>
      <c r="C47167" s="309"/>
      <c r="I47167" s="309"/>
      <c r="J47167" s="309"/>
    </row>
    <row r="47168">
      <c r="B47168" s="309"/>
      <c r="C47168" s="309"/>
      <c r="I47168" s="309"/>
      <c r="J47168" s="309"/>
    </row>
    <row r="47169">
      <c r="B47169" s="309"/>
      <c r="C47169" s="309"/>
      <c r="I47169" s="309"/>
      <c r="J47169" s="309"/>
    </row>
    <row r="47170">
      <c r="B47170" s="309"/>
      <c r="C47170" s="309"/>
      <c r="I47170" s="309"/>
      <c r="J47170" s="309"/>
    </row>
    <row r="47171">
      <c r="B47171" s="309"/>
      <c r="C47171" s="309"/>
      <c r="I47171" s="309"/>
      <c r="J47171" s="309"/>
    </row>
    <row r="47172">
      <c r="B47172" s="309"/>
      <c r="C47172" s="309"/>
      <c r="I47172" s="309"/>
      <c r="J47172" s="309"/>
    </row>
    <row r="47173">
      <c r="B47173" s="309"/>
      <c r="C47173" s="309"/>
      <c r="I47173" s="309"/>
      <c r="J47173" s="309"/>
    </row>
    <row r="47174">
      <c r="B47174" s="309"/>
      <c r="C47174" s="309"/>
      <c r="I47174" s="309"/>
      <c r="J47174" s="309"/>
    </row>
    <row r="47175">
      <c r="B47175" s="309"/>
      <c r="C47175" s="309"/>
      <c r="I47175" s="309"/>
      <c r="J47175" s="309"/>
    </row>
    <row r="47176">
      <c r="B47176" s="309"/>
      <c r="C47176" s="309"/>
      <c r="I47176" s="309"/>
      <c r="J47176" s="309"/>
    </row>
    <row r="47177">
      <c r="B47177" s="309"/>
      <c r="C47177" s="309"/>
      <c r="I47177" s="309"/>
      <c r="J47177" s="309"/>
    </row>
    <row r="47178">
      <c r="B47178" s="309"/>
      <c r="C47178" s="309"/>
      <c r="I47178" s="309"/>
      <c r="J47178" s="309"/>
    </row>
    <row r="47179">
      <c r="B47179" s="309"/>
      <c r="C47179" s="309"/>
      <c r="I47179" s="309"/>
      <c r="J47179" s="309"/>
    </row>
    <row r="47180">
      <c r="B47180" s="309"/>
      <c r="C47180" s="309"/>
      <c r="I47180" s="309"/>
      <c r="J47180" s="309"/>
    </row>
    <row r="47181">
      <c r="B47181" s="309"/>
      <c r="C47181" s="309"/>
      <c r="I47181" s="309"/>
      <c r="J47181" s="309"/>
    </row>
    <row r="47182">
      <c r="B47182" s="309"/>
      <c r="C47182" s="309"/>
      <c r="I47182" s="309"/>
      <c r="J47182" s="309"/>
    </row>
    <row r="47183">
      <c r="B47183" s="309"/>
      <c r="C47183" s="309"/>
      <c r="I47183" s="309"/>
      <c r="J47183" s="309"/>
    </row>
    <row r="47184">
      <c r="B47184" s="309"/>
      <c r="C47184" s="309"/>
      <c r="I47184" s="309"/>
      <c r="J47184" s="309"/>
    </row>
    <row r="47185">
      <c r="B47185" s="309"/>
      <c r="C47185" s="309"/>
      <c r="I47185" s="309"/>
      <c r="J47185" s="309"/>
    </row>
    <row r="47186">
      <c r="B47186" s="309"/>
      <c r="C47186" s="309"/>
      <c r="I47186" s="309"/>
      <c r="J47186" s="309"/>
    </row>
    <row r="47187">
      <c r="B47187" s="309"/>
      <c r="C47187" s="309"/>
      <c r="I47187" s="309"/>
      <c r="J47187" s="309"/>
    </row>
    <row r="47188">
      <c r="B47188" s="309"/>
      <c r="C47188" s="309"/>
      <c r="I47188" s="309"/>
      <c r="J47188" s="309"/>
    </row>
    <row r="47189">
      <c r="B47189" s="309"/>
      <c r="C47189" s="309"/>
      <c r="I47189" s="309"/>
      <c r="J47189" s="309"/>
    </row>
    <row r="47190">
      <c r="B47190" s="309"/>
      <c r="C47190" s="309"/>
      <c r="I47190" s="309"/>
      <c r="J47190" s="309"/>
    </row>
    <row r="47191">
      <c r="B47191" s="309"/>
      <c r="C47191" s="309"/>
      <c r="I47191" s="309"/>
      <c r="J47191" s="309"/>
    </row>
    <row r="47192">
      <c r="B47192" s="309"/>
      <c r="C47192" s="309"/>
      <c r="I47192" s="309"/>
      <c r="J47192" s="309"/>
    </row>
    <row r="47193">
      <c r="B47193" s="309"/>
      <c r="C47193" s="309"/>
      <c r="I47193" s="309"/>
      <c r="J47193" s="309"/>
    </row>
    <row r="47194">
      <c r="B47194" s="309"/>
      <c r="C47194" s="309"/>
      <c r="I47194" s="309"/>
      <c r="J47194" s="309"/>
    </row>
    <row r="47195">
      <c r="B47195" s="309"/>
      <c r="C47195" s="309"/>
      <c r="I47195" s="309"/>
      <c r="J47195" s="309"/>
    </row>
    <row r="47196">
      <c r="B47196" s="309"/>
      <c r="C47196" s="309"/>
      <c r="I47196" s="309"/>
      <c r="J47196" s="309"/>
    </row>
    <row r="47197">
      <c r="B47197" s="309"/>
      <c r="C47197" s="309"/>
      <c r="I47197" s="309"/>
      <c r="J47197" s="309"/>
    </row>
    <row r="47198">
      <c r="B47198" s="309"/>
      <c r="C47198" s="309"/>
      <c r="I47198" s="309"/>
      <c r="J47198" s="309"/>
    </row>
    <row r="47199">
      <c r="B47199" s="309"/>
      <c r="C47199" s="309"/>
      <c r="I47199" s="309"/>
      <c r="J47199" s="309"/>
    </row>
    <row r="47200">
      <c r="B47200" s="309"/>
      <c r="C47200" s="309"/>
      <c r="I47200" s="309"/>
      <c r="J47200" s="309"/>
    </row>
    <row r="47201">
      <c r="B47201" s="309"/>
      <c r="C47201" s="309"/>
      <c r="I47201" s="309"/>
      <c r="J47201" s="309"/>
    </row>
    <row r="47202">
      <c r="B47202" s="309"/>
      <c r="C47202" s="309"/>
      <c r="I47202" s="309"/>
      <c r="J47202" s="309"/>
    </row>
    <row r="47203">
      <c r="B47203" s="309"/>
      <c r="C47203" s="309"/>
      <c r="I47203" s="309"/>
      <c r="J47203" s="309"/>
    </row>
    <row r="47204">
      <c r="B47204" s="309"/>
      <c r="C47204" s="309"/>
      <c r="I47204" s="309"/>
      <c r="J47204" s="309"/>
    </row>
    <row r="47205">
      <c r="B47205" s="309"/>
      <c r="C47205" s="309"/>
      <c r="I47205" s="309"/>
      <c r="J47205" s="309"/>
    </row>
    <row r="47206">
      <c r="B47206" s="309"/>
      <c r="C47206" s="309"/>
      <c r="I47206" s="309"/>
      <c r="J47206" s="309"/>
    </row>
    <row r="47207">
      <c r="B47207" s="309"/>
      <c r="C47207" s="309"/>
      <c r="I47207" s="309"/>
      <c r="J47207" s="309"/>
    </row>
    <row r="47208">
      <c r="B47208" s="309"/>
      <c r="C47208" s="309"/>
      <c r="I47208" s="309"/>
      <c r="J47208" s="309"/>
    </row>
    <row r="47209">
      <c r="B47209" s="309"/>
      <c r="C47209" s="309"/>
      <c r="I47209" s="309"/>
      <c r="J47209" s="309"/>
    </row>
    <row r="47210">
      <c r="B47210" s="309"/>
      <c r="C47210" s="309"/>
      <c r="I47210" s="309"/>
      <c r="J47210" s="309"/>
    </row>
    <row r="47211">
      <c r="B47211" s="309"/>
      <c r="C47211" s="309"/>
      <c r="I47211" s="309"/>
      <c r="J47211" s="309"/>
    </row>
    <row r="47212">
      <c r="B47212" s="309"/>
      <c r="C47212" s="309"/>
      <c r="I47212" s="309"/>
      <c r="J47212" s="309"/>
    </row>
    <row r="47213">
      <c r="B47213" s="309"/>
      <c r="C47213" s="309"/>
      <c r="I47213" s="309"/>
      <c r="J47213" s="309"/>
    </row>
    <row r="47214">
      <c r="B47214" s="309"/>
      <c r="C47214" s="309"/>
      <c r="I47214" s="309"/>
      <c r="J47214" s="309"/>
    </row>
    <row r="47215">
      <c r="B47215" s="309"/>
      <c r="C47215" s="309"/>
      <c r="I47215" s="309"/>
      <c r="J47215" s="309"/>
    </row>
    <row r="47216">
      <c r="B47216" s="309"/>
      <c r="C47216" s="309"/>
      <c r="I47216" s="309"/>
      <c r="J47216" s="309"/>
    </row>
    <row r="47217">
      <c r="B47217" s="309"/>
      <c r="C47217" s="309"/>
      <c r="I47217" s="309"/>
      <c r="J47217" s="309"/>
    </row>
    <row r="47218">
      <c r="B47218" s="309"/>
      <c r="C47218" s="309"/>
      <c r="I47218" s="309"/>
      <c r="J47218" s="309"/>
    </row>
    <row r="47219">
      <c r="B47219" s="309"/>
      <c r="C47219" s="309"/>
      <c r="I47219" s="309"/>
      <c r="J47219" s="309"/>
    </row>
    <row r="47220">
      <c r="B47220" s="309"/>
      <c r="C47220" s="309"/>
      <c r="I47220" s="309"/>
      <c r="J47220" s="309"/>
    </row>
    <row r="47221">
      <c r="B47221" s="309"/>
      <c r="C47221" s="309"/>
      <c r="I47221" s="309"/>
      <c r="J47221" s="309"/>
    </row>
    <row r="47222">
      <c r="B47222" s="309"/>
      <c r="C47222" s="309"/>
      <c r="I47222" s="309"/>
      <c r="J47222" s="309"/>
    </row>
    <row r="47223">
      <c r="B47223" s="309"/>
      <c r="C47223" s="309"/>
      <c r="I47223" s="309"/>
      <c r="J47223" s="309"/>
    </row>
    <row r="47224">
      <c r="B47224" s="309"/>
      <c r="C47224" s="309"/>
      <c r="I47224" s="309"/>
      <c r="J47224" s="309"/>
    </row>
    <row r="47225">
      <c r="B47225" s="309"/>
      <c r="C47225" s="309"/>
      <c r="I47225" s="309"/>
      <c r="J47225" s="309"/>
    </row>
    <row r="47226">
      <c r="B47226" s="309"/>
      <c r="C47226" s="309"/>
      <c r="I47226" s="309"/>
      <c r="J47226" s="309"/>
    </row>
    <row r="47227">
      <c r="B47227" s="309"/>
      <c r="C47227" s="309"/>
      <c r="I47227" s="309"/>
      <c r="J47227" s="309"/>
    </row>
    <row r="47228">
      <c r="B47228" s="309"/>
      <c r="C47228" s="309"/>
      <c r="I47228" s="309"/>
      <c r="J47228" s="309"/>
    </row>
    <row r="47229">
      <c r="B47229" s="309"/>
      <c r="C47229" s="309"/>
      <c r="I47229" s="309"/>
      <c r="J47229" s="309"/>
    </row>
    <row r="47230">
      <c r="B47230" s="309"/>
      <c r="C47230" s="309"/>
      <c r="I47230" s="309"/>
      <c r="J47230" s="309"/>
    </row>
    <row r="47231">
      <c r="B47231" s="309"/>
      <c r="C47231" s="309"/>
      <c r="I47231" s="309"/>
      <c r="J47231" s="309"/>
    </row>
    <row r="47232">
      <c r="B47232" s="309"/>
      <c r="C47232" s="309"/>
      <c r="I47232" s="309"/>
      <c r="J47232" s="309"/>
    </row>
    <row r="47233">
      <c r="B47233" s="309"/>
      <c r="C47233" s="309"/>
      <c r="I47233" s="309"/>
      <c r="J47233" s="309"/>
    </row>
    <row r="47234">
      <c r="B47234" s="309"/>
      <c r="C47234" s="309"/>
      <c r="I47234" s="309"/>
      <c r="J47234" s="309"/>
    </row>
    <row r="47235">
      <c r="B47235" s="309"/>
      <c r="C47235" s="309"/>
      <c r="I47235" s="309"/>
      <c r="J47235" s="309"/>
    </row>
    <row r="47236">
      <c r="B47236" s="309"/>
      <c r="C47236" s="309"/>
      <c r="I47236" s="309"/>
      <c r="J47236" s="309"/>
    </row>
    <row r="47237">
      <c r="B47237" s="309"/>
      <c r="C47237" s="309"/>
      <c r="I47237" s="309"/>
      <c r="J47237" s="309"/>
    </row>
    <row r="47238">
      <c r="B47238" s="309"/>
      <c r="C47238" s="309"/>
      <c r="I47238" s="309"/>
      <c r="J47238" s="309"/>
    </row>
    <row r="47239">
      <c r="B47239" s="309"/>
      <c r="C47239" s="309"/>
      <c r="I47239" s="309"/>
      <c r="J47239" s="309"/>
    </row>
    <row r="47240">
      <c r="B47240" s="309"/>
      <c r="C47240" s="309"/>
      <c r="I47240" s="309"/>
      <c r="J47240" s="309"/>
    </row>
    <row r="47241">
      <c r="B47241" s="309"/>
      <c r="C47241" s="309"/>
      <c r="I47241" s="309"/>
      <c r="J47241" s="309"/>
    </row>
    <row r="47242">
      <c r="B47242" s="309"/>
      <c r="C47242" s="309"/>
      <c r="I47242" s="309"/>
      <c r="J47242" s="309"/>
    </row>
    <row r="47243">
      <c r="B47243" s="309"/>
      <c r="C47243" s="309"/>
      <c r="I47243" s="309"/>
      <c r="J47243" s="309"/>
    </row>
    <row r="47244">
      <c r="B47244" s="309"/>
      <c r="C47244" s="309"/>
      <c r="I47244" s="309"/>
      <c r="J47244" s="309"/>
    </row>
    <row r="47245">
      <c r="B47245" s="309"/>
      <c r="C47245" s="309"/>
      <c r="I47245" s="309"/>
      <c r="J47245" s="309"/>
    </row>
    <row r="47246">
      <c r="B47246" s="309"/>
      <c r="C47246" s="309"/>
      <c r="I47246" s="309"/>
      <c r="J47246" s="309"/>
    </row>
    <row r="47247">
      <c r="B47247" s="309"/>
      <c r="C47247" s="309"/>
      <c r="I47247" s="309"/>
      <c r="J47247" s="309"/>
    </row>
    <row r="47248">
      <c r="B47248" s="309"/>
      <c r="C47248" s="309"/>
      <c r="I47248" s="309"/>
      <c r="J47248" s="309"/>
    </row>
    <row r="47249">
      <c r="B47249" s="309"/>
      <c r="C47249" s="309"/>
      <c r="I47249" s="309"/>
      <c r="J47249" s="309"/>
    </row>
    <row r="47250">
      <c r="B47250" s="309"/>
      <c r="C47250" s="309"/>
      <c r="I47250" s="309"/>
      <c r="J47250" s="309"/>
    </row>
    <row r="47251">
      <c r="B47251" s="309"/>
      <c r="C47251" s="309"/>
      <c r="I47251" s="309"/>
      <c r="J47251" s="309"/>
    </row>
    <row r="47252">
      <c r="B47252" s="309"/>
      <c r="C47252" s="309"/>
      <c r="I47252" s="309"/>
      <c r="J47252" s="309"/>
    </row>
    <row r="47253">
      <c r="B47253" s="309"/>
      <c r="C47253" s="309"/>
      <c r="I47253" s="309"/>
      <c r="J47253" s="309"/>
    </row>
    <row r="47254">
      <c r="B47254" s="309"/>
      <c r="C47254" s="309"/>
      <c r="I47254" s="309"/>
      <c r="J47254" s="309"/>
    </row>
    <row r="47255">
      <c r="B47255" s="309"/>
      <c r="C47255" s="309"/>
      <c r="I47255" s="309"/>
      <c r="J47255" s="309"/>
    </row>
    <row r="47256">
      <c r="B47256" s="309"/>
      <c r="C47256" s="309"/>
      <c r="I47256" s="309"/>
      <c r="J47256" s="309"/>
    </row>
    <row r="47257">
      <c r="B47257" s="309"/>
      <c r="C47257" s="309"/>
      <c r="I47257" s="309"/>
      <c r="J47257" s="309"/>
    </row>
    <row r="47258">
      <c r="B47258" s="309"/>
      <c r="C47258" s="309"/>
      <c r="I47258" s="309"/>
      <c r="J47258" s="309"/>
    </row>
    <row r="47259">
      <c r="B47259" s="309"/>
      <c r="C47259" s="309"/>
      <c r="I47259" s="309"/>
      <c r="J47259" s="309"/>
    </row>
    <row r="47260">
      <c r="B47260" s="309"/>
      <c r="C47260" s="309"/>
      <c r="I47260" s="309"/>
      <c r="J47260" s="309"/>
    </row>
    <row r="47261">
      <c r="B47261" s="309"/>
      <c r="C47261" s="309"/>
      <c r="I47261" s="309"/>
      <c r="J47261" s="309"/>
    </row>
    <row r="47262">
      <c r="B47262" s="309"/>
      <c r="C47262" s="309"/>
      <c r="I47262" s="309"/>
      <c r="J47262" s="309"/>
    </row>
    <row r="47263">
      <c r="B47263" s="309"/>
      <c r="C47263" s="309"/>
      <c r="I47263" s="309"/>
      <c r="J47263" s="309"/>
    </row>
    <row r="47264">
      <c r="B47264" s="309"/>
      <c r="C47264" s="309"/>
      <c r="I47264" s="309"/>
      <c r="J47264" s="309"/>
    </row>
    <row r="47265">
      <c r="B47265" s="309"/>
      <c r="C47265" s="309"/>
      <c r="I47265" s="309"/>
      <c r="J47265" s="309"/>
    </row>
    <row r="47266">
      <c r="B47266" s="309"/>
      <c r="C47266" s="309"/>
      <c r="I47266" s="309"/>
      <c r="J47266" s="309"/>
    </row>
    <row r="47267">
      <c r="B47267" s="309"/>
      <c r="C47267" s="309"/>
      <c r="I47267" s="309"/>
      <c r="J47267" s="309"/>
    </row>
    <row r="47268">
      <c r="B47268" s="309"/>
      <c r="C47268" s="309"/>
      <c r="I47268" s="309"/>
      <c r="J47268" s="309"/>
    </row>
    <row r="47269">
      <c r="B47269" s="309"/>
      <c r="C47269" s="309"/>
      <c r="I47269" s="309"/>
      <c r="J47269" s="309"/>
    </row>
    <row r="47270">
      <c r="B47270" s="309"/>
      <c r="C47270" s="309"/>
      <c r="I47270" s="309"/>
      <c r="J47270" s="309"/>
    </row>
    <row r="47271">
      <c r="B47271" s="309"/>
      <c r="C47271" s="309"/>
      <c r="I47271" s="309"/>
      <c r="J47271" s="309"/>
    </row>
    <row r="47272">
      <c r="B47272" s="309"/>
      <c r="C47272" s="309"/>
      <c r="I47272" s="309"/>
      <c r="J47272" s="309"/>
    </row>
    <row r="47273">
      <c r="B47273" s="309"/>
      <c r="C47273" s="309"/>
      <c r="I47273" s="309"/>
      <c r="J47273" s="309"/>
    </row>
    <row r="47274">
      <c r="B47274" s="309"/>
      <c r="C47274" s="309"/>
      <c r="I47274" s="309"/>
      <c r="J47274" s="309"/>
    </row>
    <row r="47275">
      <c r="B47275" s="309"/>
      <c r="C47275" s="309"/>
      <c r="I47275" s="309"/>
      <c r="J47275" s="309"/>
    </row>
    <row r="47276">
      <c r="B47276" s="309"/>
      <c r="C47276" s="309"/>
      <c r="I47276" s="309"/>
      <c r="J47276" s="309"/>
    </row>
    <row r="47277">
      <c r="B47277" s="309"/>
      <c r="C47277" s="309"/>
      <c r="I47277" s="309"/>
      <c r="J47277" s="309"/>
    </row>
    <row r="47278">
      <c r="B47278" s="309"/>
      <c r="C47278" s="309"/>
      <c r="I47278" s="309"/>
      <c r="J47278" s="309"/>
    </row>
    <row r="47279">
      <c r="B47279" s="309"/>
      <c r="C47279" s="309"/>
      <c r="I47279" s="309"/>
      <c r="J47279" s="309"/>
    </row>
    <row r="47280">
      <c r="B47280" s="309"/>
      <c r="C47280" s="309"/>
      <c r="I47280" s="309"/>
      <c r="J47280" s="309"/>
    </row>
    <row r="47281">
      <c r="B47281" s="309"/>
      <c r="C47281" s="309"/>
      <c r="I47281" s="309"/>
      <c r="J47281" s="309"/>
    </row>
    <row r="47282">
      <c r="B47282" s="309"/>
      <c r="C47282" s="309"/>
      <c r="I47282" s="309"/>
      <c r="J47282" s="309"/>
    </row>
    <row r="47283">
      <c r="B47283" s="309"/>
      <c r="C47283" s="309"/>
      <c r="I47283" s="309"/>
      <c r="J47283" s="309"/>
    </row>
    <row r="47284">
      <c r="B47284" s="309"/>
      <c r="C47284" s="309"/>
      <c r="I47284" s="309"/>
      <c r="J47284" s="309"/>
    </row>
    <row r="47285">
      <c r="B47285" s="309"/>
      <c r="C47285" s="309"/>
      <c r="I47285" s="309"/>
      <c r="J47285" s="309"/>
    </row>
    <row r="47286">
      <c r="B47286" s="309"/>
      <c r="C47286" s="309"/>
      <c r="I47286" s="309"/>
      <c r="J47286" s="309"/>
    </row>
    <row r="47287">
      <c r="B47287" s="309"/>
      <c r="C47287" s="309"/>
      <c r="I47287" s="309"/>
      <c r="J47287" s="309"/>
    </row>
    <row r="47288">
      <c r="B47288" s="309"/>
      <c r="C47288" s="309"/>
      <c r="I47288" s="309"/>
      <c r="J47288" s="309"/>
    </row>
    <row r="47289">
      <c r="B47289" s="309"/>
      <c r="C47289" s="309"/>
      <c r="I47289" s="309"/>
      <c r="J47289" s="309"/>
    </row>
    <row r="47290">
      <c r="B47290" s="309"/>
      <c r="C47290" s="309"/>
      <c r="I47290" s="309"/>
      <c r="J47290" s="309"/>
    </row>
    <row r="47291">
      <c r="B47291" s="309"/>
      <c r="C47291" s="309"/>
      <c r="I47291" s="309"/>
      <c r="J47291" s="309"/>
    </row>
    <row r="47292">
      <c r="B47292" s="309"/>
      <c r="C47292" s="309"/>
      <c r="I47292" s="309"/>
      <c r="J47292" s="309"/>
    </row>
    <row r="47293">
      <c r="B47293" s="309"/>
      <c r="C47293" s="309"/>
      <c r="I47293" s="309"/>
      <c r="J47293" s="309"/>
    </row>
    <row r="47294">
      <c r="B47294" s="309"/>
      <c r="C47294" s="309"/>
      <c r="I47294" s="309"/>
      <c r="J47294" s="309"/>
    </row>
    <row r="47295">
      <c r="B47295" s="309"/>
      <c r="C47295" s="309"/>
      <c r="I47295" s="309"/>
      <c r="J47295" s="309"/>
    </row>
    <row r="47296">
      <c r="B47296" s="309"/>
      <c r="C47296" s="309"/>
      <c r="I47296" s="309"/>
      <c r="J47296" s="309"/>
    </row>
    <row r="47297">
      <c r="B47297" s="309"/>
      <c r="C47297" s="309"/>
      <c r="I47297" s="309"/>
      <c r="J47297" s="309"/>
    </row>
    <row r="47298">
      <c r="B47298" s="309"/>
      <c r="C47298" s="309"/>
      <c r="I47298" s="309"/>
      <c r="J47298" s="309"/>
    </row>
    <row r="47299">
      <c r="B47299" s="309"/>
      <c r="C47299" s="309"/>
      <c r="I47299" s="309"/>
      <c r="J47299" s="309"/>
    </row>
    <row r="47300">
      <c r="B47300" s="309"/>
      <c r="C47300" s="309"/>
      <c r="I47300" s="309"/>
      <c r="J47300" s="309"/>
    </row>
    <row r="47301">
      <c r="B47301" s="309"/>
      <c r="C47301" s="309"/>
      <c r="I47301" s="309"/>
      <c r="J47301" s="309"/>
    </row>
    <row r="47302">
      <c r="B47302" s="309"/>
      <c r="C47302" s="309"/>
      <c r="I47302" s="309"/>
      <c r="J47302" s="309"/>
    </row>
    <row r="47303">
      <c r="B47303" s="309"/>
      <c r="C47303" s="309"/>
      <c r="I47303" s="309"/>
      <c r="J47303" s="309"/>
    </row>
    <row r="47304">
      <c r="B47304" s="309"/>
      <c r="C47304" s="309"/>
      <c r="I47304" s="309"/>
      <c r="J47304" s="309"/>
    </row>
    <row r="47305">
      <c r="B47305" s="309"/>
      <c r="C47305" s="309"/>
      <c r="I47305" s="309"/>
      <c r="J47305" s="309"/>
    </row>
    <row r="47306">
      <c r="B47306" s="309"/>
      <c r="C47306" s="309"/>
      <c r="I47306" s="309"/>
      <c r="J47306" s="309"/>
    </row>
    <row r="47307">
      <c r="B47307" s="309"/>
      <c r="C47307" s="309"/>
      <c r="I47307" s="309"/>
      <c r="J47307" s="309"/>
    </row>
    <row r="47308">
      <c r="B47308" s="309"/>
      <c r="C47308" s="309"/>
      <c r="I47308" s="309"/>
      <c r="J47308" s="309"/>
    </row>
    <row r="47309">
      <c r="B47309" s="309"/>
      <c r="C47309" s="309"/>
      <c r="I47309" s="309"/>
      <c r="J47309" s="309"/>
    </row>
    <row r="47310">
      <c r="B47310" s="309"/>
      <c r="C47310" s="309"/>
      <c r="I47310" s="309"/>
      <c r="J47310" s="309"/>
    </row>
    <row r="47311">
      <c r="B47311" s="309"/>
      <c r="C47311" s="309"/>
      <c r="I47311" s="309"/>
      <c r="J47311" s="309"/>
    </row>
    <row r="47312">
      <c r="B47312" s="309"/>
      <c r="C47312" s="309"/>
      <c r="I47312" s="309"/>
      <c r="J47312" s="309"/>
    </row>
    <row r="47313">
      <c r="B47313" s="309"/>
      <c r="C47313" s="309"/>
      <c r="I47313" s="309"/>
      <c r="J47313" s="309"/>
    </row>
    <row r="47314">
      <c r="B47314" s="309"/>
      <c r="C47314" s="309"/>
      <c r="I47314" s="309"/>
      <c r="J47314" s="309"/>
    </row>
    <row r="47315">
      <c r="B47315" s="309"/>
      <c r="C47315" s="309"/>
      <c r="I47315" s="309"/>
      <c r="J47315" s="309"/>
    </row>
    <row r="47316">
      <c r="B47316" s="309"/>
      <c r="C47316" s="309"/>
      <c r="I47316" s="309"/>
      <c r="J47316" s="309"/>
    </row>
    <row r="47317">
      <c r="B47317" s="309"/>
      <c r="C47317" s="309"/>
      <c r="I47317" s="309"/>
      <c r="J47317" s="309"/>
    </row>
    <row r="47318">
      <c r="B47318" s="309"/>
      <c r="C47318" s="309"/>
      <c r="I47318" s="309"/>
      <c r="J47318" s="309"/>
    </row>
    <row r="47319">
      <c r="B47319" s="309"/>
      <c r="C47319" s="309"/>
      <c r="I47319" s="309"/>
      <c r="J47319" s="309"/>
    </row>
    <row r="47320">
      <c r="B47320" s="309"/>
      <c r="C47320" s="309"/>
      <c r="I47320" s="309"/>
      <c r="J47320" s="309"/>
    </row>
    <row r="47321">
      <c r="B47321" s="309"/>
      <c r="C47321" s="309"/>
      <c r="I47321" s="309"/>
      <c r="J47321" s="309"/>
    </row>
    <row r="47322">
      <c r="B47322" s="309"/>
      <c r="C47322" s="309"/>
      <c r="I47322" s="309"/>
      <c r="J47322" s="309"/>
    </row>
    <row r="47323">
      <c r="B47323" s="309"/>
      <c r="C47323" s="309"/>
      <c r="I47323" s="309"/>
      <c r="J47323" s="309"/>
    </row>
    <row r="47324">
      <c r="B47324" s="309"/>
      <c r="C47324" s="309"/>
      <c r="I47324" s="309"/>
      <c r="J47324" s="309"/>
    </row>
    <row r="47325">
      <c r="B47325" s="309"/>
      <c r="C47325" s="309"/>
      <c r="I47325" s="309"/>
      <c r="J47325" s="309"/>
    </row>
    <row r="47326">
      <c r="B47326" s="309"/>
      <c r="C47326" s="309"/>
      <c r="I47326" s="309"/>
      <c r="J47326" s="309"/>
    </row>
    <row r="47327">
      <c r="B47327" s="309"/>
      <c r="C47327" s="309"/>
      <c r="I47327" s="309"/>
      <c r="J47327" s="309"/>
    </row>
    <row r="47328">
      <c r="B47328" s="309"/>
      <c r="C47328" s="309"/>
      <c r="I47328" s="309"/>
      <c r="J47328" s="309"/>
    </row>
    <row r="47329">
      <c r="B47329" s="309"/>
      <c r="C47329" s="309"/>
      <c r="I47329" s="309"/>
      <c r="J47329" s="309"/>
    </row>
    <row r="47330">
      <c r="B47330" s="309"/>
      <c r="C47330" s="309"/>
      <c r="I47330" s="309"/>
      <c r="J47330" s="309"/>
    </row>
    <row r="47331">
      <c r="B47331" s="309"/>
      <c r="C47331" s="309"/>
      <c r="I47331" s="309"/>
      <c r="J47331" s="309"/>
    </row>
    <row r="47332">
      <c r="B47332" s="309"/>
      <c r="C47332" s="309"/>
      <c r="I47332" s="309"/>
      <c r="J47332" s="309"/>
    </row>
    <row r="47333">
      <c r="B47333" s="309"/>
      <c r="C47333" s="309"/>
      <c r="I47333" s="309"/>
      <c r="J47333" s="309"/>
    </row>
    <row r="47334">
      <c r="B47334" s="309"/>
      <c r="C47334" s="309"/>
      <c r="I47334" s="309"/>
      <c r="J47334" s="309"/>
    </row>
    <row r="47335">
      <c r="B47335" s="309"/>
      <c r="C47335" s="309"/>
      <c r="I47335" s="309"/>
      <c r="J47335" s="309"/>
    </row>
    <row r="47336">
      <c r="B47336" s="309"/>
      <c r="C47336" s="309"/>
      <c r="I47336" s="309"/>
      <c r="J47336" s="309"/>
    </row>
    <row r="47337">
      <c r="B47337" s="309"/>
      <c r="C47337" s="309"/>
      <c r="I47337" s="309"/>
      <c r="J47337" s="309"/>
    </row>
    <row r="47338">
      <c r="B47338" s="309"/>
      <c r="C47338" s="309"/>
      <c r="I47338" s="309"/>
      <c r="J47338" s="309"/>
    </row>
    <row r="47339">
      <c r="B47339" s="309"/>
      <c r="C47339" s="309"/>
      <c r="I47339" s="309"/>
      <c r="J47339" s="309"/>
    </row>
    <row r="47340">
      <c r="B47340" s="309"/>
      <c r="C47340" s="309"/>
      <c r="I47340" s="309"/>
      <c r="J47340" s="309"/>
    </row>
    <row r="47341">
      <c r="B47341" s="309"/>
      <c r="C47341" s="309"/>
      <c r="I47341" s="309"/>
      <c r="J47341" s="309"/>
    </row>
    <row r="47342">
      <c r="B47342" s="309"/>
      <c r="C47342" s="309"/>
      <c r="I47342" s="309"/>
      <c r="J47342" s="309"/>
    </row>
    <row r="47343">
      <c r="B47343" s="309"/>
      <c r="C47343" s="309"/>
      <c r="I47343" s="309"/>
      <c r="J47343" s="309"/>
    </row>
    <row r="47344">
      <c r="B47344" s="309"/>
      <c r="C47344" s="309"/>
      <c r="I47344" s="309"/>
      <c r="J47344" s="309"/>
    </row>
    <row r="47345">
      <c r="B47345" s="309"/>
      <c r="C47345" s="309"/>
      <c r="I47345" s="309"/>
      <c r="J47345" s="309"/>
    </row>
    <row r="47346">
      <c r="B47346" s="309"/>
      <c r="C47346" s="309"/>
      <c r="I47346" s="309"/>
      <c r="J47346" s="309"/>
    </row>
    <row r="47347">
      <c r="B47347" s="309"/>
      <c r="C47347" s="309"/>
      <c r="I47347" s="309"/>
      <c r="J47347" s="309"/>
    </row>
    <row r="47348">
      <c r="B47348" s="309"/>
      <c r="C47348" s="309"/>
      <c r="I47348" s="309"/>
      <c r="J47348" s="309"/>
    </row>
    <row r="47349">
      <c r="B47349" s="309"/>
      <c r="C47349" s="309"/>
      <c r="I47349" s="309"/>
      <c r="J47349" s="309"/>
    </row>
    <row r="47350">
      <c r="B47350" s="309"/>
      <c r="C47350" s="309"/>
      <c r="I47350" s="309"/>
      <c r="J47350" s="309"/>
    </row>
    <row r="47351">
      <c r="B47351" s="309"/>
      <c r="C47351" s="309"/>
      <c r="I47351" s="309"/>
      <c r="J47351" s="309"/>
    </row>
    <row r="47352">
      <c r="B47352" s="309"/>
      <c r="C47352" s="309"/>
      <c r="I47352" s="309"/>
      <c r="J47352" s="309"/>
    </row>
    <row r="47353">
      <c r="B47353" s="309"/>
      <c r="C47353" s="309"/>
      <c r="I47353" s="309"/>
      <c r="J47353" s="309"/>
    </row>
    <row r="47354">
      <c r="B47354" s="309"/>
      <c r="C47354" s="309"/>
      <c r="I47354" s="309"/>
      <c r="J47354" s="309"/>
    </row>
    <row r="47355">
      <c r="B47355" s="309"/>
      <c r="C47355" s="309"/>
      <c r="I47355" s="309"/>
      <c r="J47355" s="309"/>
    </row>
    <row r="47356">
      <c r="B47356" s="309"/>
      <c r="C47356" s="309"/>
      <c r="I47356" s="309"/>
      <c r="J47356" s="309"/>
    </row>
    <row r="47357">
      <c r="B47357" s="309"/>
      <c r="C47357" s="309"/>
      <c r="I47357" s="309"/>
      <c r="J47357" s="309"/>
    </row>
    <row r="47358">
      <c r="B47358" s="309"/>
      <c r="C47358" s="309"/>
      <c r="I47358" s="309"/>
      <c r="J47358" s="309"/>
    </row>
    <row r="47359">
      <c r="B47359" s="309"/>
      <c r="C47359" s="309"/>
      <c r="I47359" s="309"/>
      <c r="J47359" s="309"/>
    </row>
    <row r="47360">
      <c r="B47360" s="309"/>
      <c r="C47360" s="309"/>
      <c r="I47360" s="309"/>
      <c r="J47360" s="309"/>
    </row>
    <row r="47361">
      <c r="B47361" s="309"/>
      <c r="C47361" s="309"/>
      <c r="I47361" s="309"/>
      <c r="J47361" s="309"/>
    </row>
    <row r="47362">
      <c r="B47362" s="309"/>
      <c r="C47362" s="309"/>
      <c r="I47362" s="309"/>
      <c r="J47362" s="309"/>
    </row>
    <row r="47363">
      <c r="B47363" s="309"/>
      <c r="C47363" s="309"/>
      <c r="I47363" s="309"/>
      <c r="J47363" s="309"/>
    </row>
    <row r="47364">
      <c r="B47364" s="309"/>
      <c r="C47364" s="309"/>
      <c r="I47364" s="309"/>
      <c r="J47364" s="309"/>
    </row>
    <row r="47365">
      <c r="B47365" s="309"/>
      <c r="C47365" s="309"/>
      <c r="I47365" s="309"/>
      <c r="J47365" s="309"/>
    </row>
    <row r="47366">
      <c r="B47366" s="309"/>
      <c r="C47366" s="309"/>
      <c r="I47366" s="309"/>
      <c r="J47366" s="309"/>
    </row>
    <row r="47367">
      <c r="B47367" s="309"/>
      <c r="C47367" s="309"/>
      <c r="I47367" s="309"/>
      <c r="J47367" s="309"/>
    </row>
    <row r="47368">
      <c r="B47368" s="309"/>
      <c r="C47368" s="309"/>
      <c r="I47368" s="309"/>
      <c r="J47368" s="309"/>
    </row>
    <row r="47369">
      <c r="B47369" s="309"/>
      <c r="C47369" s="309"/>
      <c r="I47369" s="309"/>
      <c r="J47369" s="309"/>
    </row>
    <row r="47370">
      <c r="B47370" s="309"/>
      <c r="C47370" s="309"/>
      <c r="I47370" s="309"/>
      <c r="J47370" s="309"/>
    </row>
    <row r="47371">
      <c r="B47371" s="309"/>
      <c r="C47371" s="309"/>
      <c r="I47371" s="309"/>
      <c r="J47371" s="309"/>
    </row>
    <row r="47372">
      <c r="B47372" s="309"/>
      <c r="C47372" s="309"/>
      <c r="I47372" s="309"/>
      <c r="J47372" s="309"/>
    </row>
    <row r="47373">
      <c r="B47373" s="309"/>
      <c r="C47373" s="309"/>
      <c r="I47373" s="309"/>
      <c r="J47373" s="309"/>
    </row>
    <row r="47374">
      <c r="B47374" s="309"/>
      <c r="C47374" s="309"/>
      <c r="I47374" s="309"/>
      <c r="J47374" s="309"/>
    </row>
    <row r="47375">
      <c r="B47375" s="309"/>
      <c r="C47375" s="309"/>
      <c r="I47375" s="309"/>
      <c r="J47375" s="309"/>
    </row>
    <row r="47376">
      <c r="B47376" s="309"/>
      <c r="C47376" s="309"/>
      <c r="I47376" s="309"/>
      <c r="J47376" s="309"/>
    </row>
    <row r="47377">
      <c r="B47377" s="309"/>
      <c r="C47377" s="309"/>
      <c r="I47377" s="309"/>
      <c r="J47377" s="309"/>
    </row>
    <row r="47378">
      <c r="B47378" s="309"/>
      <c r="C47378" s="309"/>
      <c r="I47378" s="309"/>
      <c r="J47378" s="309"/>
    </row>
    <row r="47379">
      <c r="B47379" s="309"/>
      <c r="C47379" s="309"/>
      <c r="I47379" s="309"/>
      <c r="J47379" s="309"/>
    </row>
    <row r="47380">
      <c r="B47380" s="309"/>
      <c r="C47380" s="309"/>
      <c r="I47380" s="309"/>
      <c r="J47380" s="309"/>
    </row>
    <row r="47381">
      <c r="B47381" s="309"/>
      <c r="C47381" s="309"/>
      <c r="I47381" s="309"/>
      <c r="J47381" s="309"/>
    </row>
    <row r="47382">
      <c r="B47382" s="309"/>
      <c r="C47382" s="309"/>
      <c r="I47382" s="309"/>
      <c r="J47382" s="309"/>
    </row>
    <row r="47383">
      <c r="B47383" s="309"/>
      <c r="C47383" s="309"/>
      <c r="I47383" s="309"/>
      <c r="J47383" s="309"/>
    </row>
    <row r="47384">
      <c r="B47384" s="309"/>
      <c r="C47384" s="309"/>
      <c r="I47384" s="309"/>
      <c r="J47384" s="309"/>
    </row>
    <row r="47385">
      <c r="B47385" s="309"/>
      <c r="C47385" s="309"/>
      <c r="I47385" s="309"/>
      <c r="J47385" s="309"/>
    </row>
    <row r="47386">
      <c r="B47386" s="309"/>
      <c r="C47386" s="309"/>
      <c r="I47386" s="309"/>
      <c r="J47386" s="309"/>
    </row>
    <row r="47387">
      <c r="B47387" s="309"/>
      <c r="C47387" s="309"/>
      <c r="I47387" s="309"/>
      <c r="J47387" s="309"/>
    </row>
    <row r="47388">
      <c r="B47388" s="309"/>
      <c r="C47388" s="309"/>
      <c r="I47388" s="309"/>
      <c r="J47388" s="309"/>
    </row>
    <row r="47389">
      <c r="B47389" s="309"/>
      <c r="C47389" s="309"/>
      <c r="I47389" s="309"/>
      <c r="J47389" s="309"/>
    </row>
    <row r="47390">
      <c r="B47390" s="309"/>
      <c r="C47390" s="309"/>
      <c r="I47390" s="309"/>
      <c r="J47390" s="309"/>
    </row>
    <row r="47391">
      <c r="B47391" s="309"/>
      <c r="C47391" s="309"/>
      <c r="I47391" s="309"/>
      <c r="J47391" s="309"/>
    </row>
    <row r="47392">
      <c r="B47392" s="309"/>
      <c r="C47392" s="309"/>
      <c r="I47392" s="309"/>
      <c r="J47392" s="309"/>
    </row>
    <row r="47393">
      <c r="B47393" s="309"/>
      <c r="C47393" s="309"/>
      <c r="I47393" s="309"/>
      <c r="J47393" s="309"/>
    </row>
    <row r="47394">
      <c r="B47394" s="309"/>
      <c r="C47394" s="309"/>
      <c r="I47394" s="309"/>
      <c r="J47394" s="309"/>
    </row>
    <row r="47395">
      <c r="B47395" s="309"/>
      <c r="C47395" s="309"/>
      <c r="I47395" s="309"/>
      <c r="J47395" s="309"/>
    </row>
    <row r="47396">
      <c r="B47396" s="309"/>
      <c r="C47396" s="309"/>
      <c r="I47396" s="309"/>
      <c r="J47396" s="309"/>
    </row>
    <row r="47397">
      <c r="B47397" s="309"/>
      <c r="C47397" s="309"/>
      <c r="I47397" s="309"/>
      <c r="J47397" s="309"/>
    </row>
    <row r="47398">
      <c r="B47398" s="309"/>
      <c r="C47398" s="309"/>
      <c r="I47398" s="309"/>
      <c r="J47398" s="309"/>
    </row>
    <row r="47399">
      <c r="B47399" s="309"/>
      <c r="C47399" s="309"/>
      <c r="I47399" s="309"/>
      <c r="J47399" s="309"/>
    </row>
    <row r="47400">
      <c r="B47400" s="309"/>
      <c r="C47400" s="309"/>
      <c r="I47400" s="309"/>
      <c r="J47400" s="309"/>
    </row>
    <row r="47401">
      <c r="B47401" s="309"/>
      <c r="C47401" s="309"/>
      <c r="I47401" s="309"/>
      <c r="J47401" s="309"/>
    </row>
    <row r="47402">
      <c r="B47402" s="309"/>
      <c r="C47402" s="309"/>
      <c r="I47402" s="309"/>
      <c r="J47402" s="309"/>
    </row>
    <row r="47403">
      <c r="B47403" s="309"/>
      <c r="C47403" s="309"/>
      <c r="I47403" s="309"/>
      <c r="J47403" s="309"/>
    </row>
    <row r="47404">
      <c r="B47404" s="309"/>
      <c r="C47404" s="309"/>
      <c r="I47404" s="309"/>
      <c r="J47404" s="309"/>
    </row>
    <row r="47405">
      <c r="B47405" s="309"/>
      <c r="C47405" s="309"/>
      <c r="I47405" s="309"/>
      <c r="J47405" s="309"/>
    </row>
    <row r="47406">
      <c r="B47406" s="309"/>
      <c r="C47406" s="309"/>
      <c r="I47406" s="309"/>
      <c r="J47406" s="309"/>
    </row>
    <row r="47407">
      <c r="B47407" s="309"/>
      <c r="C47407" s="309"/>
      <c r="I47407" s="309"/>
      <c r="J47407" s="309"/>
    </row>
    <row r="47408">
      <c r="B47408" s="309"/>
      <c r="C47408" s="309"/>
      <c r="I47408" s="309"/>
      <c r="J47408" s="309"/>
    </row>
    <row r="47409">
      <c r="B47409" s="309"/>
      <c r="C47409" s="309"/>
      <c r="I47409" s="309"/>
      <c r="J47409" s="309"/>
    </row>
    <row r="47410">
      <c r="B47410" s="309"/>
      <c r="C47410" s="309"/>
      <c r="I47410" s="309"/>
      <c r="J47410" s="309"/>
    </row>
    <row r="47411">
      <c r="B47411" s="309"/>
      <c r="C47411" s="309"/>
      <c r="I47411" s="309"/>
      <c r="J47411" s="309"/>
    </row>
    <row r="47412">
      <c r="B47412" s="309"/>
      <c r="C47412" s="309"/>
      <c r="I47412" s="309"/>
      <c r="J47412" s="309"/>
    </row>
    <row r="47413">
      <c r="B47413" s="309"/>
      <c r="C47413" s="309"/>
      <c r="I47413" s="309"/>
      <c r="J47413" s="309"/>
    </row>
    <row r="47414">
      <c r="B47414" s="309"/>
      <c r="C47414" s="309"/>
      <c r="I47414" s="309"/>
      <c r="J47414" s="309"/>
    </row>
    <row r="47415">
      <c r="B47415" s="309"/>
      <c r="C47415" s="309"/>
      <c r="I47415" s="309"/>
      <c r="J47415" s="309"/>
    </row>
    <row r="47416">
      <c r="B47416" s="309"/>
      <c r="C47416" s="309"/>
      <c r="I47416" s="309"/>
      <c r="J47416" s="309"/>
    </row>
    <row r="47417">
      <c r="B47417" s="309"/>
      <c r="C47417" s="309"/>
      <c r="I47417" s="309"/>
      <c r="J47417" s="309"/>
    </row>
    <row r="47418">
      <c r="B47418" s="309"/>
      <c r="C47418" s="309"/>
      <c r="I47418" s="309"/>
      <c r="J47418" s="309"/>
    </row>
    <row r="47419">
      <c r="B47419" s="309"/>
      <c r="C47419" s="309"/>
      <c r="I47419" s="309"/>
      <c r="J47419" s="309"/>
    </row>
    <row r="47420">
      <c r="B47420" s="309"/>
      <c r="C47420" s="309"/>
      <c r="I47420" s="309"/>
      <c r="J47420" s="309"/>
    </row>
    <row r="47421">
      <c r="B47421" s="309"/>
      <c r="C47421" s="309"/>
      <c r="I47421" s="309"/>
      <c r="J47421" s="309"/>
    </row>
    <row r="47422">
      <c r="B47422" s="309"/>
      <c r="C47422" s="309"/>
      <c r="I47422" s="309"/>
      <c r="J47422" s="309"/>
    </row>
    <row r="47423">
      <c r="B47423" s="309"/>
      <c r="C47423" s="309"/>
      <c r="I47423" s="309"/>
      <c r="J47423" s="309"/>
    </row>
    <row r="47424">
      <c r="B47424" s="309"/>
      <c r="C47424" s="309"/>
      <c r="I47424" s="309"/>
      <c r="J47424" s="309"/>
    </row>
    <row r="47425">
      <c r="B47425" s="309"/>
      <c r="C47425" s="309"/>
      <c r="I47425" s="309"/>
      <c r="J47425" s="309"/>
    </row>
    <row r="47426">
      <c r="B47426" s="309"/>
      <c r="C47426" s="309"/>
      <c r="I47426" s="309"/>
      <c r="J47426" s="309"/>
    </row>
    <row r="47427">
      <c r="B47427" s="309"/>
      <c r="C47427" s="309"/>
      <c r="I47427" s="309"/>
      <c r="J47427" s="309"/>
    </row>
    <row r="47428">
      <c r="B47428" s="309"/>
      <c r="C47428" s="309"/>
      <c r="I47428" s="309"/>
      <c r="J47428" s="309"/>
    </row>
    <row r="47429">
      <c r="B47429" s="309"/>
      <c r="C47429" s="309"/>
      <c r="I47429" s="309"/>
      <c r="J47429" s="309"/>
    </row>
    <row r="47430">
      <c r="B47430" s="309"/>
      <c r="C47430" s="309"/>
      <c r="I47430" s="309"/>
      <c r="J47430" s="309"/>
    </row>
    <row r="47431">
      <c r="B47431" s="309"/>
      <c r="C47431" s="309"/>
      <c r="I47431" s="309"/>
      <c r="J47431" s="309"/>
    </row>
    <row r="47432">
      <c r="B47432" s="309"/>
      <c r="C47432" s="309"/>
      <c r="I47432" s="309"/>
      <c r="J47432" s="309"/>
    </row>
    <row r="47433">
      <c r="B47433" s="309"/>
      <c r="C47433" s="309"/>
      <c r="I47433" s="309"/>
      <c r="J47433" s="309"/>
    </row>
    <row r="47434">
      <c r="B47434" s="309"/>
      <c r="C47434" s="309"/>
      <c r="I47434" s="309"/>
      <c r="J47434" s="309"/>
    </row>
    <row r="47435">
      <c r="B47435" s="309"/>
      <c r="C47435" s="309"/>
      <c r="I47435" s="309"/>
      <c r="J47435" s="309"/>
    </row>
    <row r="47436">
      <c r="B47436" s="309"/>
      <c r="C47436" s="309"/>
      <c r="I47436" s="309"/>
      <c r="J47436" s="309"/>
    </row>
    <row r="47437">
      <c r="B47437" s="309"/>
      <c r="C47437" s="309"/>
      <c r="I47437" s="309"/>
      <c r="J47437" s="309"/>
    </row>
    <row r="47438">
      <c r="B47438" s="309"/>
      <c r="C47438" s="309"/>
      <c r="I47438" s="309"/>
      <c r="J47438" s="309"/>
    </row>
    <row r="47439">
      <c r="B47439" s="309"/>
      <c r="C47439" s="309"/>
      <c r="I47439" s="309"/>
      <c r="J47439" s="309"/>
    </row>
    <row r="47440">
      <c r="B47440" s="309"/>
      <c r="C47440" s="309"/>
      <c r="I47440" s="309"/>
      <c r="J47440" s="309"/>
    </row>
    <row r="47441">
      <c r="B47441" s="309"/>
      <c r="C47441" s="309"/>
      <c r="I47441" s="309"/>
      <c r="J47441" s="309"/>
    </row>
    <row r="47442">
      <c r="B47442" s="309"/>
      <c r="C47442" s="309"/>
      <c r="I47442" s="309"/>
      <c r="J47442" s="309"/>
    </row>
    <row r="47443">
      <c r="B47443" s="309"/>
      <c r="C47443" s="309"/>
      <c r="I47443" s="309"/>
      <c r="J47443" s="309"/>
    </row>
    <row r="47444">
      <c r="B47444" s="309"/>
      <c r="C47444" s="309"/>
      <c r="I47444" s="309"/>
      <c r="J47444" s="309"/>
    </row>
    <row r="47445">
      <c r="B47445" s="309"/>
      <c r="C47445" s="309"/>
      <c r="I47445" s="309"/>
      <c r="J47445" s="309"/>
    </row>
    <row r="47446">
      <c r="B47446" s="309"/>
      <c r="C47446" s="309"/>
      <c r="I47446" s="309"/>
      <c r="J47446" s="309"/>
    </row>
    <row r="47447">
      <c r="B47447" s="309"/>
      <c r="C47447" s="309"/>
      <c r="I47447" s="309"/>
      <c r="J47447" s="309"/>
    </row>
    <row r="47448">
      <c r="B47448" s="309"/>
      <c r="C47448" s="309"/>
      <c r="I47448" s="309"/>
      <c r="J47448" s="309"/>
    </row>
    <row r="47449">
      <c r="B47449" s="309"/>
      <c r="C47449" s="309"/>
      <c r="I47449" s="309"/>
      <c r="J47449" s="309"/>
    </row>
    <row r="47450">
      <c r="B47450" s="309"/>
      <c r="C47450" s="309"/>
      <c r="I47450" s="309"/>
      <c r="J47450" s="309"/>
    </row>
    <row r="47451">
      <c r="B47451" s="309"/>
      <c r="C47451" s="309"/>
      <c r="I47451" s="309"/>
      <c r="J47451" s="309"/>
    </row>
    <row r="47452">
      <c r="B47452" s="309"/>
      <c r="C47452" s="309"/>
      <c r="I47452" s="309"/>
      <c r="J47452" s="309"/>
    </row>
    <row r="47453">
      <c r="B47453" s="309"/>
      <c r="C47453" s="309"/>
      <c r="I47453" s="309"/>
      <c r="J47453" s="309"/>
    </row>
    <row r="47454">
      <c r="B47454" s="309"/>
      <c r="C47454" s="309"/>
      <c r="I47454" s="309"/>
      <c r="J47454" s="309"/>
    </row>
    <row r="47455">
      <c r="B47455" s="309"/>
      <c r="C47455" s="309"/>
      <c r="I47455" s="309"/>
      <c r="J47455" s="309"/>
    </row>
    <row r="47456">
      <c r="B47456" s="309"/>
      <c r="C47456" s="309"/>
      <c r="I47456" s="309"/>
      <c r="J47456" s="309"/>
    </row>
    <row r="47457">
      <c r="B47457" s="309"/>
      <c r="C47457" s="309"/>
      <c r="I47457" s="309"/>
      <c r="J47457" s="309"/>
    </row>
    <row r="47458">
      <c r="B47458" s="309"/>
      <c r="C47458" s="309"/>
      <c r="I47458" s="309"/>
      <c r="J47458" s="309"/>
    </row>
    <row r="47459">
      <c r="B47459" s="309"/>
      <c r="C47459" s="309"/>
      <c r="I47459" s="309"/>
      <c r="J47459" s="309"/>
    </row>
    <row r="47460">
      <c r="B47460" s="309"/>
      <c r="C47460" s="309"/>
      <c r="I47460" s="309"/>
      <c r="J47460" s="309"/>
    </row>
    <row r="47461">
      <c r="B47461" s="309"/>
      <c r="C47461" s="309"/>
      <c r="I47461" s="309"/>
      <c r="J47461" s="309"/>
    </row>
    <row r="47462">
      <c r="B47462" s="309"/>
      <c r="C47462" s="309"/>
      <c r="I47462" s="309"/>
      <c r="J47462" s="309"/>
    </row>
    <row r="47463">
      <c r="B47463" s="309"/>
      <c r="C47463" s="309"/>
      <c r="I47463" s="309"/>
      <c r="J47463" s="309"/>
    </row>
    <row r="47464">
      <c r="B47464" s="309"/>
      <c r="C47464" s="309"/>
      <c r="I47464" s="309"/>
      <c r="J47464" s="309"/>
    </row>
    <row r="47465">
      <c r="B47465" s="309"/>
      <c r="C47465" s="309"/>
      <c r="I47465" s="309"/>
      <c r="J47465" s="309"/>
    </row>
    <row r="47466">
      <c r="B47466" s="309"/>
      <c r="C47466" s="309"/>
      <c r="I47466" s="309"/>
      <c r="J47466" s="309"/>
    </row>
    <row r="47467">
      <c r="B47467" s="309"/>
      <c r="C47467" s="309"/>
      <c r="I47467" s="309"/>
      <c r="J47467" s="309"/>
    </row>
    <row r="47468">
      <c r="B47468" s="309"/>
      <c r="C47468" s="309"/>
      <c r="I47468" s="309"/>
      <c r="J47468" s="309"/>
    </row>
    <row r="47469">
      <c r="B47469" s="309"/>
      <c r="C47469" s="309"/>
      <c r="I47469" s="309"/>
      <c r="J47469" s="309"/>
    </row>
    <row r="47470">
      <c r="B47470" s="309"/>
      <c r="C47470" s="309"/>
      <c r="I47470" s="309"/>
      <c r="J47470" s="309"/>
    </row>
    <row r="47471">
      <c r="B47471" s="309"/>
      <c r="C47471" s="309"/>
      <c r="I47471" s="309"/>
      <c r="J47471" s="309"/>
    </row>
    <row r="47472">
      <c r="B47472" s="309"/>
      <c r="C47472" s="309"/>
      <c r="I47472" s="309"/>
      <c r="J47472" s="309"/>
    </row>
    <row r="47473">
      <c r="B47473" s="309"/>
      <c r="C47473" s="309"/>
      <c r="I47473" s="309"/>
      <c r="J47473" s="309"/>
    </row>
    <row r="47474">
      <c r="B47474" s="309"/>
      <c r="C47474" s="309"/>
      <c r="I47474" s="309"/>
      <c r="J47474" s="309"/>
    </row>
    <row r="47475">
      <c r="B47475" s="309"/>
      <c r="C47475" s="309"/>
      <c r="I47475" s="309"/>
      <c r="J47475" s="309"/>
    </row>
    <row r="47476">
      <c r="B47476" s="309"/>
      <c r="C47476" s="309"/>
      <c r="I47476" s="309"/>
      <c r="J47476" s="309"/>
    </row>
    <row r="47477">
      <c r="B47477" s="309"/>
      <c r="C47477" s="309"/>
      <c r="I47477" s="309"/>
      <c r="J47477" s="309"/>
    </row>
    <row r="47478">
      <c r="B47478" s="309"/>
      <c r="C47478" s="309"/>
      <c r="I47478" s="309"/>
      <c r="J47478" s="309"/>
    </row>
    <row r="47479">
      <c r="B47479" s="309"/>
      <c r="C47479" s="309"/>
      <c r="I47479" s="309"/>
      <c r="J47479" s="309"/>
    </row>
    <row r="47480">
      <c r="B47480" s="309"/>
      <c r="C47480" s="309"/>
      <c r="I47480" s="309"/>
      <c r="J47480" s="309"/>
    </row>
    <row r="47481">
      <c r="B47481" s="309"/>
      <c r="C47481" s="309"/>
      <c r="I47481" s="309"/>
      <c r="J47481" s="309"/>
    </row>
    <row r="47482">
      <c r="B47482" s="309"/>
      <c r="C47482" s="309"/>
      <c r="I47482" s="309"/>
      <c r="J47482" s="309"/>
    </row>
    <row r="47483">
      <c r="B47483" s="309"/>
      <c r="C47483" s="309"/>
      <c r="I47483" s="309"/>
      <c r="J47483" s="309"/>
    </row>
    <row r="47484">
      <c r="B47484" s="309"/>
      <c r="C47484" s="309"/>
      <c r="I47484" s="309"/>
      <c r="J47484" s="309"/>
    </row>
    <row r="47485">
      <c r="B47485" s="309"/>
      <c r="C47485" s="309"/>
      <c r="I47485" s="309"/>
      <c r="J47485" s="309"/>
    </row>
    <row r="47486">
      <c r="B47486" s="309"/>
      <c r="C47486" s="309"/>
      <c r="I47486" s="309"/>
      <c r="J47486" s="309"/>
    </row>
    <row r="47487">
      <c r="B47487" s="309"/>
      <c r="C47487" s="309"/>
      <c r="I47487" s="309"/>
      <c r="J47487" s="309"/>
    </row>
    <row r="47488">
      <c r="B47488" s="309"/>
      <c r="C47488" s="309"/>
      <c r="I47488" s="309"/>
      <c r="J47488" s="309"/>
    </row>
    <row r="47489">
      <c r="B47489" s="309"/>
      <c r="C47489" s="309"/>
      <c r="I47489" s="309"/>
      <c r="J47489" s="309"/>
    </row>
    <row r="47490">
      <c r="B47490" s="309"/>
      <c r="C47490" s="309"/>
      <c r="I47490" s="309"/>
      <c r="J47490" s="309"/>
    </row>
    <row r="47491">
      <c r="B47491" s="309"/>
      <c r="C47491" s="309"/>
      <c r="I47491" s="309"/>
      <c r="J47491" s="309"/>
    </row>
    <row r="47492">
      <c r="B47492" s="309"/>
      <c r="C47492" s="309"/>
      <c r="I47492" s="309"/>
      <c r="J47492" s="309"/>
    </row>
    <row r="47493">
      <c r="B47493" s="309"/>
      <c r="C47493" s="309"/>
      <c r="I47493" s="309"/>
      <c r="J47493" s="309"/>
    </row>
    <row r="47494">
      <c r="B47494" s="309"/>
      <c r="C47494" s="309"/>
      <c r="I47494" s="309"/>
      <c r="J47494" s="309"/>
    </row>
    <row r="47495">
      <c r="B47495" s="309"/>
      <c r="C47495" s="309"/>
      <c r="I47495" s="309"/>
      <c r="J47495" s="309"/>
    </row>
    <row r="47496">
      <c r="B47496" s="309"/>
      <c r="C47496" s="309"/>
      <c r="I47496" s="309"/>
      <c r="J47496" s="309"/>
    </row>
    <row r="47497">
      <c r="B47497" s="309"/>
      <c r="C47497" s="309"/>
      <c r="I47497" s="309"/>
      <c r="J47497" s="309"/>
    </row>
    <row r="47498">
      <c r="B47498" s="309"/>
      <c r="C47498" s="309"/>
      <c r="I47498" s="309"/>
      <c r="J47498" s="309"/>
    </row>
    <row r="47499">
      <c r="B47499" s="309"/>
      <c r="C47499" s="309"/>
      <c r="I47499" s="309"/>
      <c r="J47499" s="309"/>
    </row>
    <row r="47500">
      <c r="B47500" s="309"/>
      <c r="C47500" s="309"/>
      <c r="I47500" s="309"/>
      <c r="J47500" s="309"/>
    </row>
    <row r="47501">
      <c r="B47501" s="309"/>
      <c r="C47501" s="309"/>
      <c r="I47501" s="309"/>
      <c r="J47501" s="309"/>
    </row>
    <row r="47502">
      <c r="B47502" s="309"/>
      <c r="C47502" s="309"/>
      <c r="I47502" s="309"/>
      <c r="J47502" s="309"/>
    </row>
    <row r="47503">
      <c r="B47503" s="309"/>
      <c r="C47503" s="309"/>
      <c r="I47503" s="309"/>
      <c r="J47503" s="309"/>
    </row>
    <row r="47504">
      <c r="B47504" s="309"/>
      <c r="C47504" s="309"/>
      <c r="I47504" s="309"/>
      <c r="J47504" s="309"/>
    </row>
    <row r="47505">
      <c r="B47505" s="309"/>
      <c r="C47505" s="309"/>
      <c r="I47505" s="309"/>
      <c r="J47505" s="309"/>
    </row>
    <row r="47506">
      <c r="B47506" s="309"/>
      <c r="C47506" s="309"/>
      <c r="I47506" s="309"/>
      <c r="J47506" s="309"/>
    </row>
    <row r="47507">
      <c r="B47507" s="309"/>
      <c r="C47507" s="309"/>
      <c r="I47507" s="309"/>
      <c r="J47507" s="309"/>
    </row>
    <row r="47508">
      <c r="B47508" s="309"/>
      <c r="C47508" s="309"/>
      <c r="I47508" s="309"/>
      <c r="J47508" s="309"/>
    </row>
    <row r="47509">
      <c r="B47509" s="309"/>
      <c r="C47509" s="309"/>
      <c r="I47509" s="309"/>
      <c r="J47509" s="309"/>
    </row>
    <row r="47510">
      <c r="B47510" s="309"/>
      <c r="C47510" s="309"/>
      <c r="I47510" s="309"/>
      <c r="J47510" s="309"/>
    </row>
    <row r="47511">
      <c r="B47511" s="309"/>
      <c r="C47511" s="309"/>
      <c r="I47511" s="309"/>
      <c r="J47511" s="309"/>
    </row>
    <row r="47512">
      <c r="B47512" s="309"/>
      <c r="C47512" s="309"/>
      <c r="I47512" s="309"/>
      <c r="J47512" s="309"/>
    </row>
    <row r="47513">
      <c r="B47513" s="309"/>
      <c r="C47513" s="309"/>
      <c r="I47513" s="309"/>
      <c r="J47513" s="309"/>
    </row>
    <row r="47514">
      <c r="B47514" s="309"/>
      <c r="C47514" s="309"/>
      <c r="I47514" s="309"/>
      <c r="J47514" s="309"/>
    </row>
    <row r="47515">
      <c r="B47515" s="309"/>
      <c r="C47515" s="309"/>
      <c r="I47515" s="309"/>
      <c r="J47515" s="309"/>
    </row>
    <row r="47516">
      <c r="B47516" s="309"/>
      <c r="C47516" s="309"/>
      <c r="I47516" s="309"/>
      <c r="J47516" s="309"/>
    </row>
    <row r="47517">
      <c r="B47517" s="309"/>
      <c r="C47517" s="309"/>
      <c r="I47517" s="309"/>
      <c r="J47517" s="309"/>
    </row>
    <row r="47518">
      <c r="B47518" s="309"/>
      <c r="C47518" s="309"/>
      <c r="I47518" s="309"/>
      <c r="J47518" s="309"/>
    </row>
    <row r="47519">
      <c r="B47519" s="309"/>
      <c r="C47519" s="309"/>
      <c r="I47519" s="309"/>
      <c r="J47519" s="309"/>
    </row>
    <row r="47520">
      <c r="B47520" s="309"/>
      <c r="C47520" s="309"/>
      <c r="I47520" s="309"/>
      <c r="J47520" s="309"/>
    </row>
    <row r="47521">
      <c r="B47521" s="309"/>
      <c r="C47521" s="309"/>
      <c r="I47521" s="309"/>
      <c r="J47521" s="309"/>
    </row>
    <row r="47522">
      <c r="B47522" s="309"/>
      <c r="C47522" s="309"/>
      <c r="I47522" s="309"/>
      <c r="J47522" s="309"/>
    </row>
    <row r="47523">
      <c r="B47523" s="309"/>
      <c r="C47523" s="309"/>
      <c r="I47523" s="309"/>
      <c r="J47523" s="309"/>
    </row>
    <row r="47524">
      <c r="B47524" s="309"/>
      <c r="C47524" s="309"/>
      <c r="I47524" s="309"/>
      <c r="J47524" s="309"/>
    </row>
    <row r="47525">
      <c r="B47525" s="309"/>
      <c r="C47525" s="309"/>
      <c r="I47525" s="309"/>
      <c r="J47525" s="309"/>
    </row>
    <row r="47526">
      <c r="B47526" s="309"/>
      <c r="C47526" s="309"/>
      <c r="I47526" s="309"/>
      <c r="J47526" s="309"/>
    </row>
    <row r="47527">
      <c r="B47527" s="309"/>
      <c r="C47527" s="309"/>
      <c r="I47527" s="309"/>
      <c r="J47527" s="309"/>
    </row>
    <row r="47528">
      <c r="B47528" s="309"/>
      <c r="C47528" s="309"/>
      <c r="I47528" s="309"/>
      <c r="J47528" s="309"/>
    </row>
    <row r="47529">
      <c r="B47529" s="309"/>
      <c r="C47529" s="309"/>
      <c r="I47529" s="309"/>
      <c r="J47529" s="309"/>
    </row>
    <row r="47530">
      <c r="B47530" s="309"/>
      <c r="C47530" s="309"/>
      <c r="I47530" s="309"/>
      <c r="J47530" s="309"/>
    </row>
    <row r="47531">
      <c r="B47531" s="309"/>
      <c r="C47531" s="309"/>
      <c r="I47531" s="309"/>
      <c r="J47531" s="309"/>
    </row>
    <row r="47532">
      <c r="B47532" s="309"/>
      <c r="C47532" s="309"/>
      <c r="I47532" s="309"/>
      <c r="J47532" s="309"/>
    </row>
    <row r="47533">
      <c r="B47533" s="309"/>
      <c r="C47533" s="309"/>
      <c r="I47533" s="309"/>
      <c r="J47533" s="309"/>
    </row>
    <row r="47534">
      <c r="B47534" s="309"/>
      <c r="C47534" s="309"/>
      <c r="I47534" s="309"/>
      <c r="J47534" s="309"/>
    </row>
    <row r="47535">
      <c r="B47535" s="309"/>
      <c r="C47535" s="309"/>
      <c r="I47535" s="309"/>
      <c r="J47535" s="309"/>
    </row>
    <row r="47536">
      <c r="B47536" s="309"/>
      <c r="C47536" s="309"/>
      <c r="I47536" s="309"/>
      <c r="J47536" s="309"/>
    </row>
    <row r="47537">
      <c r="B47537" s="309"/>
      <c r="C47537" s="309"/>
      <c r="I47537" s="309"/>
      <c r="J47537" s="309"/>
    </row>
    <row r="47538">
      <c r="B47538" s="309"/>
      <c r="C47538" s="309"/>
      <c r="I47538" s="309"/>
      <c r="J47538" s="309"/>
    </row>
    <row r="47539">
      <c r="B47539" s="309"/>
      <c r="C47539" s="309"/>
      <c r="I47539" s="309"/>
      <c r="J47539" s="309"/>
    </row>
    <row r="47540">
      <c r="B47540" s="309"/>
      <c r="C47540" s="309"/>
      <c r="I47540" s="309"/>
      <c r="J47540" s="309"/>
    </row>
    <row r="47541">
      <c r="B47541" s="309"/>
      <c r="C47541" s="309"/>
      <c r="I47541" s="309"/>
      <c r="J47541" s="309"/>
    </row>
    <row r="47542">
      <c r="B47542" s="309"/>
      <c r="C47542" s="309"/>
      <c r="I47542" s="309"/>
      <c r="J47542" s="309"/>
    </row>
    <row r="47543">
      <c r="B47543" s="309"/>
      <c r="C47543" s="309"/>
      <c r="I47543" s="309"/>
      <c r="J47543" s="309"/>
    </row>
    <row r="47544">
      <c r="B47544" s="309"/>
      <c r="C47544" s="309"/>
      <c r="I47544" s="309"/>
      <c r="J47544" s="309"/>
    </row>
    <row r="47545">
      <c r="B47545" s="309"/>
      <c r="C47545" s="309"/>
      <c r="I47545" s="309"/>
      <c r="J47545" s="309"/>
    </row>
    <row r="47546">
      <c r="B47546" s="309"/>
      <c r="C47546" s="309"/>
      <c r="I47546" s="309"/>
      <c r="J47546" s="309"/>
    </row>
    <row r="47547">
      <c r="B47547" s="309"/>
      <c r="C47547" s="309"/>
      <c r="I47547" s="309"/>
      <c r="J47547" s="309"/>
    </row>
    <row r="47548">
      <c r="B47548" s="309"/>
      <c r="C47548" s="309"/>
      <c r="I47548" s="309"/>
      <c r="J47548" s="309"/>
    </row>
    <row r="47549">
      <c r="B47549" s="309"/>
      <c r="C47549" s="309"/>
      <c r="I47549" s="309"/>
      <c r="J47549" s="309"/>
    </row>
    <row r="47550">
      <c r="B47550" s="309"/>
      <c r="C47550" s="309"/>
      <c r="I47550" s="309"/>
      <c r="J47550" s="309"/>
    </row>
    <row r="47551">
      <c r="B47551" s="309"/>
      <c r="C47551" s="309"/>
      <c r="I47551" s="309"/>
      <c r="J47551" s="309"/>
    </row>
    <row r="47552">
      <c r="B47552" s="309"/>
      <c r="C47552" s="309"/>
      <c r="I47552" s="309"/>
      <c r="J47552" s="309"/>
    </row>
    <row r="47553">
      <c r="B47553" s="309"/>
      <c r="C47553" s="309"/>
      <c r="I47553" s="309"/>
      <c r="J47553" s="309"/>
    </row>
    <row r="47554">
      <c r="B47554" s="309"/>
      <c r="C47554" s="309"/>
      <c r="I47554" s="309"/>
      <c r="J47554" s="309"/>
    </row>
    <row r="47555">
      <c r="B47555" s="309"/>
      <c r="C47555" s="309"/>
      <c r="I47555" s="309"/>
      <c r="J47555" s="309"/>
    </row>
    <row r="47556">
      <c r="B47556" s="309"/>
      <c r="C47556" s="309"/>
      <c r="I47556" s="309"/>
      <c r="J47556" s="309"/>
    </row>
    <row r="47557">
      <c r="B47557" s="309"/>
      <c r="C47557" s="309"/>
      <c r="I47557" s="309"/>
      <c r="J47557" s="309"/>
    </row>
    <row r="47558">
      <c r="B47558" s="309"/>
      <c r="C47558" s="309"/>
      <c r="I47558" s="309"/>
      <c r="J47558" s="309"/>
    </row>
    <row r="47559">
      <c r="B47559" s="309"/>
      <c r="C47559" s="309"/>
      <c r="I47559" s="309"/>
      <c r="J47559" s="309"/>
    </row>
    <row r="47560">
      <c r="B47560" s="309"/>
      <c r="C47560" s="309"/>
      <c r="I47560" s="309"/>
      <c r="J47560" s="309"/>
    </row>
    <row r="47561">
      <c r="B47561" s="309"/>
      <c r="C47561" s="309"/>
      <c r="I47561" s="309"/>
      <c r="J47561" s="309"/>
    </row>
    <row r="47562">
      <c r="B47562" s="309"/>
      <c r="C47562" s="309"/>
      <c r="I47562" s="309"/>
      <c r="J47562" s="309"/>
    </row>
    <row r="47563">
      <c r="B47563" s="309"/>
      <c r="C47563" s="309"/>
      <c r="I47563" s="309"/>
      <c r="J47563" s="309"/>
    </row>
    <row r="47564">
      <c r="B47564" s="309"/>
      <c r="C47564" s="309"/>
      <c r="I47564" s="309"/>
      <c r="J47564" s="309"/>
    </row>
    <row r="47565">
      <c r="B47565" s="309"/>
      <c r="C47565" s="309"/>
      <c r="I47565" s="309"/>
      <c r="J47565" s="309"/>
    </row>
    <row r="47566">
      <c r="B47566" s="309"/>
      <c r="C47566" s="309"/>
      <c r="I47566" s="309"/>
      <c r="J47566" s="309"/>
    </row>
    <row r="47567">
      <c r="B47567" s="309"/>
      <c r="C47567" s="309"/>
      <c r="I47567" s="309"/>
      <c r="J47567" s="309"/>
    </row>
    <row r="47568">
      <c r="B47568" s="309"/>
      <c r="C47568" s="309"/>
      <c r="I47568" s="309"/>
      <c r="J47568" s="309"/>
    </row>
    <row r="47569">
      <c r="B47569" s="309"/>
      <c r="C47569" s="309"/>
      <c r="I47569" s="309"/>
      <c r="J47569" s="309"/>
    </row>
    <row r="47570">
      <c r="B47570" s="309"/>
      <c r="C47570" s="309"/>
      <c r="I47570" s="309"/>
      <c r="J47570" s="309"/>
    </row>
    <row r="47571">
      <c r="B47571" s="309"/>
      <c r="C47571" s="309"/>
      <c r="I47571" s="309"/>
      <c r="J47571" s="309"/>
    </row>
    <row r="47572">
      <c r="B47572" s="309"/>
      <c r="C47572" s="309"/>
      <c r="I47572" s="309"/>
      <c r="J47572" s="309"/>
    </row>
    <row r="47573">
      <c r="B47573" s="309"/>
      <c r="C47573" s="309"/>
      <c r="I47573" s="309"/>
      <c r="J47573" s="309"/>
    </row>
    <row r="47574">
      <c r="B47574" s="309"/>
      <c r="C47574" s="309"/>
      <c r="I47574" s="309"/>
      <c r="J47574" s="309"/>
    </row>
    <row r="47575">
      <c r="B47575" s="309"/>
      <c r="C47575" s="309"/>
      <c r="I47575" s="309"/>
      <c r="J47575" s="309"/>
    </row>
    <row r="47576">
      <c r="B47576" s="309"/>
      <c r="C47576" s="309"/>
      <c r="I47576" s="309"/>
      <c r="J47576" s="309"/>
    </row>
    <row r="47577">
      <c r="B47577" s="309"/>
      <c r="C47577" s="309"/>
      <c r="I47577" s="309"/>
      <c r="J47577" s="309"/>
    </row>
    <row r="47578">
      <c r="B47578" s="309"/>
      <c r="C47578" s="309"/>
      <c r="I47578" s="309"/>
      <c r="J47578" s="309"/>
    </row>
    <row r="47579">
      <c r="B47579" s="309"/>
      <c r="C47579" s="309"/>
      <c r="I47579" s="309"/>
      <c r="J47579" s="309"/>
    </row>
    <row r="47580">
      <c r="B47580" s="309"/>
      <c r="C47580" s="309"/>
      <c r="I47580" s="309"/>
      <c r="J47580" s="309"/>
    </row>
    <row r="47581">
      <c r="B47581" s="309"/>
      <c r="C47581" s="309"/>
      <c r="I47581" s="309"/>
      <c r="J47581" s="309"/>
    </row>
    <row r="47582">
      <c r="B47582" s="309"/>
      <c r="C47582" s="309"/>
      <c r="I47582" s="309"/>
      <c r="J47582" s="309"/>
    </row>
    <row r="47583">
      <c r="B47583" s="309"/>
      <c r="C47583" s="309"/>
      <c r="I47583" s="309"/>
      <c r="J47583" s="309"/>
    </row>
    <row r="47584">
      <c r="B47584" s="309"/>
      <c r="C47584" s="309"/>
      <c r="I47584" s="309"/>
      <c r="J47584" s="309"/>
    </row>
    <row r="47585">
      <c r="B47585" s="309"/>
      <c r="C47585" s="309"/>
      <c r="I47585" s="309"/>
      <c r="J47585" s="309"/>
    </row>
    <row r="47586">
      <c r="B47586" s="309"/>
      <c r="C47586" s="309"/>
      <c r="I47586" s="309"/>
      <c r="J47586" s="309"/>
    </row>
    <row r="47587">
      <c r="B47587" s="309"/>
      <c r="C47587" s="309"/>
      <c r="I47587" s="309"/>
      <c r="J47587" s="309"/>
    </row>
    <row r="47588">
      <c r="B47588" s="309"/>
      <c r="C47588" s="309"/>
      <c r="I47588" s="309"/>
      <c r="J47588" s="309"/>
    </row>
    <row r="47589">
      <c r="B47589" s="309"/>
      <c r="C47589" s="309"/>
      <c r="I47589" s="309"/>
      <c r="J47589" s="309"/>
    </row>
    <row r="47590">
      <c r="B47590" s="309"/>
      <c r="C47590" s="309"/>
      <c r="I47590" s="309"/>
      <c r="J47590" s="309"/>
    </row>
    <row r="47591">
      <c r="B47591" s="309"/>
      <c r="C47591" s="309"/>
      <c r="I47591" s="309"/>
      <c r="J47591" s="309"/>
    </row>
    <row r="47592">
      <c r="B47592" s="309"/>
      <c r="C47592" s="309"/>
      <c r="I47592" s="309"/>
      <c r="J47592" s="309"/>
    </row>
    <row r="47593">
      <c r="B47593" s="309"/>
      <c r="C47593" s="309"/>
      <c r="I47593" s="309"/>
      <c r="J47593" s="309"/>
    </row>
    <row r="47594">
      <c r="B47594" s="309"/>
      <c r="C47594" s="309"/>
      <c r="I47594" s="309"/>
      <c r="J47594" s="309"/>
    </row>
    <row r="47595">
      <c r="B47595" s="309"/>
      <c r="C47595" s="309"/>
      <c r="I47595" s="309"/>
      <c r="J47595" s="309"/>
    </row>
    <row r="47596">
      <c r="B47596" s="309"/>
      <c r="C47596" s="309"/>
      <c r="I47596" s="309"/>
      <c r="J47596" s="309"/>
    </row>
    <row r="47597">
      <c r="B47597" s="309"/>
      <c r="C47597" s="309"/>
      <c r="I47597" s="309"/>
      <c r="J47597" s="309"/>
    </row>
    <row r="47598">
      <c r="B47598" s="309"/>
      <c r="C47598" s="309"/>
      <c r="I47598" s="309"/>
      <c r="J47598" s="309"/>
    </row>
    <row r="47599">
      <c r="B47599" s="309"/>
      <c r="C47599" s="309"/>
      <c r="I47599" s="309"/>
      <c r="J47599" s="309"/>
    </row>
    <row r="47600">
      <c r="B47600" s="309"/>
      <c r="C47600" s="309"/>
      <c r="I47600" s="309"/>
      <c r="J47600" s="309"/>
    </row>
    <row r="47601">
      <c r="B47601" s="309"/>
      <c r="C47601" s="309"/>
      <c r="I47601" s="309"/>
      <c r="J47601" s="309"/>
    </row>
    <row r="47602">
      <c r="B47602" s="309"/>
      <c r="C47602" s="309"/>
      <c r="I47602" s="309"/>
      <c r="J47602" s="309"/>
    </row>
    <row r="47603">
      <c r="B47603" s="309"/>
      <c r="C47603" s="309"/>
      <c r="I47603" s="309"/>
      <c r="J47603" s="309"/>
    </row>
    <row r="47604">
      <c r="B47604" s="309"/>
      <c r="C47604" s="309"/>
      <c r="I47604" s="309"/>
      <c r="J47604" s="309"/>
    </row>
    <row r="47605">
      <c r="B47605" s="309"/>
      <c r="C47605" s="309"/>
      <c r="I47605" s="309"/>
      <c r="J47605" s="309"/>
    </row>
    <row r="47606">
      <c r="B47606" s="309"/>
      <c r="C47606" s="309"/>
      <c r="I47606" s="309"/>
      <c r="J47606" s="309"/>
    </row>
    <row r="47607">
      <c r="B47607" s="309"/>
      <c r="C47607" s="309"/>
      <c r="I47607" s="309"/>
      <c r="J47607" s="309"/>
    </row>
    <row r="47608">
      <c r="B47608" s="309"/>
      <c r="C47608" s="309"/>
      <c r="I47608" s="309"/>
      <c r="J47608" s="309"/>
    </row>
    <row r="47609">
      <c r="B47609" s="309"/>
      <c r="C47609" s="309"/>
      <c r="I47609" s="309"/>
      <c r="J47609" s="309"/>
    </row>
    <row r="47610">
      <c r="B47610" s="309"/>
      <c r="C47610" s="309"/>
      <c r="I47610" s="309"/>
      <c r="J47610" s="309"/>
    </row>
    <row r="47611">
      <c r="B47611" s="309"/>
      <c r="C47611" s="309"/>
      <c r="I47611" s="309"/>
      <c r="J47611" s="309"/>
    </row>
    <row r="47612">
      <c r="B47612" s="309"/>
      <c r="C47612" s="309"/>
      <c r="I47612" s="309"/>
      <c r="J47612" s="309"/>
    </row>
    <row r="47613">
      <c r="B47613" s="309"/>
      <c r="C47613" s="309"/>
      <c r="I47613" s="309"/>
      <c r="J47613" s="309"/>
    </row>
    <row r="47614">
      <c r="B47614" s="309"/>
      <c r="C47614" s="309"/>
      <c r="I47614" s="309"/>
      <c r="J47614" s="309"/>
    </row>
    <row r="47615">
      <c r="B47615" s="309"/>
      <c r="C47615" s="309"/>
      <c r="I47615" s="309"/>
      <c r="J47615" s="309"/>
    </row>
    <row r="47616">
      <c r="B47616" s="309"/>
      <c r="C47616" s="309"/>
      <c r="I47616" s="309"/>
      <c r="J47616" s="309"/>
    </row>
    <row r="47617">
      <c r="B47617" s="309"/>
      <c r="C47617" s="309"/>
      <c r="I47617" s="309"/>
      <c r="J47617" s="309"/>
    </row>
    <row r="47618">
      <c r="B47618" s="309"/>
      <c r="C47618" s="309"/>
      <c r="I47618" s="309"/>
      <c r="J47618" s="309"/>
    </row>
    <row r="47619">
      <c r="B47619" s="309"/>
      <c r="C47619" s="309"/>
      <c r="I47619" s="309"/>
      <c r="J47619" s="309"/>
    </row>
    <row r="47620">
      <c r="B47620" s="309"/>
      <c r="C47620" s="309"/>
      <c r="I47620" s="309"/>
      <c r="J47620" s="309"/>
    </row>
    <row r="47621">
      <c r="B47621" s="309"/>
      <c r="C47621" s="309"/>
      <c r="I47621" s="309"/>
      <c r="J47621" s="309"/>
    </row>
    <row r="47622">
      <c r="B47622" s="309"/>
      <c r="C47622" s="309"/>
      <c r="I47622" s="309"/>
      <c r="J47622" s="309"/>
    </row>
    <row r="47623">
      <c r="B47623" s="309"/>
      <c r="C47623" s="309"/>
      <c r="I47623" s="309"/>
      <c r="J47623" s="309"/>
    </row>
    <row r="47624">
      <c r="B47624" s="309"/>
      <c r="C47624" s="309"/>
      <c r="I47624" s="309"/>
      <c r="J47624" s="309"/>
    </row>
    <row r="47625">
      <c r="B47625" s="309"/>
      <c r="C47625" s="309"/>
      <c r="I47625" s="309"/>
      <c r="J47625" s="309"/>
    </row>
    <row r="47626">
      <c r="B47626" s="309"/>
      <c r="C47626" s="309"/>
      <c r="I47626" s="309"/>
      <c r="J47626" s="309"/>
    </row>
    <row r="47627">
      <c r="B47627" s="309"/>
      <c r="C47627" s="309"/>
      <c r="I47627" s="309"/>
      <c r="J47627" s="309"/>
    </row>
    <row r="47628">
      <c r="B47628" s="309"/>
      <c r="C47628" s="309"/>
      <c r="I47628" s="309"/>
      <c r="J47628" s="309"/>
    </row>
    <row r="47629">
      <c r="B47629" s="309"/>
      <c r="C47629" s="309"/>
      <c r="I47629" s="309"/>
      <c r="J47629" s="309"/>
    </row>
    <row r="47630">
      <c r="B47630" s="309"/>
      <c r="C47630" s="309"/>
      <c r="I47630" s="309"/>
      <c r="J47630" s="309"/>
    </row>
    <row r="47631">
      <c r="B47631" s="309"/>
      <c r="C47631" s="309"/>
      <c r="I47631" s="309"/>
      <c r="J47631" s="309"/>
    </row>
    <row r="47632">
      <c r="B47632" s="309"/>
      <c r="C47632" s="309"/>
      <c r="I47632" s="309"/>
      <c r="J47632" s="309"/>
    </row>
    <row r="47633">
      <c r="B47633" s="309"/>
      <c r="C47633" s="309"/>
      <c r="I47633" s="309"/>
      <c r="J47633" s="309"/>
    </row>
    <row r="47634">
      <c r="B47634" s="309"/>
      <c r="C47634" s="309"/>
      <c r="I47634" s="309"/>
      <c r="J47634" s="309"/>
    </row>
    <row r="47635">
      <c r="B47635" s="309"/>
      <c r="C47635" s="309"/>
      <c r="I47635" s="309"/>
      <c r="J47635" s="309"/>
    </row>
    <row r="47636">
      <c r="B47636" s="309"/>
      <c r="C47636" s="309"/>
      <c r="I47636" s="309"/>
      <c r="J47636" s="309"/>
    </row>
    <row r="47637">
      <c r="B47637" s="309"/>
      <c r="C47637" s="309"/>
      <c r="I47637" s="309"/>
      <c r="J47637" s="309"/>
    </row>
    <row r="47638">
      <c r="B47638" s="309"/>
      <c r="C47638" s="309"/>
      <c r="I47638" s="309"/>
      <c r="J47638" s="309"/>
    </row>
    <row r="47639">
      <c r="B47639" s="309"/>
      <c r="C47639" s="309"/>
      <c r="I47639" s="309"/>
      <c r="J47639" s="309"/>
    </row>
    <row r="47640">
      <c r="B47640" s="309"/>
      <c r="C47640" s="309"/>
      <c r="I47640" s="309"/>
      <c r="J47640" s="309"/>
    </row>
    <row r="47641">
      <c r="B47641" s="309"/>
      <c r="C47641" s="309"/>
      <c r="I47641" s="309"/>
      <c r="J47641" s="309"/>
    </row>
    <row r="47642">
      <c r="B47642" s="309"/>
      <c r="C47642" s="309"/>
      <c r="I47642" s="309"/>
      <c r="J47642" s="309"/>
    </row>
    <row r="47643">
      <c r="B47643" s="309"/>
      <c r="C47643" s="309"/>
      <c r="I47643" s="309"/>
      <c r="J47643" s="309"/>
    </row>
    <row r="47644">
      <c r="B47644" s="309"/>
      <c r="C47644" s="309"/>
      <c r="I47644" s="309"/>
      <c r="J47644" s="309"/>
    </row>
    <row r="47645">
      <c r="B47645" s="309"/>
      <c r="C47645" s="309"/>
      <c r="I47645" s="309"/>
      <c r="J47645" s="309"/>
    </row>
    <row r="47646">
      <c r="B47646" s="309"/>
      <c r="C47646" s="309"/>
      <c r="I47646" s="309"/>
      <c r="J47646" s="309"/>
    </row>
    <row r="47647">
      <c r="B47647" s="309"/>
      <c r="C47647" s="309"/>
      <c r="I47647" s="309"/>
      <c r="J47647" s="309"/>
    </row>
    <row r="47648">
      <c r="B47648" s="309"/>
      <c r="C47648" s="309"/>
      <c r="I47648" s="309"/>
      <c r="J47648" s="309"/>
    </row>
    <row r="47649">
      <c r="B47649" s="309"/>
      <c r="C47649" s="309"/>
      <c r="I47649" s="309"/>
      <c r="J47649" s="309"/>
    </row>
    <row r="47650">
      <c r="B47650" s="309"/>
      <c r="C47650" s="309"/>
      <c r="I47650" s="309"/>
      <c r="J47650" s="309"/>
    </row>
    <row r="47651">
      <c r="B47651" s="309"/>
      <c r="C47651" s="309"/>
      <c r="I47651" s="309"/>
      <c r="J47651" s="309"/>
    </row>
    <row r="47652">
      <c r="B47652" s="309"/>
      <c r="C47652" s="309"/>
      <c r="I47652" s="309"/>
      <c r="J47652" s="309"/>
    </row>
    <row r="47653">
      <c r="B47653" s="309"/>
      <c r="C47653" s="309"/>
      <c r="I47653" s="309"/>
      <c r="J47653" s="309"/>
    </row>
    <row r="47654">
      <c r="B47654" s="309"/>
      <c r="C47654" s="309"/>
      <c r="I47654" s="309"/>
      <c r="J47654" s="309"/>
    </row>
    <row r="47655">
      <c r="B47655" s="309"/>
      <c r="C47655" s="309"/>
      <c r="I47655" s="309"/>
      <c r="J47655" s="309"/>
    </row>
    <row r="47656">
      <c r="B47656" s="309"/>
      <c r="C47656" s="309"/>
      <c r="I47656" s="309"/>
      <c r="J47656" s="309"/>
    </row>
    <row r="47657">
      <c r="B47657" s="309"/>
      <c r="C47657" s="309"/>
      <c r="I47657" s="309"/>
      <c r="J47657" s="309"/>
    </row>
    <row r="47658">
      <c r="B47658" s="309"/>
      <c r="C47658" s="309"/>
      <c r="I47658" s="309"/>
      <c r="J47658" s="309"/>
    </row>
    <row r="47659">
      <c r="B47659" s="309"/>
      <c r="C47659" s="309"/>
      <c r="I47659" s="309"/>
      <c r="J47659" s="309"/>
    </row>
    <row r="47660">
      <c r="B47660" s="309"/>
      <c r="C47660" s="309"/>
      <c r="I47660" s="309"/>
      <c r="J47660" s="309"/>
    </row>
    <row r="47661">
      <c r="B47661" s="309"/>
      <c r="C47661" s="309"/>
      <c r="I47661" s="309"/>
      <c r="J47661" s="309"/>
    </row>
    <row r="47662">
      <c r="B47662" s="309"/>
      <c r="C47662" s="309"/>
      <c r="I47662" s="309"/>
      <c r="J47662" s="309"/>
    </row>
    <row r="47663">
      <c r="B47663" s="309"/>
      <c r="C47663" s="309"/>
      <c r="I47663" s="309"/>
      <c r="J47663" s="309"/>
    </row>
    <row r="47664">
      <c r="B47664" s="309"/>
      <c r="C47664" s="309"/>
      <c r="I47664" s="309"/>
      <c r="J47664" s="309"/>
    </row>
    <row r="47665">
      <c r="B47665" s="309"/>
      <c r="C47665" s="309"/>
      <c r="I47665" s="309"/>
      <c r="J47665" s="309"/>
    </row>
    <row r="47666">
      <c r="B47666" s="309"/>
      <c r="C47666" s="309"/>
      <c r="I47666" s="309"/>
      <c r="J47666" s="309"/>
    </row>
    <row r="47667">
      <c r="B47667" s="309"/>
      <c r="C47667" s="309"/>
      <c r="I47667" s="309"/>
      <c r="J47667" s="309"/>
    </row>
    <row r="47668">
      <c r="B47668" s="309"/>
      <c r="C47668" s="309"/>
      <c r="I47668" s="309"/>
      <c r="J47668" s="309"/>
    </row>
    <row r="47669">
      <c r="B47669" s="309"/>
      <c r="C47669" s="309"/>
      <c r="I47669" s="309"/>
      <c r="J47669" s="309"/>
    </row>
    <row r="47670">
      <c r="B47670" s="309"/>
      <c r="C47670" s="309"/>
      <c r="I47670" s="309"/>
      <c r="J47670" s="309"/>
    </row>
    <row r="47671">
      <c r="B47671" s="309"/>
      <c r="C47671" s="309"/>
      <c r="I47671" s="309"/>
      <c r="J47671" s="309"/>
    </row>
    <row r="47672">
      <c r="B47672" s="309"/>
      <c r="C47672" s="309"/>
      <c r="I47672" s="309"/>
      <c r="J47672" s="309"/>
    </row>
    <row r="47673">
      <c r="B47673" s="309"/>
      <c r="C47673" s="309"/>
      <c r="I47673" s="309"/>
      <c r="J47673" s="309"/>
    </row>
    <row r="47674">
      <c r="B47674" s="309"/>
      <c r="C47674" s="309"/>
      <c r="I47674" s="309"/>
      <c r="J47674" s="309"/>
    </row>
    <row r="47675">
      <c r="B47675" s="309"/>
      <c r="C47675" s="309"/>
      <c r="I47675" s="309"/>
      <c r="J47675" s="309"/>
    </row>
    <row r="47676">
      <c r="B47676" s="309"/>
      <c r="C47676" s="309"/>
      <c r="I47676" s="309"/>
      <c r="J47676" s="309"/>
    </row>
    <row r="47677">
      <c r="B47677" s="309"/>
      <c r="C47677" s="309"/>
      <c r="I47677" s="309"/>
      <c r="J47677" s="309"/>
    </row>
    <row r="47678">
      <c r="B47678" s="309"/>
      <c r="C47678" s="309"/>
      <c r="I47678" s="309"/>
      <c r="J47678" s="309"/>
    </row>
    <row r="47679">
      <c r="B47679" s="309"/>
      <c r="C47679" s="309"/>
      <c r="I47679" s="309"/>
      <c r="J47679" s="309"/>
    </row>
    <row r="47680">
      <c r="B47680" s="309"/>
      <c r="C47680" s="309"/>
      <c r="I47680" s="309"/>
      <c r="J47680" s="309"/>
    </row>
    <row r="47681">
      <c r="B47681" s="309"/>
      <c r="C47681" s="309"/>
      <c r="I47681" s="309"/>
      <c r="J47681" s="309"/>
    </row>
    <row r="47682">
      <c r="B47682" s="309"/>
      <c r="C47682" s="309"/>
      <c r="I47682" s="309"/>
      <c r="J47682" s="309"/>
    </row>
    <row r="47683">
      <c r="B47683" s="309"/>
      <c r="C47683" s="309"/>
      <c r="I47683" s="309"/>
      <c r="J47683" s="309"/>
    </row>
    <row r="47684">
      <c r="B47684" s="309"/>
      <c r="C47684" s="309"/>
      <c r="I47684" s="309"/>
      <c r="J47684" s="309"/>
    </row>
    <row r="47685">
      <c r="B47685" s="309"/>
      <c r="C47685" s="309"/>
      <c r="I47685" s="309"/>
      <c r="J47685" s="309"/>
    </row>
    <row r="47686">
      <c r="B47686" s="309"/>
      <c r="C47686" s="309"/>
      <c r="I47686" s="309"/>
      <c r="J47686" s="309"/>
    </row>
    <row r="47687">
      <c r="B47687" s="309"/>
      <c r="C47687" s="309"/>
      <c r="I47687" s="309"/>
      <c r="J47687" s="309"/>
    </row>
    <row r="47688">
      <c r="B47688" s="309"/>
      <c r="C47688" s="309"/>
      <c r="I47688" s="309"/>
      <c r="J47688" s="309"/>
    </row>
    <row r="47689">
      <c r="B47689" s="309"/>
      <c r="C47689" s="309"/>
      <c r="I47689" s="309"/>
      <c r="J47689" s="309"/>
    </row>
    <row r="47690">
      <c r="B47690" s="309"/>
      <c r="C47690" s="309"/>
      <c r="I47690" s="309"/>
      <c r="J47690" s="309"/>
    </row>
    <row r="47691">
      <c r="B47691" s="309"/>
      <c r="C47691" s="309"/>
      <c r="I47691" s="309"/>
      <c r="J47691" s="309"/>
    </row>
    <row r="47692">
      <c r="B47692" s="309"/>
      <c r="C47692" s="309"/>
      <c r="I47692" s="309"/>
      <c r="J47692" s="309"/>
    </row>
    <row r="47693">
      <c r="B47693" s="309"/>
      <c r="C47693" s="309"/>
      <c r="I47693" s="309"/>
      <c r="J47693" s="309"/>
    </row>
    <row r="47694">
      <c r="B47694" s="309"/>
      <c r="C47694" s="309"/>
      <c r="I47694" s="309"/>
      <c r="J47694" s="309"/>
    </row>
    <row r="47695">
      <c r="B47695" s="309"/>
      <c r="C47695" s="309"/>
      <c r="I47695" s="309"/>
      <c r="J47695" s="309"/>
    </row>
    <row r="47696">
      <c r="B47696" s="309"/>
      <c r="C47696" s="309"/>
      <c r="I47696" s="309"/>
      <c r="J47696" s="309"/>
    </row>
    <row r="47697">
      <c r="B47697" s="309"/>
      <c r="C47697" s="309"/>
      <c r="I47697" s="309"/>
      <c r="J47697" s="309"/>
    </row>
    <row r="47698">
      <c r="B47698" s="309"/>
      <c r="C47698" s="309"/>
      <c r="I47698" s="309"/>
      <c r="J47698" s="309"/>
    </row>
    <row r="47699">
      <c r="B47699" s="309"/>
      <c r="C47699" s="309"/>
      <c r="I47699" s="309"/>
      <c r="J47699" s="309"/>
    </row>
    <row r="47700">
      <c r="B47700" s="309"/>
      <c r="C47700" s="309"/>
      <c r="I47700" s="309"/>
      <c r="J47700" s="309"/>
    </row>
    <row r="47701">
      <c r="B47701" s="309"/>
      <c r="C47701" s="309"/>
      <c r="I47701" s="309"/>
      <c r="J47701" s="309"/>
    </row>
    <row r="47702">
      <c r="B47702" s="309"/>
      <c r="C47702" s="309"/>
      <c r="I47702" s="309"/>
      <c r="J47702" s="309"/>
    </row>
    <row r="47703">
      <c r="B47703" s="309"/>
      <c r="C47703" s="309"/>
      <c r="I47703" s="309"/>
      <c r="J47703" s="309"/>
    </row>
    <row r="47704">
      <c r="B47704" s="309"/>
      <c r="C47704" s="309"/>
      <c r="I47704" s="309"/>
      <c r="J47704" s="309"/>
    </row>
    <row r="47705">
      <c r="B47705" s="309"/>
      <c r="C47705" s="309"/>
      <c r="I47705" s="309"/>
      <c r="J47705" s="309"/>
    </row>
    <row r="47706">
      <c r="B47706" s="309"/>
      <c r="C47706" s="309"/>
      <c r="I47706" s="309"/>
      <c r="J47706" s="309"/>
    </row>
    <row r="47707">
      <c r="B47707" s="309"/>
      <c r="C47707" s="309"/>
      <c r="I47707" s="309"/>
      <c r="J47707" s="309"/>
    </row>
    <row r="47708">
      <c r="B47708" s="309"/>
      <c r="C47708" s="309"/>
      <c r="I47708" s="309"/>
      <c r="J47708" s="309"/>
    </row>
    <row r="47709">
      <c r="B47709" s="309"/>
      <c r="C47709" s="309"/>
      <c r="I47709" s="309"/>
      <c r="J47709" s="309"/>
    </row>
    <row r="47710">
      <c r="B47710" s="309"/>
      <c r="C47710" s="309"/>
      <c r="I47710" s="309"/>
      <c r="J47710" s="309"/>
    </row>
    <row r="47711">
      <c r="B47711" s="309"/>
      <c r="C47711" s="309"/>
      <c r="I47711" s="309"/>
      <c r="J47711" s="309"/>
    </row>
    <row r="47712">
      <c r="B47712" s="309"/>
      <c r="C47712" s="309"/>
      <c r="I47712" s="309"/>
      <c r="J47712" s="309"/>
    </row>
    <row r="47713">
      <c r="B47713" s="309"/>
      <c r="C47713" s="309"/>
      <c r="I47713" s="309"/>
      <c r="J47713" s="309"/>
    </row>
    <row r="47714">
      <c r="B47714" s="309"/>
      <c r="C47714" s="309"/>
      <c r="I47714" s="309"/>
      <c r="J47714" s="309"/>
    </row>
    <row r="47715">
      <c r="B47715" s="309"/>
      <c r="C47715" s="309"/>
      <c r="I47715" s="309"/>
      <c r="J47715" s="309"/>
    </row>
    <row r="47716">
      <c r="B47716" s="309"/>
      <c r="C47716" s="309"/>
      <c r="I47716" s="309"/>
      <c r="J47716" s="309"/>
    </row>
    <row r="47717">
      <c r="B47717" s="309"/>
      <c r="C47717" s="309"/>
      <c r="I47717" s="309"/>
      <c r="J47717" s="309"/>
    </row>
    <row r="47718">
      <c r="B47718" s="309"/>
      <c r="C47718" s="309"/>
      <c r="I47718" s="309"/>
      <c r="J47718" s="309"/>
    </row>
    <row r="47719">
      <c r="B47719" s="309"/>
      <c r="C47719" s="309"/>
      <c r="I47719" s="309"/>
      <c r="J47719" s="309"/>
    </row>
    <row r="47720">
      <c r="B47720" s="309"/>
      <c r="C47720" s="309"/>
      <c r="I47720" s="309"/>
      <c r="J47720" s="309"/>
    </row>
    <row r="47721">
      <c r="B47721" s="309"/>
      <c r="C47721" s="309"/>
      <c r="I47721" s="309"/>
      <c r="J47721" s="309"/>
    </row>
    <row r="47722">
      <c r="B47722" s="309"/>
      <c r="C47722" s="309"/>
      <c r="I47722" s="309"/>
      <c r="J47722" s="309"/>
    </row>
    <row r="47723">
      <c r="B47723" s="309"/>
      <c r="C47723" s="309"/>
      <c r="I47723" s="309"/>
      <c r="J47723" s="309"/>
    </row>
    <row r="47724">
      <c r="B47724" s="309"/>
      <c r="C47724" s="309"/>
      <c r="I47724" s="309"/>
      <c r="J47724" s="309"/>
    </row>
    <row r="47725">
      <c r="B47725" s="309"/>
      <c r="C47725" s="309"/>
      <c r="I47725" s="309"/>
      <c r="J47725" s="309"/>
    </row>
    <row r="47726">
      <c r="B47726" s="309"/>
      <c r="C47726" s="309"/>
      <c r="I47726" s="309"/>
      <c r="J47726" s="309"/>
    </row>
    <row r="47727">
      <c r="B47727" s="309"/>
      <c r="C47727" s="309"/>
      <c r="I47727" s="309"/>
      <c r="J47727" s="309"/>
    </row>
    <row r="47728">
      <c r="B47728" s="309"/>
      <c r="C47728" s="309"/>
      <c r="I47728" s="309"/>
      <c r="J47728" s="309"/>
    </row>
    <row r="47729">
      <c r="B47729" s="309"/>
      <c r="C47729" s="309"/>
      <c r="I47729" s="309"/>
      <c r="J47729" s="309"/>
    </row>
    <row r="47730">
      <c r="B47730" s="309"/>
      <c r="C47730" s="309"/>
      <c r="I47730" s="309"/>
      <c r="J47730" s="309"/>
    </row>
    <row r="47731">
      <c r="B47731" s="309"/>
      <c r="C47731" s="309"/>
      <c r="I47731" s="309"/>
      <c r="J47731" s="309"/>
    </row>
    <row r="47732">
      <c r="B47732" s="309"/>
      <c r="C47732" s="309"/>
      <c r="I47732" s="309"/>
      <c r="J47732" s="309"/>
    </row>
    <row r="47733">
      <c r="B47733" s="309"/>
      <c r="C47733" s="309"/>
      <c r="I47733" s="309"/>
      <c r="J47733" s="309"/>
    </row>
    <row r="47734">
      <c r="B47734" s="309"/>
      <c r="C47734" s="309"/>
      <c r="I47734" s="309"/>
      <c r="J47734" s="309"/>
    </row>
    <row r="47735">
      <c r="B47735" s="309"/>
      <c r="C47735" s="309"/>
      <c r="I47735" s="309"/>
      <c r="J47735" s="309"/>
    </row>
    <row r="47736">
      <c r="B47736" s="309"/>
      <c r="C47736" s="309"/>
      <c r="I47736" s="309"/>
      <c r="J47736" s="309"/>
    </row>
    <row r="47737">
      <c r="B47737" s="309"/>
      <c r="C47737" s="309"/>
      <c r="I47737" s="309"/>
      <c r="J47737" s="309"/>
    </row>
    <row r="47738">
      <c r="B47738" s="309"/>
      <c r="C47738" s="309"/>
      <c r="I47738" s="309"/>
      <c r="J47738" s="309"/>
    </row>
    <row r="47739">
      <c r="B47739" s="309"/>
      <c r="C47739" s="309"/>
      <c r="I47739" s="309"/>
      <c r="J47739" s="309"/>
    </row>
    <row r="47740">
      <c r="B47740" s="309"/>
      <c r="C47740" s="309"/>
      <c r="I47740" s="309"/>
      <c r="J47740" s="309"/>
    </row>
    <row r="47741">
      <c r="B47741" s="309"/>
      <c r="C47741" s="309"/>
      <c r="I47741" s="309"/>
      <c r="J47741" s="309"/>
    </row>
    <row r="47742">
      <c r="B47742" s="309"/>
      <c r="C47742" s="309"/>
      <c r="I47742" s="309"/>
      <c r="J47742" s="309"/>
    </row>
    <row r="47743">
      <c r="B47743" s="309"/>
      <c r="C47743" s="309"/>
      <c r="I47743" s="309"/>
      <c r="J47743" s="309"/>
    </row>
    <row r="47744">
      <c r="B47744" s="309"/>
      <c r="C47744" s="309"/>
      <c r="I47744" s="309"/>
      <c r="J47744" s="309"/>
    </row>
    <row r="47745">
      <c r="B47745" s="309"/>
      <c r="C47745" s="309"/>
      <c r="I47745" s="309"/>
      <c r="J47745" s="309"/>
    </row>
    <row r="47746">
      <c r="B47746" s="309"/>
      <c r="C47746" s="309"/>
      <c r="I47746" s="309"/>
      <c r="J47746" s="309"/>
    </row>
    <row r="47747">
      <c r="B47747" s="309"/>
      <c r="C47747" s="309"/>
      <c r="I47747" s="309"/>
      <c r="J47747" s="309"/>
    </row>
    <row r="47748">
      <c r="B47748" s="309"/>
      <c r="C47748" s="309"/>
      <c r="I47748" s="309"/>
      <c r="J47748" s="309"/>
    </row>
    <row r="47749">
      <c r="B47749" s="309"/>
      <c r="C47749" s="309"/>
      <c r="I47749" s="309"/>
      <c r="J47749" s="309"/>
    </row>
    <row r="47750">
      <c r="B47750" s="309"/>
      <c r="C47750" s="309"/>
      <c r="I47750" s="309"/>
      <c r="J47750" s="309"/>
    </row>
    <row r="47751">
      <c r="B47751" s="309"/>
      <c r="C47751" s="309"/>
      <c r="I47751" s="309"/>
      <c r="J47751" s="309"/>
    </row>
    <row r="47752">
      <c r="B47752" s="309"/>
      <c r="C47752" s="309"/>
      <c r="I47752" s="309"/>
      <c r="J47752" s="309"/>
    </row>
    <row r="47753">
      <c r="B47753" s="309"/>
      <c r="C47753" s="309"/>
      <c r="I47753" s="309"/>
      <c r="J47753" s="309"/>
    </row>
    <row r="47754">
      <c r="B47754" s="309"/>
      <c r="C47754" s="309"/>
      <c r="I47754" s="309"/>
      <c r="J47754" s="309"/>
    </row>
    <row r="47755">
      <c r="B47755" s="309"/>
      <c r="C47755" s="309"/>
      <c r="I47755" s="309"/>
      <c r="J47755" s="309"/>
    </row>
    <row r="47756">
      <c r="B47756" s="309"/>
      <c r="C47756" s="309"/>
      <c r="I47756" s="309"/>
      <c r="J47756" s="309"/>
    </row>
    <row r="47757">
      <c r="B47757" s="309"/>
      <c r="C47757" s="309"/>
      <c r="I47757" s="309"/>
      <c r="J47757" s="309"/>
    </row>
    <row r="47758">
      <c r="B47758" s="309"/>
      <c r="C47758" s="309"/>
      <c r="I47758" s="309"/>
      <c r="J47758" s="309"/>
    </row>
    <row r="47759">
      <c r="B47759" s="309"/>
      <c r="C47759" s="309"/>
      <c r="I47759" s="309"/>
      <c r="J47759" s="309"/>
    </row>
    <row r="47760">
      <c r="B47760" s="309"/>
      <c r="C47760" s="309"/>
      <c r="I47760" s="309"/>
      <c r="J47760" s="309"/>
    </row>
    <row r="47761">
      <c r="B47761" s="309"/>
      <c r="C47761" s="309"/>
      <c r="I47761" s="309"/>
      <c r="J47761" s="309"/>
    </row>
    <row r="47762">
      <c r="B47762" s="309"/>
      <c r="C47762" s="309"/>
      <c r="I47762" s="309"/>
      <c r="J47762" s="309"/>
    </row>
    <row r="47763">
      <c r="B47763" s="309"/>
      <c r="C47763" s="309"/>
      <c r="I47763" s="309"/>
      <c r="J47763" s="309"/>
    </row>
    <row r="47764">
      <c r="B47764" s="309"/>
      <c r="C47764" s="309"/>
      <c r="I47764" s="309"/>
      <c r="J47764" s="309"/>
    </row>
    <row r="47765">
      <c r="B47765" s="309"/>
      <c r="C47765" s="309"/>
      <c r="I47765" s="309"/>
      <c r="J47765" s="309"/>
    </row>
    <row r="47766">
      <c r="B47766" s="309"/>
      <c r="C47766" s="309"/>
      <c r="I47766" s="309"/>
      <c r="J47766" s="309"/>
    </row>
    <row r="47767">
      <c r="B47767" s="309"/>
      <c r="C47767" s="309"/>
      <c r="I47767" s="309"/>
      <c r="J47767" s="309"/>
    </row>
    <row r="47768">
      <c r="B47768" s="309"/>
      <c r="C47768" s="309"/>
      <c r="I47768" s="309"/>
      <c r="J47768" s="309"/>
    </row>
    <row r="47769">
      <c r="B47769" s="309"/>
      <c r="C47769" s="309"/>
      <c r="I47769" s="309"/>
      <c r="J47769" s="309"/>
    </row>
    <row r="47770">
      <c r="B47770" s="309"/>
      <c r="C47770" s="309"/>
      <c r="I47770" s="309"/>
      <c r="J47770" s="309"/>
    </row>
    <row r="47771">
      <c r="B47771" s="309"/>
      <c r="C47771" s="309"/>
      <c r="I47771" s="309"/>
      <c r="J47771" s="309"/>
    </row>
    <row r="47772">
      <c r="B47772" s="309"/>
      <c r="C47772" s="309"/>
      <c r="I47772" s="309"/>
      <c r="J47772" s="309"/>
    </row>
    <row r="47773">
      <c r="B47773" s="309"/>
      <c r="C47773" s="309"/>
      <c r="I47773" s="309"/>
      <c r="J47773" s="309"/>
    </row>
    <row r="47774">
      <c r="B47774" s="309"/>
      <c r="C47774" s="309"/>
      <c r="I47774" s="309"/>
      <c r="J47774" s="309"/>
    </row>
    <row r="47775">
      <c r="B47775" s="309"/>
      <c r="C47775" s="309"/>
      <c r="I47775" s="309"/>
      <c r="J47775" s="309"/>
    </row>
    <row r="47776">
      <c r="B47776" s="309"/>
      <c r="C47776" s="309"/>
      <c r="I47776" s="309"/>
      <c r="J47776" s="309"/>
    </row>
    <row r="47777">
      <c r="B47777" s="309"/>
      <c r="C47777" s="309"/>
      <c r="I47777" s="309"/>
      <c r="J47777" s="309"/>
    </row>
    <row r="47778">
      <c r="B47778" s="309"/>
      <c r="C47778" s="309"/>
      <c r="I47778" s="309"/>
      <c r="J47778" s="309"/>
    </row>
    <row r="47779">
      <c r="B47779" s="309"/>
      <c r="C47779" s="309"/>
      <c r="I47779" s="309"/>
      <c r="J47779" s="309"/>
    </row>
    <row r="47780">
      <c r="B47780" s="309"/>
      <c r="C47780" s="309"/>
      <c r="I47780" s="309"/>
      <c r="J47780" s="309"/>
    </row>
    <row r="47781">
      <c r="B47781" s="309"/>
      <c r="C47781" s="309"/>
      <c r="I47781" s="309"/>
      <c r="J47781" s="309"/>
    </row>
    <row r="47782">
      <c r="B47782" s="309"/>
      <c r="C47782" s="309"/>
      <c r="I47782" s="309"/>
      <c r="J47782" s="309"/>
    </row>
    <row r="47783">
      <c r="B47783" s="309"/>
      <c r="C47783" s="309"/>
      <c r="I47783" s="309"/>
      <c r="J47783" s="309"/>
    </row>
    <row r="47784">
      <c r="B47784" s="309"/>
      <c r="C47784" s="309"/>
      <c r="I47784" s="309"/>
      <c r="J47784" s="309"/>
    </row>
    <row r="47785">
      <c r="B47785" s="309"/>
      <c r="C47785" s="309"/>
      <c r="I47785" s="309"/>
      <c r="J47785" s="309"/>
    </row>
    <row r="47786">
      <c r="B47786" s="309"/>
      <c r="C47786" s="309"/>
      <c r="I47786" s="309"/>
      <c r="J47786" s="309"/>
    </row>
    <row r="47787">
      <c r="B47787" s="309"/>
      <c r="C47787" s="309"/>
      <c r="I47787" s="309"/>
      <c r="J47787" s="309"/>
    </row>
    <row r="47788">
      <c r="B47788" s="309"/>
      <c r="C47788" s="309"/>
      <c r="I47788" s="309"/>
      <c r="J47788" s="309"/>
    </row>
    <row r="47789">
      <c r="B47789" s="309"/>
      <c r="C47789" s="309"/>
      <c r="I47789" s="309"/>
      <c r="J47789" s="309"/>
    </row>
    <row r="47790">
      <c r="B47790" s="309"/>
      <c r="C47790" s="309"/>
      <c r="I47790" s="309"/>
      <c r="J47790" s="309"/>
    </row>
    <row r="47791">
      <c r="B47791" s="309"/>
      <c r="C47791" s="309"/>
      <c r="I47791" s="309"/>
      <c r="J47791" s="309"/>
    </row>
    <row r="47792">
      <c r="B47792" s="309"/>
      <c r="C47792" s="309"/>
      <c r="I47792" s="309"/>
      <c r="J47792" s="309"/>
    </row>
    <row r="47793">
      <c r="B47793" s="309"/>
      <c r="C47793" s="309"/>
      <c r="I47793" s="309"/>
      <c r="J47793" s="309"/>
    </row>
    <row r="47794">
      <c r="B47794" s="309"/>
      <c r="C47794" s="309"/>
      <c r="I47794" s="309"/>
      <c r="J47794" s="309"/>
    </row>
    <row r="47795">
      <c r="B47795" s="309"/>
      <c r="C47795" s="309"/>
      <c r="I47795" s="309"/>
      <c r="J47795" s="309"/>
    </row>
    <row r="47796">
      <c r="B47796" s="309"/>
      <c r="C47796" s="309"/>
      <c r="I47796" s="309"/>
      <c r="J47796" s="309"/>
    </row>
    <row r="47797">
      <c r="B47797" s="309"/>
      <c r="C47797" s="309"/>
      <c r="I47797" s="309"/>
      <c r="J47797" s="309"/>
    </row>
    <row r="47798">
      <c r="B47798" s="309"/>
      <c r="C47798" s="309"/>
      <c r="I47798" s="309"/>
      <c r="J47798" s="309"/>
    </row>
    <row r="47799">
      <c r="B47799" s="309"/>
      <c r="C47799" s="309"/>
      <c r="I47799" s="309"/>
      <c r="J47799" s="309"/>
    </row>
    <row r="47800">
      <c r="B47800" s="309"/>
      <c r="C47800" s="309"/>
      <c r="I47800" s="309"/>
      <c r="J47800" s="309"/>
    </row>
    <row r="47801">
      <c r="B47801" s="309"/>
      <c r="C47801" s="309"/>
      <c r="I47801" s="309"/>
      <c r="J47801" s="309"/>
    </row>
    <row r="47802">
      <c r="B47802" s="309"/>
      <c r="C47802" s="309"/>
      <c r="I47802" s="309"/>
      <c r="J47802" s="309"/>
    </row>
    <row r="47803">
      <c r="B47803" s="309"/>
      <c r="C47803" s="309"/>
      <c r="I47803" s="309"/>
      <c r="J47803" s="309"/>
    </row>
    <row r="47804">
      <c r="B47804" s="309"/>
      <c r="C47804" s="309"/>
      <c r="I47804" s="309"/>
      <c r="J47804" s="309"/>
    </row>
    <row r="47805">
      <c r="B47805" s="309"/>
      <c r="C47805" s="309"/>
      <c r="I47805" s="309"/>
      <c r="J47805" s="309"/>
    </row>
    <row r="47806">
      <c r="B47806" s="309"/>
      <c r="C47806" s="309"/>
      <c r="I47806" s="309"/>
      <c r="J47806" s="309"/>
    </row>
    <row r="47807">
      <c r="B47807" s="309"/>
      <c r="C47807" s="309"/>
      <c r="I47807" s="309"/>
      <c r="J47807" s="309"/>
    </row>
    <row r="47808">
      <c r="B47808" s="309"/>
      <c r="C47808" s="309"/>
      <c r="I47808" s="309"/>
      <c r="J47808" s="309"/>
    </row>
    <row r="47809">
      <c r="B47809" s="309"/>
      <c r="C47809" s="309"/>
      <c r="I47809" s="309"/>
      <c r="J47809" s="309"/>
    </row>
    <row r="47810">
      <c r="B47810" s="309"/>
      <c r="C47810" s="309"/>
      <c r="I47810" s="309"/>
      <c r="J47810" s="309"/>
    </row>
    <row r="47811">
      <c r="B47811" s="309"/>
      <c r="C47811" s="309"/>
      <c r="I47811" s="309"/>
      <c r="J47811" s="309"/>
    </row>
    <row r="47812">
      <c r="B47812" s="309"/>
      <c r="C47812" s="309"/>
      <c r="I47812" s="309"/>
      <c r="J47812" s="309"/>
    </row>
    <row r="47813">
      <c r="B47813" s="309"/>
      <c r="C47813" s="309"/>
      <c r="I47813" s="309"/>
      <c r="J47813" s="309"/>
    </row>
    <row r="47814">
      <c r="B47814" s="309"/>
      <c r="C47814" s="309"/>
      <c r="I47814" s="309"/>
      <c r="J47814" s="309"/>
    </row>
    <row r="47815">
      <c r="B47815" s="309"/>
      <c r="C47815" s="309"/>
      <c r="I47815" s="309"/>
      <c r="J47815" s="309"/>
    </row>
    <row r="47816">
      <c r="B47816" s="309"/>
      <c r="C47816" s="309"/>
      <c r="I47816" s="309"/>
      <c r="J47816" s="309"/>
    </row>
    <row r="47817">
      <c r="B47817" s="309"/>
      <c r="C47817" s="309"/>
      <c r="I47817" s="309"/>
      <c r="J47817" s="309"/>
    </row>
    <row r="47818">
      <c r="B47818" s="309"/>
      <c r="C47818" s="309"/>
      <c r="I47818" s="309"/>
      <c r="J47818" s="309"/>
    </row>
    <row r="47819">
      <c r="B47819" s="309"/>
      <c r="C47819" s="309"/>
      <c r="I47819" s="309"/>
      <c r="J47819" s="309"/>
    </row>
    <row r="47820">
      <c r="B47820" s="309"/>
      <c r="C47820" s="309"/>
      <c r="I47820" s="309"/>
      <c r="J47820" s="309"/>
    </row>
    <row r="47821">
      <c r="B47821" s="309"/>
      <c r="C47821" s="309"/>
      <c r="I47821" s="309"/>
      <c r="J47821" s="309"/>
    </row>
    <row r="47822">
      <c r="B47822" s="309"/>
      <c r="C47822" s="309"/>
      <c r="I47822" s="309"/>
      <c r="J47822" s="309"/>
    </row>
    <row r="47823">
      <c r="B47823" s="309"/>
      <c r="C47823" s="309"/>
      <c r="I47823" s="309"/>
      <c r="J47823" s="309"/>
    </row>
    <row r="47824">
      <c r="B47824" s="309"/>
      <c r="C47824" s="309"/>
      <c r="I47824" s="309"/>
      <c r="J47824" s="309"/>
    </row>
    <row r="47825">
      <c r="B47825" s="309"/>
      <c r="C47825" s="309"/>
      <c r="I47825" s="309"/>
      <c r="J47825" s="309"/>
    </row>
    <row r="47826">
      <c r="B47826" s="309"/>
      <c r="C47826" s="309"/>
      <c r="I47826" s="309"/>
      <c r="J47826" s="309"/>
    </row>
    <row r="47827">
      <c r="B47827" s="309"/>
      <c r="C47827" s="309"/>
      <c r="I47827" s="309"/>
      <c r="J47827" s="309"/>
    </row>
    <row r="47828">
      <c r="B47828" s="309"/>
      <c r="C47828" s="309"/>
      <c r="I47828" s="309"/>
      <c r="J47828" s="309"/>
    </row>
    <row r="47829">
      <c r="B47829" s="309"/>
      <c r="C47829" s="309"/>
      <c r="I47829" s="309"/>
      <c r="J47829" s="309"/>
    </row>
    <row r="47830">
      <c r="B47830" s="309"/>
      <c r="C47830" s="309"/>
      <c r="I47830" s="309"/>
      <c r="J47830" s="309"/>
    </row>
    <row r="47831">
      <c r="B47831" s="309"/>
      <c r="C47831" s="309"/>
      <c r="I47831" s="309"/>
      <c r="J47831" s="309"/>
    </row>
    <row r="47832">
      <c r="B47832" s="309"/>
      <c r="C47832" s="309"/>
      <c r="I47832" s="309"/>
      <c r="J47832" s="309"/>
    </row>
    <row r="47833">
      <c r="B47833" s="309"/>
      <c r="C47833" s="309"/>
      <c r="I47833" s="309"/>
      <c r="J47833" s="309"/>
    </row>
    <row r="47834">
      <c r="B47834" s="309"/>
      <c r="C47834" s="309"/>
      <c r="I47834" s="309"/>
      <c r="J47834" s="309"/>
    </row>
    <row r="47835">
      <c r="B47835" s="309"/>
      <c r="C47835" s="309"/>
      <c r="I47835" s="309"/>
      <c r="J47835" s="309"/>
    </row>
    <row r="47836">
      <c r="B47836" s="309"/>
      <c r="C47836" s="309"/>
      <c r="I47836" s="309"/>
      <c r="J47836" s="309"/>
    </row>
    <row r="47837">
      <c r="B47837" s="309"/>
      <c r="C47837" s="309"/>
      <c r="I47837" s="309"/>
      <c r="J47837" s="309"/>
    </row>
    <row r="47838">
      <c r="B47838" s="309"/>
      <c r="C47838" s="309"/>
      <c r="I47838" s="309"/>
      <c r="J47838" s="309"/>
    </row>
    <row r="47839">
      <c r="B47839" s="309"/>
      <c r="C47839" s="309"/>
      <c r="I47839" s="309"/>
      <c r="J47839" s="309"/>
    </row>
    <row r="47840">
      <c r="B47840" s="309"/>
      <c r="C47840" s="309"/>
      <c r="I47840" s="309"/>
      <c r="J47840" s="309"/>
    </row>
    <row r="47841">
      <c r="B47841" s="309"/>
      <c r="C47841" s="309"/>
      <c r="I47841" s="309"/>
      <c r="J47841" s="309"/>
    </row>
    <row r="47842">
      <c r="B47842" s="309"/>
      <c r="C47842" s="309"/>
      <c r="I47842" s="309"/>
      <c r="J47842" s="309"/>
    </row>
    <row r="47843">
      <c r="B47843" s="309"/>
      <c r="C47843" s="309"/>
      <c r="I47843" s="309"/>
      <c r="J47843" s="309"/>
    </row>
    <row r="47844">
      <c r="B47844" s="309"/>
      <c r="C47844" s="309"/>
      <c r="I47844" s="309"/>
      <c r="J47844" s="309"/>
    </row>
    <row r="47845">
      <c r="B47845" s="309"/>
      <c r="C47845" s="309"/>
      <c r="I47845" s="309"/>
      <c r="J47845" s="309"/>
    </row>
    <row r="47846">
      <c r="B47846" s="309"/>
      <c r="C47846" s="309"/>
      <c r="I47846" s="309"/>
      <c r="J47846" s="309"/>
    </row>
    <row r="47847">
      <c r="B47847" s="309"/>
      <c r="C47847" s="309"/>
      <c r="I47847" s="309"/>
      <c r="J47847" s="309"/>
    </row>
    <row r="47848">
      <c r="B47848" s="309"/>
      <c r="C47848" s="309"/>
      <c r="I47848" s="309"/>
      <c r="J47848" s="309"/>
    </row>
    <row r="47849">
      <c r="B47849" s="309"/>
      <c r="C47849" s="309"/>
      <c r="I47849" s="309"/>
      <c r="J47849" s="309"/>
    </row>
    <row r="47850">
      <c r="B47850" s="309"/>
      <c r="C47850" s="309"/>
      <c r="I47850" s="309"/>
      <c r="J47850" s="309"/>
    </row>
    <row r="47851">
      <c r="B47851" s="309"/>
      <c r="C47851" s="309"/>
      <c r="I47851" s="309"/>
      <c r="J47851" s="309"/>
    </row>
    <row r="47852">
      <c r="B47852" s="309"/>
      <c r="C47852" s="309"/>
      <c r="I47852" s="309"/>
      <c r="J47852" s="309"/>
    </row>
    <row r="47853">
      <c r="B47853" s="309"/>
      <c r="C47853" s="309"/>
      <c r="I47853" s="309"/>
      <c r="J47853" s="309"/>
    </row>
    <row r="47854">
      <c r="B47854" s="309"/>
      <c r="C47854" s="309"/>
      <c r="I47854" s="309"/>
      <c r="J47854" s="309"/>
    </row>
    <row r="47855">
      <c r="B47855" s="309"/>
      <c r="C47855" s="309"/>
      <c r="I47855" s="309"/>
      <c r="J47855" s="309"/>
    </row>
    <row r="47856">
      <c r="B47856" s="309"/>
      <c r="C47856" s="309"/>
      <c r="I47856" s="309"/>
      <c r="J47856" s="309"/>
    </row>
    <row r="47857">
      <c r="B47857" s="309"/>
      <c r="C47857" s="309"/>
      <c r="I47857" s="309"/>
      <c r="J47857" s="309"/>
    </row>
    <row r="47858">
      <c r="B47858" s="309"/>
      <c r="C47858" s="309"/>
      <c r="I47858" s="309"/>
      <c r="J47858" s="309"/>
    </row>
    <row r="47859">
      <c r="B47859" s="309"/>
      <c r="C47859" s="309"/>
      <c r="I47859" s="309"/>
      <c r="J47859" s="309"/>
    </row>
    <row r="47860">
      <c r="B47860" s="309"/>
      <c r="C47860" s="309"/>
      <c r="I47860" s="309"/>
      <c r="J47860" s="309"/>
    </row>
    <row r="47861">
      <c r="B47861" s="309"/>
      <c r="C47861" s="309"/>
      <c r="I47861" s="309"/>
      <c r="J47861" s="309"/>
    </row>
    <row r="47862">
      <c r="B47862" s="309"/>
      <c r="C47862" s="309"/>
      <c r="I47862" s="309"/>
      <c r="J47862" s="309"/>
    </row>
    <row r="47863">
      <c r="B47863" s="309"/>
      <c r="C47863" s="309"/>
      <c r="I47863" s="309"/>
      <c r="J47863" s="309"/>
    </row>
    <row r="47864">
      <c r="B47864" s="309"/>
      <c r="C47864" s="309"/>
      <c r="I47864" s="309"/>
      <c r="J47864" s="309"/>
    </row>
    <row r="47865">
      <c r="B47865" s="309"/>
      <c r="C47865" s="309"/>
      <c r="I47865" s="309"/>
      <c r="J47865" s="309"/>
    </row>
    <row r="47866">
      <c r="B47866" s="309"/>
      <c r="C47866" s="309"/>
      <c r="I47866" s="309"/>
      <c r="J47866" s="309"/>
    </row>
    <row r="47867">
      <c r="B47867" s="309"/>
      <c r="C47867" s="309"/>
      <c r="I47867" s="309"/>
      <c r="J47867" s="309"/>
    </row>
    <row r="47868">
      <c r="B47868" s="309"/>
      <c r="C47868" s="309"/>
      <c r="I47868" s="309"/>
      <c r="J47868" s="309"/>
    </row>
    <row r="47869">
      <c r="B47869" s="309"/>
      <c r="C47869" s="309"/>
      <c r="I47869" s="309"/>
      <c r="J47869" s="309"/>
    </row>
    <row r="47870">
      <c r="B47870" s="309"/>
      <c r="C47870" s="309"/>
      <c r="I47870" s="309"/>
      <c r="J47870" s="309"/>
    </row>
    <row r="47871">
      <c r="B47871" s="309"/>
      <c r="C47871" s="309"/>
      <c r="I47871" s="309"/>
      <c r="J47871" s="309"/>
    </row>
    <row r="47872">
      <c r="B47872" s="309"/>
      <c r="C47872" s="309"/>
      <c r="I47872" s="309"/>
      <c r="J47872" s="309"/>
    </row>
    <row r="47873">
      <c r="B47873" s="309"/>
      <c r="C47873" s="309"/>
      <c r="I47873" s="309"/>
      <c r="J47873" s="309"/>
    </row>
    <row r="47874">
      <c r="B47874" s="309"/>
      <c r="C47874" s="309"/>
      <c r="I47874" s="309"/>
      <c r="J47874" s="309"/>
    </row>
    <row r="47875">
      <c r="B47875" s="309"/>
      <c r="C47875" s="309"/>
      <c r="I47875" s="309"/>
      <c r="J47875" s="309"/>
    </row>
    <row r="47876">
      <c r="B47876" s="309"/>
      <c r="C47876" s="309"/>
      <c r="I47876" s="309"/>
      <c r="J47876" s="309"/>
    </row>
    <row r="47877">
      <c r="B47877" s="309"/>
      <c r="C47877" s="309"/>
      <c r="I47877" s="309"/>
      <c r="J47877" s="309"/>
    </row>
    <row r="47878">
      <c r="B47878" s="309"/>
      <c r="C47878" s="309"/>
      <c r="I47878" s="309"/>
      <c r="J47878" s="309"/>
    </row>
    <row r="47879">
      <c r="B47879" s="309"/>
      <c r="C47879" s="309"/>
      <c r="I47879" s="309"/>
      <c r="J47879" s="309"/>
    </row>
    <row r="47880">
      <c r="B47880" s="309"/>
      <c r="C47880" s="309"/>
      <c r="I47880" s="309"/>
      <c r="J47880" s="309"/>
    </row>
    <row r="47881">
      <c r="B47881" s="309"/>
      <c r="C47881" s="309"/>
      <c r="I47881" s="309"/>
      <c r="J47881" s="309"/>
    </row>
    <row r="47882">
      <c r="B47882" s="309"/>
      <c r="C47882" s="309"/>
      <c r="I47882" s="309"/>
      <c r="J47882" s="309"/>
    </row>
    <row r="47883">
      <c r="B47883" s="309"/>
      <c r="C47883" s="309"/>
      <c r="I47883" s="309"/>
      <c r="J47883" s="309"/>
    </row>
    <row r="47884">
      <c r="B47884" s="309"/>
      <c r="C47884" s="309"/>
      <c r="I47884" s="309"/>
      <c r="J47884" s="309"/>
    </row>
    <row r="47885">
      <c r="B47885" s="309"/>
      <c r="C47885" s="309"/>
      <c r="I47885" s="309"/>
      <c r="J47885" s="309"/>
    </row>
    <row r="47886">
      <c r="B47886" s="309"/>
      <c r="C47886" s="309"/>
      <c r="I47886" s="309"/>
      <c r="J47886" s="309"/>
    </row>
    <row r="47887">
      <c r="B47887" s="309"/>
      <c r="C47887" s="309"/>
      <c r="I47887" s="309"/>
      <c r="J47887" s="309"/>
    </row>
    <row r="47888">
      <c r="B47888" s="309"/>
      <c r="C47888" s="309"/>
      <c r="I47888" s="309"/>
      <c r="J47888" s="309"/>
    </row>
    <row r="47889">
      <c r="B47889" s="309"/>
      <c r="C47889" s="309"/>
      <c r="I47889" s="309"/>
      <c r="J47889" s="309"/>
    </row>
    <row r="47890">
      <c r="B47890" s="309"/>
      <c r="C47890" s="309"/>
      <c r="I47890" s="309"/>
      <c r="J47890" s="309"/>
    </row>
    <row r="47891">
      <c r="B47891" s="309"/>
      <c r="C47891" s="309"/>
      <c r="I47891" s="309"/>
      <c r="J47891" s="309"/>
    </row>
    <row r="47892">
      <c r="B47892" s="309"/>
      <c r="C47892" s="309"/>
      <c r="I47892" s="309"/>
      <c r="J47892" s="309"/>
    </row>
    <row r="47893">
      <c r="B47893" s="309"/>
      <c r="C47893" s="309"/>
      <c r="I47893" s="309"/>
      <c r="J47893" s="309"/>
    </row>
    <row r="47894">
      <c r="B47894" s="309"/>
      <c r="C47894" s="309"/>
      <c r="I47894" s="309"/>
      <c r="J47894" s="309"/>
    </row>
    <row r="47895">
      <c r="B47895" s="309"/>
      <c r="C47895" s="309"/>
      <c r="I47895" s="309"/>
      <c r="J47895" s="309"/>
    </row>
    <row r="47896">
      <c r="B47896" s="309"/>
      <c r="C47896" s="309"/>
      <c r="I47896" s="309"/>
      <c r="J47896" s="309"/>
    </row>
    <row r="47897">
      <c r="B47897" s="309"/>
      <c r="C47897" s="309"/>
      <c r="I47897" s="309"/>
      <c r="J47897" s="309"/>
    </row>
    <row r="47898">
      <c r="B47898" s="309"/>
      <c r="C47898" s="309"/>
      <c r="I47898" s="309"/>
      <c r="J47898" s="309"/>
    </row>
    <row r="47899">
      <c r="B47899" s="309"/>
      <c r="C47899" s="309"/>
      <c r="I47899" s="309"/>
      <c r="J47899" s="309"/>
    </row>
    <row r="47900">
      <c r="B47900" s="309"/>
      <c r="C47900" s="309"/>
      <c r="I47900" s="309"/>
      <c r="J47900" s="309"/>
    </row>
    <row r="47901">
      <c r="B47901" s="309"/>
      <c r="C47901" s="309"/>
      <c r="I47901" s="309"/>
      <c r="J47901" s="309"/>
    </row>
    <row r="47902">
      <c r="B47902" s="309"/>
      <c r="C47902" s="309"/>
      <c r="I47902" s="309"/>
      <c r="J47902" s="309"/>
    </row>
    <row r="47903">
      <c r="B47903" s="309"/>
      <c r="C47903" s="309"/>
      <c r="I47903" s="309"/>
      <c r="J47903" s="309"/>
    </row>
    <row r="47904">
      <c r="B47904" s="309"/>
      <c r="C47904" s="309"/>
      <c r="I47904" s="309"/>
      <c r="J47904" s="309"/>
    </row>
    <row r="47905">
      <c r="B47905" s="309"/>
      <c r="C47905" s="309"/>
      <c r="I47905" s="309"/>
      <c r="J47905" s="309"/>
    </row>
    <row r="47906">
      <c r="B47906" s="309"/>
      <c r="C47906" s="309"/>
      <c r="I47906" s="309"/>
      <c r="J47906" s="309"/>
    </row>
    <row r="47907">
      <c r="B47907" s="309"/>
      <c r="C47907" s="309"/>
      <c r="I47907" s="309"/>
      <c r="J47907" s="309"/>
    </row>
    <row r="47908">
      <c r="B47908" s="309"/>
      <c r="C47908" s="309"/>
      <c r="I47908" s="309"/>
      <c r="J47908" s="309"/>
    </row>
    <row r="47909">
      <c r="B47909" s="309"/>
      <c r="C47909" s="309"/>
      <c r="I47909" s="309"/>
      <c r="J47909" s="309"/>
    </row>
    <row r="47910">
      <c r="B47910" s="309"/>
      <c r="C47910" s="309"/>
      <c r="I47910" s="309"/>
      <c r="J47910" s="309"/>
    </row>
    <row r="47911">
      <c r="B47911" s="309"/>
      <c r="C47911" s="309"/>
      <c r="I47911" s="309"/>
      <c r="J47911" s="309"/>
    </row>
    <row r="47912">
      <c r="B47912" s="309"/>
      <c r="C47912" s="309"/>
      <c r="I47912" s="309"/>
      <c r="J47912" s="309"/>
    </row>
    <row r="47913">
      <c r="B47913" s="309"/>
      <c r="C47913" s="309"/>
      <c r="I47913" s="309"/>
      <c r="J47913" s="309"/>
    </row>
    <row r="47914">
      <c r="B47914" s="309"/>
      <c r="C47914" s="309"/>
      <c r="I47914" s="309"/>
      <c r="J47914" s="309"/>
    </row>
    <row r="47915">
      <c r="B47915" s="309"/>
      <c r="C47915" s="309"/>
      <c r="I47915" s="309"/>
      <c r="J47915" s="309"/>
    </row>
    <row r="47916">
      <c r="B47916" s="309"/>
      <c r="C47916" s="309"/>
      <c r="I47916" s="309"/>
      <c r="J47916" s="309"/>
    </row>
    <row r="47917">
      <c r="B47917" s="309"/>
      <c r="C47917" s="309"/>
      <c r="I47917" s="309"/>
      <c r="J47917" s="309"/>
    </row>
    <row r="47918">
      <c r="B47918" s="309"/>
      <c r="C47918" s="309"/>
      <c r="I47918" s="309"/>
      <c r="J47918" s="309"/>
    </row>
    <row r="47919">
      <c r="B47919" s="309"/>
      <c r="C47919" s="309"/>
      <c r="I47919" s="309"/>
      <c r="J47919" s="309"/>
    </row>
    <row r="47920">
      <c r="B47920" s="309"/>
      <c r="C47920" s="309"/>
      <c r="I47920" s="309"/>
      <c r="J47920" s="309"/>
    </row>
    <row r="47921">
      <c r="B47921" s="309"/>
      <c r="C47921" s="309"/>
      <c r="I47921" s="309"/>
      <c r="J47921" s="309"/>
    </row>
    <row r="47922">
      <c r="B47922" s="309"/>
      <c r="C47922" s="309"/>
      <c r="I47922" s="309"/>
      <c r="J47922" s="309"/>
    </row>
    <row r="47923">
      <c r="B47923" s="309"/>
      <c r="C47923" s="309"/>
      <c r="I47923" s="309"/>
      <c r="J47923" s="309"/>
    </row>
    <row r="47924">
      <c r="B47924" s="309"/>
      <c r="C47924" s="309"/>
      <c r="I47924" s="309"/>
      <c r="J47924" s="309"/>
    </row>
    <row r="47925">
      <c r="B47925" s="309"/>
      <c r="C47925" s="309"/>
      <c r="I47925" s="309"/>
      <c r="J47925" s="309"/>
    </row>
    <row r="47926">
      <c r="B47926" s="309"/>
      <c r="C47926" s="309"/>
      <c r="I47926" s="309"/>
      <c r="J47926" s="309"/>
    </row>
    <row r="47927">
      <c r="B47927" s="309"/>
      <c r="C47927" s="309"/>
      <c r="I47927" s="309"/>
      <c r="J47927" s="309"/>
    </row>
    <row r="47928">
      <c r="B47928" s="309"/>
      <c r="C47928" s="309"/>
      <c r="I47928" s="309"/>
      <c r="J47928" s="309"/>
    </row>
    <row r="47929">
      <c r="B47929" s="309"/>
      <c r="C47929" s="309"/>
      <c r="I47929" s="309"/>
      <c r="J47929" s="309"/>
    </row>
    <row r="47930">
      <c r="B47930" s="309"/>
      <c r="C47930" s="309"/>
      <c r="I47930" s="309"/>
      <c r="J47930" s="309"/>
    </row>
    <row r="47931">
      <c r="B47931" s="309"/>
      <c r="C47931" s="309"/>
      <c r="I47931" s="309"/>
      <c r="J47931" s="309"/>
    </row>
    <row r="47932">
      <c r="B47932" s="309"/>
      <c r="C47932" s="309"/>
      <c r="I47932" s="309"/>
      <c r="J47932" s="309"/>
    </row>
    <row r="47933">
      <c r="B47933" s="309"/>
      <c r="C47933" s="309"/>
      <c r="I47933" s="309"/>
      <c r="J47933" s="309"/>
    </row>
    <row r="47934">
      <c r="B47934" s="309"/>
      <c r="C47934" s="309"/>
      <c r="I47934" s="309"/>
      <c r="J47934" s="309"/>
    </row>
    <row r="47935">
      <c r="B47935" s="309"/>
      <c r="C47935" s="309"/>
      <c r="I47935" s="309"/>
      <c r="J47935" s="309"/>
    </row>
    <row r="47936">
      <c r="B47936" s="309"/>
      <c r="C47936" s="309"/>
      <c r="I47936" s="309"/>
      <c r="J47936" s="309"/>
    </row>
    <row r="47937">
      <c r="B47937" s="309"/>
      <c r="C47937" s="309"/>
      <c r="I47937" s="309"/>
      <c r="J47937" s="309"/>
    </row>
    <row r="47938">
      <c r="B47938" s="309"/>
      <c r="C47938" s="309"/>
      <c r="I47938" s="309"/>
      <c r="J47938" s="309"/>
    </row>
    <row r="47939">
      <c r="B47939" s="309"/>
      <c r="C47939" s="309"/>
      <c r="I47939" s="309"/>
      <c r="J47939" s="309"/>
    </row>
    <row r="47940">
      <c r="B47940" s="309"/>
      <c r="C47940" s="309"/>
      <c r="I47940" s="309"/>
      <c r="J47940" s="309"/>
    </row>
    <row r="47941">
      <c r="B47941" s="309"/>
      <c r="C47941" s="309"/>
      <c r="I47941" s="309"/>
      <c r="J47941" s="309"/>
    </row>
    <row r="47942">
      <c r="B47942" s="309"/>
      <c r="C47942" s="309"/>
      <c r="I47942" s="309"/>
      <c r="J47942" s="309"/>
    </row>
    <row r="47943">
      <c r="B47943" s="309"/>
      <c r="C47943" s="309"/>
      <c r="I47943" s="309"/>
      <c r="J47943" s="309"/>
    </row>
    <row r="47944">
      <c r="B47944" s="309"/>
      <c r="C47944" s="309"/>
      <c r="I47944" s="309"/>
      <c r="J47944" s="309"/>
    </row>
    <row r="47945">
      <c r="B47945" s="309"/>
      <c r="C47945" s="309"/>
      <c r="I47945" s="309"/>
      <c r="J47945" s="309"/>
    </row>
    <row r="47946">
      <c r="B47946" s="309"/>
      <c r="C47946" s="309"/>
      <c r="I47946" s="309"/>
      <c r="J47946" s="309"/>
    </row>
    <row r="47947">
      <c r="B47947" s="309"/>
      <c r="C47947" s="309"/>
      <c r="I47947" s="309"/>
      <c r="J47947" s="309"/>
    </row>
    <row r="47948">
      <c r="B47948" s="309"/>
      <c r="C47948" s="309"/>
      <c r="I47948" s="309"/>
      <c r="J47948" s="309"/>
    </row>
    <row r="47949">
      <c r="B47949" s="309"/>
      <c r="C47949" s="309"/>
      <c r="I47949" s="309"/>
      <c r="J47949" s="309"/>
    </row>
    <row r="47950">
      <c r="B47950" s="309"/>
      <c r="C47950" s="309"/>
      <c r="I47950" s="309"/>
      <c r="J47950" s="309"/>
    </row>
    <row r="47951">
      <c r="B47951" s="309"/>
      <c r="C47951" s="309"/>
      <c r="I47951" s="309"/>
      <c r="J47951" s="309"/>
    </row>
    <row r="47952">
      <c r="B47952" s="309"/>
      <c r="C47952" s="309"/>
      <c r="I47952" s="309"/>
      <c r="J47952" s="309"/>
    </row>
    <row r="47953">
      <c r="B47953" s="309"/>
      <c r="C47953" s="309"/>
      <c r="I47953" s="309"/>
      <c r="J47953" s="309"/>
    </row>
    <row r="47954">
      <c r="B47954" s="309"/>
      <c r="C47954" s="309"/>
      <c r="I47954" s="309"/>
      <c r="J47954" s="309"/>
    </row>
    <row r="47955">
      <c r="B47955" s="309"/>
      <c r="C47955" s="309"/>
      <c r="I47955" s="309"/>
      <c r="J47955" s="309"/>
    </row>
    <row r="47956">
      <c r="B47956" s="309"/>
      <c r="C47956" s="309"/>
      <c r="I47956" s="309"/>
      <c r="J47956" s="309"/>
    </row>
    <row r="47957">
      <c r="B47957" s="309"/>
      <c r="C47957" s="309"/>
      <c r="I47957" s="309"/>
      <c r="J47957" s="309"/>
    </row>
    <row r="47958">
      <c r="B47958" s="309"/>
      <c r="C47958" s="309"/>
      <c r="I47958" s="309"/>
      <c r="J47958" s="309"/>
    </row>
    <row r="47959">
      <c r="B47959" s="309"/>
      <c r="C47959" s="309"/>
      <c r="I47959" s="309"/>
      <c r="J47959" s="309"/>
    </row>
    <row r="47960">
      <c r="B47960" s="309"/>
      <c r="C47960" s="309"/>
      <c r="I47960" s="309"/>
      <c r="J47960" s="309"/>
    </row>
    <row r="47961">
      <c r="B47961" s="309"/>
      <c r="C47961" s="309"/>
      <c r="I47961" s="309"/>
      <c r="J47961" s="309"/>
    </row>
    <row r="47962">
      <c r="B47962" s="309"/>
      <c r="C47962" s="309"/>
      <c r="I47962" s="309"/>
      <c r="J47962" s="309"/>
    </row>
    <row r="47963">
      <c r="B47963" s="309"/>
      <c r="C47963" s="309"/>
      <c r="I47963" s="309"/>
      <c r="J47963" s="309"/>
    </row>
    <row r="47964">
      <c r="B47964" s="309"/>
      <c r="C47964" s="309"/>
      <c r="I47964" s="309"/>
      <c r="J47964" s="309"/>
    </row>
    <row r="47965">
      <c r="B47965" s="309"/>
      <c r="C47965" s="309"/>
      <c r="I47965" s="309"/>
      <c r="J47965" s="309"/>
    </row>
    <row r="47966">
      <c r="B47966" s="309"/>
      <c r="C47966" s="309"/>
      <c r="I47966" s="309"/>
      <c r="J47966" s="309"/>
    </row>
    <row r="47967">
      <c r="B47967" s="309"/>
      <c r="C47967" s="309"/>
      <c r="I47967" s="309"/>
      <c r="J47967" s="309"/>
    </row>
    <row r="47968">
      <c r="B47968" s="309"/>
      <c r="C47968" s="309"/>
      <c r="I47968" s="309"/>
      <c r="J47968" s="309"/>
    </row>
    <row r="47969">
      <c r="B47969" s="309"/>
      <c r="C47969" s="309"/>
      <c r="I47969" s="309"/>
      <c r="J47969" s="309"/>
    </row>
    <row r="47970">
      <c r="B47970" s="309"/>
      <c r="C47970" s="309"/>
      <c r="I47970" s="309"/>
      <c r="J47970" s="309"/>
    </row>
    <row r="47971">
      <c r="B47971" s="309"/>
      <c r="C47971" s="309"/>
      <c r="I47971" s="309"/>
      <c r="J47971" s="309"/>
    </row>
    <row r="47972">
      <c r="B47972" s="309"/>
      <c r="C47972" s="309"/>
      <c r="I47972" s="309"/>
      <c r="J47972" s="309"/>
    </row>
    <row r="47973">
      <c r="B47973" s="309"/>
      <c r="C47973" s="309"/>
      <c r="I47973" s="309"/>
      <c r="J47973" s="309"/>
    </row>
    <row r="47974">
      <c r="B47974" s="309"/>
      <c r="C47974" s="309"/>
      <c r="I47974" s="309"/>
      <c r="J47974" s="309"/>
    </row>
    <row r="47975">
      <c r="B47975" s="309"/>
      <c r="C47975" s="309"/>
      <c r="I47975" s="309"/>
      <c r="J47975" s="309"/>
    </row>
    <row r="47976">
      <c r="B47976" s="309"/>
      <c r="C47976" s="309"/>
      <c r="I47976" s="309"/>
      <c r="J47976" s="309"/>
    </row>
    <row r="47977">
      <c r="B47977" s="309"/>
      <c r="C47977" s="309"/>
      <c r="I47977" s="309"/>
      <c r="J47977" s="309"/>
    </row>
    <row r="47978">
      <c r="B47978" s="309"/>
      <c r="C47978" s="309"/>
      <c r="I47978" s="309"/>
      <c r="J47978" s="309"/>
    </row>
    <row r="47979">
      <c r="B47979" s="309"/>
      <c r="C47979" s="309"/>
      <c r="I47979" s="309"/>
      <c r="J47979" s="309"/>
    </row>
    <row r="47980">
      <c r="B47980" s="309"/>
      <c r="C47980" s="309"/>
      <c r="I47980" s="309"/>
      <c r="J47980" s="309"/>
    </row>
    <row r="47981">
      <c r="B47981" s="309"/>
      <c r="C47981" s="309"/>
      <c r="I47981" s="309"/>
      <c r="J47981" s="309"/>
    </row>
    <row r="47982">
      <c r="B47982" s="309"/>
      <c r="C47982" s="309"/>
      <c r="I47982" s="309"/>
      <c r="J47982" s="309"/>
    </row>
    <row r="47983">
      <c r="B47983" s="309"/>
      <c r="C47983" s="309"/>
      <c r="I47983" s="309"/>
      <c r="J47983" s="309"/>
    </row>
    <row r="47984">
      <c r="B47984" s="309"/>
      <c r="C47984" s="309"/>
      <c r="I47984" s="309"/>
      <c r="J47984" s="309"/>
    </row>
    <row r="47985">
      <c r="B47985" s="309"/>
      <c r="C47985" s="309"/>
      <c r="I47985" s="309"/>
      <c r="J47985" s="309"/>
    </row>
    <row r="47986">
      <c r="B47986" s="309"/>
      <c r="C47986" s="309"/>
      <c r="I47986" s="309"/>
      <c r="J47986" s="309"/>
    </row>
    <row r="47987">
      <c r="B47987" s="309"/>
      <c r="C47987" s="309"/>
      <c r="I47987" s="309"/>
      <c r="J47987" s="309"/>
    </row>
    <row r="47988">
      <c r="B47988" s="309"/>
      <c r="C47988" s="309"/>
      <c r="I47988" s="309"/>
      <c r="J47988" s="309"/>
    </row>
    <row r="47989">
      <c r="B47989" s="309"/>
      <c r="C47989" s="309"/>
      <c r="I47989" s="309"/>
      <c r="J47989" s="309"/>
    </row>
    <row r="47990">
      <c r="B47990" s="309"/>
      <c r="C47990" s="309"/>
      <c r="I47990" s="309"/>
      <c r="J47990" s="309"/>
    </row>
    <row r="47991">
      <c r="B47991" s="309"/>
      <c r="C47991" s="309"/>
      <c r="I47991" s="309"/>
      <c r="J47991" s="309"/>
    </row>
    <row r="47992">
      <c r="B47992" s="309"/>
      <c r="C47992" s="309"/>
      <c r="I47992" s="309"/>
      <c r="J47992" s="309"/>
    </row>
    <row r="47993">
      <c r="B47993" s="309"/>
      <c r="C47993" s="309"/>
      <c r="I47993" s="309"/>
      <c r="J47993" s="309"/>
    </row>
    <row r="47994">
      <c r="B47994" s="309"/>
      <c r="C47994" s="309"/>
      <c r="I47994" s="309"/>
      <c r="J47994" s="309"/>
    </row>
    <row r="47995">
      <c r="B47995" s="309"/>
      <c r="C47995" s="309"/>
      <c r="I47995" s="309"/>
      <c r="J47995" s="309"/>
    </row>
    <row r="47996">
      <c r="B47996" s="309"/>
      <c r="C47996" s="309"/>
      <c r="I47996" s="309"/>
      <c r="J47996" s="309"/>
    </row>
    <row r="47997">
      <c r="B47997" s="309"/>
      <c r="C47997" s="309"/>
      <c r="I47997" s="309"/>
      <c r="J47997" s="309"/>
    </row>
    <row r="47998">
      <c r="B47998" s="309"/>
      <c r="C47998" s="309"/>
      <c r="I47998" s="309"/>
      <c r="J47998" s="309"/>
    </row>
    <row r="47999">
      <c r="B47999" s="309"/>
      <c r="C47999" s="309"/>
      <c r="I47999" s="309"/>
      <c r="J47999" s="309"/>
    </row>
    <row r="48000">
      <c r="B48000" s="309"/>
      <c r="C48000" s="309"/>
      <c r="I48000" s="309"/>
      <c r="J48000" s="309"/>
    </row>
    <row r="48001">
      <c r="B48001" s="309"/>
      <c r="C48001" s="309"/>
      <c r="I48001" s="309"/>
      <c r="J48001" s="309"/>
    </row>
    <row r="48002">
      <c r="B48002" s="309"/>
      <c r="C48002" s="309"/>
      <c r="I48002" s="309"/>
      <c r="J48002" s="309"/>
    </row>
    <row r="48003">
      <c r="B48003" s="309"/>
      <c r="C48003" s="309"/>
      <c r="I48003" s="309"/>
      <c r="J48003" s="309"/>
    </row>
    <row r="48004">
      <c r="B48004" s="309"/>
      <c r="C48004" s="309"/>
      <c r="I48004" s="309"/>
      <c r="J48004" s="309"/>
    </row>
    <row r="48005">
      <c r="B48005" s="309"/>
      <c r="C48005" s="309"/>
      <c r="I48005" s="309"/>
      <c r="J48005" s="309"/>
    </row>
    <row r="48006">
      <c r="B48006" s="309"/>
      <c r="C48006" s="309"/>
      <c r="I48006" s="309"/>
      <c r="J48006" s="309"/>
    </row>
    <row r="48007">
      <c r="B48007" s="309"/>
      <c r="C48007" s="309"/>
      <c r="I48007" s="309"/>
      <c r="J48007" s="309"/>
    </row>
    <row r="48008">
      <c r="B48008" s="309"/>
      <c r="C48008" s="309"/>
      <c r="I48008" s="309"/>
      <c r="J48008" s="309"/>
    </row>
    <row r="48009">
      <c r="B48009" s="309"/>
      <c r="C48009" s="309"/>
      <c r="I48009" s="309"/>
      <c r="J48009" s="309"/>
    </row>
    <row r="48010">
      <c r="B48010" s="309"/>
      <c r="C48010" s="309"/>
      <c r="I48010" s="309"/>
      <c r="J48010" s="309"/>
    </row>
    <row r="48011">
      <c r="B48011" s="309"/>
      <c r="C48011" s="309"/>
      <c r="I48011" s="309"/>
      <c r="J48011" s="309"/>
    </row>
    <row r="48012">
      <c r="B48012" s="309"/>
      <c r="C48012" s="309"/>
      <c r="I48012" s="309"/>
      <c r="J48012" s="309"/>
    </row>
    <row r="48013">
      <c r="B48013" s="309"/>
      <c r="C48013" s="309"/>
      <c r="I48013" s="309"/>
      <c r="J48013" s="309"/>
    </row>
    <row r="48014">
      <c r="B48014" s="309"/>
      <c r="C48014" s="309"/>
      <c r="I48014" s="309"/>
      <c r="J48014" s="309"/>
    </row>
    <row r="48015">
      <c r="B48015" s="309"/>
      <c r="C48015" s="309"/>
      <c r="I48015" s="309"/>
      <c r="J48015" s="309"/>
    </row>
    <row r="48016">
      <c r="B48016" s="309"/>
      <c r="C48016" s="309"/>
      <c r="I48016" s="309"/>
      <c r="J48016" s="309"/>
    </row>
    <row r="48017">
      <c r="B48017" s="309"/>
      <c r="C48017" s="309"/>
      <c r="I48017" s="309"/>
      <c r="J48017" s="309"/>
    </row>
    <row r="48018">
      <c r="B48018" s="309"/>
      <c r="C48018" s="309"/>
      <c r="I48018" s="309"/>
      <c r="J48018" s="309"/>
    </row>
    <row r="48019">
      <c r="B48019" s="309"/>
      <c r="C48019" s="309"/>
      <c r="I48019" s="309"/>
      <c r="J48019" s="309"/>
    </row>
    <row r="48020">
      <c r="B48020" s="309"/>
      <c r="C48020" s="309"/>
      <c r="I48020" s="309"/>
      <c r="J48020" s="309"/>
    </row>
    <row r="48021">
      <c r="B48021" s="309"/>
      <c r="C48021" s="309"/>
      <c r="I48021" s="309"/>
      <c r="J48021" s="309"/>
    </row>
    <row r="48022">
      <c r="B48022" s="309"/>
      <c r="C48022" s="309"/>
      <c r="I48022" s="309"/>
      <c r="J48022" s="309"/>
    </row>
    <row r="48023">
      <c r="B48023" s="309"/>
      <c r="C48023" s="309"/>
      <c r="I48023" s="309"/>
      <c r="J48023" s="309"/>
    </row>
    <row r="48024">
      <c r="B48024" s="309"/>
      <c r="C48024" s="309"/>
      <c r="I48024" s="309"/>
      <c r="J48024" s="309"/>
    </row>
    <row r="48025">
      <c r="B48025" s="309"/>
      <c r="C48025" s="309"/>
      <c r="I48025" s="309"/>
      <c r="J48025" s="309"/>
    </row>
    <row r="48026">
      <c r="B48026" s="309"/>
      <c r="C48026" s="309"/>
      <c r="I48026" s="309"/>
      <c r="J48026" s="309"/>
    </row>
    <row r="48027">
      <c r="B48027" s="309"/>
      <c r="C48027" s="309"/>
      <c r="I48027" s="309"/>
      <c r="J48027" s="309"/>
    </row>
    <row r="48028">
      <c r="B48028" s="309"/>
      <c r="C48028" s="309"/>
      <c r="I48028" s="309"/>
      <c r="J48028" s="309"/>
    </row>
    <row r="48029">
      <c r="B48029" s="309"/>
      <c r="C48029" s="309"/>
      <c r="I48029" s="309"/>
      <c r="J48029" s="309"/>
    </row>
    <row r="48030">
      <c r="B48030" s="309"/>
      <c r="C48030" s="309"/>
      <c r="I48030" s="309"/>
      <c r="J48030" s="309"/>
    </row>
    <row r="48031">
      <c r="B48031" s="309"/>
      <c r="C48031" s="309"/>
      <c r="I48031" s="309"/>
      <c r="J48031" s="309"/>
    </row>
    <row r="48032">
      <c r="B48032" s="309"/>
      <c r="C48032" s="309"/>
      <c r="I48032" s="309"/>
      <c r="J48032" s="309"/>
    </row>
    <row r="48033">
      <c r="B48033" s="309"/>
      <c r="C48033" s="309"/>
      <c r="I48033" s="309"/>
      <c r="J48033" s="309"/>
    </row>
    <row r="48034">
      <c r="B48034" s="309"/>
      <c r="C48034" s="309"/>
      <c r="I48034" s="309"/>
      <c r="J48034" s="309"/>
    </row>
    <row r="48035">
      <c r="B48035" s="309"/>
      <c r="C48035" s="309"/>
      <c r="I48035" s="309"/>
      <c r="J48035" s="309"/>
    </row>
    <row r="48036">
      <c r="B48036" s="309"/>
      <c r="C48036" s="309"/>
      <c r="I48036" s="309"/>
      <c r="J48036" s="309"/>
    </row>
    <row r="48037">
      <c r="B48037" s="309"/>
      <c r="C48037" s="309"/>
      <c r="I48037" s="309"/>
      <c r="J48037" s="309"/>
    </row>
    <row r="48038">
      <c r="B48038" s="309"/>
      <c r="C48038" s="309"/>
      <c r="I48038" s="309"/>
      <c r="J48038" s="309"/>
    </row>
    <row r="48039">
      <c r="B48039" s="309"/>
      <c r="C48039" s="309"/>
      <c r="I48039" s="309"/>
      <c r="J48039" s="309"/>
    </row>
    <row r="48040">
      <c r="B48040" s="309"/>
      <c r="C48040" s="309"/>
      <c r="I48040" s="309"/>
      <c r="J48040" s="309"/>
    </row>
    <row r="48041">
      <c r="B48041" s="309"/>
      <c r="C48041" s="309"/>
      <c r="I48041" s="309"/>
      <c r="J48041" s="309"/>
    </row>
    <row r="48042">
      <c r="B48042" s="309"/>
      <c r="C48042" s="309"/>
      <c r="I48042" s="309"/>
      <c r="J48042" s="309"/>
    </row>
    <row r="48043">
      <c r="B48043" s="309"/>
      <c r="C48043" s="309"/>
      <c r="I48043" s="309"/>
      <c r="J48043" s="309"/>
    </row>
    <row r="48044">
      <c r="B48044" s="309"/>
      <c r="C48044" s="309"/>
      <c r="I48044" s="309"/>
      <c r="J48044" s="309"/>
    </row>
    <row r="48045">
      <c r="B48045" s="309"/>
      <c r="C48045" s="309"/>
      <c r="I48045" s="309"/>
      <c r="J48045" s="309"/>
    </row>
    <row r="48046">
      <c r="B48046" s="309"/>
      <c r="C48046" s="309"/>
      <c r="I48046" s="309"/>
      <c r="J48046" s="309"/>
    </row>
    <row r="48047">
      <c r="B48047" s="309"/>
      <c r="C48047" s="309"/>
      <c r="I48047" s="309"/>
      <c r="J48047" s="309"/>
    </row>
    <row r="48048">
      <c r="B48048" s="309"/>
      <c r="C48048" s="309"/>
      <c r="I48048" s="309"/>
      <c r="J48048" s="309"/>
    </row>
    <row r="48049">
      <c r="B48049" s="309"/>
      <c r="C48049" s="309"/>
      <c r="I48049" s="309"/>
      <c r="J48049" s="309"/>
    </row>
    <row r="48050">
      <c r="B48050" s="309"/>
      <c r="C48050" s="309"/>
      <c r="I48050" s="309"/>
      <c r="J48050" s="309"/>
    </row>
    <row r="48051">
      <c r="B48051" s="309"/>
      <c r="C48051" s="309"/>
      <c r="I48051" s="309"/>
      <c r="J48051" s="309"/>
    </row>
    <row r="48052">
      <c r="B48052" s="309"/>
      <c r="C48052" s="309"/>
      <c r="I48052" s="309"/>
      <c r="J48052" s="309"/>
    </row>
    <row r="48053">
      <c r="B48053" s="309"/>
      <c r="C48053" s="309"/>
      <c r="I48053" s="309"/>
      <c r="J48053" s="309"/>
    </row>
    <row r="48054">
      <c r="B48054" s="309"/>
      <c r="C48054" s="309"/>
      <c r="I48054" s="309"/>
      <c r="J48054" s="309"/>
    </row>
    <row r="48055">
      <c r="B48055" s="309"/>
      <c r="C48055" s="309"/>
      <c r="I48055" s="309"/>
      <c r="J48055" s="309"/>
    </row>
    <row r="48056">
      <c r="B48056" s="309"/>
      <c r="C48056" s="309"/>
      <c r="I48056" s="309"/>
      <c r="J48056" s="309"/>
    </row>
    <row r="48057">
      <c r="B48057" s="309"/>
      <c r="C48057" s="309"/>
      <c r="I48057" s="309"/>
      <c r="J48057" s="309"/>
    </row>
    <row r="48058">
      <c r="B48058" s="309"/>
      <c r="C48058" s="309"/>
      <c r="I48058" s="309"/>
      <c r="J48058" s="309"/>
    </row>
    <row r="48059">
      <c r="B48059" s="309"/>
      <c r="C48059" s="309"/>
      <c r="I48059" s="309"/>
      <c r="J48059" s="309"/>
    </row>
    <row r="48060">
      <c r="B48060" s="309"/>
      <c r="C48060" s="309"/>
      <c r="I48060" s="309"/>
      <c r="J48060" s="309"/>
    </row>
    <row r="48061">
      <c r="B48061" s="309"/>
      <c r="C48061" s="309"/>
      <c r="I48061" s="309"/>
      <c r="J48061" s="309"/>
    </row>
    <row r="48062">
      <c r="B48062" s="309"/>
      <c r="C48062" s="309"/>
      <c r="I48062" s="309"/>
      <c r="J48062" s="309"/>
    </row>
    <row r="48063">
      <c r="B48063" s="309"/>
      <c r="C48063" s="309"/>
      <c r="I48063" s="309"/>
      <c r="J48063" s="309"/>
    </row>
    <row r="48064">
      <c r="B48064" s="309"/>
      <c r="C48064" s="309"/>
      <c r="I48064" s="309"/>
      <c r="J48064" s="309"/>
    </row>
    <row r="48065">
      <c r="B48065" s="309"/>
      <c r="C48065" s="309"/>
      <c r="I48065" s="309"/>
      <c r="J48065" s="309"/>
    </row>
    <row r="48066">
      <c r="B48066" s="309"/>
      <c r="C48066" s="309"/>
      <c r="I48066" s="309"/>
      <c r="J48066" s="309"/>
    </row>
    <row r="48067">
      <c r="B48067" s="309"/>
      <c r="C48067" s="309"/>
      <c r="I48067" s="309"/>
      <c r="J48067" s="309"/>
    </row>
    <row r="48068">
      <c r="B48068" s="309"/>
      <c r="C48068" s="309"/>
      <c r="I48068" s="309"/>
      <c r="J48068" s="309"/>
    </row>
    <row r="48069">
      <c r="B48069" s="309"/>
      <c r="C48069" s="309"/>
      <c r="I48069" s="309"/>
      <c r="J48069" s="309"/>
    </row>
    <row r="48070">
      <c r="B48070" s="309"/>
      <c r="C48070" s="309"/>
      <c r="I48070" s="309"/>
      <c r="J48070" s="309"/>
    </row>
    <row r="48071">
      <c r="B48071" s="309"/>
      <c r="C48071" s="309"/>
      <c r="I48071" s="309"/>
      <c r="J48071" s="309"/>
    </row>
    <row r="48072">
      <c r="B48072" s="309"/>
      <c r="C48072" s="309"/>
      <c r="I48072" s="309"/>
      <c r="J48072" s="309"/>
    </row>
    <row r="48073">
      <c r="B48073" s="309"/>
      <c r="C48073" s="309"/>
      <c r="I48073" s="309"/>
      <c r="J48073" s="309"/>
    </row>
    <row r="48074">
      <c r="B48074" s="309"/>
      <c r="C48074" s="309"/>
      <c r="I48074" s="309"/>
      <c r="J48074" s="309"/>
    </row>
    <row r="48075">
      <c r="B48075" s="309"/>
      <c r="C48075" s="309"/>
      <c r="I48075" s="309"/>
      <c r="J48075" s="309"/>
    </row>
    <row r="48076">
      <c r="B48076" s="309"/>
      <c r="C48076" s="309"/>
      <c r="I48076" s="309"/>
      <c r="J48076" s="309"/>
    </row>
    <row r="48077">
      <c r="B48077" s="309"/>
      <c r="C48077" s="309"/>
      <c r="I48077" s="309"/>
      <c r="J48077" s="309"/>
    </row>
    <row r="48078">
      <c r="B48078" s="309"/>
      <c r="C48078" s="309"/>
      <c r="I48078" s="309"/>
      <c r="J48078" s="309"/>
    </row>
    <row r="48079">
      <c r="B48079" s="309"/>
      <c r="C48079" s="309"/>
      <c r="I48079" s="309"/>
      <c r="J48079" s="309"/>
    </row>
    <row r="48080">
      <c r="B48080" s="309"/>
      <c r="C48080" s="309"/>
      <c r="I48080" s="309"/>
      <c r="J48080" s="309"/>
    </row>
    <row r="48081">
      <c r="B48081" s="309"/>
      <c r="C48081" s="309"/>
      <c r="I48081" s="309"/>
      <c r="J48081" s="309"/>
    </row>
    <row r="48082">
      <c r="B48082" s="309"/>
      <c r="C48082" s="309"/>
      <c r="I48082" s="309"/>
      <c r="J48082" s="309"/>
    </row>
    <row r="48083">
      <c r="B48083" s="309"/>
      <c r="C48083" s="309"/>
      <c r="I48083" s="309"/>
      <c r="J48083" s="309"/>
    </row>
    <row r="48084">
      <c r="B48084" s="309"/>
      <c r="C48084" s="309"/>
      <c r="I48084" s="309"/>
      <c r="J48084" s="309"/>
    </row>
    <row r="48085">
      <c r="B48085" s="309"/>
      <c r="C48085" s="309"/>
      <c r="I48085" s="309"/>
      <c r="J48085" s="309"/>
    </row>
    <row r="48086">
      <c r="B48086" s="309"/>
      <c r="C48086" s="309"/>
      <c r="I48086" s="309"/>
      <c r="J48086" s="309"/>
    </row>
    <row r="48087">
      <c r="B48087" s="309"/>
      <c r="C48087" s="309"/>
      <c r="I48087" s="309"/>
      <c r="J48087" s="309"/>
    </row>
    <row r="48088">
      <c r="B48088" s="309"/>
      <c r="C48088" s="309"/>
      <c r="I48088" s="309"/>
      <c r="J48088" s="309"/>
    </row>
    <row r="48089">
      <c r="B48089" s="309"/>
      <c r="C48089" s="309"/>
      <c r="I48089" s="309"/>
      <c r="J48089" s="309"/>
    </row>
    <row r="48090">
      <c r="B48090" s="309"/>
      <c r="C48090" s="309"/>
      <c r="I48090" s="309"/>
      <c r="J48090" s="309"/>
    </row>
    <row r="48091">
      <c r="B48091" s="309"/>
      <c r="C48091" s="309"/>
      <c r="I48091" s="309"/>
      <c r="J48091" s="309"/>
    </row>
    <row r="48092">
      <c r="B48092" s="309"/>
      <c r="C48092" s="309"/>
      <c r="I48092" s="309"/>
      <c r="J48092" s="309"/>
    </row>
    <row r="48093">
      <c r="B48093" s="309"/>
      <c r="C48093" s="309"/>
      <c r="I48093" s="309"/>
      <c r="J48093" s="309"/>
    </row>
    <row r="48094">
      <c r="B48094" s="309"/>
      <c r="C48094" s="309"/>
      <c r="I48094" s="309"/>
      <c r="J48094" s="309"/>
    </row>
    <row r="48095">
      <c r="B48095" s="309"/>
      <c r="C48095" s="309"/>
      <c r="I48095" s="309"/>
      <c r="J48095" s="309"/>
    </row>
    <row r="48096">
      <c r="B48096" s="309"/>
      <c r="C48096" s="309"/>
      <c r="I48096" s="309"/>
      <c r="J48096" s="309"/>
    </row>
    <row r="48097">
      <c r="B48097" s="309"/>
      <c r="C48097" s="309"/>
      <c r="I48097" s="309"/>
      <c r="J48097" s="309"/>
    </row>
    <row r="48098">
      <c r="B48098" s="309"/>
      <c r="C48098" s="309"/>
      <c r="I48098" s="309"/>
      <c r="J48098" s="309"/>
    </row>
    <row r="48099">
      <c r="B48099" s="309"/>
      <c r="C48099" s="309"/>
      <c r="I48099" s="309"/>
      <c r="J48099" s="309"/>
    </row>
    <row r="48100">
      <c r="B48100" s="309"/>
      <c r="C48100" s="309"/>
      <c r="I48100" s="309"/>
      <c r="J48100" s="309"/>
    </row>
    <row r="48101">
      <c r="B48101" s="309"/>
      <c r="C48101" s="309"/>
      <c r="I48101" s="309"/>
      <c r="J48101" s="309"/>
    </row>
    <row r="48102">
      <c r="B48102" s="309"/>
      <c r="C48102" s="309"/>
      <c r="I48102" s="309"/>
      <c r="J48102" s="309"/>
    </row>
    <row r="48103">
      <c r="B48103" s="309"/>
      <c r="C48103" s="309"/>
      <c r="I48103" s="309"/>
      <c r="J48103" s="309"/>
    </row>
    <row r="48104">
      <c r="B48104" s="309"/>
      <c r="C48104" s="309"/>
      <c r="I48104" s="309"/>
      <c r="J48104" s="309"/>
    </row>
    <row r="48105">
      <c r="B48105" s="309"/>
      <c r="C48105" s="309"/>
      <c r="I48105" s="309"/>
      <c r="J48105" s="309"/>
    </row>
    <row r="48106">
      <c r="B48106" s="309"/>
      <c r="C48106" s="309"/>
      <c r="I48106" s="309"/>
      <c r="J48106" s="309"/>
    </row>
    <row r="48107">
      <c r="B48107" s="309"/>
      <c r="C48107" s="309"/>
      <c r="I48107" s="309"/>
      <c r="J48107" s="309"/>
    </row>
    <row r="48108">
      <c r="B48108" s="309"/>
      <c r="C48108" s="309"/>
      <c r="I48108" s="309"/>
      <c r="J48108" s="309"/>
    </row>
    <row r="48109">
      <c r="B48109" s="309"/>
      <c r="C48109" s="309"/>
      <c r="I48109" s="309"/>
      <c r="J48109" s="309"/>
    </row>
    <row r="48110">
      <c r="B48110" s="309"/>
      <c r="C48110" s="309"/>
      <c r="I48110" s="309"/>
      <c r="J48110" s="309"/>
    </row>
    <row r="48111">
      <c r="B48111" s="309"/>
      <c r="C48111" s="309"/>
      <c r="I48111" s="309"/>
      <c r="J48111" s="309"/>
    </row>
    <row r="48112">
      <c r="B48112" s="309"/>
      <c r="C48112" s="309"/>
      <c r="I48112" s="309"/>
      <c r="J48112" s="309"/>
    </row>
    <row r="48113">
      <c r="B48113" s="309"/>
      <c r="C48113" s="309"/>
      <c r="I48113" s="309"/>
      <c r="J48113" s="309"/>
    </row>
    <row r="48114">
      <c r="B48114" s="309"/>
      <c r="C48114" s="309"/>
      <c r="I48114" s="309"/>
      <c r="J48114" s="309"/>
    </row>
    <row r="48115">
      <c r="B48115" s="309"/>
      <c r="C48115" s="309"/>
      <c r="I48115" s="309"/>
      <c r="J48115" s="309"/>
    </row>
    <row r="48116">
      <c r="B48116" s="309"/>
      <c r="C48116" s="309"/>
      <c r="I48116" s="309"/>
      <c r="J48116" s="309"/>
    </row>
    <row r="48117">
      <c r="B48117" s="309"/>
      <c r="C48117" s="309"/>
      <c r="I48117" s="309"/>
      <c r="J48117" s="309"/>
    </row>
    <row r="48118">
      <c r="B48118" s="309"/>
      <c r="C48118" s="309"/>
      <c r="I48118" s="309"/>
      <c r="J48118" s="309"/>
    </row>
    <row r="48119">
      <c r="B48119" s="309"/>
      <c r="C48119" s="309"/>
      <c r="I48119" s="309"/>
      <c r="J48119" s="309"/>
    </row>
    <row r="48120">
      <c r="B48120" s="309"/>
      <c r="C48120" s="309"/>
      <c r="I48120" s="309"/>
      <c r="J48120" s="309"/>
    </row>
    <row r="48121">
      <c r="B48121" s="309"/>
      <c r="C48121" s="309"/>
      <c r="I48121" s="309"/>
      <c r="J48121" s="309"/>
    </row>
    <row r="48122">
      <c r="B48122" s="309"/>
      <c r="C48122" s="309"/>
      <c r="I48122" s="309"/>
      <c r="J48122" s="309"/>
    </row>
    <row r="48123">
      <c r="B48123" s="309"/>
      <c r="C48123" s="309"/>
      <c r="I48123" s="309"/>
      <c r="J48123" s="309"/>
    </row>
    <row r="48124">
      <c r="B48124" s="309"/>
      <c r="C48124" s="309"/>
      <c r="I48124" s="309"/>
      <c r="J48124" s="309"/>
    </row>
    <row r="48125">
      <c r="B48125" s="309"/>
      <c r="C48125" s="309"/>
      <c r="I48125" s="309"/>
      <c r="J48125" s="309"/>
    </row>
    <row r="48126">
      <c r="B48126" s="309"/>
      <c r="C48126" s="309"/>
      <c r="I48126" s="309"/>
      <c r="J48126" s="309"/>
    </row>
    <row r="48127">
      <c r="B48127" s="309"/>
      <c r="C48127" s="309"/>
      <c r="I48127" s="309"/>
      <c r="J48127" s="309"/>
    </row>
    <row r="48128">
      <c r="B48128" s="309"/>
      <c r="C48128" s="309"/>
      <c r="I48128" s="309"/>
      <c r="J48128" s="309"/>
    </row>
    <row r="48129">
      <c r="B48129" s="309"/>
      <c r="C48129" s="309"/>
      <c r="I48129" s="309"/>
      <c r="J48129" s="309"/>
    </row>
    <row r="48130">
      <c r="B48130" s="309"/>
      <c r="C48130" s="309"/>
      <c r="I48130" s="309"/>
      <c r="J48130" s="309"/>
    </row>
    <row r="48131">
      <c r="B48131" s="309"/>
      <c r="C48131" s="309"/>
      <c r="I48131" s="309"/>
      <c r="J48131" s="309"/>
    </row>
    <row r="48132">
      <c r="B48132" s="309"/>
      <c r="C48132" s="309"/>
      <c r="I48132" s="309"/>
      <c r="J48132" s="309"/>
    </row>
    <row r="48133">
      <c r="B48133" s="309"/>
      <c r="C48133" s="309"/>
      <c r="I48133" s="309"/>
      <c r="J48133" s="309"/>
    </row>
    <row r="48134">
      <c r="B48134" s="309"/>
      <c r="C48134" s="309"/>
      <c r="I48134" s="309"/>
      <c r="J48134" s="309"/>
    </row>
    <row r="48135">
      <c r="B48135" s="309"/>
      <c r="C48135" s="309"/>
      <c r="I48135" s="309"/>
      <c r="J48135" s="309"/>
    </row>
    <row r="48136">
      <c r="B48136" s="309"/>
      <c r="C48136" s="309"/>
      <c r="I48136" s="309"/>
      <c r="J48136" s="309"/>
    </row>
    <row r="48137">
      <c r="B48137" s="309"/>
      <c r="C48137" s="309"/>
      <c r="I48137" s="309"/>
      <c r="J48137" s="309"/>
    </row>
    <row r="48138">
      <c r="B48138" s="309"/>
      <c r="C48138" s="309"/>
      <c r="I48138" s="309"/>
      <c r="J48138" s="309"/>
    </row>
    <row r="48139">
      <c r="B48139" s="309"/>
      <c r="C48139" s="309"/>
      <c r="I48139" s="309"/>
      <c r="J48139" s="309"/>
    </row>
    <row r="48140">
      <c r="B48140" s="309"/>
      <c r="C48140" s="309"/>
      <c r="I48140" s="309"/>
      <c r="J48140" s="309"/>
    </row>
    <row r="48141">
      <c r="B48141" s="309"/>
      <c r="C48141" s="309"/>
      <c r="I48141" s="309"/>
      <c r="J48141" s="309"/>
    </row>
    <row r="48142">
      <c r="B48142" s="309"/>
      <c r="C48142" s="309"/>
      <c r="I48142" s="309"/>
      <c r="J48142" s="309"/>
    </row>
    <row r="48143">
      <c r="B48143" s="309"/>
      <c r="C48143" s="309"/>
      <c r="I48143" s="309"/>
      <c r="J48143" s="309"/>
    </row>
    <row r="48144">
      <c r="B48144" s="309"/>
      <c r="C48144" s="309"/>
      <c r="I48144" s="309"/>
      <c r="J48144" s="309"/>
    </row>
    <row r="48145">
      <c r="B48145" s="309"/>
      <c r="C48145" s="309"/>
      <c r="I48145" s="309"/>
      <c r="J48145" s="309"/>
    </row>
    <row r="48146">
      <c r="B48146" s="309"/>
      <c r="C48146" s="309"/>
      <c r="I48146" s="309"/>
      <c r="J48146" s="309"/>
    </row>
    <row r="48147">
      <c r="B48147" s="309"/>
      <c r="C48147" s="309"/>
      <c r="I48147" s="309"/>
      <c r="J48147" s="309"/>
    </row>
    <row r="48148">
      <c r="B48148" s="309"/>
      <c r="C48148" s="309"/>
      <c r="I48148" s="309"/>
      <c r="J48148" s="309"/>
    </row>
    <row r="48149">
      <c r="B48149" s="309"/>
      <c r="C48149" s="309"/>
      <c r="I48149" s="309"/>
      <c r="J48149" s="309"/>
    </row>
    <row r="48150">
      <c r="B48150" s="309"/>
      <c r="C48150" s="309"/>
      <c r="I48150" s="309"/>
      <c r="J48150" s="309"/>
    </row>
    <row r="48151">
      <c r="B48151" s="309"/>
      <c r="C48151" s="309"/>
      <c r="I48151" s="309"/>
      <c r="J48151" s="309"/>
    </row>
    <row r="48152">
      <c r="B48152" s="309"/>
      <c r="C48152" s="309"/>
      <c r="I48152" s="309"/>
      <c r="J48152" s="309"/>
    </row>
    <row r="48153">
      <c r="B48153" s="309"/>
      <c r="C48153" s="309"/>
      <c r="I48153" s="309"/>
      <c r="J48153" s="309"/>
    </row>
    <row r="48154">
      <c r="B48154" s="309"/>
      <c r="C48154" s="309"/>
      <c r="I48154" s="309"/>
      <c r="J48154" s="309"/>
    </row>
    <row r="48155">
      <c r="B48155" s="309"/>
      <c r="C48155" s="309"/>
      <c r="I48155" s="309"/>
      <c r="J48155" s="309"/>
    </row>
    <row r="48156">
      <c r="B48156" s="309"/>
      <c r="C48156" s="309"/>
      <c r="I48156" s="309"/>
      <c r="J48156" s="309"/>
    </row>
    <row r="48157">
      <c r="B48157" s="309"/>
      <c r="C48157" s="309"/>
      <c r="I48157" s="309"/>
      <c r="J48157" s="309"/>
    </row>
    <row r="48158">
      <c r="B48158" s="309"/>
      <c r="C48158" s="309"/>
      <c r="I48158" s="309"/>
      <c r="J48158" s="309"/>
    </row>
    <row r="48159">
      <c r="B48159" s="309"/>
      <c r="C48159" s="309"/>
      <c r="I48159" s="309"/>
      <c r="J48159" s="309"/>
    </row>
    <row r="48160">
      <c r="B48160" s="309"/>
      <c r="C48160" s="309"/>
      <c r="I48160" s="309"/>
      <c r="J48160" s="309"/>
    </row>
    <row r="48161">
      <c r="B48161" s="309"/>
      <c r="C48161" s="309"/>
      <c r="I48161" s="309"/>
      <c r="J48161" s="309"/>
    </row>
    <row r="48162">
      <c r="B48162" s="309"/>
      <c r="C48162" s="309"/>
      <c r="I48162" s="309"/>
      <c r="J48162" s="309"/>
    </row>
    <row r="48163">
      <c r="B48163" s="309"/>
      <c r="C48163" s="309"/>
      <c r="I48163" s="309"/>
      <c r="J48163" s="309"/>
    </row>
    <row r="48164">
      <c r="B48164" s="309"/>
      <c r="C48164" s="309"/>
      <c r="I48164" s="309"/>
      <c r="J48164" s="309"/>
    </row>
    <row r="48165">
      <c r="B48165" s="309"/>
      <c r="C48165" s="309"/>
      <c r="I48165" s="309"/>
      <c r="J48165" s="309"/>
    </row>
    <row r="48166">
      <c r="B48166" s="309"/>
      <c r="C48166" s="309"/>
      <c r="I48166" s="309"/>
      <c r="J48166" s="309"/>
    </row>
    <row r="48167">
      <c r="B48167" s="309"/>
      <c r="C48167" s="309"/>
      <c r="I48167" s="309"/>
      <c r="J48167" s="309"/>
    </row>
    <row r="48168">
      <c r="B48168" s="309"/>
      <c r="C48168" s="309"/>
      <c r="I48168" s="309"/>
      <c r="J48168" s="309"/>
    </row>
    <row r="48169">
      <c r="B48169" s="309"/>
      <c r="C48169" s="309"/>
      <c r="I48169" s="309"/>
      <c r="J48169" s="309"/>
    </row>
    <row r="48170">
      <c r="B48170" s="309"/>
      <c r="C48170" s="309"/>
      <c r="I48170" s="309"/>
      <c r="J48170" s="309"/>
    </row>
    <row r="48171">
      <c r="B48171" s="309"/>
      <c r="C48171" s="309"/>
      <c r="I48171" s="309"/>
      <c r="J48171" s="309"/>
    </row>
    <row r="48172">
      <c r="B48172" s="309"/>
      <c r="C48172" s="309"/>
      <c r="I48172" s="309"/>
      <c r="J48172" s="309"/>
    </row>
    <row r="48173">
      <c r="B48173" s="309"/>
      <c r="C48173" s="309"/>
      <c r="I48173" s="309"/>
      <c r="J48173" s="309"/>
    </row>
    <row r="48174">
      <c r="B48174" s="309"/>
      <c r="C48174" s="309"/>
      <c r="I48174" s="309"/>
      <c r="J48174" s="309"/>
    </row>
    <row r="48175">
      <c r="B48175" s="309"/>
      <c r="C48175" s="309"/>
      <c r="I48175" s="309"/>
      <c r="J48175" s="309"/>
    </row>
    <row r="48176">
      <c r="B48176" s="309"/>
      <c r="C48176" s="309"/>
      <c r="I48176" s="309"/>
      <c r="J48176" s="309"/>
    </row>
    <row r="48177">
      <c r="B48177" s="309"/>
      <c r="C48177" s="309"/>
      <c r="I48177" s="309"/>
      <c r="J48177" s="309"/>
    </row>
    <row r="48178">
      <c r="B48178" s="309"/>
      <c r="C48178" s="309"/>
      <c r="I48178" s="309"/>
      <c r="J48178" s="309"/>
    </row>
    <row r="48179">
      <c r="B48179" s="309"/>
      <c r="C48179" s="309"/>
      <c r="I48179" s="309"/>
      <c r="J48179" s="309"/>
    </row>
    <row r="48180">
      <c r="B48180" s="309"/>
      <c r="C48180" s="309"/>
      <c r="I48180" s="309"/>
      <c r="J48180" s="309"/>
    </row>
    <row r="48181">
      <c r="B48181" s="309"/>
      <c r="C48181" s="309"/>
      <c r="I48181" s="309"/>
      <c r="J48181" s="309"/>
    </row>
    <row r="48182">
      <c r="B48182" s="309"/>
      <c r="C48182" s="309"/>
      <c r="I48182" s="309"/>
      <c r="J48182" s="309"/>
    </row>
    <row r="48183">
      <c r="B48183" s="309"/>
      <c r="C48183" s="309"/>
      <c r="I48183" s="309"/>
      <c r="J48183" s="309"/>
    </row>
    <row r="48184">
      <c r="B48184" s="309"/>
      <c r="C48184" s="309"/>
      <c r="I48184" s="309"/>
      <c r="J48184" s="309"/>
    </row>
    <row r="48185">
      <c r="B48185" s="309"/>
      <c r="C48185" s="309"/>
      <c r="I48185" s="309"/>
      <c r="J48185" s="309"/>
    </row>
    <row r="48186">
      <c r="B48186" s="309"/>
      <c r="C48186" s="309"/>
      <c r="I48186" s="309"/>
      <c r="J48186" s="309"/>
    </row>
    <row r="48187">
      <c r="B48187" s="309"/>
      <c r="C48187" s="309"/>
      <c r="I48187" s="309"/>
      <c r="J48187" s="309"/>
    </row>
    <row r="48188">
      <c r="B48188" s="309"/>
      <c r="C48188" s="309"/>
      <c r="I48188" s="309"/>
      <c r="J48188" s="309"/>
    </row>
    <row r="48189">
      <c r="B48189" s="309"/>
      <c r="C48189" s="309"/>
      <c r="I48189" s="309"/>
      <c r="J48189" s="309"/>
    </row>
    <row r="48190">
      <c r="B48190" s="309"/>
      <c r="C48190" s="309"/>
      <c r="I48190" s="309"/>
      <c r="J48190" s="309"/>
    </row>
    <row r="48191">
      <c r="B48191" s="309"/>
      <c r="C48191" s="309"/>
      <c r="I48191" s="309"/>
      <c r="J48191" s="309"/>
    </row>
    <row r="48192">
      <c r="B48192" s="309"/>
      <c r="C48192" s="309"/>
      <c r="I48192" s="309"/>
      <c r="J48192" s="309"/>
    </row>
    <row r="48193">
      <c r="B48193" s="309"/>
      <c r="C48193" s="309"/>
      <c r="I48193" s="309"/>
      <c r="J48193" s="309"/>
    </row>
    <row r="48194">
      <c r="B48194" s="309"/>
      <c r="C48194" s="309"/>
      <c r="I48194" s="309"/>
      <c r="J48194" s="309"/>
    </row>
    <row r="48195">
      <c r="B48195" s="309"/>
      <c r="C48195" s="309"/>
      <c r="I48195" s="309"/>
      <c r="J48195" s="309"/>
    </row>
    <row r="48196">
      <c r="B48196" s="309"/>
      <c r="C48196" s="309"/>
      <c r="I48196" s="309"/>
      <c r="J48196" s="309"/>
    </row>
    <row r="48197">
      <c r="B48197" s="309"/>
      <c r="C48197" s="309"/>
      <c r="I48197" s="309"/>
      <c r="J48197" s="309"/>
    </row>
    <row r="48198">
      <c r="B48198" s="309"/>
      <c r="C48198" s="309"/>
      <c r="I48198" s="309"/>
      <c r="J48198" s="309"/>
    </row>
    <row r="48199">
      <c r="B48199" s="309"/>
      <c r="C48199" s="309"/>
      <c r="I48199" s="309"/>
      <c r="J48199" s="309"/>
    </row>
    <row r="48200">
      <c r="B48200" s="309"/>
      <c r="C48200" s="309"/>
      <c r="I48200" s="309"/>
      <c r="J48200" s="309"/>
    </row>
    <row r="48201">
      <c r="B48201" s="309"/>
      <c r="C48201" s="309"/>
      <c r="I48201" s="309"/>
      <c r="J48201" s="309"/>
    </row>
    <row r="48202">
      <c r="B48202" s="309"/>
      <c r="C48202" s="309"/>
      <c r="I48202" s="309"/>
      <c r="J48202" s="309"/>
    </row>
    <row r="48203">
      <c r="B48203" s="309"/>
      <c r="C48203" s="309"/>
      <c r="I48203" s="309"/>
      <c r="J48203" s="309"/>
    </row>
    <row r="48204">
      <c r="B48204" s="309"/>
      <c r="C48204" s="309"/>
      <c r="I48204" s="309"/>
      <c r="J48204" s="309"/>
    </row>
    <row r="48205">
      <c r="B48205" s="309"/>
      <c r="C48205" s="309"/>
      <c r="I48205" s="309"/>
      <c r="J48205" s="309"/>
    </row>
    <row r="48206">
      <c r="B48206" s="309"/>
      <c r="C48206" s="309"/>
      <c r="I48206" s="309"/>
      <c r="J48206" s="309"/>
    </row>
    <row r="48207">
      <c r="B48207" s="309"/>
      <c r="C48207" s="309"/>
      <c r="I48207" s="309"/>
      <c r="J48207" s="309"/>
    </row>
    <row r="48208">
      <c r="B48208" s="309"/>
      <c r="C48208" s="309"/>
      <c r="I48208" s="309"/>
      <c r="J48208" s="309"/>
    </row>
    <row r="48209">
      <c r="B48209" s="309"/>
      <c r="C48209" s="309"/>
      <c r="I48209" s="309"/>
      <c r="J48209" s="309"/>
    </row>
    <row r="48210">
      <c r="B48210" s="309"/>
      <c r="C48210" s="309"/>
      <c r="I48210" s="309"/>
      <c r="J48210" s="309"/>
    </row>
    <row r="48211">
      <c r="B48211" s="309"/>
      <c r="C48211" s="309"/>
      <c r="I48211" s="309"/>
      <c r="J48211" s="309"/>
    </row>
    <row r="48212">
      <c r="B48212" s="309"/>
      <c r="C48212" s="309"/>
      <c r="I48212" s="309"/>
      <c r="J48212" s="309"/>
    </row>
    <row r="48213">
      <c r="B48213" s="309"/>
      <c r="C48213" s="309"/>
      <c r="I48213" s="309"/>
      <c r="J48213" s="309"/>
    </row>
    <row r="48214">
      <c r="B48214" s="309"/>
      <c r="C48214" s="309"/>
      <c r="I48214" s="309"/>
      <c r="J48214" s="309"/>
    </row>
    <row r="48215">
      <c r="B48215" s="309"/>
      <c r="C48215" s="309"/>
      <c r="I48215" s="309"/>
      <c r="J48215" s="309"/>
    </row>
    <row r="48216">
      <c r="B48216" s="309"/>
      <c r="C48216" s="309"/>
      <c r="I48216" s="309"/>
      <c r="J48216" s="309"/>
    </row>
    <row r="48217">
      <c r="B48217" s="309"/>
      <c r="C48217" s="309"/>
      <c r="I48217" s="309"/>
      <c r="J48217" s="309"/>
    </row>
    <row r="48218">
      <c r="B48218" s="309"/>
      <c r="C48218" s="309"/>
      <c r="I48218" s="309"/>
      <c r="J48218" s="309"/>
    </row>
    <row r="48219">
      <c r="B48219" s="309"/>
      <c r="C48219" s="309"/>
      <c r="I48219" s="309"/>
      <c r="J48219" s="309"/>
    </row>
    <row r="48220">
      <c r="B48220" s="309"/>
      <c r="C48220" s="309"/>
      <c r="I48220" s="309"/>
      <c r="J48220" s="309"/>
    </row>
    <row r="48221">
      <c r="B48221" s="309"/>
      <c r="C48221" s="309"/>
      <c r="I48221" s="309"/>
      <c r="J48221" s="309"/>
    </row>
    <row r="48222">
      <c r="B48222" s="309"/>
      <c r="C48222" s="309"/>
      <c r="I48222" s="309"/>
      <c r="J48222" s="309"/>
    </row>
    <row r="48223">
      <c r="B48223" s="309"/>
      <c r="C48223" s="309"/>
      <c r="I48223" s="309"/>
      <c r="J48223" s="309"/>
    </row>
    <row r="48224">
      <c r="B48224" s="309"/>
      <c r="C48224" s="309"/>
      <c r="I48224" s="309"/>
      <c r="J48224" s="309"/>
    </row>
    <row r="48225">
      <c r="B48225" s="309"/>
      <c r="C48225" s="309"/>
      <c r="I48225" s="309"/>
      <c r="J48225" s="309"/>
    </row>
    <row r="48226">
      <c r="B48226" s="309"/>
      <c r="C48226" s="309"/>
      <c r="I48226" s="309"/>
      <c r="J48226" s="309"/>
    </row>
    <row r="48227">
      <c r="B48227" s="309"/>
      <c r="C48227" s="309"/>
      <c r="I48227" s="309"/>
      <c r="J48227" s="309"/>
    </row>
    <row r="48228">
      <c r="B48228" s="309"/>
      <c r="C48228" s="309"/>
      <c r="I48228" s="309"/>
      <c r="J48228" s="309"/>
    </row>
    <row r="48229">
      <c r="B48229" s="309"/>
      <c r="C48229" s="309"/>
      <c r="I48229" s="309"/>
      <c r="J48229" s="309"/>
    </row>
    <row r="48230">
      <c r="B48230" s="309"/>
      <c r="C48230" s="309"/>
      <c r="I48230" s="309"/>
      <c r="J48230" s="309"/>
    </row>
    <row r="48231">
      <c r="B48231" s="309"/>
      <c r="C48231" s="309"/>
      <c r="I48231" s="309"/>
      <c r="J48231" s="309"/>
    </row>
    <row r="48232">
      <c r="B48232" s="309"/>
      <c r="C48232" s="309"/>
      <c r="I48232" s="309"/>
      <c r="J48232" s="309"/>
    </row>
    <row r="48233">
      <c r="B48233" s="309"/>
      <c r="C48233" s="309"/>
      <c r="I48233" s="309"/>
      <c r="J48233" s="309"/>
    </row>
    <row r="48234">
      <c r="B48234" s="309"/>
      <c r="C48234" s="309"/>
      <c r="I48234" s="309"/>
      <c r="J48234" s="309"/>
    </row>
    <row r="48235">
      <c r="B48235" s="309"/>
      <c r="C48235" s="309"/>
      <c r="I48235" s="309"/>
      <c r="J48235" s="309"/>
    </row>
    <row r="48236">
      <c r="B48236" s="309"/>
      <c r="C48236" s="309"/>
      <c r="I48236" s="309"/>
      <c r="J48236" s="309"/>
    </row>
    <row r="48237">
      <c r="B48237" s="309"/>
      <c r="C48237" s="309"/>
      <c r="I48237" s="309"/>
      <c r="J48237" s="309"/>
    </row>
    <row r="48238">
      <c r="B48238" s="309"/>
      <c r="C48238" s="309"/>
      <c r="I48238" s="309"/>
      <c r="J48238" s="309"/>
    </row>
    <row r="48239">
      <c r="B48239" s="309"/>
      <c r="C48239" s="309"/>
      <c r="I48239" s="309"/>
      <c r="J48239" s="309"/>
    </row>
    <row r="48240">
      <c r="B48240" s="309"/>
      <c r="C48240" s="309"/>
      <c r="I48240" s="309"/>
      <c r="J48240" s="309"/>
    </row>
    <row r="48241">
      <c r="B48241" s="309"/>
      <c r="C48241" s="309"/>
      <c r="I48241" s="309"/>
      <c r="J48241" s="309"/>
    </row>
    <row r="48242">
      <c r="B48242" s="309"/>
      <c r="C48242" s="309"/>
      <c r="I48242" s="309"/>
      <c r="J48242" s="309"/>
    </row>
    <row r="48243">
      <c r="B48243" s="309"/>
      <c r="C48243" s="309"/>
      <c r="I48243" s="309"/>
      <c r="J48243" s="309"/>
    </row>
    <row r="48244">
      <c r="B48244" s="309"/>
      <c r="C48244" s="309"/>
      <c r="I48244" s="309"/>
      <c r="J48244" s="309"/>
    </row>
    <row r="48245">
      <c r="B48245" s="309"/>
      <c r="C48245" s="309"/>
      <c r="I48245" s="309"/>
      <c r="J48245" s="309"/>
    </row>
    <row r="48246">
      <c r="B48246" s="309"/>
      <c r="C48246" s="309"/>
      <c r="I48246" s="309"/>
      <c r="J48246" s="309"/>
    </row>
    <row r="48247">
      <c r="B48247" s="309"/>
      <c r="C48247" s="309"/>
      <c r="I48247" s="309"/>
      <c r="J48247" s="309"/>
    </row>
    <row r="48248">
      <c r="B48248" s="309"/>
      <c r="C48248" s="309"/>
      <c r="I48248" s="309"/>
      <c r="J48248" s="309"/>
    </row>
    <row r="48249">
      <c r="B48249" s="309"/>
      <c r="C48249" s="309"/>
      <c r="I48249" s="309"/>
      <c r="J48249" s="309"/>
    </row>
    <row r="48250">
      <c r="B48250" s="309"/>
      <c r="C48250" s="309"/>
      <c r="I48250" s="309"/>
      <c r="J48250" s="309"/>
    </row>
    <row r="48251">
      <c r="B48251" s="309"/>
      <c r="C48251" s="309"/>
      <c r="I48251" s="309"/>
      <c r="J48251" s="309"/>
    </row>
    <row r="48252">
      <c r="B48252" s="309"/>
      <c r="C48252" s="309"/>
      <c r="I48252" s="309"/>
      <c r="J48252" s="309"/>
    </row>
    <row r="48253">
      <c r="B48253" s="309"/>
      <c r="C48253" s="309"/>
      <c r="I48253" s="309"/>
      <c r="J48253" s="309"/>
    </row>
    <row r="48254">
      <c r="B48254" s="309"/>
      <c r="C48254" s="309"/>
      <c r="I48254" s="309"/>
      <c r="J48254" s="309"/>
    </row>
    <row r="48255">
      <c r="B48255" s="309"/>
      <c r="C48255" s="309"/>
      <c r="I48255" s="309"/>
      <c r="J48255" s="309"/>
    </row>
    <row r="48256">
      <c r="B48256" s="309"/>
      <c r="C48256" s="309"/>
      <c r="I48256" s="309"/>
      <c r="J48256" s="309"/>
    </row>
    <row r="48257">
      <c r="B48257" s="309"/>
      <c r="C48257" s="309"/>
      <c r="I48257" s="309"/>
      <c r="J48257" s="309"/>
    </row>
    <row r="48258">
      <c r="B48258" s="309"/>
      <c r="C48258" s="309"/>
      <c r="I48258" s="309"/>
      <c r="J48258" s="309"/>
    </row>
    <row r="48259">
      <c r="B48259" s="309"/>
      <c r="C48259" s="309"/>
      <c r="I48259" s="309"/>
      <c r="J48259" s="309"/>
    </row>
    <row r="48260">
      <c r="B48260" s="309"/>
      <c r="C48260" s="309"/>
      <c r="I48260" s="309"/>
      <c r="J48260" s="309"/>
    </row>
    <row r="48261">
      <c r="B48261" s="309"/>
      <c r="C48261" s="309"/>
      <c r="I48261" s="309"/>
      <c r="J48261" s="309"/>
    </row>
    <row r="48262">
      <c r="B48262" s="309"/>
      <c r="C48262" s="309"/>
      <c r="I48262" s="309"/>
      <c r="J48262" s="309"/>
    </row>
    <row r="48263">
      <c r="B48263" s="309"/>
      <c r="C48263" s="309"/>
      <c r="I48263" s="309"/>
      <c r="J48263" s="309"/>
    </row>
    <row r="48264">
      <c r="B48264" s="309"/>
      <c r="C48264" s="309"/>
      <c r="I48264" s="309"/>
      <c r="J48264" s="309"/>
    </row>
    <row r="48265">
      <c r="B48265" s="309"/>
      <c r="C48265" s="309"/>
      <c r="I48265" s="309"/>
      <c r="J48265" s="309"/>
    </row>
    <row r="48266">
      <c r="B48266" s="309"/>
      <c r="C48266" s="309"/>
      <c r="I48266" s="309"/>
      <c r="J48266" s="309"/>
    </row>
    <row r="48267">
      <c r="B48267" s="309"/>
      <c r="C48267" s="309"/>
      <c r="I48267" s="309"/>
      <c r="J48267" s="309"/>
    </row>
    <row r="48268">
      <c r="B48268" s="309"/>
      <c r="C48268" s="309"/>
      <c r="I48268" s="309"/>
      <c r="J48268" s="309"/>
    </row>
    <row r="48269">
      <c r="B48269" s="309"/>
      <c r="C48269" s="309"/>
      <c r="I48269" s="309"/>
      <c r="J48269" s="309"/>
    </row>
    <row r="48270">
      <c r="B48270" s="309"/>
      <c r="C48270" s="309"/>
      <c r="I48270" s="309"/>
      <c r="J48270" s="309"/>
    </row>
    <row r="48271">
      <c r="B48271" s="309"/>
      <c r="C48271" s="309"/>
      <c r="I48271" s="309"/>
      <c r="J48271" s="309"/>
    </row>
    <row r="48272">
      <c r="B48272" s="309"/>
      <c r="C48272" s="309"/>
      <c r="I48272" s="309"/>
      <c r="J48272" s="309"/>
    </row>
    <row r="48273">
      <c r="B48273" s="309"/>
      <c r="C48273" s="309"/>
      <c r="I48273" s="309"/>
      <c r="J48273" s="309"/>
    </row>
    <row r="48274">
      <c r="B48274" s="309"/>
      <c r="C48274" s="309"/>
      <c r="I48274" s="309"/>
      <c r="J48274" s="309"/>
    </row>
    <row r="48275">
      <c r="B48275" s="309"/>
      <c r="C48275" s="309"/>
      <c r="I48275" s="309"/>
      <c r="J48275" s="309"/>
    </row>
    <row r="48276">
      <c r="B48276" s="309"/>
      <c r="C48276" s="309"/>
      <c r="I48276" s="309"/>
      <c r="J48276" s="309"/>
    </row>
    <row r="48277">
      <c r="B48277" s="309"/>
      <c r="C48277" s="309"/>
      <c r="I48277" s="309"/>
      <c r="J48277" s="309"/>
    </row>
    <row r="48278">
      <c r="B48278" s="309"/>
      <c r="C48278" s="309"/>
      <c r="I48278" s="309"/>
      <c r="J48278" s="309"/>
    </row>
    <row r="48279">
      <c r="B48279" s="309"/>
      <c r="C48279" s="309"/>
      <c r="I48279" s="309"/>
      <c r="J48279" s="309"/>
    </row>
    <row r="48280">
      <c r="B48280" s="309"/>
      <c r="C48280" s="309"/>
      <c r="I48280" s="309"/>
      <c r="J48280" s="309"/>
    </row>
    <row r="48281">
      <c r="B48281" s="309"/>
      <c r="C48281" s="309"/>
      <c r="I48281" s="309"/>
      <c r="J48281" s="309"/>
    </row>
    <row r="48282">
      <c r="B48282" s="309"/>
      <c r="C48282" s="309"/>
      <c r="I48282" s="309"/>
      <c r="J48282" s="309"/>
    </row>
    <row r="48283">
      <c r="B48283" s="309"/>
      <c r="C48283" s="309"/>
      <c r="I48283" s="309"/>
      <c r="J48283" s="309"/>
    </row>
    <row r="48284">
      <c r="B48284" s="309"/>
      <c r="C48284" s="309"/>
      <c r="I48284" s="309"/>
      <c r="J48284" s="309"/>
    </row>
    <row r="48285">
      <c r="B48285" s="309"/>
      <c r="C48285" s="309"/>
      <c r="I48285" s="309"/>
      <c r="J48285" s="309"/>
    </row>
    <row r="48286">
      <c r="B48286" s="309"/>
      <c r="C48286" s="309"/>
      <c r="I48286" s="309"/>
      <c r="J48286" s="309"/>
    </row>
    <row r="48287">
      <c r="B48287" s="309"/>
      <c r="C48287" s="309"/>
      <c r="I48287" s="309"/>
      <c r="J48287" s="309"/>
    </row>
    <row r="48288">
      <c r="B48288" s="309"/>
      <c r="C48288" s="309"/>
      <c r="I48288" s="309"/>
      <c r="J48288" s="309"/>
    </row>
    <row r="48289">
      <c r="B48289" s="309"/>
      <c r="C48289" s="309"/>
      <c r="I48289" s="309"/>
      <c r="J48289" s="309"/>
    </row>
    <row r="48290">
      <c r="B48290" s="309"/>
      <c r="C48290" s="309"/>
      <c r="I48290" s="309"/>
      <c r="J48290" s="309"/>
    </row>
    <row r="48291">
      <c r="B48291" s="309"/>
      <c r="C48291" s="309"/>
      <c r="I48291" s="309"/>
      <c r="J48291" s="309"/>
    </row>
    <row r="48292">
      <c r="B48292" s="309"/>
      <c r="C48292" s="309"/>
      <c r="I48292" s="309"/>
      <c r="J48292" s="309"/>
    </row>
    <row r="48293">
      <c r="B48293" s="309"/>
      <c r="C48293" s="309"/>
      <c r="I48293" s="309"/>
      <c r="J48293" s="309"/>
    </row>
    <row r="48294">
      <c r="B48294" s="309"/>
      <c r="C48294" s="309"/>
      <c r="I48294" s="309"/>
      <c r="J48294" s="309"/>
    </row>
    <row r="48295">
      <c r="B48295" s="309"/>
      <c r="C48295" s="309"/>
      <c r="I48295" s="309"/>
      <c r="J48295" s="309"/>
    </row>
    <row r="48296">
      <c r="B48296" s="309"/>
      <c r="C48296" s="309"/>
      <c r="I48296" s="309"/>
      <c r="J48296" s="309"/>
    </row>
    <row r="48297">
      <c r="B48297" s="309"/>
      <c r="C48297" s="309"/>
      <c r="I48297" s="309"/>
      <c r="J48297" s="309"/>
    </row>
    <row r="48298">
      <c r="B48298" s="309"/>
      <c r="C48298" s="309"/>
      <c r="I48298" s="309"/>
      <c r="J48298" s="309"/>
    </row>
    <row r="48299">
      <c r="B48299" s="309"/>
      <c r="C48299" s="309"/>
      <c r="I48299" s="309"/>
      <c r="J48299" s="309"/>
    </row>
    <row r="48300">
      <c r="B48300" s="309"/>
      <c r="C48300" s="309"/>
      <c r="I48300" s="309"/>
      <c r="J48300" s="309"/>
    </row>
    <row r="48301">
      <c r="B48301" s="309"/>
      <c r="C48301" s="309"/>
      <c r="I48301" s="309"/>
      <c r="J48301" s="309"/>
    </row>
    <row r="48302">
      <c r="B48302" s="309"/>
      <c r="C48302" s="309"/>
      <c r="I48302" s="309"/>
      <c r="J48302" s="309"/>
    </row>
    <row r="48303">
      <c r="B48303" s="309"/>
      <c r="C48303" s="309"/>
      <c r="I48303" s="309"/>
      <c r="J48303" s="309"/>
    </row>
    <row r="48304">
      <c r="B48304" s="309"/>
      <c r="C48304" s="309"/>
      <c r="I48304" s="309"/>
      <c r="J48304" s="309"/>
    </row>
    <row r="48305">
      <c r="B48305" s="309"/>
      <c r="C48305" s="309"/>
      <c r="I48305" s="309"/>
      <c r="J48305" s="309"/>
    </row>
    <row r="48306">
      <c r="B48306" s="309"/>
      <c r="C48306" s="309"/>
      <c r="I48306" s="309"/>
      <c r="J48306" s="309"/>
    </row>
    <row r="48307">
      <c r="B48307" s="309"/>
      <c r="C48307" s="309"/>
      <c r="I48307" s="309"/>
      <c r="J48307" s="309"/>
    </row>
    <row r="48308">
      <c r="B48308" s="309"/>
      <c r="C48308" s="309"/>
      <c r="I48308" s="309"/>
      <c r="J48308" s="309"/>
    </row>
    <row r="48309">
      <c r="B48309" s="309"/>
      <c r="C48309" s="309"/>
      <c r="I48309" s="309"/>
      <c r="J48309" s="309"/>
    </row>
    <row r="48310">
      <c r="B48310" s="309"/>
      <c r="C48310" s="309"/>
      <c r="I48310" s="309"/>
      <c r="J48310" s="309"/>
    </row>
    <row r="48311">
      <c r="B48311" s="309"/>
      <c r="C48311" s="309"/>
      <c r="I48311" s="309"/>
      <c r="J48311" s="309"/>
    </row>
    <row r="48312">
      <c r="B48312" s="309"/>
      <c r="C48312" s="309"/>
      <c r="I48312" s="309"/>
      <c r="J48312" s="309"/>
    </row>
    <row r="48313">
      <c r="B48313" s="309"/>
      <c r="C48313" s="309"/>
      <c r="I48313" s="309"/>
      <c r="J48313" s="309"/>
    </row>
    <row r="48314">
      <c r="B48314" s="309"/>
      <c r="C48314" s="309"/>
      <c r="I48314" s="309"/>
      <c r="J48314" s="309"/>
    </row>
    <row r="48315">
      <c r="B48315" s="309"/>
      <c r="C48315" s="309"/>
      <c r="I48315" s="309"/>
      <c r="J48315" s="309"/>
    </row>
    <row r="48316">
      <c r="B48316" s="309"/>
      <c r="C48316" s="309"/>
      <c r="I48316" s="309"/>
      <c r="J48316" s="309"/>
    </row>
    <row r="48317">
      <c r="B48317" s="309"/>
      <c r="C48317" s="309"/>
      <c r="I48317" s="309"/>
      <c r="J48317" s="309"/>
    </row>
    <row r="48318">
      <c r="B48318" s="309"/>
      <c r="C48318" s="309"/>
      <c r="I48318" s="309"/>
      <c r="J48318" s="309"/>
    </row>
    <row r="48319">
      <c r="B48319" s="309"/>
      <c r="C48319" s="309"/>
      <c r="I48319" s="309"/>
      <c r="J48319" s="309"/>
    </row>
    <row r="48320">
      <c r="B48320" s="309"/>
      <c r="C48320" s="309"/>
      <c r="I48320" s="309"/>
      <c r="J48320" s="309"/>
    </row>
    <row r="48321">
      <c r="B48321" s="309"/>
      <c r="C48321" s="309"/>
      <c r="I48321" s="309"/>
      <c r="J48321" s="309"/>
    </row>
    <row r="48322">
      <c r="B48322" s="309"/>
      <c r="C48322" s="309"/>
      <c r="I48322" s="309"/>
      <c r="J48322" s="309"/>
    </row>
    <row r="48323">
      <c r="B48323" s="309"/>
      <c r="C48323" s="309"/>
      <c r="I48323" s="309"/>
      <c r="J48323" s="309"/>
    </row>
    <row r="48324">
      <c r="B48324" s="309"/>
      <c r="C48324" s="309"/>
      <c r="I48324" s="309"/>
      <c r="J48324" s="309"/>
    </row>
    <row r="48325">
      <c r="B48325" s="309"/>
      <c r="C48325" s="309"/>
      <c r="I48325" s="309"/>
      <c r="J48325" s="309"/>
    </row>
    <row r="48326">
      <c r="B48326" s="309"/>
      <c r="C48326" s="309"/>
      <c r="I48326" s="309"/>
      <c r="J48326" s="309"/>
    </row>
    <row r="48327">
      <c r="B48327" s="309"/>
      <c r="C48327" s="309"/>
      <c r="I48327" s="309"/>
      <c r="J48327" s="309"/>
    </row>
    <row r="48328">
      <c r="B48328" s="309"/>
      <c r="C48328" s="309"/>
      <c r="I48328" s="309"/>
      <c r="J48328" s="309"/>
    </row>
    <row r="48329">
      <c r="B48329" s="309"/>
      <c r="C48329" s="309"/>
      <c r="I48329" s="309"/>
      <c r="J48329" s="309"/>
    </row>
    <row r="48330">
      <c r="B48330" s="309"/>
      <c r="C48330" s="309"/>
      <c r="I48330" s="309"/>
      <c r="J48330" s="309"/>
    </row>
    <row r="48331">
      <c r="B48331" s="309"/>
      <c r="C48331" s="309"/>
      <c r="I48331" s="309"/>
      <c r="J48331" s="309"/>
    </row>
    <row r="48332">
      <c r="B48332" s="309"/>
      <c r="C48332" s="309"/>
      <c r="I48332" s="309"/>
      <c r="J48332" s="309"/>
    </row>
    <row r="48333">
      <c r="B48333" s="309"/>
      <c r="C48333" s="309"/>
      <c r="I48333" s="309"/>
      <c r="J48333" s="309"/>
    </row>
    <row r="48334">
      <c r="B48334" s="309"/>
      <c r="C48334" s="309"/>
      <c r="I48334" s="309"/>
      <c r="J48334" s="309"/>
    </row>
    <row r="48335">
      <c r="B48335" s="309"/>
      <c r="C48335" s="309"/>
      <c r="I48335" s="309"/>
      <c r="J48335" s="309"/>
    </row>
    <row r="48336">
      <c r="B48336" s="309"/>
      <c r="C48336" s="309"/>
      <c r="I48336" s="309"/>
      <c r="J48336" s="309"/>
    </row>
    <row r="48337">
      <c r="B48337" s="309"/>
      <c r="C48337" s="309"/>
      <c r="I48337" s="309"/>
      <c r="J48337" s="309"/>
    </row>
    <row r="48338">
      <c r="B48338" s="309"/>
      <c r="C48338" s="309"/>
      <c r="I48338" s="309"/>
      <c r="J48338" s="309"/>
    </row>
    <row r="48339">
      <c r="B48339" s="309"/>
      <c r="C48339" s="309"/>
      <c r="I48339" s="309"/>
      <c r="J48339" s="309"/>
    </row>
    <row r="48340">
      <c r="B48340" s="309"/>
      <c r="C48340" s="309"/>
      <c r="I48340" s="309"/>
      <c r="J48340" s="309"/>
    </row>
    <row r="48341">
      <c r="B48341" s="309"/>
      <c r="C48341" s="309"/>
      <c r="I48341" s="309"/>
      <c r="J48341" s="309"/>
    </row>
    <row r="48342">
      <c r="B48342" s="309"/>
      <c r="C48342" s="309"/>
      <c r="I48342" s="309"/>
      <c r="J48342" s="309"/>
    </row>
    <row r="48343">
      <c r="B48343" s="309"/>
      <c r="C48343" s="309"/>
      <c r="I48343" s="309"/>
      <c r="J48343" s="309"/>
    </row>
    <row r="48344">
      <c r="B48344" s="309"/>
      <c r="C48344" s="309"/>
      <c r="I48344" s="309"/>
      <c r="J48344" s="309"/>
    </row>
    <row r="48345">
      <c r="B48345" s="309"/>
      <c r="C48345" s="309"/>
      <c r="I48345" s="309"/>
      <c r="J48345" s="309"/>
    </row>
    <row r="48346">
      <c r="B48346" s="309"/>
      <c r="C48346" s="309"/>
      <c r="I48346" s="309"/>
      <c r="J48346" s="309"/>
    </row>
    <row r="48347">
      <c r="B48347" s="309"/>
      <c r="C48347" s="309"/>
      <c r="I48347" s="309"/>
      <c r="J48347" s="309"/>
    </row>
    <row r="48348">
      <c r="B48348" s="309"/>
      <c r="C48348" s="309"/>
      <c r="I48348" s="309"/>
      <c r="J48348" s="309"/>
    </row>
    <row r="48349">
      <c r="B48349" s="309"/>
      <c r="C48349" s="309"/>
      <c r="I48349" s="309"/>
      <c r="J48349" s="309"/>
    </row>
    <row r="48350">
      <c r="B48350" s="309"/>
      <c r="C48350" s="309"/>
      <c r="I48350" s="309"/>
      <c r="J48350" s="309"/>
    </row>
    <row r="48351">
      <c r="B48351" s="309"/>
      <c r="C48351" s="309"/>
      <c r="I48351" s="309"/>
      <c r="J48351" s="309"/>
    </row>
    <row r="48352">
      <c r="B48352" s="309"/>
      <c r="C48352" s="309"/>
      <c r="I48352" s="309"/>
      <c r="J48352" s="309"/>
    </row>
    <row r="48353">
      <c r="B48353" s="309"/>
      <c r="C48353" s="309"/>
      <c r="I48353" s="309"/>
      <c r="J48353" s="309"/>
    </row>
    <row r="48354">
      <c r="B48354" s="309"/>
      <c r="C48354" s="309"/>
      <c r="I48354" s="309"/>
      <c r="J48354" s="309"/>
    </row>
    <row r="48355">
      <c r="B48355" s="309"/>
      <c r="C48355" s="309"/>
      <c r="I48355" s="309"/>
      <c r="J48355" s="309"/>
    </row>
    <row r="48356">
      <c r="B48356" s="309"/>
      <c r="C48356" s="309"/>
      <c r="I48356" s="309"/>
      <c r="J48356" s="309"/>
    </row>
    <row r="48357">
      <c r="B48357" s="309"/>
      <c r="C48357" s="309"/>
      <c r="I48357" s="309"/>
      <c r="J48357" s="309"/>
    </row>
    <row r="48358">
      <c r="B48358" s="309"/>
      <c r="C48358" s="309"/>
      <c r="I48358" s="309"/>
      <c r="J48358" s="309"/>
    </row>
    <row r="48359">
      <c r="B48359" s="309"/>
      <c r="C48359" s="309"/>
      <c r="I48359" s="309"/>
      <c r="J48359" s="309"/>
    </row>
    <row r="48360">
      <c r="B48360" s="309"/>
      <c r="C48360" s="309"/>
      <c r="I48360" s="309"/>
      <c r="J48360" s="309"/>
    </row>
    <row r="48361">
      <c r="B48361" s="309"/>
      <c r="C48361" s="309"/>
      <c r="I48361" s="309"/>
      <c r="J48361" s="309"/>
    </row>
    <row r="48362">
      <c r="B48362" s="309"/>
      <c r="C48362" s="309"/>
      <c r="I48362" s="309"/>
      <c r="J48362" s="309"/>
    </row>
    <row r="48363">
      <c r="B48363" s="309"/>
      <c r="C48363" s="309"/>
      <c r="I48363" s="309"/>
      <c r="J48363" s="309"/>
    </row>
    <row r="48364">
      <c r="B48364" s="309"/>
      <c r="C48364" s="309"/>
      <c r="I48364" s="309"/>
      <c r="J48364" s="309"/>
    </row>
    <row r="48365">
      <c r="B48365" s="309"/>
      <c r="C48365" s="309"/>
      <c r="I48365" s="309"/>
      <c r="J48365" s="309"/>
    </row>
    <row r="48366">
      <c r="B48366" s="309"/>
      <c r="C48366" s="309"/>
      <c r="I48366" s="309"/>
      <c r="J48366" s="309"/>
    </row>
    <row r="48367">
      <c r="B48367" s="309"/>
      <c r="C48367" s="309"/>
      <c r="I48367" s="309"/>
      <c r="J48367" s="309"/>
    </row>
    <row r="48368">
      <c r="B48368" s="309"/>
      <c r="C48368" s="309"/>
      <c r="I48368" s="309"/>
      <c r="J48368" s="309"/>
    </row>
    <row r="48369">
      <c r="B48369" s="309"/>
      <c r="C48369" s="309"/>
      <c r="I48369" s="309"/>
      <c r="J48369" s="309"/>
    </row>
    <row r="48370">
      <c r="B48370" s="309"/>
      <c r="C48370" s="309"/>
      <c r="I48370" s="309"/>
      <c r="J48370" s="309"/>
    </row>
    <row r="48371">
      <c r="B48371" s="309"/>
      <c r="C48371" s="309"/>
      <c r="I48371" s="309"/>
      <c r="J48371" s="309"/>
    </row>
    <row r="48372">
      <c r="B48372" s="309"/>
      <c r="C48372" s="309"/>
      <c r="I48372" s="309"/>
      <c r="J48372" s="309"/>
    </row>
    <row r="48373">
      <c r="B48373" s="309"/>
      <c r="C48373" s="309"/>
      <c r="I48373" s="309"/>
      <c r="J48373" s="309"/>
    </row>
    <row r="48374">
      <c r="B48374" s="309"/>
      <c r="C48374" s="309"/>
      <c r="I48374" s="309"/>
      <c r="J48374" s="309"/>
    </row>
    <row r="48375">
      <c r="B48375" s="309"/>
      <c r="C48375" s="309"/>
      <c r="I48375" s="309"/>
      <c r="J48375" s="309"/>
    </row>
    <row r="48376">
      <c r="B48376" s="309"/>
      <c r="C48376" s="309"/>
      <c r="I48376" s="309"/>
      <c r="J48376" s="309"/>
    </row>
    <row r="48377">
      <c r="B48377" s="309"/>
      <c r="C48377" s="309"/>
      <c r="I48377" s="309"/>
      <c r="J48377" s="309"/>
    </row>
    <row r="48378">
      <c r="B48378" s="309"/>
      <c r="C48378" s="309"/>
      <c r="I48378" s="309"/>
      <c r="J48378" s="309"/>
    </row>
    <row r="48379">
      <c r="B48379" s="309"/>
      <c r="C48379" s="309"/>
      <c r="I48379" s="309"/>
      <c r="J48379" s="309"/>
    </row>
    <row r="48380">
      <c r="B48380" s="309"/>
      <c r="C48380" s="309"/>
      <c r="I48380" s="309"/>
      <c r="J48380" s="309"/>
    </row>
    <row r="48381">
      <c r="B48381" s="309"/>
      <c r="C48381" s="309"/>
      <c r="I48381" s="309"/>
      <c r="J48381" s="309"/>
    </row>
    <row r="48382">
      <c r="B48382" s="309"/>
      <c r="C48382" s="309"/>
      <c r="I48382" s="309"/>
      <c r="J48382" s="309"/>
    </row>
    <row r="48383">
      <c r="B48383" s="309"/>
      <c r="C48383" s="309"/>
      <c r="I48383" s="309"/>
      <c r="J48383" s="309"/>
    </row>
    <row r="48384">
      <c r="B48384" s="309"/>
      <c r="C48384" s="309"/>
      <c r="I48384" s="309"/>
      <c r="J48384" s="309"/>
    </row>
    <row r="48385">
      <c r="B48385" s="309"/>
      <c r="C48385" s="309"/>
      <c r="I48385" s="309"/>
      <c r="J48385" s="309"/>
    </row>
    <row r="48386">
      <c r="B48386" s="309"/>
      <c r="C48386" s="309"/>
      <c r="I48386" s="309"/>
      <c r="J48386" s="309"/>
    </row>
    <row r="48387">
      <c r="B48387" s="309"/>
      <c r="C48387" s="309"/>
      <c r="I48387" s="309"/>
      <c r="J48387" s="309"/>
    </row>
    <row r="48388">
      <c r="B48388" s="309"/>
      <c r="C48388" s="309"/>
      <c r="I48388" s="309"/>
      <c r="J48388" s="309"/>
    </row>
    <row r="48389">
      <c r="B48389" s="309"/>
      <c r="C48389" s="309"/>
      <c r="I48389" s="309"/>
      <c r="J48389" s="309"/>
    </row>
    <row r="48390">
      <c r="B48390" s="309"/>
      <c r="C48390" s="309"/>
      <c r="I48390" s="309"/>
      <c r="J48390" s="309"/>
    </row>
    <row r="48391">
      <c r="B48391" s="309"/>
      <c r="C48391" s="309"/>
      <c r="I48391" s="309"/>
      <c r="J48391" s="309"/>
    </row>
    <row r="48392">
      <c r="B48392" s="309"/>
      <c r="C48392" s="309"/>
      <c r="I48392" s="309"/>
      <c r="J48392" s="309"/>
    </row>
    <row r="48393">
      <c r="B48393" s="309"/>
      <c r="C48393" s="309"/>
      <c r="I48393" s="309"/>
      <c r="J48393" s="309"/>
    </row>
    <row r="48394">
      <c r="B48394" s="309"/>
      <c r="C48394" s="309"/>
      <c r="I48394" s="309"/>
      <c r="J48394" s="309"/>
    </row>
    <row r="48395">
      <c r="B48395" s="309"/>
      <c r="C48395" s="309"/>
      <c r="I48395" s="309"/>
      <c r="J48395" s="309"/>
    </row>
    <row r="48396">
      <c r="B48396" s="309"/>
      <c r="C48396" s="309"/>
      <c r="I48396" s="309"/>
      <c r="J48396" s="309"/>
    </row>
    <row r="48397">
      <c r="B48397" s="309"/>
      <c r="C48397" s="309"/>
      <c r="I48397" s="309"/>
      <c r="J48397" s="309"/>
    </row>
    <row r="48398">
      <c r="B48398" s="309"/>
      <c r="C48398" s="309"/>
      <c r="I48398" s="309"/>
      <c r="J48398" s="309"/>
    </row>
    <row r="48399">
      <c r="B48399" s="309"/>
      <c r="C48399" s="309"/>
      <c r="I48399" s="309"/>
      <c r="J48399" s="309"/>
    </row>
    <row r="48400">
      <c r="B48400" s="309"/>
      <c r="C48400" s="309"/>
      <c r="I48400" s="309"/>
      <c r="J48400" s="309"/>
    </row>
    <row r="48401">
      <c r="B48401" s="309"/>
      <c r="C48401" s="309"/>
      <c r="I48401" s="309"/>
      <c r="J48401" s="309"/>
    </row>
    <row r="48402">
      <c r="B48402" s="309"/>
      <c r="C48402" s="309"/>
      <c r="I48402" s="309"/>
      <c r="J48402" s="309"/>
    </row>
    <row r="48403">
      <c r="B48403" s="309"/>
      <c r="C48403" s="309"/>
      <c r="I48403" s="309"/>
      <c r="J48403" s="309"/>
    </row>
    <row r="48404">
      <c r="B48404" s="309"/>
      <c r="C48404" s="309"/>
      <c r="I48404" s="309"/>
      <c r="J48404" s="309"/>
    </row>
    <row r="48405">
      <c r="B48405" s="309"/>
      <c r="C48405" s="309"/>
      <c r="I48405" s="309"/>
      <c r="J48405" s="309"/>
    </row>
    <row r="48406">
      <c r="B48406" s="309"/>
      <c r="C48406" s="309"/>
      <c r="I48406" s="309"/>
      <c r="J48406" s="309"/>
    </row>
    <row r="48407">
      <c r="B48407" s="309"/>
      <c r="C48407" s="309"/>
      <c r="I48407" s="309"/>
      <c r="J48407" s="309"/>
    </row>
    <row r="48408">
      <c r="B48408" s="309"/>
      <c r="C48408" s="309"/>
      <c r="I48408" s="309"/>
      <c r="J48408" s="309"/>
    </row>
    <row r="48409">
      <c r="B48409" s="309"/>
      <c r="C48409" s="309"/>
      <c r="I48409" s="309"/>
      <c r="J48409" s="309"/>
    </row>
    <row r="48410">
      <c r="B48410" s="309"/>
      <c r="C48410" s="309"/>
      <c r="I48410" s="309"/>
      <c r="J48410" s="309"/>
    </row>
    <row r="48411">
      <c r="B48411" s="309"/>
      <c r="C48411" s="309"/>
      <c r="I48411" s="309"/>
      <c r="J48411" s="309"/>
    </row>
    <row r="48412">
      <c r="B48412" s="309"/>
      <c r="C48412" s="309"/>
      <c r="I48412" s="309"/>
      <c r="J48412" s="309"/>
    </row>
    <row r="48413">
      <c r="B48413" s="309"/>
      <c r="C48413" s="309"/>
      <c r="I48413" s="309"/>
      <c r="J48413" s="309"/>
    </row>
    <row r="48414">
      <c r="B48414" s="309"/>
      <c r="C48414" s="309"/>
      <c r="I48414" s="309"/>
      <c r="J48414" s="309"/>
    </row>
    <row r="48415">
      <c r="B48415" s="309"/>
      <c r="C48415" s="309"/>
      <c r="I48415" s="309"/>
      <c r="J48415" s="309"/>
    </row>
    <row r="48416">
      <c r="B48416" s="309"/>
      <c r="C48416" s="309"/>
      <c r="I48416" s="309"/>
      <c r="J48416" s="309"/>
    </row>
    <row r="48417">
      <c r="B48417" s="309"/>
      <c r="C48417" s="309"/>
      <c r="I48417" s="309"/>
      <c r="J48417" s="309"/>
    </row>
    <row r="48418">
      <c r="B48418" s="309"/>
      <c r="C48418" s="309"/>
      <c r="I48418" s="309"/>
      <c r="J48418" s="309"/>
    </row>
    <row r="48419">
      <c r="B48419" s="309"/>
      <c r="C48419" s="309"/>
      <c r="I48419" s="309"/>
      <c r="J48419" s="309"/>
    </row>
    <row r="48420">
      <c r="B48420" s="309"/>
      <c r="C48420" s="309"/>
      <c r="I48420" s="309"/>
      <c r="J48420" s="309"/>
    </row>
    <row r="48421">
      <c r="B48421" s="309"/>
      <c r="C48421" s="309"/>
      <c r="I48421" s="309"/>
      <c r="J48421" s="309"/>
    </row>
    <row r="48422">
      <c r="B48422" s="309"/>
      <c r="C48422" s="309"/>
      <c r="I48422" s="309"/>
      <c r="J48422" s="309"/>
    </row>
    <row r="48423">
      <c r="B48423" s="309"/>
      <c r="C48423" s="309"/>
      <c r="I48423" s="309"/>
      <c r="J48423" s="309"/>
    </row>
    <row r="48424">
      <c r="B48424" s="309"/>
      <c r="C48424" s="309"/>
      <c r="I48424" s="309"/>
      <c r="J48424" s="309"/>
    </row>
    <row r="48425">
      <c r="B48425" s="309"/>
      <c r="C48425" s="309"/>
      <c r="I48425" s="309"/>
      <c r="J48425" s="309"/>
    </row>
    <row r="48426">
      <c r="B48426" s="309"/>
      <c r="C48426" s="309"/>
      <c r="I48426" s="309"/>
      <c r="J48426" s="309"/>
    </row>
    <row r="48427">
      <c r="B48427" s="309"/>
      <c r="C48427" s="309"/>
      <c r="I48427" s="309"/>
      <c r="J48427" s="309"/>
    </row>
    <row r="48428">
      <c r="B48428" s="309"/>
      <c r="C48428" s="309"/>
      <c r="I48428" s="309"/>
      <c r="J48428" s="309"/>
    </row>
    <row r="48429">
      <c r="B48429" s="309"/>
      <c r="C48429" s="309"/>
      <c r="I48429" s="309"/>
      <c r="J48429" s="309"/>
    </row>
    <row r="48430">
      <c r="B48430" s="309"/>
      <c r="C48430" s="309"/>
      <c r="I48430" s="309"/>
      <c r="J48430" s="309"/>
    </row>
    <row r="48431">
      <c r="B48431" s="309"/>
      <c r="C48431" s="309"/>
      <c r="I48431" s="309"/>
      <c r="J48431" s="309"/>
    </row>
    <row r="48432">
      <c r="B48432" s="309"/>
      <c r="C48432" s="309"/>
      <c r="I48432" s="309"/>
      <c r="J48432" s="309"/>
    </row>
    <row r="48433">
      <c r="B48433" s="309"/>
      <c r="C48433" s="309"/>
      <c r="I48433" s="309"/>
      <c r="J48433" s="309"/>
    </row>
    <row r="48434">
      <c r="B48434" s="309"/>
      <c r="C48434" s="309"/>
      <c r="I48434" s="309"/>
      <c r="J48434" s="309"/>
    </row>
    <row r="48435">
      <c r="B48435" s="309"/>
      <c r="C48435" s="309"/>
      <c r="I48435" s="309"/>
      <c r="J48435" s="309"/>
    </row>
    <row r="48436">
      <c r="B48436" s="309"/>
      <c r="C48436" s="309"/>
      <c r="I48436" s="309"/>
      <c r="J48436" s="309"/>
    </row>
    <row r="48437">
      <c r="B48437" s="309"/>
      <c r="C48437" s="309"/>
      <c r="I48437" s="309"/>
      <c r="J48437" s="309"/>
    </row>
    <row r="48438">
      <c r="B48438" s="309"/>
      <c r="C48438" s="309"/>
      <c r="I48438" s="309"/>
      <c r="J48438" s="309"/>
    </row>
    <row r="48439">
      <c r="B48439" s="309"/>
      <c r="C48439" s="309"/>
      <c r="I48439" s="309"/>
      <c r="J48439" s="309"/>
    </row>
    <row r="48440">
      <c r="B48440" s="309"/>
      <c r="C48440" s="309"/>
      <c r="I48440" s="309"/>
      <c r="J48440" s="309"/>
    </row>
    <row r="48441">
      <c r="B48441" s="309"/>
      <c r="C48441" s="309"/>
      <c r="I48441" s="309"/>
      <c r="J48441" s="309"/>
    </row>
    <row r="48442">
      <c r="B48442" s="309"/>
      <c r="C48442" s="309"/>
      <c r="I48442" s="309"/>
      <c r="J48442" s="309"/>
    </row>
    <row r="48443">
      <c r="B48443" s="309"/>
      <c r="C48443" s="309"/>
      <c r="I48443" s="309"/>
      <c r="J48443" s="309"/>
    </row>
    <row r="48444">
      <c r="B48444" s="309"/>
      <c r="C48444" s="309"/>
      <c r="I48444" s="309"/>
      <c r="J48444" s="309"/>
    </row>
    <row r="48445">
      <c r="B48445" s="309"/>
      <c r="C48445" s="309"/>
      <c r="I48445" s="309"/>
      <c r="J48445" s="309"/>
    </row>
    <row r="48446">
      <c r="B48446" s="309"/>
      <c r="C48446" s="309"/>
      <c r="I48446" s="309"/>
      <c r="J48446" s="309"/>
    </row>
    <row r="48447">
      <c r="B48447" s="309"/>
      <c r="C48447" s="309"/>
      <c r="I48447" s="309"/>
      <c r="J48447" s="309"/>
    </row>
    <row r="48448">
      <c r="B48448" s="309"/>
      <c r="C48448" s="309"/>
      <c r="I48448" s="309"/>
      <c r="J48448" s="309"/>
    </row>
    <row r="48449">
      <c r="B48449" s="309"/>
      <c r="C48449" s="309"/>
      <c r="I48449" s="309"/>
      <c r="J48449" s="309"/>
    </row>
    <row r="48450">
      <c r="B48450" s="309"/>
      <c r="C48450" s="309"/>
      <c r="I48450" s="309"/>
      <c r="J48450" s="309"/>
    </row>
    <row r="48451">
      <c r="B48451" s="309"/>
      <c r="C48451" s="309"/>
      <c r="I48451" s="309"/>
      <c r="J48451" s="309"/>
    </row>
    <row r="48452">
      <c r="B48452" s="309"/>
      <c r="C48452" s="309"/>
      <c r="I48452" s="309"/>
      <c r="J48452" s="309"/>
    </row>
    <row r="48453">
      <c r="B48453" s="309"/>
      <c r="C48453" s="309"/>
      <c r="I48453" s="309"/>
      <c r="J48453" s="309"/>
    </row>
    <row r="48454">
      <c r="B48454" s="309"/>
      <c r="C48454" s="309"/>
      <c r="I48454" s="309"/>
      <c r="J48454" s="309"/>
    </row>
    <row r="48455">
      <c r="B48455" s="309"/>
      <c r="C48455" s="309"/>
      <c r="I48455" s="309"/>
      <c r="J48455" s="309"/>
    </row>
    <row r="48456">
      <c r="B48456" s="309"/>
      <c r="C48456" s="309"/>
      <c r="I48456" s="309"/>
      <c r="J48456" s="309"/>
    </row>
    <row r="48457">
      <c r="B48457" s="309"/>
      <c r="C48457" s="309"/>
      <c r="I48457" s="309"/>
      <c r="J48457" s="309"/>
    </row>
    <row r="48458">
      <c r="B48458" s="309"/>
      <c r="C48458" s="309"/>
      <c r="I48458" s="309"/>
      <c r="J48458" s="309"/>
    </row>
    <row r="48459">
      <c r="B48459" s="309"/>
      <c r="C48459" s="309"/>
      <c r="I48459" s="309"/>
      <c r="J48459" s="309"/>
    </row>
    <row r="48460">
      <c r="B48460" s="309"/>
      <c r="C48460" s="309"/>
      <c r="I48460" s="309"/>
      <c r="J48460" s="309"/>
    </row>
    <row r="48461">
      <c r="B48461" s="309"/>
      <c r="C48461" s="309"/>
      <c r="I48461" s="309"/>
      <c r="J48461" s="309"/>
    </row>
    <row r="48462">
      <c r="B48462" s="309"/>
      <c r="C48462" s="309"/>
      <c r="I48462" s="309"/>
      <c r="J48462" s="309"/>
    </row>
    <row r="48463">
      <c r="B48463" s="309"/>
      <c r="C48463" s="309"/>
      <c r="I48463" s="309"/>
      <c r="J48463" s="309"/>
    </row>
    <row r="48464">
      <c r="B48464" s="309"/>
      <c r="C48464" s="309"/>
      <c r="I48464" s="309"/>
      <c r="J48464" s="309"/>
    </row>
    <row r="48465">
      <c r="B48465" s="309"/>
      <c r="C48465" s="309"/>
      <c r="I48465" s="309"/>
      <c r="J48465" s="309"/>
    </row>
    <row r="48466">
      <c r="B48466" s="309"/>
      <c r="C48466" s="309"/>
      <c r="I48466" s="309"/>
      <c r="J48466" s="309"/>
    </row>
    <row r="48467">
      <c r="B48467" s="309"/>
      <c r="C48467" s="309"/>
      <c r="I48467" s="309"/>
      <c r="J48467" s="309"/>
    </row>
    <row r="48468">
      <c r="B48468" s="309"/>
      <c r="C48468" s="309"/>
      <c r="I48468" s="309"/>
      <c r="J48468" s="309"/>
    </row>
    <row r="48469">
      <c r="B48469" s="309"/>
      <c r="C48469" s="309"/>
      <c r="I48469" s="309"/>
      <c r="J48469" s="309"/>
    </row>
    <row r="48470">
      <c r="B48470" s="309"/>
      <c r="C48470" s="309"/>
      <c r="I48470" s="309"/>
      <c r="J48470" s="309"/>
    </row>
    <row r="48471">
      <c r="B48471" s="309"/>
      <c r="C48471" s="309"/>
      <c r="I48471" s="309"/>
      <c r="J48471" s="309"/>
    </row>
    <row r="48472">
      <c r="B48472" s="309"/>
      <c r="C48472" s="309"/>
      <c r="I48472" s="309"/>
      <c r="J48472" s="309"/>
    </row>
    <row r="48473">
      <c r="B48473" s="309"/>
      <c r="C48473" s="309"/>
      <c r="I48473" s="309"/>
      <c r="J48473" s="309"/>
    </row>
    <row r="48474">
      <c r="B48474" s="309"/>
      <c r="C48474" s="309"/>
      <c r="I48474" s="309"/>
      <c r="J48474" s="309"/>
    </row>
    <row r="48475">
      <c r="B48475" s="309"/>
      <c r="C48475" s="309"/>
      <c r="I48475" s="309"/>
      <c r="J48475" s="309"/>
    </row>
    <row r="48476">
      <c r="B48476" s="309"/>
      <c r="C48476" s="309"/>
      <c r="I48476" s="309"/>
      <c r="J48476" s="309"/>
    </row>
    <row r="48477">
      <c r="B48477" s="309"/>
      <c r="C48477" s="309"/>
      <c r="I48477" s="309"/>
      <c r="J48477" s="309"/>
    </row>
    <row r="48478">
      <c r="B48478" s="309"/>
      <c r="C48478" s="309"/>
      <c r="I48478" s="309"/>
      <c r="J48478" s="309"/>
    </row>
    <row r="48479">
      <c r="B48479" s="309"/>
      <c r="C48479" s="309"/>
      <c r="I48479" s="309"/>
      <c r="J48479" s="309"/>
    </row>
    <row r="48480">
      <c r="B48480" s="309"/>
      <c r="C48480" s="309"/>
      <c r="I48480" s="309"/>
      <c r="J48480" s="309"/>
    </row>
    <row r="48481">
      <c r="B48481" s="309"/>
      <c r="C48481" s="309"/>
      <c r="I48481" s="309"/>
      <c r="J48481" s="309"/>
    </row>
    <row r="48482">
      <c r="B48482" s="309"/>
      <c r="C48482" s="309"/>
      <c r="I48482" s="309"/>
      <c r="J48482" s="309"/>
    </row>
    <row r="48483">
      <c r="B48483" s="309"/>
      <c r="C48483" s="309"/>
      <c r="I48483" s="309"/>
      <c r="J48483" s="309"/>
    </row>
    <row r="48484">
      <c r="B48484" s="309"/>
      <c r="C48484" s="309"/>
      <c r="I48484" s="309"/>
      <c r="J48484" s="309"/>
    </row>
    <row r="48485">
      <c r="B48485" s="309"/>
      <c r="C48485" s="309"/>
      <c r="I48485" s="309"/>
      <c r="J48485" s="309"/>
    </row>
    <row r="48486">
      <c r="B48486" s="309"/>
      <c r="C48486" s="309"/>
      <c r="I48486" s="309"/>
      <c r="J48486" s="309"/>
    </row>
    <row r="48487">
      <c r="B48487" s="309"/>
      <c r="C48487" s="309"/>
      <c r="I48487" s="309"/>
      <c r="J48487" s="309"/>
    </row>
    <row r="48488">
      <c r="B48488" s="309"/>
      <c r="C48488" s="309"/>
      <c r="I48488" s="309"/>
      <c r="J48488" s="309"/>
    </row>
    <row r="48489">
      <c r="B48489" s="309"/>
      <c r="C48489" s="309"/>
      <c r="I48489" s="309"/>
      <c r="J48489" s="309"/>
    </row>
    <row r="48490">
      <c r="B48490" s="309"/>
      <c r="C48490" s="309"/>
      <c r="I48490" s="309"/>
      <c r="J48490" s="309"/>
    </row>
    <row r="48491">
      <c r="B48491" s="309"/>
      <c r="C48491" s="309"/>
      <c r="I48491" s="309"/>
      <c r="J48491" s="309"/>
    </row>
    <row r="48492">
      <c r="B48492" s="309"/>
      <c r="C48492" s="309"/>
      <c r="I48492" s="309"/>
      <c r="J48492" s="309"/>
    </row>
    <row r="48493">
      <c r="B48493" s="309"/>
      <c r="C48493" s="309"/>
      <c r="I48493" s="309"/>
      <c r="J48493" s="309"/>
    </row>
    <row r="48494">
      <c r="B48494" s="309"/>
      <c r="C48494" s="309"/>
      <c r="I48494" s="309"/>
      <c r="J48494" s="309"/>
    </row>
    <row r="48495">
      <c r="B48495" s="309"/>
      <c r="C48495" s="309"/>
      <c r="I48495" s="309"/>
      <c r="J48495" s="309"/>
    </row>
    <row r="48496">
      <c r="B48496" s="309"/>
      <c r="C48496" s="309"/>
      <c r="I48496" s="309"/>
      <c r="J48496" s="309"/>
    </row>
    <row r="48497">
      <c r="B48497" s="309"/>
      <c r="C48497" s="309"/>
      <c r="I48497" s="309"/>
      <c r="J48497" s="309"/>
    </row>
    <row r="48498">
      <c r="B48498" s="309"/>
      <c r="C48498" s="309"/>
      <c r="I48498" s="309"/>
      <c r="J48498" s="309"/>
    </row>
    <row r="48499">
      <c r="B48499" s="309"/>
      <c r="C48499" s="309"/>
      <c r="I48499" s="309"/>
      <c r="J48499" s="309"/>
    </row>
    <row r="48500">
      <c r="B48500" s="309"/>
      <c r="C48500" s="309"/>
      <c r="I48500" s="309"/>
      <c r="J48500" s="309"/>
    </row>
    <row r="48501">
      <c r="B48501" s="309"/>
      <c r="C48501" s="309"/>
      <c r="I48501" s="309"/>
      <c r="J48501" s="309"/>
    </row>
    <row r="48502">
      <c r="B48502" s="309"/>
      <c r="C48502" s="309"/>
      <c r="I48502" s="309"/>
      <c r="J48502" s="309"/>
    </row>
    <row r="48503">
      <c r="B48503" s="309"/>
      <c r="C48503" s="309"/>
      <c r="I48503" s="309"/>
      <c r="J48503" s="309"/>
    </row>
    <row r="48504">
      <c r="B48504" s="309"/>
      <c r="C48504" s="309"/>
      <c r="I48504" s="309"/>
      <c r="J48504" s="309"/>
    </row>
    <row r="48505">
      <c r="B48505" s="309"/>
      <c r="C48505" s="309"/>
      <c r="I48505" s="309"/>
      <c r="J48505" s="309"/>
    </row>
    <row r="48506">
      <c r="B48506" s="309"/>
      <c r="C48506" s="309"/>
      <c r="I48506" s="309"/>
      <c r="J48506" s="309"/>
    </row>
    <row r="48507">
      <c r="B48507" s="309"/>
      <c r="C48507" s="309"/>
      <c r="I48507" s="309"/>
      <c r="J48507" s="309"/>
    </row>
    <row r="48508">
      <c r="B48508" s="309"/>
      <c r="C48508" s="309"/>
      <c r="I48508" s="309"/>
      <c r="J48508" s="309"/>
    </row>
    <row r="48509">
      <c r="B48509" s="309"/>
      <c r="C48509" s="309"/>
      <c r="I48509" s="309"/>
      <c r="J48509" s="309"/>
    </row>
    <row r="48510">
      <c r="B48510" s="309"/>
      <c r="C48510" s="309"/>
      <c r="I48510" s="309"/>
      <c r="J48510" s="309"/>
    </row>
    <row r="48511">
      <c r="B48511" s="309"/>
      <c r="C48511" s="309"/>
      <c r="I48511" s="309"/>
      <c r="J48511" s="309"/>
    </row>
    <row r="48512">
      <c r="B48512" s="309"/>
      <c r="C48512" s="309"/>
      <c r="I48512" s="309"/>
      <c r="J48512" s="309"/>
    </row>
    <row r="48513">
      <c r="B48513" s="309"/>
      <c r="C48513" s="309"/>
      <c r="I48513" s="309"/>
      <c r="J48513" s="309"/>
    </row>
    <row r="48514">
      <c r="B48514" s="309"/>
      <c r="C48514" s="309"/>
      <c r="I48514" s="309"/>
      <c r="J48514" s="309"/>
    </row>
    <row r="48515">
      <c r="B48515" s="309"/>
      <c r="C48515" s="309"/>
      <c r="I48515" s="309"/>
      <c r="J48515" s="309"/>
    </row>
    <row r="48516">
      <c r="B48516" s="309"/>
      <c r="C48516" s="309"/>
      <c r="I48516" s="309"/>
      <c r="J48516" s="309"/>
    </row>
    <row r="48517">
      <c r="B48517" s="309"/>
      <c r="C48517" s="309"/>
      <c r="I48517" s="309"/>
      <c r="J48517" s="309"/>
    </row>
    <row r="48518">
      <c r="B48518" s="309"/>
      <c r="C48518" s="309"/>
      <c r="I48518" s="309"/>
      <c r="J48518" s="309"/>
    </row>
    <row r="48519">
      <c r="B48519" s="309"/>
      <c r="C48519" s="309"/>
      <c r="I48519" s="309"/>
      <c r="J48519" s="309"/>
    </row>
    <row r="48520">
      <c r="B48520" s="309"/>
      <c r="C48520" s="309"/>
      <c r="I48520" s="309"/>
      <c r="J48520" s="309"/>
    </row>
    <row r="48521">
      <c r="B48521" s="309"/>
      <c r="C48521" s="309"/>
      <c r="I48521" s="309"/>
      <c r="J48521" s="309"/>
    </row>
    <row r="48522">
      <c r="B48522" s="309"/>
      <c r="C48522" s="309"/>
      <c r="I48522" s="309"/>
      <c r="J48522" s="309"/>
    </row>
    <row r="48523">
      <c r="B48523" s="309"/>
      <c r="C48523" s="309"/>
      <c r="I48523" s="309"/>
      <c r="J48523" s="309"/>
    </row>
    <row r="48524">
      <c r="B48524" s="309"/>
      <c r="C48524" s="309"/>
      <c r="I48524" s="309"/>
      <c r="J48524" s="309"/>
    </row>
    <row r="48525">
      <c r="B48525" s="309"/>
      <c r="C48525" s="309"/>
      <c r="I48525" s="309"/>
      <c r="J48525" s="309"/>
    </row>
    <row r="48526">
      <c r="B48526" s="309"/>
      <c r="C48526" s="309"/>
      <c r="I48526" s="309"/>
      <c r="J48526" s="309"/>
    </row>
    <row r="48527">
      <c r="B48527" s="309"/>
      <c r="C48527" s="309"/>
      <c r="I48527" s="309"/>
      <c r="J48527" s="309"/>
    </row>
    <row r="48528">
      <c r="B48528" s="309"/>
      <c r="C48528" s="309"/>
      <c r="I48528" s="309"/>
      <c r="J48528" s="309"/>
    </row>
    <row r="48529">
      <c r="B48529" s="309"/>
      <c r="C48529" s="309"/>
      <c r="I48529" s="309"/>
      <c r="J48529" s="309"/>
    </row>
    <row r="48530">
      <c r="B48530" s="309"/>
      <c r="C48530" s="309"/>
      <c r="I48530" s="309"/>
      <c r="J48530" s="309"/>
    </row>
    <row r="48531">
      <c r="B48531" s="309"/>
      <c r="C48531" s="309"/>
      <c r="I48531" s="309"/>
      <c r="J48531" s="309"/>
    </row>
    <row r="48532">
      <c r="B48532" s="309"/>
      <c r="C48532" s="309"/>
      <c r="I48532" s="309"/>
      <c r="J48532" s="309"/>
    </row>
    <row r="48533">
      <c r="B48533" s="309"/>
      <c r="C48533" s="309"/>
      <c r="I48533" s="309"/>
      <c r="J48533" s="309"/>
    </row>
    <row r="48534">
      <c r="B48534" s="309"/>
      <c r="C48534" s="309"/>
      <c r="I48534" s="309"/>
      <c r="J48534" s="309"/>
    </row>
    <row r="48535">
      <c r="B48535" s="309"/>
      <c r="C48535" s="309"/>
      <c r="I48535" s="309"/>
      <c r="J48535" s="309"/>
    </row>
    <row r="48536">
      <c r="B48536" s="309"/>
      <c r="C48536" s="309"/>
      <c r="I48536" s="309"/>
      <c r="J48536" s="309"/>
    </row>
    <row r="48537">
      <c r="B48537" s="309"/>
      <c r="C48537" s="309"/>
      <c r="I48537" s="309"/>
      <c r="J48537" s="309"/>
    </row>
    <row r="48538">
      <c r="B48538" s="309"/>
      <c r="C48538" s="309"/>
      <c r="I48538" s="309"/>
      <c r="J48538" s="309"/>
    </row>
    <row r="48539">
      <c r="B48539" s="309"/>
      <c r="C48539" s="309"/>
      <c r="I48539" s="309"/>
      <c r="J48539" s="309"/>
    </row>
    <row r="48540">
      <c r="B48540" s="309"/>
      <c r="C48540" s="309"/>
      <c r="I48540" s="309"/>
      <c r="J48540" s="309"/>
    </row>
    <row r="48541">
      <c r="B48541" s="309"/>
      <c r="C48541" s="309"/>
      <c r="I48541" s="309"/>
      <c r="J48541" s="309"/>
    </row>
    <row r="48542">
      <c r="B48542" s="309"/>
      <c r="C48542" s="309"/>
      <c r="I48542" s="309"/>
      <c r="J48542" s="309"/>
    </row>
    <row r="48543">
      <c r="B48543" s="309"/>
      <c r="C48543" s="309"/>
      <c r="I48543" s="309"/>
      <c r="J48543" s="309"/>
    </row>
    <row r="48544">
      <c r="B48544" s="309"/>
      <c r="C48544" s="309"/>
      <c r="I48544" s="309"/>
      <c r="J48544" s="309"/>
    </row>
    <row r="48545">
      <c r="B48545" s="309"/>
      <c r="C48545" s="309"/>
      <c r="I48545" s="309"/>
      <c r="J48545" s="309"/>
    </row>
    <row r="48546">
      <c r="B48546" s="309"/>
      <c r="C48546" s="309"/>
      <c r="I48546" s="309"/>
      <c r="J48546" s="309"/>
    </row>
    <row r="48547">
      <c r="B48547" s="309"/>
      <c r="C48547" s="309"/>
      <c r="I48547" s="309"/>
      <c r="J48547" s="309"/>
    </row>
    <row r="48548">
      <c r="B48548" s="309"/>
      <c r="C48548" s="309"/>
      <c r="I48548" s="309"/>
      <c r="J48548" s="309"/>
    </row>
    <row r="48549">
      <c r="B48549" s="309"/>
      <c r="C48549" s="309"/>
      <c r="I48549" s="309"/>
      <c r="J48549" s="309"/>
    </row>
    <row r="48550">
      <c r="B48550" s="309"/>
      <c r="C48550" s="309"/>
      <c r="I48550" s="309"/>
      <c r="J48550" s="309"/>
    </row>
    <row r="48551">
      <c r="B48551" s="309"/>
      <c r="C48551" s="309"/>
      <c r="I48551" s="309"/>
      <c r="J48551" s="309"/>
    </row>
    <row r="48552">
      <c r="B48552" s="309"/>
      <c r="C48552" s="309"/>
      <c r="I48552" s="309"/>
      <c r="J48552" s="309"/>
    </row>
    <row r="48553">
      <c r="B48553" s="309"/>
      <c r="C48553" s="309"/>
      <c r="I48553" s="309"/>
      <c r="J48553" s="309"/>
    </row>
    <row r="48554">
      <c r="B48554" s="309"/>
      <c r="C48554" s="309"/>
      <c r="I48554" s="309"/>
      <c r="J48554" s="309"/>
    </row>
    <row r="48555">
      <c r="B48555" s="309"/>
      <c r="C48555" s="309"/>
      <c r="I48555" s="309"/>
      <c r="J48555" s="309"/>
    </row>
    <row r="48556">
      <c r="B48556" s="309"/>
      <c r="C48556" s="309"/>
      <c r="I48556" s="309"/>
      <c r="J48556" s="309"/>
    </row>
    <row r="48557">
      <c r="B48557" s="309"/>
      <c r="C48557" s="309"/>
      <c r="I48557" s="309"/>
      <c r="J48557" s="309"/>
    </row>
    <row r="48558">
      <c r="B48558" s="309"/>
      <c r="C48558" s="309"/>
      <c r="I48558" s="309"/>
      <c r="J48558" s="309"/>
    </row>
    <row r="48559">
      <c r="B48559" s="309"/>
      <c r="C48559" s="309"/>
      <c r="I48559" s="309"/>
      <c r="J48559" s="309"/>
    </row>
    <row r="48560">
      <c r="B48560" s="309"/>
      <c r="C48560" s="309"/>
      <c r="I48560" s="309"/>
      <c r="J48560" s="309"/>
    </row>
    <row r="48561">
      <c r="B48561" s="309"/>
      <c r="C48561" s="309"/>
      <c r="I48561" s="309"/>
      <c r="J48561" s="309"/>
    </row>
    <row r="48562">
      <c r="B48562" s="309"/>
      <c r="C48562" s="309"/>
      <c r="I48562" s="309"/>
      <c r="J48562" s="309"/>
    </row>
    <row r="48563">
      <c r="B48563" s="309"/>
      <c r="C48563" s="309"/>
      <c r="I48563" s="309"/>
      <c r="J48563" s="309"/>
    </row>
    <row r="48564">
      <c r="B48564" s="309"/>
      <c r="C48564" s="309"/>
      <c r="I48564" s="309"/>
      <c r="J48564" s="309"/>
    </row>
    <row r="48565">
      <c r="B48565" s="309"/>
      <c r="C48565" s="309"/>
      <c r="I48565" s="309"/>
      <c r="J48565" s="309"/>
    </row>
    <row r="48566">
      <c r="B48566" s="309"/>
      <c r="C48566" s="309"/>
      <c r="I48566" s="309"/>
      <c r="J48566" s="309"/>
    </row>
    <row r="48567">
      <c r="B48567" s="309"/>
      <c r="C48567" s="309"/>
      <c r="I48567" s="309"/>
      <c r="J48567" s="309"/>
    </row>
    <row r="48568">
      <c r="B48568" s="309"/>
      <c r="C48568" s="309"/>
      <c r="I48568" s="309"/>
      <c r="J48568" s="309"/>
    </row>
    <row r="48569">
      <c r="B48569" s="309"/>
      <c r="C48569" s="309"/>
      <c r="I48569" s="309"/>
      <c r="J48569" s="309"/>
    </row>
    <row r="48570">
      <c r="B48570" s="309"/>
      <c r="C48570" s="309"/>
      <c r="I48570" s="309"/>
      <c r="J48570" s="309"/>
    </row>
    <row r="48571">
      <c r="B48571" s="309"/>
      <c r="C48571" s="309"/>
      <c r="I48571" s="309"/>
      <c r="J48571" s="309"/>
    </row>
    <row r="48572">
      <c r="B48572" s="309"/>
      <c r="C48572" s="309"/>
      <c r="I48572" s="309"/>
      <c r="J48572" s="309"/>
    </row>
    <row r="48573">
      <c r="B48573" s="309"/>
      <c r="C48573" s="309"/>
      <c r="I48573" s="309"/>
      <c r="J48573" s="309"/>
    </row>
    <row r="48574">
      <c r="B48574" s="309"/>
      <c r="C48574" s="309"/>
      <c r="I48574" s="309"/>
      <c r="J48574" s="309"/>
    </row>
    <row r="48575">
      <c r="B48575" s="309"/>
      <c r="C48575" s="309"/>
      <c r="I48575" s="309"/>
      <c r="J48575" s="309"/>
    </row>
    <row r="48576">
      <c r="B48576" s="309"/>
      <c r="C48576" s="309"/>
      <c r="I48576" s="309"/>
      <c r="J48576" s="309"/>
    </row>
    <row r="48577">
      <c r="B48577" s="309"/>
      <c r="C48577" s="309"/>
      <c r="I48577" s="309"/>
      <c r="J48577" s="309"/>
    </row>
    <row r="48578">
      <c r="B48578" s="309"/>
      <c r="C48578" s="309"/>
      <c r="I48578" s="309"/>
      <c r="J48578" s="309"/>
    </row>
    <row r="48579">
      <c r="B48579" s="309"/>
      <c r="C48579" s="309"/>
      <c r="I48579" s="309"/>
      <c r="J48579" s="309"/>
    </row>
    <row r="48580">
      <c r="B48580" s="309"/>
      <c r="C48580" s="309"/>
      <c r="I48580" s="309"/>
      <c r="J48580" s="309"/>
    </row>
    <row r="48581">
      <c r="B48581" s="309"/>
      <c r="C48581" s="309"/>
      <c r="I48581" s="309"/>
      <c r="J48581" s="309"/>
    </row>
    <row r="48582">
      <c r="B48582" s="309"/>
      <c r="C48582" s="309"/>
      <c r="I48582" s="309"/>
      <c r="J48582" s="309"/>
    </row>
    <row r="48583">
      <c r="B48583" s="309"/>
      <c r="C48583" s="309"/>
      <c r="I48583" s="309"/>
      <c r="J48583" s="309"/>
    </row>
    <row r="48584">
      <c r="B48584" s="309"/>
      <c r="C48584" s="309"/>
      <c r="I48584" s="309"/>
      <c r="J48584" s="309"/>
    </row>
    <row r="48585">
      <c r="B48585" s="309"/>
      <c r="C48585" s="309"/>
      <c r="I48585" s="309"/>
      <c r="J48585" s="309"/>
    </row>
    <row r="48586">
      <c r="B48586" s="309"/>
      <c r="C48586" s="309"/>
      <c r="I48586" s="309"/>
      <c r="J48586" s="309"/>
    </row>
    <row r="48587">
      <c r="B48587" s="309"/>
      <c r="C48587" s="309"/>
      <c r="I48587" s="309"/>
      <c r="J48587" s="309"/>
    </row>
    <row r="48588">
      <c r="B48588" s="309"/>
      <c r="C48588" s="309"/>
      <c r="I48588" s="309"/>
      <c r="J48588" s="309"/>
    </row>
    <row r="48589">
      <c r="B48589" s="309"/>
      <c r="C48589" s="309"/>
      <c r="I48589" s="309"/>
      <c r="J48589" s="309"/>
    </row>
    <row r="48590">
      <c r="B48590" s="309"/>
      <c r="C48590" s="309"/>
      <c r="I48590" s="309"/>
      <c r="J48590" s="309"/>
    </row>
    <row r="48591">
      <c r="B48591" s="309"/>
      <c r="C48591" s="309"/>
      <c r="I48591" s="309"/>
      <c r="J48591" s="309"/>
    </row>
    <row r="48592">
      <c r="B48592" s="309"/>
      <c r="C48592" s="309"/>
      <c r="I48592" s="309"/>
      <c r="J48592" s="309"/>
    </row>
    <row r="48593">
      <c r="B48593" s="309"/>
      <c r="C48593" s="309"/>
      <c r="I48593" s="309"/>
      <c r="J48593" s="309"/>
    </row>
    <row r="48594">
      <c r="B48594" s="309"/>
      <c r="C48594" s="309"/>
      <c r="I48594" s="309"/>
      <c r="J48594" s="309"/>
    </row>
    <row r="48595">
      <c r="B48595" s="309"/>
      <c r="C48595" s="309"/>
      <c r="I48595" s="309"/>
      <c r="J48595" s="309"/>
    </row>
    <row r="48596">
      <c r="B48596" s="309"/>
      <c r="C48596" s="309"/>
      <c r="I48596" s="309"/>
      <c r="J48596" s="309"/>
    </row>
    <row r="48597">
      <c r="B48597" s="309"/>
      <c r="C48597" s="309"/>
      <c r="I48597" s="309"/>
      <c r="J48597" s="309"/>
    </row>
    <row r="48598">
      <c r="B48598" s="309"/>
      <c r="C48598" s="309"/>
      <c r="I48598" s="309"/>
      <c r="J48598" s="309"/>
    </row>
    <row r="48599">
      <c r="B48599" s="309"/>
      <c r="C48599" s="309"/>
      <c r="I48599" s="309"/>
      <c r="J48599" s="309"/>
    </row>
    <row r="48600">
      <c r="B48600" s="309"/>
      <c r="C48600" s="309"/>
      <c r="I48600" s="309"/>
      <c r="J48600" s="309"/>
    </row>
    <row r="48601">
      <c r="B48601" s="309"/>
      <c r="C48601" s="309"/>
      <c r="I48601" s="309"/>
      <c r="J48601" s="309"/>
    </row>
    <row r="48602">
      <c r="B48602" s="309"/>
      <c r="C48602" s="309"/>
      <c r="I48602" s="309"/>
      <c r="J48602" s="309"/>
    </row>
    <row r="48603">
      <c r="B48603" s="309"/>
      <c r="C48603" s="309"/>
      <c r="I48603" s="309"/>
      <c r="J48603" s="309"/>
    </row>
    <row r="48604">
      <c r="B48604" s="309"/>
      <c r="C48604" s="309"/>
      <c r="I48604" s="309"/>
      <c r="J48604" s="309"/>
    </row>
    <row r="48605">
      <c r="B48605" s="309"/>
      <c r="C48605" s="309"/>
      <c r="I48605" s="309"/>
      <c r="J48605" s="309"/>
    </row>
    <row r="48606">
      <c r="B48606" s="309"/>
      <c r="C48606" s="309"/>
      <c r="I48606" s="309"/>
      <c r="J48606" s="309"/>
    </row>
    <row r="48607">
      <c r="B48607" s="309"/>
      <c r="C48607" s="309"/>
      <c r="I48607" s="309"/>
      <c r="J48607" s="309"/>
    </row>
    <row r="48608">
      <c r="B48608" s="309"/>
      <c r="C48608" s="309"/>
      <c r="I48608" s="309"/>
      <c r="J48608" s="309"/>
    </row>
    <row r="48609">
      <c r="B48609" s="309"/>
      <c r="C48609" s="309"/>
      <c r="I48609" s="309"/>
      <c r="J48609" s="309"/>
    </row>
    <row r="48610">
      <c r="B48610" s="309"/>
      <c r="C48610" s="309"/>
      <c r="I48610" s="309"/>
      <c r="J48610" s="309"/>
    </row>
    <row r="48611">
      <c r="B48611" s="309"/>
      <c r="C48611" s="309"/>
      <c r="I48611" s="309"/>
      <c r="J48611" s="309"/>
    </row>
    <row r="48612">
      <c r="B48612" s="309"/>
      <c r="C48612" s="309"/>
      <c r="I48612" s="309"/>
      <c r="J48612" s="309"/>
    </row>
    <row r="48613">
      <c r="B48613" s="309"/>
      <c r="C48613" s="309"/>
      <c r="I48613" s="309"/>
      <c r="J48613" s="309"/>
    </row>
    <row r="48614">
      <c r="B48614" s="309"/>
      <c r="C48614" s="309"/>
      <c r="I48614" s="309"/>
      <c r="J48614" s="309"/>
    </row>
    <row r="48615">
      <c r="B48615" s="309"/>
      <c r="C48615" s="309"/>
      <c r="I48615" s="309"/>
      <c r="J48615" s="309"/>
    </row>
    <row r="48616">
      <c r="B48616" s="309"/>
      <c r="C48616" s="309"/>
      <c r="I48616" s="309"/>
      <c r="J48616" s="309"/>
    </row>
    <row r="48617">
      <c r="B48617" s="309"/>
      <c r="C48617" s="309"/>
      <c r="I48617" s="309"/>
      <c r="J48617" s="309"/>
    </row>
    <row r="48618">
      <c r="B48618" s="309"/>
      <c r="C48618" s="309"/>
      <c r="I48618" s="309"/>
      <c r="J48618" s="309"/>
    </row>
    <row r="48619">
      <c r="B48619" s="309"/>
      <c r="C48619" s="309"/>
      <c r="I48619" s="309"/>
      <c r="J48619" s="309"/>
    </row>
    <row r="48620">
      <c r="B48620" s="309"/>
      <c r="C48620" s="309"/>
      <c r="I48620" s="309"/>
      <c r="J48620" s="309"/>
    </row>
    <row r="48621">
      <c r="B48621" s="309"/>
      <c r="C48621" s="309"/>
      <c r="I48621" s="309"/>
      <c r="J48621" s="309"/>
    </row>
    <row r="48622">
      <c r="B48622" s="309"/>
      <c r="C48622" s="309"/>
      <c r="I48622" s="309"/>
      <c r="J48622" s="309"/>
    </row>
    <row r="48623">
      <c r="B48623" s="309"/>
      <c r="C48623" s="309"/>
      <c r="I48623" s="309"/>
      <c r="J48623" s="309"/>
    </row>
    <row r="48624">
      <c r="B48624" s="309"/>
      <c r="C48624" s="309"/>
      <c r="I48624" s="309"/>
      <c r="J48624" s="309"/>
    </row>
    <row r="48625">
      <c r="B48625" s="309"/>
      <c r="C48625" s="309"/>
      <c r="I48625" s="309"/>
      <c r="J48625" s="309"/>
    </row>
    <row r="48626">
      <c r="B48626" s="309"/>
      <c r="C48626" s="309"/>
      <c r="I48626" s="309"/>
      <c r="J48626" s="309"/>
    </row>
    <row r="48627">
      <c r="B48627" s="309"/>
      <c r="C48627" s="309"/>
      <c r="I48627" s="309"/>
      <c r="J48627" s="309"/>
    </row>
    <row r="48628">
      <c r="B48628" s="309"/>
      <c r="C48628" s="309"/>
      <c r="I48628" s="309"/>
      <c r="J48628" s="309"/>
    </row>
    <row r="48629">
      <c r="B48629" s="309"/>
      <c r="C48629" s="309"/>
      <c r="I48629" s="309"/>
      <c r="J48629" s="309"/>
    </row>
    <row r="48630">
      <c r="B48630" s="309"/>
      <c r="C48630" s="309"/>
      <c r="I48630" s="309"/>
      <c r="J48630" s="309"/>
    </row>
    <row r="48631">
      <c r="B48631" s="309"/>
      <c r="C48631" s="309"/>
      <c r="I48631" s="309"/>
      <c r="J48631" s="309"/>
    </row>
    <row r="48632">
      <c r="B48632" s="309"/>
      <c r="C48632" s="309"/>
      <c r="I48632" s="309"/>
      <c r="J48632" s="309"/>
    </row>
    <row r="48633">
      <c r="B48633" s="309"/>
      <c r="C48633" s="309"/>
      <c r="I48633" s="309"/>
      <c r="J48633" s="309"/>
    </row>
    <row r="48634">
      <c r="B48634" s="309"/>
      <c r="C48634" s="309"/>
      <c r="I48634" s="309"/>
      <c r="J48634" s="309"/>
    </row>
    <row r="48635">
      <c r="B48635" s="309"/>
      <c r="C48635" s="309"/>
      <c r="I48635" s="309"/>
      <c r="J48635" s="309"/>
    </row>
    <row r="48636">
      <c r="B48636" s="309"/>
      <c r="C48636" s="309"/>
      <c r="I48636" s="309"/>
      <c r="J48636" s="309"/>
    </row>
    <row r="48637">
      <c r="B48637" s="309"/>
      <c r="C48637" s="309"/>
      <c r="I48637" s="309"/>
      <c r="J48637" s="309"/>
    </row>
    <row r="48638">
      <c r="B48638" s="309"/>
      <c r="C48638" s="309"/>
      <c r="I48638" s="309"/>
      <c r="J48638" s="309"/>
    </row>
    <row r="48639">
      <c r="B48639" s="309"/>
      <c r="C48639" s="309"/>
      <c r="I48639" s="309"/>
      <c r="J48639" s="309"/>
    </row>
    <row r="48640">
      <c r="B48640" s="309"/>
      <c r="C48640" s="309"/>
      <c r="I48640" s="309"/>
      <c r="J48640" s="309"/>
    </row>
    <row r="48641">
      <c r="B48641" s="309"/>
      <c r="C48641" s="309"/>
      <c r="I48641" s="309"/>
      <c r="J48641" s="309"/>
    </row>
    <row r="48642">
      <c r="B48642" s="309"/>
      <c r="C48642" s="309"/>
      <c r="I48642" s="309"/>
      <c r="J48642" s="309"/>
    </row>
    <row r="48643">
      <c r="B48643" s="309"/>
      <c r="C48643" s="309"/>
      <c r="I48643" s="309"/>
      <c r="J48643" s="309"/>
    </row>
    <row r="48644">
      <c r="B48644" s="309"/>
      <c r="C48644" s="309"/>
      <c r="I48644" s="309"/>
      <c r="J48644" s="309"/>
    </row>
    <row r="48645">
      <c r="B48645" s="309"/>
      <c r="C48645" s="309"/>
      <c r="I48645" s="309"/>
      <c r="J48645" s="309"/>
    </row>
    <row r="48646">
      <c r="B48646" s="309"/>
      <c r="C48646" s="309"/>
      <c r="I48646" s="309"/>
      <c r="J48646" s="309"/>
    </row>
    <row r="48647">
      <c r="B48647" s="309"/>
      <c r="C48647" s="309"/>
      <c r="I48647" s="309"/>
      <c r="J48647" s="309"/>
    </row>
    <row r="48648">
      <c r="B48648" s="309"/>
      <c r="C48648" s="309"/>
      <c r="I48648" s="309"/>
      <c r="J48648" s="309"/>
    </row>
    <row r="48649">
      <c r="B48649" s="309"/>
      <c r="C48649" s="309"/>
      <c r="I48649" s="309"/>
      <c r="J48649" s="309"/>
    </row>
    <row r="48650">
      <c r="B48650" s="309"/>
      <c r="C48650" s="309"/>
      <c r="I48650" s="309"/>
      <c r="J48650" s="309"/>
    </row>
    <row r="48651">
      <c r="B48651" s="309"/>
      <c r="C48651" s="309"/>
      <c r="I48651" s="309"/>
      <c r="J48651" s="309"/>
    </row>
    <row r="48652">
      <c r="B48652" s="309"/>
      <c r="C48652" s="309"/>
      <c r="I48652" s="309"/>
      <c r="J48652" s="309"/>
    </row>
    <row r="48653">
      <c r="B48653" s="309"/>
      <c r="C48653" s="309"/>
      <c r="I48653" s="309"/>
      <c r="J48653" s="309"/>
    </row>
    <row r="48654">
      <c r="B48654" s="309"/>
      <c r="C48654" s="309"/>
      <c r="I48654" s="309"/>
      <c r="J48654" s="309"/>
    </row>
    <row r="48655">
      <c r="B48655" s="309"/>
      <c r="C48655" s="309"/>
      <c r="I48655" s="309"/>
      <c r="J48655" s="309"/>
    </row>
    <row r="48656">
      <c r="B48656" s="309"/>
      <c r="C48656" s="309"/>
      <c r="I48656" s="309"/>
      <c r="J48656" s="309"/>
    </row>
    <row r="48657">
      <c r="B48657" s="309"/>
      <c r="C48657" s="309"/>
      <c r="I48657" s="309"/>
      <c r="J48657" s="309"/>
    </row>
    <row r="48658">
      <c r="B48658" s="309"/>
      <c r="C48658" s="309"/>
      <c r="I48658" s="309"/>
      <c r="J48658" s="309"/>
    </row>
    <row r="48659">
      <c r="B48659" s="309"/>
      <c r="C48659" s="309"/>
      <c r="I48659" s="309"/>
      <c r="J48659" s="309"/>
    </row>
    <row r="48660">
      <c r="B48660" s="309"/>
      <c r="C48660" s="309"/>
      <c r="I48660" s="309"/>
      <c r="J48660" s="309"/>
    </row>
    <row r="48661">
      <c r="B48661" s="309"/>
      <c r="C48661" s="309"/>
      <c r="I48661" s="309"/>
      <c r="J48661" s="309"/>
    </row>
    <row r="48662">
      <c r="B48662" s="309"/>
      <c r="C48662" s="309"/>
      <c r="I48662" s="309"/>
      <c r="J48662" s="309"/>
    </row>
    <row r="48663">
      <c r="B48663" s="309"/>
      <c r="C48663" s="309"/>
      <c r="I48663" s="309"/>
      <c r="J48663" s="309"/>
    </row>
    <row r="48664">
      <c r="B48664" s="309"/>
      <c r="C48664" s="309"/>
      <c r="I48664" s="309"/>
      <c r="J48664" s="309"/>
    </row>
    <row r="48665">
      <c r="B48665" s="309"/>
      <c r="C48665" s="309"/>
      <c r="I48665" s="309"/>
      <c r="J48665" s="309"/>
    </row>
    <row r="48666">
      <c r="B48666" s="309"/>
      <c r="C48666" s="309"/>
      <c r="I48666" s="309"/>
      <c r="J48666" s="309"/>
    </row>
    <row r="48667">
      <c r="B48667" s="309"/>
      <c r="C48667" s="309"/>
      <c r="I48667" s="309"/>
      <c r="J48667" s="309"/>
    </row>
    <row r="48668">
      <c r="B48668" s="309"/>
      <c r="C48668" s="309"/>
      <c r="I48668" s="309"/>
      <c r="J48668" s="309"/>
    </row>
    <row r="48669">
      <c r="B48669" s="309"/>
      <c r="C48669" s="309"/>
      <c r="I48669" s="309"/>
      <c r="J48669" s="309"/>
    </row>
    <row r="48670">
      <c r="B48670" s="309"/>
      <c r="C48670" s="309"/>
      <c r="I48670" s="309"/>
      <c r="J48670" s="309"/>
    </row>
    <row r="48671">
      <c r="B48671" s="309"/>
      <c r="C48671" s="309"/>
      <c r="I48671" s="309"/>
      <c r="J48671" s="309"/>
    </row>
    <row r="48672">
      <c r="B48672" s="309"/>
      <c r="C48672" s="309"/>
      <c r="I48672" s="309"/>
      <c r="J48672" s="309"/>
    </row>
    <row r="48673">
      <c r="B48673" s="309"/>
      <c r="C48673" s="309"/>
      <c r="I48673" s="309"/>
      <c r="J48673" s="309"/>
    </row>
    <row r="48674">
      <c r="B48674" s="309"/>
      <c r="C48674" s="309"/>
      <c r="I48674" s="309"/>
      <c r="J48674" s="309"/>
    </row>
    <row r="48675">
      <c r="B48675" s="309"/>
      <c r="C48675" s="309"/>
      <c r="I48675" s="309"/>
      <c r="J48675" s="309"/>
    </row>
    <row r="48676">
      <c r="B48676" s="309"/>
      <c r="C48676" s="309"/>
      <c r="I48676" s="309"/>
      <c r="J48676" s="309"/>
    </row>
    <row r="48677">
      <c r="B48677" s="309"/>
      <c r="C48677" s="309"/>
      <c r="I48677" s="309"/>
      <c r="J48677" s="309"/>
    </row>
    <row r="48678">
      <c r="B48678" s="309"/>
      <c r="C48678" s="309"/>
      <c r="I48678" s="309"/>
      <c r="J48678" s="309"/>
    </row>
    <row r="48679">
      <c r="B48679" s="309"/>
      <c r="C48679" s="309"/>
      <c r="I48679" s="309"/>
      <c r="J48679" s="309"/>
    </row>
    <row r="48680">
      <c r="B48680" s="309"/>
      <c r="C48680" s="309"/>
      <c r="I48680" s="309"/>
      <c r="J48680" s="309"/>
    </row>
    <row r="48681">
      <c r="B48681" s="309"/>
      <c r="C48681" s="309"/>
      <c r="I48681" s="309"/>
      <c r="J48681" s="309"/>
    </row>
    <row r="48682">
      <c r="B48682" s="309"/>
      <c r="C48682" s="309"/>
      <c r="I48682" s="309"/>
      <c r="J48682" s="309"/>
    </row>
    <row r="48683">
      <c r="B48683" s="309"/>
      <c r="C48683" s="309"/>
      <c r="I48683" s="309"/>
      <c r="J48683" s="309"/>
    </row>
    <row r="48684">
      <c r="B48684" s="309"/>
      <c r="C48684" s="309"/>
      <c r="I48684" s="309"/>
      <c r="J48684" s="309"/>
    </row>
    <row r="48685">
      <c r="B48685" s="309"/>
      <c r="C48685" s="309"/>
      <c r="I48685" s="309"/>
      <c r="J48685" s="309"/>
    </row>
    <row r="48686">
      <c r="B48686" s="309"/>
      <c r="C48686" s="309"/>
      <c r="I48686" s="309"/>
      <c r="J48686" s="309"/>
    </row>
    <row r="48687">
      <c r="B48687" s="309"/>
      <c r="C48687" s="309"/>
      <c r="I48687" s="309"/>
      <c r="J48687" s="309"/>
    </row>
    <row r="48688">
      <c r="B48688" s="309"/>
      <c r="C48688" s="309"/>
      <c r="I48688" s="309"/>
      <c r="J48688" s="309"/>
    </row>
    <row r="48689">
      <c r="B48689" s="309"/>
      <c r="C48689" s="309"/>
      <c r="I48689" s="309"/>
      <c r="J48689" s="309"/>
    </row>
    <row r="48690">
      <c r="B48690" s="309"/>
      <c r="C48690" s="309"/>
      <c r="I48690" s="309"/>
      <c r="J48690" s="309"/>
    </row>
    <row r="48691">
      <c r="B48691" s="309"/>
      <c r="C48691" s="309"/>
      <c r="I48691" s="309"/>
      <c r="J48691" s="309"/>
    </row>
    <row r="48692">
      <c r="B48692" s="309"/>
      <c r="C48692" s="309"/>
      <c r="I48692" s="309"/>
      <c r="J48692" s="309"/>
    </row>
    <row r="48693">
      <c r="B48693" s="309"/>
      <c r="C48693" s="309"/>
      <c r="I48693" s="309"/>
      <c r="J48693" s="309"/>
    </row>
    <row r="48694">
      <c r="B48694" s="309"/>
      <c r="C48694" s="309"/>
      <c r="I48694" s="309"/>
      <c r="J48694" s="309"/>
    </row>
    <row r="48695">
      <c r="B48695" s="309"/>
      <c r="C48695" s="309"/>
      <c r="I48695" s="309"/>
      <c r="J48695" s="309"/>
    </row>
    <row r="48696">
      <c r="B48696" s="309"/>
      <c r="C48696" s="309"/>
      <c r="I48696" s="309"/>
      <c r="J48696" s="309"/>
    </row>
    <row r="48697">
      <c r="B48697" s="309"/>
      <c r="C48697" s="309"/>
      <c r="I48697" s="309"/>
      <c r="J48697" s="309"/>
    </row>
    <row r="48698">
      <c r="B48698" s="309"/>
      <c r="C48698" s="309"/>
      <c r="I48698" s="309"/>
      <c r="J48698" s="309"/>
    </row>
    <row r="48699">
      <c r="B48699" s="309"/>
      <c r="C48699" s="309"/>
      <c r="I48699" s="309"/>
      <c r="J48699" s="309"/>
    </row>
    <row r="48700">
      <c r="B48700" s="309"/>
      <c r="C48700" s="309"/>
      <c r="I48700" s="309"/>
      <c r="J48700" s="309"/>
    </row>
    <row r="48701">
      <c r="B48701" s="309"/>
      <c r="C48701" s="309"/>
      <c r="I48701" s="309"/>
      <c r="J48701" s="309"/>
    </row>
    <row r="48702">
      <c r="B48702" s="309"/>
      <c r="C48702" s="309"/>
      <c r="I48702" s="309"/>
      <c r="J48702" s="309"/>
    </row>
    <row r="48703">
      <c r="B48703" s="309"/>
      <c r="C48703" s="309"/>
      <c r="I48703" s="309"/>
      <c r="J48703" s="309"/>
    </row>
    <row r="48704">
      <c r="B48704" s="309"/>
      <c r="C48704" s="309"/>
      <c r="I48704" s="309"/>
      <c r="J48704" s="309"/>
    </row>
    <row r="48705">
      <c r="B48705" s="309"/>
      <c r="C48705" s="309"/>
      <c r="I48705" s="309"/>
      <c r="J48705" s="309"/>
    </row>
    <row r="48706">
      <c r="B48706" s="309"/>
      <c r="C48706" s="309"/>
      <c r="I48706" s="309"/>
      <c r="J48706" s="309"/>
    </row>
    <row r="48707">
      <c r="B48707" s="309"/>
      <c r="C48707" s="309"/>
      <c r="I48707" s="309"/>
      <c r="J48707" s="309"/>
    </row>
    <row r="48708">
      <c r="B48708" s="309"/>
      <c r="C48708" s="309"/>
      <c r="I48708" s="309"/>
      <c r="J48708" s="309"/>
    </row>
    <row r="48709">
      <c r="B48709" s="309"/>
      <c r="C48709" s="309"/>
      <c r="I48709" s="309"/>
      <c r="J48709" s="309"/>
    </row>
    <row r="48710">
      <c r="B48710" s="309"/>
      <c r="C48710" s="309"/>
      <c r="I48710" s="309"/>
      <c r="J48710" s="309"/>
    </row>
    <row r="48711">
      <c r="B48711" s="309"/>
      <c r="C48711" s="309"/>
      <c r="I48711" s="309"/>
      <c r="J48711" s="309"/>
    </row>
    <row r="48712">
      <c r="B48712" s="309"/>
      <c r="C48712" s="309"/>
      <c r="I48712" s="309"/>
      <c r="J48712" s="309"/>
    </row>
    <row r="48713">
      <c r="B48713" s="309"/>
      <c r="C48713" s="309"/>
      <c r="I48713" s="309"/>
      <c r="J48713" s="309"/>
    </row>
    <row r="48714">
      <c r="B48714" s="309"/>
      <c r="C48714" s="309"/>
      <c r="I48714" s="309"/>
      <c r="J48714" s="309"/>
    </row>
    <row r="48715">
      <c r="B48715" s="309"/>
      <c r="C48715" s="309"/>
      <c r="I48715" s="309"/>
      <c r="J48715" s="309"/>
    </row>
    <row r="48716">
      <c r="B48716" s="309"/>
      <c r="C48716" s="309"/>
      <c r="I48716" s="309"/>
      <c r="J48716" s="309"/>
    </row>
    <row r="48717">
      <c r="B48717" s="309"/>
      <c r="C48717" s="309"/>
      <c r="I48717" s="309"/>
      <c r="J48717" s="309"/>
    </row>
    <row r="48718">
      <c r="B48718" s="309"/>
      <c r="C48718" s="309"/>
      <c r="I48718" s="309"/>
      <c r="J48718" s="309"/>
    </row>
    <row r="48719">
      <c r="B48719" s="309"/>
      <c r="C48719" s="309"/>
      <c r="I48719" s="309"/>
      <c r="J48719" s="309"/>
    </row>
    <row r="48720">
      <c r="B48720" s="309"/>
      <c r="C48720" s="309"/>
      <c r="I48720" s="309"/>
      <c r="J48720" s="309"/>
    </row>
    <row r="48721">
      <c r="B48721" s="309"/>
      <c r="C48721" s="309"/>
      <c r="I48721" s="309"/>
      <c r="J48721" s="309"/>
    </row>
    <row r="48722">
      <c r="B48722" s="309"/>
      <c r="C48722" s="309"/>
      <c r="I48722" s="309"/>
      <c r="J48722" s="309"/>
    </row>
    <row r="48723">
      <c r="B48723" s="309"/>
      <c r="C48723" s="309"/>
      <c r="I48723" s="309"/>
      <c r="J48723" s="309"/>
    </row>
    <row r="48724">
      <c r="B48724" s="309"/>
      <c r="C48724" s="309"/>
      <c r="I48724" s="309"/>
      <c r="J48724" s="309"/>
    </row>
    <row r="48725">
      <c r="B48725" s="309"/>
      <c r="C48725" s="309"/>
      <c r="I48725" s="309"/>
      <c r="J48725" s="309"/>
    </row>
    <row r="48726">
      <c r="B48726" s="309"/>
      <c r="C48726" s="309"/>
      <c r="I48726" s="309"/>
      <c r="J48726" s="309"/>
    </row>
    <row r="48727">
      <c r="B48727" s="309"/>
      <c r="C48727" s="309"/>
      <c r="I48727" s="309"/>
      <c r="J48727" s="309"/>
    </row>
    <row r="48728">
      <c r="B48728" s="309"/>
      <c r="C48728" s="309"/>
      <c r="I48728" s="309"/>
      <c r="J48728" s="309"/>
    </row>
    <row r="48729">
      <c r="B48729" s="309"/>
      <c r="C48729" s="309"/>
      <c r="I48729" s="309"/>
      <c r="J48729" s="309"/>
    </row>
    <row r="48730">
      <c r="B48730" s="309"/>
      <c r="C48730" s="309"/>
      <c r="I48730" s="309"/>
      <c r="J48730" s="309"/>
    </row>
    <row r="48731">
      <c r="B48731" s="309"/>
      <c r="C48731" s="309"/>
      <c r="I48731" s="309"/>
      <c r="J48731" s="309"/>
    </row>
    <row r="48732">
      <c r="B48732" s="309"/>
      <c r="C48732" s="309"/>
      <c r="I48732" s="309"/>
      <c r="J48732" s="309"/>
    </row>
    <row r="48733">
      <c r="B48733" s="309"/>
      <c r="C48733" s="309"/>
      <c r="I48733" s="309"/>
      <c r="J48733" s="309"/>
    </row>
    <row r="48734">
      <c r="B48734" s="309"/>
      <c r="C48734" s="309"/>
      <c r="I48734" s="309"/>
      <c r="J48734" s="309"/>
    </row>
    <row r="48735">
      <c r="B48735" s="309"/>
      <c r="C48735" s="309"/>
      <c r="I48735" s="309"/>
      <c r="J48735" s="309"/>
    </row>
    <row r="48736">
      <c r="B48736" s="309"/>
      <c r="C48736" s="309"/>
      <c r="I48736" s="309"/>
      <c r="J48736" s="309"/>
    </row>
    <row r="48737">
      <c r="B48737" s="309"/>
      <c r="C48737" s="309"/>
      <c r="I48737" s="309"/>
      <c r="J48737" s="309"/>
    </row>
    <row r="48738">
      <c r="B48738" s="309"/>
      <c r="C48738" s="309"/>
      <c r="I48738" s="309"/>
      <c r="J48738" s="309"/>
    </row>
    <row r="48739">
      <c r="B48739" s="309"/>
      <c r="C48739" s="309"/>
      <c r="I48739" s="309"/>
      <c r="J48739" s="309"/>
    </row>
    <row r="48740">
      <c r="B48740" s="309"/>
      <c r="C48740" s="309"/>
      <c r="I48740" s="309"/>
      <c r="J48740" s="309"/>
    </row>
    <row r="48741">
      <c r="B48741" s="309"/>
      <c r="C48741" s="309"/>
      <c r="I48741" s="309"/>
      <c r="J48741" s="309"/>
    </row>
    <row r="48742">
      <c r="B48742" s="309"/>
      <c r="C48742" s="309"/>
      <c r="I48742" s="309"/>
      <c r="J48742" s="309"/>
    </row>
    <row r="48743">
      <c r="B48743" s="309"/>
      <c r="C48743" s="309"/>
      <c r="I48743" s="309"/>
      <c r="J48743" s="309"/>
    </row>
    <row r="48744">
      <c r="B48744" s="309"/>
      <c r="C48744" s="309"/>
      <c r="I48744" s="309"/>
      <c r="J48744" s="309"/>
    </row>
    <row r="48745">
      <c r="B48745" s="309"/>
      <c r="C48745" s="309"/>
      <c r="I48745" s="309"/>
      <c r="J48745" s="309"/>
    </row>
    <row r="48746">
      <c r="B48746" s="309"/>
      <c r="C48746" s="309"/>
      <c r="I48746" s="309"/>
      <c r="J48746" s="309"/>
    </row>
    <row r="48747">
      <c r="B48747" s="309"/>
      <c r="C48747" s="309"/>
      <c r="I48747" s="309"/>
      <c r="J48747" s="309"/>
    </row>
    <row r="48748">
      <c r="B48748" s="309"/>
      <c r="C48748" s="309"/>
      <c r="I48748" s="309"/>
      <c r="J48748" s="309"/>
    </row>
    <row r="48749">
      <c r="B48749" s="309"/>
      <c r="C48749" s="309"/>
      <c r="I48749" s="309"/>
      <c r="J48749" s="309"/>
    </row>
    <row r="48750">
      <c r="B48750" s="309"/>
      <c r="C48750" s="309"/>
      <c r="I48750" s="309"/>
      <c r="J48750" s="309"/>
    </row>
    <row r="48751">
      <c r="B48751" s="309"/>
      <c r="C48751" s="309"/>
      <c r="I48751" s="309"/>
      <c r="J48751" s="309"/>
    </row>
    <row r="48752">
      <c r="B48752" s="309"/>
      <c r="C48752" s="309"/>
      <c r="I48752" s="309"/>
      <c r="J48752" s="309"/>
    </row>
    <row r="48753">
      <c r="B48753" s="309"/>
      <c r="C48753" s="309"/>
      <c r="I48753" s="309"/>
      <c r="J48753" s="309"/>
    </row>
    <row r="48754">
      <c r="B48754" s="309"/>
      <c r="C48754" s="309"/>
      <c r="I48754" s="309"/>
      <c r="J48754" s="309"/>
    </row>
    <row r="48755">
      <c r="B48755" s="309"/>
      <c r="C48755" s="309"/>
      <c r="I48755" s="309"/>
      <c r="J48755" s="309"/>
    </row>
    <row r="48756">
      <c r="B48756" s="309"/>
      <c r="C48756" s="309"/>
      <c r="I48756" s="309"/>
      <c r="J48756" s="309"/>
    </row>
    <row r="48757">
      <c r="B48757" s="309"/>
      <c r="C48757" s="309"/>
      <c r="I48757" s="309"/>
      <c r="J48757" s="309"/>
    </row>
    <row r="48758">
      <c r="B48758" s="309"/>
      <c r="C48758" s="309"/>
      <c r="I48758" s="309"/>
      <c r="J48758" s="309"/>
    </row>
    <row r="48759">
      <c r="B48759" s="309"/>
      <c r="C48759" s="309"/>
      <c r="I48759" s="309"/>
      <c r="J48759" s="309"/>
    </row>
    <row r="48760">
      <c r="B48760" s="309"/>
      <c r="C48760" s="309"/>
      <c r="I48760" s="309"/>
      <c r="J48760" s="309"/>
    </row>
    <row r="48761">
      <c r="B48761" s="309"/>
      <c r="C48761" s="309"/>
      <c r="I48761" s="309"/>
      <c r="J48761" s="309"/>
    </row>
    <row r="48762">
      <c r="B48762" s="309"/>
      <c r="C48762" s="309"/>
      <c r="I48762" s="309"/>
      <c r="J48762" s="309"/>
    </row>
    <row r="48763">
      <c r="B48763" s="309"/>
      <c r="C48763" s="309"/>
      <c r="I48763" s="309"/>
      <c r="J48763" s="309"/>
    </row>
    <row r="48764">
      <c r="B48764" s="309"/>
      <c r="C48764" s="309"/>
      <c r="I48764" s="309"/>
      <c r="J48764" s="309"/>
    </row>
    <row r="48765">
      <c r="B48765" s="309"/>
      <c r="C48765" s="309"/>
      <c r="I48765" s="309"/>
      <c r="J48765" s="309"/>
    </row>
    <row r="48766">
      <c r="B48766" s="309"/>
      <c r="C48766" s="309"/>
      <c r="I48766" s="309"/>
      <c r="J48766" s="309"/>
    </row>
    <row r="48767">
      <c r="B48767" s="309"/>
      <c r="C48767" s="309"/>
      <c r="I48767" s="309"/>
      <c r="J48767" s="309"/>
    </row>
    <row r="48768">
      <c r="B48768" s="309"/>
      <c r="C48768" s="309"/>
      <c r="I48768" s="309"/>
      <c r="J48768" s="309"/>
    </row>
    <row r="48769">
      <c r="B48769" s="309"/>
      <c r="C48769" s="309"/>
      <c r="I48769" s="309"/>
      <c r="J48769" s="309"/>
    </row>
    <row r="48770">
      <c r="B48770" s="309"/>
      <c r="C48770" s="309"/>
      <c r="I48770" s="309"/>
      <c r="J48770" s="309"/>
    </row>
    <row r="48771">
      <c r="B48771" s="309"/>
      <c r="C48771" s="309"/>
      <c r="I48771" s="309"/>
      <c r="J48771" s="309"/>
    </row>
    <row r="48772">
      <c r="B48772" s="309"/>
      <c r="C48772" s="309"/>
      <c r="I48772" s="309"/>
      <c r="J48772" s="309"/>
    </row>
    <row r="48773">
      <c r="B48773" s="309"/>
      <c r="C48773" s="309"/>
      <c r="I48773" s="309"/>
      <c r="J48773" s="309"/>
    </row>
    <row r="48774">
      <c r="B48774" s="309"/>
      <c r="C48774" s="309"/>
      <c r="I48774" s="309"/>
      <c r="J48774" s="309"/>
    </row>
    <row r="48775">
      <c r="B48775" s="309"/>
      <c r="C48775" s="309"/>
      <c r="I48775" s="309"/>
      <c r="J48775" s="309"/>
    </row>
    <row r="48776">
      <c r="B48776" s="309"/>
      <c r="C48776" s="309"/>
      <c r="I48776" s="309"/>
      <c r="J48776" s="309"/>
    </row>
    <row r="48777">
      <c r="B48777" s="309"/>
      <c r="C48777" s="309"/>
      <c r="I48777" s="309"/>
      <c r="J48777" s="309"/>
    </row>
    <row r="48778">
      <c r="B48778" s="309"/>
      <c r="C48778" s="309"/>
      <c r="I48778" s="309"/>
      <c r="J48778" s="309"/>
    </row>
    <row r="48779">
      <c r="B48779" s="309"/>
      <c r="C48779" s="309"/>
      <c r="I48779" s="309"/>
      <c r="J48779" s="309"/>
    </row>
    <row r="48780">
      <c r="B48780" s="309"/>
      <c r="C48780" s="309"/>
      <c r="I48780" s="309"/>
      <c r="J48780" s="309"/>
    </row>
    <row r="48781">
      <c r="B48781" s="309"/>
      <c r="C48781" s="309"/>
      <c r="I48781" s="309"/>
      <c r="J48781" s="309"/>
    </row>
    <row r="48782">
      <c r="B48782" s="309"/>
      <c r="C48782" s="309"/>
      <c r="I48782" s="309"/>
      <c r="J48782" s="309"/>
    </row>
    <row r="48783">
      <c r="B48783" s="309"/>
      <c r="C48783" s="309"/>
      <c r="I48783" s="309"/>
      <c r="J48783" s="309"/>
    </row>
    <row r="48784">
      <c r="B48784" s="309"/>
      <c r="C48784" s="309"/>
      <c r="I48784" s="309"/>
      <c r="J48784" s="309"/>
    </row>
    <row r="48785">
      <c r="B48785" s="309"/>
      <c r="C48785" s="309"/>
      <c r="I48785" s="309"/>
      <c r="J48785" s="309"/>
    </row>
    <row r="48786">
      <c r="B48786" s="309"/>
      <c r="C48786" s="309"/>
      <c r="I48786" s="309"/>
      <c r="J48786" s="309"/>
    </row>
    <row r="48787">
      <c r="B48787" s="309"/>
      <c r="C48787" s="309"/>
      <c r="I48787" s="309"/>
      <c r="J48787" s="309"/>
    </row>
    <row r="48788">
      <c r="B48788" s="309"/>
      <c r="C48788" s="309"/>
      <c r="I48788" s="309"/>
      <c r="J48788" s="309"/>
    </row>
    <row r="48789">
      <c r="B48789" s="309"/>
      <c r="C48789" s="309"/>
      <c r="I48789" s="309"/>
      <c r="J48789" s="309"/>
    </row>
    <row r="48790">
      <c r="B48790" s="309"/>
      <c r="C48790" s="309"/>
      <c r="I48790" s="309"/>
      <c r="J48790" s="309"/>
    </row>
    <row r="48791">
      <c r="B48791" s="309"/>
      <c r="C48791" s="309"/>
      <c r="I48791" s="309"/>
      <c r="J48791" s="309"/>
    </row>
    <row r="48792">
      <c r="B48792" s="309"/>
      <c r="C48792" s="309"/>
      <c r="I48792" s="309"/>
      <c r="J48792" s="309"/>
    </row>
    <row r="48793">
      <c r="B48793" s="309"/>
      <c r="C48793" s="309"/>
      <c r="I48793" s="309"/>
      <c r="J48793" s="309"/>
    </row>
    <row r="48794">
      <c r="B48794" s="309"/>
      <c r="C48794" s="309"/>
      <c r="I48794" s="309"/>
      <c r="J48794" s="309"/>
    </row>
    <row r="48795">
      <c r="B48795" s="309"/>
      <c r="C48795" s="309"/>
      <c r="I48795" s="309"/>
      <c r="J48795" s="309"/>
    </row>
    <row r="48796">
      <c r="B48796" s="309"/>
      <c r="C48796" s="309"/>
      <c r="I48796" s="309"/>
      <c r="J48796" s="309"/>
    </row>
    <row r="48797">
      <c r="B48797" s="309"/>
      <c r="C48797" s="309"/>
      <c r="I48797" s="309"/>
      <c r="J48797" s="309"/>
    </row>
    <row r="48798">
      <c r="B48798" s="309"/>
      <c r="C48798" s="309"/>
      <c r="I48798" s="309"/>
      <c r="J48798" s="309"/>
    </row>
    <row r="48799">
      <c r="B48799" s="309"/>
      <c r="C48799" s="309"/>
      <c r="I48799" s="309"/>
      <c r="J48799" s="309"/>
    </row>
    <row r="48800">
      <c r="B48800" s="309"/>
      <c r="C48800" s="309"/>
      <c r="I48800" s="309"/>
      <c r="J48800" s="309"/>
    </row>
    <row r="48801">
      <c r="B48801" s="309"/>
      <c r="C48801" s="309"/>
      <c r="I48801" s="309"/>
      <c r="J48801" s="309"/>
    </row>
    <row r="48802">
      <c r="B48802" s="309"/>
      <c r="C48802" s="309"/>
      <c r="I48802" s="309"/>
      <c r="J48802" s="309"/>
    </row>
    <row r="48803">
      <c r="B48803" s="309"/>
      <c r="C48803" s="309"/>
      <c r="I48803" s="309"/>
      <c r="J48803" s="309"/>
    </row>
    <row r="48804">
      <c r="B48804" s="309"/>
      <c r="C48804" s="309"/>
      <c r="I48804" s="309"/>
      <c r="J48804" s="309"/>
    </row>
    <row r="48805">
      <c r="B48805" s="309"/>
      <c r="C48805" s="309"/>
      <c r="I48805" s="309"/>
      <c r="J48805" s="309"/>
    </row>
    <row r="48806">
      <c r="B48806" s="309"/>
      <c r="C48806" s="309"/>
      <c r="I48806" s="309"/>
      <c r="J48806" s="309"/>
    </row>
    <row r="48807">
      <c r="B48807" s="309"/>
      <c r="C48807" s="309"/>
      <c r="I48807" s="309"/>
      <c r="J48807" s="309"/>
    </row>
    <row r="48808">
      <c r="B48808" s="309"/>
      <c r="C48808" s="309"/>
      <c r="I48808" s="309"/>
      <c r="J48808" s="309"/>
    </row>
    <row r="48809">
      <c r="B48809" s="309"/>
      <c r="C48809" s="309"/>
      <c r="I48809" s="309"/>
      <c r="J48809" s="309"/>
    </row>
    <row r="48810">
      <c r="B48810" s="309"/>
      <c r="C48810" s="309"/>
      <c r="I48810" s="309"/>
      <c r="J48810" s="309"/>
    </row>
    <row r="48811">
      <c r="B48811" s="309"/>
      <c r="C48811" s="309"/>
      <c r="I48811" s="309"/>
      <c r="J48811" s="309"/>
    </row>
    <row r="48812">
      <c r="B48812" s="309"/>
      <c r="C48812" s="309"/>
      <c r="I48812" s="309"/>
      <c r="J48812" s="309"/>
    </row>
    <row r="48813">
      <c r="B48813" s="309"/>
      <c r="C48813" s="309"/>
      <c r="I48813" s="309"/>
      <c r="J48813" s="309"/>
    </row>
    <row r="48814">
      <c r="B48814" s="309"/>
      <c r="C48814" s="309"/>
      <c r="I48814" s="309"/>
      <c r="J48814" s="309"/>
    </row>
    <row r="48815">
      <c r="B48815" s="309"/>
      <c r="C48815" s="309"/>
      <c r="I48815" s="309"/>
      <c r="J48815" s="309"/>
    </row>
    <row r="48816">
      <c r="B48816" s="309"/>
      <c r="C48816" s="309"/>
      <c r="I48816" s="309"/>
      <c r="J48816" s="309"/>
    </row>
    <row r="48817">
      <c r="B48817" s="309"/>
      <c r="C48817" s="309"/>
      <c r="I48817" s="309"/>
      <c r="J48817" s="309"/>
    </row>
    <row r="48818">
      <c r="B48818" s="309"/>
      <c r="C48818" s="309"/>
      <c r="I48818" s="309"/>
      <c r="J48818" s="309"/>
    </row>
    <row r="48819">
      <c r="B48819" s="309"/>
      <c r="C48819" s="309"/>
      <c r="I48819" s="309"/>
      <c r="J48819" s="309"/>
    </row>
    <row r="48820">
      <c r="B48820" s="309"/>
      <c r="C48820" s="309"/>
      <c r="I48820" s="309"/>
      <c r="J48820" s="309"/>
    </row>
    <row r="48821">
      <c r="B48821" s="309"/>
      <c r="C48821" s="309"/>
      <c r="I48821" s="309"/>
      <c r="J48821" s="309"/>
    </row>
    <row r="48822">
      <c r="B48822" s="309"/>
      <c r="C48822" s="309"/>
      <c r="I48822" s="309"/>
      <c r="J48822" s="309"/>
    </row>
    <row r="48823">
      <c r="B48823" s="309"/>
      <c r="C48823" s="309"/>
      <c r="I48823" s="309"/>
      <c r="J48823" s="309"/>
    </row>
    <row r="48824">
      <c r="B48824" s="309"/>
      <c r="C48824" s="309"/>
      <c r="I48824" s="309"/>
      <c r="J48824" s="309"/>
    </row>
    <row r="48825">
      <c r="B48825" s="309"/>
      <c r="C48825" s="309"/>
      <c r="I48825" s="309"/>
      <c r="J48825" s="309"/>
    </row>
    <row r="48826">
      <c r="B48826" s="309"/>
      <c r="C48826" s="309"/>
      <c r="I48826" s="309"/>
      <c r="J48826" s="309"/>
    </row>
    <row r="48827">
      <c r="B48827" s="309"/>
      <c r="C48827" s="309"/>
      <c r="I48827" s="309"/>
      <c r="J48827" s="309"/>
    </row>
    <row r="48828">
      <c r="B48828" s="309"/>
      <c r="C48828" s="309"/>
      <c r="I48828" s="309"/>
      <c r="J48828" s="309"/>
    </row>
    <row r="48829">
      <c r="B48829" s="309"/>
      <c r="C48829" s="309"/>
      <c r="I48829" s="309"/>
      <c r="J48829" s="309"/>
    </row>
    <row r="48830">
      <c r="B48830" s="309"/>
      <c r="C48830" s="309"/>
      <c r="I48830" s="309"/>
      <c r="J48830" s="309"/>
    </row>
    <row r="48831">
      <c r="B48831" s="309"/>
      <c r="C48831" s="309"/>
      <c r="I48831" s="309"/>
      <c r="J48831" s="309"/>
    </row>
    <row r="48832">
      <c r="B48832" s="309"/>
      <c r="C48832" s="309"/>
      <c r="I48832" s="309"/>
      <c r="J48832" s="309"/>
    </row>
    <row r="48833">
      <c r="B48833" s="309"/>
      <c r="C48833" s="309"/>
      <c r="I48833" s="309"/>
      <c r="J48833" s="309"/>
    </row>
    <row r="48834">
      <c r="B48834" s="309"/>
      <c r="C48834" s="309"/>
      <c r="I48834" s="309"/>
      <c r="J48834" s="309"/>
    </row>
    <row r="48835">
      <c r="B48835" s="309"/>
      <c r="C48835" s="309"/>
      <c r="I48835" s="309"/>
      <c r="J48835" s="309"/>
    </row>
    <row r="48836">
      <c r="B48836" s="309"/>
      <c r="C48836" s="309"/>
      <c r="I48836" s="309"/>
      <c r="J48836" s="309"/>
    </row>
    <row r="48837">
      <c r="B48837" s="309"/>
      <c r="C48837" s="309"/>
      <c r="I48837" s="309"/>
      <c r="J48837" s="309"/>
    </row>
    <row r="48838">
      <c r="B48838" s="309"/>
      <c r="C48838" s="309"/>
      <c r="I48838" s="309"/>
      <c r="J48838" s="309"/>
    </row>
    <row r="48839">
      <c r="B48839" s="309"/>
      <c r="C48839" s="309"/>
      <c r="I48839" s="309"/>
      <c r="J48839" s="309"/>
    </row>
    <row r="48840">
      <c r="B48840" s="309"/>
      <c r="C48840" s="309"/>
      <c r="I48840" s="309"/>
      <c r="J48840" s="309"/>
    </row>
    <row r="48841">
      <c r="B48841" s="309"/>
      <c r="C48841" s="309"/>
      <c r="I48841" s="309"/>
      <c r="J48841" s="309"/>
    </row>
    <row r="48842">
      <c r="B48842" s="309"/>
      <c r="C48842" s="309"/>
      <c r="I48842" s="309"/>
      <c r="J48842" s="309"/>
    </row>
    <row r="48843">
      <c r="B48843" s="309"/>
      <c r="C48843" s="309"/>
      <c r="I48843" s="309"/>
      <c r="J48843" s="309"/>
    </row>
    <row r="48844">
      <c r="B48844" s="309"/>
      <c r="C48844" s="309"/>
      <c r="I48844" s="309"/>
      <c r="J48844" s="309"/>
    </row>
    <row r="48845">
      <c r="B48845" s="309"/>
      <c r="C48845" s="309"/>
      <c r="I48845" s="309"/>
      <c r="J48845" s="309"/>
    </row>
    <row r="48846">
      <c r="B48846" s="309"/>
      <c r="C48846" s="309"/>
      <c r="I48846" s="309"/>
      <c r="J48846" s="309"/>
    </row>
    <row r="48847">
      <c r="B48847" s="309"/>
      <c r="C48847" s="309"/>
      <c r="I48847" s="309"/>
      <c r="J48847" s="309"/>
    </row>
    <row r="48848">
      <c r="B48848" s="309"/>
      <c r="C48848" s="309"/>
      <c r="I48848" s="309"/>
      <c r="J48848" s="309"/>
    </row>
    <row r="48849">
      <c r="B48849" s="309"/>
      <c r="C48849" s="309"/>
      <c r="I48849" s="309"/>
      <c r="J48849" s="309"/>
    </row>
    <row r="48850">
      <c r="B48850" s="309"/>
      <c r="C48850" s="309"/>
      <c r="I48850" s="309"/>
      <c r="J48850" s="309"/>
    </row>
    <row r="48851">
      <c r="B48851" s="309"/>
      <c r="C48851" s="309"/>
      <c r="I48851" s="309"/>
      <c r="J48851" s="309"/>
    </row>
    <row r="48852">
      <c r="B48852" s="309"/>
      <c r="C48852" s="309"/>
      <c r="I48852" s="309"/>
      <c r="J48852" s="309"/>
    </row>
    <row r="48853">
      <c r="B48853" s="309"/>
      <c r="C48853" s="309"/>
      <c r="I48853" s="309"/>
      <c r="J48853" s="309"/>
    </row>
    <row r="48854">
      <c r="B48854" s="309"/>
      <c r="C48854" s="309"/>
      <c r="I48854" s="309"/>
      <c r="J48854" s="309"/>
    </row>
    <row r="48855">
      <c r="B48855" s="309"/>
      <c r="C48855" s="309"/>
      <c r="I48855" s="309"/>
      <c r="J48855" s="309"/>
    </row>
    <row r="48856">
      <c r="B48856" s="309"/>
      <c r="C48856" s="309"/>
      <c r="I48856" s="309"/>
      <c r="J48856" s="309"/>
    </row>
    <row r="48857">
      <c r="B48857" s="309"/>
      <c r="C48857" s="309"/>
      <c r="I48857" s="309"/>
      <c r="J48857" s="309"/>
    </row>
    <row r="48858">
      <c r="B48858" s="309"/>
      <c r="C48858" s="309"/>
      <c r="I48858" s="309"/>
      <c r="J48858" s="309"/>
    </row>
    <row r="48859">
      <c r="B48859" s="309"/>
      <c r="C48859" s="309"/>
      <c r="I48859" s="309"/>
      <c r="J48859" s="309"/>
    </row>
    <row r="48860">
      <c r="B48860" s="309"/>
      <c r="C48860" s="309"/>
      <c r="I48860" s="309"/>
      <c r="J48860" s="309"/>
    </row>
    <row r="48861">
      <c r="B48861" s="309"/>
      <c r="C48861" s="309"/>
      <c r="I48861" s="309"/>
      <c r="J48861" s="309"/>
    </row>
    <row r="48862">
      <c r="B48862" s="309"/>
      <c r="C48862" s="309"/>
      <c r="I48862" s="309"/>
      <c r="J48862" s="309"/>
    </row>
    <row r="48863">
      <c r="B48863" s="309"/>
      <c r="C48863" s="309"/>
      <c r="I48863" s="309"/>
      <c r="J48863" s="309"/>
    </row>
    <row r="48864">
      <c r="B48864" s="309"/>
      <c r="C48864" s="309"/>
      <c r="I48864" s="309"/>
      <c r="J48864" s="309"/>
    </row>
    <row r="48865">
      <c r="B48865" s="309"/>
      <c r="C48865" s="309"/>
      <c r="I48865" s="309"/>
      <c r="J48865" s="309"/>
    </row>
    <row r="48866">
      <c r="B48866" s="309"/>
      <c r="C48866" s="309"/>
      <c r="I48866" s="309"/>
      <c r="J48866" s="309"/>
    </row>
    <row r="48867">
      <c r="B48867" s="309"/>
      <c r="C48867" s="309"/>
      <c r="I48867" s="309"/>
      <c r="J48867" s="309"/>
    </row>
    <row r="48868">
      <c r="B48868" s="309"/>
      <c r="C48868" s="309"/>
      <c r="I48868" s="309"/>
      <c r="J48868" s="309"/>
    </row>
    <row r="48869">
      <c r="B48869" s="309"/>
      <c r="C48869" s="309"/>
      <c r="I48869" s="309"/>
      <c r="J48869" s="309"/>
    </row>
    <row r="48870">
      <c r="B48870" s="309"/>
      <c r="C48870" s="309"/>
      <c r="I48870" s="309"/>
      <c r="J48870" s="309"/>
    </row>
    <row r="48871">
      <c r="B48871" s="309"/>
      <c r="C48871" s="309"/>
      <c r="I48871" s="309"/>
      <c r="J48871" s="309"/>
    </row>
    <row r="48872">
      <c r="B48872" s="309"/>
      <c r="C48872" s="309"/>
      <c r="I48872" s="309"/>
      <c r="J48872" s="309"/>
    </row>
    <row r="48873">
      <c r="B48873" s="309"/>
      <c r="C48873" s="309"/>
      <c r="I48873" s="309"/>
      <c r="J48873" s="309"/>
    </row>
    <row r="48874">
      <c r="B48874" s="309"/>
      <c r="C48874" s="309"/>
      <c r="I48874" s="309"/>
      <c r="J48874" s="309"/>
    </row>
    <row r="48875">
      <c r="B48875" s="309"/>
      <c r="C48875" s="309"/>
      <c r="I48875" s="309"/>
      <c r="J48875" s="309"/>
    </row>
    <row r="48876">
      <c r="B48876" s="309"/>
      <c r="C48876" s="309"/>
      <c r="I48876" s="309"/>
      <c r="J48876" s="309"/>
    </row>
    <row r="48877">
      <c r="B48877" s="309"/>
      <c r="C48877" s="309"/>
      <c r="I48877" s="309"/>
      <c r="J48877" s="309"/>
    </row>
    <row r="48878">
      <c r="B48878" s="309"/>
      <c r="C48878" s="309"/>
      <c r="I48878" s="309"/>
      <c r="J48878" s="309"/>
    </row>
    <row r="48879">
      <c r="B48879" s="309"/>
      <c r="C48879" s="309"/>
      <c r="I48879" s="309"/>
      <c r="J48879" s="309"/>
    </row>
    <row r="48880">
      <c r="B48880" s="309"/>
      <c r="C48880" s="309"/>
      <c r="I48880" s="309"/>
      <c r="J48880" s="309"/>
    </row>
    <row r="48881">
      <c r="B48881" s="309"/>
      <c r="C48881" s="309"/>
      <c r="I48881" s="309"/>
      <c r="J48881" s="309"/>
    </row>
    <row r="48882">
      <c r="B48882" s="309"/>
      <c r="C48882" s="309"/>
      <c r="I48882" s="309"/>
      <c r="J48882" s="309"/>
    </row>
    <row r="48883">
      <c r="B48883" s="309"/>
      <c r="C48883" s="309"/>
      <c r="I48883" s="309"/>
      <c r="J48883" s="309"/>
    </row>
    <row r="48884">
      <c r="B48884" s="309"/>
      <c r="C48884" s="309"/>
      <c r="I48884" s="309"/>
      <c r="J48884" s="309"/>
    </row>
    <row r="48885">
      <c r="B48885" s="309"/>
      <c r="C48885" s="309"/>
      <c r="I48885" s="309"/>
      <c r="J48885" s="309"/>
    </row>
    <row r="48886">
      <c r="B48886" s="309"/>
      <c r="C48886" s="309"/>
      <c r="I48886" s="309"/>
      <c r="J48886" s="309"/>
    </row>
    <row r="48887">
      <c r="B48887" s="309"/>
      <c r="C48887" s="309"/>
      <c r="I48887" s="309"/>
      <c r="J48887" s="309"/>
    </row>
    <row r="48888">
      <c r="B48888" s="309"/>
      <c r="C48888" s="309"/>
      <c r="I48888" s="309"/>
      <c r="J48888" s="309"/>
    </row>
    <row r="48889">
      <c r="B48889" s="309"/>
      <c r="C48889" s="309"/>
      <c r="I48889" s="309"/>
      <c r="J48889" s="309"/>
    </row>
    <row r="48890">
      <c r="B48890" s="309"/>
      <c r="C48890" s="309"/>
      <c r="I48890" s="309"/>
      <c r="J48890" s="309"/>
    </row>
    <row r="48891">
      <c r="B48891" s="309"/>
      <c r="C48891" s="309"/>
      <c r="I48891" s="309"/>
      <c r="J48891" s="309"/>
    </row>
    <row r="48892">
      <c r="B48892" s="309"/>
      <c r="C48892" s="309"/>
      <c r="I48892" s="309"/>
      <c r="J48892" s="309"/>
    </row>
    <row r="48893">
      <c r="B48893" s="309"/>
      <c r="C48893" s="309"/>
      <c r="I48893" s="309"/>
      <c r="J48893" s="309"/>
    </row>
    <row r="48894">
      <c r="B48894" s="309"/>
      <c r="C48894" s="309"/>
      <c r="I48894" s="309"/>
      <c r="J48894" s="309"/>
    </row>
    <row r="48895">
      <c r="B48895" s="309"/>
      <c r="C48895" s="309"/>
      <c r="I48895" s="309"/>
      <c r="J48895" s="309"/>
    </row>
    <row r="48896">
      <c r="B48896" s="309"/>
      <c r="C48896" s="309"/>
      <c r="I48896" s="309"/>
      <c r="J48896" s="309"/>
    </row>
    <row r="48897">
      <c r="B48897" s="309"/>
      <c r="C48897" s="309"/>
      <c r="I48897" s="309"/>
      <c r="J48897" s="309"/>
    </row>
    <row r="48898">
      <c r="B48898" s="309"/>
      <c r="C48898" s="309"/>
      <c r="I48898" s="309"/>
      <c r="J48898" s="309"/>
    </row>
    <row r="48899">
      <c r="B48899" s="309"/>
      <c r="C48899" s="309"/>
      <c r="I48899" s="309"/>
      <c r="J48899" s="309"/>
    </row>
    <row r="48900">
      <c r="B48900" s="309"/>
      <c r="C48900" s="309"/>
      <c r="I48900" s="309"/>
      <c r="J48900" s="309"/>
    </row>
    <row r="48901">
      <c r="B48901" s="309"/>
      <c r="C48901" s="309"/>
      <c r="I48901" s="309"/>
      <c r="J48901" s="309"/>
    </row>
    <row r="48902">
      <c r="B48902" s="309"/>
      <c r="C48902" s="309"/>
      <c r="I48902" s="309"/>
      <c r="J48902" s="309"/>
    </row>
    <row r="48903">
      <c r="B48903" s="309"/>
      <c r="C48903" s="309"/>
      <c r="I48903" s="309"/>
      <c r="J48903" s="309"/>
    </row>
    <row r="48904">
      <c r="B48904" s="309"/>
      <c r="C48904" s="309"/>
      <c r="I48904" s="309"/>
      <c r="J48904" s="309"/>
    </row>
    <row r="48905">
      <c r="B48905" s="309"/>
      <c r="C48905" s="309"/>
      <c r="I48905" s="309"/>
      <c r="J48905" s="309"/>
    </row>
    <row r="48906">
      <c r="B48906" s="309"/>
      <c r="C48906" s="309"/>
      <c r="I48906" s="309"/>
      <c r="J48906" s="309"/>
    </row>
    <row r="48907">
      <c r="B48907" s="309"/>
      <c r="C48907" s="309"/>
      <c r="I48907" s="309"/>
      <c r="J48907" s="309"/>
    </row>
    <row r="48908">
      <c r="B48908" s="309"/>
      <c r="C48908" s="309"/>
      <c r="I48908" s="309"/>
      <c r="J48908" s="309"/>
    </row>
    <row r="48909">
      <c r="B48909" s="309"/>
      <c r="C48909" s="309"/>
      <c r="I48909" s="309"/>
      <c r="J48909" s="309"/>
    </row>
    <row r="48910">
      <c r="B48910" s="309"/>
      <c r="C48910" s="309"/>
      <c r="I48910" s="309"/>
      <c r="J48910" s="309"/>
    </row>
    <row r="48911">
      <c r="B48911" s="309"/>
      <c r="C48911" s="309"/>
      <c r="I48911" s="309"/>
      <c r="J48911" s="309"/>
    </row>
    <row r="48912">
      <c r="B48912" s="309"/>
      <c r="C48912" s="309"/>
      <c r="I48912" s="309"/>
      <c r="J48912" s="309"/>
    </row>
    <row r="48913">
      <c r="B48913" s="309"/>
      <c r="C48913" s="309"/>
      <c r="I48913" s="309"/>
      <c r="J48913" s="309"/>
    </row>
    <row r="48914">
      <c r="B48914" s="309"/>
      <c r="C48914" s="309"/>
      <c r="I48914" s="309"/>
      <c r="J48914" s="309"/>
    </row>
    <row r="48915">
      <c r="B48915" s="309"/>
      <c r="C48915" s="309"/>
      <c r="I48915" s="309"/>
      <c r="J48915" s="309"/>
    </row>
    <row r="48916">
      <c r="B48916" s="309"/>
      <c r="C48916" s="309"/>
      <c r="I48916" s="309"/>
      <c r="J48916" s="309"/>
    </row>
    <row r="48917">
      <c r="B48917" s="309"/>
      <c r="C48917" s="309"/>
      <c r="I48917" s="309"/>
      <c r="J48917" s="309"/>
    </row>
    <row r="48918">
      <c r="B48918" s="309"/>
      <c r="C48918" s="309"/>
      <c r="I48918" s="309"/>
      <c r="J48918" s="309"/>
    </row>
    <row r="48919">
      <c r="B48919" s="309"/>
      <c r="C48919" s="309"/>
      <c r="I48919" s="309"/>
      <c r="J48919" s="309"/>
    </row>
    <row r="48920">
      <c r="B48920" s="309"/>
      <c r="C48920" s="309"/>
      <c r="I48920" s="309"/>
      <c r="J48920" s="309"/>
    </row>
    <row r="48921">
      <c r="B48921" s="309"/>
      <c r="C48921" s="309"/>
      <c r="I48921" s="309"/>
      <c r="J48921" s="309"/>
    </row>
    <row r="48922">
      <c r="B48922" s="309"/>
      <c r="C48922" s="309"/>
      <c r="I48922" s="309"/>
      <c r="J48922" s="309"/>
    </row>
    <row r="48923">
      <c r="B48923" s="309"/>
      <c r="C48923" s="309"/>
      <c r="I48923" s="309"/>
      <c r="J48923" s="309"/>
    </row>
    <row r="48924">
      <c r="B48924" s="309"/>
      <c r="C48924" s="309"/>
      <c r="I48924" s="309"/>
      <c r="J48924" s="309"/>
    </row>
    <row r="48925">
      <c r="B48925" s="309"/>
      <c r="C48925" s="309"/>
      <c r="I48925" s="309"/>
      <c r="J48925" s="309"/>
    </row>
    <row r="48926">
      <c r="B48926" s="309"/>
      <c r="C48926" s="309"/>
      <c r="I48926" s="309"/>
      <c r="J48926" s="309"/>
    </row>
    <row r="48927">
      <c r="B48927" s="309"/>
      <c r="C48927" s="309"/>
      <c r="I48927" s="309"/>
      <c r="J48927" s="309"/>
    </row>
    <row r="48928">
      <c r="B48928" s="309"/>
      <c r="C48928" s="309"/>
      <c r="I48928" s="309"/>
      <c r="J48928" s="309"/>
    </row>
    <row r="48929">
      <c r="B48929" s="309"/>
      <c r="C48929" s="309"/>
      <c r="I48929" s="309"/>
      <c r="J48929" s="309"/>
    </row>
    <row r="48930">
      <c r="B48930" s="309"/>
      <c r="C48930" s="309"/>
      <c r="I48930" s="309"/>
      <c r="J48930" s="309"/>
    </row>
    <row r="48931">
      <c r="B48931" s="309"/>
      <c r="C48931" s="309"/>
      <c r="I48931" s="309"/>
      <c r="J48931" s="309"/>
    </row>
    <row r="48932">
      <c r="B48932" s="309"/>
      <c r="C48932" s="309"/>
      <c r="I48932" s="309"/>
      <c r="J48932" s="309"/>
    </row>
    <row r="48933">
      <c r="B48933" s="309"/>
      <c r="C48933" s="309"/>
      <c r="I48933" s="309"/>
      <c r="J48933" s="309"/>
    </row>
    <row r="48934">
      <c r="B48934" s="309"/>
      <c r="C48934" s="309"/>
      <c r="I48934" s="309"/>
      <c r="J48934" s="309"/>
    </row>
    <row r="48935">
      <c r="B48935" s="309"/>
      <c r="C48935" s="309"/>
      <c r="I48935" s="309"/>
      <c r="J48935" s="309"/>
    </row>
    <row r="48936">
      <c r="B48936" s="309"/>
      <c r="C48936" s="309"/>
      <c r="I48936" s="309"/>
      <c r="J48936" s="309"/>
    </row>
    <row r="48937">
      <c r="B48937" s="309"/>
      <c r="C48937" s="309"/>
      <c r="I48937" s="309"/>
      <c r="J48937" s="309"/>
    </row>
    <row r="48938">
      <c r="B48938" s="309"/>
      <c r="C48938" s="309"/>
      <c r="I48938" s="309"/>
      <c r="J48938" s="309"/>
    </row>
    <row r="48939">
      <c r="B48939" s="309"/>
      <c r="C48939" s="309"/>
      <c r="I48939" s="309"/>
      <c r="J48939" s="309"/>
    </row>
    <row r="48940">
      <c r="B48940" s="309"/>
      <c r="C48940" s="309"/>
      <c r="I48940" s="309"/>
      <c r="J48940" s="309"/>
    </row>
    <row r="48941">
      <c r="B48941" s="309"/>
      <c r="C48941" s="309"/>
      <c r="I48941" s="309"/>
      <c r="J48941" s="309"/>
    </row>
    <row r="48942">
      <c r="B48942" s="309"/>
      <c r="C48942" s="309"/>
      <c r="I48942" s="309"/>
      <c r="J48942" s="309"/>
    </row>
    <row r="48943">
      <c r="B48943" s="309"/>
      <c r="C48943" s="309"/>
      <c r="I48943" s="309"/>
      <c r="J48943" s="309"/>
    </row>
    <row r="48944">
      <c r="B48944" s="309"/>
      <c r="C48944" s="309"/>
      <c r="I48944" s="309"/>
      <c r="J48944" s="309"/>
    </row>
    <row r="48945">
      <c r="B48945" s="309"/>
      <c r="C48945" s="309"/>
      <c r="I48945" s="309"/>
      <c r="J48945" s="309"/>
    </row>
    <row r="48946">
      <c r="B48946" s="309"/>
      <c r="C48946" s="309"/>
      <c r="I48946" s="309"/>
      <c r="J48946" s="309"/>
    </row>
    <row r="48947">
      <c r="B48947" s="309"/>
      <c r="C48947" s="309"/>
      <c r="I48947" s="309"/>
      <c r="J48947" s="309"/>
    </row>
    <row r="48948">
      <c r="B48948" s="309"/>
      <c r="C48948" s="309"/>
      <c r="I48948" s="309"/>
      <c r="J48948" s="309"/>
    </row>
    <row r="48949">
      <c r="B48949" s="309"/>
      <c r="C48949" s="309"/>
      <c r="I48949" s="309"/>
      <c r="J48949" s="309"/>
    </row>
    <row r="48950">
      <c r="B48950" s="309"/>
      <c r="C48950" s="309"/>
      <c r="I48950" s="309"/>
      <c r="J48950" s="309"/>
    </row>
    <row r="48951">
      <c r="B48951" s="309"/>
      <c r="C48951" s="309"/>
      <c r="I48951" s="309"/>
      <c r="J48951" s="309"/>
    </row>
    <row r="48952">
      <c r="B48952" s="309"/>
      <c r="C48952" s="309"/>
      <c r="I48952" s="309"/>
      <c r="J48952" s="309"/>
    </row>
    <row r="48953">
      <c r="B48953" s="309"/>
      <c r="C48953" s="309"/>
      <c r="I48953" s="309"/>
      <c r="J48953" s="309"/>
    </row>
    <row r="48954">
      <c r="B48954" s="309"/>
      <c r="C48954" s="309"/>
      <c r="I48954" s="309"/>
      <c r="J48954" s="309"/>
    </row>
    <row r="48955">
      <c r="B48955" s="309"/>
      <c r="C48955" s="309"/>
      <c r="I48955" s="309"/>
      <c r="J48955" s="309"/>
    </row>
    <row r="48956">
      <c r="B48956" s="309"/>
      <c r="C48956" s="309"/>
      <c r="I48956" s="309"/>
      <c r="J48956" s="309"/>
    </row>
    <row r="48957">
      <c r="B48957" s="309"/>
      <c r="C48957" s="309"/>
      <c r="I48957" s="309"/>
      <c r="J48957" s="309"/>
    </row>
    <row r="48958">
      <c r="B48958" s="309"/>
      <c r="C48958" s="309"/>
      <c r="I48958" s="309"/>
      <c r="J48958" s="309"/>
    </row>
    <row r="48959">
      <c r="B48959" s="309"/>
      <c r="C48959" s="309"/>
      <c r="I48959" s="309"/>
      <c r="J48959" s="309"/>
    </row>
    <row r="48960">
      <c r="B48960" s="309"/>
      <c r="C48960" s="309"/>
      <c r="I48960" s="309"/>
      <c r="J48960" s="309"/>
    </row>
    <row r="48961">
      <c r="B48961" s="309"/>
      <c r="C48961" s="309"/>
      <c r="I48961" s="309"/>
      <c r="J48961" s="309"/>
    </row>
    <row r="48962">
      <c r="B48962" s="309"/>
      <c r="C48962" s="309"/>
      <c r="I48962" s="309"/>
      <c r="J48962" s="309"/>
    </row>
    <row r="48963">
      <c r="B48963" s="309"/>
      <c r="C48963" s="309"/>
      <c r="I48963" s="309"/>
      <c r="J48963" s="309"/>
    </row>
    <row r="48964">
      <c r="B48964" s="309"/>
      <c r="C48964" s="309"/>
      <c r="I48964" s="309"/>
      <c r="J48964" s="309"/>
    </row>
    <row r="48965">
      <c r="B48965" s="309"/>
      <c r="C48965" s="309"/>
      <c r="I48965" s="309"/>
      <c r="J48965" s="309"/>
    </row>
    <row r="48966">
      <c r="B48966" s="309"/>
      <c r="C48966" s="309"/>
      <c r="I48966" s="309"/>
      <c r="J48966" s="309"/>
    </row>
    <row r="48967">
      <c r="B48967" s="309"/>
      <c r="C48967" s="309"/>
      <c r="I48967" s="309"/>
      <c r="J48967" s="309"/>
    </row>
    <row r="48968">
      <c r="B48968" s="309"/>
      <c r="C48968" s="309"/>
      <c r="I48968" s="309"/>
      <c r="J48968" s="309"/>
    </row>
    <row r="48969">
      <c r="B48969" s="309"/>
      <c r="C48969" s="309"/>
      <c r="I48969" s="309"/>
      <c r="J48969" s="309"/>
    </row>
    <row r="48970">
      <c r="B48970" s="309"/>
      <c r="C48970" s="309"/>
      <c r="I48970" s="309"/>
      <c r="J48970" s="309"/>
    </row>
    <row r="48971">
      <c r="B48971" s="309"/>
      <c r="C48971" s="309"/>
      <c r="I48971" s="309"/>
      <c r="J48971" s="309"/>
    </row>
    <row r="48972">
      <c r="B48972" s="309"/>
      <c r="C48972" s="309"/>
      <c r="I48972" s="309"/>
      <c r="J48972" s="309"/>
    </row>
    <row r="48973">
      <c r="B48973" s="309"/>
      <c r="C48973" s="309"/>
      <c r="I48973" s="309"/>
      <c r="J48973" s="309"/>
    </row>
    <row r="48974">
      <c r="B48974" s="309"/>
      <c r="C48974" s="309"/>
      <c r="I48974" s="309"/>
      <c r="J48974" s="309"/>
    </row>
    <row r="48975">
      <c r="B48975" s="309"/>
      <c r="C48975" s="309"/>
      <c r="I48975" s="309"/>
      <c r="J48975" s="309"/>
    </row>
    <row r="48976">
      <c r="B48976" s="309"/>
      <c r="C48976" s="309"/>
      <c r="I48976" s="309"/>
      <c r="J48976" s="309"/>
    </row>
    <row r="48977">
      <c r="B48977" s="309"/>
      <c r="C48977" s="309"/>
      <c r="I48977" s="309"/>
      <c r="J48977" s="309"/>
    </row>
    <row r="48978">
      <c r="B48978" s="309"/>
      <c r="C48978" s="309"/>
      <c r="I48978" s="309"/>
      <c r="J48978" s="309"/>
    </row>
    <row r="48979">
      <c r="B48979" s="309"/>
      <c r="C48979" s="309"/>
      <c r="I48979" s="309"/>
      <c r="J48979" s="309"/>
    </row>
    <row r="48980">
      <c r="B48980" s="309"/>
      <c r="C48980" s="309"/>
      <c r="I48980" s="309"/>
      <c r="J48980" s="309"/>
    </row>
    <row r="48981">
      <c r="B48981" s="309"/>
      <c r="C48981" s="309"/>
      <c r="I48981" s="309"/>
      <c r="J48981" s="309"/>
    </row>
    <row r="48982">
      <c r="B48982" s="309"/>
      <c r="C48982" s="309"/>
      <c r="I48982" s="309"/>
      <c r="J48982" s="309"/>
    </row>
    <row r="48983">
      <c r="B48983" s="309"/>
      <c r="C48983" s="309"/>
      <c r="I48983" s="309"/>
      <c r="J48983" s="309"/>
    </row>
    <row r="48984">
      <c r="B48984" s="309"/>
      <c r="C48984" s="309"/>
      <c r="I48984" s="309"/>
      <c r="J48984" s="309"/>
    </row>
    <row r="48985">
      <c r="B48985" s="309"/>
      <c r="C48985" s="309"/>
      <c r="I48985" s="309"/>
      <c r="J48985" s="309"/>
    </row>
    <row r="48986">
      <c r="B48986" s="309"/>
      <c r="C48986" s="309"/>
      <c r="I48986" s="309"/>
      <c r="J48986" s="309"/>
    </row>
    <row r="48987">
      <c r="B48987" s="309"/>
      <c r="C48987" s="309"/>
      <c r="I48987" s="309"/>
      <c r="J48987" s="309"/>
    </row>
    <row r="48988">
      <c r="B48988" s="309"/>
      <c r="C48988" s="309"/>
      <c r="I48988" s="309"/>
      <c r="J48988" s="309"/>
    </row>
    <row r="48989">
      <c r="B48989" s="309"/>
      <c r="C48989" s="309"/>
      <c r="I48989" s="309"/>
      <c r="J48989" s="309"/>
    </row>
    <row r="48990">
      <c r="B48990" s="309"/>
      <c r="C48990" s="309"/>
      <c r="I48990" s="309"/>
      <c r="J48990" s="309"/>
    </row>
    <row r="48991">
      <c r="B48991" s="309"/>
      <c r="C48991" s="309"/>
      <c r="I48991" s="309"/>
      <c r="J48991" s="309"/>
    </row>
    <row r="48992">
      <c r="B48992" s="309"/>
      <c r="C48992" s="309"/>
      <c r="I48992" s="309"/>
      <c r="J48992" s="309"/>
    </row>
    <row r="48993">
      <c r="B48993" s="309"/>
      <c r="C48993" s="309"/>
      <c r="I48993" s="309"/>
      <c r="J48993" s="309"/>
    </row>
    <row r="48994">
      <c r="B48994" s="309"/>
      <c r="C48994" s="309"/>
      <c r="I48994" s="309"/>
      <c r="J48994" s="309"/>
    </row>
    <row r="48995">
      <c r="B48995" s="309"/>
      <c r="C48995" s="309"/>
      <c r="I48995" s="309"/>
      <c r="J48995" s="309"/>
    </row>
    <row r="48996">
      <c r="B48996" s="309"/>
      <c r="C48996" s="309"/>
      <c r="I48996" s="309"/>
      <c r="J48996" s="309"/>
    </row>
    <row r="48997">
      <c r="B48997" s="309"/>
      <c r="C48997" s="309"/>
      <c r="I48997" s="309"/>
      <c r="J48997" s="309"/>
    </row>
    <row r="48998">
      <c r="B48998" s="309"/>
      <c r="C48998" s="309"/>
      <c r="I48998" s="309"/>
      <c r="J48998" s="309"/>
    </row>
    <row r="48999">
      <c r="B48999" s="309"/>
      <c r="C48999" s="309"/>
      <c r="I48999" s="309"/>
      <c r="J48999" s="309"/>
    </row>
    <row r="49000">
      <c r="B49000" s="309"/>
      <c r="C49000" s="309"/>
      <c r="I49000" s="309"/>
      <c r="J49000" s="309"/>
    </row>
    <row r="49001">
      <c r="B49001" s="309"/>
      <c r="C49001" s="309"/>
      <c r="I49001" s="309"/>
      <c r="J49001" s="309"/>
    </row>
    <row r="49002">
      <c r="B49002" s="309"/>
      <c r="C49002" s="309"/>
      <c r="I49002" s="309"/>
      <c r="J49002" s="309"/>
    </row>
    <row r="49003">
      <c r="B49003" s="309"/>
      <c r="C49003" s="309"/>
      <c r="I49003" s="309"/>
      <c r="J49003" s="309"/>
    </row>
    <row r="49004">
      <c r="B49004" s="309"/>
      <c r="C49004" s="309"/>
      <c r="I49004" s="309"/>
      <c r="J49004" s="309"/>
    </row>
    <row r="49005">
      <c r="B49005" s="309"/>
      <c r="C49005" s="309"/>
      <c r="I49005" s="309"/>
      <c r="J49005" s="309"/>
    </row>
    <row r="49006">
      <c r="B49006" s="309"/>
      <c r="C49006" s="309"/>
      <c r="I49006" s="309"/>
      <c r="J49006" s="309"/>
    </row>
    <row r="49007">
      <c r="B49007" s="309"/>
      <c r="C49007" s="309"/>
      <c r="I49007" s="309"/>
      <c r="J49007" s="309"/>
    </row>
    <row r="49008">
      <c r="B49008" s="309"/>
      <c r="C49008" s="309"/>
      <c r="I49008" s="309"/>
      <c r="J49008" s="309"/>
    </row>
    <row r="49009">
      <c r="B49009" s="309"/>
      <c r="C49009" s="309"/>
      <c r="I49009" s="309"/>
      <c r="J49009" s="309"/>
    </row>
    <row r="49010">
      <c r="B49010" s="309"/>
      <c r="C49010" s="309"/>
      <c r="I49010" s="309"/>
      <c r="J49010" s="309"/>
    </row>
    <row r="49011">
      <c r="B49011" s="309"/>
      <c r="C49011" s="309"/>
      <c r="I49011" s="309"/>
      <c r="J49011" s="309"/>
    </row>
    <row r="49012">
      <c r="B49012" s="309"/>
      <c r="C49012" s="309"/>
      <c r="I49012" s="309"/>
      <c r="J49012" s="309"/>
    </row>
    <row r="49013">
      <c r="B49013" s="309"/>
      <c r="C49013" s="309"/>
      <c r="I49013" s="309"/>
      <c r="J49013" s="309"/>
    </row>
    <row r="49014">
      <c r="B49014" s="309"/>
      <c r="C49014" s="309"/>
      <c r="I49014" s="309"/>
      <c r="J49014" s="309"/>
    </row>
    <row r="49015">
      <c r="B49015" s="309"/>
      <c r="C49015" s="309"/>
      <c r="I49015" s="309"/>
      <c r="J49015" s="309"/>
    </row>
    <row r="49016">
      <c r="B49016" s="309"/>
      <c r="C49016" s="309"/>
      <c r="I49016" s="309"/>
      <c r="J49016" s="309"/>
    </row>
    <row r="49017">
      <c r="B49017" s="309"/>
      <c r="C49017" s="309"/>
      <c r="I49017" s="309"/>
      <c r="J49017" s="309"/>
    </row>
    <row r="49018">
      <c r="B49018" s="309"/>
      <c r="C49018" s="309"/>
      <c r="I49018" s="309"/>
      <c r="J49018" s="309"/>
    </row>
    <row r="49019">
      <c r="B49019" s="309"/>
      <c r="C49019" s="309"/>
      <c r="I49019" s="309"/>
      <c r="J49019" s="309"/>
    </row>
    <row r="49020">
      <c r="B49020" s="309"/>
      <c r="C49020" s="309"/>
      <c r="I49020" s="309"/>
      <c r="J49020" s="309"/>
    </row>
    <row r="49021">
      <c r="B49021" s="309"/>
      <c r="C49021" s="309"/>
      <c r="I49021" s="309"/>
      <c r="J49021" s="309"/>
    </row>
    <row r="49022">
      <c r="B49022" s="309"/>
      <c r="C49022" s="309"/>
      <c r="I49022" s="309"/>
      <c r="J49022" s="309"/>
    </row>
    <row r="49023">
      <c r="B49023" s="309"/>
      <c r="C49023" s="309"/>
      <c r="I49023" s="309"/>
      <c r="J49023" s="309"/>
    </row>
    <row r="49024">
      <c r="B49024" s="309"/>
      <c r="C49024" s="309"/>
      <c r="I49024" s="309"/>
      <c r="J49024" s="309"/>
    </row>
    <row r="49025">
      <c r="B49025" s="309"/>
      <c r="C49025" s="309"/>
      <c r="I49025" s="309"/>
      <c r="J49025" s="309"/>
    </row>
    <row r="49026">
      <c r="B49026" s="309"/>
      <c r="C49026" s="309"/>
      <c r="I49026" s="309"/>
      <c r="J49026" s="309"/>
    </row>
    <row r="49027">
      <c r="B49027" s="309"/>
      <c r="C49027" s="309"/>
      <c r="I49027" s="309"/>
      <c r="J49027" s="309"/>
    </row>
    <row r="49028">
      <c r="B49028" s="309"/>
      <c r="C49028" s="309"/>
      <c r="I49028" s="309"/>
      <c r="J49028" s="309"/>
    </row>
    <row r="49029">
      <c r="B49029" s="309"/>
      <c r="C49029" s="309"/>
      <c r="I49029" s="309"/>
      <c r="J49029" s="309"/>
    </row>
    <row r="49030">
      <c r="B49030" s="309"/>
      <c r="C49030" s="309"/>
      <c r="I49030" s="309"/>
      <c r="J49030" s="309"/>
    </row>
    <row r="49031">
      <c r="B49031" s="309"/>
      <c r="C49031" s="309"/>
      <c r="I49031" s="309"/>
      <c r="J49031" s="309"/>
    </row>
    <row r="49032">
      <c r="B49032" s="309"/>
      <c r="C49032" s="309"/>
      <c r="I49032" s="309"/>
      <c r="J49032" s="309"/>
    </row>
    <row r="49033">
      <c r="B49033" s="309"/>
      <c r="C49033" s="309"/>
      <c r="I49033" s="309"/>
      <c r="J49033" s="309"/>
    </row>
    <row r="49034">
      <c r="B49034" s="309"/>
      <c r="C49034" s="309"/>
      <c r="I49034" s="309"/>
      <c r="J49034" s="309"/>
    </row>
    <row r="49035">
      <c r="B49035" s="309"/>
      <c r="C49035" s="309"/>
      <c r="I49035" s="309"/>
      <c r="J49035" s="309"/>
    </row>
    <row r="49036">
      <c r="B49036" s="309"/>
      <c r="C49036" s="309"/>
      <c r="I49036" s="309"/>
      <c r="J49036" s="309"/>
    </row>
    <row r="49037">
      <c r="B49037" s="309"/>
      <c r="C49037" s="309"/>
      <c r="I49037" s="309"/>
      <c r="J49037" s="309"/>
    </row>
    <row r="49038">
      <c r="B49038" s="309"/>
      <c r="C49038" s="309"/>
      <c r="I49038" s="309"/>
      <c r="J49038" s="309"/>
    </row>
    <row r="49039">
      <c r="B49039" s="309"/>
      <c r="C49039" s="309"/>
      <c r="I49039" s="309"/>
      <c r="J49039" s="309"/>
    </row>
    <row r="49040">
      <c r="B49040" s="309"/>
      <c r="C49040" s="309"/>
      <c r="I49040" s="309"/>
      <c r="J49040" s="309"/>
    </row>
    <row r="49041">
      <c r="B49041" s="309"/>
      <c r="C49041" s="309"/>
      <c r="I49041" s="309"/>
      <c r="J49041" s="309"/>
    </row>
    <row r="49042">
      <c r="B49042" s="309"/>
      <c r="C49042" s="309"/>
      <c r="I49042" s="309"/>
      <c r="J49042" s="309"/>
    </row>
    <row r="49043">
      <c r="B49043" s="309"/>
      <c r="C49043" s="309"/>
      <c r="I49043" s="309"/>
      <c r="J49043" s="309"/>
    </row>
    <row r="49044">
      <c r="B49044" s="309"/>
      <c r="C49044" s="309"/>
      <c r="I49044" s="309"/>
      <c r="J49044" s="309"/>
    </row>
    <row r="49045">
      <c r="B49045" s="309"/>
      <c r="C49045" s="309"/>
      <c r="I49045" s="309"/>
      <c r="J49045" s="309"/>
    </row>
    <row r="49046">
      <c r="B49046" s="309"/>
      <c r="C49046" s="309"/>
      <c r="I49046" s="309"/>
      <c r="J49046" s="309"/>
    </row>
    <row r="49047">
      <c r="B49047" s="309"/>
      <c r="C49047" s="309"/>
      <c r="I49047" s="309"/>
      <c r="J49047" s="309"/>
    </row>
    <row r="49048">
      <c r="B49048" s="309"/>
      <c r="C49048" s="309"/>
      <c r="I49048" s="309"/>
      <c r="J49048" s="309"/>
    </row>
    <row r="49049">
      <c r="B49049" s="309"/>
      <c r="C49049" s="309"/>
      <c r="I49049" s="309"/>
      <c r="J49049" s="309"/>
    </row>
    <row r="49050">
      <c r="B49050" s="309"/>
      <c r="C49050" s="309"/>
      <c r="I49050" s="309"/>
      <c r="J49050" s="309"/>
    </row>
    <row r="49051">
      <c r="B49051" s="309"/>
      <c r="C49051" s="309"/>
      <c r="I49051" s="309"/>
      <c r="J49051" s="309"/>
    </row>
    <row r="49052">
      <c r="B49052" s="309"/>
      <c r="C49052" s="309"/>
      <c r="I49052" s="309"/>
      <c r="J49052" s="309"/>
    </row>
    <row r="49053">
      <c r="B49053" s="309"/>
      <c r="C49053" s="309"/>
      <c r="I49053" s="309"/>
      <c r="J49053" s="309"/>
    </row>
    <row r="49054">
      <c r="B49054" s="309"/>
      <c r="C49054" s="309"/>
      <c r="I49054" s="309"/>
      <c r="J49054" s="309"/>
    </row>
    <row r="49055">
      <c r="B49055" s="309"/>
      <c r="C49055" s="309"/>
      <c r="I49055" s="309"/>
      <c r="J49055" s="309"/>
    </row>
    <row r="49056">
      <c r="B49056" s="309"/>
      <c r="C49056" s="309"/>
      <c r="I49056" s="309"/>
      <c r="J49056" s="309"/>
    </row>
    <row r="49057">
      <c r="B49057" s="309"/>
      <c r="C49057" s="309"/>
      <c r="I49057" s="309"/>
      <c r="J49057" s="309"/>
    </row>
    <row r="49058">
      <c r="B49058" s="309"/>
      <c r="C49058" s="309"/>
      <c r="I49058" s="309"/>
      <c r="J49058" s="309"/>
    </row>
    <row r="49059">
      <c r="B49059" s="309"/>
      <c r="C49059" s="309"/>
      <c r="I49059" s="309"/>
      <c r="J49059" s="309"/>
    </row>
    <row r="49060">
      <c r="B49060" s="309"/>
      <c r="C49060" s="309"/>
      <c r="I49060" s="309"/>
      <c r="J49060" s="309"/>
    </row>
    <row r="49061">
      <c r="B49061" s="309"/>
      <c r="C49061" s="309"/>
      <c r="I49061" s="309"/>
      <c r="J49061" s="309"/>
    </row>
    <row r="49062">
      <c r="B49062" s="309"/>
      <c r="C49062" s="309"/>
      <c r="I49062" s="309"/>
      <c r="J49062" s="309"/>
    </row>
    <row r="49063">
      <c r="B49063" s="309"/>
      <c r="C49063" s="309"/>
      <c r="I49063" s="309"/>
      <c r="J49063" s="309"/>
    </row>
    <row r="49064">
      <c r="B49064" s="309"/>
      <c r="C49064" s="309"/>
      <c r="I49064" s="309"/>
      <c r="J49064" s="309"/>
    </row>
    <row r="49065">
      <c r="B49065" s="309"/>
      <c r="C49065" s="309"/>
      <c r="I49065" s="309"/>
      <c r="J49065" s="309"/>
    </row>
    <row r="49066">
      <c r="B49066" s="309"/>
      <c r="C49066" s="309"/>
      <c r="I49066" s="309"/>
      <c r="J49066" s="309"/>
    </row>
    <row r="49067">
      <c r="B49067" s="309"/>
      <c r="C49067" s="309"/>
      <c r="I49067" s="309"/>
      <c r="J49067" s="309"/>
    </row>
    <row r="49068">
      <c r="B49068" s="309"/>
      <c r="C49068" s="309"/>
      <c r="I49068" s="309"/>
      <c r="J49068" s="309"/>
    </row>
    <row r="49069">
      <c r="B49069" s="309"/>
      <c r="C49069" s="309"/>
      <c r="I49069" s="309"/>
      <c r="J49069" s="309"/>
    </row>
    <row r="49070">
      <c r="B49070" s="309"/>
      <c r="C49070" s="309"/>
      <c r="I49070" s="309"/>
      <c r="J49070" s="309"/>
    </row>
    <row r="49071">
      <c r="B49071" s="309"/>
      <c r="C49071" s="309"/>
      <c r="I49071" s="309"/>
      <c r="J49071" s="309"/>
    </row>
    <row r="49072">
      <c r="B49072" s="309"/>
      <c r="C49072" s="309"/>
      <c r="I49072" s="309"/>
      <c r="J49072" s="309"/>
    </row>
    <row r="49073">
      <c r="B49073" s="309"/>
      <c r="C49073" s="309"/>
      <c r="I49073" s="309"/>
      <c r="J49073" s="309"/>
    </row>
    <row r="49074">
      <c r="B49074" s="309"/>
      <c r="C49074" s="309"/>
      <c r="I49074" s="309"/>
      <c r="J49074" s="309"/>
    </row>
    <row r="49075">
      <c r="B49075" s="309"/>
      <c r="C49075" s="309"/>
      <c r="I49075" s="309"/>
      <c r="J49075" s="309"/>
    </row>
    <row r="49076">
      <c r="B49076" s="309"/>
      <c r="C49076" s="309"/>
      <c r="I49076" s="309"/>
      <c r="J49076" s="309"/>
    </row>
    <row r="49077">
      <c r="B49077" s="309"/>
      <c r="C49077" s="309"/>
      <c r="I49077" s="309"/>
      <c r="J49077" s="309"/>
    </row>
    <row r="49078">
      <c r="B49078" s="309"/>
      <c r="C49078" s="309"/>
      <c r="I49078" s="309"/>
      <c r="J49078" s="309"/>
    </row>
    <row r="49079">
      <c r="B49079" s="309"/>
      <c r="C49079" s="309"/>
      <c r="I49079" s="309"/>
      <c r="J49079" s="309"/>
    </row>
    <row r="49080">
      <c r="B49080" s="309"/>
      <c r="C49080" s="309"/>
      <c r="I49080" s="309"/>
      <c r="J49080" s="309"/>
    </row>
    <row r="49081">
      <c r="B49081" s="309"/>
      <c r="C49081" s="309"/>
      <c r="I49081" s="309"/>
      <c r="J49081" s="309"/>
    </row>
    <row r="49082">
      <c r="B49082" s="309"/>
      <c r="C49082" s="309"/>
      <c r="I49082" s="309"/>
      <c r="J49082" s="309"/>
    </row>
    <row r="49083">
      <c r="B49083" s="309"/>
      <c r="C49083" s="309"/>
      <c r="I49083" s="309"/>
      <c r="J49083" s="309"/>
    </row>
    <row r="49084">
      <c r="B49084" s="309"/>
      <c r="C49084" s="309"/>
      <c r="I49084" s="309"/>
      <c r="J49084" s="309"/>
    </row>
    <row r="49085">
      <c r="B49085" s="309"/>
      <c r="C49085" s="309"/>
      <c r="I49085" s="309"/>
      <c r="J49085" s="309"/>
    </row>
    <row r="49086">
      <c r="B49086" s="309"/>
      <c r="C49086" s="309"/>
      <c r="I49086" s="309"/>
      <c r="J49086" s="309"/>
    </row>
    <row r="49087">
      <c r="B49087" s="309"/>
      <c r="C49087" s="309"/>
      <c r="I49087" s="309"/>
      <c r="J49087" s="309"/>
    </row>
    <row r="49088">
      <c r="B49088" s="309"/>
      <c r="C49088" s="309"/>
      <c r="I49088" s="309"/>
      <c r="J49088" s="309"/>
    </row>
    <row r="49089">
      <c r="B49089" s="309"/>
      <c r="C49089" s="309"/>
      <c r="I49089" s="309"/>
      <c r="J49089" s="309"/>
    </row>
    <row r="49090">
      <c r="B49090" s="309"/>
      <c r="C49090" s="309"/>
      <c r="I49090" s="309"/>
      <c r="J49090" s="309"/>
    </row>
    <row r="49091">
      <c r="B49091" s="309"/>
      <c r="C49091" s="309"/>
      <c r="I49091" s="309"/>
      <c r="J49091" s="309"/>
    </row>
    <row r="49092">
      <c r="B49092" s="309"/>
      <c r="C49092" s="309"/>
      <c r="I49092" s="309"/>
      <c r="J49092" s="309"/>
    </row>
    <row r="49093">
      <c r="B49093" s="309"/>
      <c r="C49093" s="309"/>
      <c r="I49093" s="309"/>
      <c r="J49093" s="309"/>
    </row>
    <row r="49094">
      <c r="B49094" s="309"/>
      <c r="C49094" s="309"/>
      <c r="I49094" s="309"/>
      <c r="J49094" s="309"/>
    </row>
    <row r="49095">
      <c r="B49095" s="309"/>
      <c r="C49095" s="309"/>
      <c r="I49095" s="309"/>
      <c r="J49095" s="309"/>
    </row>
    <row r="49096">
      <c r="B49096" s="309"/>
      <c r="C49096" s="309"/>
      <c r="I49096" s="309"/>
      <c r="J49096" s="309"/>
    </row>
    <row r="49097">
      <c r="B49097" s="309"/>
      <c r="C49097" s="309"/>
      <c r="I49097" s="309"/>
      <c r="J49097" s="309"/>
    </row>
    <row r="49098">
      <c r="B49098" s="309"/>
      <c r="C49098" s="309"/>
      <c r="I49098" s="309"/>
      <c r="J49098" s="309"/>
    </row>
    <row r="49099">
      <c r="B49099" s="309"/>
      <c r="C49099" s="309"/>
      <c r="I49099" s="309"/>
      <c r="J49099" s="309"/>
    </row>
    <row r="49100">
      <c r="B49100" s="309"/>
      <c r="C49100" s="309"/>
      <c r="I49100" s="309"/>
      <c r="J49100" s="309"/>
    </row>
    <row r="49101">
      <c r="B49101" s="309"/>
      <c r="C49101" s="309"/>
      <c r="I49101" s="309"/>
      <c r="J49101" s="309"/>
    </row>
    <row r="49102">
      <c r="B49102" s="309"/>
      <c r="C49102" s="309"/>
      <c r="I49102" s="309"/>
      <c r="J49102" s="309"/>
    </row>
    <row r="49103">
      <c r="B49103" s="309"/>
      <c r="C49103" s="309"/>
      <c r="I49103" s="309"/>
      <c r="J49103" s="309"/>
    </row>
    <row r="49104">
      <c r="B49104" s="309"/>
      <c r="C49104" s="309"/>
      <c r="I49104" s="309"/>
      <c r="J49104" s="309"/>
    </row>
    <row r="49105">
      <c r="B49105" s="309"/>
      <c r="C49105" s="309"/>
      <c r="I49105" s="309"/>
      <c r="J49105" s="309"/>
    </row>
    <row r="49106">
      <c r="B49106" s="309"/>
      <c r="C49106" s="309"/>
      <c r="I49106" s="309"/>
      <c r="J49106" s="309"/>
    </row>
    <row r="49107">
      <c r="B49107" s="309"/>
      <c r="C49107" s="309"/>
      <c r="I49107" s="309"/>
      <c r="J49107" s="309"/>
    </row>
    <row r="49108">
      <c r="B49108" s="309"/>
      <c r="C49108" s="309"/>
      <c r="I49108" s="309"/>
      <c r="J49108" s="309"/>
    </row>
    <row r="49109">
      <c r="B49109" s="309"/>
      <c r="C49109" s="309"/>
      <c r="I49109" s="309"/>
      <c r="J49109" s="309"/>
    </row>
    <row r="49110">
      <c r="B49110" s="309"/>
      <c r="C49110" s="309"/>
      <c r="I49110" s="309"/>
      <c r="J49110" s="309"/>
    </row>
    <row r="49111">
      <c r="B49111" s="309"/>
      <c r="C49111" s="309"/>
      <c r="I49111" s="309"/>
      <c r="J49111" s="309"/>
    </row>
    <row r="49112">
      <c r="B49112" s="309"/>
      <c r="C49112" s="309"/>
      <c r="I49112" s="309"/>
      <c r="J49112" s="309"/>
    </row>
    <row r="49113">
      <c r="B49113" s="309"/>
      <c r="C49113" s="309"/>
      <c r="I49113" s="309"/>
      <c r="J49113" s="309"/>
    </row>
    <row r="49114">
      <c r="B49114" s="309"/>
      <c r="C49114" s="309"/>
      <c r="I49114" s="309"/>
      <c r="J49114" s="309"/>
    </row>
    <row r="49115">
      <c r="B49115" s="309"/>
      <c r="C49115" s="309"/>
      <c r="I49115" s="309"/>
      <c r="J49115" s="309"/>
    </row>
    <row r="49116">
      <c r="B49116" s="309"/>
      <c r="C49116" s="309"/>
      <c r="I49116" s="309"/>
      <c r="J49116" s="309"/>
    </row>
    <row r="49117">
      <c r="B49117" s="309"/>
      <c r="C49117" s="309"/>
      <c r="I49117" s="309"/>
      <c r="J49117" s="309"/>
    </row>
    <row r="49118">
      <c r="B49118" s="309"/>
      <c r="C49118" s="309"/>
      <c r="I49118" s="309"/>
      <c r="J49118" s="309"/>
    </row>
    <row r="49119">
      <c r="B49119" s="309"/>
      <c r="C49119" s="309"/>
      <c r="I49119" s="309"/>
      <c r="J49119" s="309"/>
    </row>
    <row r="49120">
      <c r="B49120" s="309"/>
      <c r="C49120" s="309"/>
      <c r="I49120" s="309"/>
      <c r="J49120" s="309"/>
    </row>
    <row r="49121">
      <c r="B49121" s="309"/>
      <c r="C49121" s="309"/>
      <c r="I49121" s="309"/>
      <c r="J49121" s="309"/>
    </row>
    <row r="49122">
      <c r="B49122" s="309"/>
      <c r="C49122" s="309"/>
      <c r="I49122" s="309"/>
      <c r="J49122" s="309"/>
    </row>
    <row r="49123">
      <c r="B49123" s="309"/>
      <c r="C49123" s="309"/>
      <c r="I49123" s="309"/>
      <c r="J49123" s="309"/>
    </row>
    <row r="49124">
      <c r="B49124" s="309"/>
      <c r="C49124" s="309"/>
      <c r="I49124" s="309"/>
      <c r="J49124" s="309"/>
    </row>
    <row r="49125">
      <c r="B49125" s="309"/>
      <c r="C49125" s="309"/>
      <c r="I49125" s="309"/>
      <c r="J49125" s="309"/>
    </row>
    <row r="49126">
      <c r="B49126" s="309"/>
      <c r="C49126" s="309"/>
      <c r="I49126" s="309"/>
      <c r="J49126" s="309"/>
    </row>
    <row r="49127">
      <c r="B49127" s="309"/>
      <c r="C49127" s="309"/>
      <c r="I49127" s="309"/>
      <c r="J49127" s="309"/>
    </row>
    <row r="49128">
      <c r="B49128" s="309"/>
      <c r="C49128" s="309"/>
      <c r="I49128" s="309"/>
      <c r="J49128" s="309"/>
    </row>
    <row r="49129">
      <c r="B49129" s="309"/>
      <c r="C49129" s="309"/>
      <c r="I49129" s="309"/>
      <c r="J49129" s="309"/>
    </row>
    <row r="49130">
      <c r="B49130" s="309"/>
      <c r="C49130" s="309"/>
      <c r="I49130" s="309"/>
      <c r="J49130" s="309"/>
    </row>
    <row r="49131">
      <c r="B49131" s="309"/>
      <c r="C49131" s="309"/>
      <c r="I49131" s="309"/>
      <c r="J49131" s="309"/>
    </row>
    <row r="49132">
      <c r="B49132" s="309"/>
      <c r="C49132" s="309"/>
      <c r="I49132" s="309"/>
      <c r="J49132" s="309"/>
    </row>
    <row r="49133">
      <c r="B49133" s="309"/>
      <c r="C49133" s="309"/>
      <c r="I49133" s="309"/>
      <c r="J49133" s="309"/>
    </row>
    <row r="49134">
      <c r="B49134" s="309"/>
      <c r="C49134" s="309"/>
      <c r="I49134" s="309"/>
      <c r="J49134" s="309"/>
    </row>
    <row r="49135">
      <c r="B49135" s="309"/>
      <c r="C49135" s="309"/>
      <c r="I49135" s="309"/>
      <c r="J49135" s="309"/>
    </row>
    <row r="49136">
      <c r="B49136" s="309"/>
      <c r="C49136" s="309"/>
      <c r="I49136" s="309"/>
      <c r="J49136" s="309"/>
    </row>
    <row r="49137">
      <c r="B49137" s="309"/>
      <c r="C49137" s="309"/>
      <c r="I49137" s="309"/>
      <c r="J49137" s="309"/>
    </row>
    <row r="49138">
      <c r="B49138" s="309"/>
      <c r="C49138" s="309"/>
      <c r="I49138" s="309"/>
      <c r="J49138" s="309"/>
    </row>
    <row r="49139">
      <c r="B49139" s="309"/>
      <c r="C49139" s="309"/>
      <c r="I49139" s="309"/>
      <c r="J49139" s="309"/>
    </row>
    <row r="49140">
      <c r="B49140" s="309"/>
      <c r="C49140" s="309"/>
      <c r="I49140" s="309"/>
      <c r="J49140" s="309"/>
    </row>
    <row r="49141">
      <c r="B49141" s="309"/>
      <c r="C49141" s="309"/>
      <c r="I49141" s="309"/>
      <c r="J49141" s="309"/>
    </row>
    <row r="49142">
      <c r="B49142" s="309"/>
      <c r="C49142" s="309"/>
      <c r="I49142" s="309"/>
      <c r="J49142" s="309"/>
    </row>
    <row r="49143">
      <c r="B49143" s="309"/>
      <c r="C49143" s="309"/>
      <c r="I49143" s="309"/>
      <c r="J49143" s="309"/>
    </row>
    <row r="49144">
      <c r="B49144" s="309"/>
      <c r="C49144" s="309"/>
      <c r="I49144" s="309"/>
      <c r="J49144" s="309"/>
    </row>
    <row r="49145">
      <c r="B49145" s="309"/>
      <c r="C49145" s="309"/>
      <c r="I49145" s="309"/>
      <c r="J49145" s="309"/>
    </row>
    <row r="49146">
      <c r="B49146" s="309"/>
      <c r="C49146" s="309"/>
      <c r="I49146" s="309"/>
      <c r="J49146" s="309"/>
    </row>
    <row r="49147">
      <c r="B49147" s="309"/>
      <c r="C49147" s="309"/>
      <c r="I49147" s="309"/>
      <c r="J49147" s="309"/>
    </row>
    <row r="49148">
      <c r="B49148" s="309"/>
      <c r="C49148" s="309"/>
      <c r="I49148" s="309"/>
      <c r="J49148" s="309"/>
    </row>
    <row r="49149">
      <c r="B49149" s="309"/>
      <c r="C49149" s="309"/>
      <c r="I49149" s="309"/>
      <c r="J49149" s="309"/>
    </row>
    <row r="49150">
      <c r="B49150" s="309"/>
      <c r="C49150" s="309"/>
      <c r="I49150" s="309"/>
      <c r="J49150" s="309"/>
    </row>
    <row r="49151">
      <c r="B49151" s="309"/>
      <c r="C49151" s="309"/>
      <c r="I49151" s="309"/>
      <c r="J49151" s="309"/>
    </row>
    <row r="49152">
      <c r="B49152" s="309"/>
      <c r="C49152" s="309"/>
      <c r="I49152" s="309"/>
      <c r="J49152" s="309"/>
    </row>
    <row r="49153">
      <c r="B49153" s="309"/>
      <c r="C49153" s="309"/>
      <c r="I49153" s="309"/>
      <c r="J49153" s="309"/>
    </row>
    <row r="49154">
      <c r="B49154" s="309"/>
      <c r="C49154" s="309"/>
      <c r="I49154" s="309"/>
      <c r="J49154" s="309"/>
    </row>
    <row r="49155">
      <c r="B49155" s="309"/>
      <c r="C49155" s="309"/>
      <c r="I49155" s="309"/>
      <c r="J49155" s="309"/>
    </row>
    <row r="49156">
      <c r="B49156" s="309"/>
      <c r="C49156" s="309"/>
      <c r="I49156" s="309"/>
      <c r="J49156" s="309"/>
    </row>
    <row r="49157">
      <c r="B49157" s="309"/>
      <c r="C49157" s="309"/>
      <c r="I49157" s="309"/>
      <c r="J49157" s="309"/>
    </row>
    <row r="49158">
      <c r="B49158" s="309"/>
      <c r="C49158" s="309"/>
      <c r="I49158" s="309"/>
      <c r="J49158" s="309"/>
    </row>
    <row r="49159">
      <c r="B49159" s="309"/>
      <c r="C49159" s="309"/>
      <c r="I49159" s="309"/>
      <c r="J49159" s="309"/>
    </row>
    <row r="49160">
      <c r="B49160" s="309"/>
      <c r="C49160" s="309"/>
      <c r="I49160" s="309"/>
      <c r="J49160" s="309"/>
    </row>
    <row r="49161">
      <c r="B49161" s="309"/>
      <c r="C49161" s="309"/>
      <c r="I49161" s="309"/>
      <c r="J49161" s="309"/>
    </row>
    <row r="49162">
      <c r="B49162" s="309"/>
      <c r="C49162" s="309"/>
      <c r="I49162" s="309"/>
      <c r="J49162" s="309"/>
    </row>
    <row r="49163">
      <c r="B49163" s="309"/>
      <c r="C49163" s="309"/>
      <c r="I49163" s="309"/>
      <c r="J49163" s="309"/>
    </row>
    <row r="49164">
      <c r="B49164" s="309"/>
      <c r="C49164" s="309"/>
      <c r="I49164" s="309"/>
      <c r="J49164" s="309"/>
    </row>
    <row r="49165">
      <c r="B49165" s="309"/>
      <c r="C49165" s="309"/>
      <c r="I49165" s="309"/>
      <c r="J49165" s="309"/>
    </row>
    <row r="49166">
      <c r="B49166" s="309"/>
      <c r="C49166" s="309"/>
      <c r="I49166" s="309"/>
      <c r="J49166" s="309"/>
    </row>
    <row r="49167">
      <c r="B49167" s="309"/>
      <c r="C49167" s="309"/>
      <c r="I49167" s="309"/>
      <c r="J49167" s="309"/>
    </row>
    <row r="49168">
      <c r="B49168" s="309"/>
      <c r="C49168" s="309"/>
      <c r="I49168" s="309"/>
      <c r="J49168" s="309"/>
    </row>
    <row r="49169">
      <c r="B49169" s="309"/>
      <c r="C49169" s="309"/>
      <c r="I49169" s="309"/>
      <c r="J49169" s="309"/>
    </row>
    <row r="49170">
      <c r="B49170" s="309"/>
      <c r="C49170" s="309"/>
      <c r="I49170" s="309"/>
      <c r="J49170" s="309"/>
    </row>
    <row r="49171">
      <c r="B49171" s="309"/>
      <c r="C49171" s="309"/>
      <c r="I49171" s="309"/>
      <c r="J49171" s="309"/>
    </row>
    <row r="49172">
      <c r="B49172" s="309"/>
      <c r="C49172" s="309"/>
      <c r="I49172" s="309"/>
      <c r="J49172" s="309"/>
    </row>
    <row r="49173">
      <c r="B49173" s="309"/>
      <c r="C49173" s="309"/>
      <c r="I49173" s="309"/>
      <c r="J49173" s="309"/>
    </row>
    <row r="49174">
      <c r="B49174" s="309"/>
      <c r="C49174" s="309"/>
      <c r="I49174" s="309"/>
      <c r="J49174" s="309"/>
    </row>
    <row r="49175">
      <c r="B49175" s="309"/>
      <c r="C49175" s="309"/>
      <c r="I49175" s="309"/>
      <c r="J49175" s="309"/>
    </row>
    <row r="49176">
      <c r="B49176" s="309"/>
      <c r="C49176" s="309"/>
      <c r="I49176" s="309"/>
      <c r="J49176" s="309"/>
    </row>
    <row r="49177">
      <c r="B49177" s="309"/>
      <c r="C49177" s="309"/>
      <c r="I49177" s="309"/>
      <c r="J49177" s="309"/>
    </row>
    <row r="49178">
      <c r="B49178" s="309"/>
      <c r="C49178" s="309"/>
      <c r="I49178" s="309"/>
      <c r="J49178" s="309"/>
    </row>
    <row r="49179">
      <c r="B49179" s="309"/>
      <c r="C49179" s="309"/>
      <c r="I49179" s="309"/>
      <c r="J49179" s="309"/>
    </row>
    <row r="49180">
      <c r="B49180" s="309"/>
      <c r="C49180" s="309"/>
      <c r="I49180" s="309"/>
      <c r="J49180" s="309"/>
    </row>
    <row r="49181">
      <c r="B49181" s="309"/>
      <c r="C49181" s="309"/>
      <c r="I49181" s="309"/>
      <c r="J49181" s="309"/>
    </row>
    <row r="49182">
      <c r="B49182" s="309"/>
      <c r="C49182" s="309"/>
      <c r="I49182" s="309"/>
      <c r="J49182" s="309"/>
    </row>
    <row r="49183">
      <c r="B49183" s="309"/>
      <c r="C49183" s="309"/>
      <c r="I49183" s="309"/>
      <c r="J49183" s="309"/>
    </row>
    <row r="49184">
      <c r="B49184" s="309"/>
      <c r="C49184" s="309"/>
      <c r="I49184" s="309"/>
      <c r="J49184" s="309"/>
    </row>
    <row r="49185">
      <c r="B49185" s="309"/>
      <c r="C49185" s="309"/>
      <c r="I49185" s="309"/>
      <c r="J49185" s="309"/>
    </row>
    <row r="49186">
      <c r="B49186" s="309"/>
      <c r="C49186" s="309"/>
      <c r="I49186" s="309"/>
      <c r="J49186" s="309"/>
    </row>
    <row r="49187">
      <c r="B49187" s="309"/>
      <c r="C49187" s="309"/>
      <c r="I49187" s="309"/>
      <c r="J49187" s="309"/>
    </row>
    <row r="49188">
      <c r="B49188" s="309"/>
      <c r="C49188" s="309"/>
      <c r="I49188" s="309"/>
      <c r="J49188" s="309"/>
    </row>
    <row r="49189">
      <c r="B49189" s="309"/>
      <c r="C49189" s="309"/>
      <c r="I49189" s="309"/>
      <c r="J49189" s="309"/>
    </row>
    <row r="49190">
      <c r="B49190" s="309"/>
      <c r="C49190" s="309"/>
      <c r="I49190" s="309"/>
      <c r="J49190" s="309"/>
    </row>
    <row r="49191">
      <c r="B49191" s="309"/>
      <c r="C49191" s="309"/>
      <c r="I49191" s="309"/>
      <c r="J49191" s="309"/>
    </row>
    <row r="49192">
      <c r="B49192" s="309"/>
      <c r="C49192" s="309"/>
      <c r="I49192" s="309"/>
      <c r="J49192" s="309"/>
    </row>
    <row r="49193">
      <c r="B49193" s="309"/>
      <c r="C49193" s="309"/>
      <c r="I49193" s="309"/>
      <c r="J49193" s="309"/>
    </row>
    <row r="49194">
      <c r="B49194" s="309"/>
      <c r="C49194" s="309"/>
      <c r="I49194" s="309"/>
      <c r="J49194" s="309"/>
    </row>
    <row r="49195">
      <c r="B49195" s="309"/>
      <c r="C49195" s="309"/>
      <c r="I49195" s="309"/>
      <c r="J49195" s="309"/>
    </row>
    <row r="49196">
      <c r="B49196" s="309"/>
      <c r="C49196" s="309"/>
      <c r="I49196" s="309"/>
      <c r="J49196" s="309"/>
    </row>
    <row r="49197">
      <c r="B49197" s="309"/>
      <c r="C49197" s="309"/>
      <c r="I49197" s="309"/>
      <c r="J49197" s="309"/>
    </row>
    <row r="49198">
      <c r="B49198" s="309"/>
      <c r="C49198" s="309"/>
      <c r="I49198" s="309"/>
      <c r="J49198" s="309"/>
    </row>
    <row r="49199">
      <c r="B49199" s="309"/>
      <c r="C49199" s="309"/>
      <c r="I49199" s="309"/>
      <c r="J49199" s="309"/>
    </row>
    <row r="49200">
      <c r="B49200" s="309"/>
      <c r="C49200" s="309"/>
      <c r="I49200" s="309"/>
      <c r="J49200" s="309"/>
    </row>
    <row r="49201">
      <c r="B49201" s="309"/>
      <c r="C49201" s="309"/>
      <c r="I49201" s="309"/>
      <c r="J49201" s="309"/>
    </row>
    <row r="49202">
      <c r="B49202" s="309"/>
      <c r="C49202" s="309"/>
      <c r="I49202" s="309"/>
      <c r="J49202" s="309"/>
    </row>
    <row r="49203">
      <c r="B49203" s="309"/>
      <c r="C49203" s="309"/>
      <c r="I49203" s="309"/>
      <c r="J49203" s="309"/>
    </row>
    <row r="49204">
      <c r="B49204" s="309"/>
      <c r="C49204" s="309"/>
      <c r="I49204" s="309"/>
      <c r="J49204" s="309"/>
    </row>
    <row r="49205">
      <c r="B49205" s="309"/>
      <c r="C49205" s="309"/>
      <c r="I49205" s="309"/>
      <c r="J49205" s="309"/>
    </row>
    <row r="49206">
      <c r="B49206" s="309"/>
      <c r="C49206" s="309"/>
      <c r="I49206" s="309"/>
      <c r="J49206" s="309"/>
    </row>
    <row r="49207">
      <c r="B49207" s="309"/>
      <c r="C49207" s="309"/>
      <c r="I49207" s="309"/>
      <c r="J49207" s="309"/>
    </row>
    <row r="49208">
      <c r="B49208" s="309"/>
      <c r="C49208" s="309"/>
      <c r="I49208" s="309"/>
      <c r="J49208" s="309"/>
    </row>
    <row r="49209">
      <c r="B49209" s="309"/>
      <c r="C49209" s="309"/>
      <c r="I49209" s="309"/>
      <c r="J49209" s="309"/>
    </row>
    <row r="49210">
      <c r="B49210" s="309"/>
      <c r="C49210" s="309"/>
      <c r="I49210" s="309"/>
      <c r="J49210" s="309"/>
    </row>
    <row r="49211">
      <c r="B49211" s="309"/>
      <c r="C49211" s="309"/>
      <c r="I49211" s="309"/>
      <c r="J49211" s="309"/>
    </row>
    <row r="49212">
      <c r="B49212" s="309"/>
      <c r="C49212" s="309"/>
      <c r="I49212" s="309"/>
      <c r="J49212" s="309"/>
    </row>
    <row r="49213">
      <c r="B49213" s="309"/>
      <c r="C49213" s="309"/>
      <c r="I49213" s="309"/>
      <c r="J49213" s="309"/>
    </row>
    <row r="49214">
      <c r="B49214" s="309"/>
      <c r="C49214" s="309"/>
      <c r="I49214" s="309"/>
      <c r="J49214" s="309"/>
    </row>
    <row r="49215">
      <c r="B49215" s="309"/>
      <c r="C49215" s="309"/>
      <c r="I49215" s="309"/>
      <c r="J49215" s="309"/>
    </row>
    <row r="49216">
      <c r="B49216" s="309"/>
      <c r="C49216" s="309"/>
      <c r="I49216" s="309"/>
      <c r="J49216" s="309"/>
    </row>
    <row r="49217">
      <c r="B49217" s="309"/>
      <c r="C49217" s="309"/>
      <c r="I49217" s="309"/>
      <c r="J49217" s="309"/>
    </row>
    <row r="49218">
      <c r="B49218" s="309"/>
      <c r="C49218" s="309"/>
      <c r="I49218" s="309"/>
      <c r="J49218" s="309"/>
    </row>
    <row r="49219">
      <c r="B49219" s="309"/>
      <c r="C49219" s="309"/>
      <c r="I49219" s="309"/>
      <c r="J49219" s="309"/>
    </row>
    <row r="49220">
      <c r="B49220" s="309"/>
      <c r="C49220" s="309"/>
      <c r="I49220" s="309"/>
      <c r="J49220" s="309"/>
    </row>
    <row r="49221">
      <c r="B49221" s="309"/>
      <c r="C49221" s="309"/>
      <c r="I49221" s="309"/>
      <c r="J49221" s="309"/>
    </row>
    <row r="49222">
      <c r="B49222" s="309"/>
      <c r="C49222" s="309"/>
      <c r="I49222" s="309"/>
      <c r="J49222" s="309"/>
    </row>
    <row r="49223">
      <c r="B49223" s="309"/>
      <c r="C49223" s="309"/>
      <c r="I49223" s="309"/>
      <c r="J49223" s="309"/>
    </row>
    <row r="49224">
      <c r="B49224" s="309"/>
      <c r="C49224" s="309"/>
      <c r="I49224" s="309"/>
      <c r="J49224" s="309"/>
    </row>
    <row r="49225">
      <c r="B49225" s="309"/>
      <c r="C49225" s="309"/>
      <c r="I49225" s="309"/>
      <c r="J49225" s="309"/>
    </row>
    <row r="49226">
      <c r="B49226" s="309"/>
      <c r="C49226" s="309"/>
      <c r="I49226" s="309"/>
      <c r="J49226" s="309"/>
    </row>
    <row r="49227">
      <c r="B49227" s="309"/>
      <c r="C49227" s="309"/>
      <c r="I49227" s="309"/>
      <c r="J49227" s="309"/>
    </row>
    <row r="49228">
      <c r="B49228" s="309"/>
      <c r="C49228" s="309"/>
      <c r="I49228" s="309"/>
      <c r="J49228" s="309"/>
    </row>
    <row r="49229">
      <c r="B49229" s="309"/>
      <c r="C49229" s="309"/>
      <c r="I49229" s="309"/>
      <c r="J49229" s="309"/>
    </row>
    <row r="49230">
      <c r="B49230" s="309"/>
      <c r="C49230" s="309"/>
      <c r="I49230" s="309"/>
      <c r="J49230" s="309"/>
    </row>
    <row r="49231">
      <c r="B49231" s="309"/>
      <c r="C49231" s="309"/>
      <c r="I49231" s="309"/>
      <c r="J49231" s="309"/>
    </row>
    <row r="49232">
      <c r="B49232" s="309"/>
      <c r="C49232" s="309"/>
      <c r="I49232" s="309"/>
      <c r="J49232" s="309"/>
    </row>
    <row r="49233">
      <c r="B49233" s="309"/>
      <c r="C49233" s="309"/>
      <c r="I49233" s="309"/>
      <c r="J49233" s="309"/>
    </row>
    <row r="49234">
      <c r="B49234" s="309"/>
      <c r="C49234" s="309"/>
      <c r="I49234" s="309"/>
      <c r="J49234" s="309"/>
    </row>
    <row r="49235">
      <c r="B49235" s="309"/>
      <c r="C49235" s="309"/>
      <c r="I49235" s="309"/>
      <c r="J49235" s="309"/>
    </row>
    <row r="49236">
      <c r="B49236" s="309"/>
      <c r="C49236" s="309"/>
      <c r="I49236" s="309"/>
      <c r="J49236" s="309"/>
    </row>
    <row r="49237">
      <c r="B49237" s="309"/>
      <c r="C49237" s="309"/>
      <c r="I49237" s="309"/>
      <c r="J49237" s="309"/>
    </row>
    <row r="49238">
      <c r="B49238" s="309"/>
      <c r="C49238" s="309"/>
      <c r="I49238" s="309"/>
      <c r="J49238" s="309"/>
    </row>
    <row r="49239">
      <c r="B49239" s="309"/>
      <c r="C49239" s="309"/>
      <c r="I49239" s="309"/>
      <c r="J49239" s="309"/>
    </row>
    <row r="49240">
      <c r="B49240" s="309"/>
      <c r="C49240" s="309"/>
      <c r="I49240" s="309"/>
      <c r="J49240" s="309"/>
    </row>
    <row r="49241">
      <c r="B49241" s="309"/>
      <c r="C49241" s="309"/>
      <c r="I49241" s="309"/>
      <c r="J49241" s="309"/>
    </row>
    <row r="49242">
      <c r="B49242" s="309"/>
      <c r="C49242" s="309"/>
      <c r="I49242" s="309"/>
      <c r="J49242" s="309"/>
    </row>
    <row r="49243">
      <c r="B49243" s="309"/>
      <c r="C49243" s="309"/>
      <c r="I49243" s="309"/>
      <c r="J49243" s="309"/>
    </row>
    <row r="49244">
      <c r="B49244" s="309"/>
      <c r="C49244" s="309"/>
      <c r="I49244" s="309"/>
      <c r="J49244" s="309"/>
    </row>
    <row r="49245">
      <c r="B49245" s="309"/>
      <c r="C49245" s="309"/>
      <c r="I49245" s="309"/>
      <c r="J49245" s="309"/>
    </row>
    <row r="49246">
      <c r="B49246" s="309"/>
      <c r="C49246" s="309"/>
      <c r="I49246" s="309"/>
      <c r="J49246" s="309"/>
    </row>
    <row r="49247">
      <c r="B49247" s="309"/>
      <c r="C49247" s="309"/>
      <c r="I49247" s="309"/>
      <c r="J49247" s="309"/>
    </row>
    <row r="49248">
      <c r="B49248" s="309"/>
      <c r="C49248" s="309"/>
      <c r="I49248" s="309"/>
      <c r="J49248" s="309"/>
    </row>
    <row r="49249">
      <c r="B49249" s="309"/>
      <c r="C49249" s="309"/>
      <c r="I49249" s="309"/>
      <c r="J49249" s="309"/>
    </row>
    <row r="49250">
      <c r="B49250" s="309"/>
      <c r="C49250" s="309"/>
      <c r="I49250" s="309"/>
      <c r="J49250" s="309"/>
    </row>
    <row r="49251">
      <c r="B49251" s="309"/>
      <c r="C49251" s="309"/>
      <c r="I49251" s="309"/>
      <c r="J49251" s="309"/>
    </row>
    <row r="49252">
      <c r="B49252" s="309"/>
      <c r="C49252" s="309"/>
      <c r="I49252" s="309"/>
      <c r="J49252" s="309"/>
    </row>
    <row r="49253">
      <c r="B49253" s="309"/>
      <c r="C49253" s="309"/>
      <c r="I49253" s="309"/>
      <c r="J49253" s="309"/>
    </row>
    <row r="49254">
      <c r="B49254" s="309"/>
      <c r="C49254" s="309"/>
      <c r="I49254" s="309"/>
      <c r="J49254" s="309"/>
    </row>
    <row r="49255">
      <c r="B49255" s="309"/>
      <c r="C49255" s="309"/>
      <c r="I49255" s="309"/>
      <c r="J49255" s="309"/>
    </row>
    <row r="49256">
      <c r="B49256" s="309"/>
      <c r="C49256" s="309"/>
      <c r="I49256" s="309"/>
      <c r="J49256" s="309"/>
    </row>
    <row r="49257">
      <c r="B49257" s="309"/>
      <c r="C49257" s="309"/>
      <c r="I49257" s="309"/>
      <c r="J49257" s="309"/>
    </row>
    <row r="49258">
      <c r="B49258" s="309"/>
      <c r="C49258" s="309"/>
      <c r="I49258" s="309"/>
      <c r="J49258" s="309"/>
    </row>
    <row r="49259">
      <c r="B49259" s="309"/>
      <c r="C49259" s="309"/>
      <c r="I49259" s="309"/>
      <c r="J49259" s="309"/>
    </row>
    <row r="49260">
      <c r="B49260" s="309"/>
      <c r="C49260" s="309"/>
      <c r="I49260" s="309"/>
      <c r="J49260" s="309"/>
    </row>
    <row r="49261">
      <c r="B49261" s="309"/>
      <c r="C49261" s="309"/>
      <c r="I49261" s="309"/>
      <c r="J49261" s="309"/>
    </row>
    <row r="49262">
      <c r="B49262" s="309"/>
      <c r="C49262" s="309"/>
      <c r="I49262" s="309"/>
      <c r="J49262" s="309"/>
    </row>
    <row r="49263">
      <c r="B49263" s="309"/>
      <c r="C49263" s="309"/>
      <c r="I49263" s="309"/>
      <c r="J49263" s="309"/>
    </row>
    <row r="49264">
      <c r="B49264" s="309"/>
      <c r="C49264" s="309"/>
      <c r="I49264" s="309"/>
      <c r="J49264" s="309"/>
    </row>
    <row r="49265">
      <c r="B49265" s="309"/>
      <c r="C49265" s="309"/>
      <c r="I49265" s="309"/>
      <c r="J49265" s="309"/>
    </row>
    <row r="49266">
      <c r="B49266" s="309"/>
      <c r="C49266" s="309"/>
      <c r="I49266" s="309"/>
      <c r="J49266" s="309"/>
    </row>
    <row r="49267">
      <c r="B49267" s="309"/>
      <c r="C49267" s="309"/>
      <c r="I49267" s="309"/>
      <c r="J49267" s="309"/>
    </row>
    <row r="49268">
      <c r="B49268" s="309"/>
      <c r="C49268" s="309"/>
      <c r="I49268" s="309"/>
      <c r="J49268" s="309"/>
    </row>
    <row r="49269">
      <c r="B49269" s="309"/>
      <c r="C49269" s="309"/>
      <c r="I49269" s="309"/>
      <c r="J49269" s="309"/>
    </row>
    <row r="49270">
      <c r="B49270" s="309"/>
      <c r="C49270" s="309"/>
      <c r="I49270" s="309"/>
      <c r="J49270" s="309"/>
    </row>
    <row r="49271">
      <c r="B49271" s="309"/>
      <c r="C49271" s="309"/>
      <c r="I49271" s="309"/>
      <c r="J49271" s="309"/>
    </row>
    <row r="49272">
      <c r="B49272" s="309"/>
      <c r="C49272" s="309"/>
      <c r="I49272" s="309"/>
      <c r="J49272" s="309"/>
    </row>
    <row r="49273">
      <c r="B49273" s="309"/>
      <c r="C49273" s="309"/>
      <c r="I49273" s="309"/>
      <c r="J49273" s="309"/>
    </row>
    <row r="49274">
      <c r="B49274" s="309"/>
      <c r="C49274" s="309"/>
      <c r="I49274" s="309"/>
      <c r="J49274" s="309"/>
    </row>
    <row r="49275">
      <c r="B49275" s="309"/>
      <c r="C49275" s="309"/>
      <c r="I49275" s="309"/>
      <c r="J49275" s="309"/>
    </row>
    <row r="49276">
      <c r="B49276" s="309"/>
      <c r="C49276" s="309"/>
      <c r="I49276" s="309"/>
      <c r="J49276" s="309"/>
    </row>
    <row r="49277">
      <c r="B49277" s="309"/>
      <c r="C49277" s="309"/>
      <c r="I49277" s="309"/>
      <c r="J49277" s="309"/>
    </row>
    <row r="49278">
      <c r="B49278" s="309"/>
      <c r="C49278" s="309"/>
      <c r="I49278" s="309"/>
      <c r="J49278" s="309"/>
    </row>
    <row r="49279">
      <c r="B49279" s="309"/>
      <c r="C49279" s="309"/>
      <c r="I49279" s="309"/>
      <c r="J49279" s="309"/>
    </row>
    <row r="49280">
      <c r="B49280" s="309"/>
      <c r="C49280" s="309"/>
      <c r="I49280" s="309"/>
      <c r="J49280" s="309"/>
    </row>
    <row r="49281">
      <c r="B49281" s="309"/>
      <c r="C49281" s="309"/>
      <c r="I49281" s="309"/>
      <c r="J49281" s="309"/>
    </row>
    <row r="49282">
      <c r="B49282" s="309"/>
      <c r="C49282" s="309"/>
      <c r="I49282" s="309"/>
      <c r="J49282" s="309"/>
    </row>
    <row r="49283">
      <c r="B49283" s="309"/>
      <c r="C49283" s="309"/>
      <c r="I49283" s="309"/>
      <c r="J49283" s="309"/>
    </row>
    <row r="49284">
      <c r="B49284" s="309"/>
      <c r="C49284" s="309"/>
      <c r="I49284" s="309"/>
      <c r="J49284" s="309"/>
    </row>
    <row r="49285">
      <c r="B49285" s="309"/>
      <c r="C49285" s="309"/>
      <c r="I49285" s="309"/>
      <c r="J49285" s="309"/>
    </row>
    <row r="49286">
      <c r="B49286" s="309"/>
      <c r="C49286" s="309"/>
      <c r="I49286" s="309"/>
      <c r="J49286" s="309"/>
    </row>
    <row r="49287">
      <c r="B49287" s="309"/>
      <c r="C49287" s="309"/>
      <c r="I49287" s="309"/>
      <c r="J49287" s="309"/>
    </row>
    <row r="49288">
      <c r="B49288" s="309"/>
      <c r="C49288" s="309"/>
      <c r="I49288" s="309"/>
      <c r="J49288" s="309"/>
    </row>
    <row r="49289">
      <c r="B49289" s="309"/>
      <c r="C49289" s="309"/>
      <c r="I49289" s="309"/>
      <c r="J49289" s="309"/>
    </row>
    <row r="49290">
      <c r="B49290" s="309"/>
      <c r="C49290" s="309"/>
      <c r="I49290" s="309"/>
      <c r="J49290" s="309"/>
    </row>
    <row r="49291">
      <c r="B49291" s="309"/>
      <c r="C49291" s="309"/>
      <c r="I49291" s="309"/>
      <c r="J49291" s="309"/>
    </row>
    <row r="49292">
      <c r="B49292" s="309"/>
      <c r="C49292" s="309"/>
      <c r="I49292" s="309"/>
      <c r="J49292" s="309"/>
    </row>
    <row r="49293">
      <c r="B49293" s="309"/>
      <c r="C49293" s="309"/>
      <c r="I49293" s="309"/>
      <c r="J49293" s="309"/>
    </row>
    <row r="49294">
      <c r="B49294" s="309"/>
      <c r="C49294" s="309"/>
      <c r="I49294" s="309"/>
      <c r="J49294" s="309"/>
    </row>
    <row r="49295">
      <c r="B49295" s="309"/>
      <c r="C49295" s="309"/>
      <c r="I49295" s="309"/>
      <c r="J49295" s="309"/>
    </row>
    <row r="49296">
      <c r="B49296" s="309"/>
      <c r="C49296" s="309"/>
      <c r="I49296" s="309"/>
      <c r="J49296" s="309"/>
    </row>
    <row r="49297">
      <c r="B49297" s="309"/>
      <c r="C49297" s="309"/>
      <c r="I49297" s="309"/>
      <c r="J49297" s="309"/>
    </row>
    <row r="49298">
      <c r="B49298" s="309"/>
      <c r="C49298" s="309"/>
      <c r="I49298" s="309"/>
      <c r="J49298" s="309"/>
    </row>
    <row r="49299">
      <c r="B49299" s="309"/>
      <c r="C49299" s="309"/>
      <c r="I49299" s="309"/>
      <c r="J49299" s="309"/>
    </row>
    <row r="49300">
      <c r="B49300" s="309"/>
      <c r="C49300" s="309"/>
      <c r="I49300" s="309"/>
      <c r="J49300" s="309"/>
    </row>
    <row r="49301">
      <c r="B49301" s="309"/>
      <c r="C49301" s="309"/>
      <c r="I49301" s="309"/>
      <c r="J49301" s="309"/>
    </row>
    <row r="49302">
      <c r="B49302" s="309"/>
      <c r="C49302" s="309"/>
      <c r="I49302" s="309"/>
      <c r="J49302" s="309"/>
    </row>
    <row r="49303">
      <c r="B49303" s="309"/>
      <c r="C49303" s="309"/>
      <c r="I49303" s="309"/>
      <c r="J49303" s="309"/>
    </row>
    <row r="49304">
      <c r="B49304" s="309"/>
      <c r="C49304" s="309"/>
      <c r="I49304" s="309"/>
      <c r="J49304" s="309"/>
    </row>
    <row r="49305">
      <c r="B49305" s="309"/>
      <c r="C49305" s="309"/>
      <c r="I49305" s="309"/>
      <c r="J49305" s="309"/>
    </row>
    <row r="49306">
      <c r="B49306" s="309"/>
      <c r="C49306" s="309"/>
      <c r="I49306" s="309"/>
      <c r="J49306" s="309"/>
    </row>
    <row r="49307">
      <c r="B49307" s="309"/>
      <c r="C49307" s="309"/>
      <c r="I49307" s="309"/>
      <c r="J49307" s="309"/>
    </row>
    <row r="49308">
      <c r="B49308" s="309"/>
      <c r="C49308" s="309"/>
      <c r="I49308" s="309"/>
      <c r="J49308" s="309"/>
    </row>
    <row r="49309">
      <c r="B49309" s="309"/>
      <c r="C49309" s="309"/>
      <c r="I49309" s="309"/>
      <c r="J49309" s="309"/>
    </row>
    <row r="49310">
      <c r="B49310" s="309"/>
      <c r="C49310" s="309"/>
      <c r="I49310" s="309"/>
      <c r="J49310" s="309"/>
    </row>
    <row r="49311">
      <c r="B49311" s="309"/>
      <c r="C49311" s="309"/>
      <c r="I49311" s="309"/>
      <c r="J49311" s="309"/>
    </row>
    <row r="49312">
      <c r="B49312" s="309"/>
      <c r="C49312" s="309"/>
      <c r="I49312" s="309"/>
      <c r="J49312" s="309"/>
    </row>
    <row r="49313">
      <c r="B49313" s="309"/>
      <c r="C49313" s="309"/>
      <c r="I49313" s="309"/>
      <c r="J49313" s="309"/>
    </row>
    <row r="49314">
      <c r="B49314" s="309"/>
      <c r="C49314" s="309"/>
      <c r="I49314" s="309"/>
      <c r="J49314" s="309"/>
    </row>
    <row r="49315">
      <c r="B49315" s="309"/>
      <c r="C49315" s="309"/>
      <c r="I49315" s="309"/>
      <c r="J49315" s="309"/>
    </row>
    <row r="49316">
      <c r="B49316" s="309"/>
      <c r="C49316" s="309"/>
      <c r="I49316" s="309"/>
      <c r="J49316" s="309"/>
    </row>
    <row r="49317">
      <c r="B49317" s="309"/>
      <c r="C49317" s="309"/>
      <c r="I49317" s="309"/>
      <c r="J49317" s="309"/>
    </row>
    <row r="49318">
      <c r="B49318" s="309"/>
      <c r="C49318" s="309"/>
      <c r="I49318" s="309"/>
      <c r="J49318" s="309"/>
    </row>
    <row r="49319">
      <c r="B49319" s="309"/>
      <c r="C49319" s="309"/>
      <c r="I49319" s="309"/>
      <c r="J49319" s="309"/>
    </row>
    <row r="49320">
      <c r="B49320" s="309"/>
      <c r="C49320" s="309"/>
      <c r="I49320" s="309"/>
      <c r="J49320" s="309"/>
    </row>
    <row r="49321">
      <c r="B49321" s="309"/>
      <c r="C49321" s="309"/>
      <c r="I49321" s="309"/>
      <c r="J49321" s="309"/>
    </row>
    <row r="49322">
      <c r="B49322" s="309"/>
      <c r="C49322" s="309"/>
      <c r="I49322" s="309"/>
      <c r="J49322" s="309"/>
    </row>
    <row r="49323">
      <c r="B49323" s="309"/>
      <c r="C49323" s="309"/>
      <c r="I49323" s="309"/>
      <c r="J49323" s="309"/>
    </row>
    <row r="49324">
      <c r="B49324" s="309"/>
      <c r="C49324" s="309"/>
      <c r="I49324" s="309"/>
      <c r="J49324" s="309"/>
    </row>
    <row r="49325">
      <c r="B49325" s="309"/>
      <c r="C49325" s="309"/>
      <c r="I49325" s="309"/>
      <c r="J49325" s="309"/>
    </row>
    <row r="49326">
      <c r="B49326" s="309"/>
      <c r="C49326" s="309"/>
      <c r="I49326" s="309"/>
      <c r="J49326" s="309"/>
    </row>
    <row r="49327">
      <c r="B49327" s="309"/>
      <c r="C49327" s="309"/>
      <c r="I49327" s="309"/>
      <c r="J49327" s="309"/>
    </row>
    <row r="49328">
      <c r="B49328" s="309"/>
      <c r="C49328" s="309"/>
      <c r="I49328" s="309"/>
      <c r="J49328" s="309"/>
    </row>
    <row r="49329">
      <c r="B49329" s="309"/>
      <c r="C49329" s="309"/>
      <c r="I49329" s="309"/>
      <c r="J49329" s="309"/>
    </row>
    <row r="49330">
      <c r="B49330" s="309"/>
      <c r="C49330" s="309"/>
      <c r="I49330" s="309"/>
      <c r="J49330" s="309"/>
    </row>
    <row r="49331">
      <c r="B49331" s="309"/>
      <c r="C49331" s="309"/>
      <c r="I49331" s="309"/>
      <c r="J49331" s="309"/>
    </row>
    <row r="49332">
      <c r="B49332" s="309"/>
      <c r="C49332" s="309"/>
      <c r="I49332" s="309"/>
      <c r="J49332" s="309"/>
    </row>
    <row r="49333">
      <c r="B49333" s="309"/>
      <c r="C49333" s="309"/>
      <c r="I49333" s="309"/>
      <c r="J49333" s="309"/>
    </row>
    <row r="49334">
      <c r="B49334" s="309"/>
      <c r="C49334" s="309"/>
      <c r="I49334" s="309"/>
      <c r="J49334" s="309"/>
    </row>
    <row r="49335">
      <c r="B49335" s="309"/>
      <c r="C49335" s="309"/>
      <c r="I49335" s="309"/>
      <c r="J49335" s="309"/>
    </row>
    <row r="49336">
      <c r="B49336" s="309"/>
      <c r="C49336" s="309"/>
      <c r="I49336" s="309"/>
      <c r="J49336" s="309"/>
    </row>
    <row r="49337">
      <c r="B49337" s="309"/>
      <c r="C49337" s="309"/>
      <c r="I49337" s="309"/>
      <c r="J49337" s="309"/>
    </row>
    <row r="49338">
      <c r="B49338" s="309"/>
      <c r="C49338" s="309"/>
      <c r="I49338" s="309"/>
      <c r="J49338" s="309"/>
    </row>
    <row r="49339">
      <c r="B49339" s="309"/>
      <c r="C49339" s="309"/>
      <c r="I49339" s="309"/>
      <c r="J49339" s="309"/>
    </row>
    <row r="49340">
      <c r="B49340" s="309"/>
      <c r="C49340" s="309"/>
      <c r="I49340" s="309"/>
      <c r="J49340" s="309"/>
    </row>
    <row r="49341">
      <c r="B49341" s="309"/>
      <c r="C49341" s="309"/>
      <c r="I49341" s="309"/>
      <c r="J49341" s="309"/>
    </row>
    <row r="49342">
      <c r="B49342" s="309"/>
      <c r="C49342" s="309"/>
      <c r="I49342" s="309"/>
      <c r="J49342" s="309"/>
    </row>
    <row r="49343">
      <c r="B49343" s="309"/>
      <c r="C49343" s="309"/>
      <c r="I49343" s="309"/>
      <c r="J49343" s="309"/>
    </row>
    <row r="49344">
      <c r="B49344" s="309"/>
      <c r="C49344" s="309"/>
      <c r="I49344" s="309"/>
      <c r="J49344" s="309"/>
    </row>
    <row r="49345">
      <c r="B49345" s="309"/>
      <c r="C49345" s="309"/>
      <c r="I49345" s="309"/>
      <c r="J49345" s="309"/>
    </row>
    <row r="49346">
      <c r="B49346" s="309"/>
      <c r="C49346" s="309"/>
      <c r="I49346" s="309"/>
      <c r="J49346" s="309"/>
    </row>
    <row r="49347">
      <c r="B49347" s="309"/>
      <c r="C49347" s="309"/>
      <c r="I49347" s="309"/>
      <c r="J49347" s="309"/>
    </row>
    <row r="49348">
      <c r="B49348" s="309"/>
      <c r="C49348" s="309"/>
      <c r="I49348" s="309"/>
      <c r="J49348" s="309"/>
    </row>
    <row r="49349">
      <c r="B49349" s="309"/>
      <c r="C49349" s="309"/>
      <c r="I49349" s="309"/>
      <c r="J49349" s="309"/>
    </row>
    <row r="49350">
      <c r="B49350" s="309"/>
      <c r="C49350" s="309"/>
      <c r="I49350" s="309"/>
      <c r="J49350" s="309"/>
    </row>
    <row r="49351">
      <c r="B49351" s="309"/>
      <c r="C49351" s="309"/>
      <c r="I49351" s="309"/>
      <c r="J49351" s="309"/>
    </row>
    <row r="49352">
      <c r="B49352" s="309"/>
      <c r="C49352" s="309"/>
      <c r="I49352" s="309"/>
      <c r="J49352" s="309"/>
    </row>
    <row r="49353">
      <c r="B49353" s="309"/>
      <c r="C49353" s="309"/>
      <c r="I49353" s="309"/>
      <c r="J49353" s="309"/>
    </row>
    <row r="49354">
      <c r="B49354" s="309"/>
      <c r="C49354" s="309"/>
      <c r="I49354" s="309"/>
      <c r="J49354" s="309"/>
    </row>
    <row r="49355">
      <c r="B49355" s="309"/>
      <c r="C49355" s="309"/>
      <c r="I49355" s="309"/>
      <c r="J49355" s="309"/>
    </row>
    <row r="49356">
      <c r="B49356" s="309"/>
      <c r="C49356" s="309"/>
      <c r="I49356" s="309"/>
      <c r="J49356" s="309"/>
    </row>
    <row r="49357">
      <c r="B49357" s="309"/>
      <c r="C49357" s="309"/>
      <c r="I49357" s="309"/>
      <c r="J49357" s="309"/>
    </row>
    <row r="49358">
      <c r="B49358" s="309"/>
      <c r="C49358" s="309"/>
      <c r="I49358" s="309"/>
      <c r="J49358" s="309"/>
    </row>
    <row r="49359">
      <c r="B49359" s="309"/>
      <c r="C49359" s="309"/>
      <c r="I49359" s="309"/>
      <c r="J49359" s="309"/>
    </row>
    <row r="49360">
      <c r="B49360" s="309"/>
      <c r="C49360" s="309"/>
      <c r="I49360" s="309"/>
      <c r="J49360" s="309"/>
    </row>
    <row r="49361">
      <c r="B49361" s="309"/>
      <c r="C49361" s="309"/>
      <c r="I49361" s="309"/>
      <c r="J49361" s="309"/>
    </row>
    <row r="49362">
      <c r="B49362" s="309"/>
      <c r="C49362" s="309"/>
      <c r="I49362" s="309"/>
      <c r="J49362" s="309"/>
    </row>
    <row r="49363">
      <c r="B49363" s="309"/>
      <c r="C49363" s="309"/>
      <c r="I49363" s="309"/>
      <c r="J49363" s="309"/>
    </row>
    <row r="49364">
      <c r="B49364" s="309"/>
      <c r="C49364" s="309"/>
      <c r="I49364" s="309"/>
      <c r="J49364" s="309"/>
    </row>
    <row r="49365">
      <c r="B49365" s="309"/>
      <c r="C49365" s="309"/>
      <c r="I49365" s="309"/>
      <c r="J49365" s="309"/>
    </row>
    <row r="49366">
      <c r="B49366" s="309"/>
      <c r="C49366" s="309"/>
      <c r="I49366" s="309"/>
      <c r="J49366" s="309"/>
    </row>
    <row r="49367">
      <c r="B49367" s="309"/>
      <c r="C49367" s="309"/>
      <c r="I49367" s="309"/>
      <c r="J49367" s="309"/>
    </row>
    <row r="49368">
      <c r="B49368" s="309"/>
      <c r="C49368" s="309"/>
      <c r="I49368" s="309"/>
      <c r="J49368" s="309"/>
    </row>
    <row r="49369">
      <c r="B49369" s="309"/>
      <c r="C49369" s="309"/>
      <c r="I49369" s="309"/>
      <c r="J49369" s="309"/>
    </row>
    <row r="49370">
      <c r="B49370" s="309"/>
      <c r="C49370" s="309"/>
      <c r="I49370" s="309"/>
      <c r="J49370" s="309"/>
    </row>
    <row r="49371">
      <c r="B49371" s="309"/>
      <c r="C49371" s="309"/>
      <c r="I49371" s="309"/>
      <c r="J49371" s="309"/>
    </row>
    <row r="49372">
      <c r="B49372" s="309"/>
      <c r="C49372" s="309"/>
      <c r="I49372" s="309"/>
      <c r="J49372" s="309"/>
    </row>
    <row r="49373">
      <c r="B49373" s="309"/>
      <c r="C49373" s="309"/>
      <c r="I49373" s="309"/>
      <c r="J49373" s="309"/>
    </row>
    <row r="49374">
      <c r="B49374" s="309"/>
      <c r="C49374" s="309"/>
      <c r="I49374" s="309"/>
      <c r="J49374" s="309"/>
    </row>
    <row r="49375">
      <c r="B49375" s="309"/>
      <c r="C49375" s="309"/>
      <c r="I49375" s="309"/>
      <c r="J49375" s="309"/>
    </row>
    <row r="49376">
      <c r="B49376" s="309"/>
      <c r="C49376" s="309"/>
      <c r="I49376" s="309"/>
      <c r="J49376" s="309"/>
    </row>
    <row r="49377">
      <c r="B49377" s="309"/>
      <c r="C49377" s="309"/>
      <c r="I49377" s="309"/>
      <c r="J49377" s="309"/>
    </row>
    <row r="49378">
      <c r="B49378" s="309"/>
      <c r="C49378" s="309"/>
      <c r="I49378" s="309"/>
      <c r="J49378" s="309"/>
    </row>
    <row r="49379">
      <c r="B49379" s="309"/>
      <c r="C49379" s="309"/>
      <c r="I49379" s="309"/>
      <c r="J49379" s="309"/>
    </row>
    <row r="49380">
      <c r="B49380" s="309"/>
      <c r="C49380" s="309"/>
      <c r="I49380" s="309"/>
      <c r="J49380" s="309"/>
    </row>
    <row r="49381">
      <c r="B49381" s="309"/>
      <c r="C49381" s="309"/>
      <c r="I49381" s="309"/>
      <c r="J49381" s="309"/>
    </row>
    <row r="49382">
      <c r="B49382" s="309"/>
      <c r="C49382" s="309"/>
      <c r="I49382" s="309"/>
      <c r="J49382" s="309"/>
    </row>
    <row r="49383">
      <c r="B49383" s="309"/>
      <c r="C49383" s="309"/>
      <c r="I49383" s="309"/>
      <c r="J49383" s="309"/>
    </row>
    <row r="49384">
      <c r="B49384" s="309"/>
      <c r="C49384" s="309"/>
      <c r="I49384" s="309"/>
      <c r="J49384" s="309"/>
    </row>
    <row r="49385">
      <c r="B49385" s="309"/>
      <c r="C49385" s="309"/>
      <c r="I49385" s="309"/>
      <c r="J49385" s="309"/>
    </row>
    <row r="49386">
      <c r="B49386" s="309"/>
      <c r="C49386" s="309"/>
      <c r="I49386" s="309"/>
      <c r="J49386" s="309"/>
    </row>
    <row r="49387">
      <c r="B49387" s="309"/>
      <c r="C49387" s="309"/>
      <c r="I49387" s="309"/>
      <c r="J49387" s="309"/>
    </row>
    <row r="49388">
      <c r="B49388" s="309"/>
      <c r="C49388" s="309"/>
      <c r="I49388" s="309"/>
      <c r="J49388" s="309"/>
    </row>
    <row r="49389">
      <c r="B49389" s="309"/>
      <c r="C49389" s="309"/>
      <c r="I49389" s="309"/>
      <c r="J49389" s="309"/>
    </row>
    <row r="49390">
      <c r="B49390" s="309"/>
      <c r="C49390" s="309"/>
      <c r="I49390" s="309"/>
      <c r="J49390" s="309"/>
    </row>
    <row r="49391">
      <c r="B49391" s="309"/>
      <c r="C49391" s="309"/>
      <c r="I49391" s="309"/>
      <c r="J49391" s="309"/>
    </row>
    <row r="49392">
      <c r="B49392" s="309"/>
      <c r="C49392" s="309"/>
      <c r="I49392" s="309"/>
      <c r="J49392" s="309"/>
    </row>
    <row r="49393">
      <c r="B49393" s="309"/>
      <c r="C49393" s="309"/>
      <c r="I49393" s="309"/>
      <c r="J49393" s="309"/>
    </row>
    <row r="49394">
      <c r="B49394" s="309"/>
      <c r="C49394" s="309"/>
      <c r="I49394" s="309"/>
      <c r="J49394" s="309"/>
    </row>
    <row r="49395">
      <c r="B49395" s="309"/>
      <c r="C49395" s="309"/>
      <c r="I49395" s="309"/>
      <c r="J49395" s="309"/>
    </row>
    <row r="49396">
      <c r="B49396" s="309"/>
      <c r="C49396" s="309"/>
      <c r="I49396" s="309"/>
      <c r="J49396" s="309"/>
    </row>
    <row r="49397">
      <c r="B49397" s="309"/>
      <c r="C49397" s="309"/>
      <c r="I49397" s="309"/>
      <c r="J49397" s="309"/>
    </row>
    <row r="49398">
      <c r="B49398" s="309"/>
      <c r="C49398" s="309"/>
      <c r="I49398" s="309"/>
      <c r="J49398" s="309"/>
    </row>
    <row r="49399">
      <c r="B49399" s="309"/>
      <c r="C49399" s="309"/>
      <c r="I49399" s="309"/>
      <c r="J49399" s="309"/>
    </row>
    <row r="49400">
      <c r="B49400" s="309"/>
      <c r="C49400" s="309"/>
      <c r="I49400" s="309"/>
      <c r="J49400" s="309"/>
    </row>
    <row r="49401">
      <c r="B49401" s="309"/>
      <c r="C49401" s="309"/>
      <c r="I49401" s="309"/>
      <c r="J49401" s="309"/>
    </row>
    <row r="49402">
      <c r="B49402" s="309"/>
      <c r="C49402" s="309"/>
      <c r="I49402" s="309"/>
      <c r="J49402" s="309"/>
    </row>
    <row r="49403">
      <c r="B49403" s="309"/>
      <c r="C49403" s="309"/>
      <c r="I49403" s="309"/>
      <c r="J49403" s="309"/>
    </row>
    <row r="49404">
      <c r="B49404" s="309"/>
      <c r="C49404" s="309"/>
      <c r="I49404" s="309"/>
      <c r="J49404" s="309"/>
    </row>
    <row r="49405">
      <c r="B49405" s="309"/>
      <c r="C49405" s="309"/>
      <c r="I49405" s="309"/>
      <c r="J49405" s="309"/>
    </row>
    <row r="49406">
      <c r="B49406" s="309"/>
      <c r="C49406" s="309"/>
      <c r="I49406" s="309"/>
      <c r="J49406" s="309"/>
    </row>
    <row r="49407">
      <c r="B49407" s="309"/>
      <c r="C49407" s="309"/>
      <c r="I49407" s="309"/>
      <c r="J49407" s="309"/>
    </row>
    <row r="49408">
      <c r="B49408" s="309"/>
      <c r="C49408" s="309"/>
      <c r="I49408" s="309"/>
      <c r="J49408" s="309"/>
    </row>
    <row r="49409">
      <c r="B49409" s="309"/>
      <c r="C49409" s="309"/>
      <c r="I49409" s="309"/>
      <c r="J49409" s="309"/>
    </row>
    <row r="49410">
      <c r="B49410" s="309"/>
      <c r="C49410" s="309"/>
      <c r="I49410" s="309"/>
      <c r="J49410" s="309"/>
    </row>
    <row r="49411">
      <c r="B49411" s="309"/>
      <c r="C49411" s="309"/>
      <c r="I49411" s="309"/>
      <c r="J49411" s="309"/>
    </row>
    <row r="49412">
      <c r="B49412" s="309"/>
      <c r="C49412" s="309"/>
      <c r="I49412" s="309"/>
      <c r="J49412" s="309"/>
    </row>
    <row r="49413">
      <c r="B49413" s="309"/>
      <c r="C49413" s="309"/>
      <c r="I49413" s="309"/>
      <c r="J49413" s="309"/>
    </row>
    <row r="49414">
      <c r="B49414" s="309"/>
      <c r="C49414" s="309"/>
      <c r="I49414" s="309"/>
      <c r="J49414" s="309"/>
    </row>
    <row r="49415">
      <c r="B49415" s="309"/>
      <c r="C49415" s="309"/>
      <c r="I49415" s="309"/>
      <c r="J49415" s="309"/>
    </row>
    <row r="49416">
      <c r="B49416" s="309"/>
      <c r="C49416" s="309"/>
      <c r="I49416" s="309"/>
      <c r="J49416" s="309"/>
    </row>
    <row r="49417">
      <c r="B49417" s="309"/>
      <c r="C49417" s="309"/>
      <c r="I49417" s="309"/>
      <c r="J49417" s="309"/>
    </row>
    <row r="49418">
      <c r="B49418" s="309"/>
      <c r="C49418" s="309"/>
      <c r="I49418" s="309"/>
      <c r="J49418" s="309"/>
    </row>
    <row r="49419">
      <c r="B49419" s="309"/>
      <c r="C49419" s="309"/>
      <c r="I49419" s="309"/>
      <c r="J49419" s="309"/>
    </row>
    <row r="49420">
      <c r="B49420" s="309"/>
      <c r="C49420" s="309"/>
      <c r="I49420" s="309"/>
      <c r="J49420" s="309"/>
    </row>
    <row r="49421">
      <c r="B49421" s="309"/>
      <c r="C49421" s="309"/>
      <c r="I49421" s="309"/>
      <c r="J49421" s="309"/>
    </row>
    <row r="49422">
      <c r="B49422" s="309"/>
      <c r="C49422" s="309"/>
      <c r="I49422" s="309"/>
      <c r="J49422" s="309"/>
    </row>
    <row r="49423">
      <c r="B49423" s="309"/>
      <c r="C49423" s="309"/>
      <c r="I49423" s="309"/>
      <c r="J49423" s="309"/>
    </row>
    <row r="49424">
      <c r="B49424" s="309"/>
      <c r="C49424" s="309"/>
      <c r="I49424" s="309"/>
      <c r="J49424" s="309"/>
    </row>
    <row r="49425">
      <c r="B49425" s="309"/>
      <c r="C49425" s="309"/>
      <c r="I49425" s="309"/>
      <c r="J49425" s="309"/>
    </row>
    <row r="49426">
      <c r="B49426" s="309"/>
      <c r="C49426" s="309"/>
      <c r="I49426" s="309"/>
      <c r="J49426" s="309"/>
    </row>
    <row r="49427">
      <c r="B49427" s="309"/>
      <c r="C49427" s="309"/>
      <c r="I49427" s="309"/>
      <c r="J49427" s="309"/>
    </row>
    <row r="49428">
      <c r="B49428" s="309"/>
      <c r="C49428" s="309"/>
      <c r="I49428" s="309"/>
      <c r="J49428" s="309"/>
    </row>
    <row r="49429">
      <c r="B49429" s="309"/>
      <c r="C49429" s="309"/>
      <c r="I49429" s="309"/>
      <c r="J49429" s="309"/>
    </row>
    <row r="49430">
      <c r="B49430" s="309"/>
      <c r="C49430" s="309"/>
      <c r="I49430" s="309"/>
      <c r="J49430" s="309"/>
    </row>
    <row r="49431">
      <c r="B49431" s="309"/>
      <c r="C49431" s="309"/>
      <c r="I49431" s="309"/>
      <c r="J49431" s="309"/>
    </row>
    <row r="49432">
      <c r="B49432" s="309"/>
      <c r="C49432" s="309"/>
      <c r="I49432" s="309"/>
      <c r="J49432" s="309"/>
    </row>
    <row r="49433">
      <c r="B49433" s="309"/>
      <c r="C49433" s="309"/>
      <c r="I49433" s="309"/>
      <c r="J49433" s="309"/>
    </row>
    <row r="49434">
      <c r="B49434" s="309"/>
      <c r="C49434" s="309"/>
      <c r="I49434" s="309"/>
      <c r="J49434" s="309"/>
    </row>
    <row r="49435">
      <c r="B49435" s="309"/>
      <c r="C49435" s="309"/>
      <c r="I49435" s="309"/>
      <c r="J49435" s="309"/>
    </row>
    <row r="49436">
      <c r="B49436" s="309"/>
      <c r="C49436" s="309"/>
      <c r="I49436" s="309"/>
      <c r="J49436" s="309"/>
    </row>
    <row r="49437">
      <c r="B49437" s="309"/>
      <c r="C49437" s="309"/>
      <c r="I49437" s="309"/>
      <c r="J49437" s="309"/>
    </row>
    <row r="49438">
      <c r="B49438" s="309"/>
      <c r="C49438" s="309"/>
      <c r="I49438" s="309"/>
      <c r="J49438" s="309"/>
    </row>
    <row r="49439">
      <c r="B49439" s="309"/>
      <c r="C49439" s="309"/>
      <c r="I49439" s="309"/>
      <c r="J49439" s="309"/>
    </row>
    <row r="49440">
      <c r="B49440" s="309"/>
      <c r="C49440" s="309"/>
      <c r="I49440" s="309"/>
      <c r="J49440" s="309"/>
    </row>
    <row r="49441">
      <c r="B49441" s="309"/>
      <c r="C49441" s="309"/>
      <c r="I49441" s="309"/>
      <c r="J49441" s="309"/>
    </row>
    <row r="49442">
      <c r="B49442" s="309"/>
      <c r="C49442" s="309"/>
      <c r="I49442" s="309"/>
      <c r="J49442" s="309"/>
    </row>
    <row r="49443">
      <c r="B49443" s="309"/>
      <c r="C49443" s="309"/>
      <c r="I49443" s="309"/>
      <c r="J49443" s="309"/>
    </row>
    <row r="49444">
      <c r="B49444" s="309"/>
      <c r="C49444" s="309"/>
      <c r="I49444" s="309"/>
      <c r="J49444" s="309"/>
    </row>
    <row r="49445">
      <c r="B49445" s="309"/>
      <c r="C49445" s="309"/>
      <c r="I49445" s="309"/>
      <c r="J49445" s="309"/>
    </row>
    <row r="49446">
      <c r="B49446" s="309"/>
      <c r="C49446" s="309"/>
      <c r="I49446" s="309"/>
      <c r="J49446" s="309"/>
    </row>
    <row r="49447">
      <c r="B49447" s="309"/>
      <c r="C49447" s="309"/>
      <c r="I49447" s="309"/>
      <c r="J49447" s="309"/>
    </row>
    <row r="49448">
      <c r="B49448" s="309"/>
      <c r="C49448" s="309"/>
      <c r="I49448" s="309"/>
      <c r="J49448" s="309"/>
    </row>
    <row r="49449">
      <c r="B49449" s="309"/>
      <c r="C49449" s="309"/>
      <c r="I49449" s="309"/>
      <c r="J49449" s="309"/>
    </row>
    <row r="49450">
      <c r="B49450" s="309"/>
      <c r="C49450" s="309"/>
      <c r="I49450" s="309"/>
      <c r="J49450" s="309"/>
    </row>
    <row r="49451">
      <c r="B49451" s="309"/>
      <c r="C49451" s="309"/>
      <c r="I49451" s="309"/>
      <c r="J49451" s="309"/>
    </row>
    <row r="49452">
      <c r="B49452" s="309"/>
      <c r="C49452" s="309"/>
      <c r="I49452" s="309"/>
      <c r="J49452" s="309"/>
    </row>
    <row r="49453">
      <c r="B49453" s="309"/>
      <c r="C49453" s="309"/>
      <c r="I49453" s="309"/>
      <c r="J49453" s="309"/>
    </row>
    <row r="49454">
      <c r="B49454" s="309"/>
      <c r="C49454" s="309"/>
      <c r="I49454" s="309"/>
      <c r="J49454" s="309"/>
    </row>
    <row r="49455">
      <c r="B49455" s="309"/>
      <c r="C49455" s="309"/>
      <c r="I49455" s="309"/>
      <c r="J49455" s="309"/>
    </row>
    <row r="49456">
      <c r="B49456" s="309"/>
      <c r="C49456" s="309"/>
      <c r="I49456" s="309"/>
      <c r="J49456" s="309"/>
    </row>
    <row r="49457">
      <c r="B49457" s="309"/>
      <c r="C49457" s="309"/>
      <c r="I49457" s="309"/>
      <c r="J49457" s="309"/>
    </row>
    <row r="49458">
      <c r="B49458" s="309"/>
      <c r="C49458" s="309"/>
      <c r="I49458" s="309"/>
      <c r="J49458" s="309"/>
    </row>
    <row r="49459">
      <c r="B49459" s="309"/>
      <c r="C49459" s="309"/>
      <c r="I49459" s="309"/>
      <c r="J49459" s="309"/>
    </row>
    <row r="49460">
      <c r="B49460" s="309"/>
      <c r="C49460" s="309"/>
      <c r="I49460" s="309"/>
      <c r="J49460" s="309"/>
    </row>
    <row r="49461">
      <c r="B49461" s="309"/>
      <c r="C49461" s="309"/>
      <c r="I49461" s="309"/>
      <c r="J49461" s="309"/>
    </row>
    <row r="49462">
      <c r="B49462" s="309"/>
      <c r="C49462" s="309"/>
      <c r="I49462" s="309"/>
      <c r="J49462" s="309"/>
    </row>
    <row r="49463">
      <c r="B49463" s="309"/>
      <c r="C49463" s="309"/>
      <c r="I49463" s="309"/>
      <c r="J49463" s="309"/>
    </row>
    <row r="49464">
      <c r="B49464" s="309"/>
      <c r="C49464" s="309"/>
      <c r="I49464" s="309"/>
      <c r="J49464" s="309"/>
    </row>
    <row r="49465">
      <c r="B49465" s="309"/>
      <c r="C49465" s="309"/>
      <c r="I49465" s="309"/>
      <c r="J49465" s="309"/>
    </row>
    <row r="49466">
      <c r="B49466" s="309"/>
      <c r="C49466" s="309"/>
      <c r="I49466" s="309"/>
      <c r="J49466" s="309"/>
    </row>
    <row r="49467">
      <c r="B49467" s="309"/>
      <c r="C49467" s="309"/>
      <c r="I49467" s="309"/>
      <c r="J49467" s="309"/>
    </row>
    <row r="49468">
      <c r="B49468" s="309"/>
      <c r="C49468" s="309"/>
      <c r="I49468" s="309"/>
      <c r="J49468" s="309"/>
    </row>
    <row r="49469">
      <c r="B49469" s="309"/>
      <c r="C49469" s="309"/>
      <c r="I49469" s="309"/>
      <c r="J49469" s="309"/>
    </row>
    <row r="49470">
      <c r="B49470" s="309"/>
      <c r="C49470" s="309"/>
      <c r="I49470" s="309"/>
      <c r="J49470" s="309"/>
    </row>
    <row r="49471">
      <c r="B49471" s="309"/>
      <c r="C49471" s="309"/>
      <c r="I49471" s="309"/>
      <c r="J49471" s="309"/>
    </row>
    <row r="49472">
      <c r="B49472" s="309"/>
      <c r="C49472" s="309"/>
      <c r="I49472" s="309"/>
      <c r="J49472" s="309"/>
    </row>
    <row r="49473">
      <c r="B49473" s="309"/>
      <c r="C49473" s="309"/>
      <c r="I49473" s="309"/>
      <c r="J49473" s="309"/>
    </row>
    <row r="49474">
      <c r="B49474" s="309"/>
      <c r="C49474" s="309"/>
      <c r="I49474" s="309"/>
      <c r="J49474" s="309"/>
    </row>
    <row r="49475">
      <c r="B49475" s="309"/>
      <c r="C49475" s="309"/>
      <c r="I49475" s="309"/>
      <c r="J49475" s="309"/>
    </row>
    <row r="49476">
      <c r="B49476" s="309"/>
      <c r="C49476" s="309"/>
      <c r="I49476" s="309"/>
      <c r="J49476" s="309"/>
    </row>
    <row r="49477">
      <c r="B49477" s="309"/>
      <c r="C49477" s="309"/>
      <c r="I49477" s="309"/>
      <c r="J49477" s="309"/>
    </row>
    <row r="49478">
      <c r="B49478" s="309"/>
      <c r="C49478" s="309"/>
      <c r="I49478" s="309"/>
      <c r="J49478" s="309"/>
    </row>
    <row r="49479">
      <c r="B49479" s="309"/>
      <c r="C49479" s="309"/>
      <c r="I49479" s="309"/>
      <c r="J49479" s="309"/>
    </row>
    <row r="49480">
      <c r="B49480" s="309"/>
      <c r="C49480" s="309"/>
      <c r="I49480" s="309"/>
      <c r="J49480" s="309"/>
    </row>
    <row r="49481">
      <c r="B49481" s="309"/>
      <c r="C49481" s="309"/>
      <c r="I49481" s="309"/>
      <c r="J49481" s="309"/>
    </row>
    <row r="49482">
      <c r="B49482" s="309"/>
      <c r="C49482" s="309"/>
      <c r="I49482" s="309"/>
      <c r="J49482" s="309"/>
    </row>
    <row r="49483">
      <c r="B49483" s="309"/>
      <c r="C49483" s="309"/>
      <c r="I49483" s="309"/>
      <c r="J49483" s="309"/>
    </row>
    <row r="49484">
      <c r="B49484" s="309"/>
      <c r="C49484" s="309"/>
      <c r="I49484" s="309"/>
      <c r="J49484" s="309"/>
    </row>
    <row r="49485">
      <c r="B49485" s="309"/>
      <c r="C49485" s="309"/>
      <c r="I49485" s="309"/>
      <c r="J49485" s="309"/>
    </row>
    <row r="49486">
      <c r="B49486" s="309"/>
      <c r="C49486" s="309"/>
      <c r="I49486" s="309"/>
      <c r="J49486" s="309"/>
    </row>
    <row r="49487">
      <c r="B49487" s="309"/>
      <c r="C49487" s="309"/>
      <c r="I49487" s="309"/>
      <c r="J49487" s="309"/>
    </row>
    <row r="49488">
      <c r="B49488" s="309"/>
      <c r="C49488" s="309"/>
      <c r="I49488" s="309"/>
      <c r="J49488" s="309"/>
    </row>
    <row r="49489">
      <c r="B49489" s="309"/>
      <c r="C49489" s="309"/>
      <c r="I49489" s="309"/>
      <c r="J49489" s="309"/>
    </row>
    <row r="49490">
      <c r="B49490" s="309"/>
      <c r="C49490" s="309"/>
      <c r="I49490" s="309"/>
      <c r="J49490" s="309"/>
    </row>
    <row r="49491">
      <c r="B49491" s="309"/>
      <c r="C49491" s="309"/>
      <c r="I49491" s="309"/>
      <c r="J49491" s="309"/>
    </row>
    <row r="49492">
      <c r="B49492" s="309"/>
      <c r="C49492" s="309"/>
      <c r="I49492" s="309"/>
      <c r="J49492" s="309"/>
    </row>
    <row r="49493">
      <c r="B49493" s="309"/>
      <c r="C49493" s="309"/>
      <c r="I49493" s="309"/>
      <c r="J49493" s="309"/>
    </row>
    <row r="49494">
      <c r="B49494" s="309"/>
      <c r="C49494" s="309"/>
      <c r="I49494" s="309"/>
      <c r="J49494" s="309"/>
    </row>
    <row r="49495">
      <c r="B49495" s="309"/>
      <c r="C49495" s="309"/>
      <c r="I49495" s="309"/>
      <c r="J49495" s="309"/>
    </row>
    <row r="49496">
      <c r="B49496" s="309"/>
      <c r="C49496" s="309"/>
      <c r="I49496" s="309"/>
      <c r="J49496" s="309"/>
    </row>
    <row r="49497">
      <c r="B49497" s="309"/>
      <c r="C49497" s="309"/>
      <c r="I49497" s="309"/>
      <c r="J49497" s="309"/>
    </row>
    <row r="49498">
      <c r="B49498" s="309"/>
      <c r="C49498" s="309"/>
      <c r="I49498" s="309"/>
      <c r="J49498" s="309"/>
    </row>
    <row r="49499">
      <c r="B49499" s="309"/>
      <c r="C49499" s="309"/>
      <c r="I49499" s="309"/>
      <c r="J49499" s="309"/>
    </row>
    <row r="49500">
      <c r="B49500" s="309"/>
      <c r="C49500" s="309"/>
      <c r="I49500" s="309"/>
      <c r="J49500" s="309"/>
    </row>
    <row r="49501">
      <c r="B49501" s="309"/>
      <c r="C49501" s="309"/>
      <c r="I49501" s="309"/>
      <c r="J49501" s="309"/>
    </row>
    <row r="49502">
      <c r="B49502" s="309"/>
      <c r="C49502" s="309"/>
      <c r="I49502" s="309"/>
      <c r="J49502" s="309"/>
    </row>
    <row r="49503">
      <c r="B49503" s="309"/>
      <c r="C49503" s="309"/>
      <c r="I49503" s="309"/>
      <c r="J49503" s="309"/>
    </row>
    <row r="49504">
      <c r="B49504" s="309"/>
      <c r="C49504" s="309"/>
      <c r="I49504" s="309"/>
      <c r="J49504" s="309"/>
    </row>
    <row r="49505">
      <c r="B49505" s="309"/>
      <c r="C49505" s="309"/>
      <c r="I49505" s="309"/>
      <c r="J49505" s="309"/>
    </row>
    <row r="49506">
      <c r="B49506" s="309"/>
      <c r="C49506" s="309"/>
      <c r="I49506" s="309"/>
      <c r="J49506" s="309"/>
    </row>
    <row r="49507">
      <c r="B49507" s="309"/>
      <c r="C49507" s="309"/>
      <c r="I49507" s="309"/>
      <c r="J49507" s="309"/>
    </row>
    <row r="49508">
      <c r="B49508" s="309"/>
      <c r="C49508" s="309"/>
      <c r="I49508" s="309"/>
      <c r="J49508" s="309"/>
    </row>
    <row r="49509">
      <c r="B49509" s="309"/>
      <c r="C49509" s="309"/>
      <c r="I49509" s="309"/>
      <c r="J49509" s="309"/>
    </row>
    <row r="49510">
      <c r="B49510" s="309"/>
      <c r="C49510" s="309"/>
      <c r="I49510" s="309"/>
      <c r="J49510" s="309"/>
    </row>
    <row r="49511">
      <c r="B49511" s="309"/>
      <c r="C49511" s="309"/>
      <c r="I49511" s="309"/>
      <c r="J49511" s="309"/>
    </row>
    <row r="49512">
      <c r="B49512" s="309"/>
      <c r="C49512" s="309"/>
      <c r="I49512" s="309"/>
      <c r="J49512" s="309"/>
    </row>
    <row r="49513">
      <c r="B49513" s="309"/>
      <c r="C49513" s="309"/>
      <c r="I49513" s="309"/>
      <c r="J49513" s="309"/>
    </row>
    <row r="49514">
      <c r="B49514" s="309"/>
      <c r="C49514" s="309"/>
      <c r="I49514" s="309"/>
      <c r="J49514" s="309"/>
    </row>
    <row r="49515">
      <c r="B49515" s="309"/>
      <c r="C49515" s="309"/>
      <c r="I49515" s="309"/>
      <c r="J49515" s="309"/>
    </row>
    <row r="49516">
      <c r="B49516" s="309"/>
      <c r="C49516" s="309"/>
      <c r="I49516" s="309"/>
      <c r="J49516" s="309"/>
    </row>
    <row r="49517">
      <c r="B49517" s="309"/>
      <c r="C49517" s="309"/>
      <c r="I49517" s="309"/>
      <c r="J49517" s="309"/>
    </row>
    <row r="49518">
      <c r="B49518" s="309"/>
      <c r="C49518" s="309"/>
      <c r="I49518" s="309"/>
      <c r="J49518" s="309"/>
    </row>
    <row r="49519">
      <c r="B49519" s="309"/>
      <c r="C49519" s="309"/>
      <c r="I49519" s="309"/>
      <c r="J49519" s="309"/>
    </row>
    <row r="49520">
      <c r="B49520" s="309"/>
      <c r="C49520" s="309"/>
      <c r="I49520" s="309"/>
      <c r="J49520" s="309"/>
    </row>
    <row r="49521">
      <c r="B49521" s="309"/>
      <c r="C49521" s="309"/>
      <c r="I49521" s="309"/>
      <c r="J49521" s="309"/>
    </row>
    <row r="49522">
      <c r="B49522" s="309"/>
      <c r="C49522" s="309"/>
      <c r="I49522" s="309"/>
      <c r="J49522" s="309"/>
    </row>
    <row r="49523">
      <c r="B49523" s="309"/>
      <c r="C49523" s="309"/>
      <c r="I49523" s="309"/>
      <c r="J49523" s="309"/>
    </row>
    <row r="49524">
      <c r="B49524" s="309"/>
      <c r="C49524" s="309"/>
      <c r="I49524" s="309"/>
      <c r="J49524" s="309"/>
    </row>
    <row r="49525">
      <c r="B49525" s="309"/>
      <c r="C49525" s="309"/>
      <c r="I49525" s="309"/>
      <c r="J49525" s="309"/>
    </row>
    <row r="49526">
      <c r="B49526" s="309"/>
      <c r="C49526" s="309"/>
      <c r="I49526" s="309"/>
      <c r="J49526" s="309"/>
    </row>
    <row r="49527">
      <c r="B49527" s="309"/>
      <c r="C49527" s="309"/>
      <c r="I49527" s="309"/>
      <c r="J49527" s="309"/>
    </row>
    <row r="49528">
      <c r="B49528" s="309"/>
      <c r="C49528" s="309"/>
      <c r="I49528" s="309"/>
      <c r="J49528" s="309"/>
    </row>
    <row r="49529">
      <c r="B49529" s="309"/>
      <c r="C49529" s="309"/>
      <c r="I49529" s="309"/>
      <c r="J49529" s="309"/>
    </row>
    <row r="49530">
      <c r="B49530" s="309"/>
      <c r="C49530" s="309"/>
      <c r="I49530" s="309"/>
      <c r="J49530" s="309"/>
    </row>
    <row r="49531">
      <c r="B49531" s="309"/>
      <c r="C49531" s="309"/>
      <c r="I49531" s="309"/>
      <c r="J49531" s="309"/>
    </row>
    <row r="49532">
      <c r="B49532" s="309"/>
      <c r="C49532" s="309"/>
      <c r="I49532" s="309"/>
      <c r="J49532" s="309"/>
    </row>
    <row r="49533">
      <c r="B49533" s="309"/>
      <c r="C49533" s="309"/>
      <c r="I49533" s="309"/>
      <c r="J49533" s="309"/>
    </row>
    <row r="49534">
      <c r="B49534" s="309"/>
      <c r="C49534" s="309"/>
      <c r="I49534" s="309"/>
      <c r="J49534" s="309"/>
    </row>
    <row r="49535">
      <c r="B49535" s="309"/>
      <c r="C49535" s="309"/>
      <c r="I49535" s="309"/>
      <c r="J49535" s="309"/>
    </row>
    <row r="49536">
      <c r="B49536" s="309"/>
      <c r="C49536" s="309"/>
      <c r="I49536" s="309"/>
      <c r="J49536" s="309"/>
    </row>
    <row r="49537">
      <c r="B49537" s="309"/>
      <c r="C49537" s="309"/>
      <c r="I49537" s="309"/>
      <c r="J49537" s="309"/>
    </row>
    <row r="49538">
      <c r="B49538" s="309"/>
      <c r="C49538" s="309"/>
      <c r="I49538" s="309"/>
      <c r="J49538" s="309"/>
    </row>
    <row r="49539">
      <c r="B49539" s="309"/>
      <c r="C49539" s="309"/>
      <c r="I49539" s="309"/>
      <c r="J49539" s="309"/>
    </row>
    <row r="49540">
      <c r="B49540" s="309"/>
      <c r="C49540" s="309"/>
      <c r="I49540" s="309"/>
      <c r="J49540" s="309"/>
    </row>
    <row r="49541">
      <c r="B49541" s="309"/>
      <c r="C49541" s="309"/>
      <c r="I49541" s="309"/>
      <c r="J49541" s="309"/>
    </row>
    <row r="49542">
      <c r="B49542" s="309"/>
      <c r="C49542" s="309"/>
      <c r="I49542" s="309"/>
      <c r="J49542" s="309"/>
    </row>
    <row r="49543">
      <c r="B49543" s="309"/>
      <c r="C49543" s="309"/>
      <c r="I49543" s="309"/>
      <c r="J49543" s="309"/>
    </row>
    <row r="49544">
      <c r="B49544" s="309"/>
      <c r="C49544" s="309"/>
      <c r="I49544" s="309"/>
      <c r="J49544" s="309"/>
    </row>
    <row r="49545">
      <c r="B49545" s="309"/>
      <c r="C49545" s="309"/>
      <c r="I49545" s="309"/>
      <c r="J49545" s="309"/>
    </row>
    <row r="49546">
      <c r="B49546" s="309"/>
      <c r="C49546" s="309"/>
      <c r="I49546" s="309"/>
      <c r="J49546" s="309"/>
    </row>
    <row r="49547">
      <c r="B49547" s="309"/>
      <c r="C49547" s="309"/>
      <c r="I49547" s="309"/>
      <c r="J49547" s="309"/>
    </row>
    <row r="49548">
      <c r="B49548" s="309"/>
      <c r="C49548" s="309"/>
      <c r="I49548" s="309"/>
      <c r="J49548" s="309"/>
    </row>
    <row r="49549">
      <c r="B49549" s="309"/>
      <c r="C49549" s="309"/>
      <c r="I49549" s="309"/>
      <c r="J49549" s="309"/>
    </row>
    <row r="49550">
      <c r="B49550" s="309"/>
      <c r="C49550" s="309"/>
      <c r="I49550" s="309"/>
      <c r="J49550" s="309"/>
    </row>
    <row r="49551">
      <c r="B49551" s="309"/>
      <c r="C49551" s="309"/>
      <c r="I49551" s="309"/>
      <c r="J49551" s="309"/>
    </row>
    <row r="49552">
      <c r="B49552" s="309"/>
      <c r="C49552" s="309"/>
      <c r="I49552" s="309"/>
      <c r="J49552" s="309"/>
    </row>
    <row r="49553">
      <c r="B49553" s="309"/>
      <c r="C49553" s="309"/>
      <c r="I49553" s="309"/>
      <c r="J49553" s="309"/>
    </row>
    <row r="49554">
      <c r="B49554" s="309"/>
      <c r="C49554" s="309"/>
      <c r="I49554" s="309"/>
      <c r="J49554" s="309"/>
    </row>
    <row r="49555">
      <c r="B49555" s="309"/>
      <c r="C49555" s="309"/>
      <c r="I49555" s="309"/>
      <c r="J49555" s="309"/>
    </row>
    <row r="49556">
      <c r="B49556" s="309"/>
      <c r="C49556" s="309"/>
      <c r="I49556" s="309"/>
      <c r="J49556" s="309"/>
    </row>
    <row r="49557">
      <c r="B49557" s="309"/>
      <c r="C49557" s="309"/>
      <c r="I49557" s="309"/>
      <c r="J49557" s="309"/>
    </row>
    <row r="49558">
      <c r="B49558" s="309"/>
      <c r="C49558" s="309"/>
      <c r="I49558" s="309"/>
      <c r="J49558" s="309"/>
    </row>
    <row r="49559">
      <c r="B49559" s="309"/>
      <c r="C49559" s="309"/>
      <c r="I49559" s="309"/>
      <c r="J49559" s="309"/>
    </row>
    <row r="49560">
      <c r="B49560" s="309"/>
      <c r="C49560" s="309"/>
      <c r="I49560" s="309"/>
      <c r="J49560" s="309"/>
    </row>
    <row r="49561">
      <c r="B49561" s="309"/>
      <c r="C49561" s="309"/>
      <c r="I49561" s="309"/>
      <c r="J49561" s="309"/>
    </row>
    <row r="49562">
      <c r="B49562" s="309"/>
      <c r="C49562" s="309"/>
      <c r="I49562" s="309"/>
      <c r="J49562" s="309"/>
    </row>
    <row r="49563">
      <c r="B49563" s="309"/>
      <c r="C49563" s="309"/>
      <c r="I49563" s="309"/>
      <c r="J49563" s="309"/>
    </row>
    <row r="49564">
      <c r="B49564" s="309"/>
      <c r="C49564" s="309"/>
      <c r="I49564" s="309"/>
      <c r="J49564" s="309"/>
    </row>
    <row r="49565">
      <c r="B49565" s="309"/>
      <c r="C49565" s="309"/>
      <c r="I49565" s="309"/>
      <c r="J49565" s="309"/>
    </row>
    <row r="49566">
      <c r="B49566" s="309"/>
      <c r="C49566" s="309"/>
      <c r="I49566" s="309"/>
      <c r="J49566" s="309"/>
    </row>
    <row r="49567">
      <c r="B49567" s="309"/>
      <c r="C49567" s="309"/>
      <c r="I49567" s="309"/>
      <c r="J49567" s="309"/>
    </row>
    <row r="49568">
      <c r="B49568" s="309"/>
      <c r="C49568" s="309"/>
      <c r="I49568" s="309"/>
      <c r="J49568" s="309"/>
    </row>
    <row r="49569">
      <c r="B49569" s="309"/>
      <c r="C49569" s="309"/>
      <c r="I49569" s="309"/>
      <c r="J49569" s="309"/>
    </row>
    <row r="49570">
      <c r="B49570" s="309"/>
      <c r="C49570" s="309"/>
      <c r="I49570" s="309"/>
      <c r="J49570" s="309"/>
    </row>
    <row r="49571">
      <c r="B49571" s="309"/>
      <c r="C49571" s="309"/>
      <c r="I49571" s="309"/>
      <c r="J49571" s="309"/>
    </row>
    <row r="49572">
      <c r="B49572" s="309"/>
      <c r="C49572" s="309"/>
      <c r="I49572" s="309"/>
      <c r="J49572" s="309"/>
    </row>
    <row r="49573">
      <c r="B49573" s="309"/>
      <c r="C49573" s="309"/>
      <c r="I49573" s="309"/>
      <c r="J49573" s="309"/>
    </row>
    <row r="49574">
      <c r="B49574" s="309"/>
      <c r="C49574" s="309"/>
      <c r="I49574" s="309"/>
      <c r="J49574" s="309"/>
    </row>
    <row r="49575">
      <c r="B49575" s="309"/>
      <c r="C49575" s="309"/>
      <c r="I49575" s="309"/>
      <c r="J49575" s="309"/>
    </row>
    <row r="49576">
      <c r="B49576" s="309"/>
      <c r="C49576" s="309"/>
      <c r="I49576" s="309"/>
      <c r="J49576" s="309"/>
    </row>
    <row r="49577">
      <c r="B49577" s="309"/>
      <c r="C49577" s="309"/>
      <c r="I49577" s="309"/>
      <c r="J49577" s="309"/>
    </row>
    <row r="49578">
      <c r="B49578" s="309"/>
      <c r="C49578" s="309"/>
      <c r="I49578" s="309"/>
      <c r="J49578" s="309"/>
    </row>
    <row r="49579">
      <c r="B49579" s="309"/>
      <c r="C49579" s="309"/>
      <c r="I49579" s="309"/>
      <c r="J49579" s="309"/>
    </row>
    <row r="49580">
      <c r="B49580" s="309"/>
      <c r="C49580" s="309"/>
      <c r="I49580" s="309"/>
      <c r="J49580" s="309"/>
    </row>
    <row r="49581">
      <c r="B49581" s="309"/>
      <c r="C49581" s="309"/>
      <c r="I49581" s="309"/>
      <c r="J49581" s="309"/>
    </row>
    <row r="49582">
      <c r="B49582" s="309"/>
      <c r="C49582" s="309"/>
      <c r="I49582" s="309"/>
      <c r="J49582" s="309"/>
    </row>
    <row r="49583">
      <c r="B49583" s="309"/>
      <c r="C49583" s="309"/>
      <c r="I49583" s="309"/>
      <c r="J49583" s="309"/>
    </row>
    <row r="49584">
      <c r="B49584" s="309"/>
      <c r="C49584" s="309"/>
      <c r="I49584" s="309"/>
      <c r="J49584" s="309"/>
    </row>
    <row r="49585">
      <c r="B49585" s="309"/>
      <c r="C49585" s="309"/>
      <c r="I49585" s="309"/>
      <c r="J49585" s="309"/>
    </row>
    <row r="49586">
      <c r="B49586" s="309"/>
      <c r="C49586" s="309"/>
      <c r="I49586" s="309"/>
      <c r="J49586" s="309"/>
    </row>
    <row r="49587">
      <c r="B49587" s="309"/>
      <c r="C49587" s="309"/>
      <c r="I49587" s="309"/>
      <c r="J49587" s="309"/>
    </row>
    <row r="49588">
      <c r="B49588" s="309"/>
      <c r="C49588" s="309"/>
      <c r="I49588" s="309"/>
      <c r="J49588" s="309"/>
    </row>
    <row r="49589">
      <c r="B49589" s="309"/>
      <c r="C49589" s="309"/>
      <c r="I49589" s="309"/>
      <c r="J49589" s="309"/>
    </row>
    <row r="49590">
      <c r="B49590" s="309"/>
      <c r="C49590" s="309"/>
      <c r="I49590" s="309"/>
      <c r="J49590" s="309"/>
    </row>
    <row r="49591">
      <c r="B49591" s="309"/>
      <c r="C49591" s="309"/>
      <c r="I49591" s="309"/>
      <c r="J49591" s="309"/>
    </row>
    <row r="49592">
      <c r="B49592" s="309"/>
      <c r="C49592" s="309"/>
      <c r="I49592" s="309"/>
      <c r="J49592" s="309"/>
    </row>
    <row r="49593">
      <c r="B49593" s="309"/>
      <c r="C49593" s="309"/>
      <c r="I49593" s="309"/>
      <c r="J49593" s="309"/>
    </row>
    <row r="49594">
      <c r="B49594" s="309"/>
      <c r="C49594" s="309"/>
      <c r="I49594" s="309"/>
      <c r="J49594" s="309"/>
    </row>
    <row r="49595">
      <c r="B49595" s="309"/>
      <c r="C49595" s="309"/>
      <c r="I49595" s="309"/>
      <c r="J49595" s="309"/>
    </row>
    <row r="49596">
      <c r="B49596" s="309"/>
      <c r="C49596" s="309"/>
      <c r="I49596" s="309"/>
      <c r="J49596" s="309"/>
    </row>
    <row r="49597">
      <c r="B49597" s="309"/>
      <c r="C49597" s="309"/>
      <c r="I49597" s="309"/>
      <c r="J49597" s="309"/>
    </row>
    <row r="49598">
      <c r="B49598" s="309"/>
      <c r="C49598" s="309"/>
      <c r="I49598" s="309"/>
      <c r="J49598" s="309"/>
    </row>
    <row r="49599">
      <c r="B49599" s="309"/>
      <c r="C49599" s="309"/>
      <c r="I49599" s="309"/>
      <c r="J49599" s="309"/>
    </row>
    <row r="49600">
      <c r="B49600" s="309"/>
      <c r="C49600" s="309"/>
      <c r="I49600" s="309"/>
      <c r="J49600" s="309"/>
    </row>
    <row r="49601">
      <c r="B49601" s="309"/>
      <c r="C49601" s="309"/>
      <c r="I49601" s="309"/>
      <c r="J49601" s="309"/>
    </row>
    <row r="49602">
      <c r="B49602" s="309"/>
      <c r="C49602" s="309"/>
      <c r="I49602" s="309"/>
      <c r="J49602" s="309"/>
    </row>
    <row r="49603">
      <c r="B49603" s="309"/>
      <c r="C49603" s="309"/>
      <c r="I49603" s="309"/>
      <c r="J49603" s="309"/>
    </row>
    <row r="49604">
      <c r="B49604" s="309"/>
      <c r="C49604" s="309"/>
      <c r="I49604" s="309"/>
      <c r="J49604" s="309"/>
    </row>
    <row r="49605">
      <c r="B49605" s="309"/>
      <c r="C49605" s="309"/>
      <c r="I49605" s="309"/>
      <c r="J49605" s="309"/>
    </row>
    <row r="49606">
      <c r="B49606" s="309"/>
      <c r="C49606" s="309"/>
      <c r="I49606" s="309"/>
      <c r="J49606" s="309"/>
    </row>
    <row r="49607">
      <c r="B49607" s="309"/>
      <c r="C49607" s="309"/>
      <c r="I49607" s="309"/>
      <c r="J49607" s="309"/>
    </row>
    <row r="49608">
      <c r="B49608" s="309"/>
      <c r="C49608" s="309"/>
      <c r="I49608" s="309"/>
      <c r="J49608" s="309"/>
    </row>
    <row r="49609">
      <c r="B49609" s="309"/>
      <c r="C49609" s="309"/>
      <c r="I49609" s="309"/>
      <c r="J49609" s="309"/>
    </row>
    <row r="49610">
      <c r="B49610" s="309"/>
      <c r="C49610" s="309"/>
      <c r="I49610" s="309"/>
      <c r="J49610" s="309"/>
    </row>
    <row r="49611">
      <c r="B49611" s="309"/>
      <c r="C49611" s="309"/>
      <c r="I49611" s="309"/>
      <c r="J49611" s="309"/>
    </row>
    <row r="49612">
      <c r="B49612" s="309"/>
      <c r="C49612" s="309"/>
      <c r="I49612" s="309"/>
      <c r="J49612" s="309"/>
    </row>
    <row r="49613">
      <c r="B49613" s="309"/>
      <c r="C49613" s="309"/>
      <c r="I49613" s="309"/>
      <c r="J49613" s="309"/>
    </row>
    <row r="49614">
      <c r="B49614" s="309"/>
      <c r="C49614" s="309"/>
      <c r="I49614" s="309"/>
      <c r="J49614" s="309"/>
    </row>
    <row r="49615">
      <c r="B49615" s="309"/>
      <c r="C49615" s="309"/>
      <c r="I49615" s="309"/>
      <c r="J49615" s="309"/>
    </row>
    <row r="49616">
      <c r="B49616" s="309"/>
      <c r="C49616" s="309"/>
      <c r="I49616" s="309"/>
      <c r="J49616" s="309"/>
    </row>
    <row r="49617">
      <c r="B49617" s="309"/>
      <c r="C49617" s="309"/>
      <c r="I49617" s="309"/>
      <c r="J49617" s="309"/>
    </row>
    <row r="49618">
      <c r="B49618" s="309"/>
      <c r="C49618" s="309"/>
      <c r="I49618" s="309"/>
      <c r="J49618" s="309"/>
    </row>
    <row r="49619">
      <c r="B49619" s="309"/>
      <c r="C49619" s="309"/>
      <c r="I49619" s="309"/>
      <c r="J49619" s="309"/>
    </row>
    <row r="49620">
      <c r="B49620" s="309"/>
      <c r="C49620" s="309"/>
      <c r="I49620" s="309"/>
      <c r="J49620" s="309"/>
    </row>
    <row r="49621">
      <c r="B49621" s="309"/>
      <c r="C49621" s="309"/>
      <c r="I49621" s="309"/>
      <c r="J49621" s="309"/>
    </row>
    <row r="49622">
      <c r="B49622" s="309"/>
      <c r="C49622" s="309"/>
      <c r="I49622" s="309"/>
      <c r="J49622" s="309"/>
    </row>
    <row r="49623">
      <c r="B49623" s="309"/>
      <c r="C49623" s="309"/>
      <c r="I49623" s="309"/>
      <c r="J49623" s="309"/>
    </row>
    <row r="49624">
      <c r="B49624" s="309"/>
      <c r="C49624" s="309"/>
      <c r="I49624" s="309"/>
      <c r="J49624" s="309"/>
    </row>
    <row r="49625">
      <c r="B49625" s="309"/>
      <c r="C49625" s="309"/>
      <c r="I49625" s="309"/>
      <c r="J49625" s="309"/>
    </row>
    <row r="49626">
      <c r="B49626" s="309"/>
      <c r="C49626" s="309"/>
      <c r="I49626" s="309"/>
      <c r="J49626" s="309"/>
    </row>
    <row r="49627">
      <c r="B49627" s="309"/>
      <c r="C49627" s="309"/>
      <c r="I49627" s="309"/>
      <c r="J49627" s="309"/>
    </row>
    <row r="49628">
      <c r="B49628" s="309"/>
      <c r="C49628" s="309"/>
      <c r="I49628" s="309"/>
      <c r="J49628" s="309"/>
    </row>
    <row r="49629">
      <c r="B49629" s="309"/>
      <c r="C49629" s="309"/>
      <c r="I49629" s="309"/>
      <c r="J49629" s="309"/>
    </row>
    <row r="49630">
      <c r="B49630" s="309"/>
      <c r="C49630" s="309"/>
      <c r="I49630" s="309"/>
      <c r="J49630" s="309"/>
    </row>
    <row r="49631">
      <c r="B49631" s="309"/>
      <c r="C49631" s="309"/>
      <c r="I49631" s="309"/>
      <c r="J49631" s="309"/>
    </row>
    <row r="49632">
      <c r="B49632" s="309"/>
      <c r="C49632" s="309"/>
      <c r="I49632" s="309"/>
      <c r="J49632" s="309"/>
    </row>
    <row r="49633">
      <c r="B49633" s="309"/>
      <c r="C49633" s="309"/>
      <c r="I49633" s="309"/>
      <c r="J49633" s="309"/>
    </row>
    <row r="49634">
      <c r="B49634" s="309"/>
      <c r="C49634" s="309"/>
      <c r="I49634" s="309"/>
      <c r="J49634" s="309"/>
    </row>
    <row r="49635">
      <c r="B49635" s="309"/>
      <c r="C49635" s="309"/>
      <c r="I49635" s="309"/>
      <c r="J49635" s="309"/>
    </row>
    <row r="49636">
      <c r="B49636" s="309"/>
      <c r="C49636" s="309"/>
      <c r="I49636" s="309"/>
      <c r="J49636" s="309"/>
    </row>
    <row r="49637">
      <c r="B49637" s="309"/>
      <c r="C49637" s="309"/>
      <c r="I49637" s="309"/>
      <c r="J49637" s="309"/>
    </row>
    <row r="49638">
      <c r="B49638" s="309"/>
      <c r="C49638" s="309"/>
      <c r="I49638" s="309"/>
      <c r="J49638" s="309"/>
    </row>
    <row r="49639">
      <c r="B49639" s="309"/>
      <c r="C49639" s="309"/>
      <c r="I49639" s="309"/>
      <c r="J49639" s="309"/>
    </row>
    <row r="49640">
      <c r="B49640" s="309"/>
      <c r="C49640" s="309"/>
      <c r="I49640" s="309"/>
      <c r="J49640" s="309"/>
    </row>
    <row r="49641">
      <c r="B49641" s="309"/>
      <c r="C49641" s="309"/>
      <c r="I49641" s="309"/>
      <c r="J49641" s="309"/>
    </row>
    <row r="49642">
      <c r="B49642" s="309"/>
      <c r="C49642" s="309"/>
      <c r="I49642" s="309"/>
      <c r="J49642" s="309"/>
    </row>
    <row r="49643">
      <c r="B49643" s="309"/>
      <c r="C49643" s="309"/>
      <c r="I49643" s="309"/>
      <c r="J49643" s="309"/>
    </row>
    <row r="49644">
      <c r="B49644" s="309"/>
      <c r="C49644" s="309"/>
      <c r="I49644" s="309"/>
      <c r="J49644" s="309"/>
    </row>
    <row r="49645">
      <c r="B49645" s="309"/>
      <c r="C49645" s="309"/>
      <c r="I49645" s="309"/>
      <c r="J49645" s="309"/>
    </row>
    <row r="49646">
      <c r="B49646" s="309"/>
      <c r="C49646" s="309"/>
      <c r="I49646" s="309"/>
      <c r="J49646" s="309"/>
    </row>
    <row r="49647">
      <c r="B49647" s="309"/>
      <c r="C49647" s="309"/>
      <c r="I49647" s="309"/>
      <c r="J49647" s="309"/>
    </row>
    <row r="49648">
      <c r="B49648" s="309"/>
      <c r="C49648" s="309"/>
      <c r="I49648" s="309"/>
      <c r="J49648" s="309"/>
    </row>
    <row r="49649">
      <c r="B49649" s="309"/>
      <c r="C49649" s="309"/>
      <c r="I49649" s="309"/>
      <c r="J49649" s="309"/>
    </row>
    <row r="49650">
      <c r="B49650" s="309"/>
      <c r="C49650" s="309"/>
      <c r="I49650" s="309"/>
      <c r="J49650" s="309"/>
    </row>
    <row r="49651">
      <c r="B49651" s="309"/>
      <c r="C49651" s="309"/>
      <c r="I49651" s="309"/>
      <c r="J49651" s="309"/>
    </row>
    <row r="49652">
      <c r="B49652" s="309"/>
      <c r="C49652" s="309"/>
      <c r="I49652" s="309"/>
      <c r="J49652" s="309"/>
    </row>
    <row r="49653">
      <c r="B49653" s="309"/>
      <c r="C49653" s="309"/>
      <c r="I49653" s="309"/>
      <c r="J49653" s="309"/>
    </row>
    <row r="49654">
      <c r="B49654" s="309"/>
      <c r="C49654" s="309"/>
      <c r="I49654" s="309"/>
      <c r="J49654" s="309"/>
    </row>
    <row r="49655">
      <c r="B49655" s="309"/>
      <c r="C49655" s="309"/>
      <c r="I49655" s="309"/>
      <c r="J49655" s="309"/>
    </row>
    <row r="49656">
      <c r="B49656" s="309"/>
      <c r="C49656" s="309"/>
      <c r="I49656" s="309"/>
      <c r="J49656" s="309"/>
    </row>
    <row r="49657">
      <c r="B49657" s="309"/>
      <c r="C49657" s="309"/>
      <c r="I49657" s="309"/>
      <c r="J49657" s="309"/>
    </row>
    <row r="49658">
      <c r="B49658" s="309"/>
      <c r="C49658" s="309"/>
      <c r="I49658" s="309"/>
      <c r="J49658" s="309"/>
    </row>
    <row r="49659">
      <c r="B49659" s="309"/>
      <c r="C49659" s="309"/>
      <c r="I49659" s="309"/>
      <c r="J49659" s="309"/>
    </row>
    <row r="49660">
      <c r="B49660" s="309"/>
      <c r="C49660" s="309"/>
      <c r="I49660" s="309"/>
      <c r="J49660" s="309"/>
    </row>
    <row r="49661">
      <c r="B49661" s="309"/>
      <c r="C49661" s="309"/>
      <c r="I49661" s="309"/>
      <c r="J49661" s="309"/>
    </row>
    <row r="49662">
      <c r="B49662" s="309"/>
      <c r="C49662" s="309"/>
      <c r="I49662" s="309"/>
      <c r="J49662" s="309"/>
    </row>
    <row r="49663">
      <c r="B49663" s="309"/>
      <c r="C49663" s="309"/>
      <c r="I49663" s="309"/>
      <c r="J49663" s="309"/>
    </row>
    <row r="49664">
      <c r="B49664" s="309"/>
      <c r="C49664" s="309"/>
      <c r="I49664" s="309"/>
      <c r="J49664" s="309"/>
    </row>
    <row r="49665">
      <c r="B49665" s="309"/>
      <c r="C49665" s="309"/>
      <c r="I49665" s="309"/>
      <c r="J49665" s="309"/>
    </row>
    <row r="49666">
      <c r="B49666" s="309"/>
      <c r="C49666" s="309"/>
      <c r="I49666" s="309"/>
      <c r="J49666" s="309"/>
    </row>
    <row r="49667">
      <c r="B49667" s="309"/>
      <c r="C49667" s="309"/>
      <c r="I49667" s="309"/>
      <c r="J49667" s="309"/>
    </row>
    <row r="49668">
      <c r="B49668" s="309"/>
      <c r="C49668" s="309"/>
      <c r="I49668" s="309"/>
      <c r="J49668" s="309"/>
    </row>
    <row r="49669">
      <c r="B49669" s="309"/>
      <c r="C49669" s="309"/>
      <c r="I49669" s="309"/>
      <c r="J49669" s="309"/>
    </row>
    <row r="49670">
      <c r="B49670" s="309"/>
      <c r="C49670" s="309"/>
      <c r="I49670" s="309"/>
      <c r="J49670" s="309"/>
    </row>
    <row r="49671">
      <c r="B49671" s="309"/>
      <c r="C49671" s="309"/>
      <c r="I49671" s="309"/>
      <c r="J49671" s="309"/>
    </row>
    <row r="49672">
      <c r="B49672" s="309"/>
      <c r="C49672" s="309"/>
      <c r="I49672" s="309"/>
      <c r="J49672" s="309"/>
    </row>
    <row r="49673">
      <c r="B49673" s="309"/>
      <c r="C49673" s="309"/>
      <c r="I49673" s="309"/>
      <c r="J49673" s="309"/>
    </row>
    <row r="49674">
      <c r="B49674" s="309"/>
      <c r="C49674" s="309"/>
      <c r="I49674" s="309"/>
      <c r="J49674" s="309"/>
    </row>
    <row r="49675">
      <c r="B49675" s="309"/>
      <c r="C49675" s="309"/>
      <c r="I49675" s="309"/>
      <c r="J49675" s="309"/>
    </row>
    <row r="49676">
      <c r="B49676" s="309"/>
      <c r="C49676" s="309"/>
      <c r="I49676" s="309"/>
      <c r="J49676" s="309"/>
    </row>
    <row r="49677">
      <c r="B49677" s="309"/>
      <c r="C49677" s="309"/>
      <c r="I49677" s="309"/>
      <c r="J49677" s="309"/>
    </row>
    <row r="49678">
      <c r="B49678" s="309"/>
      <c r="C49678" s="309"/>
      <c r="I49678" s="309"/>
      <c r="J49678" s="309"/>
    </row>
    <row r="49679">
      <c r="B49679" s="309"/>
      <c r="C49679" s="309"/>
      <c r="I49679" s="309"/>
      <c r="J49679" s="309"/>
    </row>
    <row r="49680">
      <c r="B49680" s="309"/>
      <c r="C49680" s="309"/>
      <c r="I49680" s="309"/>
      <c r="J49680" s="309"/>
    </row>
    <row r="49681">
      <c r="B49681" s="309"/>
      <c r="C49681" s="309"/>
      <c r="I49681" s="309"/>
      <c r="J49681" s="309"/>
    </row>
    <row r="49682">
      <c r="B49682" s="309"/>
      <c r="C49682" s="309"/>
      <c r="I49682" s="309"/>
      <c r="J49682" s="309"/>
    </row>
    <row r="49683">
      <c r="B49683" s="309"/>
      <c r="C49683" s="309"/>
      <c r="I49683" s="309"/>
      <c r="J49683" s="309"/>
    </row>
    <row r="49684">
      <c r="B49684" s="309"/>
      <c r="C49684" s="309"/>
      <c r="I49684" s="309"/>
      <c r="J49684" s="309"/>
    </row>
    <row r="49685">
      <c r="B49685" s="309"/>
      <c r="C49685" s="309"/>
      <c r="I49685" s="309"/>
      <c r="J49685" s="309"/>
    </row>
    <row r="49686">
      <c r="B49686" s="309"/>
      <c r="C49686" s="309"/>
      <c r="I49686" s="309"/>
      <c r="J49686" s="309"/>
    </row>
    <row r="49687">
      <c r="B49687" s="309"/>
      <c r="C49687" s="309"/>
      <c r="I49687" s="309"/>
      <c r="J49687" s="309"/>
    </row>
    <row r="49688">
      <c r="B49688" s="309"/>
      <c r="C49688" s="309"/>
      <c r="I49688" s="309"/>
      <c r="J49688" s="309"/>
    </row>
    <row r="49689">
      <c r="B49689" s="309"/>
      <c r="C49689" s="309"/>
      <c r="I49689" s="309"/>
      <c r="J49689" s="309"/>
    </row>
    <row r="49690">
      <c r="B49690" s="309"/>
      <c r="C49690" s="309"/>
      <c r="I49690" s="309"/>
      <c r="J49690" s="309"/>
    </row>
    <row r="49691">
      <c r="B49691" s="309"/>
      <c r="C49691" s="309"/>
      <c r="I49691" s="309"/>
      <c r="J49691" s="309"/>
    </row>
    <row r="49692">
      <c r="B49692" s="309"/>
      <c r="C49692" s="309"/>
      <c r="I49692" s="309"/>
      <c r="J49692" s="309"/>
    </row>
    <row r="49693">
      <c r="B49693" s="309"/>
      <c r="C49693" s="309"/>
      <c r="I49693" s="309"/>
      <c r="J49693" s="309"/>
    </row>
    <row r="49694">
      <c r="B49694" s="309"/>
      <c r="C49694" s="309"/>
      <c r="I49694" s="309"/>
      <c r="J49694" s="309"/>
    </row>
    <row r="49695">
      <c r="B49695" s="309"/>
      <c r="C49695" s="309"/>
      <c r="I49695" s="309"/>
      <c r="J49695" s="309"/>
    </row>
    <row r="49696">
      <c r="B49696" s="309"/>
      <c r="C49696" s="309"/>
      <c r="I49696" s="309"/>
      <c r="J49696" s="309"/>
    </row>
    <row r="49697">
      <c r="B49697" s="309"/>
      <c r="C49697" s="309"/>
      <c r="I49697" s="309"/>
      <c r="J49697" s="309"/>
    </row>
    <row r="49698">
      <c r="B49698" s="309"/>
      <c r="C49698" s="309"/>
      <c r="I49698" s="309"/>
      <c r="J49698" s="309"/>
    </row>
    <row r="49699">
      <c r="B49699" s="309"/>
      <c r="C49699" s="309"/>
      <c r="I49699" s="309"/>
      <c r="J49699" s="309"/>
    </row>
    <row r="49700">
      <c r="B49700" s="309"/>
      <c r="C49700" s="309"/>
      <c r="I49700" s="309"/>
      <c r="J49700" s="309"/>
    </row>
    <row r="49701">
      <c r="B49701" s="309"/>
      <c r="C49701" s="309"/>
      <c r="I49701" s="309"/>
      <c r="J49701" s="309"/>
    </row>
    <row r="49702">
      <c r="B49702" s="309"/>
      <c r="C49702" s="309"/>
      <c r="I49702" s="309"/>
      <c r="J49702" s="309"/>
    </row>
    <row r="49703">
      <c r="B49703" s="309"/>
      <c r="C49703" s="309"/>
      <c r="I49703" s="309"/>
      <c r="J49703" s="309"/>
    </row>
    <row r="49704">
      <c r="B49704" s="309"/>
      <c r="C49704" s="309"/>
      <c r="I49704" s="309"/>
      <c r="J49704" s="309"/>
    </row>
    <row r="49705">
      <c r="B49705" s="309"/>
      <c r="C49705" s="309"/>
      <c r="I49705" s="309"/>
      <c r="J49705" s="309"/>
    </row>
    <row r="49706">
      <c r="B49706" s="309"/>
      <c r="C49706" s="309"/>
      <c r="I49706" s="309"/>
      <c r="J49706" s="309"/>
    </row>
    <row r="49707">
      <c r="B49707" s="309"/>
      <c r="C49707" s="309"/>
      <c r="I49707" s="309"/>
      <c r="J49707" s="309"/>
    </row>
    <row r="49708">
      <c r="B49708" s="309"/>
      <c r="C49708" s="309"/>
      <c r="I49708" s="309"/>
      <c r="J49708" s="309"/>
    </row>
    <row r="49709">
      <c r="B49709" s="309"/>
      <c r="C49709" s="309"/>
      <c r="I49709" s="309"/>
      <c r="J49709" s="309"/>
    </row>
    <row r="49710">
      <c r="B49710" s="309"/>
      <c r="C49710" s="309"/>
      <c r="I49710" s="309"/>
      <c r="J49710" s="309"/>
    </row>
    <row r="49711">
      <c r="B49711" s="309"/>
      <c r="C49711" s="309"/>
      <c r="I49711" s="309"/>
      <c r="J49711" s="309"/>
    </row>
    <row r="49712">
      <c r="B49712" s="309"/>
      <c r="C49712" s="309"/>
      <c r="I49712" s="309"/>
      <c r="J49712" s="309"/>
    </row>
    <row r="49713">
      <c r="B49713" s="309"/>
      <c r="C49713" s="309"/>
      <c r="I49713" s="309"/>
      <c r="J49713" s="309"/>
    </row>
    <row r="49714">
      <c r="B49714" s="309"/>
      <c r="C49714" s="309"/>
      <c r="I49714" s="309"/>
      <c r="J49714" s="309"/>
    </row>
    <row r="49715">
      <c r="B49715" s="309"/>
      <c r="C49715" s="309"/>
      <c r="I49715" s="309"/>
      <c r="J49715" s="309"/>
    </row>
    <row r="49716">
      <c r="B49716" s="309"/>
      <c r="C49716" s="309"/>
      <c r="I49716" s="309"/>
      <c r="J49716" s="309"/>
    </row>
    <row r="49717">
      <c r="B49717" s="309"/>
      <c r="C49717" s="309"/>
      <c r="I49717" s="309"/>
      <c r="J49717" s="309"/>
    </row>
    <row r="49718">
      <c r="B49718" s="309"/>
      <c r="C49718" s="309"/>
      <c r="I49718" s="309"/>
      <c r="J49718" s="309"/>
    </row>
    <row r="49719">
      <c r="B49719" s="309"/>
      <c r="C49719" s="309"/>
      <c r="I49719" s="309"/>
      <c r="J49719" s="309"/>
    </row>
    <row r="49720">
      <c r="B49720" s="309"/>
      <c r="C49720" s="309"/>
      <c r="I49720" s="309"/>
      <c r="J49720" s="309"/>
    </row>
    <row r="49721">
      <c r="B49721" s="309"/>
      <c r="C49721" s="309"/>
      <c r="I49721" s="309"/>
      <c r="J49721" s="309"/>
    </row>
    <row r="49722">
      <c r="B49722" s="309"/>
      <c r="C49722" s="309"/>
      <c r="I49722" s="309"/>
      <c r="J49722" s="309"/>
    </row>
    <row r="49723">
      <c r="B49723" s="309"/>
      <c r="C49723" s="309"/>
      <c r="I49723" s="309"/>
      <c r="J49723" s="309"/>
    </row>
    <row r="49724">
      <c r="B49724" s="309"/>
      <c r="C49724" s="309"/>
      <c r="I49724" s="309"/>
      <c r="J49724" s="309"/>
    </row>
    <row r="49725">
      <c r="B49725" s="309"/>
      <c r="C49725" s="309"/>
      <c r="I49725" s="309"/>
      <c r="J49725" s="309"/>
    </row>
    <row r="49726">
      <c r="B49726" s="309"/>
      <c r="C49726" s="309"/>
      <c r="I49726" s="309"/>
      <c r="J49726" s="309"/>
    </row>
    <row r="49727">
      <c r="B49727" s="309"/>
      <c r="C49727" s="309"/>
      <c r="I49727" s="309"/>
      <c r="J49727" s="309"/>
    </row>
    <row r="49728">
      <c r="B49728" s="309"/>
      <c r="C49728" s="309"/>
      <c r="I49728" s="309"/>
      <c r="J49728" s="309"/>
    </row>
    <row r="49729">
      <c r="B49729" s="309"/>
      <c r="C49729" s="309"/>
      <c r="I49729" s="309"/>
      <c r="J49729" s="309"/>
    </row>
    <row r="49730">
      <c r="B49730" s="309"/>
      <c r="C49730" s="309"/>
      <c r="I49730" s="309"/>
      <c r="J49730" s="309"/>
    </row>
    <row r="49731">
      <c r="B49731" s="309"/>
      <c r="C49731" s="309"/>
      <c r="I49731" s="309"/>
      <c r="J49731" s="309"/>
    </row>
    <row r="49732">
      <c r="B49732" s="309"/>
      <c r="C49732" s="309"/>
      <c r="I49732" s="309"/>
      <c r="J49732" s="309"/>
    </row>
    <row r="49733">
      <c r="B49733" s="309"/>
      <c r="C49733" s="309"/>
      <c r="I49733" s="309"/>
      <c r="J49733" s="309"/>
    </row>
    <row r="49734">
      <c r="B49734" s="309"/>
      <c r="C49734" s="309"/>
      <c r="I49734" s="309"/>
      <c r="J49734" s="309"/>
    </row>
    <row r="49735">
      <c r="B49735" s="309"/>
      <c r="C49735" s="309"/>
      <c r="I49735" s="309"/>
      <c r="J49735" s="309"/>
    </row>
    <row r="49736">
      <c r="B49736" s="309"/>
      <c r="C49736" s="309"/>
      <c r="I49736" s="309"/>
      <c r="J49736" s="309"/>
    </row>
    <row r="49737">
      <c r="B49737" s="309"/>
      <c r="C49737" s="309"/>
      <c r="I49737" s="309"/>
      <c r="J49737" s="309"/>
    </row>
    <row r="49738">
      <c r="B49738" s="309"/>
      <c r="C49738" s="309"/>
      <c r="I49738" s="309"/>
      <c r="J49738" s="309"/>
    </row>
    <row r="49739">
      <c r="B49739" s="309"/>
      <c r="C49739" s="309"/>
      <c r="I49739" s="309"/>
      <c r="J49739" s="309"/>
    </row>
    <row r="49740">
      <c r="B49740" s="309"/>
      <c r="C49740" s="309"/>
      <c r="I49740" s="309"/>
      <c r="J49740" s="309"/>
    </row>
    <row r="49741">
      <c r="B49741" s="309"/>
      <c r="C49741" s="309"/>
      <c r="I49741" s="309"/>
      <c r="J49741" s="309"/>
    </row>
    <row r="49742">
      <c r="B49742" s="309"/>
      <c r="C49742" s="309"/>
      <c r="I49742" s="309"/>
      <c r="J49742" s="309"/>
    </row>
    <row r="49743">
      <c r="B49743" s="309"/>
      <c r="C49743" s="309"/>
      <c r="I49743" s="309"/>
      <c r="J49743" s="309"/>
    </row>
    <row r="49744">
      <c r="B49744" s="309"/>
      <c r="C49744" s="309"/>
      <c r="I49744" s="309"/>
      <c r="J49744" s="309"/>
    </row>
    <row r="49745">
      <c r="B49745" s="309"/>
      <c r="C49745" s="309"/>
      <c r="I49745" s="309"/>
      <c r="J49745" s="309"/>
    </row>
    <row r="49746">
      <c r="B49746" s="309"/>
      <c r="C49746" s="309"/>
      <c r="I49746" s="309"/>
      <c r="J49746" s="309"/>
    </row>
    <row r="49747">
      <c r="B49747" s="309"/>
      <c r="C49747" s="309"/>
      <c r="I49747" s="309"/>
      <c r="J49747" s="309"/>
    </row>
    <row r="49748">
      <c r="B49748" s="309"/>
      <c r="C49748" s="309"/>
      <c r="I49748" s="309"/>
      <c r="J49748" s="309"/>
    </row>
    <row r="49749">
      <c r="B49749" s="309"/>
      <c r="C49749" s="309"/>
      <c r="I49749" s="309"/>
      <c r="J49749" s="309"/>
    </row>
    <row r="49750">
      <c r="B49750" s="309"/>
      <c r="C49750" s="309"/>
      <c r="I49750" s="309"/>
      <c r="J49750" s="309"/>
    </row>
    <row r="49751">
      <c r="B49751" s="309"/>
      <c r="C49751" s="309"/>
      <c r="I49751" s="309"/>
      <c r="J49751" s="309"/>
    </row>
    <row r="49752">
      <c r="B49752" s="309"/>
      <c r="C49752" s="309"/>
      <c r="I49752" s="309"/>
      <c r="J49752" s="309"/>
    </row>
    <row r="49753">
      <c r="B49753" s="309"/>
      <c r="C49753" s="309"/>
      <c r="I49753" s="309"/>
      <c r="J49753" s="309"/>
    </row>
    <row r="49754">
      <c r="B49754" s="309"/>
      <c r="C49754" s="309"/>
      <c r="I49754" s="309"/>
      <c r="J49754" s="309"/>
    </row>
    <row r="49755">
      <c r="B49755" s="309"/>
      <c r="C49755" s="309"/>
      <c r="I49755" s="309"/>
      <c r="J49755" s="309"/>
    </row>
    <row r="49756">
      <c r="B49756" s="309"/>
      <c r="C49756" s="309"/>
      <c r="I49756" s="309"/>
      <c r="J49756" s="309"/>
    </row>
    <row r="49757">
      <c r="B49757" s="309"/>
      <c r="C49757" s="309"/>
      <c r="I49757" s="309"/>
      <c r="J49757" s="309"/>
    </row>
    <row r="49758">
      <c r="B49758" s="309"/>
      <c r="C49758" s="309"/>
      <c r="I49758" s="309"/>
      <c r="J49758" s="309"/>
    </row>
    <row r="49759">
      <c r="B49759" s="309"/>
      <c r="C49759" s="309"/>
      <c r="I49759" s="309"/>
      <c r="J49759" s="309"/>
    </row>
    <row r="49760">
      <c r="B49760" s="309"/>
      <c r="C49760" s="309"/>
      <c r="I49760" s="309"/>
      <c r="J49760" s="309"/>
    </row>
    <row r="49761">
      <c r="B49761" s="309"/>
      <c r="C49761" s="309"/>
      <c r="I49761" s="309"/>
      <c r="J49761" s="309"/>
    </row>
    <row r="49762">
      <c r="B49762" s="309"/>
      <c r="C49762" s="309"/>
      <c r="I49762" s="309"/>
      <c r="J49762" s="309"/>
    </row>
    <row r="49763">
      <c r="B49763" s="309"/>
      <c r="C49763" s="309"/>
      <c r="I49763" s="309"/>
      <c r="J49763" s="309"/>
    </row>
    <row r="49764">
      <c r="B49764" s="309"/>
      <c r="C49764" s="309"/>
      <c r="I49764" s="309"/>
      <c r="J49764" s="309"/>
    </row>
    <row r="49765">
      <c r="B49765" s="309"/>
      <c r="C49765" s="309"/>
      <c r="I49765" s="309"/>
      <c r="J49765" s="309"/>
    </row>
    <row r="49766">
      <c r="B49766" s="309"/>
      <c r="C49766" s="309"/>
      <c r="I49766" s="309"/>
      <c r="J49766" s="309"/>
    </row>
    <row r="49767">
      <c r="B49767" s="309"/>
      <c r="C49767" s="309"/>
      <c r="I49767" s="309"/>
      <c r="J49767" s="309"/>
    </row>
    <row r="49768">
      <c r="B49768" s="309"/>
      <c r="C49768" s="309"/>
      <c r="I49768" s="309"/>
      <c r="J49768" s="309"/>
    </row>
    <row r="49769">
      <c r="B49769" s="309"/>
      <c r="C49769" s="309"/>
      <c r="I49769" s="309"/>
      <c r="J49769" s="309"/>
    </row>
    <row r="49770">
      <c r="B49770" s="309"/>
      <c r="C49770" s="309"/>
      <c r="I49770" s="309"/>
      <c r="J49770" s="309"/>
    </row>
    <row r="49771">
      <c r="B49771" s="309"/>
      <c r="C49771" s="309"/>
      <c r="I49771" s="309"/>
      <c r="J49771" s="309"/>
    </row>
    <row r="49772">
      <c r="B49772" s="309"/>
      <c r="C49772" s="309"/>
      <c r="I49772" s="309"/>
      <c r="J49772" s="309"/>
    </row>
    <row r="49773">
      <c r="B49773" s="309"/>
      <c r="C49773" s="309"/>
      <c r="I49773" s="309"/>
      <c r="J49773" s="309"/>
    </row>
    <row r="49774">
      <c r="B49774" s="309"/>
      <c r="C49774" s="309"/>
      <c r="I49774" s="309"/>
      <c r="J49774" s="309"/>
    </row>
    <row r="49775">
      <c r="B49775" s="309"/>
      <c r="C49775" s="309"/>
      <c r="I49775" s="309"/>
      <c r="J49775" s="309"/>
    </row>
    <row r="49776">
      <c r="B49776" s="309"/>
      <c r="C49776" s="309"/>
      <c r="I49776" s="309"/>
      <c r="J49776" s="309"/>
    </row>
    <row r="49777">
      <c r="B49777" s="309"/>
      <c r="C49777" s="309"/>
      <c r="I49777" s="309"/>
      <c r="J49777" s="309"/>
    </row>
    <row r="49778">
      <c r="B49778" s="309"/>
      <c r="C49778" s="309"/>
      <c r="I49778" s="309"/>
      <c r="J49778" s="309"/>
    </row>
    <row r="49779">
      <c r="B49779" s="309"/>
      <c r="C49779" s="309"/>
      <c r="I49779" s="309"/>
      <c r="J49779" s="309"/>
    </row>
    <row r="49780">
      <c r="B49780" s="309"/>
      <c r="C49780" s="309"/>
      <c r="I49780" s="309"/>
      <c r="J49780" s="309"/>
    </row>
    <row r="49781">
      <c r="B49781" s="309"/>
      <c r="C49781" s="309"/>
      <c r="I49781" s="309"/>
      <c r="J49781" s="309"/>
    </row>
    <row r="49782">
      <c r="B49782" s="309"/>
      <c r="C49782" s="309"/>
      <c r="I49782" s="309"/>
      <c r="J49782" s="309"/>
    </row>
    <row r="49783">
      <c r="B49783" s="309"/>
      <c r="C49783" s="309"/>
      <c r="I49783" s="309"/>
      <c r="J49783" s="309"/>
    </row>
    <row r="49784">
      <c r="B49784" s="309"/>
      <c r="C49784" s="309"/>
      <c r="I49784" s="309"/>
      <c r="J49784" s="309"/>
    </row>
    <row r="49785">
      <c r="B49785" s="309"/>
      <c r="C49785" s="309"/>
      <c r="I49785" s="309"/>
      <c r="J49785" s="309"/>
    </row>
    <row r="49786">
      <c r="B49786" s="309"/>
      <c r="C49786" s="309"/>
      <c r="I49786" s="309"/>
      <c r="J49786" s="309"/>
    </row>
    <row r="49787">
      <c r="B49787" s="309"/>
      <c r="C49787" s="309"/>
      <c r="I49787" s="309"/>
      <c r="J49787" s="309"/>
    </row>
    <row r="49788">
      <c r="B49788" s="309"/>
      <c r="C49788" s="309"/>
      <c r="I49788" s="309"/>
      <c r="J49788" s="309"/>
    </row>
    <row r="49789">
      <c r="B49789" s="309"/>
      <c r="C49789" s="309"/>
      <c r="I49789" s="309"/>
      <c r="J49789" s="309"/>
    </row>
    <row r="49790">
      <c r="B49790" s="309"/>
      <c r="C49790" s="309"/>
      <c r="I49790" s="309"/>
      <c r="J49790" s="309"/>
    </row>
    <row r="49791">
      <c r="B49791" s="309"/>
      <c r="C49791" s="309"/>
      <c r="I49791" s="309"/>
      <c r="J49791" s="309"/>
    </row>
    <row r="49792">
      <c r="B49792" s="309"/>
      <c r="C49792" s="309"/>
      <c r="I49792" s="309"/>
      <c r="J49792" s="309"/>
    </row>
    <row r="49793">
      <c r="B49793" s="309"/>
      <c r="C49793" s="309"/>
      <c r="I49793" s="309"/>
      <c r="J49793" s="309"/>
    </row>
    <row r="49794">
      <c r="B49794" s="309"/>
      <c r="C49794" s="309"/>
      <c r="I49794" s="309"/>
      <c r="J49794" s="309"/>
    </row>
    <row r="49795">
      <c r="B49795" s="309"/>
      <c r="C49795" s="309"/>
      <c r="I49795" s="309"/>
      <c r="J49795" s="309"/>
    </row>
    <row r="49796">
      <c r="B49796" s="309"/>
      <c r="C49796" s="309"/>
      <c r="I49796" s="309"/>
      <c r="J49796" s="309"/>
    </row>
    <row r="49797">
      <c r="B49797" s="309"/>
      <c r="C49797" s="309"/>
      <c r="I49797" s="309"/>
      <c r="J49797" s="309"/>
    </row>
    <row r="49798">
      <c r="B49798" s="309"/>
      <c r="C49798" s="309"/>
      <c r="I49798" s="309"/>
      <c r="J49798" s="309"/>
    </row>
    <row r="49799">
      <c r="B49799" s="309"/>
      <c r="C49799" s="309"/>
      <c r="I49799" s="309"/>
      <c r="J49799" s="309"/>
    </row>
    <row r="49800">
      <c r="B49800" s="309"/>
      <c r="C49800" s="309"/>
      <c r="I49800" s="309"/>
      <c r="J49800" s="309"/>
    </row>
    <row r="49801">
      <c r="B49801" s="309"/>
      <c r="C49801" s="309"/>
      <c r="I49801" s="309"/>
      <c r="J49801" s="309"/>
    </row>
    <row r="49802">
      <c r="B49802" s="309"/>
      <c r="C49802" s="309"/>
      <c r="I49802" s="309"/>
      <c r="J49802" s="309"/>
    </row>
    <row r="49803">
      <c r="B49803" s="309"/>
      <c r="C49803" s="309"/>
      <c r="I49803" s="309"/>
      <c r="J49803" s="309"/>
    </row>
    <row r="49804">
      <c r="B49804" s="309"/>
      <c r="C49804" s="309"/>
      <c r="I49804" s="309"/>
      <c r="J49804" s="309"/>
    </row>
    <row r="49805">
      <c r="B49805" s="309"/>
      <c r="C49805" s="309"/>
      <c r="I49805" s="309"/>
      <c r="J49805" s="309"/>
    </row>
    <row r="49806">
      <c r="B49806" s="309"/>
      <c r="C49806" s="309"/>
      <c r="I49806" s="309"/>
      <c r="J49806" s="309"/>
    </row>
    <row r="49807">
      <c r="B49807" s="309"/>
      <c r="C49807" s="309"/>
      <c r="I49807" s="309"/>
      <c r="J49807" s="309"/>
    </row>
    <row r="49808">
      <c r="B49808" s="309"/>
      <c r="C49808" s="309"/>
      <c r="I49808" s="309"/>
      <c r="J49808" s="309"/>
    </row>
    <row r="49809">
      <c r="B49809" s="309"/>
      <c r="C49809" s="309"/>
      <c r="I49809" s="309"/>
      <c r="J49809" s="309"/>
    </row>
    <row r="49810">
      <c r="B49810" s="309"/>
      <c r="C49810" s="309"/>
      <c r="I49810" s="309"/>
      <c r="J49810" s="309"/>
    </row>
    <row r="49811">
      <c r="B49811" s="309"/>
      <c r="C49811" s="309"/>
      <c r="I49811" s="309"/>
      <c r="J49811" s="309"/>
    </row>
    <row r="49812">
      <c r="B49812" s="309"/>
      <c r="C49812" s="309"/>
      <c r="I49812" s="309"/>
      <c r="J49812" s="309"/>
    </row>
    <row r="49813">
      <c r="B49813" s="309"/>
      <c r="C49813" s="309"/>
      <c r="I49813" s="309"/>
      <c r="J49813" s="309"/>
    </row>
    <row r="49814">
      <c r="B49814" s="309"/>
      <c r="C49814" s="309"/>
      <c r="I49814" s="309"/>
      <c r="J49814" s="309"/>
    </row>
    <row r="49815">
      <c r="B49815" s="309"/>
      <c r="C49815" s="309"/>
      <c r="I49815" s="309"/>
      <c r="J49815" s="309"/>
    </row>
    <row r="49816">
      <c r="B49816" s="309"/>
      <c r="C49816" s="309"/>
      <c r="I49816" s="309"/>
      <c r="J49816" s="309"/>
    </row>
    <row r="49817">
      <c r="B49817" s="309"/>
      <c r="C49817" s="309"/>
      <c r="I49817" s="309"/>
      <c r="J49817" s="309"/>
    </row>
    <row r="49818">
      <c r="B49818" s="309"/>
      <c r="C49818" s="309"/>
      <c r="I49818" s="309"/>
      <c r="J49818" s="309"/>
    </row>
    <row r="49819">
      <c r="B49819" s="309"/>
      <c r="C49819" s="309"/>
      <c r="I49819" s="309"/>
      <c r="J49819" s="309"/>
    </row>
    <row r="49820">
      <c r="B49820" s="309"/>
      <c r="C49820" s="309"/>
      <c r="I49820" s="309"/>
      <c r="J49820" s="309"/>
    </row>
    <row r="49821">
      <c r="B49821" s="309"/>
      <c r="C49821" s="309"/>
      <c r="I49821" s="309"/>
      <c r="J49821" s="309"/>
    </row>
    <row r="49822">
      <c r="B49822" s="309"/>
      <c r="C49822" s="309"/>
      <c r="I49822" s="309"/>
      <c r="J49822" s="309"/>
    </row>
    <row r="49823">
      <c r="B49823" s="309"/>
      <c r="C49823" s="309"/>
      <c r="I49823" s="309"/>
      <c r="J49823" s="309"/>
    </row>
    <row r="49824">
      <c r="B49824" s="309"/>
      <c r="C49824" s="309"/>
      <c r="I49824" s="309"/>
      <c r="J49824" s="309"/>
    </row>
    <row r="49825">
      <c r="B49825" s="309"/>
      <c r="C49825" s="309"/>
      <c r="I49825" s="309"/>
      <c r="J49825" s="309"/>
    </row>
    <row r="49826">
      <c r="B49826" s="309"/>
      <c r="C49826" s="309"/>
      <c r="I49826" s="309"/>
      <c r="J49826" s="309"/>
    </row>
    <row r="49827">
      <c r="B49827" s="309"/>
      <c r="C49827" s="309"/>
      <c r="I49827" s="309"/>
      <c r="J49827" s="309"/>
    </row>
    <row r="49828">
      <c r="B49828" s="309"/>
      <c r="C49828" s="309"/>
      <c r="I49828" s="309"/>
      <c r="J49828" s="309"/>
    </row>
    <row r="49829">
      <c r="B49829" s="309"/>
      <c r="C49829" s="309"/>
      <c r="I49829" s="309"/>
      <c r="J49829" s="309"/>
    </row>
    <row r="49830">
      <c r="B49830" s="309"/>
      <c r="C49830" s="309"/>
      <c r="I49830" s="309"/>
      <c r="J49830" s="309"/>
    </row>
    <row r="49831">
      <c r="B49831" s="309"/>
      <c r="C49831" s="309"/>
      <c r="I49831" s="309"/>
      <c r="J49831" s="309"/>
    </row>
    <row r="49832">
      <c r="B49832" s="309"/>
      <c r="C49832" s="309"/>
      <c r="I49832" s="309"/>
      <c r="J49832" s="309"/>
    </row>
    <row r="49833">
      <c r="B49833" s="309"/>
      <c r="C49833" s="309"/>
      <c r="I49833" s="309"/>
      <c r="J49833" s="309"/>
    </row>
    <row r="49834">
      <c r="B49834" s="309"/>
      <c r="C49834" s="309"/>
      <c r="I49834" s="309"/>
      <c r="J49834" s="309"/>
    </row>
    <row r="49835">
      <c r="B49835" s="309"/>
      <c r="C49835" s="309"/>
      <c r="I49835" s="309"/>
      <c r="J49835" s="309"/>
    </row>
    <row r="49836">
      <c r="B49836" s="309"/>
      <c r="C49836" s="309"/>
      <c r="I49836" s="309"/>
      <c r="J49836" s="309"/>
    </row>
    <row r="49837">
      <c r="B49837" s="309"/>
      <c r="C49837" s="309"/>
      <c r="I49837" s="309"/>
      <c r="J49837" s="309"/>
    </row>
    <row r="49838">
      <c r="B49838" s="309"/>
      <c r="C49838" s="309"/>
      <c r="I49838" s="309"/>
      <c r="J49838" s="309"/>
    </row>
    <row r="49839">
      <c r="B49839" s="309"/>
      <c r="C49839" s="309"/>
      <c r="I49839" s="309"/>
      <c r="J49839" s="309"/>
    </row>
    <row r="49840">
      <c r="B49840" s="309"/>
      <c r="C49840" s="309"/>
      <c r="I49840" s="309"/>
      <c r="J49840" s="309"/>
    </row>
    <row r="49841">
      <c r="B49841" s="309"/>
      <c r="C49841" s="309"/>
      <c r="I49841" s="309"/>
      <c r="J49841" s="309"/>
    </row>
    <row r="49842">
      <c r="B49842" s="309"/>
      <c r="C49842" s="309"/>
      <c r="I49842" s="309"/>
      <c r="J49842" s="309"/>
    </row>
    <row r="49843">
      <c r="B49843" s="309"/>
      <c r="C49843" s="309"/>
      <c r="I49843" s="309"/>
      <c r="J49843" s="309"/>
    </row>
    <row r="49844">
      <c r="B49844" s="309"/>
      <c r="C49844" s="309"/>
      <c r="I49844" s="309"/>
      <c r="J49844" s="309"/>
    </row>
    <row r="49845">
      <c r="B49845" s="309"/>
      <c r="C49845" s="309"/>
      <c r="I49845" s="309"/>
      <c r="J49845" s="309"/>
    </row>
    <row r="49846">
      <c r="B49846" s="309"/>
      <c r="C49846" s="309"/>
      <c r="I49846" s="309"/>
      <c r="J49846" s="309"/>
    </row>
    <row r="49847">
      <c r="B49847" s="309"/>
      <c r="C49847" s="309"/>
      <c r="I49847" s="309"/>
      <c r="J49847" s="309"/>
    </row>
    <row r="49848">
      <c r="B49848" s="309"/>
      <c r="C49848" s="309"/>
      <c r="I49848" s="309"/>
      <c r="J49848" s="309"/>
    </row>
    <row r="49849">
      <c r="B49849" s="309"/>
      <c r="C49849" s="309"/>
      <c r="I49849" s="309"/>
      <c r="J49849" s="309"/>
    </row>
    <row r="49850">
      <c r="B49850" s="309"/>
      <c r="C49850" s="309"/>
      <c r="I49850" s="309"/>
      <c r="J49850" s="309"/>
    </row>
    <row r="49851">
      <c r="B49851" s="309"/>
      <c r="C49851" s="309"/>
      <c r="I49851" s="309"/>
      <c r="J49851" s="309"/>
    </row>
    <row r="49852">
      <c r="B49852" s="309"/>
      <c r="C49852" s="309"/>
      <c r="I49852" s="309"/>
      <c r="J49852" s="309"/>
    </row>
    <row r="49853">
      <c r="B49853" s="309"/>
      <c r="C49853" s="309"/>
      <c r="I49853" s="309"/>
      <c r="J49853" s="309"/>
    </row>
    <row r="49854">
      <c r="B49854" s="309"/>
      <c r="C49854" s="309"/>
      <c r="I49854" s="309"/>
      <c r="J49854" s="309"/>
    </row>
    <row r="49855">
      <c r="B49855" s="309"/>
      <c r="C49855" s="309"/>
      <c r="I49855" s="309"/>
      <c r="J49855" s="309"/>
    </row>
    <row r="49856">
      <c r="B49856" s="309"/>
      <c r="C49856" s="309"/>
      <c r="I49856" s="309"/>
      <c r="J49856" s="309"/>
    </row>
    <row r="49857">
      <c r="B49857" s="309"/>
      <c r="C49857" s="309"/>
      <c r="I49857" s="309"/>
      <c r="J49857" s="309"/>
    </row>
    <row r="49858">
      <c r="B49858" s="309"/>
      <c r="C49858" s="309"/>
      <c r="I49858" s="309"/>
      <c r="J49858" s="309"/>
    </row>
    <row r="49859">
      <c r="B49859" s="309"/>
      <c r="C49859" s="309"/>
      <c r="I49859" s="309"/>
      <c r="J49859" s="309"/>
    </row>
    <row r="49860">
      <c r="B49860" s="309"/>
      <c r="C49860" s="309"/>
      <c r="I49860" s="309"/>
      <c r="J49860" s="309"/>
    </row>
    <row r="49861">
      <c r="B49861" s="309"/>
      <c r="C49861" s="309"/>
      <c r="I49861" s="309"/>
      <c r="J49861" s="309"/>
    </row>
    <row r="49862">
      <c r="B49862" s="309"/>
      <c r="C49862" s="309"/>
      <c r="I49862" s="309"/>
      <c r="J49862" s="309"/>
    </row>
    <row r="49863">
      <c r="B49863" s="309"/>
      <c r="C49863" s="309"/>
      <c r="I49863" s="309"/>
      <c r="J49863" s="309"/>
    </row>
    <row r="49864">
      <c r="B49864" s="309"/>
      <c r="C49864" s="309"/>
      <c r="I49864" s="309"/>
      <c r="J49864" s="309"/>
    </row>
    <row r="49865">
      <c r="B49865" s="309"/>
      <c r="C49865" s="309"/>
      <c r="I49865" s="309"/>
      <c r="J49865" s="309"/>
    </row>
    <row r="49866">
      <c r="B49866" s="309"/>
      <c r="C49866" s="309"/>
      <c r="I49866" s="309"/>
      <c r="J49866" s="309"/>
    </row>
    <row r="49867">
      <c r="B49867" s="309"/>
      <c r="C49867" s="309"/>
      <c r="I49867" s="309"/>
      <c r="J49867" s="309"/>
    </row>
    <row r="49868">
      <c r="B49868" s="309"/>
      <c r="C49868" s="309"/>
      <c r="I49868" s="309"/>
      <c r="J49868" s="309"/>
    </row>
    <row r="49869">
      <c r="B49869" s="309"/>
      <c r="C49869" s="309"/>
      <c r="I49869" s="309"/>
      <c r="J49869" s="309"/>
    </row>
    <row r="49870">
      <c r="B49870" s="309"/>
      <c r="C49870" s="309"/>
      <c r="I49870" s="309"/>
      <c r="J49870" s="309"/>
    </row>
    <row r="49871">
      <c r="B49871" s="309"/>
      <c r="C49871" s="309"/>
      <c r="I49871" s="309"/>
      <c r="J49871" s="309"/>
    </row>
    <row r="49872">
      <c r="B49872" s="309"/>
      <c r="C49872" s="309"/>
      <c r="I49872" s="309"/>
      <c r="J49872" s="309"/>
    </row>
    <row r="49873">
      <c r="B49873" s="309"/>
      <c r="C49873" s="309"/>
      <c r="I49873" s="309"/>
      <c r="J49873" s="309"/>
    </row>
    <row r="49874">
      <c r="B49874" s="309"/>
      <c r="C49874" s="309"/>
      <c r="I49874" s="309"/>
      <c r="J49874" s="309"/>
    </row>
    <row r="49875">
      <c r="B49875" s="309"/>
      <c r="C49875" s="309"/>
      <c r="I49875" s="309"/>
      <c r="J49875" s="309"/>
    </row>
    <row r="49876">
      <c r="B49876" s="309"/>
      <c r="C49876" s="309"/>
      <c r="I49876" s="309"/>
      <c r="J49876" s="309"/>
    </row>
    <row r="49877">
      <c r="B49877" s="309"/>
      <c r="C49877" s="309"/>
      <c r="I49877" s="309"/>
      <c r="J49877" s="309"/>
    </row>
    <row r="49878">
      <c r="B49878" s="309"/>
      <c r="C49878" s="309"/>
      <c r="I49878" s="309"/>
      <c r="J49878" s="309"/>
    </row>
    <row r="49879">
      <c r="B49879" s="309"/>
      <c r="C49879" s="309"/>
      <c r="I49879" s="309"/>
      <c r="J49879" s="309"/>
    </row>
    <row r="49880">
      <c r="B49880" s="309"/>
      <c r="C49880" s="309"/>
      <c r="I49880" s="309"/>
      <c r="J49880" s="309"/>
    </row>
    <row r="49881">
      <c r="B49881" s="309"/>
      <c r="C49881" s="309"/>
      <c r="I49881" s="309"/>
      <c r="J49881" s="309"/>
    </row>
    <row r="49882">
      <c r="B49882" s="309"/>
      <c r="C49882" s="309"/>
      <c r="I49882" s="309"/>
      <c r="J49882" s="309"/>
    </row>
    <row r="49883">
      <c r="B49883" s="309"/>
      <c r="C49883" s="309"/>
      <c r="I49883" s="309"/>
      <c r="J49883" s="309"/>
    </row>
    <row r="49884">
      <c r="B49884" s="309"/>
      <c r="C49884" s="309"/>
      <c r="I49884" s="309"/>
      <c r="J49884" s="309"/>
    </row>
    <row r="49885">
      <c r="B49885" s="309"/>
      <c r="C49885" s="309"/>
      <c r="I49885" s="309"/>
      <c r="J49885" s="309"/>
    </row>
    <row r="49886">
      <c r="B49886" s="309"/>
      <c r="C49886" s="309"/>
      <c r="I49886" s="309"/>
      <c r="J49886" s="309"/>
    </row>
    <row r="49887">
      <c r="B49887" s="309"/>
      <c r="C49887" s="309"/>
      <c r="I49887" s="309"/>
      <c r="J49887" s="309"/>
    </row>
    <row r="49888">
      <c r="B49888" s="309"/>
      <c r="C49888" s="309"/>
      <c r="I49888" s="309"/>
      <c r="J49888" s="309"/>
    </row>
    <row r="49889">
      <c r="B49889" s="309"/>
      <c r="C49889" s="309"/>
      <c r="I49889" s="309"/>
      <c r="J49889" s="309"/>
    </row>
    <row r="49890">
      <c r="B49890" s="309"/>
      <c r="C49890" s="309"/>
      <c r="I49890" s="309"/>
      <c r="J49890" s="309"/>
    </row>
    <row r="49891">
      <c r="B49891" s="309"/>
      <c r="C49891" s="309"/>
      <c r="I49891" s="309"/>
      <c r="J49891" s="309"/>
    </row>
    <row r="49892">
      <c r="B49892" s="309"/>
      <c r="C49892" s="309"/>
      <c r="I49892" s="309"/>
      <c r="J49892" s="309"/>
    </row>
    <row r="49893">
      <c r="B49893" s="309"/>
      <c r="C49893" s="309"/>
      <c r="I49893" s="309"/>
      <c r="J49893" s="309"/>
    </row>
    <row r="49894">
      <c r="B49894" s="309"/>
      <c r="C49894" s="309"/>
      <c r="I49894" s="309"/>
      <c r="J49894" s="309"/>
    </row>
    <row r="49895">
      <c r="B49895" s="309"/>
      <c r="C49895" s="309"/>
      <c r="I49895" s="309"/>
      <c r="J49895" s="309"/>
    </row>
    <row r="49896">
      <c r="B49896" s="309"/>
      <c r="C49896" s="309"/>
      <c r="I49896" s="309"/>
      <c r="J49896" s="309"/>
    </row>
    <row r="49897">
      <c r="B49897" s="309"/>
      <c r="C49897" s="309"/>
      <c r="I49897" s="309"/>
      <c r="J49897" s="309"/>
    </row>
    <row r="49898">
      <c r="B49898" s="309"/>
      <c r="C49898" s="309"/>
      <c r="I49898" s="309"/>
      <c r="J49898" s="309"/>
    </row>
    <row r="49899">
      <c r="B49899" s="309"/>
      <c r="C49899" s="309"/>
      <c r="I49899" s="309"/>
      <c r="J49899" s="309"/>
    </row>
    <row r="49900">
      <c r="B49900" s="309"/>
      <c r="C49900" s="309"/>
      <c r="I49900" s="309"/>
      <c r="J49900" s="309"/>
    </row>
    <row r="49901">
      <c r="B49901" s="309"/>
      <c r="C49901" s="309"/>
      <c r="I49901" s="309"/>
      <c r="J49901" s="309"/>
    </row>
    <row r="49902">
      <c r="B49902" s="309"/>
      <c r="C49902" s="309"/>
      <c r="I49902" s="309"/>
      <c r="J49902" s="309"/>
    </row>
    <row r="49903">
      <c r="B49903" s="309"/>
      <c r="C49903" s="309"/>
      <c r="I49903" s="309"/>
      <c r="J49903" s="309"/>
    </row>
    <row r="49904">
      <c r="B49904" s="309"/>
      <c r="C49904" s="309"/>
      <c r="I49904" s="309"/>
      <c r="J49904" s="309"/>
    </row>
    <row r="49905">
      <c r="B49905" s="309"/>
      <c r="C49905" s="309"/>
      <c r="I49905" s="309"/>
      <c r="J49905" s="309"/>
    </row>
    <row r="49906">
      <c r="B49906" s="309"/>
      <c r="C49906" s="309"/>
      <c r="I49906" s="309"/>
      <c r="J49906" s="309"/>
    </row>
    <row r="49907">
      <c r="B49907" s="309"/>
      <c r="C49907" s="309"/>
      <c r="I49907" s="309"/>
      <c r="J49907" s="309"/>
    </row>
    <row r="49908">
      <c r="B49908" s="309"/>
      <c r="C49908" s="309"/>
      <c r="I49908" s="309"/>
      <c r="J49908" s="309"/>
    </row>
    <row r="49909">
      <c r="B49909" s="309"/>
      <c r="C49909" s="309"/>
      <c r="I49909" s="309"/>
      <c r="J49909" s="309"/>
    </row>
    <row r="49910">
      <c r="B49910" s="309"/>
      <c r="C49910" s="309"/>
      <c r="I49910" s="309"/>
      <c r="J49910" s="309"/>
    </row>
    <row r="49911">
      <c r="B49911" s="309"/>
      <c r="C49911" s="309"/>
      <c r="I49911" s="309"/>
      <c r="J49911" s="309"/>
    </row>
    <row r="49912">
      <c r="B49912" s="309"/>
      <c r="C49912" s="309"/>
      <c r="I49912" s="309"/>
      <c r="J49912" s="309"/>
    </row>
    <row r="49913">
      <c r="B49913" s="309"/>
      <c r="C49913" s="309"/>
      <c r="I49913" s="309"/>
      <c r="J49913" s="309"/>
    </row>
    <row r="49914">
      <c r="B49914" s="309"/>
      <c r="C49914" s="309"/>
      <c r="I49914" s="309"/>
      <c r="J49914" s="309"/>
    </row>
    <row r="49915">
      <c r="B49915" s="309"/>
      <c r="C49915" s="309"/>
      <c r="I49915" s="309"/>
      <c r="J49915" s="309"/>
    </row>
    <row r="49916">
      <c r="B49916" s="309"/>
      <c r="C49916" s="309"/>
      <c r="I49916" s="309"/>
      <c r="J49916" s="309"/>
    </row>
    <row r="49917">
      <c r="B49917" s="309"/>
      <c r="C49917" s="309"/>
      <c r="I49917" s="309"/>
      <c r="J49917" s="309"/>
    </row>
    <row r="49918">
      <c r="B49918" s="309"/>
      <c r="C49918" s="309"/>
      <c r="I49918" s="309"/>
      <c r="J49918" s="309"/>
    </row>
    <row r="49919">
      <c r="B49919" s="309"/>
      <c r="C49919" s="309"/>
      <c r="I49919" s="309"/>
      <c r="J49919" s="309"/>
    </row>
    <row r="49920">
      <c r="B49920" s="309"/>
      <c r="C49920" s="309"/>
      <c r="I49920" s="309"/>
      <c r="J49920" s="309"/>
    </row>
    <row r="49921">
      <c r="B49921" s="309"/>
      <c r="C49921" s="309"/>
      <c r="I49921" s="309"/>
      <c r="J49921" s="309"/>
    </row>
    <row r="49922">
      <c r="B49922" s="309"/>
      <c r="C49922" s="309"/>
      <c r="I49922" s="309"/>
      <c r="J49922" s="309"/>
    </row>
    <row r="49923">
      <c r="B49923" s="309"/>
      <c r="C49923" s="309"/>
      <c r="I49923" s="309"/>
      <c r="J49923" s="309"/>
    </row>
    <row r="49924">
      <c r="B49924" s="309"/>
      <c r="C49924" s="309"/>
      <c r="I49924" s="309"/>
      <c r="J49924" s="309"/>
    </row>
    <row r="49925">
      <c r="B49925" s="309"/>
      <c r="C49925" s="309"/>
      <c r="I49925" s="309"/>
      <c r="J49925" s="309"/>
    </row>
    <row r="49926">
      <c r="B49926" s="309"/>
      <c r="C49926" s="309"/>
      <c r="I49926" s="309"/>
      <c r="J49926" s="309"/>
    </row>
    <row r="49927">
      <c r="B49927" s="309"/>
      <c r="C49927" s="309"/>
      <c r="I49927" s="309"/>
      <c r="J49927" s="309"/>
    </row>
    <row r="49928">
      <c r="B49928" s="309"/>
      <c r="C49928" s="309"/>
      <c r="I49928" s="309"/>
      <c r="J49928" s="309"/>
    </row>
    <row r="49929">
      <c r="B49929" s="309"/>
      <c r="C49929" s="309"/>
      <c r="I49929" s="309"/>
      <c r="J49929" s="309"/>
    </row>
    <row r="49930">
      <c r="B49930" s="309"/>
      <c r="C49930" s="309"/>
      <c r="I49930" s="309"/>
      <c r="J49930" s="309"/>
    </row>
    <row r="49931">
      <c r="B49931" s="309"/>
      <c r="C49931" s="309"/>
      <c r="I49931" s="309"/>
      <c r="J49931" s="309"/>
    </row>
    <row r="49932">
      <c r="B49932" s="309"/>
      <c r="C49932" s="309"/>
      <c r="I49932" s="309"/>
      <c r="J49932" s="309"/>
    </row>
    <row r="49933">
      <c r="B49933" s="309"/>
      <c r="C49933" s="309"/>
      <c r="I49933" s="309"/>
      <c r="J49933" s="309"/>
    </row>
    <row r="49934">
      <c r="B49934" s="309"/>
      <c r="C49934" s="309"/>
      <c r="I49934" s="309"/>
      <c r="J49934" s="309"/>
    </row>
    <row r="49935">
      <c r="B49935" s="309"/>
      <c r="C49935" s="309"/>
      <c r="I49935" s="309"/>
      <c r="J49935" s="309"/>
    </row>
    <row r="49936">
      <c r="B49936" s="309"/>
      <c r="C49936" s="309"/>
      <c r="I49936" s="309"/>
      <c r="J49936" s="309"/>
    </row>
    <row r="49937">
      <c r="B49937" s="309"/>
      <c r="C49937" s="309"/>
      <c r="I49937" s="309"/>
      <c r="J49937" s="309"/>
    </row>
    <row r="49938">
      <c r="B49938" s="309"/>
      <c r="C49938" s="309"/>
      <c r="I49938" s="309"/>
      <c r="J49938" s="309"/>
    </row>
    <row r="49939">
      <c r="B49939" s="309"/>
      <c r="C49939" s="309"/>
      <c r="I49939" s="309"/>
      <c r="J49939" s="309"/>
    </row>
    <row r="49940">
      <c r="B49940" s="309"/>
      <c r="C49940" s="309"/>
      <c r="I49940" s="309"/>
      <c r="J49940" s="309"/>
    </row>
    <row r="49941">
      <c r="B49941" s="309"/>
      <c r="C49941" s="309"/>
      <c r="I49941" s="309"/>
      <c r="J49941" s="309"/>
    </row>
    <row r="49942">
      <c r="B49942" s="309"/>
      <c r="C49942" s="309"/>
      <c r="I49942" s="309"/>
      <c r="J49942" s="309"/>
    </row>
    <row r="49943">
      <c r="B49943" s="309"/>
      <c r="C49943" s="309"/>
      <c r="I49943" s="309"/>
      <c r="J49943" s="309"/>
    </row>
    <row r="49944">
      <c r="B49944" s="309"/>
      <c r="C49944" s="309"/>
      <c r="I49944" s="309"/>
      <c r="J49944" s="309"/>
    </row>
    <row r="49945">
      <c r="B49945" s="309"/>
      <c r="C49945" s="309"/>
      <c r="I49945" s="309"/>
      <c r="J49945" s="309"/>
    </row>
    <row r="49946">
      <c r="B49946" s="309"/>
      <c r="C49946" s="309"/>
      <c r="I49946" s="309"/>
      <c r="J49946" s="309"/>
    </row>
    <row r="49947">
      <c r="B49947" s="309"/>
      <c r="C49947" s="309"/>
      <c r="I49947" s="309"/>
      <c r="J49947" s="309"/>
    </row>
    <row r="49948">
      <c r="B49948" s="309"/>
      <c r="C49948" s="309"/>
      <c r="I49948" s="309"/>
      <c r="J49948" s="309"/>
    </row>
    <row r="49949">
      <c r="B49949" s="309"/>
      <c r="C49949" s="309"/>
      <c r="I49949" s="309"/>
      <c r="J49949" s="309"/>
    </row>
    <row r="49950">
      <c r="B49950" s="309"/>
      <c r="C49950" s="309"/>
      <c r="I49950" s="309"/>
      <c r="J49950" s="309"/>
    </row>
    <row r="49951">
      <c r="B49951" s="309"/>
      <c r="C49951" s="309"/>
      <c r="I49951" s="309"/>
      <c r="J49951" s="309"/>
    </row>
    <row r="49952">
      <c r="B49952" s="309"/>
      <c r="C49952" s="309"/>
      <c r="I49952" s="309"/>
      <c r="J49952" s="309"/>
    </row>
    <row r="49953">
      <c r="B49953" s="309"/>
      <c r="C49953" s="309"/>
      <c r="I49953" s="309"/>
      <c r="J49953" s="309"/>
    </row>
    <row r="49954">
      <c r="B49954" s="309"/>
      <c r="C49954" s="309"/>
      <c r="I49954" s="309"/>
      <c r="J49954" s="309"/>
    </row>
    <row r="49955">
      <c r="B49955" s="309"/>
      <c r="C49955" s="309"/>
      <c r="I49955" s="309"/>
      <c r="J49955" s="309"/>
    </row>
    <row r="49956">
      <c r="B49956" s="309"/>
      <c r="C49956" s="309"/>
      <c r="I49956" s="309"/>
      <c r="J49956" s="309"/>
    </row>
    <row r="49957">
      <c r="B49957" s="309"/>
      <c r="C49957" s="309"/>
      <c r="I49957" s="309"/>
      <c r="J49957" s="309"/>
    </row>
    <row r="49958">
      <c r="B49958" s="309"/>
      <c r="C49958" s="309"/>
      <c r="I49958" s="309"/>
      <c r="J49958" s="309"/>
    </row>
    <row r="49959">
      <c r="B49959" s="309"/>
      <c r="C49959" s="309"/>
      <c r="I49959" s="309"/>
      <c r="J49959" s="309"/>
    </row>
    <row r="49960">
      <c r="B49960" s="309"/>
      <c r="C49960" s="309"/>
      <c r="I49960" s="309"/>
      <c r="J49960" s="309"/>
    </row>
    <row r="49961">
      <c r="B49961" s="309"/>
      <c r="C49961" s="309"/>
      <c r="I49961" s="309"/>
      <c r="J49961" s="309"/>
    </row>
    <row r="49962">
      <c r="B49962" s="309"/>
      <c r="C49962" s="309"/>
      <c r="I49962" s="309"/>
      <c r="J49962" s="309"/>
    </row>
    <row r="49963">
      <c r="B49963" s="309"/>
      <c r="C49963" s="309"/>
      <c r="I49963" s="309"/>
      <c r="J49963" s="309"/>
    </row>
    <row r="49964">
      <c r="B49964" s="309"/>
      <c r="C49964" s="309"/>
      <c r="I49964" s="309"/>
      <c r="J49964" s="309"/>
    </row>
    <row r="49965">
      <c r="B49965" s="309"/>
      <c r="C49965" s="309"/>
      <c r="I49965" s="309"/>
      <c r="J49965" s="309"/>
    </row>
    <row r="49966">
      <c r="B49966" s="309"/>
      <c r="C49966" s="309"/>
      <c r="I49966" s="309"/>
      <c r="J49966" s="309"/>
    </row>
    <row r="49967">
      <c r="B49967" s="309"/>
      <c r="C49967" s="309"/>
      <c r="I49967" s="309"/>
      <c r="J49967" s="309"/>
    </row>
    <row r="49968">
      <c r="B49968" s="309"/>
      <c r="C49968" s="309"/>
      <c r="I49968" s="309"/>
      <c r="J49968" s="309"/>
    </row>
    <row r="49969">
      <c r="B49969" s="309"/>
      <c r="C49969" s="309"/>
      <c r="I49969" s="309"/>
      <c r="J49969" s="309"/>
    </row>
    <row r="49970">
      <c r="B49970" s="309"/>
      <c r="C49970" s="309"/>
      <c r="I49970" s="309"/>
      <c r="J49970" s="309"/>
    </row>
    <row r="49971">
      <c r="B49971" s="309"/>
      <c r="C49971" s="309"/>
      <c r="I49971" s="309"/>
      <c r="J49971" s="309"/>
    </row>
    <row r="49972">
      <c r="B49972" s="309"/>
      <c r="C49972" s="309"/>
      <c r="I49972" s="309"/>
      <c r="J49972" s="309"/>
    </row>
    <row r="49973">
      <c r="B49973" s="309"/>
      <c r="C49973" s="309"/>
      <c r="I49973" s="309"/>
      <c r="J49973" s="309"/>
    </row>
    <row r="49974">
      <c r="B49974" s="309"/>
      <c r="C49974" s="309"/>
      <c r="I49974" s="309"/>
      <c r="J49974" s="309"/>
    </row>
    <row r="49975">
      <c r="B49975" s="309"/>
      <c r="C49975" s="309"/>
      <c r="I49975" s="309"/>
      <c r="J49975" s="309"/>
    </row>
    <row r="49976">
      <c r="B49976" s="309"/>
      <c r="C49976" s="309"/>
      <c r="I49976" s="309"/>
      <c r="J49976" s="309"/>
    </row>
    <row r="49977">
      <c r="B49977" s="309"/>
      <c r="C49977" s="309"/>
      <c r="I49977" s="309"/>
      <c r="J49977" s="309"/>
    </row>
    <row r="49978">
      <c r="B49978" s="309"/>
      <c r="C49978" s="309"/>
      <c r="I49978" s="309"/>
      <c r="J49978" s="309"/>
    </row>
    <row r="49979">
      <c r="B49979" s="309"/>
      <c r="C49979" s="309"/>
      <c r="I49979" s="309"/>
      <c r="J49979" s="309"/>
    </row>
    <row r="49980">
      <c r="B49980" s="309"/>
      <c r="C49980" s="309"/>
      <c r="I49980" s="309"/>
      <c r="J49980" s="309"/>
    </row>
    <row r="49981">
      <c r="B49981" s="309"/>
      <c r="C49981" s="309"/>
      <c r="I49981" s="309"/>
      <c r="J49981" s="309"/>
    </row>
    <row r="49982">
      <c r="B49982" s="309"/>
      <c r="C49982" s="309"/>
      <c r="I49982" s="309"/>
      <c r="J49982" s="309"/>
    </row>
    <row r="49983">
      <c r="B49983" s="309"/>
      <c r="C49983" s="309"/>
      <c r="I49983" s="309"/>
      <c r="J49983" s="309"/>
    </row>
    <row r="49984">
      <c r="B49984" s="309"/>
      <c r="C49984" s="309"/>
      <c r="I49984" s="309"/>
      <c r="J49984" s="309"/>
    </row>
    <row r="49985">
      <c r="B49985" s="309"/>
      <c r="C49985" s="309"/>
      <c r="I49985" s="309"/>
      <c r="J49985" s="309"/>
    </row>
    <row r="49986">
      <c r="B49986" s="309"/>
      <c r="C49986" s="309"/>
      <c r="I49986" s="309"/>
      <c r="J49986" s="309"/>
    </row>
    <row r="49987">
      <c r="B49987" s="309"/>
      <c r="C49987" s="309"/>
      <c r="I49987" s="309"/>
      <c r="J49987" s="309"/>
    </row>
    <row r="49988">
      <c r="B49988" s="309"/>
      <c r="C49988" s="309"/>
      <c r="I49988" s="309"/>
      <c r="J49988" s="309"/>
    </row>
    <row r="49989">
      <c r="B49989" s="309"/>
      <c r="C49989" s="309"/>
      <c r="I49989" s="309"/>
      <c r="J49989" s="309"/>
    </row>
    <row r="49990">
      <c r="B49990" s="309"/>
      <c r="C49990" s="309"/>
      <c r="I49990" s="309"/>
      <c r="J49990" s="309"/>
    </row>
    <row r="49991">
      <c r="B49991" s="309"/>
      <c r="C49991" s="309"/>
      <c r="I49991" s="309"/>
      <c r="J49991" s="309"/>
    </row>
    <row r="49992">
      <c r="B49992" s="309"/>
      <c r="C49992" s="309"/>
      <c r="I49992" s="309"/>
      <c r="J49992" s="309"/>
    </row>
    <row r="49993">
      <c r="B49993" s="309"/>
      <c r="C49993" s="309"/>
      <c r="I49993" s="309"/>
      <c r="J49993" s="309"/>
    </row>
    <row r="49994">
      <c r="B49994" s="309"/>
      <c r="C49994" s="309"/>
      <c r="I49994" s="309"/>
      <c r="J49994" s="309"/>
    </row>
    <row r="49995">
      <c r="B49995" s="309"/>
      <c r="C49995" s="309"/>
      <c r="I49995" s="309"/>
      <c r="J49995" s="309"/>
    </row>
    <row r="49996">
      <c r="B49996" s="309"/>
      <c r="C49996" s="309"/>
      <c r="I49996" s="309"/>
      <c r="J49996" s="309"/>
    </row>
    <row r="49997">
      <c r="B49997" s="309"/>
      <c r="C49997" s="309"/>
      <c r="I49997" s="309"/>
      <c r="J49997" s="309"/>
    </row>
    <row r="49998">
      <c r="B49998" s="309"/>
      <c r="C49998" s="309"/>
      <c r="I49998" s="309"/>
      <c r="J49998" s="309"/>
    </row>
    <row r="49999">
      <c r="B49999" s="309"/>
      <c r="C49999" s="309"/>
      <c r="I49999" s="309"/>
      <c r="J49999" s="309"/>
    </row>
    <row r="50000">
      <c r="B50000" s="309"/>
      <c r="C50000" s="309"/>
      <c r="I50000" s="309"/>
      <c r="J50000" s="309"/>
    </row>
    <row r="50001">
      <c r="B50001" s="309"/>
      <c r="C50001" s="309"/>
      <c r="I50001" s="309"/>
      <c r="J50001" s="309"/>
    </row>
    <row r="50002">
      <c r="B50002" s="309"/>
      <c r="C50002" s="309"/>
      <c r="I50002" s="309"/>
      <c r="J50002" s="309"/>
    </row>
    <row r="50003">
      <c r="B50003" s="309"/>
      <c r="C50003" s="309"/>
      <c r="I50003" s="309"/>
      <c r="J50003" s="309"/>
    </row>
    <row r="50004">
      <c r="B50004" s="309"/>
      <c r="C50004" s="309"/>
      <c r="I50004" s="309"/>
      <c r="J50004" s="309"/>
    </row>
    <row r="50005">
      <c r="B50005" s="309"/>
      <c r="C50005" s="309"/>
      <c r="I50005" s="309"/>
      <c r="J50005" s="309"/>
    </row>
    <row r="50006">
      <c r="B50006" s="309"/>
      <c r="C50006" s="309"/>
      <c r="I50006" s="309"/>
      <c r="J50006" s="309"/>
    </row>
    <row r="50007">
      <c r="B50007" s="309"/>
      <c r="C50007" s="309"/>
      <c r="I50007" s="309"/>
      <c r="J50007" s="309"/>
    </row>
    <row r="50008">
      <c r="B50008" s="309"/>
      <c r="C50008" s="309"/>
      <c r="I50008" s="309"/>
      <c r="J50008" s="309"/>
    </row>
    <row r="50009">
      <c r="B50009" s="309"/>
      <c r="C50009" s="309"/>
      <c r="I50009" s="309"/>
      <c r="J50009" s="309"/>
    </row>
    <row r="50010">
      <c r="B50010" s="309"/>
      <c r="C50010" s="309"/>
      <c r="I50010" s="309"/>
      <c r="J50010" s="309"/>
    </row>
    <row r="50011">
      <c r="B50011" s="309"/>
      <c r="C50011" s="309"/>
      <c r="I50011" s="309"/>
      <c r="J50011" s="309"/>
    </row>
    <row r="50012">
      <c r="B50012" s="309"/>
      <c r="C50012" s="309"/>
      <c r="I50012" s="309"/>
      <c r="J50012" s="309"/>
    </row>
    <row r="50013">
      <c r="B50013" s="309"/>
      <c r="C50013" s="309"/>
      <c r="I50013" s="309"/>
      <c r="J50013" s="309"/>
    </row>
    <row r="50014">
      <c r="B50014" s="309"/>
      <c r="C50014" s="309"/>
      <c r="I50014" s="309"/>
      <c r="J50014" s="309"/>
    </row>
    <row r="50015">
      <c r="B50015" s="309"/>
      <c r="C50015" s="309"/>
      <c r="I50015" s="309"/>
      <c r="J50015" s="309"/>
    </row>
    <row r="50016">
      <c r="B50016" s="309"/>
      <c r="C50016" s="309"/>
      <c r="I50016" s="309"/>
      <c r="J50016" s="309"/>
    </row>
    <row r="50017">
      <c r="B50017" s="309"/>
      <c r="C50017" s="309"/>
      <c r="I50017" s="309"/>
      <c r="J50017" s="309"/>
    </row>
    <row r="50018">
      <c r="B50018" s="309"/>
      <c r="C50018" s="309"/>
      <c r="I50018" s="309"/>
      <c r="J50018" s="309"/>
    </row>
    <row r="50019">
      <c r="B50019" s="309"/>
      <c r="C50019" s="309"/>
      <c r="I50019" s="309"/>
      <c r="J50019" s="309"/>
    </row>
    <row r="50020">
      <c r="B50020" s="309"/>
      <c r="C50020" s="309"/>
      <c r="I50020" s="309"/>
      <c r="J50020" s="309"/>
    </row>
    <row r="50021">
      <c r="B50021" s="309"/>
      <c r="C50021" s="309"/>
      <c r="I50021" s="309"/>
      <c r="J50021" s="309"/>
    </row>
    <row r="50022">
      <c r="B50022" s="309"/>
      <c r="C50022" s="309"/>
      <c r="I50022" s="309"/>
      <c r="J50022" s="309"/>
    </row>
    <row r="50023">
      <c r="B50023" s="309"/>
      <c r="C50023" s="309"/>
      <c r="I50023" s="309"/>
      <c r="J50023" s="309"/>
    </row>
    <row r="50024">
      <c r="B50024" s="309"/>
      <c r="C50024" s="309"/>
      <c r="I50024" s="309"/>
      <c r="J50024" s="309"/>
    </row>
    <row r="50025">
      <c r="B50025" s="309"/>
      <c r="C50025" s="309"/>
      <c r="I50025" s="309"/>
      <c r="J50025" s="309"/>
    </row>
    <row r="50026">
      <c r="B50026" s="309"/>
      <c r="C50026" s="309"/>
      <c r="I50026" s="309"/>
      <c r="J50026" s="309"/>
    </row>
    <row r="50027">
      <c r="B50027" s="309"/>
      <c r="C50027" s="309"/>
      <c r="I50027" s="309"/>
      <c r="J50027" s="309"/>
    </row>
    <row r="50028">
      <c r="B50028" s="309"/>
      <c r="C50028" s="309"/>
      <c r="I50028" s="309"/>
      <c r="J50028" s="309"/>
    </row>
    <row r="50029">
      <c r="B50029" s="309"/>
      <c r="C50029" s="309"/>
      <c r="I50029" s="309"/>
      <c r="J50029" s="309"/>
    </row>
    <row r="50030">
      <c r="B50030" s="309"/>
      <c r="C50030" s="309"/>
      <c r="I50030" s="309"/>
      <c r="J50030" s="309"/>
    </row>
    <row r="50031">
      <c r="B50031" s="309"/>
      <c r="C50031" s="309"/>
      <c r="I50031" s="309"/>
      <c r="J50031" s="309"/>
    </row>
    <row r="50032">
      <c r="B50032" s="309"/>
      <c r="C50032" s="309"/>
      <c r="I50032" s="309"/>
      <c r="J50032" s="309"/>
    </row>
    <row r="50033">
      <c r="B50033" s="309"/>
      <c r="C50033" s="309"/>
      <c r="I50033" s="309"/>
      <c r="J50033" s="309"/>
    </row>
    <row r="50034">
      <c r="B50034" s="309"/>
      <c r="C50034" s="309"/>
      <c r="I50034" s="309"/>
      <c r="J50034" s="309"/>
    </row>
    <row r="50035">
      <c r="B50035" s="309"/>
      <c r="C50035" s="309"/>
      <c r="I50035" s="309"/>
      <c r="J50035" s="309"/>
    </row>
    <row r="50036">
      <c r="B50036" s="309"/>
      <c r="C50036" s="309"/>
      <c r="I50036" s="309"/>
      <c r="J50036" s="309"/>
    </row>
    <row r="50037">
      <c r="B50037" s="309"/>
      <c r="C50037" s="309"/>
      <c r="I50037" s="309"/>
      <c r="J50037" s="309"/>
    </row>
    <row r="50038">
      <c r="B50038" s="309"/>
      <c r="C50038" s="309"/>
      <c r="I50038" s="309"/>
      <c r="J50038" s="309"/>
    </row>
    <row r="50039">
      <c r="B50039" s="309"/>
      <c r="C50039" s="309"/>
      <c r="I50039" s="309"/>
      <c r="J50039" s="309"/>
    </row>
    <row r="50040">
      <c r="B50040" s="309"/>
      <c r="C50040" s="309"/>
      <c r="I50040" s="309"/>
      <c r="J50040" s="309"/>
    </row>
    <row r="50041">
      <c r="B50041" s="309"/>
      <c r="C50041" s="309"/>
      <c r="I50041" s="309"/>
      <c r="J50041" s="309"/>
    </row>
    <row r="50042">
      <c r="B50042" s="309"/>
      <c r="C50042" s="309"/>
      <c r="I50042" s="309"/>
      <c r="J50042" s="309"/>
    </row>
    <row r="50043">
      <c r="B50043" s="309"/>
      <c r="C50043" s="309"/>
      <c r="I50043" s="309"/>
      <c r="J50043" s="309"/>
    </row>
    <row r="50044">
      <c r="B50044" s="309"/>
      <c r="C50044" s="309"/>
      <c r="I50044" s="309"/>
      <c r="J50044" s="309"/>
    </row>
    <row r="50045">
      <c r="B50045" s="309"/>
      <c r="C50045" s="309"/>
      <c r="I50045" s="309"/>
      <c r="J50045" s="309"/>
    </row>
    <row r="50046">
      <c r="B50046" s="309"/>
      <c r="C50046" s="309"/>
      <c r="I50046" s="309"/>
      <c r="J50046" s="309"/>
    </row>
    <row r="50047">
      <c r="B50047" s="309"/>
      <c r="C50047" s="309"/>
      <c r="I50047" s="309"/>
      <c r="J50047" s="309"/>
    </row>
    <row r="50048">
      <c r="B50048" s="309"/>
      <c r="C50048" s="309"/>
      <c r="I50048" s="309"/>
      <c r="J50048" s="309"/>
    </row>
    <row r="50049">
      <c r="B50049" s="309"/>
      <c r="C50049" s="309"/>
      <c r="I50049" s="309"/>
      <c r="J50049" s="309"/>
    </row>
    <row r="50050">
      <c r="B50050" s="309"/>
      <c r="C50050" s="309"/>
      <c r="I50050" s="309"/>
      <c r="J50050" s="309"/>
    </row>
    <row r="50051">
      <c r="B50051" s="309"/>
      <c r="C50051" s="309"/>
      <c r="I50051" s="309"/>
      <c r="J50051" s="309"/>
    </row>
    <row r="50052">
      <c r="B50052" s="309"/>
      <c r="C50052" s="309"/>
      <c r="I50052" s="309"/>
      <c r="J50052" s="309"/>
    </row>
    <row r="50053">
      <c r="B50053" s="309"/>
      <c r="C50053" s="309"/>
      <c r="I50053" s="309"/>
      <c r="J50053" s="309"/>
    </row>
    <row r="50054">
      <c r="B50054" s="309"/>
      <c r="C50054" s="309"/>
      <c r="I50054" s="309"/>
      <c r="J50054" s="309"/>
    </row>
    <row r="50055">
      <c r="B50055" s="309"/>
      <c r="C50055" s="309"/>
      <c r="I50055" s="309"/>
      <c r="J50055" s="309"/>
    </row>
    <row r="50056">
      <c r="B50056" s="309"/>
      <c r="C50056" s="309"/>
      <c r="I50056" s="309"/>
      <c r="J50056" s="309"/>
    </row>
    <row r="50057">
      <c r="B50057" s="309"/>
      <c r="C50057" s="309"/>
      <c r="I50057" s="309"/>
      <c r="J50057" s="309"/>
    </row>
    <row r="50058">
      <c r="B50058" s="309"/>
      <c r="C50058" s="309"/>
      <c r="I50058" s="309"/>
      <c r="J50058" s="309"/>
    </row>
    <row r="50059">
      <c r="B50059" s="309"/>
      <c r="C50059" s="309"/>
      <c r="I50059" s="309"/>
      <c r="J50059" s="309"/>
    </row>
    <row r="50060">
      <c r="B50060" s="309"/>
      <c r="C50060" s="309"/>
      <c r="I50060" s="309"/>
      <c r="J50060" s="309"/>
    </row>
    <row r="50061">
      <c r="B50061" s="309"/>
      <c r="C50061" s="309"/>
      <c r="I50061" s="309"/>
      <c r="J50061" s="309"/>
    </row>
    <row r="50062">
      <c r="B50062" s="309"/>
      <c r="C50062" s="309"/>
      <c r="I50062" s="309"/>
      <c r="J50062" s="309"/>
    </row>
    <row r="50063">
      <c r="B50063" s="309"/>
      <c r="C50063" s="309"/>
      <c r="I50063" s="309"/>
      <c r="J50063" s="309"/>
    </row>
    <row r="50064">
      <c r="B50064" s="309"/>
      <c r="C50064" s="309"/>
      <c r="I50064" s="309"/>
      <c r="J50064" s="309"/>
    </row>
    <row r="50065">
      <c r="B50065" s="309"/>
      <c r="C50065" s="309"/>
      <c r="I50065" s="309"/>
      <c r="J50065" s="309"/>
    </row>
    <row r="50066">
      <c r="B50066" s="309"/>
      <c r="C50066" s="309"/>
      <c r="I50066" s="309"/>
      <c r="J50066" s="309"/>
    </row>
    <row r="50067">
      <c r="B50067" s="309"/>
      <c r="C50067" s="309"/>
      <c r="I50067" s="309"/>
      <c r="J50067" s="309"/>
    </row>
    <row r="50068">
      <c r="B50068" s="309"/>
      <c r="C50068" s="309"/>
      <c r="I50068" s="309"/>
      <c r="J50068" s="309"/>
    </row>
    <row r="50069">
      <c r="B50069" s="309"/>
      <c r="C50069" s="309"/>
      <c r="I50069" s="309"/>
      <c r="J50069" s="309"/>
    </row>
    <row r="50070">
      <c r="B50070" s="309"/>
      <c r="C50070" s="309"/>
      <c r="I50070" s="309"/>
      <c r="J50070" s="309"/>
    </row>
    <row r="50071">
      <c r="B50071" s="309"/>
      <c r="C50071" s="309"/>
      <c r="I50071" s="309"/>
      <c r="J50071" s="309"/>
    </row>
    <row r="50072">
      <c r="B50072" s="309"/>
      <c r="C50072" s="309"/>
      <c r="I50072" s="309"/>
      <c r="J50072" s="309"/>
    </row>
    <row r="50073">
      <c r="B50073" s="309"/>
      <c r="C50073" s="309"/>
      <c r="I50073" s="309"/>
      <c r="J50073" s="309"/>
    </row>
    <row r="50074">
      <c r="B50074" s="309"/>
      <c r="C50074" s="309"/>
      <c r="I50074" s="309"/>
      <c r="J50074" s="309"/>
    </row>
    <row r="50075">
      <c r="B50075" s="309"/>
      <c r="C50075" s="309"/>
      <c r="I50075" s="309"/>
      <c r="J50075" s="309"/>
    </row>
    <row r="50076">
      <c r="B50076" s="309"/>
      <c r="C50076" s="309"/>
      <c r="I50076" s="309"/>
      <c r="J50076" s="309"/>
    </row>
    <row r="50077">
      <c r="B50077" s="309"/>
      <c r="C50077" s="309"/>
      <c r="I50077" s="309"/>
      <c r="J50077" s="309"/>
    </row>
    <row r="50078">
      <c r="B50078" s="309"/>
      <c r="C50078" s="309"/>
      <c r="I50078" s="309"/>
      <c r="J50078" s="309"/>
    </row>
    <row r="50079">
      <c r="B50079" s="309"/>
      <c r="C50079" s="309"/>
      <c r="I50079" s="309"/>
      <c r="J50079" s="309"/>
    </row>
    <row r="50080">
      <c r="B50080" s="309"/>
      <c r="C50080" s="309"/>
      <c r="I50080" s="309"/>
      <c r="J50080" s="309"/>
    </row>
    <row r="50081">
      <c r="B50081" s="309"/>
      <c r="C50081" s="309"/>
      <c r="I50081" s="309"/>
      <c r="J50081" s="309"/>
    </row>
    <row r="50082">
      <c r="B50082" s="309"/>
      <c r="C50082" s="309"/>
      <c r="I50082" s="309"/>
      <c r="J50082" s="309"/>
    </row>
    <row r="50083">
      <c r="B50083" s="309"/>
      <c r="C50083" s="309"/>
      <c r="I50083" s="309"/>
      <c r="J50083" s="309"/>
    </row>
    <row r="50084">
      <c r="B50084" s="309"/>
      <c r="C50084" s="309"/>
      <c r="I50084" s="309"/>
      <c r="J50084" s="309"/>
    </row>
    <row r="50085">
      <c r="B50085" s="309"/>
      <c r="C50085" s="309"/>
      <c r="I50085" s="309"/>
      <c r="J50085" s="309"/>
    </row>
    <row r="50086">
      <c r="B50086" s="309"/>
      <c r="C50086" s="309"/>
      <c r="I50086" s="309"/>
      <c r="J50086" s="309"/>
    </row>
    <row r="50087">
      <c r="B50087" s="309"/>
      <c r="C50087" s="309"/>
      <c r="I50087" s="309"/>
      <c r="J50087" s="309"/>
    </row>
    <row r="50088">
      <c r="B50088" s="309"/>
      <c r="C50088" s="309"/>
      <c r="I50088" s="309"/>
      <c r="J50088" s="309"/>
    </row>
    <row r="50089">
      <c r="B50089" s="309"/>
      <c r="C50089" s="309"/>
      <c r="I50089" s="309"/>
      <c r="J50089" s="309"/>
    </row>
    <row r="50090">
      <c r="B50090" s="309"/>
      <c r="C50090" s="309"/>
      <c r="I50090" s="309"/>
      <c r="J50090" s="309"/>
    </row>
    <row r="50091">
      <c r="B50091" s="309"/>
      <c r="C50091" s="309"/>
      <c r="I50091" s="309"/>
      <c r="J50091" s="309"/>
    </row>
    <row r="50092">
      <c r="B50092" s="309"/>
      <c r="C50092" s="309"/>
      <c r="I50092" s="309"/>
      <c r="J50092" s="309"/>
    </row>
    <row r="50093">
      <c r="B50093" s="309"/>
      <c r="C50093" s="309"/>
      <c r="I50093" s="309"/>
      <c r="J50093" s="309"/>
    </row>
    <row r="50094">
      <c r="B50094" s="309"/>
      <c r="C50094" s="309"/>
      <c r="I50094" s="309"/>
      <c r="J50094" s="309"/>
    </row>
    <row r="50095">
      <c r="B50095" s="309"/>
      <c r="C50095" s="309"/>
      <c r="I50095" s="309"/>
      <c r="J50095" s="309"/>
    </row>
    <row r="50096">
      <c r="B50096" s="309"/>
      <c r="C50096" s="309"/>
      <c r="I50096" s="309"/>
      <c r="J50096" s="309"/>
    </row>
    <row r="50097">
      <c r="B50097" s="309"/>
      <c r="C50097" s="309"/>
      <c r="I50097" s="309"/>
      <c r="J50097" s="309"/>
    </row>
    <row r="50098">
      <c r="B50098" s="309"/>
      <c r="C50098" s="309"/>
      <c r="I50098" s="309"/>
      <c r="J50098" s="309"/>
    </row>
    <row r="50099">
      <c r="B50099" s="309"/>
      <c r="C50099" s="309"/>
      <c r="I50099" s="309"/>
      <c r="J50099" s="309"/>
    </row>
    <row r="50100">
      <c r="B50100" s="309"/>
      <c r="C50100" s="309"/>
      <c r="I50100" s="309"/>
      <c r="J50100" s="309"/>
    </row>
    <row r="50101">
      <c r="B50101" s="309"/>
      <c r="C50101" s="309"/>
      <c r="I50101" s="309"/>
      <c r="J50101" s="309"/>
    </row>
    <row r="50102">
      <c r="B50102" s="309"/>
      <c r="C50102" s="309"/>
      <c r="I50102" s="309"/>
      <c r="J50102" s="309"/>
    </row>
    <row r="50103">
      <c r="B50103" s="309"/>
      <c r="C50103" s="309"/>
      <c r="I50103" s="309"/>
      <c r="J50103" s="309"/>
    </row>
    <row r="50104">
      <c r="B50104" s="309"/>
      <c r="C50104" s="309"/>
      <c r="I50104" s="309"/>
      <c r="J50104" s="309"/>
    </row>
    <row r="50105">
      <c r="B50105" s="309"/>
      <c r="C50105" s="309"/>
      <c r="I50105" s="309"/>
      <c r="J50105" s="309"/>
    </row>
    <row r="50106">
      <c r="B50106" s="309"/>
      <c r="C50106" s="309"/>
      <c r="I50106" s="309"/>
      <c r="J50106" s="309"/>
    </row>
    <row r="50107">
      <c r="B50107" s="309"/>
      <c r="C50107" s="309"/>
      <c r="I50107" s="309"/>
      <c r="J50107" s="309"/>
    </row>
    <row r="50108">
      <c r="B50108" s="309"/>
      <c r="C50108" s="309"/>
      <c r="I50108" s="309"/>
      <c r="J50108" s="309"/>
    </row>
    <row r="50109">
      <c r="B50109" s="309"/>
      <c r="C50109" s="309"/>
      <c r="I50109" s="309"/>
      <c r="J50109" s="309"/>
    </row>
    <row r="50110">
      <c r="B50110" s="309"/>
      <c r="C50110" s="309"/>
      <c r="I50110" s="309"/>
      <c r="J50110" s="309"/>
    </row>
    <row r="50111">
      <c r="B50111" s="309"/>
      <c r="C50111" s="309"/>
      <c r="I50111" s="309"/>
      <c r="J50111" s="309"/>
    </row>
    <row r="50112">
      <c r="B50112" s="309"/>
      <c r="C50112" s="309"/>
      <c r="I50112" s="309"/>
      <c r="J50112" s="309"/>
    </row>
    <row r="50113">
      <c r="B50113" s="309"/>
      <c r="C50113" s="309"/>
      <c r="I50113" s="309"/>
      <c r="J50113" s="309"/>
    </row>
    <row r="50114">
      <c r="B50114" s="309"/>
      <c r="C50114" s="309"/>
      <c r="I50114" s="309"/>
      <c r="J50114" s="309"/>
    </row>
    <row r="50115">
      <c r="B50115" s="309"/>
      <c r="C50115" s="309"/>
      <c r="I50115" s="309"/>
      <c r="J50115" s="309"/>
    </row>
    <row r="50116">
      <c r="B50116" s="309"/>
      <c r="C50116" s="309"/>
      <c r="I50116" s="309"/>
      <c r="J50116" s="309"/>
    </row>
    <row r="50117">
      <c r="B50117" s="309"/>
      <c r="C50117" s="309"/>
      <c r="I50117" s="309"/>
      <c r="J50117" s="309"/>
    </row>
    <row r="50118">
      <c r="B50118" s="309"/>
      <c r="C50118" s="309"/>
      <c r="I50118" s="309"/>
      <c r="J50118" s="309"/>
    </row>
    <row r="50119">
      <c r="B50119" s="309"/>
      <c r="C50119" s="309"/>
      <c r="I50119" s="309"/>
      <c r="J50119" s="309"/>
    </row>
    <row r="50120">
      <c r="B50120" s="309"/>
      <c r="C50120" s="309"/>
      <c r="I50120" s="309"/>
      <c r="J50120" s="309"/>
    </row>
    <row r="50121">
      <c r="B50121" s="309"/>
      <c r="C50121" s="309"/>
      <c r="I50121" s="309"/>
      <c r="J50121" s="309"/>
    </row>
    <row r="50122">
      <c r="B50122" s="309"/>
      <c r="C50122" s="309"/>
      <c r="I50122" s="309"/>
      <c r="J50122" s="309"/>
    </row>
    <row r="50123">
      <c r="B50123" s="309"/>
      <c r="C50123" s="309"/>
      <c r="I50123" s="309"/>
      <c r="J50123" s="309"/>
    </row>
    <row r="50124">
      <c r="B50124" s="309"/>
      <c r="C50124" s="309"/>
      <c r="I50124" s="309"/>
      <c r="J50124" s="309"/>
    </row>
    <row r="50125">
      <c r="B50125" s="309"/>
      <c r="C50125" s="309"/>
      <c r="I50125" s="309"/>
      <c r="J50125" s="309"/>
    </row>
    <row r="50126">
      <c r="B50126" s="309"/>
      <c r="C50126" s="309"/>
      <c r="I50126" s="309"/>
      <c r="J50126" s="309"/>
    </row>
    <row r="50127">
      <c r="B50127" s="309"/>
      <c r="C50127" s="309"/>
      <c r="I50127" s="309"/>
      <c r="J50127" s="309"/>
    </row>
    <row r="50128">
      <c r="B50128" s="309"/>
      <c r="C50128" s="309"/>
      <c r="I50128" s="309"/>
      <c r="J50128" s="309"/>
    </row>
    <row r="50129">
      <c r="B50129" s="309"/>
      <c r="C50129" s="309"/>
      <c r="I50129" s="309"/>
      <c r="J50129" s="309"/>
    </row>
    <row r="50130">
      <c r="B50130" s="309"/>
      <c r="C50130" s="309"/>
      <c r="I50130" s="309"/>
      <c r="J50130" s="309"/>
    </row>
    <row r="50131">
      <c r="B50131" s="309"/>
      <c r="C50131" s="309"/>
      <c r="I50131" s="309"/>
      <c r="J50131" s="309"/>
    </row>
    <row r="50132">
      <c r="B50132" s="309"/>
      <c r="C50132" s="309"/>
      <c r="I50132" s="309"/>
      <c r="J50132" s="309"/>
    </row>
    <row r="50133">
      <c r="B50133" s="309"/>
      <c r="C50133" s="309"/>
      <c r="I50133" s="309"/>
      <c r="J50133" s="309"/>
    </row>
    <row r="50134">
      <c r="B50134" s="309"/>
      <c r="C50134" s="309"/>
      <c r="I50134" s="309"/>
      <c r="J50134" s="309"/>
    </row>
    <row r="50135">
      <c r="B50135" s="309"/>
      <c r="C50135" s="309"/>
      <c r="I50135" s="309"/>
      <c r="J50135" s="309"/>
    </row>
    <row r="50136">
      <c r="B50136" s="309"/>
      <c r="C50136" s="309"/>
      <c r="I50136" s="309"/>
      <c r="J50136" s="309"/>
    </row>
    <row r="50137">
      <c r="B50137" s="309"/>
      <c r="C50137" s="309"/>
      <c r="I50137" s="309"/>
      <c r="J50137" s="309"/>
    </row>
    <row r="50138">
      <c r="B50138" s="309"/>
      <c r="C50138" s="309"/>
      <c r="I50138" s="309"/>
      <c r="J50138" s="309"/>
    </row>
    <row r="50139">
      <c r="B50139" s="309"/>
      <c r="C50139" s="309"/>
      <c r="I50139" s="309"/>
      <c r="J50139" s="309"/>
    </row>
    <row r="50140">
      <c r="B50140" s="309"/>
      <c r="C50140" s="309"/>
      <c r="I50140" s="309"/>
      <c r="J50140" s="309"/>
    </row>
    <row r="50141">
      <c r="B50141" s="309"/>
      <c r="C50141" s="309"/>
      <c r="I50141" s="309"/>
      <c r="J50141" s="309"/>
    </row>
    <row r="50142">
      <c r="B50142" s="309"/>
      <c r="C50142" s="309"/>
      <c r="I50142" s="309"/>
      <c r="J50142" s="309"/>
    </row>
    <row r="50143">
      <c r="B50143" s="309"/>
      <c r="C50143" s="309"/>
      <c r="I50143" s="309"/>
      <c r="J50143" s="309"/>
    </row>
    <row r="50144">
      <c r="B50144" s="309"/>
      <c r="C50144" s="309"/>
      <c r="I50144" s="309"/>
      <c r="J50144" s="309"/>
    </row>
    <row r="50145">
      <c r="B50145" s="309"/>
      <c r="C50145" s="309"/>
      <c r="I50145" s="309"/>
      <c r="J50145" s="309"/>
    </row>
    <row r="50146">
      <c r="B50146" s="309"/>
      <c r="C50146" s="309"/>
      <c r="I50146" s="309"/>
      <c r="J50146" s="309"/>
    </row>
    <row r="50147">
      <c r="B50147" s="309"/>
      <c r="C50147" s="309"/>
      <c r="I50147" s="309"/>
      <c r="J50147" s="309"/>
    </row>
    <row r="50148">
      <c r="B50148" s="309"/>
      <c r="C50148" s="309"/>
      <c r="I50148" s="309"/>
      <c r="J50148" s="309"/>
    </row>
    <row r="50149">
      <c r="B50149" s="309"/>
      <c r="C50149" s="309"/>
      <c r="I50149" s="309"/>
      <c r="J50149" s="309"/>
    </row>
    <row r="50150">
      <c r="B50150" s="309"/>
      <c r="C50150" s="309"/>
      <c r="I50150" s="309"/>
      <c r="J50150" s="309"/>
    </row>
    <row r="50151">
      <c r="B50151" s="309"/>
      <c r="C50151" s="309"/>
      <c r="I50151" s="309"/>
      <c r="J50151" s="309"/>
    </row>
    <row r="50152">
      <c r="B50152" s="309"/>
      <c r="C50152" s="309"/>
      <c r="I50152" s="309"/>
      <c r="J50152" s="309"/>
    </row>
    <row r="50153">
      <c r="B50153" s="309"/>
      <c r="C50153" s="309"/>
      <c r="I50153" s="309"/>
      <c r="J50153" s="309"/>
    </row>
    <row r="50154">
      <c r="B50154" s="309"/>
      <c r="C50154" s="309"/>
      <c r="I50154" s="309"/>
      <c r="J50154" s="309"/>
    </row>
    <row r="50155">
      <c r="B50155" s="309"/>
      <c r="C50155" s="309"/>
      <c r="I50155" s="309"/>
      <c r="J50155" s="309"/>
    </row>
    <row r="50156">
      <c r="B50156" s="309"/>
      <c r="C50156" s="309"/>
      <c r="I50156" s="309"/>
      <c r="J50156" s="309"/>
    </row>
    <row r="50157">
      <c r="B50157" s="309"/>
      <c r="C50157" s="309"/>
      <c r="I50157" s="309"/>
      <c r="J50157" s="309"/>
    </row>
    <row r="50158">
      <c r="B50158" s="309"/>
      <c r="C50158" s="309"/>
      <c r="I50158" s="309"/>
      <c r="J50158" s="309"/>
    </row>
    <row r="50159">
      <c r="B50159" s="309"/>
      <c r="C50159" s="309"/>
      <c r="I50159" s="309"/>
      <c r="J50159" s="309"/>
    </row>
    <row r="50160">
      <c r="B50160" s="309"/>
      <c r="C50160" s="309"/>
      <c r="I50160" s="309"/>
      <c r="J50160" s="309"/>
    </row>
    <row r="50161">
      <c r="B50161" s="309"/>
      <c r="C50161" s="309"/>
      <c r="I50161" s="309"/>
      <c r="J50161" s="309"/>
    </row>
    <row r="50162">
      <c r="B50162" s="309"/>
      <c r="C50162" s="309"/>
      <c r="I50162" s="309"/>
      <c r="J50162" s="309"/>
    </row>
    <row r="50163">
      <c r="B50163" s="309"/>
      <c r="C50163" s="309"/>
      <c r="I50163" s="309"/>
      <c r="J50163" s="309"/>
    </row>
    <row r="50164">
      <c r="B50164" s="309"/>
      <c r="C50164" s="309"/>
      <c r="I50164" s="309"/>
      <c r="J50164" s="309"/>
    </row>
    <row r="50165">
      <c r="B50165" s="309"/>
      <c r="C50165" s="309"/>
      <c r="I50165" s="309"/>
      <c r="J50165" s="309"/>
    </row>
    <row r="50166">
      <c r="B50166" s="309"/>
      <c r="C50166" s="309"/>
      <c r="I50166" s="309"/>
      <c r="J50166" s="309"/>
    </row>
    <row r="50167">
      <c r="B50167" s="309"/>
      <c r="C50167" s="309"/>
      <c r="I50167" s="309"/>
      <c r="J50167" s="309"/>
    </row>
    <row r="50168">
      <c r="B50168" s="309"/>
      <c r="C50168" s="309"/>
      <c r="I50168" s="309"/>
      <c r="J50168" s="309"/>
    </row>
    <row r="50169">
      <c r="B50169" s="309"/>
      <c r="C50169" s="309"/>
      <c r="I50169" s="309"/>
      <c r="J50169" s="309"/>
    </row>
    <row r="50170">
      <c r="B50170" s="309"/>
      <c r="C50170" s="309"/>
      <c r="I50170" s="309"/>
      <c r="J50170" s="309"/>
    </row>
    <row r="50171">
      <c r="B50171" s="309"/>
      <c r="C50171" s="309"/>
      <c r="I50171" s="309"/>
      <c r="J50171" s="309"/>
    </row>
    <row r="50172">
      <c r="B50172" s="309"/>
      <c r="C50172" s="309"/>
      <c r="I50172" s="309"/>
      <c r="J50172" s="309"/>
    </row>
    <row r="50173">
      <c r="B50173" s="309"/>
      <c r="C50173" s="309"/>
      <c r="I50173" s="309"/>
      <c r="J50173" s="309"/>
    </row>
    <row r="50174">
      <c r="B50174" s="309"/>
      <c r="C50174" s="309"/>
      <c r="I50174" s="309"/>
      <c r="J50174" s="309"/>
    </row>
    <row r="50175">
      <c r="B50175" s="309"/>
      <c r="C50175" s="309"/>
      <c r="I50175" s="309"/>
      <c r="J50175" s="309"/>
    </row>
    <row r="50176">
      <c r="B50176" s="309"/>
      <c r="C50176" s="309"/>
      <c r="I50176" s="309"/>
      <c r="J50176" s="309"/>
    </row>
    <row r="50177">
      <c r="B50177" s="309"/>
      <c r="C50177" s="309"/>
      <c r="I50177" s="309"/>
      <c r="J50177" s="309"/>
    </row>
    <row r="50178">
      <c r="B50178" s="309"/>
      <c r="C50178" s="309"/>
      <c r="I50178" s="309"/>
      <c r="J50178" s="309"/>
    </row>
    <row r="50179">
      <c r="B50179" s="309"/>
      <c r="C50179" s="309"/>
      <c r="I50179" s="309"/>
      <c r="J50179" s="309"/>
    </row>
    <row r="50180">
      <c r="B50180" s="309"/>
      <c r="C50180" s="309"/>
      <c r="I50180" s="309"/>
      <c r="J50180" s="309"/>
    </row>
    <row r="50181">
      <c r="B50181" s="309"/>
      <c r="C50181" s="309"/>
      <c r="I50181" s="309"/>
      <c r="J50181" s="309"/>
    </row>
    <row r="50182">
      <c r="B50182" s="309"/>
      <c r="C50182" s="309"/>
      <c r="I50182" s="309"/>
      <c r="J50182" s="309"/>
    </row>
    <row r="50183">
      <c r="B50183" s="309"/>
      <c r="C50183" s="309"/>
      <c r="I50183" s="309"/>
      <c r="J50183" s="309"/>
    </row>
    <row r="50184">
      <c r="B50184" s="309"/>
      <c r="C50184" s="309"/>
      <c r="I50184" s="309"/>
      <c r="J50184" s="309"/>
    </row>
    <row r="50185">
      <c r="B50185" s="309"/>
      <c r="C50185" s="309"/>
      <c r="I50185" s="309"/>
      <c r="J50185" s="309"/>
    </row>
    <row r="50186">
      <c r="B50186" s="309"/>
      <c r="C50186" s="309"/>
      <c r="I50186" s="309"/>
      <c r="J50186" s="309"/>
    </row>
    <row r="50187">
      <c r="B50187" s="309"/>
      <c r="C50187" s="309"/>
      <c r="I50187" s="309"/>
      <c r="J50187" s="309"/>
    </row>
    <row r="50188">
      <c r="B50188" s="309"/>
      <c r="C50188" s="309"/>
      <c r="I50188" s="309"/>
      <c r="J50188" s="309"/>
    </row>
    <row r="50189">
      <c r="B50189" s="309"/>
      <c r="C50189" s="309"/>
      <c r="I50189" s="309"/>
      <c r="J50189" s="309"/>
    </row>
    <row r="50190">
      <c r="B50190" s="309"/>
      <c r="C50190" s="309"/>
      <c r="I50190" s="309"/>
      <c r="J50190" s="309"/>
    </row>
    <row r="50191">
      <c r="B50191" s="309"/>
      <c r="C50191" s="309"/>
      <c r="I50191" s="309"/>
      <c r="J50191" s="309"/>
    </row>
    <row r="50192">
      <c r="B50192" s="309"/>
      <c r="C50192" s="309"/>
      <c r="I50192" s="309"/>
      <c r="J50192" s="309"/>
    </row>
    <row r="50193">
      <c r="B50193" s="309"/>
      <c r="C50193" s="309"/>
      <c r="I50193" s="309"/>
      <c r="J50193" s="309"/>
    </row>
    <row r="50194">
      <c r="B50194" s="309"/>
      <c r="C50194" s="309"/>
      <c r="I50194" s="309"/>
      <c r="J50194" s="309"/>
    </row>
    <row r="50195">
      <c r="B50195" s="309"/>
      <c r="C50195" s="309"/>
      <c r="I50195" s="309"/>
      <c r="J50195" s="309"/>
    </row>
    <row r="50196">
      <c r="B50196" s="309"/>
      <c r="C50196" s="309"/>
      <c r="I50196" s="309"/>
      <c r="J50196" s="309"/>
    </row>
    <row r="50197">
      <c r="B50197" s="309"/>
      <c r="C50197" s="309"/>
      <c r="I50197" s="309"/>
      <c r="J50197" s="309"/>
    </row>
    <row r="50198">
      <c r="B50198" s="309"/>
      <c r="C50198" s="309"/>
      <c r="I50198" s="309"/>
      <c r="J50198" s="309"/>
    </row>
    <row r="50199">
      <c r="B50199" s="309"/>
      <c r="C50199" s="309"/>
      <c r="I50199" s="309"/>
      <c r="J50199" s="309"/>
    </row>
    <row r="50200">
      <c r="B50200" s="309"/>
      <c r="C50200" s="309"/>
      <c r="I50200" s="309"/>
      <c r="J50200" s="309"/>
    </row>
    <row r="50201">
      <c r="B50201" s="309"/>
      <c r="C50201" s="309"/>
      <c r="I50201" s="309"/>
      <c r="J50201" s="309"/>
    </row>
    <row r="50202">
      <c r="B50202" s="309"/>
      <c r="C50202" s="309"/>
      <c r="I50202" s="309"/>
      <c r="J50202" s="309"/>
    </row>
    <row r="50203">
      <c r="B50203" s="309"/>
      <c r="C50203" s="309"/>
      <c r="I50203" s="309"/>
      <c r="J50203" s="309"/>
    </row>
    <row r="50204">
      <c r="B50204" s="309"/>
      <c r="C50204" s="309"/>
      <c r="I50204" s="309"/>
      <c r="J50204" s="309"/>
    </row>
    <row r="50205">
      <c r="B50205" s="309"/>
      <c r="C50205" s="309"/>
      <c r="I50205" s="309"/>
      <c r="J50205" s="309"/>
    </row>
    <row r="50206">
      <c r="B50206" s="309"/>
      <c r="C50206" s="309"/>
      <c r="I50206" s="309"/>
      <c r="J50206" s="309"/>
    </row>
    <row r="50207">
      <c r="B50207" s="309"/>
      <c r="C50207" s="309"/>
      <c r="I50207" s="309"/>
      <c r="J50207" s="309"/>
    </row>
    <row r="50208">
      <c r="B50208" s="309"/>
      <c r="C50208" s="309"/>
      <c r="I50208" s="309"/>
      <c r="J50208" s="309"/>
    </row>
    <row r="50209">
      <c r="B50209" s="309"/>
      <c r="C50209" s="309"/>
      <c r="I50209" s="309"/>
      <c r="J50209" s="309"/>
    </row>
    <row r="50210">
      <c r="B50210" s="309"/>
      <c r="C50210" s="309"/>
      <c r="I50210" s="309"/>
      <c r="J50210" s="309"/>
    </row>
    <row r="50211">
      <c r="B50211" s="309"/>
      <c r="C50211" s="309"/>
      <c r="I50211" s="309"/>
      <c r="J50211" s="309"/>
    </row>
    <row r="50212">
      <c r="B50212" s="309"/>
      <c r="C50212" s="309"/>
      <c r="I50212" s="309"/>
      <c r="J50212" s="309"/>
    </row>
    <row r="50213">
      <c r="B50213" s="309"/>
      <c r="C50213" s="309"/>
      <c r="I50213" s="309"/>
      <c r="J50213" s="309"/>
    </row>
    <row r="50214">
      <c r="B50214" s="309"/>
      <c r="C50214" s="309"/>
      <c r="I50214" s="309"/>
      <c r="J50214" s="309"/>
    </row>
    <row r="50215">
      <c r="B50215" s="309"/>
      <c r="C50215" s="309"/>
      <c r="I50215" s="309"/>
      <c r="J50215" s="309"/>
    </row>
    <row r="50216">
      <c r="B50216" s="309"/>
      <c r="C50216" s="309"/>
      <c r="I50216" s="309"/>
      <c r="J50216" s="309"/>
    </row>
    <row r="50217">
      <c r="B50217" s="309"/>
      <c r="C50217" s="309"/>
      <c r="I50217" s="309"/>
      <c r="J50217" s="309"/>
    </row>
    <row r="50218">
      <c r="B50218" s="309"/>
      <c r="C50218" s="309"/>
      <c r="I50218" s="309"/>
      <c r="J50218" s="309"/>
    </row>
    <row r="50219">
      <c r="B50219" s="309"/>
      <c r="C50219" s="309"/>
      <c r="I50219" s="309"/>
      <c r="J50219" s="309"/>
    </row>
    <row r="50220">
      <c r="B50220" s="309"/>
      <c r="C50220" s="309"/>
      <c r="I50220" s="309"/>
      <c r="J50220" s="309"/>
    </row>
    <row r="50221">
      <c r="B50221" s="309"/>
      <c r="C50221" s="309"/>
      <c r="I50221" s="309"/>
      <c r="J50221" s="309"/>
    </row>
    <row r="50222">
      <c r="B50222" s="309"/>
      <c r="C50222" s="309"/>
      <c r="I50222" s="309"/>
      <c r="J50222" s="309"/>
    </row>
    <row r="50223">
      <c r="B50223" s="309"/>
      <c r="C50223" s="309"/>
      <c r="I50223" s="309"/>
      <c r="J50223" s="309"/>
    </row>
    <row r="50224">
      <c r="B50224" s="309"/>
      <c r="C50224" s="309"/>
      <c r="I50224" s="309"/>
      <c r="J50224" s="309"/>
    </row>
    <row r="50225">
      <c r="B50225" s="309"/>
      <c r="C50225" s="309"/>
      <c r="I50225" s="309"/>
      <c r="J50225" s="309"/>
    </row>
    <row r="50226">
      <c r="B50226" s="309"/>
      <c r="C50226" s="309"/>
      <c r="I50226" s="309"/>
      <c r="J50226" s="309"/>
    </row>
    <row r="50227">
      <c r="B50227" s="309"/>
      <c r="C50227" s="309"/>
      <c r="I50227" s="309"/>
      <c r="J50227" s="309"/>
    </row>
    <row r="50228">
      <c r="B50228" s="309"/>
      <c r="C50228" s="309"/>
      <c r="I50228" s="309"/>
      <c r="J50228" s="309"/>
    </row>
    <row r="50229">
      <c r="B50229" s="309"/>
      <c r="C50229" s="309"/>
      <c r="I50229" s="309"/>
      <c r="J50229" s="309"/>
    </row>
    <row r="50230">
      <c r="B50230" s="309"/>
      <c r="C50230" s="309"/>
      <c r="I50230" s="309"/>
      <c r="J50230" s="309"/>
    </row>
    <row r="50231">
      <c r="B50231" s="309"/>
      <c r="C50231" s="309"/>
      <c r="I50231" s="309"/>
      <c r="J50231" s="309"/>
    </row>
    <row r="50232">
      <c r="B50232" s="309"/>
      <c r="C50232" s="309"/>
      <c r="I50232" s="309"/>
      <c r="J50232" s="309"/>
    </row>
    <row r="50233">
      <c r="B50233" s="309"/>
      <c r="C50233" s="309"/>
      <c r="I50233" s="309"/>
      <c r="J50233" s="309"/>
    </row>
    <row r="50234">
      <c r="B50234" s="309"/>
      <c r="C50234" s="309"/>
      <c r="I50234" s="309"/>
      <c r="J50234" s="309"/>
    </row>
    <row r="50235">
      <c r="B50235" s="309"/>
      <c r="C50235" s="309"/>
      <c r="I50235" s="309"/>
      <c r="J50235" s="309"/>
    </row>
    <row r="50236">
      <c r="B50236" s="309"/>
      <c r="C50236" s="309"/>
      <c r="I50236" s="309"/>
      <c r="J50236" s="309"/>
    </row>
    <row r="50237">
      <c r="B50237" s="309"/>
      <c r="C50237" s="309"/>
      <c r="I50237" s="309"/>
      <c r="J50237" s="309"/>
    </row>
    <row r="50238">
      <c r="B50238" s="309"/>
      <c r="C50238" s="309"/>
      <c r="I50238" s="309"/>
      <c r="J50238" s="309"/>
    </row>
    <row r="50239">
      <c r="B50239" s="309"/>
      <c r="C50239" s="309"/>
      <c r="I50239" s="309"/>
      <c r="J50239" s="309"/>
    </row>
    <row r="50240">
      <c r="B50240" s="309"/>
      <c r="C50240" s="309"/>
      <c r="I50240" s="309"/>
      <c r="J50240" s="309"/>
    </row>
    <row r="50241">
      <c r="B50241" s="309"/>
      <c r="C50241" s="309"/>
      <c r="I50241" s="309"/>
      <c r="J50241" s="309"/>
    </row>
    <row r="50242">
      <c r="B50242" s="309"/>
      <c r="C50242" s="309"/>
      <c r="I50242" s="309"/>
      <c r="J50242" s="309"/>
    </row>
    <row r="50243">
      <c r="B50243" s="309"/>
      <c r="C50243" s="309"/>
      <c r="I50243" s="309"/>
      <c r="J50243" s="309"/>
    </row>
    <row r="50244">
      <c r="B50244" s="309"/>
      <c r="C50244" s="309"/>
      <c r="I50244" s="309"/>
      <c r="J50244" s="309"/>
    </row>
    <row r="50245">
      <c r="B50245" s="309"/>
      <c r="C50245" s="309"/>
      <c r="I50245" s="309"/>
      <c r="J50245" s="309"/>
    </row>
    <row r="50246">
      <c r="B50246" s="309"/>
      <c r="C50246" s="309"/>
      <c r="I50246" s="309"/>
      <c r="J50246" s="309"/>
    </row>
    <row r="50247">
      <c r="B50247" s="309"/>
      <c r="C50247" s="309"/>
      <c r="I50247" s="309"/>
      <c r="J50247" s="309"/>
    </row>
    <row r="50248">
      <c r="B50248" s="309"/>
      <c r="C50248" s="309"/>
      <c r="I50248" s="309"/>
      <c r="J50248" s="309"/>
    </row>
    <row r="50249">
      <c r="B50249" s="309"/>
      <c r="C50249" s="309"/>
      <c r="I50249" s="309"/>
      <c r="J50249" s="309"/>
    </row>
    <row r="50250">
      <c r="B50250" s="309"/>
      <c r="C50250" s="309"/>
      <c r="I50250" s="309"/>
      <c r="J50250" s="309"/>
    </row>
    <row r="50251">
      <c r="B50251" s="309"/>
      <c r="C50251" s="309"/>
      <c r="I50251" s="309"/>
      <c r="J50251" s="309"/>
    </row>
    <row r="50252">
      <c r="B50252" s="309"/>
      <c r="C50252" s="309"/>
      <c r="I50252" s="309"/>
      <c r="J50252" s="309"/>
    </row>
    <row r="50253">
      <c r="B50253" s="309"/>
      <c r="C50253" s="309"/>
      <c r="I50253" s="309"/>
      <c r="J50253" s="309"/>
    </row>
    <row r="50254">
      <c r="B50254" s="309"/>
      <c r="C50254" s="309"/>
      <c r="I50254" s="309"/>
      <c r="J50254" s="309"/>
    </row>
    <row r="50255">
      <c r="B50255" s="309"/>
      <c r="C50255" s="309"/>
      <c r="I50255" s="309"/>
      <c r="J50255" s="309"/>
    </row>
    <row r="50256">
      <c r="B50256" s="309"/>
      <c r="C50256" s="309"/>
      <c r="I50256" s="309"/>
      <c r="J50256" s="309"/>
    </row>
    <row r="50257">
      <c r="B50257" s="309"/>
      <c r="C50257" s="309"/>
      <c r="I50257" s="309"/>
      <c r="J50257" s="309"/>
    </row>
    <row r="50258">
      <c r="B50258" s="309"/>
      <c r="C50258" s="309"/>
      <c r="I50258" s="309"/>
      <c r="J50258" s="309"/>
    </row>
    <row r="50259">
      <c r="B50259" s="309"/>
      <c r="C50259" s="309"/>
      <c r="I50259" s="309"/>
      <c r="J50259" s="309"/>
    </row>
    <row r="50260">
      <c r="B50260" s="309"/>
      <c r="C50260" s="309"/>
      <c r="I50260" s="309"/>
      <c r="J50260" s="309"/>
    </row>
    <row r="50261">
      <c r="B50261" s="309"/>
      <c r="C50261" s="309"/>
      <c r="I50261" s="309"/>
      <c r="J50261" s="309"/>
    </row>
    <row r="50262">
      <c r="B50262" s="309"/>
      <c r="C50262" s="309"/>
      <c r="I50262" s="309"/>
      <c r="J50262" s="309"/>
    </row>
    <row r="50263">
      <c r="B50263" s="309"/>
      <c r="C50263" s="309"/>
      <c r="I50263" s="309"/>
      <c r="J50263" s="309"/>
    </row>
    <row r="50264">
      <c r="B50264" s="309"/>
      <c r="C50264" s="309"/>
      <c r="I50264" s="309"/>
      <c r="J50264" s="309"/>
    </row>
    <row r="50265">
      <c r="B50265" s="309"/>
      <c r="C50265" s="309"/>
      <c r="I50265" s="309"/>
      <c r="J50265" s="309"/>
    </row>
    <row r="50266">
      <c r="B50266" s="309"/>
      <c r="C50266" s="309"/>
      <c r="I50266" s="309"/>
      <c r="J50266" s="309"/>
    </row>
    <row r="50267">
      <c r="B50267" s="309"/>
      <c r="C50267" s="309"/>
      <c r="I50267" s="309"/>
      <c r="J50267" s="309"/>
    </row>
    <row r="50268">
      <c r="B50268" s="309"/>
      <c r="C50268" s="309"/>
      <c r="I50268" s="309"/>
      <c r="J50268" s="309"/>
    </row>
    <row r="50269">
      <c r="B50269" s="309"/>
      <c r="C50269" s="309"/>
      <c r="I50269" s="309"/>
      <c r="J50269" s="309"/>
    </row>
    <row r="50270">
      <c r="B50270" s="309"/>
      <c r="C50270" s="309"/>
      <c r="I50270" s="309"/>
      <c r="J50270" s="309"/>
    </row>
    <row r="50271">
      <c r="B50271" s="309"/>
      <c r="C50271" s="309"/>
      <c r="I50271" s="309"/>
      <c r="J50271" s="309"/>
    </row>
    <row r="50272">
      <c r="B50272" s="309"/>
      <c r="C50272" s="309"/>
      <c r="I50272" s="309"/>
      <c r="J50272" s="309"/>
    </row>
    <row r="50273">
      <c r="B50273" s="309"/>
      <c r="C50273" s="309"/>
      <c r="I50273" s="309"/>
      <c r="J50273" s="309"/>
    </row>
    <row r="50274">
      <c r="B50274" s="309"/>
      <c r="C50274" s="309"/>
      <c r="I50274" s="309"/>
      <c r="J50274" s="309"/>
    </row>
    <row r="50275">
      <c r="B50275" s="309"/>
      <c r="C50275" s="309"/>
      <c r="I50275" s="309"/>
      <c r="J50275" s="309"/>
    </row>
    <row r="50276">
      <c r="B50276" s="309"/>
      <c r="C50276" s="309"/>
      <c r="I50276" s="309"/>
      <c r="J50276" s="309"/>
    </row>
    <row r="50277">
      <c r="B50277" s="309"/>
      <c r="C50277" s="309"/>
      <c r="I50277" s="309"/>
      <c r="J50277" s="309"/>
    </row>
    <row r="50278">
      <c r="B50278" s="309"/>
      <c r="C50278" s="309"/>
      <c r="I50278" s="309"/>
      <c r="J50278" s="309"/>
    </row>
    <row r="50279">
      <c r="B50279" s="309"/>
      <c r="C50279" s="309"/>
      <c r="I50279" s="309"/>
      <c r="J50279" s="309"/>
    </row>
    <row r="50280">
      <c r="B50280" s="309"/>
      <c r="C50280" s="309"/>
      <c r="I50280" s="309"/>
      <c r="J50280" s="309"/>
    </row>
    <row r="50281">
      <c r="B50281" s="309"/>
      <c r="C50281" s="309"/>
      <c r="I50281" s="309"/>
      <c r="J50281" s="309"/>
    </row>
    <row r="50282">
      <c r="B50282" s="309"/>
      <c r="C50282" s="309"/>
      <c r="I50282" s="309"/>
      <c r="J50282" s="309"/>
    </row>
    <row r="50283">
      <c r="B50283" s="309"/>
      <c r="C50283" s="309"/>
      <c r="I50283" s="309"/>
      <c r="J50283" s="309"/>
    </row>
    <row r="50284">
      <c r="B50284" s="309"/>
      <c r="C50284" s="309"/>
      <c r="I50284" s="309"/>
      <c r="J50284" s="309"/>
    </row>
    <row r="50285">
      <c r="B50285" s="309"/>
      <c r="C50285" s="309"/>
      <c r="I50285" s="309"/>
      <c r="J50285" s="309"/>
    </row>
    <row r="50286">
      <c r="B50286" s="309"/>
      <c r="C50286" s="309"/>
      <c r="I50286" s="309"/>
      <c r="J50286" s="309"/>
    </row>
    <row r="50287">
      <c r="B50287" s="309"/>
      <c r="C50287" s="309"/>
      <c r="I50287" s="309"/>
      <c r="J50287" s="309"/>
    </row>
    <row r="50288">
      <c r="B50288" s="309"/>
      <c r="C50288" s="309"/>
      <c r="I50288" s="309"/>
      <c r="J50288" s="309"/>
    </row>
    <row r="50289">
      <c r="B50289" s="309"/>
      <c r="C50289" s="309"/>
      <c r="I50289" s="309"/>
      <c r="J50289" s="309"/>
    </row>
    <row r="50290">
      <c r="B50290" s="309"/>
      <c r="C50290" s="309"/>
      <c r="I50290" s="309"/>
      <c r="J50290" s="309"/>
    </row>
    <row r="50291">
      <c r="B50291" s="309"/>
      <c r="C50291" s="309"/>
      <c r="I50291" s="309"/>
      <c r="J50291" s="309"/>
    </row>
    <row r="50292">
      <c r="B50292" s="309"/>
      <c r="C50292" s="309"/>
      <c r="I50292" s="309"/>
      <c r="J50292" s="309"/>
    </row>
    <row r="50293">
      <c r="B50293" s="309"/>
      <c r="C50293" s="309"/>
      <c r="I50293" s="309"/>
      <c r="J50293" s="309"/>
    </row>
    <row r="50294">
      <c r="B50294" s="309"/>
      <c r="C50294" s="309"/>
      <c r="I50294" s="309"/>
      <c r="J50294" s="309"/>
    </row>
    <row r="50295">
      <c r="B50295" s="309"/>
      <c r="C50295" s="309"/>
      <c r="I50295" s="309"/>
      <c r="J50295" s="309"/>
    </row>
    <row r="50296">
      <c r="B50296" s="309"/>
      <c r="C50296" s="309"/>
      <c r="I50296" s="309"/>
      <c r="J50296" s="309"/>
    </row>
    <row r="50297">
      <c r="B50297" s="309"/>
      <c r="C50297" s="309"/>
      <c r="I50297" s="309"/>
      <c r="J50297" s="309"/>
    </row>
    <row r="50298">
      <c r="B50298" s="309"/>
      <c r="C50298" s="309"/>
      <c r="I50298" s="309"/>
      <c r="J50298" s="309"/>
    </row>
    <row r="50299">
      <c r="B50299" s="309"/>
      <c r="C50299" s="309"/>
      <c r="I50299" s="309"/>
      <c r="J50299" s="309"/>
    </row>
    <row r="50300">
      <c r="B50300" s="309"/>
      <c r="C50300" s="309"/>
      <c r="I50300" s="309"/>
      <c r="J50300" s="309"/>
    </row>
    <row r="50301">
      <c r="B50301" s="309"/>
      <c r="C50301" s="309"/>
      <c r="I50301" s="309"/>
      <c r="J50301" s="309"/>
    </row>
    <row r="50302">
      <c r="B50302" s="309"/>
      <c r="C50302" s="309"/>
      <c r="I50302" s="309"/>
      <c r="J50302" s="309"/>
    </row>
    <row r="50303">
      <c r="B50303" s="309"/>
      <c r="C50303" s="309"/>
      <c r="I50303" s="309"/>
      <c r="J50303" s="309"/>
    </row>
    <row r="50304">
      <c r="B50304" s="309"/>
      <c r="C50304" s="309"/>
      <c r="I50304" s="309"/>
      <c r="J50304" s="309"/>
    </row>
    <row r="50305">
      <c r="B50305" s="309"/>
      <c r="C50305" s="309"/>
      <c r="I50305" s="309"/>
      <c r="J50305" s="309"/>
    </row>
    <row r="50306">
      <c r="B50306" s="309"/>
      <c r="C50306" s="309"/>
      <c r="I50306" s="309"/>
      <c r="J50306" s="309"/>
    </row>
    <row r="50307">
      <c r="B50307" s="309"/>
      <c r="C50307" s="309"/>
      <c r="I50307" s="309"/>
      <c r="J50307" s="309"/>
    </row>
    <row r="50308">
      <c r="B50308" s="309"/>
      <c r="C50308" s="309"/>
      <c r="I50308" s="309"/>
      <c r="J50308" s="309"/>
    </row>
    <row r="50309">
      <c r="B50309" s="309"/>
      <c r="C50309" s="309"/>
      <c r="I50309" s="309"/>
      <c r="J50309" s="309"/>
    </row>
    <row r="50310">
      <c r="B50310" s="309"/>
      <c r="C50310" s="309"/>
      <c r="I50310" s="309"/>
      <c r="J50310" s="309"/>
    </row>
    <row r="50311">
      <c r="B50311" s="309"/>
      <c r="C50311" s="309"/>
      <c r="I50311" s="309"/>
      <c r="J50311" s="309"/>
    </row>
    <row r="50312">
      <c r="B50312" s="309"/>
      <c r="C50312" s="309"/>
      <c r="I50312" s="309"/>
      <c r="J50312" s="309"/>
    </row>
    <row r="50313">
      <c r="B50313" s="309"/>
      <c r="C50313" s="309"/>
      <c r="I50313" s="309"/>
      <c r="J50313" s="309"/>
    </row>
    <row r="50314">
      <c r="B50314" s="309"/>
      <c r="C50314" s="309"/>
      <c r="I50314" s="309"/>
      <c r="J50314" s="309"/>
    </row>
    <row r="50315">
      <c r="B50315" s="309"/>
      <c r="C50315" s="309"/>
      <c r="I50315" s="309"/>
      <c r="J50315" s="309"/>
    </row>
    <row r="50316">
      <c r="B50316" s="309"/>
      <c r="C50316" s="309"/>
      <c r="I50316" s="309"/>
      <c r="J50316" s="309"/>
    </row>
    <row r="50317">
      <c r="B50317" s="309"/>
      <c r="C50317" s="309"/>
      <c r="I50317" s="309"/>
      <c r="J50317" s="309"/>
    </row>
    <row r="50318">
      <c r="B50318" s="309"/>
      <c r="C50318" s="309"/>
      <c r="I50318" s="309"/>
      <c r="J50318" s="309"/>
    </row>
    <row r="50319">
      <c r="B50319" s="309"/>
      <c r="C50319" s="309"/>
      <c r="I50319" s="309"/>
      <c r="J50319" s="309"/>
    </row>
    <row r="50320">
      <c r="B50320" s="309"/>
      <c r="C50320" s="309"/>
      <c r="I50320" s="309"/>
      <c r="J50320" s="309"/>
    </row>
    <row r="50321">
      <c r="B50321" s="309"/>
      <c r="C50321" s="309"/>
      <c r="I50321" s="309"/>
      <c r="J50321" s="309"/>
    </row>
    <row r="50322">
      <c r="B50322" s="309"/>
      <c r="C50322" s="309"/>
      <c r="I50322" s="309"/>
      <c r="J50322" s="309"/>
    </row>
    <row r="50323">
      <c r="B50323" s="309"/>
      <c r="C50323" s="309"/>
      <c r="I50323" s="309"/>
      <c r="J50323" s="309"/>
    </row>
    <row r="50324">
      <c r="B50324" s="309"/>
      <c r="C50324" s="309"/>
      <c r="I50324" s="309"/>
      <c r="J50324" s="309"/>
    </row>
    <row r="50325">
      <c r="B50325" s="309"/>
      <c r="C50325" s="309"/>
      <c r="I50325" s="309"/>
      <c r="J50325" s="309"/>
    </row>
    <row r="50326">
      <c r="B50326" s="309"/>
      <c r="C50326" s="309"/>
      <c r="I50326" s="309"/>
      <c r="J50326" s="309"/>
    </row>
    <row r="50327">
      <c r="B50327" s="309"/>
      <c r="C50327" s="309"/>
      <c r="I50327" s="309"/>
      <c r="J50327" s="309"/>
    </row>
    <row r="50328">
      <c r="B50328" s="309"/>
      <c r="C50328" s="309"/>
      <c r="I50328" s="309"/>
      <c r="J50328" s="309"/>
    </row>
    <row r="50329">
      <c r="B50329" s="309"/>
      <c r="C50329" s="309"/>
      <c r="I50329" s="309"/>
      <c r="J50329" s="309"/>
    </row>
    <row r="50330">
      <c r="B50330" s="309"/>
      <c r="C50330" s="309"/>
      <c r="I50330" s="309"/>
      <c r="J50330" s="309"/>
    </row>
    <row r="50331">
      <c r="B50331" s="309"/>
      <c r="C50331" s="309"/>
      <c r="I50331" s="309"/>
      <c r="J50331" s="309"/>
    </row>
    <row r="50332">
      <c r="B50332" s="309"/>
      <c r="C50332" s="309"/>
      <c r="I50332" s="309"/>
      <c r="J50332" s="309"/>
    </row>
    <row r="50333">
      <c r="B50333" s="309"/>
      <c r="C50333" s="309"/>
      <c r="I50333" s="309"/>
      <c r="J50333" s="309"/>
    </row>
    <row r="50334">
      <c r="B50334" s="309"/>
      <c r="C50334" s="309"/>
      <c r="I50334" s="309"/>
      <c r="J50334" s="309"/>
    </row>
    <row r="50335">
      <c r="B50335" s="309"/>
      <c r="C50335" s="309"/>
      <c r="I50335" s="309"/>
      <c r="J50335" s="309"/>
    </row>
    <row r="50336">
      <c r="B50336" s="309"/>
      <c r="C50336" s="309"/>
      <c r="I50336" s="309"/>
      <c r="J50336" s="309"/>
    </row>
    <row r="50337">
      <c r="B50337" s="309"/>
      <c r="C50337" s="309"/>
      <c r="I50337" s="309"/>
      <c r="J50337" s="309"/>
    </row>
    <row r="50338">
      <c r="B50338" s="309"/>
      <c r="C50338" s="309"/>
      <c r="I50338" s="309"/>
      <c r="J50338" s="309"/>
    </row>
    <row r="50339">
      <c r="B50339" s="309"/>
      <c r="C50339" s="309"/>
      <c r="I50339" s="309"/>
      <c r="J50339" s="309"/>
    </row>
    <row r="50340">
      <c r="B50340" s="309"/>
      <c r="C50340" s="309"/>
      <c r="I50340" s="309"/>
      <c r="J50340" s="309"/>
    </row>
    <row r="50341">
      <c r="B50341" s="309"/>
      <c r="C50341" s="309"/>
      <c r="I50341" s="309"/>
      <c r="J50341" s="309"/>
    </row>
    <row r="50342">
      <c r="B50342" s="309"/>
      <c r="C50342" s="309"/>
      <c r="I50342" s="309"/>
      <c r="J50342" s="309"/>
    </row>
    <row r="50343">
      <c r="B50343" s="309"/>
      <c r="C50343" s="309"/>
      <c r="I50343" s="309"/>
      <c r="J50343" s="309"/>
    </row>
    <row r="50344">
      <c r="B50344" s="309"/>
      <c r="C50344" s="309"/>
      <c r="I50344" s="309"/>
      <c r="J50344" s="309"/>
    </row>
    <row r="50345">
      <c r="B50345" s="309"/>
      <c r="C50345" s="309"/>
      <c r="I50345" s="309"/>
      <c r="J50345" s="309"/>
    </row>
    <row r="50346">
      <c r="B50346" s="309"/>
      <c r="C50346" s="309"/>
      <c r="I50346" s="309"/>
      <c r="J50346" s="309"/>
    </row>
    <row r="50347">
      <c r="B50347" s="309"/>
      <c r="C50347" s="309"/>
      <c r="I50347" s="309"/>
      <c r="J50347" s="309"/>
    </row>
    <row r="50348">
      <c r="B50348" s="309"/>
      <c r="C50348" s="309"/>
      <c r="I50348" s="309"/>
      <c r="J50348" s="309"/>
    </row>
    <row r="50349">
      <c r="B50349" s="309"/>
      <c r="C50349" s="309"/>
      <c r="I50349" s="309"/>
      <c r="J50349" s="309"/>
    </row>
    <row r="50350">
      <c r="B50350" s="309"/>
      <c r="C50350" s="309"/>
      <c r="I50350" s="309"/>
      <c r="J50350" s="309"/>
    </row>
    <row r="50351">
      <c r="B50351" s="309"/>
      <c r="C50351" s="309"/>
      <c r="I50351" s="309"/>
      <c r="J50351" s="309"/>
    </row>
    <row r="50352">
      <c r="B50352" s="309"/>
      <c r="C50352" s="309"/>
      <c r="I50352" s="309"/>
      <c r="J50352" s="309"/>
    </row>
    <row r="50353">
      <c r="B50353" s="309"/>
      <c r="C50353" s="309"/>
      <c r="I50353" s="309"/>
      <c r="J50353" s="309"/>
    </row>
    <row r="50354">
      <c r="B50354" s="309"/>
      <c r="C50354" s="309"/>
      <c r="I50354" s="309"/>
      <c r="J50354" s="309"/>
    </row>
    <row r="50355">
      <c r="B50355" s="309"/>
      <c r="C50355" s="309"/>
      <c r="I50355" s="309"/>
      <c r="J50355" s="309"/>
    </row>
    <row r="50356">
      <c r="B50356" s="309"/>
      <c r="C50356" s="309"/>
      <c r="I50356" s="309"/>
      <c r="J50356" s="309"/>
    </row>
    <row r="50357">
      <c r="B50357" s="309"/>
      <c r="C50357" s="309"/>
      <c r="I50357" s="309"/>
      <c r="J50357" s="309"/>
    </row>
    <row r="50358">
      <c r="B50358" s="309"/>
      <c r="C50358" s="309"/>
      <c r="I50358" s="309"/>
      <c r="J50358" s="309"/>
    </row>
    <row r="50359">
      <c r="B50359" s="309"/>
      <c r="C50359" s="309"/>
      <c r="I50359" s="309"/>
      <c r="J50359" s="309"/>
    </row>
    <row r="50360">
      <c r="B50360" s="309"/>
      <c r="C50360" s="309"/>
      <c r="I50360" s="309"/>
      <c r="J50360" s="309"/>
    </row>
    <row r="50361">
      <c r="B50361" s="309"/>
      <c r="C50361" s="309"/>
      <c r="I50361" s="309"/>
      <c r="J50361" s="309"/>
    </row>
    <row r="50362">
      <c r="B50362" s="309"/>
      <c r="C50362" s="309"/>
      <c r="I50362" s="309"/>
      <c r="J50362" s="309"/>
    </row>
    <row r="50363">
      <c r="B50363" s="309"/>
      <c r="C50363" s="309"/>
      <c r="I50363" s="309"/>
      <c r="J50363" s="309"/>
    </row>
    <row r="50364">
      <c r="B50364" s="309"/>
      <c r="C50364" s="309"/>
      <c r="I50364" s="309"/>
      <c r="J50364" s="309"/>
    </row>
    <row r="50365">
      <c r="B50365" s="309"/>
      <c r="C50365" s="309"/>
      <c r="I50365" s="309"/>
      <c r="J50365" s="309"/>
    </row>
    <row r="50366">
      <c r="B50366" s="309"/>
      <c r="C50366" s="309"/>
      <c r="I50366" s="309"/>
      <c r="J50366" s="309"/>
    </row>
    <row r="50367">
      <c r="B50367" s="309"/>
      <c r="C50367" s="309"/>
      <c r="I50367" s="309"/>
      <c r="J50367" s="309"/>
    </row>
    <row r="50368">
      <c r="B50368" s="309"/>
      <c r="C50368" s="309"/>
      <c r="I50368" s="309"/>
      <c r="J50368" s="309"/>
    </row>
    <row r="50369">
      <c r="B50369" s="309"/>
      <c r="C50369" s="309"/>
      <c r="I50369" s="309"/>
      <c r="J50369" s="309"/>
    </row>
    <row r="50370">
      <c r="B50370" s="309"/>
      <c r="C50370" s="309"/>
      <c r="I50370" s="309"/>
      <c r="J50370" s="309"/>
    </row>
    <row r="50371">
      <c r="B50371" s="309"/>
      <c r="C50371" s="309"/>
      <c r="I50371" s="309"/>
      <c r="J50371" s="309"/>
    </row>
    <row r="50372">
      <c r="B50372" s="309"/>
      <c r="C50372" s="309"/>
      <c r="I50372" s="309"/>
      <c r="J50372" s="309"/>
    </row>
    <row r="50373">
      <c r="B50373" s="309"/>
      <c r="C50373" s="309"/>
      <c r="I50373" s="309"/>
      <c r="J50373" s="309"/>
    </row>
    <row r="50374">
      <c r="B50374" s="309"/>
      <c r="C50374" s="309"/>
      <c r="I50374" s="309"/>
      <c r="J50374" s="309"/>
    </row>
    <row r="50375">
      <c r="B50375" s="309"/>
      <c r="C50375" s="309"/>
      <c r="I50375" s="309"/>
      <c r="J50375" s="309"/>
    </row>
    <row r="50376">
      <c r="B50376" s="309"/>
      <c r="C50376" s="309"/>
      <c r="I50376" s="309"/>
      <c r="J50376" s="309"/>
    </row>
    <row r="50377">
      <c r="B50377" s="309"/>
      <c r="C50377" s="309"/>
      <c r="I50377" s="309"/>
      <c r="J50377" s="309"/>
    </row>
    <row r="50378">
      <c r="B50378" s="309"/>
      <c r="C50378" s="309"/>
      <c r="I50378" s="309"/>
      <c r="J50378" s="309"/>
    </row>
    <row r="50379">
      <c r="B50379" s="309"/>
      <c r="C50379" s="309"/>
      <c r="I50379" s="309"/>
      <c r="J50379" s="309"/>
    </row>
    <row r="50380">
      <c r="B50380" s="309"/>
      <c r="C50380" s="309"/>
      <c r="I50380" s="309"/>
      <c r="J50380" s="309"/>
    </row>
    <row r="50381">
      <c r="B50381" s="309"/>
      <c r="C50381" s="309"/>
      <c r="I50381" s="309"/>
      <c r="J50381" s="309"/>
    </row>
    <row r="50382">
      <c r="B50382" s="309"/>
      <c r="C50382" s="309"/>
      <c r="I50382" s="309"/>
      <c r="J50382" s="309"/>
    </row>
    <row r="50383">
      <c r="B50383" s="309"/>
      <c r="C50383" s="309"/>
      <c r="I50383" s="309"/>
      <c r="J50383" s="309"/>
    </row>
    <row r="50384">
      <c r="B50384" s="309"/>
      <c r="C50384" s="309"/>
      <c r="I50384" s="309"/>
      <c r="J50384" s="309"/>
    </row>
    <row r="50385">
      <c r="B50385" s="309"/>
      <c r="C50385" s="309"/>
      <c r="I50385" s="309"/>
      <c r="J50385" s="309"/>
    </row>
    <row r="50386">
      <c r="B50386" s="309"/>
      <c r="C50386" s="309"/>
      <c r="I50386" s="309"/>
      <c r="J50386" s="309"/>
    </row>
    <row r="50387">
      <c r="B50387" s="309"/>
      <c r="C50387" s="309"/>
      <c r="I50387" s="309"/>
      <c r="J50387" s="309"/>
    </row>
    <row r="50388">
      <c r="B50388" s="309"/>
      <c r="C50388" s="309"/>
      <c r="I50388" s="309"/>
      <c r="J50388" s="309"/>
    </row>
    <row r="50389">
      <c r="B50389" s="309"/>
      <c r="C50389" s="309"/>
      <c r="I50389" s="309"/>
      <c r="J50389" s="309"/>
    </row>
    <row r="50390">
      <c r="B50390" s="309"/>
      <c r="C50390" s="309"/>
      <c r="I50390" s="309"/>
      <c r="J50390" s="309"/>
    </row>
    <row r="50391">
      <c r="B50391" s="309"/>
      <c r="C50391" s="309"/>
      <c r="I50391" s="309"/>
      <c r="J50391" s="309"/>
    </row>
    <row r="50392">
      <c r="B50392" s="309"/>
      <c r="C50392" s="309"/>
      <c r="I50392" s="309"/>
      <c r="J50392" s="309"/>
    </row>
    <row r="50393">
      <c r="B50393" s="309"/>
      <c r="C50393" s="309"/>
      <c r="I50393" s="309"/>
      <c r="J50393" s="309"/>
    </row>
    <row r="50394">
      <c r="B50394" s="309"/>
      <c r="C50394" s="309"/>
      <c r="I50394" s="309"/>
      <c r="J50394" s="309"/>
    </row>
    <row r="50395">
      <c r="B50395" s="309"/>
      <c r="C50395" s="309"/>
      <c r="I50395" s="309"/>
      <c r="J50395" s="309"/>
    </row>
    <row r="50396">
      <c r="B50396" s="309"/>
      <c r="C50396" s="309"/>
      <c r="I50396" s="309"/>
      <c r="J50396" s="309"/>
    </row>
    <row r="50397">
      <c r="B50397" s="309"/>
      <c r="C50397" s="309"/>
      <c r="I50397" s="309"/>
      <c r="J50397" s="309"/>
    </row>
    <row r="50398">
      <c r="B50398" s="309"/>
      <c r="C50398" s="309"/>
      <c r="I50398" s="309"/>
      <c r="J50398" s="309"/>
    </row>
    <row r="50399">
      <c r="B50399" s="309"/>
      <c r="C50399" s="309"/>
      <c r="I50399" s="309"/>
      <c r="J50399" s="309"/>
    </row>
    <row r="50400">
      <c r="B50400" s="309"/>
      <c r="C50400" s="309"/>
      <c r="I50400" s="309"/>
      <c r="J50400" s="309"/>
    </row>
    <row r="50401">
      <c r="B50401" s="309"/>
      <c r="C50401" s="309"/>
      <c r="I50401" s="309"/>
      <c r="J50401" s="309"/>
    </row>
    <row r="50402">
      <c r="B50402" s="309"/>
      <c r="C50402" s="309"/>
      <c r="I50402" s="309"/>
      <c r="J50402" s="309"/>
    </row>
    <row r="50403">
      <c r="B50403" s="309"/>
      <c r="C50403" s="309"/>
      <c r="I50403" s="309"/>
      <c r="J50403" s="309"/>
    </row>
    <row r="50404">
      <c r="B50404" s="309"/>
      <c r="C50404" s="309"/>
      <c r="I50404" s="309"/>
      <c r="J50404" s="309"/>
    </row>
    <row r="50405">
      <c r="B50405" s="309"/>
      <c r="C50405" s="309"/>
      <c r="I50405" s="309"/>
      <c r="J50405" s="309"/>
    </row>
    <row r="50406">
      <c r="B50406" s="309"/>
      <c r="C50406" s="309"/>
      <c r="I50406" s="309"/>
      <c r="J50406" s="309"/>
    </row>
    <row r="50407">
      <c r="B50407" s="309"/>
      <c r="C50407" s="309"/>
      <c r="I50407" s="309"/>
      <c r="J50407" s="309"/>
    </row>
    <row r="50408">
      <c r="B50408" s="309"/>
      <c r="C50408" s="309"/>
      <c r="I50408" s="309"/>
      <c r="J50408" s="309"/>
    </row>
    <row r="50409">
      <c r="B50409" s="309"/>
      <c r="C50409" s="309"/>
      <c r="I50409" s="309"/>
      <c r="J50409" s="309"/>
    </row>
    <row r="50410">
      <c r="B50410" s="309"/>
      <c r="C50410" s="309"/>
      <c r="I50410" s="309"/>
      <c r="J50410" s="309"/>
    </row>
    <row r="50411">
      <c r="B50411" s="309"/>
      <c r="C50411" s="309"/>
      <c r="I50411" s="309"/>
      <c r="J50411" s="309"/>
    </row>
    <row r="50412">
      <c r="B50412" s="309"/>
      <c r="C50412" s="309"/>
      <c r="I50412" s="309"/>
      <c r="J50412" s="309"/>
    </row>
    <row r="50413">
      <c r="B50413" s="309"/>
      <c r="C50413" s="309"/>
      <c r="I50413" s="309"/>
      <c r="J50413" s="309"/>
    </row>
    <row r="50414">
      <c r="B50414" s="309"/>
      <c r="C50414" s="309"/>
      <c r="I50414" s="309"/>
      <c r="J50414" s="309"/>
    </row>
    <row r="50415">
      <c r="B50415" s="309"/>
      <c r="C50415" s="309"/>
      <c r="I50415" s="309"/>
      <c r="J50415" s="309"/>
    </row>
    <row r="50416">
      <c r="B50416" s="309"/>
      <c r="C50416" s="309"/>
      <c r="I50416" s="309"/>
      <c r="J50416" s="309"/>
    </row>
    <row r="50417">
      <c r="B50417" s="309"/>
      <c r="C50417" s="309"/>
      <c r="I50417" s="309"/>
      <c r="J50417" s="309"/>
    </row>
    <row r="50418">
      <c r="B50418" s="309"/>
      <c r="C50418" s="309"/>
      <c r="I50418" s="309"/>
      <c r="J50418" s="309"/>
    </row>
    <row r="50419">
      <c r="B50419" s="309"/>
      <c r="C50419" s="309"/>
      <c r="I50419" s="309"/>
      <c r="J50419" s="309"/>
    </row>
    <row r="50420">
      <c r="B50420" s="309"/>
      <c r="C50420" s="309"/>
      <c r="I50420" s="309"/>
      <c r="J50420" s="309"/>
    </row>
    <row r="50421">
      <c r="B50421" s="309"/>
      <c r="C50421" s="309"/>
      <c r="I50421" s="309"/>
      <c r="J50421" s="309"/>
    </row>
    <row r="50422">
      <c r="B50422" s="309"/>
      <c r="C50422" s="309"/>
      <c r="I50422" s="309"/>
      <c r="J50422" s="309"/>
    </row>
    <row r="50423">
      <c r="B50423" s="309"/>
      <c r="C50423" s="309"/>
      <c r="I50423" s="309"/>
      <c r="J50423" s="309"/>
    </row>
    <row r="50424">
      <c r="B50424" s="309"/>
      <c r="C50424" s="309"/>
      <c r="I50424" s="309"/>
      <c r="J50424" s="309"/>
    </row>
    <row r="50425">
      <c r="B50425" s="309"/>
      <c r="C50425" s="309"/>
      <c r="I50425" s="309"/>
      <c r="J50425" s="309"/>
    </row>
    <row r="50426">
      <c r="B50426" s="309"/>
      <c r="C50426" s="309"/>
      <c r="I50426" s="309"/>
      <c r="J50426" s="309"/>
    </row>
    <row r="50427">
      <c r="B50427" s="309"/>
      <c r="C50427" s="309"/>
      <c r="I50427" s="309"/>
      <c r="J50427" s="309"/>
    </row>
    <row r="50428">
      <c r="B50428" s="309"/>
      <c r="C50428" s="309"/>
      <c r="I50428" s="309"/>
      <c r="J50428" s="309"/>
    </row>
    <row r="50429">
      <c r="B50429" s="309"/>
      <c r="C50429" s="309"/>
      <c r="I50429" s="309"/>
      <c r="J50429" s="309"/>
    </row>
    <row r="50430">
      <c r="B50430" s="309"/>
      <c r="C50430" s="309"/>
      <c r="I50430" s="309"/>
      <c r="J50430" s="309"/>
    </row>
    <row r="50431">
      <c r="B50431" s="309"/>
      <c r="C50431" s="309"/>
      <c r="I50431" s="309"/>
      <c r="J50431" s="309"/>
    </row>
    <row r="50432">
      <c r="B50432" s="309"/>
      <c r="C50432" s="309"/>
      <c r="I50432" s="309"/>
      <c r="J50432" s="309"/>
    </row>
    <row r="50433">
      <c r="B50433" s="309"/>
      <c r="C50433" s="309"/>
      <c r="I50433" s="309"/>
      <c r="J50433" s="309"/>
    </row>
    <row r="50434">
      <c r="B50434" s="309"/>
      <c r="C50434" s="309"/>
      <c r="I50434" s="309"/>
      <c r="J50434" s="309"/>
    </row>
    <row r="50435">
      <c r="B50435" s="309"/>
      <c r="C50435" s="309"/>
      <c r="I50435" s="309"/>
      <c r="J50435" s="309"/>
    </row>
    <row r="50436">
      <c r="B50436" s="309"/>
      <c r="C50436" s="309"/>
      <c r="I50436" s="309"/>
      <c r="J50436" s="309"/>
    </row>
    <row r="50437">
      <c r="B50437" s="309"/>
      <c r="C50437" s="309"/>
      <c r="I50437" s="309"/>
      <c r="J50437" s="309"/>
    </row>
    <row r="50438">
      <c r="B50438" s="309"/>
      <c r="C50438" s="309"/>
      <c r="I50438" s="309"/>
      <c r="J50438" s="309"/>
    </row>
    <row r="50439">
      <c r="B50439" s="309"/>
      <c r="C50439" s="309"/>
      <c r="I50439" s="309"/>
      <c r="J50439" s="309"/>
    </row>
    <row r="50440">
      <c r="B50440" s="309"/>
      <c r="C50440" s="309"/>
      <c r="I50440" s="309"/>
      <c r="J50440" s="309"/>
    </row>
    <row r="50441">
      <c r="B50441" s="309"/>
      <c r="C50441" s="309"/>
      <c r="I50441" s="309"/>
      <c r="J50441" s="309"/>
    </row>
    <row r="50442">
      <c r="B50442" s="309"/>
      <c r="C50442" s="309"/>
      <c r="I50442" s="309"/>
      <c r="J50442" s="309"/>
    </row>
    <row r="50443">
      <c r="B50443" s="309"/>
      <c r="C50443" s="309"/>
      <c r="I50443" s="309"/>
      <c r="J50443" s="309"/>
    </row>
    <row r="50444">
      <c r="B50444" s="309"/>
      <c r="C50444" s="309"/>
      <c r="I50444" s="309"/>
      <c r="J50444" s="309"/>
    </row>
    <row r="50445">
      <c r="B50445" s="309"/>
      <c r="C50445" s="309"/>
      <c r="I50445" s="309"/>
      <c r="J50445" s="309"/>
    </row>
    <row r="50446">
      <c r="B50446" s="309"/>
      <c r="C50446" s="309"/>
      <c r="I50446" s="309"/>
      <c r="J50446" s="309"/>
    </row>
    <row r="50447">
      <c r="B50447" s="309"/>
      <c r="C50447" s="309"/>
      <c r="I50447" s="309"/>
      <c r="J50447" s="309"/>
    </row>
    <row r="50448">
      <c r="B50448" s="309"/>
      <c r="C50448" s="309"/>
      <c r="I50448" s="309"/>
      <c r="J50448" s="309"/>
    </row>
    <row r="50449">
      <c r="B50449" s="309"/>
      <c r="C50449" s="309"/>
      <c r="I50449" s="309"/>
      <c r="J50449" s="309"/>
    </row>
    <row r="50450">
      <c r="B50450" s="309"/>
      <c r="C50450" s="309"/>
      <c r="I50450" s="309"/>
      <c r="J50450" s="309"/>
    </row>
    <row r="50451">
      <c r="B50451" s="309"/>
      <c r="C50451" s="309"/>
      <c r="I50451" s="309"/>
      <c r="J50451" s="309"/>
    </row>
    <row r="50452">
      <c r="B50452" s="309"/>
      <c r="C50452" s="309"/>
      <c r="I50452" s="309"/>
      <c r="J50452" s="309"/>
    </row>
    <row r="50453">
      <c r="B50453" s="309"/>
      <c r="C50453" s="309"/>
      <c r="I50453" s="309"/>
      <c r="J50453" s="309"/>
    </row>
    <row r="50454">
      <c r="B50454" s="309"/>
      <c r="C50454" s="309"/>
      <c r="I50454" s="309"/>
      <c r="J50454" s="309"/>
    </row>
    <row r="50455">
      <c r="B50455" s="309"/>
      <c r="C50455" s="309"/>
      <c r="I50455" s="309"/>
      <c r="J50455" s="309"/>
    </row>
    <row r="50456">
      <c r="B50456" s="309"/>
      <c r="C50456" s="309"/>
      <c r="I50456" s="309"/>
      <c r="J50456" s="309"/>
    </row>
    <row r="50457">
      <c r="B50457" s="309"/>
      <c r="C50457" s="309"/>
      <c r="I50457" s="309"/>
      <c r="J50457" s="309"/>
    </row>
    <row r="50458">
      <c r="B50458" s="309"/>
      <c r="C50458" s="309"/>
      <c r="I50458" s="309"/>
      <c r="J50458" s="309"/>
    </row>
    <row r="50459">
      <c r="B50459" s="309"/>
      <c r="C50459" s="309"/>
      <c r="I50459" s="309"/>
      <c r="J50459" s="309"/>
    </row>
    <row r="50460">
      <c r="B50460" s="309"/>
      <c r="C50460" s="309"/>
      <c r="I50460" s="309"/>
      <c r="J50460" s="309"/>
    </row>
    <row r="50461">
      <c r="B50461" s="309"/>
      <c r="C50461" s="309"/>
      <c r="I50461" s="309"/>
      <c r="J50461" s="309"/>
    </row>
    <row r="50462">
      <c r="B50462" s="309"/>
      <c r="C50462" s="309"/>
      <c r="I50462" s="309"/>
      <c r="J50462" s="309"/>
    </row>
    <row r="50463">
      <c r="B50463" s="309"/>
      <c r="C50463" s="309"/>
      <c r="I50463" s="309"/>
      <c r="J50463" s="309"/>
    </row>
    <row r="50464">
      <c r="B50464" s="309"/>
      <c r="C50464" s="309"/>
      <c r="I50464" s="309"/>
      <c r="J50464" s="309"/>
    </row>
    <row r="50465">
      <c r="B50465" s="309"/>
      <c r="C50465" s="309"/>
      <c r="I50465" s="309"/>
      <c r="J50465" s="309"/>
    </row>
    <row r="50466">
      <c r="B50466" s="309"/>
      <c r="C50466" s="309"/>
      <c r="I50466" s="309"/>
      <c r="J50466" s="309"/>
    </row>
    <row r="50467">
      <c r="B50467" s="309"/>
      <c r="C50467" s="309"/>
      <c r="I50467" s="309"/>
      <c r="J50467" s="309"/>
    </row>
    <row r="50468">
      <c r="B50468" s="309"/>
      <c r="C50468" s="309"/>
      <c r="I50468" s="309"/>
      <c r="J50468" s="309"/>
    </row>
    <row r="50469">
      <c r="B50469" s="309"/>
      <c r="C50469" s="309"/>
      <c r="I50469" s="309"/>
      <c r="J50469" s="309"/>
    </row>
    <row r="50470">
      <c r="B50470" s="309"/>
      <c r="C50470" s="309"/>
      <c r="I50470" s="309"/>
      <c r="J50470" s="309"/>
    </row>
    <row r="50471">
      <c r="B50471" s="309"/>
      <c r="C50471" s="309"/>
      <c r="I50471" s="309"/>
      <c r="J50471" s="309"/>
    </row>
    <row r="50472">
      <c r="B50472" s="309"/>
      <c r="C50472" s="309"/>
      <c r="I50472" s="309"/>
      <c r="J50472" s="309"/>
    </row>
    <row r="50473">
      <c r="B50473" s="309"/>
      <c r="C50473" s="309"/>
      <c r="I50473" s="309"/>
      <c r="J50473" s="309"/>
    </row>
    <row r="50474">
      <c r="B50474" s="309"/>
      <c r="C50474" s="309"/>
      <c r="I50474" s="309"/>
      <c r="J50474" s="309"/>
    </row>
    <row r="50475">
      <c r="B50475" s="309"/>
      <c r="C50475" s="309"/>
      <c r="I50475" s="309"/>
      <c r="J50475" s="309"/>
    </row>
    <row r="50476">
      <c r="B50476" s="309"/>
      <c r="C50476" s="309"/>
      <c r="I50476" s="309"/>
      <c r="J50476" s="309"/>
    </row>
    <row r="50477">
      <c r="B50477" s="309"/>
      <c r="C50477" s="309"/>
      <c r="I50477" s="309"/>
      <c r="J50477" s="309"/>
    </row>
    <row r="50478">
      <c r="B50478" s="309"/>
      <c r="C50478" s="309"/>
      <c r="I50478" s="309"/>
      <c r="J50478" s="309"/>
    </row>
    <row r="50479">
      <c r="B50479" s="309"/>
      <c r="C50479" s="309"/>
      <c r="I50479" s="309"/>
      <c r="J50479" s="309"/>
    </row>
    <row r="50480">
      <c r="B50480" s="309"/>
      <c r="C50480" s="309"/>
      <c r="I50480" s="309"/>
      <c r="J50480" s="309"/>
    </row>
    <row r="50481">
      <c r="B50481" s="309"/>
      <c r="C50481" s="309"/>
      <c r="I50481" s="309"/>
      <c r="J50481" s="309"/>
    </row>
    <row r="50482">
      <c r="B50482" s="309"/>
      <c r="C50482" s="309"/>
      <c r="I50482" s="309"/>
      <c r="J50482" s="309"/>
    </row>
    <row r="50483">
      <c r="B50483" s="309"/>
      <c r="C50483" s="309"/>
      <c r="I50483" s="309"/>
      <c r="J50483" s="309"/>
    </row>
    <row r="50484">
      <c r="B50484" s="309"/>
      <c r="C50484" s="309"/>
      <c r="I50484" s="309"/>
      <c r="J50484" s="309"/>
    </row>
    <row r="50485">
      <c r="B50485" s="309"/>
      <c r="C50485" s="309"/>
      <c r="I50485" s="309"/>
      <c r="J50485" s="309"/>
    </row>
    <row r="50486">
      <c r="B50486" s="309"/>
      <c r="C50486" s="309"/>
      <c r="I50486" s="309"/>
      <c r="J50486" s="309"/>
    </row>
    <row r="50487">
      <c r="B50487" s="309"/>
      <c r="C50487" s="309"/>
      <c r="I50487" s="309"/>
      <c r="J50487" s="309"/>
    </row>
    <row r="50488">
      <c r="B50488" s="309"/>
      <c r="C50488" s="309"/>
      <c r="I50488" s="309"/>
      <c r="J50488" s="309"/>
    </row>
    <row r="50489">
      <c r="B50489" s="309"/>
      <c r="C50489" s="309"/>
      <c r="I50489" s="309"/>
      <c r="J50489" s="309"/>
    </row>
    <row r="50490">
      <c r="B50490" s="309"/>
      <c r="C50490" s="309"/>
      <c r="I50490" s="309"/>
      <c r="J50490" s="309"/>
    </row>
    <row r="50491">
      <c r="B50491" s="309"/>
      <c r="C50491" s="309"/>
      <c r="I50491" s="309"/>
      <c r="J50491" s="309"/>
    </row>
    <row r="50492">
      <c r="B50492" s="309"/>
      <c r="C50492" s="309"/>
      <c r="I50492" s="309"/>
      <c r="J50492" s="309"/>
    </row>
    <row r="50493">
      <c r="B50493" s="309"/>
      <c r="C50493" s="309"/>
      <c r="I50493" s="309"/>
      <c r="J50493" s="309"/>
    </row>
    <row r="50494">
      <c r="B50494" s="309"/>
      <c r="C50494" s="309"/>
      <c r="I50494" s="309"/>
      <c r="J50494" s="309"/>
    </row>
    <row r="50495">
      <c r="B50495" s="309"/>
      <c r="C50495" s="309"/>
      <c r="I50495" s="309"/>
      <c r="J50495" s="309"/>
    </row>
    <row r="50496">
      <c r="B50496" s="309"/>
      <c r="C50496" s="309"/>
      <c r="I50496" s="309"/>
      <c r="J50496" s="309"/>
    </row>
    <row r="50497">
      <c r="B50497" s="309"/>
      <c r="C50497" s="309"/>
      <c r="I50497" s="309"/>
      <c r="J50497" s="309"/>
    </row>
    <row r="50498">
      <c r="B50498" s="309"/>
      <c r="C50498" s="309"/>
      <c r="I50498" s="309"/>
      <c r="J50498" s="309"/>
    </row>
    <row r="50499">
      <c r="B50499" s="309"/>
      <c r="C50499" s="309"/>
      <c r="I50499" s="309"/>
      <c r="J50499" s="309"/>
    </row>
    <row r="50500">
      <c r="B50500" s="309"/>
      <c r="C50500" s="309"/>
      <c r="I50500" s="309"/>
      <c r="J50500" s="309"/>
    </row>
    <row r="50501">
      <c r="B50501" s="309"/>
      <c r="C50501" s="309"/>
      <c r="I50501" s="309"/>
      <c r="J50501" s="309"/>
    </row>
    <row r="50502">
      <c r="B50502" s="309"/>
      <c r="C50502" s="309"/>
      <c r="I50502" s="309"/>
      <c r="J50502" s="309"/>
    </row>
    <row r="50503">
      <c r="B50503" s="309"/>
      <c r="C50503" s="309"/>
      <c r="I50503" s="309"/>
      <c r="J50503" s="309"/>
    </row>
    <row r="50504">
      <c r="B50504" s="309"/>
      <c r="C50504" s="309"/>
      <c r="I50504" s="309"/>
      <c r="J50504" s="309"/>
    </row>
    <row r="50505">
      <c r="B50505" s="309"/>
      <c r="C50505" s="309"/>
      <c r="I50505" s="309"/>
      <c r="J50505" s="309"/>
    </row>
    <row r="50506">
      <c r="B50506" s="309"/>
      <c r="C50506" s="309"/>
      <c r="I50506" s="309"/>
      <c r="J50506" s="309"/>
    </row>
    <row r="50507">
      <c r="B50507" s="309"/>
      <c r="C50507" s="309"/>
      <c r="I50507" s="309"/>
      <c r="J50507" s="309"/>
    </row>
  </sheetData>
  <mergeCells count="1">
    <mergeCell ref="A1:S1"/>
  </mergeCells>
  <dataValidations>
    <dataValidation type="custom" allowBlank="1" showDropDown="1" sqref="K4:K901 P4:P901 R4:R901">
      <formula1>AND(ISNUMBER(K4),(NOT(OR(NOT(ISERROR(DATEVALUE(K4))), AND(ISNUMBER(K4), LEFT(CELL("format", K4))="D")))))</formula1>
    </dataValidation>
    <dataValidation type="list" allowBlank="1" sqref="F4:H901">
      <formula1>#REF!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4.57"/>
    <col customWidth="1" min="3" max="3" width="15.71"/>
    <col customWidth="1" min="4" max="4" width="12.43"/>
    <col customWidth="1" min="5" max="5" width="11.29"/>
    <col customWidth="1" min="6" max="6" width="12.43"/>
    <col customWidth="1" min="7" max="26" width="10.71"/>
  </cols>
  <sheetData>
    <row r="1" ht="14.25" customHeight="1"/>
    <row r="2" ht="14.25" customHeight="1">
      <c r="B2" s="310" t="s">
        <v>672</v>
      </c>
      <c r="C2" s="311">
        <v>2024.0</v>
      </c>
      <c r="D2" s="312">
        <v>1.0</v>
      </c>
      <c r="E2" s="313" t="s">
        <v>673</v>
      </c>
      <c r="F2" s="1"/>
    </row>
    <row r="3" ht="14.25" hidden="1" customHeight="1">
      <c r="B3" s="314" t="str">
        <f>VLOOKUP(C2,RegiPeri,2,FALSE)</f>
        <v>#REF!</v>
      </c>
      <c r="C3" s="314" t="str">
        <f>VLOOKUP(C2,RegiPeri,3,FALSE)</f>
        <v>#REF!</v>
      </c>
      <c r="D3" s="315" t="s">
        <v>673</v>
      </c>
      <c r="E3" s="1"/>
      <c r="F3" s="1"/>
    </row>
    <row r="4" ht="14.25" customHeight="1">
      <c r="B4" s="1"/>
      <c r="C4" s="1"/>
      <c r="D4" s="315"/>
      <c r="E4" s="1"/>
      <c r="F4" s="1"/>
    </row>
    <row r="5" ht="14.25" customHeight="1">
      <c r="B5" s="316" t="s">
        <v>674</v>
      </c>
      <c r="C5" s="317" t="s">
        <v>675</v>
      </c>
      <c r="D5" s="318" t="s">
        <v>46</v>
      </c>
      <c r="E5" s="318" t="s">
        <v>47</v>
      </c>
      <c r="F5" s="319" t="s">
        <v>22</v>
      </c>
    </row>
    <row r="6" ht="14.25" customHeight="1">
      <c r="B6" s="320" t="s">
        <v>676</v>
      </c>
      <c r="C6" s="321">
        <f>COUNTIFS(RegiCotiFech,"&gt;="&amp;B3,RegiCotiFech,"&lt;="&amp;C3,RegiCotiVent,"SI")</f>
        <v>0</v>
      </c>
      <c r="D6" s="322" t="str">
        <f>SUMIFS(RegiCotiNeto,RegiCotiFech,"&gt;="&amp;B3,RegiCotiFech,"&lt;="&amp;C3)</f>
        <v>#N/A</v>
      </c>
      <c r="E6" s="322" t="str">
        <f>SUMIFS(RegiCotiIVA,RegiCotiFech,"&gt;="&amp;B3,RegiCotiFech,"&lt;="&amp;C3)</f>
        <v>#N/A</v>
      </c>
      <c r="F6" s="323" t="str">
        <f>SUMIFS(RegiCotiTota,RegiCotiFech,"&gt;="&amp;B3,RegiCotiFech,"&lt;="&amp;C3)</f>
        <v>#N/A</v>
      </c>
    </row>
    <row r="7" ht="14.25" customHeight="1">
      <c r="B7" s="320" t="s">
        <v>677</v>
      </c>
      <c r="C7" s="321" t="str">
        <f>SUMIFS(RegiDetaCant,RegiDetaFech,"&gt;="&amp;B3,RegiDetaFech,"&lt;="&amp;C3,RegiDetaPlan,"Motor")</f>
        <v>#N/A</v>
      </c>
      <c r="D7" s="324" t="str">
        <f>SUMIFS(RegiDetaSub,RegiDetaFech,"&gt;="&amp;B3,RegiDetaFech,"&lt;="&amp;C3,RegiDetaPlan,"Motor")</f>
        <v>#N/A</v>
      </c>
      <c r="E7" s="324" t="str">
        <f>SUMIFS(RegiDetaIVA,RegiDetaFech,"&gt;="&amp;B3,RegiDetaFech,"&lt;="&amp;C3,RegiDetaPlan,"Motor")</f>
        <v>#N/A</v>
      </c>
      <c r="F7" s="325" t="str">
        <f>SUMIFS(RegiDetaTota,RegiDetaFech,"&gt;="&amp;B3,RegiDetaFech,"&lt;="&amp;C3,RegiDetaPlan,"Motor")</f>
        <v>#N/A</v>
      </c>
    </row>
    <row r="8" ht="14.25" customHeight="1">
      <c r="B8" s="326" t="s">
        <v>678</v>
      </c>
      <c r="C8" s="327" t="str">
        <f>SUMIFS(RegiDetaCant,RegiDetaFech,"&gt;="&amp;B3,RegiDetaFech,"&lt;="&amp;C3)</f>
        <v>#N/A</v>
      </c>
    </row>
    <row r="9" ht="14.25" customHeight="1"/>
    <row r="10" ht="14.25" customHeight="1"/>
    <row r="11" ht="14.25" customHeight="1">
      <c r="B11" s="328" t="s">
        <v>679</v>
      </c>
      <c r="C11" s="329">
        <f>COUNTIFS(RegiCotiFech,"&gt;="&amp;B3,RegiCotiFech,"&lt;="&amp;C3,RegiCotiVent,"SI",RegiCotiDocu,"Factura")</f>
        <v>0</v>
      </c>
      <c r="D11" s="330" t="str">
        <f>SUMIFS(RegiCotiNeto,RegiCotiFech,"&gt;="&amp;B3,RegiCotiFech,"&lt;="&amp;C3,RegiCotiDocu,"Factura")</f>
        <v>#N/A</v>
      </c>
      <c r="E11" s="330" t="str">
        <f>SUMIFS(RegiCotiIVA,RegiCotiFech,"&gt;="&amp;B3,RegiCotiFech,"&lt;="&amp;C3,RegiCotiDocu,"Factura")</f>
        <v>#N/A</v>
      </c>
      <c r="F11" s="331" t="str">
        <f>SUMIFS(RegiCotiTota,RegiCotiFech,"&gt;="&amp;B3,RegiCotiFech,"&lt;="&amp;C3,RegiCotiDocu,"Factura")</f>
        <v>#N/A</v>
      </c>
    </row>
    <row r="12" ht="14.25" customHeight="1">
      <c r="B12" s="332" t="s">
        <v>680</v>
      </c>
      <c r="C12" s="333">
        <f>COUNTIFS(RegiCotiFech,"&gt;="&amp;B3,RegiCotiFech,"&lt;="&amp;C3,RegiCotiVent,"SI",RegiCotiDocu,"SD")</f>
        <v>0</v>
      </c>
      <c r="D12" s="324" t="str">
        <f>SUMIFS(RegiCotiNeto,RegiCotiFech,"&gt;="&amp;B3,RegiCotiFech,"&lt;="&amp;C3,RegiCotiDocu,"SD")</f>
        <v>#N/A</v>
      </c>
      <c r="E12" s="324" t="str">
        <f>SUMIFS(RegiCotiIVA,RegiCotiFech,"&gt;="&amp;B3,RegiCotiFech,"&lt;="&amp;C3,RegiCotiDocu,"SD")</f>
        <v>#N/A</v>
      </c>
      <c r="F12" s="325" t="str">
        <f>SUMIFS(RegiCotiTota,RegiCotiFech,"&gt;="&amp;B3,RegiCotiFech,"&lt;="&amp;C3,RegiCotiDocu,"SD")</f>
        <v>#N/A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C2">
      <formula1>ListPeri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29"/>
    <col customWidth="1" min="3" max="3" width="22.57"/>
    <col customWidth="1" min="4" max="4" width="31.29"/>
  </cols>
  <sheetData>
    <row r="5">
      <c r="B5" s="334" t="s">
        <v>681</v>
      </c>
      <c r="C5" s="334" t="s">
        <v>682</v>
      </c>
      <c r="D5" s="334" t="s">
        <v>683</v>
      </c>
    </row>
    <row r="6">
      <c r="B6" s="335" t="s">
        <v>684</v>
      </c>
      <c r="C6" s="336" t="s">
        <v>685</v>
      </c>
      <c r="D6" s="336" t="s">
        <v>686</v>
      </c>
    </row>
    <row r="7">
      <c r="B7" s="335" t="s">
        <v>687</v>
      </c>
      <c r="C7" s="336" t="s">
        <v>688</v>
      </c>
      <c r="D7" s="336" t="s">
        <v>689</v>
      </c>
    </row>
    <row r="8">
      <c r="B8" s="335" t="s">
        <v>690</v>
      </c>
      <c r="C8" s="336" t="s">
        <v>691</v>
      </c>
      <c r="D8" s="336" t="s">
        <v>692</v>
      </c>
    </row>
    <row r="9">
      <c r="B9" s="335" t="s">
        <v>693</v>
      </c>
      <c r="C9" s="336" t="s">
        <v>694</v>
      </c>
      <c r="D9" s="336" t="s">
        <v>695</v>
      </c>
    </row>
    <row r="10">
      <c r="B10" s="335" t="s">
        <v>696</v>
      </c>
      <c r="C10" s="336" t="s">
        <v>697</v>
      </c>
      <c r="D10" s="336" t="s">
        <v>698</v>
      </c>
    </row>
    <row r="14">
      <c r="A14" s="337" t="s">
        <v>699</v>
      </c>
    </row>
    <row r="15">
      <c r="A15" s="338" t="s">
        <v>22</v>
      </c>
      <c r="B15" s="338" t="s">
        <v>700</v>
      </c>
      <c r="C15" s="338" t="s">
        <v>701</v>
      </c>
    </row>
    <row r="17">
      <c r="A17" s="339">
        <v>1500000.0</v>
      </c>
      <c r="B17" s="339">
        <v>750000.0</v>
      </c>
      <c r="C17" s="339">
        <v>750000.0</v>
      </c>
    </row>
    <row r="19">
      <c r="A19" s="338" t="s">
        <v>702</v>
      </c>
      <c r="B19" s="338" t="s">
        <v>700</v>
      </c>
      <c r="C19" s="338" t="s">
        <v>701</v>
      </c>
      <c r="D19" s="338" t="s">
        <v>703</v>
      </c>
    </row>
    <row r="20">
      <c r="A20" s="188" t="s">
        <v>22</v>
      </c>
    </row>
    <row r="21">
      <c r="A21" s="339">
        <v>2000000.0</v>
      </c>
      <c r="B21" s="339">
        <v>666666.0</v>
      </c>
      <c r="C21" s="339">
        <v>666666.0</v>
      </c>
      <c r="D21" s="339">
        <v>666666.0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57"/>
    <col customWidth="1" min="3" max="3" width="25.71"/>
  </cols>
  <sheetData>
    <row r="1">
      <c r="A1" s="340" t="s">
        <v>704</v>
      </c>
      <c r="B1" s="340" t="s">
        <v>705</v>
      </c>
      <c r="C1" s="340" t="s">
        <v>706</v>
      </c>
      <c r="D1" s="341" t="s">
        <v>707</v>
      </c>
      <c r="E1" s="340" t="s">
        <v>708</v>
      </c>
      <c r="F1" s="340" t="s">
        <v>709</v>
      </c>
      <c r="G1" s="340" t="s">
        <v>710</v>
      </c>
      <c r="H1" s="340" t="s">
        <v>711</v>
      </c>
    </row>
    <row r="2">
      <c r="A2" s="188" t="s">
        <v>52</v>
      </c>
      <c r="B2" s="342" t="s">
        <v>53</v>
      </c>
      <c r="C2" s="343" t="s">
        <v>54</v>
      </c>
      <c r="D2" s="344">
        <v>304518.4</v>
      </c>
      <c r="E2" s="345" t="s">
        <v>712</v>
      </c>
      <c r="F2" s="345" t="s">
        <v>713</v>
      </c>
      <c r="G2" s="345" t="s">
        <v>163</v>
      </c>
      <c r="H2" s="345" t="s">
        <v>713</v>
      </c>
    </row>
    <row r="3">
      <c r="A3" s="188" t="s">
        <v>58</v>
      </c>
      <c r="B3" s="346" t="s">
        <v>53</v>
      </c>
      <c r="C3" s="347" t="s">
        <v>54</v>
      </c>
      <c r="D3" s="348">
        <v>291200.0</v>
      </c>
      <c r="E3" s="345" t="s">
        <v>712</v>
      </c>
      <c r="F3" s="345" t="s">
        <v>713</v>
      </c>
      <c r="G3" s="345" t="s">
        <v>163</v>
      </c>
      <c r="H3" s="345" t="s">
        <v>713</v>
      </c>
    </row>
    <row r="4">
      <c r="A4" s="188" t="s">
        <v>61</v>
      </c>
      <c r="B4" s="342" t="s">
        <v>62</v>
      </c>
      <c r="C4" s="343" t="s">
        <v>63</v>
      </c>
      <c r="D4" s="344">
        <v>216153.6</v>
      </c>
      <c r="E4" s="345" t="s">
        <v>712</v>
      </c>
      <c r="F4" s="345" t="s">
        <v>713</v>
      </c>
      <c r="G4" s="345" t="s">
        <v>163</v>
      </c>
      <c r="H4" s="345" t="s">
        <v>713</v>
      </c>
    </row>
    <row r="5">
      <c r="A5" s="188" t="s">
        <v>65</v>
      </c>
      <c r="B5" s="346" t="s">
        <v>66</v>
      </c>
      <c r="C5" s="347" t="s">
        <v>67</v>
      </c>
      <c r="D5" s="348">
        <v>351984.0</v>
      </c>
      <c r="E5" s="345" t="s">
        <v>712</v>
      </c>
      <c r="F5" s="345" t="s">
        <v>713</v>
      </c>
      <c r="G5" s="345" t="s">
        <v>163</v>
      </c>
      <c r="H5" s="345" t="s">
        <v>713</v>
      </c>
    </row>
    <row r="6">
      <c r="A6" s="188" t="s">
        <v>69</v>
      </c>
      <c r="B6" s="342" t="s">
        <v>70</v>
      </c>
      <c r="C6" s="343" t="s">
        <v>71</v>
      </c>
      <c r="D6" s="344">
        <v>134780.8</v>
      </c>
      <c r="E6" s="345" t="s">
        <v>712</v>
      </c>
      <c r="F6" s="345" t="s">
        <v>713</v>
      </c>
      <c r="G6" s="345" t="s">
        <v>163</v>
      </c>
      <c r="H6" s="345" t="s">
        <v>713</v>
      </c>
    </row>
    <row r="7">
      <c r="A7" s="188" t="s">
        <v>69</v>
      </c>
      <c r="B7" s="346" t="s">
        <v>70</v>
      </c>
      <c r="C7" s="347" t="s">
        <v>73</v>
      </c>
      <c r="D7" s="348">
        <v>187185.6</v>
      </c>
      <c r="E7" s="345" t="s">
        <v>712</v>
      </c>
      <c r="F7" s="345" t="s">
        <v>713</v>
      </c>
      <c r="G7" s="345" t="s">
        <v>163</v>
      </c>
      <c r="H7" s="345" t="s">
        <v>713</v>
      </c>
    </row>
    <row r="8">
      <c r="A8" s="188" t="s">
        <v>75</v>
      </c>
      <c r="B8" s="342" t="s">
        <v>76</v>
      </c>
      <c r="C8" s="343" t="s">
        <v>77</v>
      </c>
      <c r="D8" s="344">
        <v>559280.0</v>
      </c>
      <c r="E8" s="345" t="s">
        <v>712</v>
      </c>
      <c r="F8" s="345" t="s">
        <v>713</v>
      </c>
      <c r="G8" s="345" t="s">
        <v>163</v>
      </c>
      <c r="H8" s="345" t="s">
        <v>713</v>
      </c>
    </row>
    <row r="9">
      <c r="A9" s="188" t="s">
        <v>75</v>
      </c>
      <c r="B9" s="346" t="s">
        <v>76</v>
      </c>
      <c r="C9" s="347" t="s">
        <v>77</v>
      </c>
      <c r="D9" s="348">
        <v>384337.6</v>
      </c>
      <c r="E9" s="345" t="s">
        <v>712</v>
      </c>
      <c r="F9" s="345" t="s">
        <v>713</v>
      </c>
      <c r="G9" s="345" t="s">
        <v>163</v>
      </c>
      <c r="H9" s="345" t="s">
        <v>713</v>
      </c>
    </row>
    <row r="10">
      <c r="A10" s="188" t="s">
        <v>80</v>
      </c>
      <c r="B10" s="342" t="s">
        <v>81</v>
      </c>
      <c r="C10" s="343" t="s">
        <v>82</v>
      </c>
      <c r="D10" s="344">
        <v>101764.8</v>
      </c>
      <c r="E10" s="345" t="s">
        <v>712</v>
      </c>
      <c r="F10" s="345" t="s">
        <v>713</v>
      </c>
      <c r="G10" s="345" t="s">
        <v>163</v>
      </c>
      <c r="H10" s="345" t="s">
        <v>713</v>
      </c>
    </row>
    <row r="11">
      <c r="A11" s="188" t="s">
        <v>80</v>
      </c>
      <c r="B11" s="346" t="s">
        <v>81</v>
      </c>
      <c r="C11" s="347" t="s">
        <v>84</v>
      </c>
      <c r="D11" s="348">
        <v>58240.0</v>
      </c>
      <c r="E11" s="345" t="s">
        <v>712</v>
      </c>
      <c r="F11" s="345" t="s">
        <v>713</v>
      </c>
      <c r="G11" s="345" t="s">
        <v>163</v>
      </c>
      <c r="H11" s="345" t="s">
        <v>713</v>
      </c>
    </row>
    <row r="12">
      <c r="A12" s="188" t="s">
        <v>86</v>
      </c>
      <c r="B12" s="342" t="s">
        <v>87</v>
      </c>
      <c r="C12" s="343" t="s">
        <v>88</v>
      </c>
      <c r="D12" s="344">
        <v>56126.4</v>
      </c>
      <c r="E12" s="345" t="s">
        <v>712</v>
      </c>
      <c r="F12" s="345" t="s">
        <v>713</v>
      </c>
      <c r="G12" s="345" t="s">
        <v>163</v>
      </c>
      <c r="H12" s="345" t="s">
        <v>713</v>
      </c>
    </row>
    <row r="13">
      <c r="A13" s="188" t="s">
        <v>86</v>
      </c>
      <c r="B13" s="346" t="s">
        <v>87</v>
      </c>
      <c r="C13" s="347" t="s">
        <v>90</v>
      </c>
      <c r="D13" s="348">
        <v>37760.0</v>
      </c>
      <c r="E13" s="345" t="s">
        <v>712</v>
      </c>
      <c r="F13" s="345" t="s">
        <v>713</v>
      </c>
      <c r="G13" s="345" t="s">
        <v>163</v>
      </c>
      <c r="H13" s="345" t="s">
        <v>713</v>
      </c>
    </row>
    <row r="14">
      <c r="A14" s="188" t="s">
        <v>92</v>
      </c>
      <c r="B14" s="342" t="s">
        <v>93</v>
      </c>
      <c r="C14" s="343" t="s">
        <v>94</v>
      </c>
      <c r="D14" s="344">
        <v>40588.8</v>
      </c>
      <c r="E14" s="345" t="s">
        <v>712</v>
      </c>
      <c r="F14" s="345" t="s">
        <v>713</v>
      </c>
      <c r="G14" s="345" t="s">
        <v>163</v>
      </c>
      <c r="H14" s="345" t="s">
        <v>713</v>
      </c>
    </row>
    <row r="15">
      <c r="A15" s="188" t="s">
        <v>96</v>
      </c>
      <c r="B15" s="346" t="s">
        <v>93</v>
      </c>
      <c r="C15" s="347" t="s">
        <v>97</v>
      </c>
      <c r="D15" s="348">
        <v>66400.0</v>
      </c>
      <c r="E15" s="345" t="s">
        <v>712</v>
      </c>
      <c r="F15" s="345" t="s">
        <v>713</v>
      </c>
      <c r="G15" s="345" t="s">
        <v>163</v>
      </c>
      <c r="H15" s="345" t="s">
        <v>713</v>
      </c>
    </row>
    <row r="16">
      <c r="A16" s="188" t="s">
        <v>99</v>
      </c>
      <c r="B16" s="342" t="s">
        <v>100</v>
      </c>
      <c r="C16" s="343" t="s">
        <v>101</v>
      </c>
      <c r="D16" s="344">
        <v>249584.0</v>
      </c>
      <c r="E16" s="345" t="s">
        <v>714</v>
      </c>
      <c r="F16" s="345" t="s">
        <v>713</v>
      </c>
      <c r="G16" s="345" t="s">
        <v>163</v>
      </c>
      <c r="H16" s="345" t="s">
        <v>713</v>
      </c>
    </row>
    <row r="17">
      <c r="A17" s="188" t="s">
        <v>104</v>
      </c>
      <c r="B17" s="346" t="s">
        <v>100</v>
      </c>
      <c r="C17" s="347" t="s">
        <v>105</v>
      </c>
      <c r="D17" s="348">
        <v>191984.0</v>
      </c>
      <c r="E17" s="349" t="s">
        <v>715</v>
      </c>
      <c r="F17" s="345" t="s">
        <v>713</v>
      </c>
      <c r="G17" s="345" t="s">
        <v>163</v>
      </c>
      <c r="H17" s="345" t="s">
        <v>713</v>
      </c>
    </row>
    <row r="18">
      <c r="A18" s="188" t="s">
        <v>107</v>
      </c>
      <c r="B18" s="342" t="s">
        <v>108</v>
      </c>
      <c r="C18" s="343" t="s">
        <v>109</v>
      </c>
      <c r="D18" s="344">
        <v>70497.6</v>
      </c>
      <c r="E18" s="345" t="s">
        <v>715</v>
      </c>
      <c r="F18" s="345" t="s">
        <v>713</v>
      </c>
      <c r="G18" s="345" t="s">
        <v>163</v>
      </c>
      <c r="H18" s="345" t="s">
        <v>713</v>
      </c>
    </row>
    <row r="19">
      <c r="A19" s="188" t="s">
        <v>110</v>
      </c>
      <c r="B19" s="346" t="s">
        <v>108</v>
      </c>
      <c r="C19" s="347" t="s">
        <v>111</v>
      </c>
      <c r="D19" s="348">
        <v>83505.6</v>
      </c>
      <c r="E19" s="345" t="s">
        <v>715</v>
      </c>
      <c r="F19" s="345" t="s">
        <v>713</v>
      </c>
      <c r="G19" s="345" t="s">
        <v>163</v>
      </c>
      <c r="H19" s="345" t="s">
        <v>713</v>
      </c>
    </row>
    <row r="20">
      <c r="A20" s="188" t="s">
        <v>112</v>
      </c>
      <c r="B20" s="342" t="s">
        <v>113</v>
      </c>
      <c r="C20" s="343" t="s">
        <v>114</v>
      </c>
      <c r="D20" s="344">
        <v>70304.0</v>
      </c>
      <c r="E20" s="345" t="s">
        <v>715</v>
      </c>
      <c r="F20" s="345" t="s">
        <v>713</v>
      </c>
      <c r="G20" s="345" t="s">
        <v>163</v>
      </c>
      <c r="H20" s="345" t="s">
        <v>713</v>
      </c>
    </row>
    <row r="21">
      <c r="A21" s="188" t="s">
        <v>115</v>
      </c>
      <c r="B21" s="346" t="s">
        <v>113</v>
      </c>
      <c r="C21" s="347" t="s">
        <v>116</v>
      </c>
      <c r="D21" s="348">
        <v>93227.4</v>
      </c>
      <c r="E21" s="345" t="s">
        <v>715</v>
      </c>
      <c r="F21" s="345" t="s">
        <v>713</v>
      </c>
      <c r="G21" s="345" t="s">
        <v>163</v>
      </c>
      <c r="H21" s="345" t="s">
        <v>713</v>
      </c>
    </row>
    <row r="22">
      <c r="A22" s="350">
        <v>304020.0</v>
      </c>
      <c r="B22" s="342" t="s">
        <v>117</v>
      </c>
      <c r="C22" s="343" t="s">
        <v>118</v>
      </c>
      <c r="D22" s="344">
        <v>60784.0</v>
      </c>
      <c r="E22" s="345" t="s">
        <v>715</v>
      </c>
      <c r="F22" s="345" t="s">
        <v>713</v>
      </c>
      <c r="G22" s="345" t="s">
        <v>163</v>
      </c>
      <c r="H22" s="345" t="s">
        <v>713</v>
      </c>
    </row>
    <row r="23">
      <c r="A23" s="350">
        <v>604550.0</v>
      </c>
      <c r="B23" s="346" t="s">
        <v>119</v>
      </c>
      <c r="C23" s="347" t="s">
        <v>120</v>
      </c>
      <c r="D23" s="348">
        <v>150512.0</v>
      </c>
      <c r="E23" s="345" t="s">
        <v>715</v>
      </c>
      <c r="F23" s="345" t="s">
        <v>713</v>
      </c>
      <c r="G23" s="345" t="s">
        <v>163</v>
      </c>
      <c r="H23" s="345" t="s">
        <v>713</v>
      </c>
    </row>
    <row r="24">
      <c r="A24" s="350">
        <v>534020.0</v>
      </c>
      <c r="B24" s="342" t="s">
        <v>119</v>
      </c>
      <c r="C24" s="343" t="s">
        <v>121</v>
      </c>
      <c r="D24" s="344">
        <v>97492.8</v>
      </c>
      <c r="E24" s="345" t="s">
        <v>715</v>
      </c>
      <c r="F24" s="345" t="s">
        <v>713</v>
      </c>
      <c r="G24" s="345" t="s">
        <v>163</v>
      </c>
      <c r="H24" s="345" t="s">
        <v>713</v>
      </c>
    </row>
    <row r="25">
      <c r="A25" s="350">
        <v>534060.0</v>
      </c>
      <c r="B25" s="346" t="s">
        <v>119</v>
      </c>
      <c r="C25" s="347" t="s">
        <v>122</v>
      </c>
      <c r="D25" s="348">
        <v>163440.0</v>
      </c>
      <c r="E25" s="345" t="s">
        <v>715</v>
      </c>
      <c r="F25" s="345" t="s">
        <v>713</v>
      </c>
      <c r="G25" s="345" t="s">
        <v>163</v>
      </c>
      <c r="H25" s="345" t="s">
        <v>713</v>
      </c>
    </row>
    <row r="26">
      <c r="A26" s="188" t="s">
        <v>123</v>
      </c>
      <c r="B26" s="342" t="s">
        <v>124</v>
      </c>
      <c r="C26" s="343" t="s">
        <v>125</v>
      </c>
      <c r="D26" s="344">
        <v>24800.0</v>
      </c>
      <c r="E26" s="345" t="s">
        <v>715</v>
      </c>
      <c r="F26" s="345" t="s">
        <v>713</v>
      </c>
      <c r="G26" s="345" t="s">
        <v>163</v>
      </c>
      <c r="H26" s="345" t="s">
        <v>713</v>
      </c>
    </row>
    <row r="27">
      <c r="A27" s="188" t="s">
        <v>123</v>
      </c>
      <c r="B27" s="346" t="s">
        <v>124</v>
      </c>
      <c r="C27" s="347" t="s">
        <v>125</v>
      </c>
      <c r="D27" s="348">
        <v>58072.0</v>
      </c>
      <c r="E27" s="345" t="s">
        <v>715</v>
      </c>
      <c r="F27" s="345" t="s">
        <v>713</v>
      </c>
      <c r="G27" s="345" t="s">
        <v>163</v>
      </c>
      <c r="H27" s="345" t="s">
        <v>713</v>
      </c>
    </row>
    <row r="28">
      <c r="A28" s="188" t="s">
        <v>126</v>
      </c>
      <c r="B28" s="342" t="s">
        <v>127</v>
      </c>
      <c r="C28" s="343" t="s">
        <v>128</v>
      </c>
      <c r="D28" s="344">
        <v>3689.6</v>
      </c>
      <c r="E28" s="345" t="s">
        <v>715</v>
      </c>
      <c r="F28" s="345" t="s">
        <v>713</v>
      </c>
      <c r="G28" s="345" t="s">
        <v>163</v>
      </c>
      <c r="H28" s="345" t="s">
        <v>713</v>
      </c>
    </row>
    <row r="29">
      <c r="A29" s="188" t="s">
        <v>129</v>
      </c>
      <c r="B29" s="346" t="s">
        <v>130</v>
      </c>
      <c r="C29" s="347" t="s">
        <v>131</v>
      </c>
      <c r="D29" s="348">
        <v>216929.6</v>
      </c>
      <c r="E29" s="345" t="s">
        <v>715</v>
      </c>
      <c r="F29" s="345" t="s">
        <v>713</v>
      </c>
      <c r="G29" s="345" t="s">
        <v>163</v>
      </c>
      <c r="H29" s="345" t="s">
        <v>713</v>
      </c>
    </row>
    <row r="30">
      <c r="A30" s="188" t="s">
        <v>132</v>
      </c>
      <c r="B30" s="342" t="s">
        <v>133</v>
      </c>
      <c r="C30" s="343" t="s">
        <v>134</v>
      </c>
      <c r="D30" s="344">
        <v>76518.4</v>
      </c>
      <c r="E30" s="345" t="s">
        <v>715</v>
      </c>
      <c r="F30" s="345" t="s">
        <v>713</v>
      </c>
      <c r="G30" s="345" t="s">
        <v>163</v>
      </c>
      <c r="H30" s="345" t="s">
        <v>713</v>
      </c>
    </row>
    <row r="31">
      <c r="A31" s="188" t="s">
        <v>135</v>
      </c>
      <c r="B31" s="346" t="s">
        <v>136</v>
      </c>
      <c r="C31" s="351" t="s">
        <v>137</v>
      </c>
      <c r="D31" s="348">
        <v>12744.0</v>
      </c>
      <c r="E31" s="345" t="s">
        <v>715</v>
      </c>
      <c r="F31" s="345" t="s">
        <v>713</v>
      </c>
      <c r="G31" s="345" t="s">
        <v>163</v>
      </c>
      <c r="H31" s="345" t="s">
        <v>713</v>
      </c>
    </row>
    <row r="32">
      <c r="A32" s="188" t="s">
        <v>141</v>
      </c>
      <c r="B32" s="342" t="s">
        <v>142</v>
      </c>
      <c r="C32" s="342" t="s">
        <v>143</v>
      </c>
      <c r="D32" s="344">
        <v>3920.0</v>
      </c>
      <c r="E32" s="345" t="s">
        <v>715</v>
      </c>
      <c r="F32" s="345" t="s">
        <v>713</v>
      </c>
      <c r="G32" s="345" t="s">
        <v>163</v>
      </c>
      <c r="H32" s="345" t="s">
        <v>713</v>
      </c>
    </row>
    <row r="33">
      <c r="A33" s="188" t="s">
        <v>153</v>
      </c>
      <c r="B33" s="342" t="s">
        <v>154</v>
      </c>
      <c r="C33" s="352" t="s">
        <v>155</v>
      </c>
      <c r="D33" s="344">
        <v>1022428.8</v>
      </c>
      <c r="E33" s="345" t="s">
        <v>715</v>
      </c>
      <c r="F33" s="345" t="s">
        <v>713</v>
      </c>
      <c r="G33" s="345" t="s">
        <v>159</v>
      </c>
      <c r="H33" s="345" t="s">
        <v>713</v>
      </c>
    </row>
    <row r="34">
      <c r="A34" s="188" t="s">
        <v>153</v>
      </c>
      <c r="B34" s="346" t="s">
        <v>154</v>
      </c>
      <c r="C34" s="347" t="s">
        <v>155</v>
      </c>
      <c r="D34" s="348">
        <v>1024332.8</v>
      </c>
      <c r="E34" s="345" t="s">
        <v>715</v>
      </c>
      <c r="F34" s="345" t="s">
        <v>713</v>
      </c>
      <c r="G34" s="345" t="s">
        <v>159</v>
      </c>
      <c r="H34" s="345" t="s">
        <v>713</v>
      </c>
    </row>
    <row r="35">
      <c r="A35" s="188" t="s">
        <v>161</v>
      </c>
      <c r="B35" s="342" t="s">
        <v>154</v>
      </c>
      <c r="C35" s="353" t="s">
        <v>162</v>
      </c>
      <c r="D35" s="354">
        <v>1120000.0</v>
      </c>
      <c r="E35" s="355" t="s">
        <v>716</v>
      </c>
      <c r="F35" s="345" t="s">
        <v>713</v>
      </c>
      <c r="G35" s="345" t="s">
        <v>159</v>
      </c>
      <c r="H35" s="345" t="s">
        <v>713</v>
      </c>
    </row>
    <row r="36">
      <c r="A36" s="188" t="s">
        <v>161</v>
      </c>
      <c r="B36" s="346" t="s">
        <v>154</v>
      </c>
      <c r="C36" s="356" t="s">
        <v>162</v>
      </c>
      <c r="D36" s="357">
        <v>1102281.6</v>
      </c>
      <c r="E36" s="355" t="s">
        <v>716</v>
      </c>
      <c r="F36" s="345" t="s">
        <v>713</v>
      </c>
      <c r="G36" s="345" t="s">
        <v>159</v>
      </c>
      <c r="H36" s="345" t="s">
        <v>713</v>
      </c>
    </row>
    <row r="37">
      <c r="A37" s="188" t="s">
        <v>164</v>
      </c>
      <c r="B37" s="342" t="s">
        <v>154</v>
      </c>
      <c r="C37" s="343" t="s">
        <v>165</v>
      </c>
      <c r="D37" s="344">
        <v>1129004.8</v>
      </c>
      <c r="E37" s="345" t="s">
        <v>715</v>
      </c>
      <c r="F37" s="345" t="s">
        <v>713</v>
      </c>
      <c r="G37" s="345" t="s">
        <v>159</v>
      </c>
      <c r="H37" s="345" t="s">
        <v>713</v>
      </c>
    </row>
    <row r="38">
      <c r="A38" s="188" t="s">
        <v>166</v>
      </c>
      <c r="B38" s="346" t="s">
        <v>154</v>
      </c>
      <c r="C38" s="358" t="s">
        <v>167</v>
      </c>
      <c r="D38" s="348">
        <v>1201289.6</v>
      </c>
      <c r="E38" s="349" t="s">
        <v>716</v>
      </c>
      <c r="F38" s="345" t="s">
        <v>713</v>
      </c>
      <c r="G38" s="345" t="s">
        <v>159</v>
      </c>
      <c r="H38" s="345" t="s">
        <v>713</v>
      </c>
    </row>
    <row r="39">
      <c r="A39" s="188" t="s">
        <v>166</v>
      </c>
      <c r="B39" s="342" t="s">
        <v>154</v>
      </c>
      <c r="C39" s="359" t="s">
        <v>167</v>
      </c>
      <c r="D39" s="344">
        <v>1207003.2</v>
      </c>
      <c r="E39" s="345" t="s">
        <v>716</v>
      </c>
      <c r="F39" s="345" t="s">
        <v>713</v>
      </c>
      <c r="G39" s="345" t="s">
        <v>159</v>
      </c>
      <c r="H39" s="345" t="s">
        <v>713</v>
      </c>
    </row>
    <row r="40">
      <c r="A40" s="188" t="s">
        <v>169</v>
      </c>
      <c r="B40" s="342" t="s">
        <v>154</v>
      </c>
      <c r="C40" s="359" t="s">
        <v>170</v>
      </c>
      <c r="D40" s="344">
        <v>1220365.5</v>
      </c>
      <c r="E40" s="345" t="s">
        <v>716</v>
      </c>
      <c r="F40" s="345" t="s">
        <v>713</v>
      </c>
      <c r="G40" s="345" t="s">
        <v>159</v>
      </c>
      <c r="H40" s="345" t="s">
        <v>713</v>
      </c>
    </row>
    <row r="41">
      <c r="A41" s="188" t="s">
        <v>171</v>
      </c>
      <c r="B41" s="346" t="s">
        <v>154</v>
      </c>
      <c r="C41" s="358" t="s">
        <v>172</v>
      </c>
      <c r="D41" s="348">
        <v>831912.0</v>
      </c>
      <c r="E41" s="349" t="s">
        <v>716</v>
      </c>
      <c r="F41" s="345" t="s">
        <v>713</v>
      </c>
      <c r="G41" s="345" t="s">
        <v>159</v>
      </c>
      <c r="H41" s="345" t="s">
        <v>713</v>
      </c>
    </row>
    <row r="42">
      <c r="A42" s="188" t="s">
        <v>173</v>
      </c>
      <c r="B42" s="342" t="s">
        <v>154</v>
      </c>
      <c r="C42" s="359" t="s">
        <v>172</v>
      </c>
      <c r="D42" s="344">
        <v>830048.0</v>
      </c>
      <c r="E42" s="345" t="s">
        <v>716</v>
      </c>
      <c r="F42" s="345" t="s">
        <v>713</v>
      </c>
      <c r="G42" s="345" t="s">
        <v>159</v>
      </c>
      <c r="H42" s="345" t="s">
        <v>713</v>
      </c>
    </row>
    <row r="43">
      <c r="A43" s="188" t="s">
        <v>175</v>
      </c>
      <c r="B43" s="342" t="s">
        <v>154</v>
      </c>
      <c r="C43" s="359" t="s">
        <v>176</v>
      </c>
      <c r="D43" s="344">
        <v>925248.0</v>
      </c>
      <c r="E43" s="345" t="s">
        <v>716</v>
      </c>
      <c r="F43" s="345" t="s">
        <v>713</v>
      </c>
      <c r="G43" s="345" t="s">
        <v>159</v>
      </c>
      <c r="H43" s="345" t="s">
        <v>713</v>
      </c>
    </row>
    <row r="44">
      <c r="A44" s="188" t="s">
        <v>178</v>
      </c>
      <c r="B44" s="346" t="s">
        <v>179</v>
      </c>
      <c r="C44" s="347" t="s">
        <v>180</v>
      </c>
      <c r="D44" s="348">
        <v>12356.8</v>
      </c>
      <c r="E44" s="349" t="s">
        <v>715</v>
      </c>
      <c r="F44" s="345" t="s">
        <v>713</v>
      </c>
      <c r="G44" s="345" t="s">
        <v>159</v>
      </c>
      <c r="H44" s="345" t="s">
        <v>713</v>
      </c>
    </row>
    <row r="45">
      <c r="A45" s="188" t="s">
        <v>178</v>
      </c>
      <c r="B45" s="342" t="s">
        <v>179</v>
      </c>
      <c r="C45" s="343" t="s">
        <v>180</v>
      </c>
      <c r="D45" s="344">
        <v>12356.8</v>
      </c>
      <c r="E45" s="349" t="s">
        <v>715</v>
      </c>
      <c r="F45" s="345" t="s">
        <v>713</v>
      </c>
      <c r="G45" s="345" t="s">
        <v>159</v>
      </c>
      <c r="H45" s="345" t="s">
        <v>713</v>
      </c>
    </row>
    <row r="46">
      <c r="A46" s="188" t="s">
        <v>183</v>
      </c>
      <c r="B46" s="346" t="s">
        <v>179</v>
      </c>
      <c r="C46" s="347" t="s">
        <v>184</v>
      </c>
      <c r="D46" s="348">
        <v>13308.8</v>
      </c>
      <c r="E46" s="349" t="s">
        <v>715</v>
      </c>
      <c r="F46" s="345" t="s">
        <v>713</v>
      </c>
      <c r="G46" s="345" t="s">
        <v>159</v>
      </c>
      <c r="H46" s="345" t="s">
        <v>713</v>
      </c>
    </row>
    <row r="47">
      <c r="A47" s="188" t="s">
        <v>183</v>
      </c>
      <c r="B47" s="342" t="s">
        <v>179</v>
      </c>
      <c r="C47" s="343" t="s">
        <v>184</v>
      </c>
      <c r="D47" s="344">
        <v>13308.8</v>
      </c>
      <c r="E47" s="349" t="s">
        <v>715</v>
      </c>
      <c r="F47" s="345" t="s">
        <v>713</v>
      </c>
      <c r="G47" s="345" t="s">
        <v>159</v>
      </c>
      <c r="H47" s="345" t="s">
        <v>713</v>
      </c>
    </row>
    <row r="48">
      <c r="A48" s="188" t="s">
        <v>187</v>
      </c>
      <c r="B48" s="346" t="s">
        <v>188</v>
      </c>
      <c r="C48" s="347" t="s">
        <v>189</v>
      </c>
      <c r="D48" s="348">
        <v>95180.8</v>
      </c>
      <c r="E48" s="349" t="s">
        <v>714</v>
      </c>
      <c r="F48" s="345" t="s">
        <v>713</v>
      </c>
      <c r="G48" s="345" t="s">
        <v>159</v>
      </c>
      <c r="H48" s="345" t="s">
        <v>713</v>
      </c>
    </row>
    <row r="49">
      <c r="A49" s="188" t="s">
        <v>187</v>
      </c>
      <c r="B49" s="342" t="s">
        <v>188</v>
      </c>
      <c r="C49" s="343" t="s">
        <v>189</v>
      </c>
      <c r="D49" s="344">
        <v>95180.8</v>
      </c>
      <c r="E49" s="349" t="s">
        <v>714</v>
      </c>
      <c r="F49" s="345" t="s">
        <v>713</v>
      </c>
      <c r="G49" s="345" t="s">
        <v>159</v>
      </c>
      <c r="H49" s="345" t="s">
        <v>713</v>
      </c>
    </row>
    <row r="50">
      <c r="A50" s="188" t="s">
        <v>190</v>
      </c>
      <c r="B50" s="346" t="s">
        <v>191</v>
      </c>
      <c r="C50" s="347" t="s">
        <v>192</v>
      </c>
      <c r="D50" s="348">
        <v>16934.7</v>
      </c>
      <c r="E50" s="349" t="s">
        <v>715</v>
      </c>
      <c r="F50" s="345" t="s">
        <v>713</v>
      </c>
      <c r="G50" s="345" t="s">
        <v>159</v>
      </c>
      <c r="H50" s="345" t="s">
        <v>713</v>
      </c>
    </row>
    <row r="51">
      <c r="A51" s="188" t="s">
        <v>190</v>
      </c>
      <c r="B51" s="342" t="s">
        <v>191</v>
      </c>
      <c r="C51" s="343" t="s">
        <v>192</v>
      </c>
      <c r="D51" s="344">
        <v>14260.8</v>
      </c>
      <c r="E51" s="349" t="s">
        <v>715</v>
      </c>
      <c r="F51" s="345" t="s">
        <v>713</v>
      </c>
      <c r="G51" s="345" t="s">
        <v>159</v>
      </c>
      <c r="H51" s="345" t="s">
        <v>713</v>
      </c>
    </row>
    <row r="52">
      <c r="A52" s="188" t="s">
        <v>193</v>
      </c>
      <c r="B52" s="346" t="s">
        <v>194</v>
      </c>
      <c r="C52" s="347" t="s">
        <v>195</v>
      </c>
      <c r="D52" s="348">
        <v>242760.0</v>
      </c>
      <c r="E52" s="349" t="s">
        <v>715</v>
      </c>
      <c r="F52" s="345" t="s">
        <v>713</v>
      </c>
      <c r="G52" s="345" t="s">
        <v>156</v>
      </c>
      <c r="H52" s="345" t="s">
        <v>713</v>
      </c>
    </row>
    <row r="53">
      <c r="A53" s="188" t="s">
        <v>196</v>
      </c>
      <c r="B53" s="342" t="s">
        <v>197</v>
      </c>
      <c r="C53" s="343" t="s">
        <v>198</v>
      </c>
      <c r="D53" s="344">
        <v>51388.8</v>
      </c>
      <c r="E53" s="345" t="s">
        <v>715</v>
      </c>
      <c r="F53" s="345" t="s">
        <v>713</v>
      </c>
      <c r="G53" s="345" t="s">
        <v>156</v>
      </c>
      <c r="H53" s="345" t="s">
        <v>713</v>
      </c>
    </row>
    <row r="54">
      <c r="A54" s="188" t="s">
        <v>199</v>
      </c>
      <c r="B54" s="346" t="s">
        <v>197</v>
      </c>
      <c r="C54" s="347" t="s">
        <v>198</v>
      </c>
      <c r="D54" s="348">
        <v>90688.0</v>
      </c>
      <c r="E54" s="349" t="s">
        <v>715</v>
      </c>
      <c r="F54" s="345" t="s">
        <v>713</v>
      </c>
      <c r="G54" s="345" t="s">
        <v>717</v>
      </c>
      <c r="H54" s="345" t="s">
        <v>713</v>
      </c>
    </row>
    <row r="55">
      <c r="A55" s="188" t="s">
        <v>200</v>
      </c>
      <c r="B55" s="342" t="s">
        <v>201</v>
      </c>
      <c r="C55" s="343" t="s">
        <v>202</v>
      </c>
      <c r="D55" s="344">
        <v>26718.4</v>
      </c>
      <c r="E55" s="345" t="s">
        <v>716</v>
      </c>
      <c r="F55" s="345" t="s">
        <v>713</v>
      </c>
      <c r="G55" s="345" t="s">
        <v>717</v>
      </c>
      <c r="H55" s="345" t="s">
        <v>713</v>
      </c>
    </row>
    <row r="56">
      <c r="A56" s="188" t="s">
        <v>203</v>
      </c>
      <c r="B56" s="346" t="s">
        <v>204</v>
      </c>
      <c r="C56" s="347" t="s">
        <v>205</v>
      </c>
      <c r="D56" s="348">
        <v>12154.8</v>
      </c>
      <c r="E56" s="349" t="s">
        <v>715</v>
      </c>
      <c r="F56" s="345" t="s">
        <v>713</v>
      </c>
      <c r="G56" s="345" t="s">
        <v>717</v>
      </c>
      <c r="H56" s="345" t="s">
        <v>713</v>
      </c>
    </row>
    <row r="57">
      <c r="A57" s="188" t="s">
        <v>203</v>
      </c>
      <c r="B57" s="342" t="s">
        <v>204</v>
      </c>
      <c r="C57" s="343" t="s">
        <v>205</v>
      </c>
      <c r="D57" s="344">
        <v>8633.1</v>
      </c>
      <c r="E57" s="345" t="s">
        <v>715</v>
      </c>
      <c r="F57" s="345" t="s">
        <v>713</v>
      </c>
      <c r="G57" s="345" t="s">
        <v>717</v>
      </c>
      <c r="H57" s="345" t="s">
        <v>713</v>
      </c>
    </row>
    <row r="58">
      <c r="A58" s="188" t="s">
        <v>206</v>
      </c>
      <c r="B58" s="346" t="s">
        <v>204</v>
      </c>
      <c r="C58" s="347" t="s">
        <v>207</v>
      </c>
      <c r="D58" s="348">
        <v>19355.7</v>
      </c>
      <c r="E58" s="349" t="s">
        <v>715</v>
      </c>
      <c r="F58" s="345" t="s">
        <v>713</v>
      </c>
      <c r="G58" s="345" t="s">
        <v>717</v>
      </c>
      <c r="H58" s="345" t="s">
        <v>713</v>
      </c>
    </row>
    <row r="59">
      <c r="A59" s="188" t="s">
        <v>208</v>
      </c>
      <c r="B59" s="349" t="s">
        <v>209</v>
      </c>
      <c r="C59" s="349" t="s">
        <v>210</v>
      </c>
      <c r="D59" s="348">
        <v>105000.0</v>
      </c>
      <c r="E59" s="349" t="s">
        <v>718</v>
      </c>
      <c r="F59" s="345" t="s">
        <v>713</v>
      </c>
      <c r="G59" s="345" t="s">
        <v>717</v>
      </c>
      <c r="H59" s="345" t="s">
        <v>713</v>
      </c>
    </row>
    <row r="60">
      <c r="A60" s="188" t="s">
        <v>211</v>
      </c>
      <c r="B60" s="342" t="s">
        <v>212</v>
      </c>
      <c r="C60" s="343" t="s">
        <v>213</v>
      </c>
      <c r="D60" s="344">
        <v>25714.5</v>
      </c>
      <c r="E60" s="345" t="s">
        <v>715</v>
      </c>
      <c r="F60" s="345" t="s">
        <v>713</v>
      </c>
      <c r="G60" s="345" t="s">
        <v>717</v>
      </c>
      <c r="H60" s="345" t="s">
        <v>713</v>
      </c>
    </row>
    <row r="61">
      <c r="A61" s="188" t="s">
        <v>211</v>
      </c>
      <c r="B61" s="346" t="s">
        <v>212</v>
      </c>
      <c r="C61" s="351" t="s">
        <v>213</v>
      </c>
      <c r="D61" s="348">
        <v>41972.7</v>
      </c>
      <c r="E61" s="349" t="s">
        <v>715</v>
      </c>
      <c r="F61" s="345" t="s">
        <v>713</v>
      </c>
      <c r="G61" s="345" t="s">
        <v>717</v>
      </c>
      <c r="H61" s="345" t="s">
        <v>713</v>
      </c>
    </row>
    <row r="62">
      <c r="A62" s="188" t="s">
        <v>215</v>
      </c>
      <c r="B62" s="188" t="s">
        <v>215</v>
      </c>
      <c r="C62" s="360" t="s">
        <v>217</v>
      </c>
      <c r="D62" s="354">
        <v>72972.7</v>
      </c>
      <c r="E62" s="355" t="s">
        <v>715</v>
      </c>
      <c r="F62" s="345" t="s">
        <v>713</v>
      </c>
      <c r="G62" s="345" t="s">
        <v>717</v>
      </c>
      <c r="H62" s="345" t="s">
        <v>713</v>
      </c>
    </row>
    <row r="63">
      <c r="A63" s="188" t="s">
        <v>218</v>
      </c>
      <c r="B63" s="188" t="s">
        <v>218</v>
      </c>
      <c r="C63" s="361" t="s">
        <v>219</v>
      </c>
      <c r="D63" s="357">
        <v>77318.8</v>
      </c>
      <c r="E63" s="362" t="s">
        <v>715</v>
      </c>
      <c r="F63" s="345" t="s">
        <v>713</v>
      </c>
      <c r="G63" s="345" t="s">
        <v>163</v>
      </c>
      <c r="H63" s="345" t="s">
        <v>713</v>
      </c>
    </row>
    <row r="64">
      <c r="A64" s="188" t="s">
        <v>220</v>
      </c>
      <c r="B64" s="188" t="s">
        <v>220</v>
      </c>
      <c r="C64" s="353" t="s">
        <v>222</v>
      </c>
      <c r="D64" s="354">
        <v>59589.2</v>
      </c>
      <c r="E64" s="355" t="s">
        <v>715</v>
      </c>
      <c r="F64" s="345" t="s">
        <v>713</v>
      </c>
      <c r="G64" s="345" t="s">
        <v>163</v>
      </c>
      <c r="H64" s="345" t="s">
        <v>713</v>
      </c>
    </row>
    <row r="65">
      <c r="A65" s="188" t="s">
        <v>223</v>
      </c>
      <c r="B65" s="188" t="s">
        <v>223</v>
      </c>
      <c r="C65" s="363" t="s">
        <v>225</v>
      </c>
      <c r="D65" s="357">
        <v>11840.0</v>
      </c>
      <c r="E65" s="362" t="s">
        <v>715</v>
      </c>
      <c r="F65" s="345" t="s">
        <v>713</v>
      </c>
      <c r="G65" s="345" t="s">
        <v>163</v>
      </c>
      <c r="H65" s="345" t="s">
        <v>713</v>
      </c>
    </row>
    <row r="66">
      <c r="A66" s="188" t="s">
        <v>227</v>
      </c>
      <c r="B66" s="188" t="s">
        <v>227</v>
      </c>
      <c r="C66" s="364" t="s">
        <v>229</v>
      </c>
      <c r="D66" s="354">
        <v>24762.0</v>
      </c>
      <c r="E66" s="355" t="s">
        <v>715</v>
      </c>
      <c r="F66" s="345" t="s">
        <v>713</v>
      </c>
      <c r="G66" s="345" t="s">
        <v>163</v>
      </c>
      <c r="H66" s="345" t="s">
        <v>713</v>
      </c>
    </row>
    <row r="67">
      <c r="A67" s="188" t="s">
        <v>230</v>
      </c>
      <c r="B67" s="188" t="s">
        <v>230</v>
      </c>
      <c r="C67" s="363" t="s">
        <v>232</v>
      </c>
      <c r="D67" s="357">
        <v>143422.5</v>
      </c>
      <c r="E67" s="362" t="s">
        <v>715</v>
      </c>
      <c r="F67" s="345" t="s">
        <v>713</v>
      </c>
      <c r="G67" s="345" t="s">
        <v>163</v>
      </c>
      <c r="H67" s="345" t="s">
        <v>713</v>
      </c>
    </row>
    <row r="68">
      <c r="A68" s="188" t="s">
        <v>233</v>
      </c>
      <c r="B68" s="188" t="s">
        <v>233</v>
      </c>
      <c r="C68" s="364" t="s">
        <v>234</v>
      </c>
      <c r="D68" s="354">
        <v>121745.0</v>
      </c>
      <c r="E68" s="362" t="s">
        <v>715</v>
      </c>
      <c r="F68" s="345" t="s">
        <v>713</v>
      </c>
      <c r="G68" s="345" t="s">
        <v>163</v>
      </c>
      <c r="H68" s="345" t="s">
        <v>713</v>
      </c>
    </row>
    <row r="69">
      <c r="A69" s="188" t="s">
        <v>235</v>
      </c>
      <c r="B69" s="188" t="s">
        <v>235</v>
      </c>
      <c r="C69" s="364" t="s">
        <v>237</v>
      </c>
      <c r="D69" s="354">
        <v>150000.0</v>
      </c>
      <c r="E69" s="362" t="s">
        <v>715</v>
      </c>
      <c r="F69" s="345" t="s">
        <v>713</v>
      </c>
      <c r="G69" s="345" t="s">
        <v>163</v>
      </c>
      <c r="H69" s="345" t="s">
        <v>713</v>
      </c>
    </row>
    <row r="70">
      <c r="A70" s="188" t="s">
        <v>238</v>
      </c>
      <c r="B70" s="188" t="s">
        <v>238</v>
      </c>
      <c r="C70" s="355" t="s">
        <v>240</v>
      </c>
      <c r="D70" s="365">
        <v>180000.0</v>
      </c>
      <c r="E70" s="362" t="s">
        <v>715</v>
      </c>
      <c r="F70" s="345" t="s">
        <v>713</v>
      </c>
      <c r="G70" s="345" t="s">
        <v>719</v>
      </c>
      <c r="H70" s="345" t="s">
        <v>713</v>
      </c>
    </row>
    <row r="71">
      <c r="A71" s="188" t="s">
        <v>242</v>
      </c>
      <c r="B71" s="188" t="s">
        <v>242</v>
      </c>
      <c r="C71" s="355" t="s">
        <v>243</v>
      </c>
      <c r="D71" s="354">
        <v>238000.0</v>
      </c>
      <c r="E71" s="362" t="s">
        <v>715</v>
      </c>
      <c r="F71" s="345" t="s">
        <v>713</v>
      </c>
      <c r="G71" s="345" t="s">
        <v>719</v>
      </c>
      <c r="H71" s="345" t="s">
        <v>713</v>
      </c>
    </row>
    <row r="72">
      <c r="A72" s="188" t="s">
        <v>244</v>
      </c>
      <c r="B72" s="188" t="s">
        <v>244</v>
      </c>
      <c r="C72" s="355" t="s">
        <v>245</v>
      </c>
      <c r="D72" s="354">
        <v>165000.0</v>
      </c>
      <c r="E72" s="362" t="s">
        <v>715</v>
      </c>
      <c r="F72" s="345" t="s">
        <v>713</v>
      </c>
      <c r="G72" s="345" t="s">
        <v>719</v>
      </c>
      <c r="H72" s="345" t="s">
        <v>713</v>
      </c>
    </row>
    <row r="73">
      <c r="A73" s="188" t="s">
        <v>246</v>
      </c>
      <c r="B73" s="188" t="s">
        <v>246</v>
      </c>
      <c r="C73" s="366" t="s">
        <v>248</v>
      </c>
      <c r="D73" s="357">
        <v>101574.0</v>
      </c>
      <c r="E73" s="362" t="s">
        <v>715</v>
      </c>
      <c r="F73" s="345" t="s">
        <v>713</v>
      </c>
      <c r="G73" s="345" t="s">
        <v>720</v>
      </c>
      <c r="H73" s="345" t="s">
        <v>713</v>
      </c>
    </row>
    <row r="74">
      <c r="A74" s="188" t="s">
        <v>250</v>
      </c>
      <c r="B74" s="188" t="s">
        <v>250</v>
      </c>
      <c r="C74" s="343" t="s">
        <v>252</v>
      </c>
      <c r="D74" s="344">
        <v>160000.0</v>
      </c>
      <c r="E74" s="362" t="s">
        <v>715</v>
      </c>
      <c r="F74" s="362" t="s">
        <v>721</v>
      </c>
      <c r="G74" s="362" t="s">
        <v>181</v>
      </c>
      <c r="H74" s="362" t="s">
        <v>721</v>
      </c>
    </row>
    <row r="75">
      <c r="A75" s="188" t="s">
        <v>253</v>
      </c>
      <c r="B75" s="188" t="s">
        <v>253</v>
      </c>
      <c r="C75" s="345" t="s">
        <v>254</v>
      </c>
      <c r="D75" s="344">
        <v>58012.0</v>
      </c>
      <c r="E75" s="362" t="s">
        <v>715</v>
      </c>
      <c r="F75" s="362" t="s">
        <v>721</v>
      </c>
      <c r="G75" s="362" t="s">
        <v>181</v>
      </c>
      <c r="H75" s="362" t="s">
        <v>721</v>
      </c>
    </row>
    <row r="76">
      <c r="A76" s="188" t="s">
        <v>255</v>
      </c>
      <c r="B76" s="188" t="s">
        <v>255</v>
      </c>
      <c r="C76" s="345" t="s">
        <v>256</v>
      </c>
      <c r="D76" s="344">
        <v>47600.0</v>
      </c>
      <c r="E76" s="362" t="s">
        <v>715</v>
      </c>
      <c r="F76" s="362" t="s">
        <v>721</v>
      </c>
      <c r="G76" s="362" t="s">
        <v>181</v>
      </c>
      <c r="H76" s="362" t="s">
        <v>721</v>
      </c>
    </row>
    <row r="77">
      <c r="A77" s="188" t="s">
        <v>257</v>
      </c>
      <c r="B77" s="188" t="s">
        <v>257</v>
      </c>
      <c r="C77" s="347" t="s">
        <v>258</v>
      </c>
      <c r="D77" s="348">
        <v>380000.0</v>
      </c>
      <c r="E77" s="362" t="s">
        <v>715</v>
      </c>
      <c r="F77" s="362" t="s">
        <v>721</v>
      </c>
      <c r="G77" s="362" t="s">
        <v>181</v>
      </c>
      <c r="H77" s="362" t="s">
        <v>721</v>
      </c>
    </row>
    <row r="78">
      <c r="A78" s="188" t="s">
        <v>259</v>
      </c>
      <c r="B78" s="188" t="s">
        <v>259</v>
      </c>
      <c r="C78" s="343" t="s">
        <v>260</v>
      </c>
      <c r="D78" s="344">
        <v>47500.0</v>
      </c>
      <c r="E78" s="345" t="s">
        <v>715</v>
      </c>
      <c r="F78" s="362" t="s">
        <v>721</v>
      </c>
      <c r="G78" s="362" t="s">
        <v>181</v>
      </c>
      <c r="H78" s="362" t="s">
        <v>721</v>
      </c>
    </row>
    <row r="79">
      <c r="A79" s="188" t="s">
        <v>261</v>
      </c>
      <c r="B79" s="188" t="s">
        <v>261</v>
      </c>
      <c r="C79" s="347" t="s">
        <v>262</v>
      </c>
      <c r="D79" s="348">
        <v>47500.0</v>
      </c>
      <c r="E79" s="349" t="s">
        <v>715</v>
      </c>
      <c r="F79" s="362" t="s">
        <v>721</v>
      </c>
      <c r="G79" s="362" t="s">
        <v>181</v>
      </c>
      <c r="H79" s="362" t="s">
        <v>721</v>
      </c>
    </row>
    <row r="80">
      <c r="A80" s="188" t="s">
        <v>263</v>
      </c>
      <c r="B80" s="188" t="s">
        <v>263</v>
      </c>
      <c r="C80" s="343" t="s">
        <v>264</v>
      </c>
      <c r="D80" s="344">
        <v>85500.0</v>
      </c>
      <c r="E80" s="345" t="s">
        <v>715</v>
      </c>
      <c r="F80" s="362" t="s">
        <v>721</v>
      </c>
      <c r="G80" s="362" t="s">
        <v>181</v>
      </c>
      <c r="H80" s="362" t="s">
        <v>721</v>
      </c>
    </row>
    <row r="81">
      <c r="A81" s="188" t="s">
        <v>265</v>
      </c>
      <c r="B81" s="188" t="s">
        <v>265</v>
      </c>
      <c r="C81" s="347" t="s">
        <v>266</v>
      </c>
      <c r="D81" s="348">
        <v>40000.0</v>
      </c>
      <c r="E81" s="362" t="s">
        <v>715</v>
      </c>
      <c r="F81" s="362" t="s">
        <v>721</v>
      </c>
      <c r="G81" s="362" t="s">
        <v>181</v>
      </c>
      <c r="H81" s="362" t="s">
        <v>721</v>
      </c>
    </row>
    <row r="82">
      <c r="A82" s="188" t="s">
        <v>267</v>
      </c>
      <c r="B82" s="188" t="s">
        <v>267</v>
      </c>
      <c r="C82" s="358" t="s">
        <v>268</v>
      </c>
      <c r="D82" s="348">
        <v>200000.0</v>
      </c>
      <c r="E82" s="362" t="s">
        <v>715</v>
      </c>
      <c r="F82" s="362" t="s">
        <v>721</v>
      </c>
      <c r="G82" s="362" t="s">
        <v>181</v>
      </c>
      <c r="H82" s="362" t="s">
        <v>721</v>
      </c>
    </row>
    <row r="83">
      <c r="A83" s="188" t="s">
        <v>269</v>
      </c>
      <c r="B83" s="188" t="s">
        <v>269</v>
      </c>
      <c r="C83" s="347" t="s">
        <v>270</v>
      </c>
      <c r="D83" s="348">
        <v>100000.0</v>
      </c>
      <c r="E83" s="362" t="s">
        <v>715</v>
      </c>
      <c r="F83" s="362" t="s">
        <v>721</v>
      </c>
      <c r="G83" s="362" t="s">
        <v>181</v>
      </c>
      <c r="H83" s="362" t="s">
        <v>721</v>
      </c>
    </row>
    <row r="84">
      <c r="A84" s="188" t="s">
        <v>271</v>
      </c>
      <c r="B84" s="188" t="s">
        <v>271</v>
      </c>
      <c r="C84" s="358" t="s">
        <v>273</v>
      </c>
      <c r="D84" s="348">
        <v>98000.0</v>
      </c>
      <c r="E84" s="362" t="s">
        <v>715</v>
      </c>
      <c r="F84" s="362" t="s">
        <v>721</v>
      </c>
      <c r="G84" s="362" t="s">
        <v>181</v>
      </c>
      <c r="H84" s="362" t="s">
        <v>721</v>
      </c>
    </row>
    <row r="85">
      <c r="A85" s="188" t="s">
        <v>274</v>
      </c>
      <c r="B85" s="188" t="s">
        <v>274</v>
      </c>
      <c r="C85" s="347" t="s">
        <v>275</v>
      </c>
      <c r="D85" s="348">
        <v>338000.0</v>
      </c>
      <c r="E85" s="362" t="s">
        <v>715</v>
      </c>
      <c r="F85" s="362" t="s">
        <v>721</v>
      </c>
      <c r="G85" s="362" t="s">
        <v>181</v>
      </c>
      <c r="H85" s="362" t="s">
        <v>721</v>
      </c>
    </row>
    <row r="86">
      <c r="A86" s="188" t="s">
        <v>276</v>
      </c>
      <c r="B86" s="188" t="s">
        <v>276</v>
      </c>
      <c r="C86" s="358" t="s">
        <v>277</v>
      </c>
      <c r="D86" s="348">
        <v>0.0</v>
      </c>
      <c r="E86" s="362" t="s">
        <v>715</v>
      </c>
      <c r="F86" s="362" t="s">
        <v>721</v>
      </c>
      <c r="G86" s="362" t="s">
        <v>181</v>
      </c>
      <c r="H86" s="362" t="s">
        <v>721</v>
      </c>
    </row>
    <row r="87">
      <c r="A87" s="188" t="s">
        <v>278</v>
      </c>
      <c r="B87" s="188" t="s">
        <v>278</v>
      </c>
      <c r="C87" s="347" t="s">
        <v>279</v>
      </c>
      <c r="D87" s="348">
        <v>129000.0</v>
      </c>
      <c r="E87" s="362" t="s">
        <v>715</v>
      </c>
      <c r="F87" s="362" t="s">
        <v>721</v>
      </c>
      <c r="G87" s="362" t="s">
        <v>181</v>
      </c>
      <c r="H87" s="362" t="s">
        <v>721</v>
      </c>
    </row>
    <row r="88">
      <c r="A88" s="188" t="s">
        <v>280</v>
      </c>
      <c r="B88" s="188" t="s">
        <v>280</v>
      </c>
      <c r="C88" s="347" t="s">
        <v>281</v>
      </c>
      <c r="D88" s="348">
        <v>271260.5</v>
      </c>
      <c r="E88" s="362" t="s">
        <v>715</v>
      </c>
      <c r="F88" s="362" t="s">
        <v>721</v>
      </c>
      <c r="G88" s="362" t="s">
        <v>181</v>
      </c>
      <c r="H88" s="362" t="s">
        <v>721</v>
      </c>
    </row>
    <row r="89">
      <c r="A89" s="188" t="s">
        <v>282</v>
      </c>
      <c r="B89" s="188" t="s">
        <v>282</v>
      </c>
      <c r="C89" s="367" t="s">
        <v>284</v>
      </c>
      <c r="D89" s="348">
        <v>452100.84</v>
      </c>
      <c r="E89" s="362" t="s">
        <v>715</v>
      </c>
      <c r="F89" s="362" t="s">
        <v>722</v>
      </c>
      <c r="G89" s="362" t="s">
        <v>181</v>
      </c>
      <c r="H89" s="362" t="s">
        <v>721</v>
      </c>
    </row>
    <row r="90">
      <c r="A90" s="188" t="s">
        <v>285</v>
      </c>
      <c r="B90" s="188" t="s">
        <v>285</v>
      </c>
      <c r="C90" s="367" t="s">
        <v>286</v>
      </c>
      <c r="D90" s="348">
        <v>1537142.86</v>
      </c>
      <c r="E90" s="362" t="s">
        <v>715</v>
      </c>
      <c r="F90" s="362" t="s">
        <v>722</v>
      </c>
      <c r="G90" s="362" t="s">
        <v>181</v>
      </c>
      <c r="H90" s="362" t="s">
        <v>721</v>
      </c>
    </row>
    <row r="91">
      <c r="A91" s="188" t="s">
        <v>287</v>
      </c>
      <c r="B91" s="188" t="s">
        <v>287</v>
      </c>
      <c r="C91" s="367" t="s">
        <v>288</v>
      </c>
      <c r="D91" s="348">
        <v>7536521.01</v>
      </c>
      <c r="E91" s="362" t="s">
        <v>715</v>
      </c>
      <c r="F91" s="362" t="s">
        <v>722</v>
      </c>
      <c r="G91" s="362" t="s">
        <v>181</v>
      </c>
      <c r="H91" s="362" t="s">
        <v>721</v>
      </c>
    </row>
    <row r="92">
      <c r="A92" s="188" t="s">
        <v>289</v>
      </c>
      <c r="B92" s="188" t="s">
        <v>289</v>
      </c>
      <c r="C92" s="367" t="s">
        <v>290</v>
      </c>
      <c r="D92" s="348">
        <v>3594201.68</v>
      </c>
      <c r="E92" s="362" t="s">
        <v>715</v>
      </c>
      <c r="F92" s="362" t="s">
        <v>722</v>
      </c>
      <c r="G92" s="362" t="s">
        <v>181</v>
      </c>
      <c r="H92" s="362" t="s">
        <v>721</v>
      </c>
    </row>
    <row r="93">
      <c r="A93" s="188" t="s">
        <v>291</v>
      </c>
      <c r="B93" s="188" t="s">
        <v>291</v>
      </c>
      <c r="C93" s="367" t="s">
        <v>292</v>
      </c>
      <c r="D93" s="348">
        <v>6024243.7</v>
      </c>
      <c r="E93" s="362" t="s">
        <v>715</v>
      </c>
      <c r="F93" s="362" t="s">
        <v>722</v>
      </c>
      <c r="G93" s="362" t="s">
        <v>181</v>
      </c>
      <c r="H93" s="362" t="s">
        <v>721</v>
      </c>
    </row>
    <row r="94">
      <c r="A94" s="188" t="s">
        <v>293</v>
      </c>
      <c r="B94" s="188" t="s">
        <v>293</v>
      </c>
      <c r="C94" s="367" t="s">
        <v>294</v>
      </c>
      <c r="D94" s="348">
        <v>6263405.04</v>
      </c>
      <c r="E94" s="362" t="s">
        <v>715</v>
      </c>
      <c r="F94" s="362" t="s">
        <v>722</v>
      </c>
      <c r="G94" s="362" t="s">
        <v>181</v>
      </c>
      <c r="H94" s="362" t="s">
        <v>721</v>
      </c>
    </row>
    <row r="95">
      <c r="A95" s="188" t="s">
        <v>295</v>
      </c>
      <c r="B95" s="188" t="s">
        <v>295</v>
      </c>
      <c r="C95" s="367" t="s">
        <v>296</v>
      </c>
      <c r="D95" s="348">
        <v>5719075.63</v>
      </c>
      <c r="E95" s="362" t="s">
        <v>715</v>
      </c>
      <c r="F95" s="362" t="s">
        <v>722</v>
      </c>
      <c r="G95" s="362" t="s">
        <v>181</v>
      </c>
      <c r="H95" s="362" t="s">
        <v>721</v>
      </c>
    </row>
    <row r="96">
      <c r="A96" s="188" t="s">
        <v>297</v>
      </c>
      <c r="B96" s="188" t="s">
        <v>297</v>
      </c>
      <c r="C96" s="367" t="s">
        <v>298</v>
      </c>
      <c r="D96" s="348">
        <v>3786344.54</v>
      </c>
      <c r="E96" s="362" t="s">
        <v>715</v>
      </c>
      <c r="F96" s="362" t="s">
        <v>722</v>
      </c>
      <c r="G96" s="362" t="s">
        <v>181</v>
      </c>
      <c r="H96" s="362" t="s">
        <v>721</v>
      </c>
    </row>
    <row r="97">
      <c r="A97" s="188" t="s">
        <v>299</v>
      </c>
      <c r="B97" s="188" t="s">
        <v>299</v>
      </c>
      <c r="C97" s="367" t="s">
        <v>300</v>
      </c>
      <c r="D97" s="348">
        <v>3605504.2</v>
      </c>
      <c r="E97" s="362" t="s">
        <v>715</v>
      </c>
      <c r="F97" s="362" t="s">
        <v>722</v>
      </c>
      <c r="G97" s="362" t="s">
        <v>181</v>
      </c>
      <c r="H97" s="362" t="s">
        <v>721</v>
      </c>
    </row>
    <row r="98">
      <c r="A98" s="188" t="s">
        <v>301</v>
      </c>
      <c r="B98" s="188" t="s">
        <v>301</v>
      </c>
      <c r="C98" s="367" t="s">
        <v>302</v>
      </c>
      <c r="D98" s="348">
        <v>80000.0</v>
      </c>
      <c r="E98" s="362" t="s">
        <v>715</v>
      </c>
      <c r="F98" s="362" t="s">
        <v>722</v>
      </c>
      <c r="G98" s="362" t="s">
        <v>181</v>
      </c>
      <c r="H98" s="362" t="s">
        <v>721</v>
      </c>
    </row>
    <row r="99">
      <c r="A99" s="188" t="s">
        <v>303</v>
      </c>
      <c r="B99" s="188" t="s">
        <v>303</v>
      </c>
      <c r="C99" s="367" t="s">
        <v>304</v>
      </c>
      <c r="D99" s="348">
        <v>20000.0</v>
      </c>
      <c r="E99" s="362" t="s">
        <v>715</v>
      </c>
      <c r="F99" s="362" t="s">
        <v>722</v>
      </c>
      <c r="G99" s="362" t="s">
        <v>181</v>
      </c>
      <c r="H99" s="362" t="s">
        <v>721</v>
      </c>
    </row>
    <row r="100">
      <c r="A100" s="188" t="s">
        <v>305</v>
      </c>
      <c r="B100" s="188" t="s">
        <v>305</v>
      </c>
      <c r="C100" s="349" t="s">
        <v>306</v>
      </c>
      <c r="D100" s="348">
        <v>9775850.0</v>
      </c>
      <c r="E100" s="362" t="s">
        <v>715</v>
      </c>
      <c r="F100" s="362" t="s">
        <v>722</v>
      </c>
      <c r="G100" s="362" t="s">
        <v>181</v>
      </c>
      <c r="H100" s="362" t="s">
        <v>721</v>
      </c>
    </row>
    <row r="101">
      <c r="D101" s="368"/>
    </row>
    <row r="102">
      <c r="D102" s="368"/>
    </row>
    <row r="103">
      <c r="D103" s="368"/>
    </row>
    <row r="104">
      <c r="D104" s="368"/>
    </row>
    <row r="105">
      <c r="D105" s="368"/>
    </row>
    <row r="106">
      <c r="D106" s="368"/>
    </row>
    <row r="107">
      <c r="D107" s="368"/>
    </row>
    <row r="108">
      <c r="D108" s="368"/>
    </row>
    <row r="109">
      <c r="D109" s="368"/>
    </row>
    <row r="110">
      <c r="D110" s="368"/>
    </row>
    <row r="111">
      <c r="D111" s="368"/>
    </row>
    <row r="112">
      <c r="D112" s="368"/>
    </row>
    <row r="113">
      <c r="D113" s="368"/>
    </row>
    <row r="114">
      <c r="D114" s="368"/>
    </row>
    <row r="115">
      <c r="D115" s="368"/>
    </row>
    <row r="116">
      <c r="D116" s="368"/>
    </row>
    <row r="117">
      <c r="D117" s="368"/>
    </row>
    <row r="118">
      <c r="D118" s="368"/>
    </row>
    <row r="119">
      <c r="D119" s="368"/>
    </row>
    <row r="120">
      <c r="D120" s="368"/>
    </row>
    <row r="121">
      <c r="D121" s="368"/>
    </row>
    <row r="122">
      <c r="D122" s="368"/>
    </row>
    <row r="123">
      <c r="D123" s="368"/>
    </row>
    <row r="124">
      <c r="D124" s="368"/>
    </row>
    <row r="125">
      <c r="D125" s="368"/>
    </row>
    <row r="126">
      <c r="D126" s="368"/>
    </row>
    <row r="127">
      <c r="D127" s="368"/>
    </row>
    <row r="128">
      <c r="D128" s="368"/>
    </row>
    <row r="129">
      <c r="D129" s="368"/>
    </row>
    <row r="130">
      <c r="D130" s="368"/>
    </row>
    <row r="131">
      <c r="D131" s="368"/>
    </row>
    <row r="132">
      <c r="D132" s="368"/>
    </row>
    <row r="133">
      <c r="D133" s="368"/>
    </row>
    <row r="134">
      <c r="D134" s="368"/>
    </row>
    <row r="135">
      <c r="D135" s="368"/>
    </row>
    <row r="136">
      <c r="D136" s="368"/>
    </row>
    <row r="137">
      <c r="D137" s="368"/>
    </row>
    <row r="138">
      <c r="D138" s="368"/>
    </row>
    <row r="139">
      <c r="D139" s="368"/>
    </row>
    <row r="140">
      <c r="D140" s="368"/>
    </row>
    <row r="141">
      <c r="D141" s="368"/>
    </row>
    <row r="142">
      <c r="D142" s="368"/>
    </row>
    <row r="143">
      <c r="D143" s="368"/>
    </row>
    <row r="144">
      <c r="D144" s="368"/>
    </row>
    <row r="145">
      <c r="D145" s="368"/>
    </row>
    <row r="146">
      <c r="D146" s="368"/>
    </row>
    <row r="147">
      <c r="D147" s="368"/>
    </row>
    <row r="148">
      <c r="D148" s="368"/>
    </row>
    <row r="149">
      <c r="D149" s="368"/>
    </row>
    <row r="150">
      <c r="D150" s="368"/>
    </row>
    <row r="151">
      <c r="D151" s="368"/>
    </row>
    <row r="152">
      <c r="D152" s="368"/>
    </row>
    <row r="153">
      <c r="D153" s="368"/>
    </row>
    <row r="154">
      <c r="D154" s="368"/>
    </row>
    <row r="155">
      <c r="D155" s="368"/>
    </row>
    <row r="156">
      <c r="D156" s="368"/>
    </row>
    <row r="157">
      <c r="D157" s="368"/>
    </row>
    <row r="158">
      <c r="D158" s="368"/>
    </row>
    <row r="159">
      <c r="D159" s="368"/>
    </row>
    <row r="160">
      <c r="D160" s="368"/>
    </row>
    <row r="161">
      <c r="D161" s="368"/>
    </row>
    <row r="162">
      <c r="D162" s="368"/>
    </row>
    <row r="163">
      <c r="D163" s="368"/>
    </row>
    <row r="164">
      <c r="D164" s="368"/>
    </row>
    <row r="165">
      <c r="D165" s="368"/>
    </row>
    <row r="166">
      <c r="D166" s="368"/>
    </row>
    <row r="167">
      <c r="D167" s="368"/>
    </row>
    <row r="168">
      <c r="D168" s="368"/>
    </row>
    <row r="169">
      <c r="D169" s="368"/>
    </row>
    <row r="170">
      <c r="D170" s="368"/>
    </row>
    <row r="171">
      <c r="D171" s="368"/>
    </row>
    <row r="172">
      <c r="D172" s="368"/>
    </row>
    <row r="173">
      <c r="D173" s="368"/>
    </row>
    <row r="174">
      <c r="D174" s="368"/>
    </row>
    <row r="175">
      <c r="D175" s="368"/>
    </row>
    <row r="176">
      <c r="D176" s="368"/>
    </row>
    <row r="177">
      <c r="D177" s="368"/>
    </row>
    <row r="178">
      <c r="D178" s="368"/>
    </row>
    <row r="179">
      <c r="D179" s="368"/>
    </row>
    <row r="180">
      <c r="D180" s="368"/>
    </row>
    <row r="181">
      <c r="D181" s="368"/>
    </row>
    <row r="182">
      <c r="D182" s="368"/>
    </row>
    <row r="183">
      <c r="D183" s="368"/>
    </row>
    <row r="184">
      <c r="D184" s="368"/>
    </row>
    <row r="185">
      <c r="D185" s="368"/>
    </row>
    <row r="186">
      <c r="D186" s="368"/>
    </row>
    <row r="187">
      <c r="D187" s="368"/>
    </row>
    <row r="188">
      <c r="D188" s="368"/>
    </row>
    <row r="189">
      <c r="D189" s="368"/>
    </row>
    <row r="190">
      <c r="D190" s="368"/>
    </row>
    <row r="191">
      <c r="D191" s="368"/>
    </row>
    <row r="192">
      <c r="D192" s="368"/>
    </row>
    <row r="193">
      <c r="D193" s="368"/>
    </row>
    <row r="194">
      <c r="D194" s="368"/>
    </row>
    <row r="195">
      <c r="D195" s="368"/>
    </row>
    <row r="196">
      <c r="D196" s="368"/>
    </row>
    <row r="197">
      <c r="D197" s="368"/>
    </row>
    <row r="198">
      <c r="D198" s="368"/>
    </row>
    <row r="199">
      <c r="D199" s="368"/>
    </row>
    <row r="200">
      <c r="D200" s="368"/>
    </row>
    <row r="201">
      <c r="D201" s="368"/>
    </row>
    <row r="202">
      <c r="D202" s="368"/>
    </row>
    <row r="203">
      <c r="D203" s="368"/>
    </row>
    <row r="204">
      <c r="D204" s="368"/>
    </row>
    <row r="205">
      <c r="D205" s="368"/>
    </row>
    <row r="206">
      <c r="D206" s="368"/>
    </row>
    <row r="207">
      <c r="D207" s="368"/>
    </row>
    <row r="208">
      <c r="D208" s="368"/>
    </row>
    <row r="209">
      <c r="D209" s="368"/>
    </row>
    <row r="210">
      <c r="D210" s="368"/>
    </row>
    <row r="211">
      <c r="D211" s="368"/>
    </row>
    <row r="212">
      <c r="D212" s="368"/>
    </row>
    <row r="213">
      <c r="D213" s="368"/>
    </row>
    <row r="214">
      <c r="D214" s="368"/>
    </row>
    <row r="215">
      <c r="D215" s="368"/>
    </row>
    <row r="216">
      <c r="D216" s="368"/>
    </row>
    <row r="217">
      <c r="D217" s="368"/>
    </row>
    <row r="218">
      <c r="D218" s="368"/>
    </row>
    <row r="219">
      <c r="D219" s="368"/>
    </row>
    <row r="220">
      <c r="D220" s="368"/>
    </row>
    <row r="221">
      <c r="D221" s="368"/>
    </row>
    <row r="222">
      <c r="D222" s="368"/>
    </row>
    <row r="223">
      <c r="D223" s="368"/>
    </row>
    <row r="224">
      <c r="D224" s="368"/>
    </row>
    <row r="225">
      <c r="D225" s="368"/>
    </row>
    <row r="226">
      <c r="D226" s="368"/>
    </row>
    <row r="227">
      <c r="D227" s="368"/>
    </row>
    <row r="228">
      <c r="D228" s="368"/>
    </row>
    <row r="229">
      <c r="D229" s="368"/>
    </row>
    <row r="230">
      <c r="D230" s="368"/>
    </row>
    <row r="231">
      <c r="D231" s="368"/>
    </row>
    <row r="232">
      <c r="D232" s="368"/>
    </row>
    <row r="233">
      <c r="D233" s="368"/>
    </row>
    <row r="234">
      <c r="D234" s="368"/>
    </row>
    <row r="235">
      <c r="D235" s="368"/>
    </row>
    <row r="236">
      <c r="D236" s="368"/>
    </row>
    <row r="237">
      <c r="D237" s="368"/>
    </row>
    <row r="238">
      <c r="D238" s="368"/>
    </row>
    <row r="239">
      <c r="D239" s="368"/>
    </row>
    <row r="240">
      <c r="D240" s="368"/>
    </row>
    <row r="241">
      <c r="D241" s="368"/>
    </row>
    <row r="242">
      <c r="D242" s="368"/>
    </row>
    <row r="243">
      <c r="D243" s="368"/>
    </row>
    <row r="244">
      <c r="D244" s="368"/>
    </row>
    <row r="245">
      <c r="D245" s="368"/>
    </row>
    <row r="246">
      <c r="D246" s="368"/>
    </row>
    <row r="247">
      <c r="D247" s="368"/>
    </row>
    <row r="248">
      <c r="D248" s="368"/>
    </row>
    <row r="249">
      <c r="D249" s="368"/>
    </row>
    <row r="250">
      <c r="D250" s="368"/>
    </row>
    <row r="251">
      <c r="D251" s="368"/>
    </row>
    <row r="252">
      <c r="D252" s="368"/>
    </row>
    <row r="253">
      <c r="D253" s="368"/>
    </row>
    <row r="254">
      <c r="D254" s="368"/>
    </row>
    <row r="255">
      <c r="D255" s="368"/>
    </row>
    <row r="256">
      <c r="D256" s="368"/>
    </row>
    <row r="257">
      <c r="D257" s="368"/>
    </row>
    <row r="258">
      <c r="D258" s="368"/>
    </row>
    <row r="259">
      <c r="D259" s="368"/>
    </row>
    <row r="260">
      <c r="D260" s="368"/>
    </row>
    <row r="261">
      <c r="D261" s="368"/>
    </row>
    <row r="262">
      <c r="D262" s="368"/>
    </row>
    <row r="263">
      <c r="D263" s="368"/>
    </row>
    <row r="264">
      <c r="D264" s="368"/>
    </row>
    <row r="265">
      <c r="D265" s="368"/>
    </row>
    <row r="266">
      <c r="D266" s="368"/>
    </row>
    <row r="267">
      <c r="D267" s="368"/>
    </row>
    <row r="268">
      <c r="D268" s="368"/>
    </row>
    <row r="269">
      <c r="D269" s="368"/>
    </row>
    <row r="270">
      <c r="D270" s="368"/>
    </row>
    <row r="271">
      <c r="D271" s="368"/>
    </row>
    <row r="272">
      <c r="D272" s="368"/>
    </row>
    <row r="273">
      <c r="D273" s="368"/>
    </row>
    <row r="274">
      <c r="D274" s="368"/>
    </row>
    <row r="275">
      <c r="D275" s="368"/>
    </row>
    <row r="276">
      <c r="D276" s="368"/>
    </row>
    <row r="277">
      <c r="D277" s="368"/>
    </row>
    <row r="278">
      <c r="D278" s="368"/>
    </row>
    <row r="279">
      <c r="D279" s="368"/>
    </row>
    <row r="280">
      <c r="D280" s="368"/>
    </row>
    <row r="281">
      <c r="D281" s="368"/>
    </row>
    <row r="282">
      <c r="D282" s="368"/>
    </row>
    <row r="283">
      <c r="D283" s="368"/>
    </row>
    <row r="284">
      <c r="D284" s="368"/>
    </row>
    <row r="285">
      <c r="D285" s="368"/>
    </row>
    <row r="286">
      <c r="D286" s="368"/>
    </row>
    <row r="287">
      <c r="D287" s="368"/>
    </row>
    <row r="288">
      <c r="D288" s="368"/>
    </row>
    <row r="289">
      <c r="D289" s="368"/>
    </row>
    <row r="290">
      <c r="D290" s="368"/>
    </row>
    <row r="291">
      <c r="D291" s="368"/>
    </row>
    <row r="292">
      <c r="D292" s="368"/>
    </row>
    <row r="293">
      <c r="D293" s="368"/>
    </row>
    <row r="294">
      <c r="D294" s="368"/>
    </row>
    <row r="295">
      <c r="D295" s="368"/>
    </row>
    <row r="296">
      <c r="D296" s="368"/>
    </row>
    <row r="297">
      <c r="D297" s="368"/>
    </row>
    <row r="298">
      <c r="D298" s="368"/>
    </row>
    <row r="299">
      <c r="D299" s="368"/>
    </row>
    <row r="300">
      <c r="D300" s="368"/>
    </row>
    <row r="301">
      <c r="D301" s="368"/>
    </row>
    <row r="302">
      <c r="D302" s="368"/>
    </row>
    <row r="303">
      <c r="D303" s="368"/>
    </row>
    <row r="304">
      <c r="D304" s="368"/>
    </row>
    <row r="305">
      <c r="D305" s="368"/>
    </row>
    <row r="306">
      <c r="D306" s="368"/>
    </row>
    <row r="307">
      <c r="D307" s="368"/>
    </row>
    <row r="308">
      <c r="D308" s="368"/>
    </row>
    <row r="309">
      <c r="D309" s="368"/>
    </row>
    <row r="310">
      <c r="D310" s="368"/>
    </row>
    <row r="311">
      <c r="D311" s="368"/>
    </row>
    <row r="312">
      <c r="D312" s="368"/>
    </row>
    <row r="313">
      <c r="D313" s="368"/>
    </row>
    <row r="314">
      <c r="D314" s="368"/>
    </row>
    <row r="315">
      <c r="D315" s="368"/>
    </row>
    <row r="316">
      <c r="D316" s="368"/>
    </row>
    <row r="317">
      <c r="D317" s="368"/>
    </row>
    <row r="318">
      <c r="D318" s="368"/>
    </row>
    <row r="319">
      <c r="D319" s="368"/>
    </row>
    <row r="320">
      <c r="D320" s="368"/>
    </row>
    <row r="321">
      <c r="D321" s="368"/>
    </row>
    <row r="322">
      <c r="D322" s="368"/>
    </row>
    <row r="323">
      <c r="D323" s="368"/>
    </row>
    <row r="324">
      <c r="D324" s="368"/>
    </row>
    <row r="325">
      <c r="D325" s="368"/>
    </row>
    <row r="326">
      <c r="D326" s="368"/>
    </row>
    <row r="327">
      <c r="D327" s="368"/>
    </row>
    <row r="328">
      <c r="D328" s="368"/>
    </row>
    <row r="329">
      <c r="D329" s="368"/>
    </row>
    <row r="330">
      <c r="D330" s="368"/>
    </row>
    <row r="331">
      <c r="D331" s="368"/>
    </row>
    <row r="332">
      <c r="D332" s="368"/>
    </row>
    <row r="333">
      <c r="D333" s="368"/>
    </row>
    <row r="334">
      <c r="D334" s="368"/>
    </row>
    <row r="335">
      <c r="D335" s="368"/>
    </row>
    <row r="336">
      <c r="D336" s="368"/>
    </row>
    <row r="337">
      <c r="D337" s="368"/>
    </row>
    <row r="338">
      <c r="D338" s="368"/>
    </row>
    <row r="339">
      <c r="D339" s="368"/>
    </row>
    <row r="340">
      <c r="D340" s="368"/>
    </row>
    <row r="341">
      <c r="D341" s="368"/>
    </row>
    <row r="342">
      <c r="D342" s="368"/>
    </row>
    <row r="343">
      <c r="D343" s="368"/>
    </row>
    <row r="344">
      <c r="D344" s="368"/>
    </row>
    <row r="345">
      <c r="D345" s="368"/>
    </row>
    <row r="346">
      <c r="D346" s="368"/>
    </row>
    <row r="347">
      <c r="D347" s="368"/>
    </row>
    <row r="348">
      <c r="D348" s="368"/>
    </row>
    <row r="349">
      <c r="D349" s="368"/>
    </row>
    <row r="350">
      <c r="D350" s="368"/>
    </row>
    <row r="351">
      <c r="D351" s="368"/>
    </row>
    <row r="352">
      <c r="D352" s="368"/>
    </row>
    <row r="353">
      <c r="D353" s="368"/>
    </row>
    <row r="354">
      <c r="D354" s="368"/>
    </row>
    <row r="355">
      <c r="D355" s="368"/>
    </row>
    <row r="356">
      <c r="D356" s="368"/>
    </row>
    <row r="357">
      <c r="D357" s="368"/>
    </row>
    <row r="358">
      <c r="D358" s="368"/>
    </row>
    <row r="359">
      <c r="D359" s="368"/>
    </row>
    <row r="360">
      <c r="D360" s="368"/>
    </row>
    <row r="361">
      <c r="D361" s="368"/>
    </row>
    <row r="362">
      <c r="D362" s="368"/>
    </row>
    <row r="363">
      <c r="D363" s="368"/>
    </row>
    <row r="364">
      <c r="D364" s="368"/>
    </row>
    <row r="365">
      <c r="D365" s="368"/>
    </row>
    <row r="366">
      <c r="D366" s="368"/>
    </row>
    <row r="367">
      <c r="D367" s="368"/>
    </row>
    <row r="368">
      <c r="D368" s="368"/>
    </row>
    <row r="369">
      <c r="D369" s="368"/>
    </row>
    <row r="370">
      <c r="D370" s="368"/>
    </row>
    <row r="371">
      <c r="D371" s="368"/>
    </row>
    <row r="372">
      <c r="D372" s="368"/>
    </row>
    <row r="373">
      <c r="D373" s="368"/>
    </row>
    <row r="374">
      <c r="D374" s="368"/>
    </row>
    <row r="375">
      <c r="D375" s="368"/>
    </row>
    <row r="376">
      <c r="D376" s="368"/>
    </row>
    <row r="377">
      <c r="D377" s="368"/>
    </row>
    <row r="378">
      <c r="D378" s="368"/>
    </row>
    <row r="379">
      <c r="D379" s="368"/>
    </row>
    <row r="380">
      <c r="D380" s="368"/>
    </row>
    <row r="381">
      <c r="D381" s="368"/>
    </row>
    <row r="382">
      <c r="D382" s="368"/>
    </row>
    <row r="383">
      <c r="D383" s="368"/>
    </row>
    <row r="384">
      <c r="D384" s="368"/>
    </row>
    <row r="385">
      <c r="D385" s="368"/>
    </row>
    <row r="386">
      <c r="D386" s="368"/>
    </row>
    <row r="387">
      <c r="D387" s="368"/>
    </row>
    <row r="388">
      <c r="D388" s="368"/>
    </row>
    <row r="389">
      <c r="D389" s="368"/>
    </row>
    <row r="390">
      <c r="D390" s="368"/>
    </row>
    <row r="391">
      <c r="D391" s="368"/>
    </row>
    <row r="392">
      <c r="D392" s="368"/>
    </row>
    <row r="393">
      <c r="D393" s="368"/>
    </row>
    <row r="394">
      <c r="D394" s="368"/>
    </row>
    <row r="395">
      <c r="D395" s="368"/>
    </row>
    <row r="396">
      <c r="D396" s="368"/>
    </row>
    <row r="397">
      <c r="D397" s="368"/>
    </row>
    <row r="398">
      <c r="D398" s="368"/>
    </row>
    <row r="399">
      <c r="D399" s="368"/>
    </row>
    <row r="400">
      <c r="D400" s="368"/>
    </row>
    <row r="401">
      <c r="D401" s="368"/>
    </row>
    <row r="402">
      <c r="D402" s="368"/>
    </row>
    <row r="403">
      <c r="D403" s="368"/>
    </row>
    <row r="404">
      <c r="D404" s="368"/>
    </row>
    <row r="405">
      <c r="D405" s="368"/>
    </row>
    <row r="406">
      <c r="D406" s="368"/>
    </row>
    <row r="407">
      <c r="D407" s="368"/>
    </row>
    <row r="408">
      <c r="D408" s="368"/>
    </row>
    <row r="409">
      <c r="D409" s="368"/>
    </row>
    <row r="410">
      <c r="D410" s="368"/>
    </row>
    <row r="411">
      <c r="D411" s="368"/>
    </row>
    <row r="412">
      <c r="D412" s="368"/>
    </row>
    <row r="413">
      <c r="D413" s="368"/>
    </row>
    <row r="414">
      <c r="D414" s="368"/>
    </row>
    <row r="415">
      <c r="D415" s="368"/>
    </row>
    <row r="416">
      <c r="D416" s="368"/>
    </row>
    <row r="417">
      <c r="D417" s="368"/>
    </row>
    <row r="418">
      <c r="D418" s="368"/>
    </row>
    <row r="419">
      <c r="D419" s="368"/>
    </row>
    <row r="420">
      <c r="D420" s="368"/>
    </row>
    <row r="421">
      <c r="D421" s="368"/>
    </row>
    <row r="422">
      <c r="D422" s="368"/>
    </row>
    <row r="423">
      <c r="D423" s="368"/>
    </row>
    <row r="424">
      <c r="D424" s="368"/>
    </row>
    <row r="425">
      <c r="D425" s="368"/>
    </row>
    <row r="426">
      <c r="D426" s="368"/>
    </row>
    <row r="427">
      <c r="D427" s="368"/>
    </row>
    <row r="428">
      <c r="D428" s="368"/>
    </row>
    <row r="429">
      <c r="D429" s="368"/>
    </row>
    <row r="430">
      <c r="D430" s="368"/>
    </row>
    <row r="431">
      <c r="D431" s="368"/>
    </row>
    <row r="432">
      <c r="D432" s="368"/>
    </row>
    <row r="433">
      <c r="D433" s="368"/>
    </row>
    <row r="434">
      <c r="D434" s="368"/>
    </row>
    <row r="435">
      <c r="D435" s="368"/>
    </row>
    <row r="436">
      <c r="D436" s="368"/>
    </row>
    <row r="437">
      <c r="D437" s="368"/>
    </row>
    <row r="438">
      <c r="D438" s="368"/>
    </row>
    <row r="439">
      <c r="D439" s="368"/>
    </row>
    <row r="440">
      <c r="D440" s="368"/>
    </row>
    <row r="441">
      <c r="D441" s="368"/>
    </row>
    <row r="442">
      <c r="D442" s="368"/>
    </row>
    <row r="443">
      <c r="D443" s="368"/>
    </row>
    <row r="444">
      <c r="D444" s="368"/>
    </row>
    <row r="445">
      <c r="D445" s="368"/>
    </row>
    <row r="446">
      <c r="D446" s="368"/>
    </row>
    <row r="447">
      <c r="D447" s="368"/>
    </row>
    <row r="448">
      <c r="D448" s="368"/>
    </row>
    <row r="449">
      <c r="D449" s="368"/>
    </row>
    <row r="450">
      <c r="D450" s="368"/>
    </row>
    <row r="451">
      <c r="D451" s="368"/>
    </row>
    <row r="452">
      <c r="D452" s="368"/>
    </row>
    <row r="453">
      <c r="D453" s="368"/>
    </row>
    <row r="454">
      <c r="D454" s="368"/>
    </row>
    <row r="455">
      <c r="D455" s="368"/>
    </row>
    <row r="456">
      <c r="D456" s="368"/>
    </row>
    <row r="457">
      <c r="D457" s="368"/>
    </row>
    <row r="458">
      <c r="D458" s="368"/>
    </row>
    <row r="459">
      <c r="D459" s="368"/>
    </row>
    <row r="460">
      <c r="D460" s="368"/>
    </row>
    <row r="461">
      <c r="D461" s="368"/>
    </row>
    <row r="462">
      <c r="D462" s="368"/>
    </row>
    <row r="463">
      <c r="D463" s="368"/>
    </row>
    <row r="464">
      <c r="D464" s="368"/>
    </row>
    <row r="465">
      <c r="D465" s="368"/>
    </row>
    <row r="466">
      <c r="D466" s="368"/>
    </row>
    <row r="467">
      <c r="D467" s="368"/>
    </row>
    <row r="468">
      <c r="D468" s="368"/>
    </row>
    <row r="469">
      <c r="D469" s="368"/>
    </row>
    <row r="470">
      <c r="D470" s="368"/>
    </row>
    <row r="471">
      <c r="D471" s="368"/>
    </row>
    <row r="472">
      <c r="D472" s="368"/>
    </row>
    <row r="473">
      <c r="D473" s="368"/>
    </row>
    <row r="474">
      <c r="D474" s="368"/>
    </row>
    <row r="475">
      <c r="D475" s="368"/>
    </row>
    <row r="476">
      <c r="D476" s="368"/>
    </row>
    <row r="477">
      <c r="D477" s="368"/>
    </row>
    <row r="478">
      <c r="D478" s="368"/>
    </row>
    <row r="479">
      <c r="D479" s="368"/>
    </row>
    <row r="480">
      <c r="D480" s="368"/>
    </row>
    <row r="481">
      <c r="D481" s="368"/>
    </row>
    <row r="482">
      <c r="D482" s="368"/>
    </row>
    <row r="483">
      <c r="D483" s="368"/>
    </row>
    <row r="484">
      <c r="D484" s="368"/>
    </row>
    <row r="485">
      <c r="D485" s="368"/>
    </row>
    <row r="486">
      <c r="D486" s="368"/>
    </row>
    <row r="487">
      <c r="D487" s="368"/>
    </row>
    <row r="488">
      <c r="D488" s="368"/>
    </row>
    <row r="489">
      <c r="D489" s="368"/>
    </row>
    <row r="490">
      <c r="D490" s="368"/>
    </row>
    <row r="491">
      <c r="D491" s="368"/>
    </row>
    <row r="492">
      <c r="D492" s="368"/>
    </row>
    <row r="493">
      <c r="D493" s="368"/>
    </row>
    <row r="494">
      <c r="D494" s="368"/>
    </row>
    <row r="495">
      <c r="D495" s="368"/>
    </row>
    <row r="496">
      <c r="D496" s="368"/>
    </row>
    <row r="497">
      <c r="D497" s="368"/>
    </row>
    <row r="498">
      <c r="D498" s="368"/>
    </row>
    <row r="499">
      <c r="D499" s="368"/>
    </row>
    <row r="500">
      <c r="D500" s="368"/>
    </row>
    <row r="501">
      <c r="D501" s="368"/>
    </row>
    <row r="502">
      <c r="D502" s="368"/>
    </row>
    <row r="503">
      <c r="D503" s="368"/>
    </row>
    <row r="504">
      <c r="D504" s="368"/>
    </row>
    <row r="505">
      <c r="D505" s="368"/>
    </row>
    <row r="506">
      <c r="D506" s="368"/>
    </row>
    <row r="507">
      <c r="D507" s="368"/>
    </row>
    <row r="508">
      <c r="D508" s="368"/>
    </row>
    <row r="509">
      <c r="D509" s="368"/>
    </row>
    <row r="510">
      <c r="D510" s="368"/>
    </row>
    <row r="511">
      <c r="D511" s="368"/>
    </row>
    <row r="512">
      <c r="D512" s="368"/>
    </row>
    <row r="513">
      <c r="D513" s="368"/>
    </row>
    <row r="514">
      <c r="D514" s="368"/>
    </row>
    <row r="515">
      <c r="D515" s="368"/>
    </row>
    <row r="516">
      <c r="D516" s="368"/>
    </row>
    <row r="517">
      <c r="D517" s="368"/>
    </row>
    <row r="518">
      <c r="D518" s="368"/>
    </row>
    <row r="519">
      <c r="D519" s="368"/>
    </row>
    <row r="520">
      <c r="D520" s="368"/>
    </row>
    <row r="521">
      <c r="D521" s="368"/>
    </row>
    <row r="522">
      <c r="D522" s="368"/>
    </row>
    <row r="523">
      <c r="D523" s="368"/>
    </row>
    <row r="524">
      <c r="D524" s="368"/>
    </row>
    <row r="525">
      <c r="D525" s="368"/>
    </row>
    <row r="526">
      <c r="D526" s="368"/>
    </row>
    <row r="527">
      <c r="D527" s="368"/>
    </row>
    <row r="528">
      <c r="D528" s="368"/>
    </row>
    <row r="529">
      <c r="D529" s="368"/>
    </row>
    <row r="530">
      <c r="D530" s="368"/>
    </row>
    <row r="531">
      <c r="D531" s="368"/>
    </row>
    <row r="532">
      <c r="D532" s="368"/>
    </row>
    <row r="533">
      <c r="D533" s="368"/>
    </row>
    <row r="534">
      <c r="D534" s="368"/>
    </row>
    <row r="535">
      <c r="D535" s="368"/>
    </row>
    <row r="536">
      <c r="D536" s="368"/>
    </row>
    <row r="537">
      <c r="D537" s="368"/>
    </row>
    <row r="538">
      <c r="D538" s="368"/>
    </row>
    <row r="539">
      <c r="D539" s="368"/>
    </row>
    <row r="540">
      <c r="D540" s="368"/>
    </row>
    <row r="541">
      <c r="D541" s="368"/>
    </row>
    <row r="542">
      <c r="D542" s="368"/>
    </row>
    <row r="543">
      <c r="D543" s="368"/>
    </row>
    <row r="544">
      <c r="D544" s="368"/>
    </row>
    <row r="545">
      <c r="D545" s="368"/>
    </row>
    <row r="546">
      <c r="D546" s="368"/>
    </row>
    <row r="547">
      <c r="D547" s="368"/>
    </row>
    <row r="548">
      <c r="D548" s="368"/>
    </row>
    <row r="549">
      <c r="D549" s="368"/>
    </row>
    <row r="550">
      <c r="D550" s="368"/>
    </row>
    <row r="551">
      <c r="D551" s="368"/>
    </row>
    <row r="552">
      <c r="D552" s="368"/>
    </row>
    <row r="553">
      <c r="D553" s="368"/>
    </row>
    <row r="554">
      <c r="D554" s="368"/>
    </row>
    <row r="555">
      <c r="D555" s="368"/>
    </row>
    <row r="556">
      <c r="D556" s="368"/>
    </row>
    <row r="557">
      <c r="D557" s="368"/>
    </row>
    <row r="558">
      <c r="D558" s="368"/>
    </row>
    <row r="559">
      <c r="D559" s="368"/>
    </row>
    <row r="560">
      <c r="D560" s="368"/>
    </row>
    <row r="561">
      <c r="D561" s="368"/>
    </row>
    <row r="562">
      <c r="D562" s="368"/>
    </row>
    <row r="563">
      <c r="D563" s="368"/>
    </row>
    <row r="564">
      <c r="D564" s="368"/>
    </row>
    <row r="565">
      <c r="D565" s="368"/>
    </row>
    <row r="566">
      <c r="D566" s="368"/>
    </row>
    <row r="567">
      <c r="D567" s="368"/>
    </row>
    <row r="568">
      <c r="D568" s="368"/>
    </row>
    <row r="569">
      <c r="D569" s="368"/>
    </row>
    <row r="570">
      <c r="D570" s="368"/>
    </row>
    <row r="571">
      <c r="D571" s="368"/>
    </row>
    <row r="572">
      <c r="D572" s="368"/>
    </row>
    <row r="573">
      <c r="D573" s="368"/>
    </row>
    <row r="574">
      <c r="D574" s="368"/>
    </row>
    <row r="575">
      <c r="D575" s="368"/>
    </row>
    <row r="576">
      <c r="D576" s="368"/>
    </row>
    <row r="577">
      <c r="D577" s="368"/>
    </row>
    <row r="578">
      <c r="D578" s="368"/>
    </row>
    <row r="579">
      <c r="D579" s="368"/>
    </row>
    <row r="580">
      <c r="D580" s="368"/>
    </row>
    <row r="581">
      <c r="D581" s="368"/>
    </row>
    <row r="582">
      <c r="D582" s="368"/>
    </row>
    <row r="583">
      <c r="D583" s="368"/>
    </row>
    <row r="584">
      <c r="D584" s="368"/>
    </row>
    <row r="585">
      <c r="D585" s="368"/>
    </row>
    <row r="586">
      <c r="D586" s="368"/>
    </row>
    <row r="587">
      <c r="D587" s="368"/>
    </row>
    <row r="588">
      <c r="D588" s="368"/>
    </row>
    <row r="589">
      <c r="D589" s="368"/>
    </row>
    <row r="590">
      <c r="D590" s="368"/>
    </row>
    <row r="591">
      <c r="D591" s="368"/>
    </row>
    <row r="592">
      <c r="D592" s="368"/>
    </row>
    <row r="593">
      <c r="D593" s="368"/>
    </row>
    <row r="594">
      <c r="D594" s="368"/>
    </row>
    <row r="595">
      <c r="D595" s="368"/>
    </row>
    <row r="596">
      <c r="D596" s="368"/>
    </row>
    <row r="597">
      <c r="D597" s="368"/>
    </row>
    <row r="598">
      <c r="D598" s="368"/>
    </row>
    <row r="599">
      <c r="D599" s="368"/>
    </row>
    <row r="600">
      <c r="D600" s="368"/>
    </row>
    <row r="601">
      <c r="D601" s="368"/>
    </row>
    <row r="602">
      <c r="D602" s="368"/>
    </row>
    <row r="603">
      <c r="D603" s="368"/>
    </row>
    <row r="604">
      <c r="D604" s="368"/>
    </row>
    <row r="605">
      <c r="D605" s="368"/>
    </row>
    <row r="606">
      <c r="D606" s="368"/>
    </row>
    <row r="607">
      <c r="D607" s="368"/>
    </row>
    <row r="608">
      <c r="D608" s="368"/>
    </row>
    <row r="609">
      <c r="D609" s="368"/>
    </row>
    <row r="610">
      <c r="D610" s="368"/>
    </row>
    <row r="611">
      <c r="D611" s="368"/>
    </row>
    <row r="612">
      <c r="D612" s="368"/>
    </row>
    <row r="613">
      <c r="D613" s="368"/>
    </row>
    <row r="614">
      <c r="D614" s="368"/>
    </row>
    <row r="615">
      <c r="D615" s="368"/>
    </row>
    <row r="616">
      <c r="D616" s="368"/>
    </row>
    <row r="617">
      <c r="D617" s="368"/>
    </row>
    <row r="618">
      <c r="D618" s="368"/>
    </row>
    <row r="619">
      <c r="D619" s="368"/>
    </row>
    <row r="620">
      <c r="D620" s="368"/>
    </row>
    <row r="621">
      <c r="D621" s="368"/>
    </row>
    <row r="622">
      <c r="D622" s="368"/>
    </row>
    <row r="623">
      <c r="D623" s="368"/>
    </row>
    <row r="624">
      <c r="D624" s="368"/>
    </row>
    <row r="625">
      <c r="D625" s="368"/>
    </row>
    <row r="626">
      <c r="D626" s="368"/>
    </row>
    <row r="627">
      <c r="D627" s="368"/>
    </row>
    <row r="628">
      <c r="D628" s="368"/>
    </row>
    <row r="629">
      <c r="D629" s="368"/>
    </row>
    <row r="630">
      <c r="D630" s="368"/>
    </row>
    <row r="631">
      <c r="D631" s="368"/>
    </row>
    <row r="632">
      <c r="D632" s="368"/>
    </row>
    <row r="633">
      <c r="D633" s="368"/>
    </row>
    <row r="634">
      <c r="D634" s="368"/>
    </row>
    <row r="635">
      <c r="D635" s="368"/>
    </row>
    <row r="636">
      <c r="D636" s="368"/>
    </row>
    <row r="637">
      <c r="D637" s="368"/>
    </row>
    <row r="638">
      <c r="D638" s="368"/>
    </row>
    <row r="639">
      <c r="D639" s="368"/>
    </row>
    <row r="640">
      <c r="D640" s="368"/>
    </row>
    <row r="641">
      <c r="D641" s="368"/>
    </row>
    <row r="642">
      <c r="D642" s="368"/>
    </row>
    <row r="643">
      <c r="D643" s="368"/>
    </row>
    <row r="644">
      <c r="D644" s="368"/>
    </row>
    <row r="645">
      <c r="D645" s="368"/>
    </row>
    <row r="646">
      <c r="D646" s="368"/>
    </row>
    <row r="647">
      <c r="D647" s="368"/>
    </row>
    <row r="648">
      <c r="D648" s="368"/>
    </row>
    <row r="649">
      <c r="D649" s="368"/>
    </row>
    <row r="650">
      <c r="D650" s="368"/>
    </row>
    <row r="651">
      <c r="D651" s="368"/>
    </row>
    <row r="652">
      <c r="D652" s="368"/>
    </row>
    <row r="653">
      <c r="D653" s="368"/>
    </row>
    <row r="654">
      <c r="D654" s="368"/>
    </row>
    <row r="655">
      <c r="D655" s="368"/>
    </row>
    <row r="656">
      <c r="D656" s="368"/>
    </row>
    <row r="657">
      <c r="D657" s="368"/>
    </row>
    <row r="658">
      <c r="D658" s="368"/>
    </row>
    <row r="659">
      <c r="D659" s="368"/>
    </row>
    <row r="660">
      <c r="D660" s="368"/>
    </row>
    <row r="661">
      <c r="D661" s="368"/>
    </row>
    <row r="662">
      <c r="D662" s="368"/>
    </row>
    <row r="663">
      <c r="D663" s="368"/>
    </row>
    <row r="664">
      <c r="D664" s="368"/>
    </row>
    <row r="665">
      <c r="D665" s="368"/>
    </row>
    <row r="666">
      <c r="D666" s="368"/>
    </row>
    <row r="667">
      <c r="D667" s="368"/>
    </row>
    <row r="668">
      <c r="D668" s="368"/>
    </row>
    <row r="669">
      <c r="D669" s="368"/>
    </row>
    <row r="670">
      <c r="D670" s="368"/>
    </row>
    <row r="671">
      <c r="D671" s="368"/>
    </row>
    <row r="672">
      <c r="D672" s="368"/>
    </row>
    <row r="673">
      <c r="D673" s="368"/>
    </row>
    <row r="674">
      <c r="D674" s="368"/>
    </row>
    <row r="675">
      <c r="D675" s="368"/>
    </row>
    <row r="676">
      <c r="D676" s="368"/>
    </row>
    <row r="677">
      <c r="D677" s="368"/>
    </row>
    <row r="678">
      <c r="D678" s="368"/>
    </row>
    <row r="679">
      <c r="D679" s="368"/>
    </row>
    <row r="680">
      <c r="D680" s="368"/>
    </row>
    <row r="681">
      <c r="D681" s="368"/>
    </row>
    <row r="682">
      <c r="D682" s="368"/>
    </row>
    <row r="683">
      <c r="D683" s="368"/>
    </row>
    <row r="684">
      <c r="D684" s="368"/>
    </row>
    <row r="685">
      <c r="D685" s="368"/>
    </row>
    <row r="686">
      <c r="D686" s="368"/>
    </row>
    <row r="687">
      <c r="D687" s="368"/>
    </row>
    <row r="688">
      <c r="D688" s="368"/>
    </row>
    <row r="689">
      <c r="D689" s="368"/>
    </row>
    <row r="690">
      <c r="D690" s="368"/>
    </row>
    <row r="691">
      <c r="D691" s="368"/>
    </row>
    <row r="692">
      <c r="D692" s="368"/>
    </row>
    <row r="693">
      <c r="D693" s="368"/>
    </row>
    <row r="694">
      <c r="D694" s="368"/>
    </row>
    <row r="695">
      <c r="D695" s="368"/>
    </row>
    <row r="696">
      <c r="D696" s="368"/>
    </row>
    <row r="697">
      <c r="D697" s="368"/>
    </row>
    <row r="698">
      <c r="D698" s="368"/>
    </row>
    <row r="699">
      <c r="D699" s="368"/>
    </row>
    <row r="700">
      <c r="D700" s="368"/>
    </row>
    <row r="701">
      <c r="D701" s="368"/>
    </row>
    <row r="702">
      <c r="D702" s="368"/>
    </row>
    <row r="703">
      <c r="D703" s="368"/>
    </row>
    <row r="704">
      <c r="D704" s="368"/>
    </row>
    <row r="705">
      <c r="D705" s="368"/>
    </row>
    <row r="706">
      <c r="D706" s="368"/>
    </row>
    <row r="707">
      <c r="D707" s="368"/>
    </row>
    <row r="708">
      <c r="D708" s="368"/>
    </row>
    <row r="709">
      <c r="D709" s="368"/>
    </row>
    <row r="710">
      <c r="D710" s="368"/>
    </row>
    <row r="711">
      <c r="D711" s="368"/>
    </row>
    <row r="712">
      <c r="D712" s="368"/>
    </row>
    <row r="713">
      <c r="D713" s="368"/>
    </row>
    <row r="714">
      <c r="D714" s="368"/>
    </row>
    <row r="715">
      <c r="D715" s="368"/>
    </row>
    <row r="716">
      <c r="D716" s="368"/>
    </row>
    <row r="717">
      <c r="D717" s="368"/>
    </row>
    <row r="718">
      <c r="D718" s="368"/>
    </row>
    <row r="719">
      <c r="D719" s="368"/>
    </row>
    <row r="720">
      <c r="D720" s="368"/>
    </row>
    <row r="721">
      <c r="D721" s="368"/>
    </row>
    <row r="722">
      <c r="D722" s="368"/>
    </row>
    <row r="723">
      <c r="D723" s="368"/>
    </row>
    <row r="724">
      <c r="D724" s="368"/>
    </row>
    <row r="725">
      <c r="D725" s="368"/>
    </row>
    <row r="726">
      <c r="D726" s="368"/>
    </row>
    <row r="727">
      <c r="D727" s="368"/>
    </row>
    <row r="728">
      <c r="D728" s="368"/>
    </row>
    <row r="729">
      <c r="D729" s="368"/>
    </row>
    <row r="730">
      <c r="D730" s="368"/>
    </row>
    <row r="731">
      <c r="D731" s="368"/>
    </row>
    <row r="732">
      <c r="D732" s="368"/>
    </row>
    <row r="733">
      <c r="D733" s="368"/>
    </row>
    <row r="734">
      <c r="D734" s="368"/>
    </row>
    <row r="735">
      <c r="D735" s="368"/>
    </row>
    <row r="736">
      <c r="D736" s="368"/>
    </row>
    <row r="737">
      <c r="D737" s="368"/>
    </row>
    <row r="738">
      <c r="D738" s="368"/>
    </row>
    <row r="739">
      <c r="D739" s="368"/>
    </row>
    <row r="740">
      <c r="D740" s="368"/>
    </row>
    <row r="741">
      <c r="D741" s="368"/>
    </row>
    <row r="742">
      <c r="D742" s="368"/>
    </row>
    <row r="743">
      <c r="D743" s="368"/>
    </row>
    <row r="744">
      <c r="D744" s="368"/>
    </row>
    <row r="745">
      <c r="D745" s="368"/>
    </row>
    <row r="746">
      <c r="D746" s="368"/>
    </row>
    <row r="747">
      <c r="D747" s="368"/>
    </row>
    <row r="748">
      <c r="D748" s="368"/>
    </row>
    <row r="749">
      <c r="D749" s="368"/>
    </row>
    <row r="750">
      <c r="D750" s="368"/>
    </row>
    <row r="751">
      <c r="D751" s="368"/>
    </row>
    <row r="752">
      <c r="D752" s="368"/>
    </row>
    <row r="753">
      <c r="D753" s="368"/>
    </row>
    <row r="754">
      <c r="D754" s="368"/>
    </row>
    <row r="755">
      <c r="D755" s="368"/>
    </row>
    <row r="756">
      <c r="D756" s="368"/>
    </row>
    <row r="757">
      <c r="D757" s="368"/>
    </row>
    <row r="758">
      <c r="D758" s="368"/>
    </row>
    <row r="759">
      <c r="D759" s="368"/>
    </row>
    <row r="760">
      <c r="D760" s="368"/>
    </row>
    <row r="761">
      <c r="D761" s="368"/>
    </row>
    <row r="762">
      <c r="D762" s="368"/>
    </row>
    <row r="763">
      <c r="D763" s="368"/>
    </row>
    <row r="764">
      <c r="D764" s="368"/>
    </row>
    <row r="765">
      <c r="D765" s="368"/>
    </row>
    <row r="766">
      <c r="D766" s="368"/>
    </row>
    <row r="767">
      <c r="D767" s="368"/>
    </row>
    <row r="768">
      <c r="D768" s="368"/>
    </row>
    <row r="769">
      <c r="D769" s="368"/>
    </row>
    <row r="770">
      <c r="D770" s="368"/>
    </row>
    <row r="771">
      <c r="D771" s="368"/>
    </row>
    <row r="772">
      <c r="D772" s="368"/>
    </row>
    <row r="773">
      <c r="D773" s="368"/>
    </row>
    <row r="774">
      <c r="D774" s="368"/>
    </row>
    <row r="775">
      <c r="D775" s="368"/>
    </row>
    <row r="776">
      <c r="D776" s="368"/>
    </row>
    <row r="777">
      <c r="D777" s="368"/>
    </row>
    <row r="778">
      <c r="D778" s="368"/>
    </row>
    <row r="779">
      <c r="D779" s="368"/>
    </row>
    <row r="780">
      <c r="D780" s="368"/>
    </row>
    <row r="781">
      <c r="D781" s="368"/>
    </row>
    <row r="782">
      <c r="D782" s="368"/>
    </row>
    <row r="783">
      <c r="D783" s="368"/>
    </row>
    <row r="784">
      <c r="D784" s="368"/>
    </row>
    <row r="785">
      <c r="D785" s="368"/>
    </row>
    <row r="786">
      <c r="D786" s="368"/>
    </row>
    <row r="787">
      <c r="D787" s="368"/>
    </row>
    <row r="788">
      <c r="D788" s="368"/>
    </row>
    <row r="789">
      <c r="D789" s="368"/>
    </row>
    <row r="790">
      <c r="D790" s="368"/>
    </row>
    <row r="791">
      <c r="D791" s="368"/>
    </row>
    <row r="792">
      <c r="D792" s="368"/>
    </row>
    <row r="793">
      <c r="D793" s="368"/>
    </row>
    <row r="794">
      <c r="D794" s="368"/>
    </row>
    <row r="795">
      <c r="D795" s="368"/>
    </row>
    <row r="796">
      <c r="D796" s="368"/>
    </row>
    <row r="797">
      <c r="D797" s="368"/>
    </row>
    <row r="798">
      <c r="D798" s="368"/>
    </row>
    <row r="799">
      <c r="D799" s="368"/>
    </row>
    <row r="800">
      <c r="D800" s="368"/>
    </row>
    <row r="801">
      <c r="D801" s="368"/>
    </row>
    <row r="802">
      <c r="D802" s="368"/>
    </row>
    <row r="803">
      <c r="D803" s="368"/>
    </row>
    <row r="804">
      <c r="D804" s="368"/>
    </row>
    <row r="805">
      <c r="D805" s="368"/>
    </row>
    <row r="806">
      <c r="D806" s="368"/>
    </row>
    <row r="807">
      <c r="D807" s="368"/>
    </row>
    <row r="808">
      <c r="D808" s="368"/>
    </row>
    <row r="809">
      <c r="D809" s="368"/>
    </row>
    <row r="810">
      <c r="D810" s="368"/>
    </row>
    <row r="811">
      <c r="D811" s="368"/>
    </row>
    <row r="812">
      <c r="D812" s="368"/>
    </row>
    <row r="813">
      <c r="D813" s="368"/>
    </row>
    <row r="814">
      <c r="D814" s="368"/>
    </row>
    <row r="815">
      <c r="D815" s="368"/>
    </row>
    <row r="816">
      <c r="D816" s="368"/>
    </row>
    <row r="817">
      <c r="D817" s="368"/>
    </row>
    <row r="818">
      <c r="D818" s="368"/>
    </row>
    <row r="819">
      <c r="D819" s="368"/>
    </row>
    <row r="820">
      <c r="D820" s="368"/>
    </row>
    <row r="821">
      <c r="D821" s="368"/>
    </row>
    <row r="822">
      <c r="D822" s="368"/>
    </row>
    <row r="823">
      <c r="D823" s="368"/>
    </row>
    <row r="824">
      <c r="D824" s="368"/>
    </row>
    <row r="825">
      <c r="D825" s="368"/>
    </row>
    <row r="826">
      <c r="D826" s="368"/>
    </row>
    <row r="827">
      <c r="D827" s="368"/>
    </row>
    <row r="828">
      <c r="D828" s="368"/>
    </row>
    <row r="829">
      <c r="D829" s="368"/>
    </row>
    <row r="830">
      <c r="D830" s="368"/>
    </row>
    <row r="831">
      <c r="D831" s="368"/>
    </row>
    <row r="832">
      <c r="D832" s="368"/>
    </row>
    <row r="833">
      <c r="D833" s="368"/>
    </row>
    <row r="834">
      <c r="D834" s="368"/>
    </row>
    <row r="835">
      <c r="D835" s="368"/>
    </row>
    <row r="836">
      <c r="D836" s="368"/>
    </row>
    <row r="837">
      <c r="D837" s="368"/>
    </row>
    <row r="838">
      <c r="D838" s="368"/>
    </row>
    <row r="839">
      <c r="D839" s="368"/>
    </row>
    <row r="840">
      <c r="D840" s="368"/>
    </row>
    <row r="841">
      <c r="D841" s="368"/>
    </row>
    <row r="842">
      <c r="D842" s="368"/>
    </row>
    <row r="843">
      <c r="D843" s="368"/>
    </row>
    <row r="844">
      <c r="D844" s="368"/>
    </row>
    <row r="845">
      <c r="D845" s="368"/>
    </row>
    <row r="846">
      <c r="D846" s="368"/>
    </row>
    <row r="847">
      <c r="D847" s="368"/>
    </row>
    <row r="848">
      <c r="D848" s="368"/>
    </row>
    <row r="849">
      <c r="D849" s="368"/>
    </row>
    <row r="850">
      <c r="D850" s="368"/>
    </row>
    <row r="851">
      <c r="D851" s="368"/>
    </row>
    <row r="852">
      <c r="D852" s="368"/>
    </row>
    <row r="853">
      <c r="D853" s="368"/>
    </row>
    <row r="854">
      <c r="D854" s="368"/>
    </row>
    <row r="855">
      <c r="D855" s="368"/>
    </row>
    <row r="856">
      <c r="D856" s="368"/>
    </row>
    <row r="857">
      <c r="D857" s="368"/>
    </row>
    <row r="858">
      <c r="D858" s="368"/>
    </row>
    <row r="859">
      <c r="D859" s="368"/>
    </row>
    <row r="860">
      <c r="D860" s="368"/>
    </row>
    <row r="861">
      <c r="D861" s="368"/>
    </row>
    <row r="862">
      <c r="D862" s="368"/>
    </row>
    <row r="863">
      <c r="D863" s="368"/>
    </row>
    <row r="864">
      <c r="D864" s="368"/>
    </row>
    <row r="865">
      <c r="D865" s="368"/>
    </row>
    <row r="866">
      <c r="D866" s="368"/>
    </row>
    <row r="867">
      <c r="D867" s="368"/>
    </row>
    <row r="868">
      <c r="D868" s="368"/>
    </row>
    <row r="869">
      <c r="D869" s="368"/>
    </row>
    <row r="870">
      <c r="D870" s="368"/>
    </row>
    <row r="871">
      <c r="D871" s="368"/>
    </row>
    <row r="872">
      <c r="D872" s="368"/>
    </row>
    <row r="873">
      <c r="D873" s="368"/>
    </row>
    <row r="874">
      <c r="D874" s="368"/>
    </row>
    <row r="875">
      <c r="D875" s="368"/>
    </row>
    <row r="876">
      <c r="D876" s="368"/>
    </row>
    <row r="877">
      <c r="D877" s="368"/>
    </row>
    <row r="878">
      <c r="D878" s="368"/>
    </row>
    <row r="879">
      <c r="D879" s="368"/>
    </row>
    <row r="880">
      <c r="D880" s="368"/>
    </row>
    <row r="881">
      <c r="D881" s="368"/>
    </row>
    <row r="882">
      <c r="D882" s="368"/>
    </row>
    <row r="883">
      <c r="D883" s="368"/>
    </row>
    <row r="884">
      <c r="D884" s="368"/>
    </row>
    <row r="885">
      <c r="D885" s="368"/>
    </row>
    <row r="886">
      <c r="D886" s="368"/>
    </row>
    <row r="887">
      <c r="D887" s="368"/>
    </row>
    <row r="888">
      <c r="D888" s="368"/>
    </row>
    <row r="889">
      <c r="D889" s="368"/>
    </row>
    <row r="890">
      <c r="D890" s="368"/>
    </row>
    <row r="891">
      <c r="D891" s="368"/>
    </row>
    <row r="892">
      <c r="D892" s="368"/>
    </row>
    <row r="893">
      <c r="D893" s="368"/>
    </row>
    <row r="894">
      <c r="D894" s="368"/>
    </row>
    <row r="895">
      <c r="D895" s="368"/>
    </row>
    <row r="896">
      <c r="D896" s="368"/>
    </row>
    <row r="897">
      <c r="D897" s="368"/>
    </row>
    <row r="898">
      <c r="D898" s="368"/>
    </row>
    <row r="899">
      <c r="D899" s="368"/>
    </row>
    <row r="900">
      <c r="D900" s="368"/>
    </row>
    <row r="901">
      <c r="D901" s="368"/>
    </row>
    <row r="902">
      <c r="D902" s="368"/>
    </row>
    <row r="903">
      <c r="D903" s="368"/>
    </row>
    <row r="904">
      <c r="D904" s="368"/>
    </row>
    <row r="905">
      <c r="D905" s="368"/>
    </row>
    <row r="906">
      <c r="D906" s="368"/>
    </row>
    <row r="907">
      <c r="D907" s="368"/>
    </row>
    <row r="908">
      <c r="D908" s="368"/>
    </row>
    <row r="909">
      <c r="D909" s="368"/>
    </row>
    <row r="910">
      <c r="D910" s="368"/>
    </row>
    <row r="911">
      <c r="D911" s="368"/>
    </row>
    <row r="912">
      <c r="D912" s="368"/>
    </row>
    <row r="913">
      <c r="D913" s="368"/>
    </row>
    <row r="914">
      <c r="D914" s="368"/>
    </row>
    <row r="915">
      <c r="D915" s="368"/>
    </row>
    <row r="916">
      <c r="D916" s="368"/>
    </row>
    <row r="917">
      <c r="D917" s="368"/>
    </row>
    <row r="918">
      <c r="D918" s="368"/>
    </row>
    <row r="919">
      <c r="D919" s="368"/>
    </row>
    <row r="920">
      <c r="D920" s="368"/>
    </row>
    <row r="921">
      <c r="D921" s="368"/>
    </row>
    <row r="922">
      <c r="D922" s="368"/>
    </row>
    <row r="923">
      <c r="D923" s="368"/>
    </row>
    <row r="924">
      <c r="D924" s="368"/>
    </row>
    <row r="925">
      <c r="D925" s="368"/>
    </row>
    <row r="926">
      <c r="D926" s="368"/>
    </row>
    <row r="927">
      <c r="D927" s="368"/>
    </row>
    <row r="928">
      <c r="D928" s="368"/>
    </row>
    <row r="929">
      <c r="D929" s="368"/>
    </row>
    <row r="930">
      <c r="D930" s="368"/>
    </row>
    <row r="931">
      <c r="D931" s="368"/>
    </row>
    <row r="932">
      <c r="D932" s="368"/>
    </row>
    <row r="933">
      <c r="D933" s="368"/>
    </row>
    <row r="934">
      <c r="D934" s="368"/>
    </row>
    <row r="935">
      <c r="D935" s="368"/>
    </row>
    <row r="936">
      <c r="D936" s="368"/>
    </row>
    <row r="937">
      <c r="D937" s="368"/>
    </row>
    <row r="938">
      <c r="D938" s="368"/>
    </row>
    <row r="939">
      <c r="D939" s="368"/>
    </row>
    <row r="940">
      <c r="D940" s="368"/>
    </row>
    <row r="941">
      <c r="D941" s="368"/>
    </row>
    <row r="942">
      <c r="D942" s="368"/>
    </row>
    <row r="943">
      <c r="D943" s="368"/>
    </row>
    <row r="944">
      <c r="D944" s="368"/>
    </row>
    <row r="945">
      <c r="D945" s="368"/>
    </row>
    <row r="946">
      <c r="D946" s="368"/>
    </row>
    <row r="947">
      <c r="D947" s="368"/>
    </row>
    <row r="948">
      <c r="D948" s="368"/>
    </row>
    <row r="949">
      <c r="D949" s="368"/>
    </row>
    <row r="950">
      <c r="D950" s="368"/>
    </row>
    <row r="951">
      <c r="D951" s="368"/>
    </row>
    <row r="952">
      <c r="D952" s="368"/>
    </row>
    <row r="953">
      <c r="D953" s="368"/>
    </row>
    <row r="954">
      <c r="D954" s="368"/>
    </row>
    <row r="955">
      <c r="D955" s="368"/>
    </row>
    <row r="956">
      <c r="D956" s="368"/>
    </row>
    <row r="957">
      <c r="D957" s="368"/>
    </row>
    <row r="958">
      <c r="D958" s="368"/>
    </row>
    <row r="959">
      <c r="D959" s="368"/>
    </row>
    <row r="960">
      <c r="D960" s="368"/>
    </row>
    <row r="961">
      <c r="D961" s="368"/>
    </row>
    <row r="962">
      <c r="D962" s="368"/>
    </row>
    <row r="963">
      <c r="D963" s="368"/>
    </row>
    <row r="964">
      <c r="D964" s="368"/>
    </row>
    <row r="965">
      <c r="D965" s="368"/>
    </row>
    <row r="966">
      <c r="D966" s="368"/>
    </row>
    <row r="967">
      <c r="D967" s="368"/>
    </row>
    <row r="968">
      <c r="D968" s="368"/>
    </row>
    <row r="969">
      <c r="D969" s="368"/>
    </row>
    <row r="970">
      <c r="D970" s="368"/>
    </row>
    <row r="971">
      <c r="D971" s="368"/>
    </row>
    <row r="972">
      <c r="D972" s="368"/>
    </row>
    <row r="973">
      <c r="D973" s="368"/>
    </row>
    <row r="974">
      <c r="D974" s="368"/>
    </row>
    <row r="975">
      <c r="D975" s="368"/>
    </row>
    <row r="976">
      <c r="D976" s="368"/>
    </row>
    <row r="977">
      <c r="D977" s="368"/>
    </row>
    <row r="978">
      <c r="D978" s="368"/>
    </row>
    <row r="979">
      <c r="D979" s="368"/>
    </row>
    <row r="980">
      <c r="D980" s="368"/>
    </row>
    <row r="981">
      <c r="D981" s="368"/>
    </row>
    <row r="982">
      <c r="D982" s="368"/>
    </row>
    <row r="983">
      <c r="D983" s="368"/>
    </row>
    <row r="984">
      <c r="D984" s="368"/>
    </row>
    <row r="985">
      <c r="D985" s="368"/>
    </row>
    <row r="986">
      <c r="D986" s="368"/>
    </row>
    <row r="987">
      <c r="D987" s="368"/>
    </row>
    <row r="988">
      <c r="D988" s="368"/>
    </row>
    <row r="989">
      <c r="D989" s="368"/>
    </row>
    <row r="990">
      <c r="D990" s="368"/>
    </row>
    <row r="991">
      <c r="D991" s="368"/>
    </row>
    <row r="992">
      <c r="D992" s="368"/>
    </row>
    <row r="993">
      <c r="D993" s="368"/>
    </row>
    <row r="994">
      <c r="D994" s="368"/>
    </row>
    <row r="995">
      <c r="D995" s="368"/>
    </row>
    <row r="996">
      <c r="D996" s="368"/>
    </row>
    <row r="997">
      <c r="D997" s="368"/>
    </row>
    <row r="998">
      <c r="D998" s="368"/>
    </row>
  </sheetData>
  <drawing r:id="rId1"/>
  <tableParts count="1">
    <tablePart r:id="rId3"/>
  </tableParts>
</worksheet>
</file>